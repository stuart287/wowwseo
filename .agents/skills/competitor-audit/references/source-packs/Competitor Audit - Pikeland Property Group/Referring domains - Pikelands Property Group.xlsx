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ring domains - no comparis" sheetId="1" r:id="rId5"/>
    <sheet state="visible" name="Referring domains - vs 6 months" sheetId="2" r:id="rId6"/>
    <sheet state="visible" name="New referring domains last 30 d" sheetId="3" r:id="rId7"/>
    <sheet state="hidden" name="Cost of backlinks (with low tra" sheetId="4" r:id="rId8"/>
    <sheet state="hidden" name="Cost of backlinks (without low " sheetId="5" r:id="rId9"/>
  </sheets>
  <definedNames>
    <definedName hidden="1" localSheetId="0" name="_xlnm._FilterDatabase">'Referring domains - no comparis'!$A$1:$Y$787</definedName>
    <definedName hidden="1" localSheetId="1" name="_xlnm._FilterDatabase">'Referring domains - vs 6 months'!$A$1:$Y$787</definedName>
  </definedNames>
  <calcPr/>
</workbook>
</file>

<file path=xl/sharedStrings.xml><?xml version="1.0" encoding="utf-8"?>
<sst xmlns="http://schemas.openxmlformats.org/spreadsheetml/2006/main" count="551" uniqueCount="262">
  <si>
    <t>Domain</t>
  </si>
  <si>
    <t>DR range</t>
  </si>
  <si>
    <t>Is spam</t>
  </si>
  <si>
    <t>DR</t>
  </si>
  <si>
    <t>Dofollow ref. domains</t>
  </si>
  <si>
    <t>Dofollow linked domains</t>
  </si>
  <si>
    <t xml:space="preserve">Traffic </t>
  </si>
  <si>
    <t xml:space="preserve">Keywords </t>
  </si>
  <si>
    <t>Links to target</t>
  </si>
  <si>
    <t>Dofollow links</t>
  </si>
  <si>
    <t>First seen</t>
  </si>
  <si>
    <t>Lost</t>
  </si>
  <si>
    <t>value per backlink</t>
  </si>
  <si>
    <t>min (not inclusive)</t>
  </si>
  <si>
    <t>max (not inclusive)</t>
  </si>
  <si>
    <t>total backlinks (wrong)</t>
  </si>
  <si>
    <t>with low traffic:</t>
  </si>
  <si>
    <t>referring domains</t>
  </si>
  <si>
    <t>backlinks</t>
  </si>
  <si>
    <t>value</t>
  </si>
  <si>
    <t>without low traffic:</t>
  </si>
  <si>
    <t>New links</t>
  </si>
  <si>
    <t>Lost links</t>
  </si>
  <si>
    <t>datanyze.com</t>
  </si>
  <si>
    <t>bbb.org</t>
  </si>
  <si>
    <t>70-100</t>
  </si>
  <si>
    <t>seolinkkart.shop</t>
  </si>
  <si>
    <t>rankdeals.shop</t>
  </si>
  <si>
    <t>seomart.shop</t>
  </si>
  <si>
    <t>seowarez.shop</t>
  </si>
  <si>
    <t>theorg.com</t>
  </si>
  <si>
    <t>guestpostlinks.shop</t>
  </si>
  <si>
    <t>rankyour.website</t>
  </si>
  <si>
    <t>nexabacklinks.shop</t>
  </si>
  <si>
    <t>factmags.com</t>
  </si>
  <si>
    <t>seoloot.shop</t>
  </si>
  <si>
    <t>seogear.shop</t>
  </si>
  <si>
    <t>buybacklinks.agency</t>
  </si>
  <si>
    <t>backlinker.shop</t>
  </si>
  <si>
    <t>seoprime.shop</t>
  </si>
  <si>
    <t>rankwares.shop</t>
  </si>
  <si>
    <t>rank-top.click</t>
  </si>
  <si>
    <t>rankcart.shop</t>
  </si>
  <si>
    <t>linkrankpro.shop</t>
  </si>
  <si>
    <t>rankkit.shop</t>
  </si>
  <si>
    <t>rankxlinks.shop</t>
  </si>
  <si>
    <t>seoexpress.org</t>
  </si>
  <si>
    <t>ranklinkerpro.shop</t>
  </si>
  <si>
    <t>linkstock.shop</t>
  </si>
  <si>
    <t>seorankflow.shop</t>
  </si>
  <si>
    <t>rankdepot.shop</t>
  </si>
  <si>
    <t>authoritybacklinks.shop</t>
  </si>
  <si>
    <t>pbnseolinks.shop</t>
  </si>
  <si>
    <t>seodepot.shop</t>
  </si>
  <si>
    <t>linkrankboost.shop</t>
  </si>
  <si>
    <t>seobox.shop</t>
  </si>
  <si>
    <t>linkseopro.shop</t>
  </si>
  <si>
    <t>ranklinkpro.shop</t>
  </si>
  <si>
    <t>ranktrove.shop</t>
  </si>
  <si>
    <t>seolinkpro.shop</t>
  </si>
  <si>
    <t>premiumseolinks.shop</t>
  </si>
  <si>
    <t>rankstock.shop</t>
  </si>
  <si>
    <t>toplinkranker.shop</t>
  </si>
  <si>
    <t>seoedge.shop</t>
  </si>
  <si>
    <t>trafficspike.shop</t>
  </si>
  <si>
    <t>creativeposts.top</t>
  </si>
  <si>
    <t>rankmall.shop</t>
  </si>
  <si>
    <t>byteshort.xyz</t>
  </si>
  <si>
    <t>seokart.shop</t>
  </si>
  <si>
    <t>atomizelink.icu</t>
  </si>
  <si>
    <t>seosupply.shop</t>
  </si>
  <si>
    <t>metamagic.top</t>
  </si>
  <si>
    <t>rankseohub.shop</t>
  </si>
  <si>
    <t>screenshots.wiki</t>
  </si>
  <si>
    <t>optimizeflow.top</t>
  </si>
  <si>
    <t>seostash.shop</t>
  </si>
  <si>
    <t>ready.pro</t>
  </si>
  <si>
    <t>linksnexa.shop</t>
  </si>
  <si>
    <t>seoagency.sale</t>
  </si>
  <si>
    <t>linkrank.shop</t>
  </si>
  <si>
    <t>klazify.com</t>
  </si>
  <si>
    <t>pdfbookee.com</t>
  </si>
  <si>
    <t>seogeko.shop</t>
  </si>
  <si>
    <t>bitbuzz.org</t>
  </si>
  <si>
    <t>pageseopartners.shop</t>
  </si>
  <si>
    <t>40-70</t>
  </si>
  <si>
    <t>exlinko.net</t>
  </si>
  <si>
    <t>telkomnika.com</t>
  </si>
  <si>
    <t>seogrowthprovider.shop</t>
  </si>
  <si>
    <t>getwebsiteworth.com</t>
  </si>
  <si>
    <t>seolinkcentral.shop</t>
  </si>
  <si>
    <t>hwnerds.com</t>
  </si>
  <si>
    <t>backlinkbuilders.shop</t>
  </si>
  <si>
    <t>bye.fyi</t>
  </si>
  <si>
    <t>quero.party</t>
  </si>
  <si>
    <t>spottedcow.media</t>
  </si>
  <si>
    <t>seogrowthpipeline.shop</t>
  </si>
  <si>
    <t>agroinsursas.com</t>
  </si>
  <si>
    <t>thebestbacklinksavailable.click</t>
  </si>
  <si>
    <t>domainrankresults.shop</t>
  </si>
  <si>
    <t>rankpilot.shop</t>
  </si>
  <si>
    <t>dsnylu.com</t>
  </si>
  <si>
    <t>puzzly.ai</t>
  </si>
  <si>
    <t>linkgrowthsource.shop</t>
  </si>
  <si>
    <t>capetownthing.co.za</t>
  </si>
  <si>
    <t>pageseotoolkit.shop</t>
  </si>
  <si>
    <t>sport-life.club</t>
  </si>
  <si>
    <t>linkgrowthinsights.shop</t>
  </si>
  <si>
    <t>acquire.co.in</t>
  </si>
  <si>
    <t>organicrankdirect.shop</t>
  </si>
  <si>
    <t>websiterace.com</t>
  </si>
  <si>
    <t>organicranksystems.shop</t>
  </si>
  <si>
    <t>alljobs.info</t>
  </si>
  <si>
    <t>linkcollective.shop</t>
  </si>
  <si>
    <t>allinone.co.in</t>
  </si>
  <si>
    <t>analyticshaven.top</t>
  </si>
  <si>
    <t>rankgrowthgroup.shop</t>
  </si>
  <si>
    <t>eleotinspanish.com</t>
  </si>
  <si>
    <t>linkseoinsights.shop</t>
  </si>
  <si>
    <t>seo-high-ranking.shop</t>
  </si>
  <si>
    <t>revan-me.com</t>
  </si>
  <si>
    <t>toprankcompany.shop</t>
  </si>
  <si>
    <t>domainrankacademy.shop</t>
  </si>
  <si>
    <t>ycm.info</t>
  </si>
  <si>
    <t>ageddomainsforeverytaste.club</t>
  </si>
  <si>
    <t>domainrankprovider.shop</t>
  </si>
  <si>
    <t>jake.eu</t>
  </si>
  <si>
    <t>addurl.in</t>
  </si>
  <si>
    <t>linkgrowthstudio.shop</t>
  </si>
  <si>
    <t>hzdlpq.com</t>
  </si>
  <si>
    <t>thesocialhouseja.com</t>
  </si>
  <si>
    <t>siteranksolutions.shop</t>
  </si>
  <si>
    <t>kgzxkf.com</t>
  </si>
  <si>
    <t>rankseojunction.shop</t>
  </si>
  <si>
    <t>findit.co.in</t>
  </si>
  <si>
    <t>linkseoalliance.shop</t>
  </si>
  <si>
    <t>qhtycw.com</t>
  </si>
  <si>
    <t>indexaward.com</t>
  </si>
  <si>
    <t>searchrankcentral.shop</t>
  </si>
  <si>
    <t>tunca.org</t>
  </si>
  <si>
    <t>pageseoexpress.shop</t>
  </si>
  <si>
    <t>linkseocollective.shop</t>
  </si>
  <si>
    <t>pagesearch.net</t>
  </si>
  <si>
    <t>30-40</t>
  </si>
  <si>
    <t>obmain.com</t>
  </si>
  <si>
    <t>domainrankteam.shop</t>
  </si>
  <si>
    <t>wallpapers.pro</t>
  </si>
  <si>
    <t>sitescooponline.com</t>
  </si>
  <si>
    <t>searchrankgroup.shop</t>
  </si>
  <si>
    <t>prothor-ing.com</t>
  </si>
  <si>
    <t>searchrankpipeline.shop</t>
  </si>
  <si>
    <t>jobsapp.info</t>
  </si>
  <si>
    <t>trysavvy.co</t>
  </si>
  <si>
    <t>seoboostsystems.shop</t>
  </si>
  <si>
    <t>highseoranking.shop</t>
  </si>
  <si>
    <t>rankgrowthmasters.shop</t>
  </si>
  <si>
    <t>nexusnext.agency</t>
  </si>
  <si>
    <t>thetoprankingseo.shop</t>
  </si>
  <si>
    <t>rankseocollective.shop</t>
  </si>
  <si>
    <t>seoexpress.website</t>
  </si>
  <si>
    <t>backlinkorbit.shop</t>
  </si>
  <si>
    <t>siterankbuilders.shop</t>
  </si>
  <si>
    <t>backlinkzeno.shop</t>
  </si>
  <si>
    <t>mysky-shop.shop</t>
  </si>
  <si>
    <t>rankbasket.shop</t>
  </si>
  <si>
    <t>webrankinsights.shop</t>
  </si>
  <si>
    <t>backlinkshop.shop</t>
  </si>
  <si>
    <t>thebacklink.shop</t>
  </si>
  <si>
    <t>linkbundle.shop</t>
  </si>
  <si>
    <t>linkcrate.shop</t>
  </si>
  <si>
    <t>searchrankbuilders.shop</t>
  </si>
  <si>
    <t>seoexpress.site</t>
  </si>
  <si>
    <t>backlinkvault.shop</t>
  </si>
  <si>
    <t>theseohighranking.shop</t>
  </si>
  <si>
    <t>primebacklinks.shop</t>
  </si>
  <si>
    <t>seoboostagency.shop</t>
  </si>
  <si>
    <t>seotrove.shop</t>
  </si>
  <si>
    <t>seohighranking.shop</t>
  </si>
  <si>
    <t>backlinkpartners.shop</t>
  </si>
  <si>
    <t>linkwares.shop</t>
  </si>
  <si>
    <t>rankinghighseo.shop</t>
  </si>
  <si>
    <t>linkory.shop</t>
  </si>
  <si>
    <t>rankgrowthpartners.shop</t>
  </si>
  <si>
    <t>wonvision.com</t>
  </si>
  <si>
    <t>thehighseo.shop</t>
  </si>
  <si>
    <t>siterankacademy.shop</t>
  </si>
  <si>
    <t>seocartly.shop</t>
  </si>
  <si>
    <t>123webshop.shop</t>
  </si>
  <si>
    <t>seoboostcompany.shop</t>
  </si>
  <si>
    <t>theseomasterhigh.shop</t>
  </si>
  <si>
    <t>toprankacademy.shop</t>
  </si>
  <si>
    <t>theseorankinghigh.shop</t>
  </si>
  <si>
    <t>toprankservice.shop</t>
  </si>
  <si>
    <t>ekenkoshop.shop</t>
  </si>
  <si>
    <t>rankchest.shop</t>
  </si>
  <si>
    <t>seoexpress.space</t>
  </si>
  <si>
    <t>seolinkcompany.shop</t>
  </si>
  <si>
    <t>rankingseohigh.shop</t>
  </si>
  <si>
    <t>10-30</t>
  </si>
  <si>
    <t>activeshop.shop</t>
  </si>
  <si>
    <t>serpcollective.shop</t>
  </si>
  <si>
    <t>seoexpress.store</t>
  </si>
  <si>
    <t>seowares.shop</t>
  </si>
  <si>
    <t>theguestposts.shop</t>
  </si>
  <si>
    <t>rankseoalliance.shop</t>
  </si>
  <si>
    <t>therankinghighseo.shop</t>
  </si>
  <si>
    <t>seogo.shop</t>
  </si>
  <si>
    <t>shop-inframe.shop</t>
  </si>
  <si>
    <t>rankgoods.shop</t>
  </si>
  <si>
    <t>rankseopartners.shop</t>
  </si>
  <si>
    <t>linkchest.shop</t>
  </si>
  <si>
    <t>highseo.shop</t>
  </si>
  <si>
    <t>shopbetreiber-blog.shop</t>
  </si>
  <si>
    <t>rankseomasters.shop</t>
  </si>
  <si>
    <t>seoexpress.shop</t>
  </si>
  <si>
    <t>linktrove.shop</t>
  </si>
  <si>
    <t>rankgrowthagency.shop</t>
  </si>
  <si>
    <t>simplywebshop.shop</t>
  </si>
  <si>
    <t>therankingseohigh.shop</t>
  </si>
  <si>
    <t>rankbundle.shop</t>
  </si>
  <si>
    <t>siterankservice.shop</t>
  </si>
  <si>
    <t>seoexpress.online</t>
  </si>
  <si>
    <t>rankstash.shop</t>
  </si>
  <si>
    <t>rent-a-shop.shop</t>
  </si>
  <si>
    <t>kmoshops.shop</t>
  </si>
  <si>
    <t>seofinds.shop</t>
  </si>
  <si>
    <t>thehighrankseo.shop</t>
  </si>
  <si>
    <t>seopicks.shop</t>
  </si>
  <si>
    <t>bmwyng.com</t>
  </si>
  <si>
    <t>backlinkmart.shop</t>
  </si>
  <si>
    <t>rankfinds.shop</t>
  </si>
  <si>
    <t>seochest.shop</t>
  </si>
  <si>
    <t>rankoutlet.shop</t>
  </si>
  <si>
    <t>seobundle.shop</t>
  </si>
  <si>
    <t>rankloot.shop</t>
  </si>
  <si>
    <t>linkbarn.shop</t>
  </si>
  <si>
    <t>seocrate.shop</t>
  </si>
  <si>
    <t>seoprobox.click</t>
  </si>
  <si>
    <t>rankcrate.shop</t>
  </si>
  <si>
    <t>kompromat100.info</t>
  </si>
  <si>
    <t>rankgear.shop</t>
  </si>
  <si>
    <t>resonancelabjo.com</t>
  </si>
  <si>
    <t>0-10</t>
  </si>
  <si>
    <t>seobacklinks.agency</t>
  </si>
  <si>
    <t>rank-fast.agency</t>
  </si>
  <si>
    <t>rankongoogle.agency</t>
  </si>
  <si>
    <t>Total ref domains</t>
  </si>
  <si>
    <t>Total backlinks</t>
  </si>
  <si>
    <t>Total value</t>
  </si>
  <si>
    <t>bigtrakisback.com</t>
  </si>
  <si>
    <t>emkan.me</t>
  </si>
  <si>
    <t>minimum traffic</t>
  </si>
  <si>
    <t>agmermer.pro</t>
  </si>
  <si>
    <t>great-choice-for-pbn-domains.co.uk</t>
  </si>
  <si>
    <t>suadienlanhhaiduong.com</t>
  </si>
  <si>
    <t>dcoutesnjacob.com</t>
  </si>
  <si>
    <t>gaister.com</t>
  </si>
  <si>
    <t>what-happens-next.xyz</t>
  </si>
  <si>
    <t>sisgroup.lk</t>
  </si>
  <si>
    <t>bluecantera.com</t>
  </si>
  <si>
    <t>productionfunctionusa.com</t>
  </si>
  <si>
    <t>jomtien-realty.com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</si>
</sst>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&quot;$&quot;#,##0"/>
  </numFmts>
  <fonts count="13">
    <font>
      <sz val="10.0"/>
      <color rgb="FF000000"/>
      <name val="Arial"/>
      <scheme val="minor"/>
    </font>
    <font>
      <color rgb="FFFFFFFF"/>
      <name val="Arial"/>
    </font>
    <font>
      <b/>
      <color rgb="FFFFFFFF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theme="1"/>
      <name val="Arial"/>
    </font>
    <font>
      <color theme="1"/>
      <name val="Arial"/>
    </font>
    <font>
      <u/>
      <color rgb="FF0000FF"/>
      <name val="Arial"/>
      <scheme val="minor"/>
    </font>
    <font>
      <u/>
      <color rgb="FF0000FF"/>
      <name val="Arial"/>
    </font>
    <font>
      <u/>
      <color theme="1"/>
      <name val="Arial"/>
    </font>
    <font>
      <color rgb="FF1155CC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Font="1"/>
    <xf borderId="0" fillId="2" fontId="1" numFmtId="0" xfId="0" applyAlignment="1" applyFont="1">
      <alignment readingOrder="0"/>
    </xf>
    <xf borderId="0" fillId="2" fontId="2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0" fillId="2" fontId="1" numFmtId="0" xfId="0" applyAlignment="1" applyFont="1">
      <alignment horizontal="left"/>
    </xf>
    <xf borderId="0" fillId="2" fontId="2" numFmtId="0" xfId="0" applyAlignment="1" applyFont="1">
      <alignment readingOrder="0"/>
    </xf>
    <xf borderId="0" fillId="0" fontId="4" numFmtId="0" xfId="0" applyAlignment="1" applyFont="1">
      <alignment horizontal="left"/>
    </xf>
    <xf borderId="0" fillId="2" fontId="3" numFmtId="0" xfId="0" applyAlignment="1" applyFont="1">
      <alignment readingOrder="0"/>
    </xf>
    <xf borderId="0" fillId="2" fontId="1" numFmtId="0" xfId="0" applyFont="1"/>
    <xf borderId="0" fillId="2" fontId="2" numFmtId="164" xfId="0" applyAlignment="1" applyFont="1" applyNumberFormat="1">
      <alignment readingOrder="0"/>
    </xf>
    <xf borderId="0" fillId="2" fontId="1" numFmtId="165" xfId="0" applyFont="1" applyNumberFormat="1"/>
    <xf borderId="0" fillId="2" fontId="1" numFmtId="49" xfId="0" applyFont="1" applyNumberFormat="1"/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4" numFmtId="164" xfId="0" applyAlignment="1" applyFont="1" applyNumberFormat="1">
      <alignment horizontal="left" readingOrder="0"/>
    </xf>
    <xf borderId="0" fillId="0" fontId="4" numFmtId="0" xfId="0" applyAlignment="1" applyFont="1">
      <alignment readingOrder="0"/>
    </xf>
    <xf borderId="0" fillId="0" fontId="7" numFmtId="165" xfId="0" applyFont="1" applyNumberFormat="1"/>
    <xf borderId="0" fillId="0" fontId="7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4" numFmtId="0" xfId="0" applyFont="1"/>
    <xf borderId="0" fillId="0" fontId="11" numFmtId="0" xfId="0" applyFont="1"/>
    <xf borderId="0" fillId="0" fontId="7" numFmtId="49" xfId="0" applyFont="1" applyNumberFormat="1"/>
    <xf borderId="0" fillId="0" fontId="12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revan-me.com" TargetMode="External"/><Relationship Id="rId22" Type="http://schemas.openxmlformats.org/officeDocument/2006/relationships/hyperlink" Target="http://addurl.in" TargetMode="External"/><Relationship Id="rId21" Type="http://schemas.openxmlformats.org/officeDocument/2006/relationships/hyperlink" Target="http://ycm.info" TargetMode="External"/><Relationship Id="rId24" Type="http://schemas.openxmlformats.org/officeDocument/2006/relationships/hyperlink" Target="http://findit.co.in" TargetMode="External"/><Relationship Id="rId23" Type="http://schemas.openxmlformats.org/officeDocument/2006/relationships/hyperlink" Target="http://thesocialhouseja.com" TargetMode="External"/><Relationship Id="rId1" Type="http://schemas.openxmlformats.org/officeDocument/2006/relationships/hyperlink" Target="http://bbb.org" TargetMode="External"/><Relationship Id="rId2" Type="http://schemas.openxmlformats.org/officeDocument/2006/relationships/hyperlink" Target="http://datanyze.com" TargetMode="External"/><Relationship Id="rId3" Type="http://schemas.openxmlformats.org/officeDocument/2006/relationships/hyperlink" Target="http://theorg.com" TargetMode="External"/><Relationship Id="rId4" Type="http://schemas.openxmlformats.org/officeDocument/2006/relationships/hyperlink" Target="http://factmags.com" TargetMode="External"/><Relationship Id="rId9" Type="http://schemas.openxmlformats.org/officeDocument/2006/relationships/hyperlink" Target="http://telkomnika.com" TargetMode="External"/><Relationship Id="rId26" Type="http://schemas.openxmlformats.org/officeDocument/2006/relationships/hyperlink" Target="http://tunca.org" TargetMode="External"/><Relationship Id="rId25" Type="http://schemas.openxmlformats.org/officeDocument/2006/relationships/hyperlink" Target="http://indexaward.com" TargetMode="External"/><Relationship Id="rId28" Type="http://schemas.openxmlformats.org/officeDocument/2006/relationships/hyperlink" Target="http://wallpapers.pro" TargetMode="External"/><Relationship Id="rId27" Type="http://schemas.openxmlformats.org/officeDocument/2006/relationships/hyperlink" Target="http://pagesearch.net" TargetMode="External"/><Relationship Id="rId5" Type="http://schemas.openxmlformats.org/officeDocument/2006/relationships/hyperlink" Target="http://byteshort.xyz" TargetMode="External"/><Relationship Id="rId6" Type="http://schemas.openxmlformats.org/officeDocument/2006/relationships/hyperlink" Target="http://ready.pro" TargetMode="External"/><Relationship Id="rId29" Type="http://schemas.openxmlformats.org/officeDocument/2006/relationships/hyperlink" Target="http://prothor-ing.com" TargetMode="External"/><Relationship Id="rId7" Type="http://schemas.openxmlformats.org/officeDocument/2006/relationships/hyperlink" Target="http://klazify.com" TargetMode="External"/><Relationship Id="rId8" Type="http://schemas.openxmlformats.org/officeDocument/2006/relationships/hyperlink" Target="http://bitbuzz.org" TargetMode="External"/><Relationship Id="rId31" Type="http://schemas.openxmlformats.org/officeDocument/2006/relationships/hyperlink" Target="http://wonvision.com" TargetMode="External"/><Relationship Id="rId30" Type="http://schemas.openxmlformats.org/officeDocument/2006/relationships/hyperlink" Target="http://trysavvy.co" TargetMode="External"/><Relationship Id="rId11" Type="http://schemas.openxmlformats.org/officeDocument/2006/relationships/hyperlink" Target="http://hwnerds.com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://getwebsiteworth.com" TargetMode="External"/><Relationship Id="rId32" Type="http://schemas.openxmlformats.org/officeDocument/2006/relationships/hyperlink" Target="http://pdfbookee.com" TargetMode="External"/><Relationship Id="rId13" Type="http://schemas.openxmlformats.org/officeDocument/2006/relationships/hyperlink" Target="http://puzzly.ai" TargetMode="External"/><Relationship Id="rId12" Type="http://schemas.openxmlformats.org/officeDocument/2006/relationships/hyperlink" Target="http://agroinsursas.com" TargetMode="External"/><Relationship Id="rId15" Type="http://schemas.openxmlformats.org/officeDocument/2006/relationships/hyperlink" Target="http://acquire.co.in" TargetMode="External"/><Relationship Id="rId14" Type="http://schemas.openxmlformats.org/officeDocument/2006/relationships/hyperlink" Target="http://capetownthing.co.za" TargetMode="External"/><Relationship Id="rId17" Type="http://schemas.openxmlformats.org/officeDocument/2006/relationships/hyperlink" Target="http://alljobs.info" TargetMode="External"/><Relationship Id="rId16" Type="http://schemas.openxmlformats.org/officeDocument/2006/relationships/hyperlink" Target="http://websiterace.com" TargetMode="External"/><Relationship Id="rId19" Type="http://schemas.openxmlformats.org/officeDocument/2006/relationships/hyperlink" Target="http://eleotinspanish.com" TargetMode="External"/><Relationship Id="rId18" Type="http://schemas.openxmlformats.org/officeDocument/2006/relationships/hyperlink" Target="http://allinone.co.in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what-happens-next.xyz" TargetMode="External"/><Relationship Id="rId42" Type="http://schemas.openxmlformats.org/officeDocument/2006/relationships/hyperlink" Target="http://sisgroup.lk" TargetMode="External"/><Relationship Id="rId41" Type="http://schemas.openxmlformats.org/officeDocument/2006/relationships/hyperlink" Target="http://ycm.info" TargetMode="External"/><Relationship Id="rId44" Type="http://schemas.openxmlformats.org/officeDocument/2006/relationships/hyperlink" Target="http://thesocialhouseja.com" TargetMode="External"/><Relationship Id="rId43" Type="http://schemas.openxmlformats.org/officeDocument/2006/relationships/hyperlink" Target="http://addurl.in" TargetMode="External"/><Relationship Id="rId46" Type="http://schemas.openxmlformats.org/officeDocument/2006/relationships/hyperlink" Target="http://bluecantera.com" TargetMode="External"/><Relationship Id="rId45" Type="http://schemas.openxmlformats.org/officeDocument/2006/relationships/hyperlink" Target="http://findit.co.in" TargetMode="External"/><Relationship Id="rId1" Type="http://schemas.openxmlformats.org/officeDocument/2006/relationships/hyperlink" Target="http://bbb.org" TargetMode="External"/><Relationship Id="rId2" Type="http://schemas.openxmlformats.org/officeDocument/2006/relationships/hyperlink" Target="http://datanyze.com" TargetMode="External"/><Relationship Id="rId3" Type="http://schemas.openxmlformats.org/officeDocument/2006/relationships/hyperlink" Target="http://theorg.com" TargetMode="External"/><Relationship Id="rId4" Type="http://schemas.openxmlformats.org/officeDocument/2006/relationships/hyperlink" Target="http://factmags.com" TargetMode="External"/><Relationship Id="rId9" Type="http://schemas.openxmlformats.org/officeDocument/2006/relationships/hyperlink" Target="http://hzdlpq.com" TargetMode="External"/><Relationship Id="rId48" Type="http://schemas.openxmlformats.org/officeDocument/2006/relationships/hyperlink" Target="http://tunca.org" TargetMode="External"/><Relationship Id="rId47" Type="http://schemas.openxmlformats.org/officeDocument/2006/relationships/hyperlink" Target="http://indexaward.com" TargetMode="External"/><Relationship Id="rId49" Type="http://schemas.openxmlformats.org/officeDocument/2006/relationships/hyperlink" Target="http://pagesearch.net" TargetMode="External"/><Relationship Id="rId5" Type="http://schemas.openxmlformats.org/officeDocument/2006/relationships/hyperlink" Target="http://seoexpress.org" TargetMode="External"/><Relationship Id="rId6" Type="http://schemas.openxmlformats.org/officeDocument/2006/relationships/hyperlink" Target="http://exlinko.net" TargetMode="External"/><Relationship Id="rId7" Type="http://schemas.openxmlformats.org/officeDocument/2006/relationships/hyperlink" Target="http://dsnylu.com" TargetMode="External"/><Relationship Id="rId8" Type="http://schemas.openxmlformats.org/officeDocument/2006/relationships/hyperlink" Target="http://byteshort.xyz" TargetMode="External"/><Relationship Id="rId31" Type="http://schemas.openxmlformats.org/officeDocument/2006/relationships/hyperlink" Target="http://great-choice-for-pbn-domains.co.uk" TargetMode="External"/><Relationship Id="rId30" Type="http://schemas.openxmlformats.org/officeDocument/2006/relationships/hyperlink" Target="http://acquire.co.in" TargetMode="External"/><Relationship Id="rId33" Type="http://schemas.openxmlformats.org/officeDocument/2006/relationships/hyperlink" Target="http://dcoutesnjacob.com" TargetMode="External"/><Relationship Id="rId32" Type="http://schemas.openxmlformats.org/officeDocument/2006/relationships/hyperlink" Target="http://suadienlanhhaiduong.com" TargetMode="External"/><Relationship Id="rId35" Type="http://schemas.openxmlformats.org/officeDocument/2006/relationships/hyperlink" Target="http://alljobs.info" TargetMode="External"/><Relationship Id="rId34" Type="http://schemas.openxmlformats.org/officeDocument/2006/relationships/hyperlink" Target="http://websiterace.com" TargetMode="External"/><Relationship Id="rId37" Type="http://schemas.openxmlformats.org/officeDocument/2006/relationships/hyperlink" Target="http://allinone.co.in" TargetMode="External"/><Relationship Id="rId36" Type="http://schemas.openxmlformats.org/officeDocument/2006/relationships/hyperlink" Target="http://gaister.com" TargetMode="External"/><Relationship Id="rId39" Type="http://schemas.openxmlformats.org/officeDocument/2006/relationships/hyperlink" Target="http://revan-me.com" TargetMode="External"/><Relationship Id="rId38" Type="http://schemas.openxmlformats.org/officeDocument/2006/relationships/hyperlink" Target="http://eleotinspanish.com" TargetMode="External"/><Relationship Id="rId20" Type="http://schemas.openxmlformats.org/officeDocument/2006/relationships/hyperlink" Target="http://resonancelabjo.com" TargetMode="External"/><Relationship Id="rId22" Type="http://schemas.openxmlformats.org/officeDocument/2006/relationships/hyperlink" Target="http://getwebsiteworth.com" TargetMode="External"/><Relationship Id="rId21" Type="http://schemas.openxmlformats.org/officeDocument/2006/relationships/hyperlink" Target="http://telkomnika.com" TargetMode="External"/><Relationship Id="rId24" Type="http://schemas.openxmlformats.org/officeDocument/2006/relationships/hyperlink" Target="http://agroinsursas.com" TargetMode="External"/><Relationship Id="rId23" Type="http://schemas.openxmlformats.org/officeDocument/2006/relationships/hyperlink" Target="http://hwnerds.com" TargetMode="External"/><Relationship Id="rId26" Type="http://schemas.openxmlformats.org/officeDocument/2006/relationships/hyperlink" Target="http://bigtrakisback.com" TargetMode="External"/><Relationship Id="rId25" Type="http://schemas.openxmlformats.org/officeDocument/2006/relationships/hyperlink" Target="http://puzzly.ai" TargetMode="External"/><Relationship Id="rId28" Type="http://schemas.openxmlformats.org/officeDocument/2006/relationships/hyperlink" Target="http://capetownthing.co.za" TargetMode="External"/><Relationship Id="rId27" Type="http://schemas.openxmlformats.org/officeDocument/2006/relationships/hyperlink" Target="http://emkan.me" TargetMode="External"/><Relationship Id="rId29" Type="http://schemas.openxmlformats.org/officeDocument/2006/relationships/hyperlink" Target="http://agmermer.pro" TargetMode="External"/><Relationship Id="rId51" Type="http://schemas.openxmlformats.org/officeDocument/2006/relationships/hyperlink" Target="http://wallpapers.pro" TargetMode="External"/><Relationship Id="rId50" Type="http://schemas.openxmlformats.org/officeDocument/2006/relationships/hyperlink" Target="http://productionfunctionusa.com" TargetMode="External"/><Relationship Id="rId53" Type="http://schemas.openxmlformats.org/officeDocument/2006/relationships/hyperlink" Target="http://trysavvy.co" TargetMode="External"/><Relationship Id="rId52" Type="http://schemas.openxmlformats.org/officeDocument/2006/relationships/hyperlink" Target="http://prothor-ing.com" TargetMode="External"/><Relationship Id="rId11" Type="http://schemas.openxmlformats.org/officeDocument/2006/relationships/hyperlink" Target="http://qhtycw.com" TargetMode="External"/><Relationship Id="rId55" Type="http://schemas.openxmlformats.org/officeDocument/2006/relationships/hyperlink" Target="http://jomtien-realty.com" TargetMode="External"/><Relationship Id="rId10" Type="http://schemas.openxmlformats.org/officeDocument/2006/relationships/hyperlink" Target="http://kgzxkf.com" TargetMode="External"/><Relationship Id="rId54" Type="http://schemas.openxmlformats.org/officeDocument/2006/relationships/hyperlink" Target="http://wonvision.com" TargetMode="External"/><Relationship Id="rId13" Type="http://schemas.openxmlformats.org/officeDocument/2006/relationships/hyperlink" Target="http://obmain.com" TargetMode="External"/><Relationship Id="rId57" Type="http://schemas.openxmlformats.org/officeDocument/2006/relationships/drawing" Target="../drawings/drawing2.xml"/><Relationship Id="rId12" Type="http://schemas.openxmlformats.org/officeDocument/2006/relationships/hyperlink" Target="http://ready.pro" TargetMode="External"/><Relationship Id="rId56" Type="http://schemas.openxmlformats.org/officeDocument/2006/relationships/hyperlink" Target="http://pdfbookee.com" TargetMode="External"/><Relationship Id="rId15" Type="http://schemas.openxmlformats.org/officeDocument/2006/relationships/hyperlink" Target="http://jobsapp.info" TargetMode="External"/><Relationship Id="rId14" Type="http://schemas.openxmlformats.org/officeDocument/2006/relationships/hyperlink" Target="http://sitescooponline.com" TargetMode="External"/><Relationship Id="rId17" Type="http://schemas.openxmlformats.org/officeDocument/2006/relationships/hyperlink" Target="http://klazify.com" TargetMode="External"/><Relationship Id="rId16" Type="http://schemas.openxmlformats.org/officeDocument/2006/relationships/hyperlink" Target="http://bmwyng.com" TargetMode="External"/><Relationship Id="rId19" Type="http://schemas.openxmlformats.org/officeDocument/2006/relationships/hyperlink" Target="http://kompromat100.info" TargetMode="External"/><Relationship Id="rId18" Type="http://schemas.openxmlformats.org/officeDocument/2006/relationships/hyperlink" Target="http://bitbuzz.or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datanyze.com" TargetMode="External"/><Relationship Id="rId2" Type="http://schemas.openxmlformats.org/officeDocument/2006/relationships/hyperlink" Target="http://pdfbookee.co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13"/>
    <col customWidth="1" min="2" max="2" width="12.25"/>
    <col customWidth="1" min="3" max="3" width="20.88"/>
    <col customWidth="1" min="4" max="4" width="23.13"/>
    <col customWidth="1" min="5" max="5" width="19.0"/>
    <col customWidth="1" min="6" max="6" width="11.88"/>
    <col customWidth="1" min="7" max="7" width="16.63"/>
    <col customWidth="1" min="8" max="8" width="15.75"/>
    <col customWidth="1" min="9" max="9" width="18.13"/>
    <col customWidth="1" min="10" max="10" width="16.25"/>
    <col customWidth="1" min="11" max="11" width="15.13"/>
  </cols>
  <sheetData>
    <row r="1" ht="15.75" customHeight="1">
      <c r="A1" s="3" t="s">
        <v>0</v>
      </c>
      <c r="B1" s="1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7" t="s">
        <v>11</v>
      </c>
      <c r="L1" s="11"/>
      <c r="M1" s="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15" t="s">
        <v>24</v>
      </c>
      <c r="B2" s="17" t="b">
        <v>0</v>
      </c>
      <c r="C2" s="18">
        <v>93.0</v>
      </c>
      <c r="D2" s="18">
        <v>193230.0</v>
      </c>
      <c r="E2" s="18">
        <v>9960.0</v>
      </c>
      <c r="F2" s="18">
        <v>3593412.0</v>
      </c>
      <c r="G2" s="20">
        <v>741789.0</v>
      </c>
      <c r="H2" s="20">
        <v>1.0</v>
      </c>
      <c r="I2" s="20">
        <v>0.0</v>
      </c>
      <c r="J2" s="23">
        <v>45935.9971875</v>
      </c>
      <c r="K2" s="18"/>
      <c r="L2" s="22"/>
      <c r="M2" s="22"/>
    </row>
    <row r="3" ht="15.75" customHeight="1">
      <c r="A3" s="15" t="s">
        <v>23</v>
      </c>
      <c r="B3" s="17" t="b">
        <v>0</v>
      </c>
      <c r="C3" s="18">
        <v>77.0</v>
      </c>
      <c r="D3" s="18">
        <v>10024.0</v>
      </c>
      <c r="E3" s="18">
        <v>501.0</v>
      </c>
      <c r="F3" s="18">
        <v>21143.0</v>
      </c>
      <c r="G3" s="20">
        <v>14707.0</v>
      </c>
      <c r="H3" s="20">
        <v>1.0</v>
      </c>
      <c r="I3" s="20">
        <v>0.0</v>
      </c>
      <c r="J3" s="23">
        <v>46226.39560185185</v>
      </c>
      <c r="K3" s="18"/>
      <c r="L3" s="22"/>
      <c r="M3" s="22"/>
    </row>
    <row r="4" ht="15.75" customHeight="1">
      <c r="A4" s="15" t="s">
        <v>30</v>
      </c>
      <c r="B4" s="17" t="b">
        <v>0</v>
      </c>
      <c r="C4" s="18">
        <v>76.0</v>
      </c>
      <c r="D4" s="18">
        <v>13594.0</v>
      </c>
      <c r="E4" s="18">
        <v>820541.0</v>
      </c>
      <c r="F4" s="18">
        <v>98474.0</v>
      </c>
      <c r="G4" s="20">
        <v>73166.0</v>
      </c>
      <c r="H4" s="20">
        <v>1.0</v>
      </c>
      <c r="I4" s="20">
        <v>1.0</v>
      </c>
      <c r="J4" s="23">
        <v>46191.93984953704</v>
      </c>
      <c r="K4" s="18"/>
      <c r="L4" s="22"/>
      <c r="M4" s="18"/>
    </row>
    <row r="5" ht="15.75" customHeight="1">
      <c r="A5" s="18" t="s">
        <v>32</v>
      </c>
      <c r="B5" s="17" t="b">
        <v>1</v>
      </c>
      <c r="C5" s="18">
        <v>74.0</v>
      </c>
      <c r="D5" s="18">
        <v>165.0</v>
      </c>
      <c r="E5" s="18">
        <v>998.0</v>
      </c>
      <c r="F5" s="18">
        <v>0.0</v>
      </c>
      <c r="G5" s="20">
        <v>0.0</v>
      </c>
      <c r="H5" s="20">
        <v>1.0</v>
      </c>
      <c r="I5" s="20">
        <v>0.0</v>
      </c>
      <c r="J5" s="23">
        <v>46136.745983796296</v>
      </c>
      <c r="K5" s="18"/>
      <c r="L5" s="22"/>
      <c r="M5" s="18"/>
    </row>
    <row r="6" ht="15.75" customHeight="1">
      <c r="A6" s="15" t="s">
        <v>34</v>
      </c>
      <c r="B6" s="17" t="b">
        <v>1</v>
      </c>
      <c r="C6" s="18">
        <v>74.0</v>
      </c>
      <c r="D6" s="18">
        <v>5194.0</v>
      </c>
      <c r="E6" s="18">
        <v>4.1279165E7</v>
      </c>
      <c r="F6" s="18">
        <v>0.0</v>
      </c>
      <c r="G6" s="20">
        <v>0.0</v>
      </c>
      <c r="H6" s="20">
        <v>1.0</v>
      </c>
      <c r="I6" s="20">
        <v>0.0</v>
      </c>
      <c r="J6" s="23">
        <v>46156.271319444444</v>
      </c>
      <c r="K6" s="18"/>
      <c r="L6" s="22"/>
      <c r="M6" s="18"/>
    </row>
    <row r="7" ht="15.75" customHeight="1">
      <c r="A7" s="18" t="s">
        <v>37</v>
      </c>
      <c r="B7" s="17" t="b">
        <v>1</v>
      </c>
      <c r="C7" s="18">
        <v>71.0</v>
      </c>
      <c r="D7" s="18">
        <v>423.0</v>
      </c>
      <c r="E7" s="18">
        <v>998.0</v>
      </c>
      <c r="F7" s="18">
        <v>0.0</v>
      </c>
      <c r="G7" s="20">
        <v>0.0</v>
      </c>
      <c r="H7" s="20">
        <v>1.0</v>
      </c>
      <c r="I7" s="20">
        <v>0.0</v>
      </c>
      <c r="J7" s="23">
        <v>46108.467997685184</v>
      </c>
      <c r="K7" s="18"/>
      <c r="L7" s="22"/>
      <c r="M7" s="18"/>
    </row>
    <row r="8" ht="15.75" customHeight="1">
      <c r="A8" s="18" t="s">
        <v>38</v>
      </c>
      <c r="B8" s="17" t="b">
        <v>1</v>
      </c>
      <c r="C8" s="18">
        <v>61.0</v>
      </c>
      <c r="D8" s="18">
        <v>553.0</v>
      </c>
      <c r="E8" s="18">
        <v>0.0</v>
      </c>
      <c r="F8" s="18">
        <v>0.0</v>
      </c>
      <c r="G8" s="20">
        <v>0.0</v>
      </c>
      <c r="H8" s="20">
        <v>1.0</v>
      </c>
      <c r="I8" s="20">
        <v>0.0</v>
      </c>
      <c r="J8" s="23">
        <v>45947.860972222225</v>
      </c>
      <c r="K8" s="18"/>
      <c r="L8" s="22"/>
      <c r="M8" s="18"/>
    </row>
    <row r="9" ht="15.75" customHeight="1">
      <c r="A9" s="18" t="s">
        <v>41</v>
      </c>
      <c r="B9" s="17" t="b">
        <v>1</v>
      </c>
      <c r="C9" s="18">
        <v>60.0</v>
      </c>
      <c r="D9" s="18">
        <v>145.0</v>
      </c>
      <c r="E9" s="18">
        <v>998.0</v>
      </c>
      <c r="F9" s="18">
        <v>0.0</v>
      </c>
      <c r="G9" s="18">
        <v>0.0</v>
      </c>
      <c r="H9" s="20">
        <v>1.0</v>
      </c>
      <c r="I9" s="20">
        <v>0.0</v>
      </c>
      <c r="J9" s="23">
        <v>46145.95621527778</v>
      </c>
      <c r="L9" s="22"/>
      <c r="M9" s="22"/>
    </row>
    <row r="10" ht="15.75" customHeight="1">
      <c r="A10" s="18" t="s">
        <v>43</v>
      </c>
      <c r="B10" s="17" t="b">
        <v>1</v>
      </c>
      <c r="C10" s="18">
        <v>54.0</v>
      </c>
      <c r="D10" s="18">
        <v>166.0</v>
      </c>
      <c r="E10" s="18">
        <v>998.0</v>
      </c>
      <c r="F10" s="18">
        <v>0.0</v>
      </c>
      <c r="G10" s="18">
        <v>0.0</v>
      </c>
      <c r="H10" s="20">
        <v>1.0</v>
      </c>
      <c r="I10" s="20">
        <v>0.0</v>
      </c>
      <c r="J10" s="23">
        <v>46149.883055555554</v>
      </c>
      <c r="L10" s="22"/>
      <c r="M10" s="18"/>
    </row>
    <row r="11" ht="15.75" customHeight="1">
      <c r="A11" s="18" t="s">
        <v>45</v>
      </c>
      <c r="B11" s="17" t="b">
        <v>1</v>
      </c>
      <c r="C11" s="18">
        <v>54.0</v>
      </c>
      <c r="D11" s="18">
        <v>119.0</v>
      </c>
      <c r="E11" s="18">
        <v>998.0</v>
      </c>
      <c r="F11" s="18">
        <v>0.0</v>
      </c>
      <c r="G11" s="18">
        <v>0.0</v>
      </c>
      <c r="H11" s="20">
        <v>1.0</v>
      </c>
      <c r="I11" s="20">
        <v>0.0</v>
      </c>
      <c r="J11" s="23">
        <v>46146.089166666665</v>
      </c>
      <c r="L11" s="22"/>
      <c r="M11" s="22"/>
    </row>
    <row r="12" ht="15.75" customHeight="1">
      <c r="A12" s="18" t="s">
        <v>47</v>
      </c>
      <c r="B12" s="17" t="b">
        <v>1</v>
      </c>
      <c r="C12" s="18">
        <v>54.0</v>
      </c>
      <c r="D12" s="18">
        <v>115.0</v>
      </c>
      <c r="E12" s="18">
        <v>2.0</v>
      </c>
      <c r="F12" s="18">
        <v>0.0</v>
      </c>
      <c r="G12" s="18">
        <v>0.0</v>
      </c>
      <c r="H12" s="20">
        <v>1.0</v>
      </c>
      <c r="I12" s="20">
        <v>0.0</v>
      </c>
      <c r="J12" s="23">
        <v>46148.83530092592</v>
      </c>
      <c r="L12" s="22"/>
      <c r="M12" s="18"/>
    </row>
    <row r="13" ht="15.75" customHeight="1">
      <c r="A13" s="18" t="s">
        <v>49</v>
      </c>
      <c r="B13" s="17" t="b">
        <v>1</v>
      </c>
      <c r="C13" s="18">
        <v>54.0</v>
      </c>
      <c r="D13" s="18">
        <v>107.0</v>
      </c>
      <c r="E13" s="18">
        <v>2.0</v>
      </c>
      <c r="F13" s="18">
        <v>0.0</v>
      </c>
      <c r="G13" s="18">
        <v>0.0</v>
      </c>
      <c r="H13" s="20">
        <v>1.0</v>
      </c>
      <c r="I13" s="20">
        <v>0.0</v>
      </c>
      <c r="J13" s="23">
        <v>46195.998715277776</v>
      </c>
      <c r="L13" s="22"/>
      <c r="M13" s="18"/>
    </row>
    <row r="14" ht="15.75" customHeight="1">
      <c r="A14" s="18" t="s">
        <v>51</v>
      </c>
      <c r="B14" s="17" t="b">
        <v>1</v>
      </c>
      <c r="C14" s="18">
        <v>54.0</v>
      </c>
      <c r="D14" s="18">
        <v>136.0</v>
      </c>
      <c r="E14" s="18">
        <v>998.0</v>
      </c>
      <c r="F14" s="18">
        <v>0.0</v>
      </c>
      <c r="G14" s="18">
        <v>0.0</v>
      </c>
      <c r="H14" s="20">
        <v>1.0</v>
      </c>
      <c r="I14" s="20">
        <v>0.0</v>
      </c>
      <c r="J14" s="23">
        <v>46152.204305555555</v>
      </c>
      <c r="L14" s="22"/>
      <c r="M14" s="18"/>
    </row>
    <row r="15" ht="15.75" customHeight="1">
      <c r="A15" s="18" t="s">
        <v>52</v>
      </c>
      <c r="B15" s="17" t="b">
        <v>1</v>
      </c>
      <c r="C15" s="18">
        <v>53.0</v>
      </c>
      <c r="D15" s="18">
        <v>246.0</v>
      </c>
      <c r="E15" s="18">
        <v>998.0</v>
      </c>
      <c r="F15" s="18">
        <v>0.0</v>
      </c>
      <c r="G15" s="18">
        <v>0.0</v>
      </c>
      <c r="H15" s="20">
        <v>1.0</v>
      </c>
      <c r="I15" s="20">
        <v>0.0</v>
      </c>
      <c r="J15" s="23">
        <v>46149.681122685186</v>
      </c>
      <c r="L15" s="22"/>
      <c r="M15" s="18"/>
    </row>
    <row r="16" ht="15.75" customHeight="1">
      <c r="A16" s="18" t="s">
        <v>54</v>
      </c>
      <c r="B16" s="17" t="b">
        <v>1</v>
      </c>
      <c r="C16" s="18">
        <v>53.0</v>
      </c>
      <c r="D16" s="18">
        <v>153.0</v>
      </c>
      <c r="E16" s="18">
        <v>999.0</v>
      </c>
      <c r="F16" s="18">
        <v>0.0</v>
      </c>
      <c r="G16" s="18">
        <v>0.0</v>
      </c>
      <c r="H16" s="20">
        <v>1.0</v>
      </c>
      <c r="I16" s="20">
        <v>0.0</v>
      </c>
      <c r="J16" s="23">
        <v>46152.73978009259</v>
      </c>
      <c r="L16" s="22"/>
      <c r="M16" s="18"/>
    </row>
    <row r="17" ht="15.75" customHeight="1">
      <c r="A17" s="18" t="s">
        <v>56</v>
      </c>
      <c r="B17" s="17" t="b">
        <v>1</v>
      </c>
      <c r="C17" s="18">
        <v>53.0</v>
      </c>
      <c r="D17" s="18">
        <v>213.0</v>
      </c>
      <c r="E17" s="18">
        <v>998.0</v>
      </c>
      <c r="F17" s="18">
        <v>0.0</v>
      </c>
      <c r="G17" s="18">
        <v>0.0</v>
      </c>
      <c r="H17" s="20">
        <v>1.0</v>
      </c>
      <c r="I17" s="20">
        <v>0.0</v>
      </c>
      <c r="J17" s="23">
        <v>46151.28065972222</v>
      </c>
      <c r="L17" s="22"/>
      <c r="M17" s="18"/>
    </row>
    <row r="18" ht="15.75" customHeight="1">
      <c r="A18" s="18" t="s">
        <v>57</v>
      </c>
      <c r="B18" s="17" t="b">
        <v>1</v>
      </c>
      <c r="C18" s="18">
        <v>53.0</v>
      </c>
      <c r="D18" s="18">
        <v>143.0</v>
      </c>
      <c r="E18" s="18">
        <v>998.0</v>
      </c>
      <c r="F18" s="18">
        <v>0.0</v>
      </c>
      <c r="G18" s="18">
        <v>0.0</v>
      </c>
      <c r="H18" s="20">
        <v>1.0</v>
      </c>
      <c r="I18" s="20">
        <v>0.0</v>
      </c>
      <c r="J18" s="23">
        <v>46158.63483796296</v>
      </c>
      <c r="L18" s="22"/>
      <c r="M18" s="18"/>
    </row>
    <row r="19" ht="15.75" customHeight="1">
      <c r="A19" s="18" t="s">
        <v>59</v>
      </c>
      <c r="B19" s="17" t="b">
        <v>1</v>
      </c>
      <c r="C19" s="18">
        <v>53.0</v>
      </c>
      <c r="D19" s="18">
        <v>138.0</v>
      </c>
      <c r="E19" s="18">
        <v>998.0</v>
      </c>
      <c r="F19" s="18">
        <v>0.0</v>
      </c>
      <c r="G19" s="18">
        <v>0.0</v>
      </c>
      <c r="H19" s="20">
        <v>1.0</v>
      </c>
      <c r="I19" s="20">
        <v>0.0</v>
      </c>
      <c r="J19" s="23">
        <v>46153.72971064815</v>
      </c>
      <c r="L19" s="22"/>
      <c r="M19" s="22"/>
    </row>
    <row r="20" ht="15.75" customHeight="1">
      <c r="A20" s="18" t="s">
        <v>60</v>
      </c>
      <c r="B20" s="17" t="b">
        <v>1</v>
      </c>
      <c r="C20" s="18">
        <v>53.0</v>
      </c>
      <c r="D20" s="18">
        <v>137.0</v>
      </c>
      <c r="E20" s="18">
        <v>998.0</v>
      </c>
      <c r="F20" s="18">
        <v>0.0</v>
      </c>
      <c r="G20" s="18">
        <v>0.0</v>
      </c>
      <c r="H20" s="20">
        <v>1.0</v>
      </c>
      <c r="I20" s="20">
        <v>0.0</v>
      </c>
      <c r="J20" s="23">
        <v>46153.01561342592</v>
      </c>
      <c r="L20" s="22"/>
      <c r="M20" s="18"/>
    </row>
    <row r="21" ht="15.75" customHeight="1">
      <c r="A21" s="18" t="s">
        <v>62</v>
      </c>
      <c r="B21" s="17" t="b">
        <v>1</v>
      </c>
      <c r="C21" s="18">
        <v>53.0</v>
      </c>
      <c r="D21" s="18">
        <v>134.0</v>
      </c>
      <c r="E21" s="18">
        <v>998.0</v>
      </c>
      <c r="F21" s="18">
        <v>0.0</v>
      </c>
      <c r="G21" s="18">
        <v>0.0</v>
      </c>
      <c r="H21" s="20">
        <v>1.0</v>
      </c>
      <c r="I21" s="20">
        <v>0.0</v>
      </c>
      <c r="J21" s="23">
        <v>46153.7421412037</v>
      </c>
      <c r="L21" s="22"/>
      <c r="M21" s="22"/>
    </row>
    <row r="22" ht="15.75" customHeight="1">
      <c r="A22" s="18" t="s">
        <v>64</v>
      </c>
      <c r="B22" s="17" t="b">
        <v>1</v>
      </c>
      <c r="C22" s="18">
        <v>47.0</v>
      </c>
      <c r="D22" s="18">
        <v>78.0</v>
      </c>
      <c r="E22" s="18">
        <v>0.0</v>
      </c>
      <c r="F22" s="18">
        <v>0.0</v>
      </c>
      <c r="G22" s="18">
        <v>0.0</v>
      </c>
      <c r="H22" s="20">
        <v>1.0</v>
      </c>
      <c r="I22" s="20">
        <v>0.0</v>
      </c>
      <c r="J22" s="23">
        <v>46219.233715277776</v>
      </c>
      <c r="L22" s="22"/>
      <c r="M22" s="18"/>
    </row>
    <row r="23" ht="15.75" customHeight="1">
      <c r="A23" s="18" t="s">
        <v>65</v>
      </c>
      <c r="B23" s="17" t="b">
        <v>0</v>
      </c>
      <c r="C23" s="18">
        <v>45.0</v>
      </c>
      <c r="D23" s="18">
        <v>192.0</v>
      </c>
      <c r="E23" s="18">
        <v>18.0</v>
      </c>
      <c r="F23" s="18">
        <v>0.0</v>
      </c>
      <c r="G23" s="18">
        <v>0.0</v>
      </c>
      <c r="H23" s="20">
        <v>1.0</v>
      </c>
      <c r="I23" s="20">
        <v>0.0</v>
      </c>
      <c r="J23" s="23">
        <v>46075.16900462963</v>
      </c>
      <c r="L23" s="22"/>
      <c r="M23" s="18"/>
    </row>
    <row r="24" ht="15.75" customHeight="1">
      <c r="A24" s="15" t="s">
        <v>67</v>
      </c>
      <c r="B24" s="17" t="b">
        <v>0</v>
      </c>
      <c r="C24" s="18">
        <v>44.0</v>
      </c>
      <c r="D24" s="18">
        <v>182.0</v>
      </c>
      <c r="E24" s="18">
        <v>18.0</v>
      </c>
      <c r="F24" s="18">
        <v>0.0</v>
      </c>
      <c r="G24" s="18">
        <v>0.0</v>
      </c>
      <c r="H24" s="20">
        <v>1.0</v>
      </c>
      <c r="I24" s="20">
        <v>0.0</v>
      </c>
      <c r="J24" s="23">
        <v>46111.04309027778</v>
      </c>
      <c r="L24" s="22"/>
      <c r="M24" s="18"/>
    </row>
    <row r="25" ht="15.75" customHeight="1">
      <c r="A25" s="18" t="s">
        <v>69</v>
      </c>
      <c r="B25" s="17" t="b">
        <v>0</v>
      </c>
      <c r="C25" s="18">
        <v>43.0</v>
      </c>
      <c r="D25" s="18">
        <v>547.0</v>
      </c>
      <c r="E25" s="18">
        <v>18.0</v>
      </c>
      <c r="F25" s="18">
        <v>0.0</v>
      </c>
      <c r="G25" s="18">
        <v>0.0</v>
      </c>
      <c r="H25" s="20">
        <v>2.0</v>
      </c>
      <c r="I25" s="20">
        <v>0.0</v>
      </c>
      <c r="J25" s="23">
        <v>46018.702523148146</v>
      </c>
      <c r="L25" s="22"/>
      <c r="M25" s="18"/>
    </row>
    <row r="26" ht="15.75" customHeight="1">
      <c r="A26" s="18" t="s">
        <v>71</v>
      </c>
      <c r="B26" s="17" t="b">
        <v>0</v>
      </c>
      <c r="C26" s="18">
        <v>42.0</v>
      </c>
      <c r="D26" s="18">
        <v>123.0</v>
      </c>
      <c r="E26" s="18">
        <v>18.0</v>
      </c>
      <c r="F26" s="18">
        <v>0.0</v>
      </c>
      <c r="G26" s="18">
        <v>0.0</v>
      </c>
      <c r="H26" s="20">
        <v>1.0</v>
      </c>
      <c r="I26" s="20">
        <v>0.0</v>
      </c>
      <c r="J26" s="23">
        <v>46066.13892361111</v>
      </c>
      <c r="L26" s="22"/>
      <c r="M26" s="22"/>
    </row>
    <row r="27" ht="15.75" customHeight="1">
      <c r="A27" s="18" t="s">
        <v>73</v>
      </c>
      <c r="B27" s="17" t="b">
        <v>1</v>
      </c>
      <c r="C27" s="18">
        <v>41.0</v>
      </c>
      <c r="D27" s="18">
        <v>166.0</v>
      </c>
      <c r="E27" s="18">
        <v>18.0</v>
      </c>
      <c r="F27" s="18">
        <v>0.0</v>
      </c>
      <c r="G27" s="18">
        <v>0.0</v>
      </c>
      <c r="H27" s="20">
        <v>1.0</v>
      </c>
      <c r="I27" s="20">
        <v>0.0</v>
      </c>
      <c r="J27" s="23">
        <v>46132.77358796296</v>
      </c>
      <c r="L27" s="22"/>
      <c r="M27" s="18"/>
    </row>
    <row r="28" ht="15.75" customHeight="1">
      <c r="A28" s="18" t="s">
        <v>74</v>
      </c>
      <c r="B28" s="17" t="b">
        <v>0</v>
      </c>
      <c r="C28" s="18">
        <v>41.0</v>
      </c>
      <c r="D28" s="18">
        <v>239.0</v>
      </c>
      <c r="E28" s="18">
        <v>18.0</v>
      </c>
      <c r="F28" s="18">
        <v>0.0</v>
      </c>
      <c r="G28" s="18">
        <v>0.0</v>
      </c>
      <c r="H28" s="20">
        <v>2.0</v>
      </c>
      <c r="I28" s="20">
        <v>0.0</v>
      </c>
      <c r="J28" s="23">
        <v>46058.9746875</v>
      </c>
      <c r="L28" s="22"/>
      <c r="M28" s="22"/>
    </row>
    <row r="29" ht="15.75" customHeight="1">
      <c r="A29" s="15" t="s">
        <v>76</v>
      </c>
      <c r="B29" s="17" t="b">
        <v>1</v>
      </c>
      <c r="C29" s="18">
        <v>35.0</v>
      </c>
      <c r="D29" s="18">
        <v>155.0</v>
      </c>
      <c r="E29" s="18">
        <v>18.0</v>
      </c>
      <c r="F29" s="18">
        <v>0.0</v>
      </c>
      <c r="G29" s="18">
        <v>0.0</v>
      </c>
      <c r="H29" s="20">
        <v>2.0</v>
      </c>
      <c r="I29" s="20">
        <v>0.0</v>
      </c>
      <c r="J29" s="23">
        <v>46102.85502314815</v>
      </c>
      <c r="L29" s="22"/>
      <c r="M29" s="22"/>
    </row>
    <row r="30" ht="15.75" customHeight="1">
      <c r="A30" s="18" t="s">
        <v>78</v>
      </c>
      <c r="B30" s="17" t="b">
        <v>1</v>
      </c>
      <c r="C30" s="18">
        <v>30.0</v>
      </c>
      <c r="D30" s="18">
        <v>441.0</v>
      </c>
      <c r="E30" s="18">
        <v>0.0</v>
      </c>
      <c r="F30" s="18">
        <v>0.0</v>
      </c>
      <c r="G30" s="18">
        <v>0.0</v>
      </c>
      <c r="H30" s="20">
        <v>1.0</v>
      </c>
      <c r="I30" s="20">
        <v>0.0</v>
      </c>
      <c r="J30" s="23">
        <v>46012.55143518518</v>
      </c>
      <c r="L30" s="22"/>
      <c r="M30" s="18"/>
    </row>
    <row r="31" ht="15.75" customHeight="1">
      <c r="A31" s="15" t="s">
        <v>80</v>
      </c>
      <c r="B31" s="17" t="b">
        <v>0</v>
      </c>
      <c r="C31" s="18">
        <v>29.0</v>
      </c>
      <c r="D31" s="18">
        <v>2543.0</v>
      </c>
      <c r="E31" s="18">
        <v>4373393.0</v>
      </c>
      <c r="F31" s="18">
        <v>7401.0</v>
      </c>
      <c r="G31" s="18">
        <v>838.0</v>
      </c>
      <c r="H31" s="20">
        <v>1.0</v>
      </c>
      <c r="I31" s="20">
        <v>1.0</v>
      </c>
      <c r="J31" s="23">
        <v>46196.23112268518</v>
      </c>
      <c r="L31" s="22"/>
      <c r="M31" s="18"/>
    </row>
    <row r="32" ht="15.75" customHeight="1">
      <c r="A32" s="18" t="s">
        <v>82</v>
      </c>
      <c r="B32" s="17" t="b">
        <v>1</v>
      </c>
      <c r="C32" s="18">
        <v>29.0</v>
      </c>
      <c r="D32" s="18">
        <v>591.0</v>
      </c>
      <c r="E32" s="18">
        <v>0.0</v>
      </c>
      <c r="F32" s="18">
        <v>0.0</v>
      </c>
      <c r="G32" s="18">
        <v>0.0</v>
      </c>
      <c r="H32" s="20">
        <v>1.0</v>
      </c>
      <c r="I32" s="20">
        <v>0.0</v>
      </c>
      <c r="J32" s="23">
        <v>46154.71512731481</v>
      </c>
      <c r="L32" s="22"/>
      <c r="M32" s="18"/>
    </row>
    <row r="33" ht="15.75" customHeight="1">
      <c r="A33" s="15" t="s">
        <v>83</v>
      </c>
      <c r="B33" s="17" t="b">
        <v>1</v>
      </c>
      <c r="C33" s="18">
        <v>28.0</v>
      </c>
      <c r="D33" s="18">
        <v>2153.0</v>
      </c>
      <c r="E33" s="18">
        <v>64554.0</v>
      </c>
      <c r="F33" s="18">
        <v>0.0</v>
      </c>
      <c r="G33" s="18">
        <v>0.0</v>
      </c>
      <c r="H33" s="20">
        <v>2.0</v>
      </c>
      <c r="I33" s="20">
        <v>0.0</v>
      </c>
      <c r="J33" s="23">
        <v>46158.39027777778</v>
      </c>
      <c r="L33" s="22"/>
      <c r="M33" s="18"/>
    </row>
    <row r="34" ht="15.75" customHeight="1">
      <c r="A34" s="15" t="s">
        <v>87</v>
      </c>
      <c r="B34" s="17" t="b">
        <v>1</v>
      </c>
      <c r="C34" s="18">
        <v>20.0</v>
      </c>
      <c r="D34" s="18">
        <v>2039.0</v>
      </c>
      <c r="E34" s="18">
        <v>28362.0</v>
      </c>
      <c r="F34" s="18">
        <v>0.0</v>
      </c>
      <c r="G34" s="18">
        <v>0.0</v>
      </c>
      <c r="H34" s="20">
        <v>1.0</v>
      </c>
      <c r="I34" s="20">
        <v>0.0</v>
      </c>
      <c r="J34" s="23">
        <v>46160.12596064815</v>
      </c>
      <c r="L34" s="22"/>
      <c r="M34" s="18"/>
    </row>
    <row r="35" ht="15.75" customHeight="1">
      <c r="A35" s="15" t="s">
        <v>89</v>
      </c>
      <c r="B35" s="17" t="b">
        <v>1</v>
      </c>
      <c r="C35" s="18">
        <v>18.0</v>
      </c>
      <c r="D35" s="18">
        <v>365.0</v>
      </c>
      <c r="E35" s="18">
        <v>3.95713575E8</v>
      </c>
      <c r="F35" s="18">
        <v>0.0</v>
      </c>
      <c r="G35" s="18">
        <v>0.0</v>
      </c>
      <c r="H35" s="20">
        <v>2.0</v>
      </c>
      <c r="I35" s="20">
        <v>2.0</v>
      </c>
      <c r="J35" s="23">
        <v>46034.34081018518</v>
      </c>
      <c r="L35" s="22"/>
      <c r="M35" s="18"/>
    </row>
    <row r="36" ht="15.75" customHeight="1">
      <c r="A36" s="15" t="s">
        <v>91</v>
      </c>
      <c r="B36" s="17" t="b">
        <v>1</v>
      </c>
      <c r="C36" s="18">
        <v>16.0</v>
      </c>
      <c r="D36" s="18">
        <v>918.0</v>
      </c>
      <c r="E36" s="18">
        <v>48863.0</v>
      </c>
      <c r="F36" s="18">
        <v>0.0</v>
      </c>
      <c r="G36" s="18">
        <v>0.0</v>
      </c>
      <c r="H36" s="20">
        <v>1.0</v>
      </c>
      <c r="I36" s="20">
        <v>0.0</v>
      </c>
      <c r="J36" s="23">
        <v>46173.410219907404</v>
      </c>
      <c r="L36" s="22"/>
      <c r="M36" s="18"/>
    </row>
    <row r="37" ht="15.75" customHeight="1">
      <c r="A37" s="18" t="s">
        <v>95</v>
      </c>
      <c r="B37" s="17" t="b">
        <v>1</v>
      </c>
      <c r="C37" s="18">
        <v>15.0</v>
      </c>
      <c r="D37" s="18">
        <v>647.0</v>
      </c>
      <c r="E37" s="18">
        <v>38902.0</v>
      </c>
      <c r="F37" s="18">
        <v>6.0</v>
      </c>
      <c r="G37" s="18">
        <v>1.0</v>
      </c>
      <c r="H37" s="20">
        <v>3.0</v>
      </c>
      <c r="I37" s="20">
        <v>0.0</v>
      </c>
      <c r="J37" s="23">
        <v>46134.514131944445</v>
      </c>
      <c r="L37" s="22"/>
      <c r="M37" s="18"/>
    </row>
    <row r="38" ht="15.75" customHeight="1">
      <c r="A38" s="15" t="s">
        <v>97</v>
      </c>
      <c r="B38" s="17" t="b">
        <v>1</v>
      </c>
      <c r="C38" s="18">
        <v>14.0</v>
      </c>
      <c r="D38" s="18">
        <v>743.0</v>
      </c>
      <c r="E38" s="18">
        <v>38948.0</v>
      </c>
      <c r="F38" s="18">
        <v>0.0</v>
      </c>
      <c r="G38" s="18">
        <v>0.0</v>
      </c>
      <c r="H38" s="20">
        <v>1.0</v>
      </c>
      <c r="I38" s="20">
        <v>0.0</v>
      </c>
      <c r="J38" s="23">
        <v>46197.300162037034</v>
      </c>
      <c r="L38" s="22"/>
      <c r="M38" s="18"/>
    </row>
    <row r="39" ht="15.75" customHeight="1">
      <c r="A39" s="18" t="s">
        <v>100</v>
      </c>
      <c r="B39" s="17" t="b">
        <v>1</v>
      </c>
      <c r="C39" s="18">
        <v>13.0</v>
      </c>
      <c r="D39" s="18">
        <v>605.0</v>
      </c>
      <c r="E39" s="18">
        <v>0.0</v>
      </c>
      <c r="F39" s="18">
        <v>0.0</v>
      </c>
      <c r="G39" s="18">
        <v>0.0</v>
      </c>
      <c r="H39" s="20">
        <v>1.0</v>
      </c>
      <c r="I39" s="20">
        <v>0.0</v>
      </c>
      <c r="J39" s="23">
        <v>45928.487905092596</v>
      </c>
      <c r="L39" s="22"/>
      <c r="M39" s="22"/>
    </row>
    <row r="40" ht="15.75" customHeight="1">
      <c r="A40" s="15" t="s">
        <v>102</v>
      </c>
      <c r="B40" s="17" t="b">
        <v>0</v>
      </c>
      <c r="C40" s="18">
        <v>12.0</v>
      </c>
      <c r="D40" s="18">
        <v>13.0</v>
      </c>
      <c r="E40" s="18">
        <v>371319.0</v>
      </c>
      <c r="F40" s="18">
        <v>16.0</v>
      </c>
      <c r="G40" s="18">
        <v>1.0</v>
      </c>
      <c r="H40" s="20">
        <v>1.0</v>
      </c>
      <c r="I40" s="20">
        <v>1.0</v>
      </c>
      <c r="J40" s="23">
        <v>46157.185949074075</v>
      </c>
      <c r="L40" s="22"/>
      <c r="M40" s="18"/>
    </row>
    <row r="41" ht="15.75" customHeight="1">
      <c r="A41" s="15" t="s">
        <v>104</v>
      </c>
      <c r="B41" s="17" t="b">
        <v>0</v>
      </c>
      <c r="C41" s="18">
        <v>11.0</v>
      </c>
      <c r="D41" s="18">
        <v>454.0</v>
      </c>
      <c r="E41" s="18">
        <v>21890.0</v>
      </c>
      <c r="F41" s="18">
        <v>0.0</v>
      </c>
      <c r="G41" s="18">
        <v>0.0</v>
      </c>
      <c r="H41" s="20">
        <v>1.0</v>
      </c>
      <c r="I41" s="20">
        <v>0.0</v>
      </c>
      <c r="J41" s="23">
        <v>46131.652650462966</v>
      </c>
      <c r="L41" s="22"/>
      <c r="M41" s="22"/>
    </row>
    <row r="42" ht="15.75" customHeight="1">
      <c r="A42" s="15" t="s">
        <v>108</v>
      </c>
      <c r="B42" s="17" t="b">
        <v>1</v>
      </c>
      <c r="C42" s="18">
        <v>11.0</v>
      </c>
      <c r="D42" s="18">
        <v>69.0</v>
      </c>
      <c r="E42" s="18">
        <v>1.0</v>
      </c>
      <c r="F42" s="18">
        <v>0.0</v>
      </c>
      <c r="G42" s="18">
        <v>0.0</v>
      </c>
      <c r="H42" s="20">
        <v>1.0</v>
      </c>
      <c r="I42" s="20">
        <v>0.0</v>
      </c>
      <c r="J42" s="23">
        <v>46164.845625</v>
      </c>
      <c r="L42" s="22"/>
      <c r="M42" s="18"/>
    </row>
    <row r="43" ht="15.75" customHeight="1">
      <c r="A43" s="15" t="s">
        <v>110</v>
      </c>
      <c r="B43" s="17" t="b">
        <v>1</v>
      </c>
      <c r="C43" s="18">
        <v>10.0</v>
      </c>
      <c r="D43" s="18">
        <v>108.0</v>
      </c>
      <c r="E43" s="18">
        <v>4.00635173E8</v>
      </c>
      <c r="F43" s="18">
        <v>0.0</v>
      </c>
      <c r="G43" s="18">
        <v>0.0</v>
      </c>
      <c r="H43" s="20">
        <v>2.0</v>
      </c>
      <c r="I43" s="20">
        <v>2.0</v>
      </c>
      <c r="J43" s="23">
        <v>46177.87238425926</v>
      </c>
      <c r="L43" s="22"/>
      <c r="M43" s="18"/>
    </row>
    <row r="44" ht="15.75" customHeight="1">
      <c r="A44" s="15" t="s">
        <v>112</v>
      </c>
      <c r="B44" s="17" t="b">
        <v>1</v>
      </c>
      <c r="C44" s="18">
        <v>9.0</v>
      </c>
      <c r="D44" s="18">
        <v>188.0</v>
      </c>
      <c r="E44" s="18">
        <v>4.02344828E8</v>
      </c>
      <c r="F44" s="18">
        <v>0.0</v>
      </c>
      <c r="G44" s="18">
        <v>0.0</v>
      </c>
      <c r="H44" s="20">
        <v>2.0</v>
      </c>
      <c r="I44" s="20">
        <v>2.0</v>
      </c>
      <c r="J44" s="23">
        <v>46153.96396990741</v>
      </c>
      <c r="L44" s="22"/>
      <c r="M44" s="18"/>
    </row>
    <row r="45" ht="15.75" customHeight="1">
      <c r="A45" s="15" t="s">
        <v>114</v>
      </c>
      <c r="B45" s="17" t="b">
        <v>1</v>
      </c>
      <c r="C45" s="18">
        <v>8.0</v>
      </c>
      <c r="D45" s="18">
        <v>52.0</v>
      </c>
      <c r="E45" s="18">
        <v>2.0</v>
      </c>
      <c r="F45" s="18">
        <v>0.0</v>
      </c>
      <c r="G45" s="18">
        <v>0.0</v>
      </c>
      <c r="H45" s="20">
        <v>1.0</v>
      </c>
      <c r="I45" s="20">
        <v>0.0</v>
      </c>
      <c r="J45" s="23">
        <v>46170.28146990741</v>
      </c>
      <c r="L45" s="22"/>
      <c r="M45" s="22"/>
    </row>
    <row r="46" ht="15.75" customHeight="1">
      <c r="A46" s="15" t="s">
        <v>117</v>
      </c>
      <c r="B46" s="17" t="b">
        <v>0</v>
      </c>
      <c r="C46" s="18">
        <v>8.0</v>
      </c>
      <c r="D46" s="18">
        <v>456.0</v>
      </c>
      <c r="E46" s="18">
        <v>16638.0</v>
      </c>
      <c r="F46" s="18">
        <v>0.0</v>
      </c>
      <c r="G46" s="18">
        <v>0.0</v>
      </c>
      <c r="H46" s="20">
        <v>1.0</v>
      </c>
      <c r="I46" s="20">
        <v>0.0</v>
      </c>
      <c r="J46" s="23">
        <v>46139.11170138889</v>
      </c>
      <c r="L46" s="22"/>
      <c r="M46" s="18"/>
    </row>
    <row r="47" ht="15.75" customHeight="1">
      <c r="A47" s="15" t="s">
        <v>120</v>
      </c>
      <c r="B47" s="17" t="b">
        <v>1</v>
      </c>
      <c r="C47" s="18">
        <v>8.0</v>
      </c>
      <c r="D47" s="18">
        <v>274.0</v>
      </c>
      <c r="E47" s="18">
        <v>22266.0</v>
      </c>
      <c r="F47" s="18">
        <v>0.0</v>
      </c>
      <c r="G47" s="18">
        <v>0.0</v>
      </c>
      <c r="H47" s="20">
        <v>1.0</v>
      </c>
      <c r="I47" s="20">
        <v>0.0</v>
      </c>
      <c r="J47" s="23">
        <v>46154.76820601852</v>
      </c>
      <c r="L47" s="22"/>
      <c r="M47" s="18"/>
    </row>
    <row r="48" ht="15.75" customHeight="1">
      <c r="A48" s="15" t="s">
        <v>123</v>
      </c>
      <c r="B48" s="17" t="b">
        <v>1</v>
      </c>
      <c r="C48" s="18">
        <v>7.0</v>
      </c>
      <c r="D48" s="18">
        <v>67.0</v>
      </c>
      <c r="E48" s="18">
        <v>4.02361974E8</v>
      </c>
      <c r="F48" s="18">
        <v>0.0</v>
      </c>
      <c r="G48" s="18">
        <v>0.0</v>
      </c>
      <c r="H48" s="20">
        <v>2.0</v>
      </c>
      <c r="I48" s="20">
        <v>2.0</v>
      </c>
      <c r="J48" s="23">
        <v>46151.916608796295</v>
      </c>
      <c r="L48" s="22"/>
      <c r="M48" s="22"/>
    </row>
    <row r="49" ht="15.75" customHeight="1">
      <c r="A49" s="15" t="s">
        <v>127</v>
      </c>
      <c r="B49" s="17" t="b">
        <v>0</v>
      </c>
      <c r="C49" s="18">
        <v>7.0</v>
      </c>
      <c r="D49" s="18">
        <v>79.0</v>
      </c>
      <c r="E49" s="18">
        <v>2.0</v>
      </c>
      <c r="F49" s="18">
        <v>1.0</v>
      </c>
      <c r="G49" s="18">
        <v>13.0</v>
      </c>
      <c r="H49" s="20">
        <v>1.0</v>
      </c>
      <c r="I49" s="20">
        <v>0.0</v>
      </c>
      <c r="J49" s="23">
        <v>46164.25313657407</v>
      </c>
      <c r="L49" s="22"/>
      <c r="M49" s="18"/>
    </row>
    <row r="50" ht="15.75" customHeight="1">
      <c r="A50" s="15" t="s">
        <v>130</v>
      </c>
      <c r="B50" s="17" t="b">
        <v>1</v>
      </c>
      <c r="C50" s="18">
        <v>6.0</v>
      </c>
      <c r="D50" s="18">
        <v>663.0</v>
      </c>
      <c r="E50" s="18">
        <v>49017.0</v>
      </c>
      <c r="F50" s="18">
        <v>2.0</v>
      </c>
      <c r="G50" s="18">
        <v>2.0</v>
      </c>
      <c r="H50" s="20">
        <v>1.0</v>
      </c>
      <c r="I50" s="20">
        <v>0.0</v>
      </c>
      <c r="J50" s="23">
        <v>46157.17711805556</v>
      </c>
      <c r="L50" s="22"/>
      <c r="M50" s="22"/>
    </row>
    <row r="51" ht="15.75" customHeight="1">
      <c r="A51" s="15" t="s">
        <v>134</v>
      </c>
      <c r="B51" s="17" t="b">
        <v>0</v>
      </c>
      <c r="C51" s="18">
        <v>6.0</v>
      </c>
      <c r="D51" s="18">
        <v>75.0</v>
      </c>
      <c r="E51" s="18">
        <v>2.0</v>
      </c>
      <c r="F51" s="18">
        <v>16.0</v>
      </c>
      <c r="G51" s="18">
        <v>3.0</v>
      </c>
      <c r="H51" s="20">
        <v>1.0</v>
      </c>
      <c r="I51" s="20">
        <v>0.0</v>
      </c>
      <c r="J51" s="23">
        <v>46169.02310185185</v>
      </c>
      <c r="L51" s="22"/>
      <c r="M51" s="22"/>
    </row>
    <row r="52" ht="15.75" customHeight="1">
      <c r="A52" s="15" t="s">
        <v>137</v>
      </c>
      <c r="B52" s="17" t="b">
        <v>1</v>
      </c>
      <c r="C52" s="18">
        <v>6.0</v>
      </c>
      <c r="D52" s="18">
        <v>50.0</v>
      </c>
      <c r="E52" s="18">
        <v>3.85504611E8</v>
      </c>
      <c r="F52" s="18">
        <v>0.0</v>
      </c>
      <c r="G52" s="18">
        <v>0.0</v>
      </c>
      <c r="H52" s="20">
        <v>1.0</v>
      </c>
      <c r="I52" s="20">
        <v>1.0</v>
      </c>
      <c r="J52" s="23">
        <v>46189.054444444446</v>
      </c>
      <c r="L52" s="22"/>
      <c r="M52" s="22"/>
    </row>
    <row r="53" ht="15.75" customHeight="1">
      <c r="A53" s="15" t="s">
        <v>139</v>
      </c>
      <c r="B53" s="17" t="b">
        <v>1</v>
      </c>
      <c r="C53" s="18">
        <v>4.3</v>
      </c>
      <c r="D53" s="18">
        <v>83.0</v>
      </c>
      <c r="E53" s="18">
        <v>3.99951731E8</v>
      </c>
      <c r="F53" s="18">
        <v>0.0</v>
      </c>
      <c r="G53" s="18">
        <v>0.0</v>
      </c>
      <c r="H53" s="20">
        <v>2.0</v>
      </c>
      <c r="I53" s="20">
        <v>2.0</v>
      </c>
      <c r="J53" s="23">
        <v>46068.123923611114</v>
      </c>
      <c r="L53" s="22"/>
      <c r="M53" s="22"/>
    </row>
    <row r="54" ht="15.75" customHeight="1">
      <c r="A54" s="15" t="s">
        <v>142</v>
      </c>
      <c r="B54" s="17" t="b">
        <v>1</v>
      </c>
      <c r="C54" s="18">
        <v>4.1</v>
      </c>
      <c r="D54" s="18">
        <v>125.0</v>
      </c>
      <c r="E54" s="18">
        <v>3.99766817E8</v>
      </c>
      <c r="F54" s="18">
        <v>0.0</v>
      </c>
      <c r="G54" s="18">
        <v>0.0</v>
      </c>
      <c r="H54" s="20">
        <v>1.0</v>
      </c>
      <c r="I54" s="20">
        <v>1.0</v>
      </c>
      <c r="J54" s="23">
        <v>46155.79767361111</v>
      </c>
      <c r="L54" s="22"/>
      <c r="M54" s="18"/>
    </row>
    <row r="55" ht="15.75" customHeight="1">
      <c r="A55" s="15" t="s">
        <v>146</v>
      </c>
      <c r="B55" s="17" t="b">
        <v>1</v>
      </c>
      <c r="C55" s="18">
        <v>2.2</v>
      </c>
      <c r="D55" s="18">
        <v>45.0</v>
      </c>
      <c r="E55" s="18">
        <v>4.02399436E8</v>
      </c>
      <c r="F55" s="18">
        <v>0.0</v>
      </c>
      <c r="G55" s="18">
        <v>0.0</v>
      </c>
      <c r="H55" s="20">
        <v>2.0</v>
      </c>
      <c r="I55" s="20">
        <v>2.0</v>
      </c>
      <c r="J55" s="23">
        <v>46072.974224537036</v>
      </c>
      <c r="L55" s="22"/>
      <c r="M55" s="22"/>
    </row>
    <row r="56" ht="15.75" customHeight="1">
      <c r="A56" s="15" t="s">
        <v>149</v>
      </c>
      <c r="B56" s="17" t="b">
        <v>1</v>
      </c>
      <c r="C56" s="18">
        <v>1.4</v>
      </c>
      <c r="D56" s="18">
        <v>141.0</v>
      </c>
      <c r="E56" s="18">
        <v>6501.0</v>
      </c>
      <c r="F56" s="18">
        <v>0.0</v>
      </c>
      <c r="G56" s="18">
        <v>2.0</v>
      </c>
      <c r="H56" s="20">
        <v>1.0</v>
      </c>
      <c r="I56" s="20">
        <v>0.0</v>
      </c>
      <c r="J56" s="23">
        <v>46086.46258101852</v>
      </c>
      <c r="L56" s="22"/>
      <c r="M56" s="22"/>
    </row>
    <row r="57" ht="15.75" customHeight="1">
      <c r="A57" s="15" t="s">
        <v>152</v>
      </c>
      <c r="B57" s="17" t="b">
        <v>1</v>
      </c>
      <c r="C57" s="18">
        <v>1.1</v>
      </c>
      <c r="D57" s="18">
        <v>60.0</v>
      </c>
      <c r="E57" s="18">
        <v>127979.0</v>
      </c>
      <c r="F57" s="18">
        <v>0.0</v>
      </c>
      <c r="G57" s="18">
        <v>1.0</v>
      </c>
      <c r="H57" s="20">
        <v>1.0</v>
      </c>
      <c r="I57" s="20">
        <v>1.0</v>
      </c>
      <c r="J57" s="23">
        <v>45886.687627314815</v>
      </c>
      <c r="L57" s="22"/>
      <c r="M57" s="18"/>
    </row>
    <row r="58" ht="15.75" customHeight="1">
      <c r="A58" s="18" t="s">
        <v>156</v>
      </c>
      <c r="B58" s="17" t="b">
        <v>1</v>
      </c>
      <c r="C58" s="18">
        <v>1.1</v>
      </c>
      <c r="D58" s="18">
        <v>135.0</v>
      </c>
      <c r="E58" s="18">
        <v>997.0</v>
      </c>
      <c r="F58" s="18">
        <v>0.0</v>
      </c>
      <c r="G58" s="18">
        <v>0.0</v>
      </c>
      <c r="H58" s="20">
        <v>1.0</v>
      </c>
      <c r="I58" s="20">
        <v>0.0</v>
      </c>
      <c r="J58" s="23">
        <v>46150.49134259259</v>
      </c>
      <c r="L58" s="22"/>
      <c r="M58" s="18"/>
    </row>
    <row r="59" ht="15.75" customHeight="1">
      <c r="A59" s="18" t="s">
        <v>26</v>
      </c>
      <c r="B59" s="17" t="b">
        <v>1</v>
      </c>
      <c r="C59" s="18">
        <v>0.8</v>
      </c>
      <c r="D59" s="18">
        <v>68.0</v>
      </c>
      <c r="E59" s="18">
        <v>0.0</v>
      </c>
      <c r="F59" s="18">
        <v>0.0</v>
      </c>
      <c r="G59" s="18">
        <v>0.0</v>
      </c>
      <c r="H59" s="20">
        <v>1.0</v>
      </c>
      <c r="I59" s="20">
        <v>0.0</v>
      </c>
      <c r="J59" s="23">
        <v>46204.35445601852</v>
      </c>
      <c r="L59" s="22"/>
      <c r="M59" s="18"/>
    </row>
    <row r="60" ht="15.75" customHeight="1">
      <c r="A60" s="18" t="s">
        <v>27</v>
      </c>
      <c r="B60" s="17" t="b">
        <v>1</v>
      </c>
      <c r="C60" s="18">
        <v>0.8</v>
      </c>
      <c r="D60" s="18">
        <v>68.0</v>
      </c>
      <c r="E60" s="18">
        <v>0.0</v>
      </c>
      <c r="F60" s="18">
        <v>0.0</v>
      </c>
      <c r="G60" s="18">
        <v>0.0</v>
      </c>
      <c r="H60" s="20">
        <v>1.0</v>
      </c>
      <c r="I60" s="20">
        <v>0.0</v>
      </c>
      <c r="J60" s="23">
        <v>46206.348032407404</v>
      </c>
      <c r="L60" s="22"/>
      <c r="M60" s="18"/>
    </row>
    <row r="61" ht="15.75" customHeight="1">
      <c r="A61" s="18" t="s">
        <v>160</v>
      </c>
      <c r="B61" s="17" t="b">
        <v>1</v>
      </c>
      <c r="C61" s="18">
        <v>0.8</v>
      </c>
      <c r="D61" s="18">
        <v>68.0</v>
      </c>
      <c r="E61" s="18">
        <v>0.0</v>
      </c>
      <c r="F61" s="18">
        <v>0.0</v>
      </c>
      <c r="G61" s="18">
        <v>0.0</v>
      </c>
      <c r="H61" s="20">
        <v>1.0</v>
      </c>
      <c r="I61" s="20">
        <v>0.0</v>
      </c>
      <c r="J61" s="23">
        <v>46195.809386574074</v>
      </c>
      <c r="L61" s="22"/>
      <c r="M61" s="18"/>
    </row>
    <row r="62" ht="15.75" customHeight="1">
      <c r="A62" s="18" t="s">
        <v>162</v>
      </c>
      <c r="B62" s="17" t="b">
        <v>1</v>
      </c>
      <c r="C62" s="18">
        <v>0.8</v>
      </c>
      <c r="D62" s="18">
        <v>68.0</v>
      </c>
      <c r="E62" s="18">
        <v>0.0</v>
      </c>
      <c r="F62" s="18">
        <v>0.0</v>
      </c>
      <c r="G62" s="18">
        <v>0.0</v>
      </c>
      <c r="H62" s="20">
        <v>1.0</v>
      </c>
      <c r="I62" s="20">
        <v>0.0</v>
      </c>
      <c r="J62" s="23">
        <v>46195.46508101852</v>
      </c>
      <c r="L62" s="22"/>
      <c r="M62" s="18"/>
    </row>
    <row r="63" ht="15.75" customHeight="1">
      <c r="A63" s="18" t="s">
        <v>164</v>
      </c>
      <c r="B63" s="17" t="b">
        <v>1</v>
      </c>
      <c r="C63" s="18">
        <v>0.8</v>
      </c>
      <c r="D63" s="18">
        <v>68.0</v>
      </c>
      <c r="E63" s="18">
        <v>0.0</v>
      </c>
      <c r="F63" s="18">
        <v>0.0</v>
      </c>
      <c r="G63" s="18">
        <v>0.0</v>
      </c>
      <c r="H63" s="20">
        <v>1.0</v>
      </c>
      <c r="I63" s="20">
        <v>0.0</v>
      </c>
      <c r="J63" s="23">
        <v>46184.453888888886</v>
      </c>
      <c r="L63" s="22"/>
      <c r="M63" s="18"/>
    </row>
    <row r="64" ht="15.75" customHeight="1">
      <c r="A64" s="18" t="s">
        <v>166</v>
      </c>
      <c r="B64" s="17" t="b">
        <v>1</v>
      </c>
      <c r="C64" s="18">
        <v>0.8</v>
      </c>
      <c r="D64" s="18">
        <v>68.0</v>
      </c>
      <c r="E64" s="18">
        <v>996.0</v>
      </c>
      <c r="F64" s="18">
        <v>0.0</v>
      </c>
      <c r="G64" s="18">
        <v>0.0</v>
      </c>
      <c r="H64" s="20">
        <v>1.0</v>
      </c>
      <c r="I64" s="20">
        <v>0.0</v>
      </c>
      <c r="J64" s="23">
        <v>46184.44888888889</v>
      </c>
      <c r="L64" s="22"/>
      <c r="M64" s="18"/>
    </row>
    <row r="65" ht="15.75" customHeight="1">
      <c r="A65" s="18" t="s">
        <v>168</v>
      </c>
      <c r="B65" s="17" t="b">
        <v>1</v>
      </c>
      <c r="C65" s="18">
        <v>0.8</v>
      </c>
      <c r="D65" s="18">
        <v>68.0</v>
      </c>
      <c r="E65" s="18">
        <v>996.0</v>
      </c>
      <c r="F65" s="18">
        <v>0.0</v>
      </c>
      <c r="G65" s="18">
        <v>0.0</v>
      </c>
      <c r="H65" s="20">
        <v>1.0</v>
      </c>
      <c r="I65" s="20">
        <v>0.0</v>
      </c>
      <c r="J65" s="23">
        <v>46194.2915162037</v>
      </c>
      <c r="L65" s="22"/>
      <c r="M65" s="18"/>
    </row>
    <row r="66" ht="15.75" customHeight="1">
      <c r="A66" s="18" t="s">
        <v>169</v>
      </c>
      <c r="B66" s="17" t="b">
        <v>1</v>
      </c>
      <c r="C66" s="18">
        <v>0.8</v>
      </c>
      <c r="D66" s="18">
        <v>68.0</v>
      </c>
      <c r="E66" s="18">
        <v>996.0</v>
      </c>
      <c r="F66" s="18">
        <v>0.0</v>
      </c>
      <c r="G66" s="18">
        <v>0.0</v>
      </c>
      <c r="H66" s="20">
        <v>1.0</v>
      </c>
      <c r="I66" s="20">
        <v>0.0</v>
      </c>
      <c r="J66" s="23">
        <v>46194.71581018518</v>
      </c>
      <c r="L66" s="22"/>
      <c r="M66" s="18"/>
    </row>
    <row r="67" ht="15.75" customHeight="1">
      <c r="A67" s="18" t="s">
        <v>172</v>
      </c>
      <c r="B67" s="17" t="b">
        <v>1</v>
      </c>
      <c r="C67" s="18">
        <v>0.8</v>
      </c>
      <c r="D67" s="18">
        <v>68.0</v>
      </c>
      <c r="E67" s="18">
        <v>996.0</v>
      </c>
      <c r="F67" s="18">
        <v>0.0</v>
      </c>
      <c r="G67" s="18">
        <v>0.0</v>
      </c>
      <c r="H67" s="20">
        <v>1.0</v>
      </c>
      <c r="I67" s="20">
        <v>0.0</v>
      </c>
      <c r="J67" s="23">
        <v>46186.31928240741</v>
      </c>
      <c r="L67" s="22"/>
      <c r="M67" s="18"/>
    </row>
    <row r="68" ht="15.75" customHeight="1">
      <c r="A68" s="18" t="s">
        <v>174</v>
      </c>
      <c r="B68" s="17" t="b">
        <v>1</v>
      </c>
      <c r="C68" s="18">
        <v>0.8</v>
      </c>
      <c r="D68" s="18">
        <v>68.0</v>
      </c>
      <c r="E68" s="18">
        <v>0.0</v>
      </c>
      <c r="F68" s="18">
        <v>0.0</v>
      </c>
      <c r="G68" s="18">
        <v>0.0</v>
      </c>
      <c r="H68" s="20">
        <v>1.0</v>
      </c>
      <c r="I68" s="20">
        <v>0.0</v>
      </c>
      <c r="J68" s="23">
        <v>46194.61560185185</v>
      </c>
      <c r="L68" s="22"/>
      <c r="M68" s="22"/>
    </row>
    <row r="69" ht="15.75" customHeight="1">
      <c r="A69" s="18" t="s">
        <v>176</v>
      </c>
      <c r="B69" s="17" t="b">
        <v>1</v>
      </c>
      <c r="C69" s="18">
        <v>0.8</v>
      </c>
      <c r="D69" s="18">
        <v>68.0</v>
      </c>
      <c r="E69" s="18">
        <v>0.0</v>
      </c>
      <c r="F69" s="18">
        <v>0.0</v>
      </c>
      <c r="G69" s="18">
        <v>0.0</v>
      </c>
      <c r="H69" s="20">
        <v>1.0</v>
      </c>
      <c r="I69" s="20">
        <v>0.0</v>
      </c>
      <c r="J69" s="23">
        <v>46201.475949074076</v>
      </c>
      <c r="L69" s="22"/>
      <c r="M69" s="18"/>
    </row>
    <row r="70" ht="15.75" customHeight="1">
      <c r="A70" s="18" t="s">
        <v>28</v>
      </c>
      <c r="B70" s="17" t="b">
        <v>1</v>
      </c>
      <c r="C70" s="18">
        <v>0.8</v>
      </c>
      <c r="D70" s="18">
        <v>68.0</v>
      </c>
      <c r="E70" s="18">
        <v>0.0</v>
      </c>
      <c r="F70" s="18">
        <v>0.0</v>
      </c>
      <c r="G70" s="18">
        <v>0.0</v>
      </c>
      <c r="H70" s="20">
        <v>1.0</v>
      </c>
      <c r="I70" s="20">
        <v>0.0</v>
      </c>
      <c r="J70" s="23">
        <v>46204.92041666667</v>
      </c>
      <c r="L70" s="22"/>
      <c r="M70" s="18"/>
    </row>
    <row r="71" ht="15.75" customHeight="1">
      <c r="A71" s="18" t="s">
        <v>179</v>
      </c>
      <c r="B71" s="17" t="b">
        <v>1</v>
      </c>
      <c r="C71" s="18">
        <v>0.8</v>
      </c>
      <c r="D71" s="18">
        <v>68.0</v>
      </c>
      <c r="E71" s="18">
        <v>0.0</v>
      </c>
      <c r="F71" s="18">
        <v>0.0</v>
      </c>
      <c r="G71" s="18">
        <v>0.0</v>
      </c>
      <c r="H71" s="20">
        <v>1.0</v>
      </c>
      <c r="I71" s="20">
        <v>0.0</v>
      </c>
      <c r="J71" s="23">
        <v>46194.695706018516</v>
      </c>
      <c r="L71" s="22"/>
      <c r="M71" s="18"/>
    </row>
    <row r="72" ht="15.75" customHeight="1">
      <c r="A72" s="18" t="s">
        <v>181</v>
      </c>
      <c r="B72" s="17" t="b">
        <v>1</v>
      </c>
      <c r="C72" s="18">
        <v>0.8</v>
      </c>
      <c r="D72" s="18">
        <v>68.0</v>
      </c>
      <c r="E72" s="18">
        <v>997.0</v>
      </c>
      <c r="F72" s="18">
        <v>0.0</v>
      </c>
      <c r="G72" s="18">
        <v>0.0</v>
      </c>
      <c r="H72" s="20">
        <v>1.0</v>
      </c>
      <c r="I72" s="20">
        <v>0.0</v>
      </c>
      <c r="J72" s="23">
        <v>46193.766122685185</v>
      </c>
      <c r="L72" s="22"/>
      <c r="M72" s="18"/>
    </row>
    <row r="73" ht="15.75" customHeight="1">
      <c r="A73" s="15" t="s">
        <v>183</v>
      </c>
      <c r="B73" s="17" t="b">
        <v>1</v>
      </c>
      <c r="C73" s="18">
        <v>0.8</v>
      </c>
      <c r="D73" s="18">
        <v>119.0</v>
      </c>
      <c r="E73" s="18">
        <v>4.00791602E8</v>
      </c>
      <c r="F73" s="18">
        <v>0.0</v>
      </c>
      <c r="G73" s="18">
        <v>0.0</v>
      </c>
      <c r="H73" s="20">
        <v>2.0</v>
      </c>
      <c r="I73" s="20">
        <v>2.0</v>
      </c>
      <c r="J73" s="23">
        <v>46159.801400462966</v>
      </c>
      <c r="L73" s="22"/>
      <c r="M73" s="22"/>
    </row>
    <row r="74" ht="15.75" customHeight="1">
      <c r="A74" s="18" t="s">
        <v>186</v>
      </c>
      <c r="B74" s="17" t="b">
        <v>1</v>
      </c>
      <c r="C74" s="18">
        <v>0.7</v>
      </c>
      <c r="D74" s="18">
        <v>49.0</v>
      </c>
      <c r="E74" s="18">
        <v>0.0</v>
      </c>
      <c r="F74" s="18">
        <v>0.0</v>
      </c>
      <c r="G74" s="18">
        <v>0.0</v>
      </c>
      <c r="H74" s="20">
        <v>1.0</v>
      </c>
      <c r="I74" s="20">
        <v>0.0</v>
      </c>
      <c r="J74" s="23">
        <v>46201.89952546296</v>
      </c>
      <c r="L74" s="22"/>
      <c r="M74" s="18"/>
    </row>
    <row r="75" ht="15.75" customHeight="1">
      <c r="A75" s="18" t="s">
        <v>29</v>
      </c>
      <c r="B75" s="17" t="b">
        <v>1</v>
      </c>
      <c r="C75" s="18">
        <v>0.7</v>
      </c>
      <c r="D75" s="18">
        <v>49.0</v>
      </c>
      <c r="E75" s="18">
        <v>0.0</v>
      </c>
      <c r="F75" s="18">
        <v>0.0</v>
      </c>
      <c r="G75" s="18">
        <v>0.0</v>
      </c>
      <c r="H75" s="20">
        <v>1.0</v>
      </c>
      <c r="I75" s="20">
        <v>0.0</v>
      </c>
      <c r="J75" s="23">
        <v>46204.364270833335</v>
      </c>
      <c r="L75" s="22"/>
      <c r="M75" s="18"/>
    </row>
    <row r="76" ht="15.75" customHeight="1">
      <c r="A76" s="18" t="s">
        <v>31</v>
      </c>
      <c r="B76" s="17" t="b">
        <v>1</v>
      </c>
      <c r="C76" s="18">
        <v>0.7</v>
      </c>
      <c r="D76" s="18">
        <v>49.0</v>
      </c>
      <c r="E76" s="18">
        <v>0.0</v>
      </c>
      <c r="F76" s="18">
        <v>0.0</v>
      </c>
      <c r="G76" s="18">
        <v>0.0</v>
      </c>
      <c r="H76" s="20">
        <v>1.0</v>
      </c>
      <c r="I76" s="20">
        <v>0.0</v>
      </c>
      <c r="J76" s="23">
        <v>46213.32466435185</v>
      </c>
      <c r="L76" s="22"/>
      <c r="M76" s="18"/>
    </row>
    <row r="77" ht="15.75" customHeight="1">
      <c r="A77" s="18" t="s">
        <v>33</v>
      </c>
      <c r="B77" s="17" t="b">
        <v>1</v>
      </c>
      <c r="C77" s="18">
        <v>0.7</v>
      </c>
      <c r="D77" s="18">
        <v>49.0</v>
      </c>
      <c r="E77" s="18">
        <v>0.0</v>
      </c>
      <c r="F77" s="18">
        <v>0.0</v>
      </c>
      <c r="G77" s="18">
        <v>0.0</v>
      </c>
      <c r="H77" s="20">
        <v>1.0</v>
      </c>
      <c r="I77" s="20">
        <v>0.0</v>
      </c>
      <c r="J77" s="23">
        <v>46203.12553240741</v>
      </c>
      <c r="L77" s="22"/>
      <c r="M77" s="18"/>
    </row>
    <row r="78" ht="15.75" customHeight="1">
      <c r="A78" s="18" t="s">
        <v>35</v>
      </c>
      <c r="B78" s="17" t="b">
        <v>1</v>
      </c>
      <c r="C78" s="18">
        <v>0.7</v>
      </c>
      <c r="D78" s="18">
        <v>49.0</v>
      </c>
      <c r="E78" s="18">
        <v>0.0</v>
      </c>
      <c r="F78" s="18">
        <v>0.0</v>
      </c>
      <c r="G78" s="18">
        <v>0.0</v>
      </c>
      <c r="H78" s="20">
        <v>1.0</v>
      </c>
      <c r="I78" s="20">
        <v>0.0</v>
      </c>
      <c r="J78" s="23">
        <v>46206.507268518515</v>
      </c>
      <c r="L78" s="22"/>
      <c r="M78" s="22"/>
    </row>
    <row r="79" ht="15.75" customHeight="1">
      <c r="A79" s="18" t="s">
        <v>36</v>
      </c>
      <c r="B79" s="17" t="b">
        <v>1</v>
      </c>
      <c r="C79" s="18">
        <v>0.7</v>
      </c>
      <c r="D79" s="18">
        <v>49.0</v>
      </c>
      <c r="E79" s="18">
        <v>0.0</v>
      </c>
      <c r="F79" s="18">
        <v>0.0</v>
      </c>
      <c r="G79" s="18">
        <v>0.0</v>
      </c>
      <c r="H79" s="20">
        <v>1.0</v>
      </c>
      <c r="I79" s="20">
        <v>0.0</v>
      </c>
      <c r="J79" s="23">
        <v>46207.281493055554</v>
      </c>
      <c r="L79" s="22"/>
      <c r="M79" s="22"/>
    </row>
    <row r="80" ht="15.75" customHeight="1">
      <c r="A80" s="18" t="s">
        <v>39</v>
      </c>
      <c r="B80" s="17" t="b">
        <v>1</v>
      </c>
      <c r="C80" s="18">
        <v>0.7</v>
      </c>
      <c r="D80" s="18">
        <v>49.0</v>
      </c>
      <c r="E80" s="18">
        <v>0.0</v>
      </c>
      <c r="F80" s="18">
        <v>0.0</v>
      </c>
      <c r="G80" s="18">
        <v>0.0</v>
      </c>
      <c r="H80" s="20">
        <v>1.0</v>
      </c>
      <c r="I80" s="20">
        <v>0.0</v>
      </c>
      <c r="J80" s="23">
        <v>46205.8455787037</v>
      </c>
      <c r="L80" s="22"/>
      <c r="M80" s="18"/>
    </row>
    <row r="81" ht="15.75" customHeight="1">
      <c r="A81" s="18" t="s">
        <v>194</v>
      </c>
      <c r="B81" s="17" t="b">
        <v>1</v>
      </c>
      <c r="C81" s="18">
        <v>0.7</v>
      </c>
      <c r="D81" s="18">
        <v>49.0</v>
      </c>
      <c r="E81" s="18">
        <v>0.0</v>
      </c>
      <c r="F81" s="18">
        <v>0.0</v>
      </c>
      <c r="G81" s="18">
        <v>0.0</v>
      </c>
      <c r="H81" s="20">
        <v>1.0</v>
      </c>
      <c r="I81" s="20">
        <v>0.0</v>
      </c>
      <c r="J81" s="23">
        <v>46200.6334375</v>
      </c>
      <c r="L81" s="22"/>
      <c r="M81" s="18"/>
    </row>
    <row r="82" ht="15.75" customHeight="1">
      <c r="A82" s="18" t="s">
        <v>40</v>
      </c>
      <c r="B82" s="17" t="b">
        <v>1</v>
      </c>
      <c r="C82" s="18">
        <v>0.7</v>
      </c>
      <c r="D82" s="18">
        <v>49.0</v>
      </c>
      <c r="E82" s="18">
        <v>0.0</v>
      </c>
      <c r="F82" s="18">
        <v>0.0</v>
      </c>
      <c r="G82" s="18">
        <v>0.0</v>
      </c>
      <c r="H82" s="20">
        <v>1.0</v>
      </c>
      <c r="I82" s="20">
        <v>0.0</v>
      </c>
      <c r="J82" s="23">
        <v>46203.14407407407</v>
      </c>
      <c r="L82" s="22"/>
      <c r="M82" s="22"/>
    </row>
    <row r="83" ht="15.75" customHeight="1">
      <c r="A83" s="18" t="s">
        <v>42</v>
      </c>
      <c r="B83" s="17" t="b">
        <v>1</v>
      </c>
      <c r="C83" s="18">
        <v>0.7</v>
      </c>
      <c r="D83" s="18">
        <v>49.0</v>
      </c>
      <c r="E83" s="18">
        <v>0.0</v>
      </c>
      <c r="F83" s="18">
        <v>0.0</v>
      </c>
      <c r="G83" s="18">
        <v>0.0</v>
      </c>
      <c r="H83" s="20">
        <v>1.0</v>
      </c>
      <c r="I83" s="20">
        <v>0.0</v>
      </c>
      <c r="J83" s="23">
        <v>46206.30877314815</v>
      </c>
      <c r="L83" s="22"/>
      <c r="M83" s="18"/>
    </row>
    <row r="84" ht="15.75" customHeight="1">
      <c r="A84" s="18" t="s">
        <v>44</v>
      </c>
      <c r="B84" s="17" t="b">
        <v>1</v>
      </c>
      <c r="C84" s="18">
        <v>0.7</v>
      </c>
      <c r="D84" s="18">
        <v>49.0</v>
      </c>
      <c r="E84" s="18">
        <v>0.0</v>
      </c>
      <c r="F84" s="18">
        <v>0.0</v>
      </c>
      <c r="G84" s="18">
        <v>0.0</v>
      </c>
      <c r="H84" s="20">
        <v>1.0</v>
      </c>
      <c r="I84" s="20">
        <v>0.0</v>
      </c>
      <c r="J84" s="23">
        <v>46205.88732638889</v>
      </c>
      <c r="L84" s="22"/>
      <c r="M84" s="22"/>
    </row>
    <row r="85" ht="15.75" customHeight="1">
      <c r="A85" s="18" t="s">
        <v>202</v>
      </c>
      <c r="B85" s="17" t="b">
        <v>1</v>
      </c>
      <c r="C85" s="18">
        <v>0.7</v>
      </c>
      <c r="D85" s="18">
        <v>49.0</v>
      </c>
      <c r="E85" s="18">
        <v>0.0</v>
      </c>
      <c r="F85" s="18">
        <v>0.0</v>
      </c>
      <c r="G85" s="18">
        <v>0.0</v>
      </c>
      <c r="H85" s="20">
        <v>1.0</v>
      </c>
      <c r="I85" s="20">
        <v>0.0</v>
      </c>
      <c r="J85" s="23">
        <v>46202.679768518516</v>
      </c>
      <c r="L85" s="22"/>
      <c r="M85" s="22"/>
    </row>
    <row r="86" ht="15.75" customHeight="1">
      <c r="A86" s="18" t="s">
        <v>48</v>
      </c>
      <c r="B86" s="17" t="b">
        <v>1</v>
      </c>
      <c r="C86" s="18">
        <v>0.7</v>
      </c>
      <c r="D86" s="18">
        <v>49.0</v>
      </c>
      <c r="E86" s="18">
        <v>0.0</v>
      </c>
      <c r="F86" s="18">
        <v>0.0</v>
      </c>
      <c r="G86" s="18">
        <v>0.0</v>
      </c>
      <c r="H86" s="20">
        <v>1.0</v>
      </c>
      <c r="I86" s="20">
        <v>0.0</v>
      </c>
      <c r="J86" s="23">
        <v>46204.40244212963</v>
      </c>
      <c r="L86" s="22"/>
      <c r="M86" s="22"/>
    </row>
    <row r="87" ht="15.75" customHeight="1">
      <c r="A87" s="18" t="s">
        <v>206</v>
      </c>
      <c r="B87" s="17" t="b">
        <v>1</v>
      </c>
      <c r="C87" s="18">
        <v>0.7</v>
      </c>
      <c r="D87" s="18">
        <v>72.0</v>
      </c>
      <c r="E87" s="18">
        <v>0.0</v>
      </c>
      <c r="F87" s="18">
        <v>0.0</v>
      </c>
      <c r="G87" s="18">
        <v>0.0</v>
      </c>
      <c r="H87" s="20">
        <v>1.0</v>
      </c>
      <c r="I87" s="20">
        <v>0.0</v>
      </c>
      <c r="J87" s="23">
        <v>46202.53957175926</v>
      </c>
      <c r="L87" s="22"/>
      <c r="M87" s="22"/>
    </row>
    <row r="88" ht="15.75" customHeight="1">
      <c r="A88" s="18" t="s">
        <v>208</v>
      </c>
      <c r="B88" s="17" t="b">
        <v>1</v>
      </c>
      <c r="C88" s="18">
        <v>0.7</v>
      </c>
      <c r="D88" s="18">
        <v>49.0</v>
      </c>
      <c r="E88" s="18">
        <v>0.0</v>
      </c>
      <c r="F88" s="18">
        <v>0.0</v>
      </c>
      <c r="G88" s="18">
        <v>0.0</v>
      </c>
      <c r="H88" s="20">
        <v>1.0</v>
      </c>
      <c r="I88" s="20">
        <v>0.0</v>
      </c>
      <c r="J88" s="23">
        <v>46201.334085648145</v>
      </c>
      <c r="L88" s="22"/>
      <c r="M88" s="18"/>
    </row>
    <row r="89" ht="15.75" customHeight="1">
      <c r="A89" s="18" t="s">
        <v>210</v>
      </c>
      <c r="B89" s="17" t="b">
        <v>1</v>
      </c>
      <c r="C89" s="18">
        <v>0.7</v>
      </c>
      <c r="D89" s="18">
        <v>49.0</v>
      </c>
      <c r="E89" s="18">
        <v>996.0</v>
      </c>
      <c r="F89" s="18">
        <v>0.0</v>
      </c>
      <c r="G89" s="18">
        <v>0.0</v>
      </c>
      <c r="H89" s="20">
        <v>1.0</v>
      </c>
      <c r="I89" s="20">
        <v>0.0</v>
      </c>
      <c r="J89" s="23">
        <v>46194.114895833336</v>
      </c>
      <c r="L89" s="22"/>
      <c r="M89" s="18"/>
    </row>
    <row r="90" ht="15.75" customHeight="1">
      <c r="A90" s="18" t="s">
        <v>50</v>
      </c>
      <c r="B90" s="17" t="b">
        <v>1</v>
      </c>
      <c r="C90" s="18">
        <v>0.7</v>
      </c>
      <c r="D90" s="18">
        <v>49.0</v>
      </c>
      <c r="E90" s="18">
        <v>0.0</v>
      </c>
      <c r="F90" s="18">
        <v>0.0</v>
      </c>
      <c r="G90" s="18">
        <v>0.0</v>
      </c>
      <c r="H90" s="20">
        <v>1.0</v>
      </c>
      <c r="I90" s="20">
        <v>0.0</v>
      </c>
      <c r="J90" s="23">
        <v>46204.85400462963</v>
      </c>
      <c r="L90" s="22"/>
      <c r="M90" s="18"/>
    </row>
    <row r="91" ht="15.75" customHeight="1">
      <c r="A91" s="18" t="s">
        <v>53</v>
      </c>
      <c r="B91" s="17" t="b">
        <v>1</v>
      </c>
      <c r="C91" s="18">
        <v>0.7</v>
      </c>
      <c r="D91" s="18">
        <v>49.0</v>
      </c>
      <c r="E91" s="18">
        <v>0.0</v>
      </c>
      <c r="F91" s="18">
        <v>0.0</v>
      </c>
      <c r="G91" s="18">
        <v>0.0</v>
      </c>
      <c r="H91" s="20">
        <v>1.0</v>
      </c>
      <c r="I91" s="20">
        <v>0.0</v>
      </c>
      <c r="J91" s="23">
        <v>46206.2975</v>
      </c>
      <c r="L91" s="22"/>
      <c r="M91" s="18"/>
    </row>
    <row r="92" ht="15.75" customHeight="1">
      <c r="A92" s="18" t="s">
        <v>215</v>
      </c>
      <c r="B92" s="17" t="b">
        <v>1</v>
      </c>
      <c r="C92" s="18">
        <v>0.7</v>
      </c>
      <c r="D92" s="18">
        <v>49.0</v>
      </c>
      <c r="E92" s="18">
        <v>996.0</v>
      </c>
      <c r="F92" s="18">
        <v>0.0</v>
      </c>
      <c r="G92" s="18">
        <v>0.0</v>
      </c>
      <c r="H92" s="20">
        <v>1.0</v>
      </c>
      <c r="I92" s="20">
        <v>0.0</v>
      </c>
      <c r="J92" s="23">
        <v>46199.78989583333</v>
      </c>
      <c r="L92" s="22"/>
      <c r="M92" s="18"/>
    </row>
    <row r="93" ht="15.75" customHeight="1">
      <c r="A93" s="18" t="s">
        <v>55</v>
      </c>
      <c r="B93" s="17" t="b">
        <v>1</v>
      </c>
      <c r="C93" s="18">
        <v>0.7</v>
      </c>
      <c r="D93" s="18">
        <v>49.0</v>
      </c>
      <c r="E93" s="18">
        <v>0.0</v>
      </c>
      <c r="F93" s="18">
        <v>0.0</v>
      </c>
      <c r="G93" s="18">
        <v>0.0</v>
      </c>
      <c r="H93" s="20">
        <v>1.0</v>
      </c>
      <c r="I93" s="20">
        <v>0.0</v>
      </c>
      <c r="J93" s="23">
        <v>46213.33795138889</v>
      </c>
      <c r="L93" s="22"/>
      <c r="M93" s="18"/>
    </row>
    <row r="94" ht="15.75" customHeight="1">
      <c r="A94" s="18" t="s">
        <v>219</v>
      </c>
      <c r="B94" s="17" t="b">
        <v>1</v>
      </c>
      <c r="C94" s="18">
        <v>0.7</v>
      </c>
      <c r="D94" s="18">
        <v>49.0</v>
      </c>
      <c r="E94" s="18">
        <v>0.0</v>
      </c>
      <c r="F94" s="18">
        <v>0.0</v>
      </c>
      <c r="G94" s="18">
        <v>0.0</v>
      </c>
      <c r="H94" s="20">
        <v>1.0</v>
      </c>
      <c r="I94" s="20">
        <v>0.0</v>
      </c>
      <c r="J94" s="23">
        <v>46202.141331018516</v>
      </c>
      <c r="L94" s="22"/>
      <c r="M94" s="18"/>
    </row>
    <row r="95" ht="15.75" customHeight="1">
      <c r="A95" s="18" t="s">
        <v>222</v>
      </c>
      <c r="B95" s="17" t="b">
        <v>1</v>
      </c>
      <c r="C95" s="18">
        <v>0.7</v>
      </c>
      <c r="D95" s="18">
        <v>49.0</v>
      </c>
      <c r="E95" s="18">
        <v>0.0</v>
      </c>
      <c r="F95" s="18">
        <v>0.0</v>
      </c>
      <c r="G95" s="18">
        <v>0.0</v>
      </c>
      <c r="H95" s="20">
        <v>1.0</v>
      </c>
      <c r="I95" s="20">
        <v>0.0</v>
      </c>
      <c r="J95" s="23">
        <v>46201.99855324074</v>
      </c>
      <c r="L95" s="22"/>
      <c r="M95" s="18"/>
    </row>
    <row r="96" ht="15.75" customHeight="1">
      <c r="A96" s="18" t="s">
        <v>58</v>
      </c>
      <c r="B96" s="17" t="b">
        <v>1</v>
      </c>
      <c r="C96" s="18">
        <v>0.7</v>
      </c>
      <c r="D96" s="18">
        <v>49.0</v>
      </c>
      <c r="E96" s="18">
        <v>0.0</v>
      </c>
      <c r="F96" s="18">
        <v>0.0</v>
      </c>
      <c r="G96" s="18">
        <v>0.0</v>
      </c>
      <c r="H96" s="20">
        <v>1.0</v>
      </c>
      <c r="I96" s="20">
        <v>0.0</v>
      </c>
      <c r="J96" s="23">
        <v>46204.40226851852</v>
      </c>
      <c r="L96" s="22"/>
      <c r="M96" s="18"/>
    </row>
    <row r="97" ht="15.75" customHeight="1">
      <c r="A97" s="18" t="s">
        <v>225</v>
      </c>
      <c r="B97" s="17" t="b">
        <v>1</v>
      </c>
      <c r="C97" s="18">
        <v>0.7</v>
      </c>
      <c r="D97" s="18">
        <v>49.0</v>
      </c>
      <c r="E97" s="18">
        <v>0.0</v>
      </c>
      <c r="F97" s="18">
        <v>0.0</v>
      </c>
      <c r="G97" s="18">
        <v>0.0</v>
      </c>
      <c r="H97" s="20">
        <v>1.0</v>
      </c>
      <c r="I97" s="20">
        <v>0.0</v>
      </c>
      <c r="J97" s="23">
        <v>46201.656018518515</v>
      </c>
      <c r="L97" s="22"/>
      <c r="M97" s="18"/>
    </row>
    <row r="98" ht="15.75" customHeight="1">
      <c r="A98" s="18" t="s">
        <v>61</v>
      </c>
      <c r="B98" s="17" t="b">
        <v>1</v>
      </c>
      <c r="C98" s="18">
        <v>0.7</v>
      </c>
      <c r="D98" s="18">
        <v>49.0</v>
      </c>
      <c r="E98" s="18">
        <v>0.0</v>
      </c>
      <c r="F98" s="18">
        <v>0.0</v>
      </c>
      <c r="G98" s="18">
        <v>0.0</v>
      </c>
      <c r="H98" s="20">
        <v>1.0</v>
      </c>
      <c r="I98" s="20">
        <v>0.0</v>
      </c>
      <c r="J98" s="23">
        <v>46203.94648148148</v>
      </c>
      <c r="L98" s="22"/>
      <c r="M98" s="18"/>
    </row>
    <row r="99" ht="15.75" customHeight="1">
      <c r="A99" s="18" t="s">
        <v>227</v>
      </c>
      <c r="B99" s="17" t="b">
        <v>1</v>
      </c>
      <c r="C99" s="18">
        <v>0.7</v>
      </c>
      <c r="D99" s="18">
        <v>49.0</v>
      </c>
      <c r="E99" s="18">
        <v>0.0</v>
      </c>
      <c r="F99" s="18">
        <v>0.0</v>
      </c>
      <c r="G99" s="18">
        <v>0.0</v>
      </c>
      <c r="H99" s="20">
        <v>1.0</v>
      </c>
      <c r="I99" s="20">
        <v>0.0</v>
      </c>
      <c r="J99" s="23">
        <v>46201.976851851854</v>
      </c>
      <c r="L99" s="22"/>
      <c r="M99" s="18"/>
    </row>
    <row r="100" ht="15.75" customHeight="1">
      <c r="A100" s="18" t="s">
        <v>229</v>
      </c>
      <c r="B100" s="17" t="b">
        <v>1</v>
      </c>
      <c r="C100" s="18">
        <v>0.7</v>
      </c>
      <c r="D100" s="18">
        <v>49.0</v>
      </c>
      <c r="E100" s="18">
        <v>996.0</v>
      </c>
      <c r="F100" s="18">
        <v>0.0</v>
      </c>
      <c r="G100" s="18">
        <v>0.0</v>
      </c>
      <c r="H100" s="20">
        <v>1.0</v>
      </c>
      <c r="I100" s="20">
        <v>0.0</v>
      </c>
      <c r="J100" s="23">
        <v>46196.16269675926</v>
      </c>
      <c r="L100" s="22"/>
      <c r="M100" s="18"/>
    </row>
    <row r="101" ht="15.75" customHeight="1">
      <c r="A101" s="18" t="s">
        <v>63</v>
      </c>
      <c r="B101" s="17" t="b">
        <v>1</v>
      </c>
      <c r="C101" s="18">
        <v>0.7</v>
      </c>
      <c r="D101" s="18">
        <v>49.0</v>
      </c>
      <c r="E101" s="18">
        <v>0.0</v>
      </c>
      <c r="F101" s="18">
        <v>0.0</v>
      </c>
      <c r="G101" s="18">
        <v>0.0</v>
      </c>
      <c r="H101" s="20">
        <v>1.0</v>
      </c>
      <c r="I101" s="20">
        <v>0.0</v>
      </c>
      <c r="J101" s="23">
        <v>46204.10296296296</v>
      </c>
      <c r="L101" s="22"/>
      <c r="M101" s="18"/>
    </row>
    <row r="102" ht="15.75" customHeight="1">
      <c r="A102" s="18" t="s">
        <v>66</v>
      </c>
      <c r="B102" s="17" t="b">
        <v>1</v>
      </c>
      <c r="C102" s="18">
        <v>0.7</v>
      </c>
      <c r="D102" s="18">
        <v>49.0</v>
      </c>
      <c r="E102" s="18">
        <v>0.0</v>
      </c>
      <c r="F102" s="18">
        <v>0.0</v>
      </c>
      <c r="G102" s="18">
        <v>0.0</v>
      </c>
      <c r="H102" s="20">
        <v>1.0</v>
      </c>
      <c r="I102" s="20">
        <v>0.0</v>
      </c>
      <c r="J102" s="23">
        <v>46215.77513888889</v>
      </c>
      <c r="L102" s="22"/>
      <c r="M102" s="18"/>
    </row>
    <row r="103" ht="15.75" customHeight="1">
      <c r="A103" s="18" t="s">
        <v>230</v>
      </c>
      <c r="B103" s="17" t="b">
        <v>1</v>
      </c>
      <c r="C103" s="18">
        <v>0.7</v>
      </c>
      <c r="D103" s="18">
        <v>49.0</v>
      </c>
      <c r="E103" s="18">
        <v>0.0</v>
      </c>
      <c r="F103" s="18">
        <v>0.0</v>
      </c>
      <c r="G103" s="18">
        <v>0.0</v>
      </c>
      <c r="H103" s="20">
        <v>1.0</v>
      </c>
      <c r="I103" s="20">
        <v>0.0</v>
      </c>
      <c r="J103" s="23">
        <v>46202.722453703704</v>
      </c>
      <c r="L103" s="22"/>
      <c r="M103" s="18"/>
    </row>
    <row r="104" ht="15.75" customHeight="1">
      <c r="A104" s="18" t="s">
        <v>231</v>
      </c>
      <c r="B104" s="17" t="b">
        <v>1</v>
      </c>
      <c r="C104" s="18">
        <v>0.7</v>
      </c>
      <c r="D104" s="18">
        <v>49.0</v>
      </c>
      <c r="E104" s="18">
        <v>0.0</v>
      </c>
      <c r="F104" s="18">
        <v>0.0</v>
      </c>
      <c r="G104" s="18">
        <v>0.0</v>
      </c>
      <c r="H104" s="20">
        <v>1.0</v>
      </c>
      <c r="I104" s="20">
        <v>0.0</v>
      </c>
      <c r="J104" s="23">
        <v>46201.29332175926</v>
      </c>
      <c r="L104" s="22"/>
      <c r="M104" s="18"/>
    </row>
    <row r="105" ht="15.75" customHeight="1">
      <c r="A105" s="18" t="s">
        <v>68</v>
      </c>
      <c r="B105" s="17" t="b">
        <v>1</v>
      </c>
      <c r="C105" s="18">
        <v>0.7</v>
      </c>
      <c r="D105" s="18">
        <v>49.0</v>
      </c>
      <c r="E105" s="18">
        <v>0.0</v>
      </c>
      <c r="F105" s="18">
        <v>0.0</v>
      </c>
      <c r="G105" s="18">
        <v>0.0</v>
      </c>
      <c r="H105" s="20">
        <v>1.0</v>
      </c>
      <c r="I105" s="20">
        <v>0.0</v>
      </c>
      <c r="J105" s="23">
        <v>46205.287766203706</v>
      </c>
      <c r="L105" s="22"/>
      <c r="M105" s="18"/>
    </row>
    <row r="106" ht="15.75" customHeight="1">
      <c r="A106" s="18" t="s">
        <v>232</v>
      </c>
      <c r="B106" s="17" t="b">
        <v>1</v>
      </c>
      <c r="C106" s="18">
        <v>0.7</v>
      </c>
      <c r="D106" s="18">
        <v>49.0</v>
      </c>
      <c r="E106" s="18">
        <v>0.0</v>
      </c>
      <c r="F106" s="18">
        <v>0.0</v>
      </c>
      <c r="G106" s="18">
        <v>0.0</v>
      </c>
      <c r="H106" s="20">
        <v>1.0</v>
      </c>
      <c r="I106" s="20">
        <v>0.0</v>
      </c>
      <c r="J106" s="23">
        <v>46202.74832175926</v>
      </c>
      <c r="L106" s="22"/>
      <c r="M106" s="18"/>
    </row>
    <row r="107" ht="15.75" customHeight="1">
      <c r="A107" s="18" t="s">
        <v>70</v>
      </c>
      <c r="B107" s="17" t="b">
        <v>1</v>
      </c>
      <c r="C107" s="18">
        <v>0.7</v>
      </c>
      <c r="D107" s="18">
        <v>49.0</v>
      </c>
      <c r="E107" s="18">
        <v>0.0</v>
      </c>
      <c r="F107" s="18">
        <v>0.0</v>
      </c>
      <c r="G107" s="18">
        <v>0.0</v>
      </c>
      <c r="H107" s="20">
        <v>1.0</v>
      </c>
      <c r="I107" s="20">
        <v>0.0</v>
      </c>
      <c r="J107" s="23">
        <v>46204.14797453704</v>
      </c>
      <c r="L107" s="22"/>
      <c r="M107" s="18"/>
    </row>
    <row r="108" ht="15.75" customHeight="1">
      <c r="A108" s="18" t="s">
        <v>233</v>
      </c>
      <c r="B108" s="17" t="b">
        <v>1</v>
      </c>
      <c r="C108" s="18">
        <v>0.7</v>
      </c>
      <c r="D108" s="18">
        <v>49.0</v>
      </c>
      <c r="E108" s="18">
        <v>0.0</v>
      </c>
      <c r="F108" s="18">
        <v>0.0</v>
      </c>
      <c r="G108" s="18">
        <v>0.0</v>
      </c>
      <c r="H108" s="20">
        <v>1.0</v>
      </c>
      <c r="I108" s="20">
        <v>0.0</v>
      </c>
      <c r="J108" s="23">
        <v>46201.352002314816</v>
      </c>
      <c r="L108" s="22"/>
      <c r="M108" s="18"/>
    </row>
    <row r="109" ht="15.75" customHeight="1">
      <c r="A109" s="18" t="s">
        <v>234</v>
      </c>
      <c r="B109" s="17" t="b">
        <v>1</v>
      </c>
      <c r="C109" s="18">
        <v>0.7</v>
      </c>
      <c r="D109" s="18">
        <v>49.0</v>
      </c>
      <c r="E109" s="18">
        <v>0.0</v>
      </c>
      <c r="F109" s="18">
        <v>0.0</v>
      </c>
      <c r="G109" s="18">
        <v>0.0</v>
      </c>
      <c r="H109" s="20">
        <v>1.0</v>
      </c>
      <c r="I109" s="20">
        <v>0.0</v>
      </c>
      <c r="J109" s="23">
        <v>46202.482037037036</v>
      </c>
      <c r="L109" s="22"/>
      <c r="M109" s="18"/>
    </row>
    <row r="110" ht="15.75" customHeight="1">
      <c r="A110" s="18" t="s">
        <v>235</v>
      </c>
      <c r="B110" s="17" t="b">
        <v>1</v>
      </c>
      <c r="C110" s="18">
        <v>0.7</v>
      </c>
      <c r="D110" s="18">
        <v>49.0</v>
      </c>
      <c r="E110" s="18">
        <v>996.0</v>
      </c>
      <c r="F110" s="18">
        <v>0.0</v>
      </c>
      <c r="G110" s="18">
        <v>0.0</v>
      </c>
      <c r="H110" s="20">
        <v>1.0</v>
      </c>
      <c r="I110" s="20">
        <v>0.0</v>
      </c>
      <c r="J110" s="23">
        <v>46194.2256712963</v>
      </c>
      <c r="L110" s="22"/>
      <c r="M110" s="18"/>
    </row>
    <row r="111" ht="15.75" customHeight="1">
      <c r="A111" s="18" t="s">
        <v>236</v>
      </c>
      <c r="B111" s="17" t="b">
        <v>1</v>
      </c>
      <c r="C111" s="18">
        <v>0.7</v>
      </c>
      <c r="D111" s="18">
        <v>49.0</v>
      </c>
      <c r="E111" s="18">
        <v>0.0</v>
      </c>
      <c r="F111" s="18">
        <v>0.0</v>
      </c>
      <c r="G111" s="18">
        <v>0.0</v>
      </c>
      <c r="H111" s="20">
        <v>1.0</v>
      </c>
      <c r="I111" s="20">
        <v>0.0</v>
      </c>
      <c r="J111" s="23">
        <v>46192.32513888889</v>
      </c>
      <c r="L111" s="22"/>
      <c r="M111" s="18"/>
    </row>
    <row r="112" ht="15.75" customHeight="1">
      <c r="A112" s="18" t="s">
        <v>72</v>
      </c>
      <c r="B112" s="17" t="b">
        <v>1</v>
      </c>
      <c r="C112" s="18">
        <v>0.7</v>
      </c>
      <c r="D112" s="18">
        <v>49.0</v>
      </c>
      <c r="E112" s="18">
        <v>0.0</v>
      </c>
      <c r="F112" s="18">
        <v>0.0</v>
      </c>
      <c r="G112" s="18">
        <v>0.0</v>
      </c>
      <c r="H112" s="20">
        <v>1.0</v>
      </c>
      <c r="I112" s="20">
        <v>0.0</v>
      </c>
      <c r="J112" s="23">
        <v>46205.62298611111</v>
      </c>
      <c r="L112" s="22"/>
      <c r="M112" s="18"/>
    </row>
    <row r="113" ht="15.75" customHeight="1">
      <c r="A113" s="18" t="s">
        <v>238</v>
      </c>
      <c r="B113" s="17" t="b">
        <v>1</v>
      </c>
      <c r="C113" s="18">
        <v>0.7</v>
      </c>
      <c r="D113" s="18">
        <v>49.0</v>
      </c>
      <c r="E113" s="18">
        <v>0.0</v>
      </c>
      <c r="F113" s="18">
        <v>0.0</v>
      </c>
      <c r="G113" s="18">
        <v>0.0</v>
      </c>
      <c r="H113" s="20">
        <v>1.0</v>
      </c>
      <c r="I113" s="20">
        <v>0.0</v>
      </c>
      <c r="J113" s="23">
        <v>46201.06344907408</v>
      </c>
      <c r="L113" s="22"/>
      <c r="M113" s="18"/>
    </row>
    <row r="114" ht="15.75" customHeight="1">
      <c r="A114" s="18" t="s">
        <v>240</v>
      </c>
      <c r="B114" s="17" t="b">
        <v>1</v>
      </c>
      <c r="C114" s="18">
        <v>0.7</v>
      </c>
      <c r="D114" s="18">
        <v>49.0</v>
      </c>
      <c r="E114" s="18">
        <v>0.0</v>
      </c>
      <c r="F114" s="18">
        <v>0.0</v>
      </c>
      <c r="G114" s="18">
        <v>0.0</v>
      </c>
      <c r="H114" s="20">
        <v>1.0</v>
      </c>
      <c r="I114" s="20">
        <v>0.0</v>
      </c>
      <c r="J114" s="23">
        <v>46202.15023148148</v>
      </c>
      <c r="L114" s="22"/>
      <c r="M114" s="18"/>
    </row>
    <row r="115" ht="15.75" customHeight="1">
      <c r="A115" s="18" t="s">
        <v>75</v>
      </c>
      <c r="B115" s="17" t="b">
        <v>1</v>
      </c>
      <c r="C115" s="18">
        <v>0.7</v>
      </c>
      <c r="D115" s="18">
        <v>49.0</v>
      </c>
      <c r="E115" s="18">
        <v>0.0</v>
      </c>
      <c r="F115" s="18">
        <v>0.0</v>
      </c>
      <c r="G115" s="18">
        <v>0.0</v>
      </c>
      <c r="H115" s="20">
        <v>1.0</v>
      </c>
      <c r="I115" s="20">
        <v>0.0</v>
      </c>
      <c r="J115" s="23">
        <v>46205.86399305556</v>
      </c>
      <c r="L115" s="22"/>
      <c r="M115" s="18"/>
    </row>
    <row r="116" ht="15.75" customHeight="1">
      <c r="A116" s="18" t="s">
        <v>77</v>
      </c>
      <c r="B116" s="17" t="b">
        <v>1</v>
      </c>
      <c r="C116" s="18">
        <v>0.7</v>
      </c>
      <c r="D116" s="18">
        <v>49.0</v>
      </c>
      <c r="E116" s="18">
        <v>0.0</v>
      </c>
      <c r="F116" s="18">
        <v>0.0</v>
      </c>
      <c r="G116" s="18">
        <v>0.0</v>
      </c>
      <c r="H116" s="20">
        <v>1.0</v>
      </c>
      <c r="I116" s="20">
        <v>0.0</v>
      </c>
      <c r="J116" s="23">
        <v>46204.37480324074</v>
      </c>
      <c r="L116" s="22"/>
      <c r="M116" s="18"/>
    </row>
    <row r="117" ht="15.75" customHeight="1">
      <c r="A117" s="18" t="s">
        <v>79</v>
      </c>
      <c r="B117" s="17" t="b">
        <v>1</v>
      </c>
      <c r="C117" s="18">
        <v>0.7</v>
      </c>
      <c r="D117" s="18">
        <v>49.0</v>
      </c>
      <c r="E117" s="18">
        <v>0.0</v>
      </c>
      <c r="F117" s="18">
        <v>0.0</v>
      </c>
      <c r="G117" s="18">
        <v>0.0</v>
      </c>
      <c r="H117" s="20">
        <v>1.0</v>
      </c>
      <c r="I117" s="20">
        <v>0.0</v>
      </c>
      <c r="J117" s="23">
        <v>46203.13684027778</v>
      </c>
      <c r="L117" s="22"/>
      <c r="M117" s="18"/>
    </row>
    <row r="118" ht="15.75" customHeight="1">
      <c r="A118" s="15" t="s">
        <v>81</v>
      </c>
      <c r="B118" s="17" t="b">
        <v>1</v>
      </c>
      <c r="C118" s="18">
        <v>0.0</v>
      </c>
      <c r="D118" s="18">
        <v>34.0</v>
      </c>
      <c r="E118" s="18">
        <v>73577.0</v>
      </c>
      <c r="F118" s="18">
        <v>0.0</v>
      </c>
      <c r="G118" s="18">
        <v>0.0</v>
      </c>
      <c r="H118" s="20">
        <v>2.0</v>
      </c>
      <c r="I118" s="20">
        <v>1.0</v>
      </c>
      <c r="J118" s="23">
        <v>46211.65775462963</v>
      </c>
      <c r="L118" s="22"/>
      <c r="M118" s="18"/>
    </row>
    <row r="119" ht="15.75" customHeight="1">
      <c r="A119" s="18" t="s">
        <v>84</v>
      </c>
      <c r="B119" s="17" t="b">
        <v>1</v>
      </c>
      <c r="C119" s="18">
        <v>0.0</v>
      </c>
      <c r="D119" s="18">
        <v>0.0</v>
      </c>
      <c r="E119" s="18">
        <v>0.0</v>
      </c>
      <c r="F119" s="18">
        <v>0.0</v>
      </c>
      <c r="G119" s="18">
        <v>0.0</v>
      </c>
      <c r="H119" s="20">
        <v>1.0</v>
      </c>
      <c r="I119" s="20">
        <v>0.0</v>
      </c>
      <c r="J119" s="23">
        <v>46226.01215277778</v>
      </c>
      <c r="L119" s="22"/>
      <c r="M119" s="18"/>
    </row>
    <row r="120" ht="15.75" customHeight="1">
      <c r="A120" s="18" t="s">
        <v>88</v>
      </c>
      <c r="B120" s="17" t="b">
        <v>1</v>
      </c>
      <c r="C120" s="18">
        <v>0.0</v>
      </c>
      <c r="D120" s="18">
        <v>0.0</v>
      </c>
      <c r="E120" s="18">
        <v>0.0</v>
      </c>
      <c r="F120" s="18">
        <v>0.0</v>
      </c>
      <c r="G120" s="18">
        <v>0.0</v>
      </c>
      <c r="H120" s="20">
        <v>1.0</v>
      </c>
      <c r="I120" s="20">
        <v>0.0</v>
      </c>
      <c r="J120" s="23">
        <v>46232.70959490741</v>
      </c>
      <c r="L120" s="22"/>
      <c r="M120" s="18"/>
    </row>
    <row r="121" ht="15.75" customHeight="1">
      <c r="A121" s="18" t="s">
        <v>90</v>
      </c>
      <c r="B121" s="17" t="b">
        <v>1</v>
      </c>
      <c r="C121" s="18">
        <v>0.0</v>
      </c>
      <c r="D121" s="18">
        <v>0.0</v>
      </c>
      <c r="E121" s="18">
        <v>0.0</v>
      </c>
      <c r="F121" s="18">
        <v>0.0</v>
      </c>
      <c r="G121" s="18">
        <v>0.0</v>
      </c>
      <c r="H121" s="20">
        <v>1.0</v>
      </c>
      <c r="I121" s="20">
        <v>0.0</v>
      </c>
      <c r="J121" s="23">
        <v>46227.292233796295</v>
      </c>
      <c r="L121" s="22"/>
      <c r="M121" s="18"/>
    </row>
    <row r="122" ht="15.75" customHeight="1">
      <c r="A122" s="18" t="s">
        <v>92</v>
      </c>
      <c r="B122" s="17" t="b">
        <v>1</v>
      </c>
      <c r="C122" s="18">
        <v>0.0</v>
      </c>
      <c r="D122" s="18">
        <v>0.0</v>
      </c>
      <c r="E122" s="18">
        <v>0.0</v>
      </c>
      <c r="F122" s="18">
        <v>0.0</v>
      </c>
      <c r="G122" s="18">
        <v>0.0</v>
      </c>
      <c r="H122" s="20">
        <v>1.0</v>
      </c>
      <c r="I122" s="20">
        <v>0.0</v>
      </c>
      <c r="J122" s="23">
        <v>46228.600127314814</v>
      </c>
      <c r="L122" s="22"/>
      <c r="M122" s="18"/>
    </row>
    <row r="123" ht="15.75" customHeight="1">
      <c r="A123" s="18" t="s">
        <v>96</v>
      </c>
      <c r="B123" s="17" t="b">
        <v>1</v>
      </c>
      <c r="C123" s="18">
        <v>0.0</v>
      </c>
      <c r="D123" s="18">
        <v>0.0</v>
      </c>
      <c r="E123" s="18">
        <v>0.0</v>
      </c>
      <c r="F123" s="18">
        <v>0.0</v>
      </c>
      <c r="G123" s="18">
        <v>0.0</v>
      </c>
      <c r="H123" s="20">
        <v>1.0</v>
      </c>
      <c r="I123" s="20">
        <v>0.0</v>
      </c>
      <c r="J123" s="23">
        <v>46224.071388888886</v>
      </c>
      <c r="L123" s="22"/>
      <c r="M123" s="18"/>
    </row>
    <row r="124" ht="15.75" customHeight="1">
      <c r="A124" s="18" t="s">
        <v>99</v>
      </c>
      <c r="B124" s="17" t="b">
        <v>1</v>
      </c>
      <c r="C124" s="18">
        <v>0.0</v>
      </c>
      <c r="D124" s="18">
        <v>0.0</v>
      </c>
      <c r="E124" s="18">
        <v>0.0</v>
      </c>
      <c r="F124" s="18">
        <v>0.0</v>
      </c>
      <c r="G124" s="18">
        <v>0.0</v>
      </c>
      <c r="H124" s="20">
        <v>1.0</v>
      </c>
      <c r="I124" s="20">
        <v>0.0</v>
      </c>
      <c r="J124" s="23">
        <v>46227.2790625</v>
      </c>
      <c r="L124" s="22"/>
      <c r="M124" s="18"/>
    </row>
    <row r="125" ht="15.75" customHeight="1">
      <c r="A125" s="18" t="s">
        <v>103</v>
      </c>
      <c r="B125" s="17" t="b">
        <v>1</v>
      </c>
      <c r="C125" s="18">
        <v>0.0</v>
      </c>
      <c r="D125" s="18">
        <v>0.0</v>
      </c>
      <c r="E125" s="18">
        <v>0.0</v>
      </c>
      <c r="F125" s="18">
        <v>0.0</v>
      </c>
      <c r="G125" s="18">
        <v>0.0</v>
      </c>
      <c r="H125" s="20">
        <v>1.0</v>
      </c>
      <c r="I125" s="20">
        <v>0.0</v>
      </c>
      <c r="J125" s="23">
        <v>46227.660266203704</v>
      </c>
      <c r="L125" s="22"/>
      <c r="M125" s="18"/>
    </row>
    <row r="126" ht="15.75" customHeight="1">
      <c r="A126" s="18" t="s">
        <v>105</v>
      </c>
      <c r="B126" s="17" t="b">
        <v>1</v>
      </c>
      <c r="C126" s="18">
        <v>0.0</v>
      </c>
      <c r="D126" s="18">
        <v>0.0</v>
      </c>
      <c r="E126" s="18">
        <v>0.0</v>
      </c>
      <c r="F126" s="18">
        <v>0.0</v>
      </c>
      <c r="G126" s="18">
        <v>0.0</v>
      </c>
      <c r="H126" s="20">
        <v>1.0</v>
      </c>
      <c r="I126" s="20">
        <v>0.0</v>
      </c>
      <c r="J126" s="23">
        <v>46224.0678125</v>
      </c>
      <c r="L126" s="22"/>
      <c r="M126" s="22"/>
    </row>
    <row r="127" ht="15.75" customHeight="1">
      <c r="A127" s="18" t="s">
        <v>107</v>
      </c>
      <c r="B127" s="17" t="b">
        <v>1</v>
      </c>
      <c r="C127" s="18">
        <v>0.0</v>
      </c>
      <c r="D127" s="18">
        <v>0.0</v>
      </c>
      <c r="E127" s="18">
        <v>0.0</v>
      </c>
      <c r="F127" s="18">
        <v>0.0</v>
      </c>
      <c r="G127" s="18">
        <v>0.0</v>
      </c>
      <c r="H127" s="20">
        <v>1.0</v>
      </c>
      <c r="I127" s="20">
        <v>0.0</v>
      </c>
      <c r="J127" s="23">
        <v>46226.178298611114</v>
      </c>
      <c r="L127" s="22"/>
      <c r="M127" s="18"/>
    </row>
    <row r="128" ht="15.75" customHeight="1">
      <c r="A128" s="18" t="s">
        <v>109</v>
      </c>
      <c r="B128" s="17" t="b">
        <v>1</v>
      </c>
      <c r="C128" s="18">
        <v>0.0</v>
      </c>
      <c r="D128" s="18">
        <v>0.0</v>
      </c>
      <c r="E128" s="18">
        <v>0.0</v>
      </c>
      <c r="F128" s="18">
        <v>0.0</v>
      </c>
      <c r="G128" s="18">
        <v>0.0</v>
      </c>
      <c r="H128" s="20">
        <v>1.0</v>
      </c>
      <c r="I128" s="20">
        <v>0.0</v>
      </c>
      <c r="J128" s="23">
        <v>46224.297997685186</v>
      </c>
      <c r="L128" s="22"/>
      <c r="M128" s="22"/>
    </row>
    <row r="129" ht="15.75" customHeight="1">
      <c r="A129" s="18" t="s">
        <v>111</v>
      </c>
      <c r="B129" s="17" t="b">
        <v>1</v>
      </c>
      <c r="C129" s="18">
        <v>0.0</v>
      </c>
      <c r="D129" s="18">
        <v>0.0</v>
      </c>
      <c r="E129" s="18">
        <v>0.0</v>
      </c>
      <c r="F129" s="18">
        <v>0.0</v>
      </c>
      <c r="G129" s="18">
        <v>0.0</v>
      </c>
      <c r="H129" s="20">
        <v>1.0</v>
      </c>
      <c r="I129" s="20">
        <v>0.0</v>
      </c>
      <c r="J129" s="23">
        <v>46232.70209490741</v>
      </c>
      <c r="L129" s="22"/>
      <c r="M129" s="18"/>
    </row>
    <row r="130" ht="15.75" customHeight="1">
      <c r="A130" s="18" t="s">
        <v>113</v>
      </c>
      <c r="B130" s="17" t="b">
        <v>1</v>
      </c>
      <c r="C130" s="18">
        <v>0.0</v>
      </c>
      <c r="D130" s="18">
        <v>0.0</v>
      </c>
      <c r="E130" s="18">
        <v>0.0</v>
      </c>
      <c r="F130" s="18">
        <v>0.0</v>
      </c>
      <c r="G130" s="18">
        <v>0.0</v>
      </c>
      <c r="H130" s="20">
        <v>1.0</v>
      </c>
      <c r="I130" s="20">
        <v>0.0</v>
      </c>
      <c r="J130" s="23">
        <v>46227.167858796296</v>
      </c>
      <c r="L130" s="22"/>
      <c r="M130" s="18"/>
    </row>
    <row r="131" ht="15.75" customHeight="1">
      <c r="A131" s="18" t="s">
        <v>116</v>
      </c>
      <c r="B131" s="17" t="b">
        <v>1</v>
      </c>
      <c r="C131" s="18">
        <v>0.0</v>
      </c>
      <c r="D131" s="18">
        <v>0.0</v>
      </c>
      <c r="E131" s="18">
        <v>0.0</v>
      </c>
      <c r="F131" s="18">
        <v>0.0</v>
      </c>
      <c r="G131" s="18">
        <v>0.0</v>
      </c>
      <c r="H131" s="20">
        <v>1.0</v>
      </c>
      <c r="I131" s="20">
        <v>0.0</v>
      </c>
      <c r="J131" s="23">
        <v>46227.00150462963</v>
      </c>
      <c r="L131" s="22"/>
      <c r="M131" s="22"/>
    </row>
    <row r="132" ht="15.75" customHeight="1">
      <c r="A132" s="20" t="s">
        <v>118</v>
      </c>
      <c r="B132" s="16" t="b">
        <v>1</v>
      </c>
      <c r="C132" s="20">
        <v>0.0</v>
      </c>
      <c r="D132" s="20">
        <v>0.0</v>
      </c>
      <c r="E132" s="20">
        <v>0.0</v>
      </c>
      <c r="F132" s="20">
        <v>0.0</v>
      </c>
      <c r="G132" s="20">
        <v>0.0</v>
      </c>
      <c r="H132" s="20">
        <v>1.0</v>
      </c>
      <c r="I132" s="20">
        <v>0.0</v>
      </c>
      <c r="J132" s="23">
        <v>46231.89050925926</v>
      </c>
      <c r="L132" s="23"/>
      <c r="M132" s="23"/>
    </row>
    <row r="133" ht="15.75" customHeight="1">
      <c r="A133" s="20" t="s">
        <v>121</v>
      </c>
      <c r="B133" s="16" t="b">
        <v>1</v>
      </c>
      <c r="C133" s="20">
        <v>0.0</v>
      </c>
      <c r="D133" s="20">
        <v>0.0</v>
      </c>
      <c r="E133" s="20">
        <v>0.0</v>
      </c>
      <c r="F133" s="20">
        <v>0.0</v>
      </c>
      <c r="G133" s="20">
        <v>0.0</v>
      </c>
      <c r="H133" s="20">
        <v>1.0</v>
      </c>
      <c r="I133" s="20">
        <v>0.0</v>
      </c>
      <c r="J133" s="23">
        <v>46227.43819444445</v>
      </c>
      <c r="L133" s="23"/>
    </row>
    <row r="134" ht="15.75" customHeight="1">
      <c r="A134" s="20" t="s">
        <v>122</v>
      </c>
      <c r="B134" s="16" t="b">
        <v>1</v>
      </c>
      <c r="C134" s="20">
        <v>0.0</v>
      </c>
      <c r="D134" s="20">
        <v>0.0</v>
      </c>
      <c r="E134" s="20">
        <v>0.0</v>
      </c>
      <c r="F134" s="20">
        <v>0.0</v>
      </c>
      <c r="G134" s="20">
        <v>0.0</v>
      </c>
      <c r="H134" s="20">
        <v>1.0</v>
      </c>
      <c r="I134" s="20">
        <v>0.0</v>
      </c>
      <c r="J134" s="23">
        <v>46226.393645833334</v>
      </c>
      <c r="L134" s="23"/>
    </row>
    <row r="135" ht="15.75" customHeight="1">
      <c r="A135" s="20" t="s">
        <v>125</v>
      </c>
      <c r="B135" s="16" t="b">
        <v>1</v>
      </c>
      <c r="C135" s="20">
        <v>0.0</v>
      </c>
      <c r="D135" s="20">
        <v>0.0</v>
      </c>
      <c r="E135" s="20">
        <v>0.0</v>
      </c>
      <c r="F135" s="20">
        <v>0.0</v>
      </c>
      <c r="G135" s="20">
        <v>0.0</v>
      </c>
      <c r="H135" s="20">
        <v>1.0</v>
      </c>
      <c r="I135" s="20">
        <v>0.0</v>
      </c>
      <c r="J135" s="23">
        <v>46227.30243055556</v>
      </c>
      <c r="L135" s="23"/>
    </row>
    <row r="136" ht="15.75" customHeight="1">
      <c r="A136" s="20" t="s">
        <v>128</v>
      </c>
      <c r="B136" s="16" t="b">
        <v>1</v>
      </c>
      <c r="C136" s="20">
        <v>0.0</v>
      </c>
      <c r="D136" s="20">
        <v>0.0</v>
      </c>
      <c r="E136" s="20">
        <v>0.0</v>
      </c>
      <c r="F136" s="20">
        <v>0.0</v>
      </c>
      <c r="G136" s="20">
        <v>0.0</v>
      </c>
      <c r="H136" s="20">
        <v>1.0</v>
      </c>
      <c r="I136" s="20">
        <v>0.0</v>
      </c>
      <c r="J136" s="23">
        <v>46222.396828703706</v>
      </c>
      <c r="L136" s="23"/>
    </row>
    <row r="137" ht="15.75" customHeight="1">
      <c r="A137" s="20" t="s">
        <v>131</v>
      </c>
      <c r="B137" s="16" t="b">
        <v>1</v>
      </c>
      <c r="C137" s="20">
        <v>0.0</v>
      </c>
      <c r="D137" s="20">
        <v>0.0</v>
      </c>
      <c r="E137" s="20">
        <v>0.0</v>
      </c>
      <c r="F137" s="20">
        <v>0.0</v>
      </c>
      <c r="G137" s="20">
        <v>0.0</v>
      </c>
      <c r="H137" s="20">
        <v>1.0</v>
      </c>
      <c r="I137" s="20">
        <v>0.0</v>
      </c>
      <c r="J137" s="23">
        <v>46227.296875</v>
      </c>
      <c r="L137" s="23"/>
    </row>
    <row r="138" ht="15.75" customHeight="1">
      <c r="A138" s="20" t="s">
        <v>133</v>
      </c>
      <c r="B138" s="16" t="b">
        <v>1</v>
      </c>
      <c r="C138" s="20">
        <v>0.0</v>
      </c>
      <c r="D138" s="20">
        <v>0.0</v>
      </c>
      <c r="E138" s="20">
        <v>0.0</v>
      </c>
      <c r="F138" s="20">
        <v>0.0</v>
      </c>
      <c r="G138" s="20">
        <v>0.0</v>
      </c>
      <c r="H138" s="20">
        <v>1.0</v>
      </c>
      <c r="I138" s="20">
        <v>0.0</v>
      </c>
      <c r="J138" s="23">
        <v>46226.772835648146</v>
      </c>
      <c r="L138" s="23"/>
    </row>
    <row r="139" ht="15.75" customHeight="1">
      <c r="A139" s="20" t="s">
        <v>135</v>
      </c>
      <c r="B139" s="16" t="b">
        <v>1</v>
      </c>
      <c r="C139" s="20">
        <v>0.0</v>
      </c>
      <c r="D139" s="20">
        <v>0.0</v>
      </c>
      <c r="E139" s="20">
        <v>0.0</v>
      </c>
      <c r="F139" s="20">
        <v>0.0</v>
      </c>
      <c r="G139" s="20">
        <v>0.0</v>
      </c>
      <c r="H139" s="20">
        <v>1.0</v>
      </c>
      <c r="I139" s="20">
        <v>0.0</v>
      </c>
      <c r="J139" s="23">
        <v>46222.36907407407</v>
      </c>
      <c r="L139" s="23"/>
    </row>
    <row r="140" ht="15.75" customHeight="1">
      <c r="A140" s="20" t="s">
        <v>138</v>
      </c>
      <c r="B140" s="16" t="b">
        <v>1</v>
      </c>
      <c r="C140" s="20">
        <v>0.0</v>
      </c>
      <c r="D140" s="20">
        <v>0.0</v>
      </c>
      <c r="E140" s="20">
        <v>0.0</v>
      </c>
      <c r="F140" s="20">
        <v>0.0</v>
      </c>
      <c r="G140" s="20">
        <v>0.0</v>
      </c>
      <c r="H140" s="20">
        <v>1.0</v>
      </c>
      <c r="I140" s="20">
        <v>0.0</v>
      </c>
      <c r="J140" s="23">
        <v>46232.11646990741</v>
      </c>
      <c r="L140" s="23"/>
    </row>
    <row r="141" ht="15.75" customHeight="1">
      <c r="A141" s="20" t="s">
        <v>140</v>
      </c>
      <c r="B141" s="16" t="b">
        <v>1</v>
      </c>
      <c r="C141" s="20">
        <v>0.0</v>
      </c>
      <c r="D141" s="20">
        <v>0.0</v>
      </c>
      <c r="E141" s="20">
        <v>0.0</v>
      </c>
      <c r="F141" s="20">
        <v>0.0</v>
      </c>
      <c r="G141" s="20">
        <v>0.0</v>
      </c>
      <c r="H141" s="20">
        <v>1.0</v>
      </c>
      <c r="I141" s="20">
        <v>0.0</v>
      </c>
      <c r="J141" s="23">
        <v>46226.70199074074</v>
      </c>
      <c r="L141" s="23"/>
    </row>
    <row r="142" ht="15.75" customHeight="1">
      <c r="A142" s="20" t="s">
        <v>141</v>
      </c>
      <c r="B142" s="16" t="b">
        <v>1</v>
      </c>
      <c r="C142" s="20">
        <v>0.0</v>
      </c>
      <c r="D142" s="20">
        <v>0.0</v>
      </c>
      <c r="E142" s="20">
        <v>0.0</v>
      </c>
      <c r="F142" s="20">
        <v>0.0</v>
      </c>
      <c r="G142" s="20">
        <v>0.0</v>
      </c>
      <c r="H142" s="20">
        <v>1.0</v>
      </c>
      <c r="I142" s="20">
        <v>0.0</v>
      </c>
      <c r="J142" s="23">
        <v>46222.89733796296</v>
      </c>
      <c r="L142" s="23"/>
    </row>
    <row r="143" ht="15.75" customHeight="1">
      <c r="A143" s="20" t="s">
        <v>145</v>
      </c>
      <c r="B143" s="16" t="b">
        <v>1</v>
      </c>
      <c r="C143" s="20">
        <v>0.0</v>
      </c>
      <c r="D143" s="20">
        <v>0.0</v>
      </c>
      <c r="E143" s="20">
        <v>0.0</v>
      </c>
      <c r="F143" s="20">
        <v>0.0</v>
      </c>
      <c r="G143" s="20">
        <v>0.0</v>
      </c>
      <c r="H143" s="20">
        <v>1.0</v>
      </c>
      <c r="I143" s="20">
        <v>0.0</v>
      </c>
      <c r="J143" s="23">
        <v>46225.97039351852</v>
      </c>
      <c r="L143" s="23"/>
    </row>
    <row r="144" ht="15.75" customHeight="1">
      <c r="A144" s="20" t="s">
        <v>148</v>
      </c>
      <c r="B144" s="16" t="b">
        <v>1</v>
      </c>
      <c r="C144" s="20">
        <v>0.0</v>
      </c>
      <c r="D144" s="20">
        <v>0.0</v>
      </c>
      <c r="E144" s="20">
        <v>0.0</v>
      </c>
      <c r="F144" s="20">
        <v>0.0</v>
      </c>
      <c r="G144" s="20">
        <v>0.0</v>
      </c>
      <c r="H144" s="20">
        <v>1.0</v>
      </c>
      <c r="I144" s="20">
        <v>0.0</v>
      </c>
      <c r="J144" s="23">
        <v>46226.161678240744</v>
      </c>
      <c r="L144" s="23"/>
    </row>
    <row r="145" ht="15.75" customHeight="1">
      <c r="A145" s="20" t="s">
        <v>150</v>
      </c>
      <c r="B145" s="16" t="b">
        <v>1</v>
      </c>
      <c r="C145" s="20">
        <v>0.0</v>
      </c>
      <c r="D145" s="20">
        <v>0.0</v>
      </c>
      <c r="E145" s="20">
        <v>0.0</v>
      </c>
      <c r="F145" s="20">
        <v>0.0</v>
      </c>
      <c r="G145" s="20">
        <v>0.0</v>
      </c>
      <c r="H145" s="20">
        <v>1.0</v>
      </c>
      <c r="I145" s="20">
        <v>0.0</v>
      </c>
      <c r="J145" s="23">
        <v>46230.301886574074</v>
      </c>
      <c r="L145" s="23"/>
    </row>
    <row r="146" ht="15.75" customHeight="1">
      <c r="A146" s="20" t="s">
        <v>153</v>
      </c>
      <c r="B146" s="16" t="b">
        <v>1</v>
      </c>
      <c r="C146" s="20">
        <v>0.0</v>
      </c>
      <c r="D146" s="20">
        <v>0.0</v>
      </c>
      <c r="E146" s="20">
        <v>0.0</v>
      </c>
      <c r="F146" s="20">
        <v>0.0</v>
      </c>
      <c r="G146" s="20">
        <v>0.0</v>
      </c>
      <c r="H146" s="20">
        <v>1.0</v>
      </c>
      <c r="I146" s="20">
        <v>0.0</v>
      </c>
      <c r="J146" s="23">
        <v>46227.37583333333</v>
      </c>
      <c r="L146" s="23"/>
    </row>
    <row r="147" ht="15.75" customHeight="1">
      <c r="A147" s="20" t="s">
        <v>155</v>
      </c>
      <c r="B147" s="16" t="b">
        <v>1</v>
      </c>
      <c r="C147" s="20">
        <v>0.0</v>
      </c>
      <c r="D147" s="20">
        <v>0.0</v>
      </c>
      <c r="E147" s="20">
        <v>0.0</v>
      </c>
      <c r="F147" s="20">
        <v>0.0</v>
      </c>
      <c r="G147" s="20">
        <v>0.0</v>
      </c>
      <c r="H147" s="20">
        <v>1.0</v>
      </c>
      <c r="I147" s="20">
        <v>0.0</v>
      </c>
      <c r="J147" s="23">
        <v>46227.210914351854</v>
      </c>
      <c r="L147" s="23"/>
    </row>
    <row r="148" ht="15.75" customHeight="1">
      <c r="A148" s="20" t="s">
        <v>158</v>
      </c>
      <c r="B148" s="16" t="b">
        <v>1</v>
      </c>
      <c r="C148" s="20">
        <v>0.0</v>
      </c>
      <c r="D148" s="20">
        <v>0.0</v>
      </c>
      <c r="E148" s="20">
        <v>0.0</v>
      </c>
      <c r="F148" s="20">
        <v>0.0</v>
      </c>
      <c r="G148" s="20">
        <v>0.0</v>
      </c>
      <c r="H148" s="20">
        <v>1.0</v>
      </c>
      <c r="I148" s="20">
        <v>0.0</v>
      </c>
      <c r="J148" s="23">
        <v>46227.441412037035</v>
      </c>
      <c r="L148" s="23"/>
    </row>
    <row r="149" ht="15.75" customHeight="1">
      <c r="A149" s="20" t="s">
        <v>161</v>
      </c>
      <c r="B149" s="16" t="b">
        <v>1</v>
      </c>
      <c r="C149" s="20">
        <v>0.0</v>
      </c>
      <c r="D149" s="20">
        <v>0.0</v>
      </c>
      <c r="E149" s="20">
        <v>0.0</v>
      </c>
      <c r="F149" s="20">
        <v>0.0</v>
      </c>
      <c r="G149" s="20">
        <v>0.0</v>
      </c>
      <c r="H149" s="20">
        <v>1.0</v>
      </c>
      <c r="I149" s="20">
        <v>0.0</v>
      </c>
      <c r="J149" s="23">
        <v>46229.312627314815</v>
      </c>
      <c r="L149" s="23"/>
    </row>
    <row r="150" ht="15.75" customHeight="1">
      <c r="A150" s="20" t="s">
        <v>165</v>
      </c>
      <c r="B150" s="16" t="b">
        <v>1</v>
      </c>
      <c r="C150" s="20">
        <v>0.0</v>
      </c>
      <c r="D150" s="20">
        <v>0.0</v>
      </c>
      <c r="E150" s="20">
        <v>0.0</v>
      </c>
      <c r="F150" s="20">
        <v>0.0</v>
      </c>
      <c r="G150" s="20">
        <v>0.0</v>
      </c>
      <c r="H150" s="20">
        <v>1.0</v>
      </c>
      <c r="I150" s="20">
        <v>0.0</v>
      </c>
      <c r="J150" s="23">
        <v>46226.1565162037</v>
      </c>
      <c r="L150" s="23"/>
    </row>
    <row r="151" ht="15.75" customHeight="1">
      <c r="A151" s="20" t="s">
        <v>170</v>
      </c>
      <c r="B151" s="16" t="b">
        <v>1</v>
      </c>
      <c r="C151" s="20">
        <v>0.0</v>
      </c>
      <c r="D151" s="20">
        <v>0.0</v>
      </c>
      <c r="E151" s="20">
        <v>0.0</v>
      </c>
      <c r="F151" s="20">
        <v>0.0</v>
      </c>
      <c r="G151" s="20">
        <v>0.0</v>
      </c>
      <c r="H151" s="20">
        <v>1.0</v>
      </c>
      <c r="I151" s="20">
        <v>0.0</v>
      </c>
      <c r="J151" s="23">
        <v>46224.582604166666</v>
      </c>
      <c r="L151" s="23"/>
    </row>
    <row r="152" ht="15.75" customHeight="1">
      <c r="A152" s="20" t="s">
        <v>175</v>
      </c>
      <c r="B152" s="16" t="b">
        <v>1</v>
      </c>
      <c r="C152" s="20">
        <v>0.0</v>
      </c>
      <c r="D152" s="20">
        <v>0.0</v>
      </c>
      <c r="E152" s="20">
        <v>0.0</v>
      </c>
      <c r="F152" s="20">
        <v>0.0</v>
      </c>
      <c r="G152" s="20">
        <v>0.0</v>
      </c>
      <c r="H152" s="20">
        <v>1.0</v>
      </c>
      <c r="I152" s="20">
        <v>0.0</v>
      </c>
      <c r="J152" s="23">
        <v>46228.613912037035</v>
      </c>
      <c r="L152" s="23"/>
    </row>
    <row r="153" ht="15.75" customHeight="1">
      <c r="A153" s="20" t="s">
        <v>178</v>
      </c>
      <c r="B153" s="16" t="b">
        <v>1</v>
      </c>
      <c r="C153" s="20">
        <v>0.0</v>
      </c>
      <c r="D153" s="20">
        <v>0.0</v>
      </c>
      <c r="E153" s="20">
        <v>0.0</v>
      </c>
      <c r="F153" s="20">
        <v>0.0</v>
      </c>
      <c r="G153" s="20">
        <v>0.0</v>
      </c>
      <c r="H153" s="20">
        <v>1.0</v>
      </c>
      <c r="I153" s="20">
        <v>0.0</v>
      </c>
      <c r="J153" s="23">
        <v>46231.624085648145</v>
      </c>
      <c r="L153" s="23"/>
    </row>
    <row r="154" ht="15.75" customHeight="1">
      <c r="A154" s="20" t="s">
        <v>182</v>
      </c>
      <c r="B154" s="16" t="b">
        <v>1</v>
      </c>
      <c r="C154" s="20">
        <v>0.0</v>
      </c>
      <c r="D154" s="20">
        <v>0.0</v>
      </c>
      <c r="E154" s="20">
        <v>0.0</v>
      </c>
      <c r="F154" s="20">
        <v>0.0</v>
      </c>
      <c r="G154" s="20">
        <v>0.0</v>
      </c>
      <c r="H154" s="20">
        <v>1.0</v>
      </c>
      <c r="I154" s="20">
        <v>0.0</v>
      </c>
      <c r="J154" s="23">
        <v>46226.925150462965</v>
      </c>
      <c r="L154" s="23"/>
    </row>
    <row r="155" ht="15.75" customHeight="1">
      <c r="A155" s="20" t="s">
        <v>185</v>
      </c>
      <c r="B155" s="16" t="b">
        <v>1</v>
      </c>
      <c r="C155" s="20">
        <v>0.0</v>
      </c>
      <c r="D155" s="20">
        <v>0.0</v>
      </c>
      <c r="E155" s="20">
        <v>0.0</v>
      </c>
      <c r="F155" s="20">
        <v>0.0</v>
      </c>
      <c r="G155" s="20">
        <v>0.0</v>
      </c>
      <c r="H155" s="20">
        <v>1.0</v>
      </c>
      <c r="I155" s="20">
        <v>0.0</v>
      </c>
      <c r="J155" s="23">
        <v>46227.32642361111</v>
      </c>
      <c r="L155" s="23"/>
    </row>
    <row r="156" ht="15.75" customHeight="1">
      <c r="A156" s="20" t="s">
        <v>188</v>
      </c>
      <c r="B156" s="16" t="b">
        <v>1</v>
      </c>
      <c r="C156" s="20">
        <v>0.0</v>
      </c>
      <c r="D156" s="20">
        <v>0.0</v>
      </c>
      <c r="E156" s="20">
        <v>0.0</v>
      </c>
      <c r="F156" s="20">
        <v>0.0</v>
      </c>
      <c r="G156" s="20">
        <v>0.0</v>
      </c>
      <c r="H156" s="20">
        <v>1.0</v>
      </c>
      <c r="I156" s="20">
        <v>0.0</v>
      </c>
      <c r="J156" s="23">
        <v>46231.52815972222</v>
      </c>
      <c r="L156" s="23"/>
    </row>
    <row r="157" ht="15.75" customHeight="1">
      <c r="A157" s="20" t="s">
        <v>190</v>
      </c>
      <c r="B157" s="16" t="b">
        <v>1</v>
      </c>
      <c r="C157" s="20">
        <v>0.0</v>
      </c>
      <c r="D157" s="20">
        <v>0.0</v>
      </c>
      <c r="E157" s="20">
        <v>0.0</v>
      </c>
      <c r="F157" s="20">
        <v>0.0</v>
      </c>
      <c r="G157" s="20">
        <v>0.0</v>
      </c>
      <c r="H157" s="20">
        <v>1.0</v>
      </c>
      <c r="I157" s="20">
        <v>0.0</v>
      </c>
      <c r="J157" s="23">
        <v>46228.678622685184</v>
      </c>
      <c r="L157" s="23"/>
    </row>
    <row r="158" ht="15.75" customHeight="1">
      <c r="A158" s="20" t="s">
        <v>192</v>
      </c>
      <c r="B158" s="16" t="b">
        <v>1</v>
      </c>
      <c r="C158" s="20">
        <v>0.0</v>
      </c>
      <c r="D158" s="20">
        <v>0.0</v>
      </c>
      <c r="E158" s="20">
        <v>0.0</v>
      </c>
      <c r="F158" s="20">
        <v>0.0</v>
      </c>
      <c r="G158" s="20">
        <v>0.0</v>
      </c>
      <c r="H158" s="20">
        <v>1.0</v>
      </c>
      <c r="I158" s="20">
        <v>0.0</v>
      </c>
      <c r="J158" s="23">
        <v>46227.120474537034</v>
      </c>
      <c r="L158" s="23"/>
    </row>
    <row r="159" ht="15.75" customHeight="1">
      <c r="A159" s="20" t="s">
        <v>196</v>
      </c>
      <c r="B159" s="16" t="b">
        <v>1</v>
      </c>
      <c r="C159" s="20">
        <v>0.0</v>
      </c>
      <c r="D159" s="20">
        <v>0.0</v>
      </c>
      <c r="E159" s="20">
        <v>0.0</v>
      </c>
      <c r="F159" s="20">
        <v>0.0</v>
      </c>
      <c r="G159" s="20">
        <v>0.0</v>
      </c>
      <c r="H159" s="20">
        <v>1.0</v>
      </c>
      <c r="I159" s="20">
        <v>0.0</v>
      </c>
      <c r="J159" s="23">
        <v>46227.93215277778</v>
      </c>
      <c r="L159" s="23"/>
    </row>
    <row r="160" ht="15.75" customHeight="1">
      <c r="A160" s="20" t="s">
        <v>200</v>
      </c>
      <c r="B160" s="16" t="b">
        <v>1</v>
      </c>
      <c r="C160" s="20">
        <v>0.0</v>
      </c>
      <c r="D160" s="20">
        <v>0.0</v>
      </c>
      <c r="E160" s="20">
        <v>0.0</v>
      </c>
      <c r="F160" s="20">
        <v>0.0</v>
      </c>
      <c r="G160" s="20">
        <v>0.0</v>
      </c>
      <c r="H160" s="20">
        <v>1.0</v>
      </c>
      <c r="I160" s="20">
        <v>0.0</v>
      </c>
      <c r="J160" s="23">
        <v>46226.998761574076</v>
      </c>
      <c r="L160" s="23"/>
    </row>
    <row r="161" ht="15.75" customHeight="1">
      <c r="A161" s="20" t="s">
        <v>204</v>
      </c>
      <c r="B161" s="16" t="b">
        <v>1</v>
      </c>
      <c r="C161" s="20">
        <v>0.0</v>
      </c>
      <c r="D161" s="20">
        <v>0.0</v>
      </c>
      <c r="E161" s="20">
        <v>0.0</v>
      </c>
      <c r="F161" s="20">
        <v>0.0</v>
      </c>
      <c r="G161" s="20">
        <v>0.0</v>
      </c>
      <c r="H161" s="20">
        <v>1.0</v>
      </c>
      <c r="I161" s="20">
        <v>0.0</v>
      </c>
      <c r="J161" s="23">
        <v>46231.859305555554</v>
      </c>
      <c r="L161" s="23"/>
    </row>
    <row r="162" ht="15.75" customHeight="1">
      <c r="A162" s="20" t="s">
        <v>209</v>
      </c>
      <c r="B162" s="16" t="b">
        <v>1</v>
      </c>
      <c r="C162" s="20">
        <v>0.0</v>
      </c>
      <c r="D162" s="20">
        <v>0.0</v>
      </c>
      <c r="E162" s="20">
        <v>0.0</v>
      </c>
      <c r="F162" s="20">
        <v>0.0</v>
      </c>
      <c r="G162" s="20">
        <v>0.0</v>
      </c>
      <c r="H162" s="20">
        <v>1.0</v>
      </c>
      <c r="I162" s="20">
        <v>0.0</v>
      </c>
      <c r="J162" s="23">
        <v>46231.47872685185</v>
      </c>
      <c r="L162" s="23"/>
    </row>
    <row r="163" ht="15.75" customHeight="1">
      <c r="A163" s="20" t="s">
        <v>213</v>
      </c>
      <c r="B163" s="16" t="b">
        <v>1</v>
      </c>
      <c r="C163" s="20">
        <v>0.0</v>
      </c>
      <c r="D163" s="20">
        <v>0.0</v>
      </c>
      <c r="E163" s="20">
        <v>0.0</v>
      </c>
      <c r="F163" s="20">
        <v>0.0</v>
      </c>
      <c r="G163" s="20">
        <v>0.0</v>
      </c>
      <c r="H163" s="20">
        <v>1.0</v>
      </c>
      <c r="I163" s="20">
        <v>0.0</v>
      </c>
      <c r="J163" s="23">
        <v>46226.90914351852</v>
      </c>
      <c r="L163" s="23"/>
    </row>
    <row r="164" ht="15.75" customHeight="1">
      <c r="A164" s="20" t="s">
        <v>216</v>
      </c>
      <c r="B164" s="16" t="b">
        <v>1</v>
      </c>
      <c r="C164" s="20">
        <v>0.0</v>
      </c>
      <c r="D164" s="20">
        <v>0.0</v>
      </c>
      <c r="E164" s="20">
        <v>0.0</v>
      </c>
      <c r="F164" s="20">
        <v>0.0</v>
      </c>
      <c r="G164" s="20">
        <v>0.0</v>
      </c>
      <c r="H164" s="20">
        <v>1.0</v>
      </c>
      <c r="I164" s="20">
        <v>0.0</v>
      </c>
      <c r="J164" s="23">
        <v>46232.59171296296</v>
      </c>
      <c r="L164" s="23"/>
    </row>
    <row r="165" ht="15.75" customHeight="1">
      <c r="A165" s="20" t="s">
        <v>220</v>
      </c>
      <c r="B165" s="16" t="b">
        <v>1</v>
      </c>
      <c r="C165" s="20">
        <v>0.0</v>
      </c>
      <c r="D165" s="20">
        <v>0.0</v>
      </c>
      <c r="E165" s="20">
        <v>0.0</v>
      </c>
      <c r="F165" s="20">
        <v>0.0</v>
      </c>
      <c r="G165" s="20">
        <v>0.0</v>
      </c>
      <c r="H165" s="20">
        <v>1.0</v>
      </c>
      <c r="I165" s="20">
        <v>0.0</v>
      </c>
      <c r="J165" s="23">
        <v>46227.746516203704</v>
      </c>
      <c r="L165" s="23"/>
    </row>
    <row r="166" ht="15.75" customHeight="1">
      <c r="B166" s="16"/>
      <c r="L166" s="23"/>
    </row>
    <row r="167" ht="15.75" customHeight="1">
      <c r="B167" s="16"/>
      <c r="L167" s="23"/>
    </row>
    <row r="168" ht="15.75" customHeight="1">
      <c r="B168" s="16"/>
      <c r="L168" s="23"/>
    </row>
    <row r="169" ht="15.75" customHeight="1">
      <c r="B169" s="16"/>
      <c r="L169" s="23"/>
    </row>
    <row r="170" ht="15.75" customHeight="1">
      <c r="B170" s="16"/>
      <c r="L170" s="23"/>
    </row>
    <row r="171" ht="15.75" customHeight="1">
      <c r="B171" s="16"/>
      <c r="L171" s="23"/>
    </row>
    <row r="172" ht="15.75" customHeight="1">
      <c r="B172" s="16"/>
      <c r="L172" s="23"/>
    </row>
    <row r="173" ht="15.75" customHeight="1">
      <c r="B173" s="16"/>
      <c r="L173" s="23"/>
    </row>
    <row r="174" ht="15.75" customHeight="1">
      <c r="B174" s="16"/>
      <c r="L174" s="23"/>
    </row>
    <row r="175" ht="15.75" customHeight="1">
      <c r="B175" s="16"/>
      <c r="L175" s="23"/>
    </row>
    <row r="176" ht="15.75" customHeight="1">
      <c r="B176" s="16"/>
      <c r="L176" s="23"/>
    </row>
    <row r="177" ht="15.75" customHeight="1">
      <c r="B177" s="16"/>
      <c r="L177" s="23"/>
    </row>
    <row r="178" ht="15.75" customHeight="1">
      <c r="B178" s="16"/>
      <c r="L178" s="23"/>
    </row>
    <row r="179" ht="15.75" customHeight="1">
      <c r="B179" s="16"/>
      <c r="L179" s="23"/>
    </row>
    <row r="180" ht="15.75" customHeight="1">
      <c r="B180" s="16"/>
      <c r="L180" s="23"/>
    </row>
    <row r="181" ht="15.75" customHeight="1">
      <c r="B181" s="16"/>
      <c r="L181" s="23"/>
    </row>
    <row r="182" ht="15.75" customHeight="1">
      <c r="B182" s="16"/>
      <c r="L182" s="23"/>
    </row>
    <row r="183" ht="15.75" customHeight="1">
      <c r="B183" s="16"/>
      <c r="L183" s="23"/>
    </row>
    <row r="184" ht="15.75" customHeight="1">
      <c r="B184" s="16"/>
      <c r="L184" s="23"/>
    </row>
    <row r="185" ht="15.75" customHeight="1">
      <c r="B185" s="16"/>
      <c r="L185" s="23"/>
    </row>
    <row r="186" ht="15.75" customHeight="1">
      <c r="B186" s="16"/>
      <c r="L186" s="23"/>
    </row>
    <row r="187" ht="15.75" customHeight="1">
      <c r="B187" s="16"/>
      <c r="L187" s="23"/>
    </row>
    <row r="188" ht="15.75" customHeight="1">
      <c r="B188" s="16"/>
      <c r="L188" s="23"/>
    </row>
    <row r="189" ht="15.75" customHeight="1">
      <c r="B189" s="16"/>
      <c r="L189" s="23"/>
    </row>
    <row r="190" ht="15.75" customHeight="1">
      <c r="B190" s="16"/>
      <c r="L190" s="23"/>
    </row>
    <row r="191" ht="15.75" customHeight="1">
      <c r="B191" s="16"/>
      <c r="L191" s="23"/>
    </row>
    <row r="192" ht="15.75" customHeight="1">
      <c r="B192" s="16"/>
      <c r="L192" s="23"/>
    </row>
    <row r="193" ht="15.75" customHeight="1">
      <c r="B193" s="16"/>
      <c r="L193" s="23"/>
    </row>
    <row r="194" ht="15.75" customHeight="1">
      <c r="B194" s="16"/>
      <c r="L194" s="23"/>
    </row>
    <row r="195" ht="15.75" customHeight="1">
      <c r="B195" s="16"/>
      <c r="L195" s="23"/>
    </row>
    <row r="196" ht="15.75" customHeight="1">
      <c r="B196" s="16"/>
      <c r="L196" s="23"/>
      <c r="M196" s="23"/>
    </row>
    <row r="197" ht="15.75" customHeight="1">
      <c r="B197" s="16"/>
      <c r="L197" s="23"/>
    </row>
    <row r="198" ht="15.75" customHeight="1">
      <c r="B198" s="16"/>
      <c r="L198" s="23"/>
    </row>
    <row r="199" ht="15.75" customHeight="1">
      <c r="B199" s="16"/>
      <c r="L199" s="23"/>
      <c r="M199" s="23"/>
    </row>
    <row r="200" ht="15.75" customHeight="1">
      <c r="B200" s="16"/>
      <c r="L200" s="23"/>
    </row>
    <row r="201" ht="15.75" customHeight="1">
      <c r="B201" s="16"/>
      <c r="L201" s="23"/>
    </row>
    <row r="202" ht="15.75" customHeight="1">
      <c r="B202" s="16"/>
      <c r="L202" s="23"/>
      <c r="M202" s="23"/>
    </row>
    <row r="203" ht="15.75" customHeight="1">
      <c r="B203" s="16"/>
      <c r="L203" s="23"/>
    </row>
    <row r="204" ht="15.75" customHeight="1">
      <c r="B204" s="16"/>
      <c r="L204" s="23"/>
      <c r="M204" s="23"/>
    </row>
    <row r="205" ht="15.75" customHeight="1">
      <c r="B205" s="16"/>
      <c r="L205" s="23"/>
      <c r="M205" s="23"/>
    </row>
    <row r="206" ht="15.75" customHeight="1">
      <c r="B206" s="16"/>
      <c r="L206" s="23"/>
    </row>
    <row r="207" ht="15.75" customHeight="1">
      <c r="B207" s="16"/>
      <c r="L207" s="23"/>
    </row>
    <row r="208" ht="15.75" customHeight="1">
      <c r="B208" s="16"/>
      <c r="L208" s="23"/>
      <c r="M208" s="23"/>
    </row>
    <row r="209" ht="15.75" customHeight="1">
      <c r="B209" s="16"/>
      <c r="L209" s="23"/>
      <c r="M209" s="23"/>
    </row>
    <row r="210" ht="15.75" customHeight="1">
      <c r="B210" s="16"/>
      <c r="L210" s="23"/>
    </row>
    <row r="211" ht="15.75" customHeight="1">
      <c r="B211" s="16"/>
      <c r="L211" s="23"/>
    </row>
    <row r="212" ht="15.75" customHeight="1">
      <c r="B212" s="16"/>
      <c r="L212" s="23"/>
      <c r="M212" s="23"/>
    </row>
    <row r="213" ht="15.75" customHeight="1">
      <c r="B213" s="16"/>
      <c r="L213" s="23"/>
      <c r="M213" s="23"/>
    </row>
    <row r="214" ht="15.75" customHeight="1">
      <c r="B214" s="16"/>
      <c r="L214" s="23"/>
      <c r="M214" s="23"/>
    </row>
    <row r="215" ht="15.75" customHeight="1">
      <c r="B215" s="16"/>
      <c r="L215" s="23"/>
      <c r="M215" s="23"/>
    </row>
    <row r="216" ht="15.75" customHeight="1">
      <c r="B216" s="16"/>
      <c r="L216" s="23"/>
    </row>
    <row r="217" ht="15.75" customHeight="1">
      <c r="B217" s="16"/>
      <c r="L217" s="23"/>
    </row>
    <row r="218" ht="15.75" customHeight="1">
      <c r="B218" s="16"/>
      <c r="L218" s="23"/>
    </row>
    <row r="219" ht="15.75" customHeight="1">
      <c r="B219" s="16"/>
      <c r="L219" s="23"/>
    </row>
    <row r="220" ht="15.75" customHeight="1">
      <c r="B220" s="16"/>
      <c r="L220" s="23"/>
      <c r="M220" s="23"/>
    </row>
    <row r="221" ht="15.75" customHeight="1">
      <c r="B221" s="16"/>
      <c r="L221" s="23"/>
    </row>
    <row r="222" ht="15.75" customHeight="1">
      <c r="B222" s="16"/>
      <c r="L222" s="23"/>
    </row>
    <row r="223" ht="15.75" customHeight="1">
      <c r="B223" s="16"/>
      <c r="L223" s="23"/>
      <c r="M223" s="23"/>
    </row>
    <row r="224" ht="15.75" customHeight="1">
      <c r="B224" s="16"/>
      <c r="L224" s="23"/>
    </row>
    <row r="225" ht="15.75" customHeight="1">
      <c r="B225" s="16"/>
      <c r="L225" s="23"/>
    </row>
    <row r="226" ht="15.75" customHeight="1">
      <c r="B226" s="16"/>
      <c r="L226" s="23"/>
    </row>
    <row r="227" ht="15.75" customHeight="1">
      <c r="B227" s="16"/>
      <c r="L227" s="23"/>
    </row>
    <row r="228" ht="15.75" customHeight="1">
      <c r="B228" s="16"/>
      <c r="L228" s="23"/>
    </row>
    <row r="229" ht="15.75" customHeight="1">
      <c r="B229" s="16"/>
      <c r="L229" s="23"/>
    </row>
    <row r="230" ht="15.75" customHeight="1">
      <c r="B230" s="16"/>
      <c r="L230" s="23"/>
    </row>
    <row r="231" ht="15.75" customHeight="1">
      <c r="B231" s="16"/>
      <c r="L231" s="23"/>
    </row>
    <row r="232" ht="15.75" customHeight="1">
      <c r="B232" s="16"/>
      <c r="L232" s="23"/>
      <c r="M232" s="23"/>
    </row>
    <row r="233" ht="15.75" customHeight="1">
      <c r="B233" s="16"/>
      <c r="L233" s="23"/>
    </row>
    <row r="234" ht="15.75" customHeight="1">
      <c r="B234" s="16"/>
      <c r="L234" s="23"/>
      <c r="M234" s="23"/>
    </row>
    <row r="235" ht="15.75" customHeight="1">
      <c r="B235" s="16"/>
      <c r="L235" s="23"/>
    </row>
    <row r="236" ht="15.75" customHeight="1">
      <c r="B236" s="16"/>
      <c r="L236" s="23"/>
      <c r="M236" s="23"/>
    </row>
    <row r="237" ht="15.75" customHeight="1">
      <c r="B237" s="16"/>
      <c r="L237" s="23"/>
      <c r="M237" s="23"/>
    </row>
    <row r="238" ht="15.75" customHeight="1">
      <c r="B238" s="16"/>
      <c r="L238" s="23"/>
    </row>
    <row r="239" ht="15.75" customHeight="1">
      <c r="B239" s="16"/>
      <c r="L239" s="23"/>
    </row>
    <row r="240" ht="15.75" customHeight="1">
      <c r="B240" s="16"/>
      <c r="L240" s="23"/>
      <c r="M240" s="23"/>
    </row>
    <row r="241" ht="15.75" customHeight="1">
      <c r="B241" s="16"/>
      <c r="L241" s="23"/>
      <c r="M241" s="23"/>
    </row>
    <row r="242" ht="15.75" customHeight="1">
      <c r="B242" s="16"/>
      <c r="L242" s="23"/>
    </row>
    <row r="243" ht="15.75" customHeight="1">
      <c r="B243" s="16"/>
      <c r="L243" s="23"/>
    </row>
    <row r="244" ht="15.75" customHeight="1">
      <c r="B244" s="16"/>
      <c r="L244" s="23"/>
    </row>
    <row r="245" ht="15.75" customHeight="1">
      <c r="B245" s="16"/>
      <c r="L245" s="23"/>
      <c r="M245" s="23"/>
    </row>
    <row r="246" ht="15.75" customHeight="1">
      <c r="B246" s="16"/>
      <c r="L246" s="23"/>
    </row>
    <row r="247" ht="15.75" customHeight="1">
      <c r="B247" s="16"/>
      <c r="L247" s="23"/>
    </row>
    <row r="248" ht="15.75" customHeight="1">
      <c r="B248" s="16"/>
      <c r="L248" s="23"/>
      <c r="M248" s="23"/>
    </row>
    <row r="249" ht="15.75" customHeight="1">
      <c r="B249" s="16"/>
      <c r="L249" s="23"/>
      <c r="M249" s="23"/>
    </row>
    <row r="250" ht="15.75" customHeight="1">
      <c r="B250" s="16"/>
      <c r="L250" s="23"/>
    </row>
    <row r="251" ht="15.75" customHeight="1">
      <c r="B251" s="16"/>
      <c r="L251" s="23"/>
    </row>
    <row r="252" ht="15.75" customHeight="1">
      <c r="B252" s="16"/>
      <c r="L252" s="23"/>
      <c r="M252" s="23"/>
    </row>
    <row r="253" ht="15.75" customHeight="1">
      <c r="B253" s="16"/>
      <c r="L253" s="23"/>
      <c r="M253" s="23"/>
    </row>
    <row r="254" ht="15.75" customHeight="1">
      <c r="B254" s="16"/>
      <c r="L254" s="23"/>
      <c r="M254" s="23"/>
    </row>
    <row r="255" ht="15.75" customHeight="1">
      <c r="B255" s="16"/>
      <c r="L255" s="23"/>
    </row>
    <row r="256" ht="15.75" customHeight="1">
      <c r="B256" s="16"/>
      <c r="L256" s="23"/>
    </row>
    <row r="257" ht="15.75" customHeight="1">
      <c r="B257" s="16"/>
      <c r="L257" s="23"/>
      <c r="M257" s="23"/>
    </row>
    <row r="258" ht="15.75" customHeight="1">
      <c r="B258" s="16"/>
      <c r="L258" s="23"/>
    </row>
    <row r="259" ht="15.75" customHeight="1">
      <c r="B259" s="16"/>
      <c r="L259" s="23"/>
      <c r="M259" s="23"/>
    </row>
    <row r="260" ht="15.75" customHeight="1">
      <c r="B260" s="16"/>
      <c r="L260" s="23"/>
    </row>
    <row r="261" ht="15.75" customHeight="1">
      <c r="B261" s="16"/>
      <c r="L261" s="23"/>
    </row>
    <row r="262" ht="15.75" customHeight="1">
      <c r="B262" s="16"/>
      <c r="L262" s="23"/>
      <c r="M262" s="23"/>
    </row>
    <row r="263" ht="15.75" customHeight="1">
      <c r="B263" s="16"/>
      <c r="L263" s="23"/>
      <c r="M263" s="23"/>
    </row>
    <row r="264" ht="15.75" customHeight="1">
      <c r="B264" s="16"/>
      <c r="L264" s="23"/>
    </row>
    <row r="265" ht="15.75" customHeight="1">
      <c r="B265" s="16"/>
      <c r="L265" s="23"/>
    </row>
    <row r="266" ht="15.75" customHeight="1">
      <c r="B266" s="16"/>
      <c r="L266" s="23"/>
    </row>
    <row r="267" ht="15.75" customHeight="1">
      <c r="B267" s="16"/>
      <c r="L267" s="23"/>
    </row>
    <row r="268" ht="15.75" customHeight="1">
      <c r="B268" s="16"/>
      <c r="L268" s="23"/>
    </row>
    <row r="269" ht="15.75" customHeight="1">
      <c r="B269" s="16"/>
      <c r="L269" s="23"/>
    </row>
    <row r="270" ht="15.75" customHeight="1">
      <c r="B270" s="16"/>
      <c r="L270" s="23"/>
    </row>
    <row r="271" ht="15.75" customHeight="1">
      <c r="B271" s="16"/>
      <c r="L271" s="23"/>
    </row>
    <row r="272" ht="15.75" customHeight="1">
      <c r="B272" s="16"/>
      <c r="L272" s="23"/>
    </row>
    <row r="273" ht="15.75" customHeight="1">
      <c r="B273" s="16"/>
      <c r="L273" s="23"/>
    </row>
    <row r="274" ht="15.75" customHeight="1">
      <c r="B274" s="16"/>
      <c r="L274" s="23"/>
      <c r="M274" s="23"/>
    </row>
    <row r="275" ht="15.75" customHeight="1">
      <c r="B275" s="16"/>
      <c r="L275" s="23"/>
    </row>
    <row r="276" ht="15.75" customHeight="1">
      <c r="B276" s="16"/>
      <c r="L276" s="23"/>
    </row>
    <row r="277" ht="15.75" customHeight="1">
      <c r="B277" s="16"/>
      <c r="L277" s="23"/>
      <c r="M277" s="23"/>
    </row>
    <row r="278" ht="15.75" customHeight="1">
      <c r="B278" s="16"/>
      <c r="L278" s="23"/>
    </row>
    <row r="279" ht="15.75" customHeight="1">
      <c r="B279" s="16"/>
      <c r="L279" s="23"/>
      <c r="M279" s="23"/>
    </row>
    <row r="280" ht="15.75" customHeight="1">
      <c r="B280" s="16"/>
      <c r="L280" s="23"/>
    </row>
    <row r="281" ht="15.75" customHeight="1">
      <c r="B281" s="16"/>
      <c r="L281" s="23"/>
      <c r="M281" s="23"/>
    </row>
    <row r="282" ht="15.75" customHeight="1">
      <c r="B282" s="16"/>
      <c r="L282" s="23"/>
      <c r="M282" s="23"/>
    </row>
    <row r="283" ht="15.75" customHeight="1">
      <c r="B283" s="16"/>
      <c r="L283" s="23"/>
    </row>
    <row r="284" ht="15.75" customHeight="1">
      <c r="B284" s="16"/>
      <c r="L284" s="23"/>
    </row>
    <row r="285" ht="15.75" customHeight="1">
      <c r="B285" s="16"/>
      <c r="L285" s="23"/>
      <c r="M285" s="23"/>
    </row>
    <row r="286" ht="15.75" customHeight="1">
      <c r="B286" s="16"/>
      <c r="L286" s="23"/>
      <c r="M286" s="23"/>
    </row>
    <row r="287" ht="15.75" customHeight="1">
      <c r="B287" s="16"/>
      <c r="L287" s="23"/>
      <c r="M287" s="23"/>
    </row>
    <row r="288" ht="15.75" customHeight="1">
      <c r="B288" s="16"/>
      <c r="L288" s="23"/>
    </row>
    <row r="289" ht="15.75" customHeight="1">
      <c r="B289" s="16"/>
      <c r="L289" s="23"/>
      <c r="M289" s="23"/>
    </row>
    <row r="290" ht="15.75" customHeight="1">
      <c r="B290" s="16"/>
      <c r="L290" s="23"/>
    </row>
    <row r="291" ht="15.75" customHeight="1">
      <c r="B291" s="16"/>
      <c r="L291" s="23"/>
    </row>
    <row r="292" ht="15.75" customHeight="1">
      <c r="B292" s="16"/>
      <c r="L292" s="23"/>
      <c r="M292" s="23"/>
    </row>
    <row r="293" ht="15.75" customHeight="1">
      <c r="B293" s="16"/>
      <c r="L293" s="23"/>
    </row>
    <row r="294" ht="15.75" customHeight="1">
      <c r="B294" s="16"/>
      <c r="L294" s="23"/>
    </row>
    <row r="295" ht="15.75" customHeight="1">
      <c r="B295" s="16"/>
      <c r="L295" s="23"/>
    </row>
    <row r="296" ht="15.75" customHeight="1">
      <c r="B296" s="16"/>
      <c r="L296" s="23"/>
      <c r="M296" s="23"/>
    </row>
    <row r="297" ht="15.75" customHeight="1">
      <c r="B297" s="16"/>
      <c r="L297" s="23"/>
    </row>
    <row r="298" ht="15.75" customHeight="1">
      <c r="B298" s="16"/>
      <c r="L298" s="23"/>
      <c r="M298" s="23"/>
    </row>
    <row r="299" ht="15.75" customHeight="1">
      <c r="B299" s="16"/>
      <c r="L299" s="23"/>
    </row>
    <row r="300" ht="15.75" customHeight="1">
      <c r="B300" s="16"/>
      <c r="L300" s="23"/>
    </row>
    <row r="301" ht="15.75" customHeight="1">
      <c r="B301" s="16"/>
      <c r="L301" s="23"/>
    </row>
    <row r="302" ht="15.75" customHeight="1">
      <c r="B302" s="16"/>
      <c r="L302" s="23"/>
      <c r="M302" s="23"/>
    </row>
    <row r="303" ht="15.75" customHeight="1">
      <c r="B303" s="16"/>
      <c r="L303" s="23"/>
    </row>
    <row r="304" ht="15.75" customHeight="1">
      <c r="B304" s="16"/>
      <c r="L304" s="23"/>
      <c r="M304" s="23"/>
    </row>
    <row r="305" ht="15.75" customHeight="1">
      <c r="B305" s="16"/>
      <c r="L305" s="23"/>
    </row>
    <row r="306" ht="15.75" customHeight="1">
      <c r="B306" s="16"/>
      <c r="L306" s="23"/>
    </row>
    <row r="307" ht="15.75" customHeight="1">
      <c r="B307" s="16"/>
      <c r="L307" s="23"/>
    </row>
    <row r="308" ht="15.75" customHeight="1">
      <c r="B308" s="16"/>
      <c r="L308" s="23"/>
      <c r="M308" s="23"/>
    </row>
    <row r="309" ht="15.75" customHeight="1">
      <c r="B309" s="16"/>
      <c r="L309" s="23"/>
      <c r="M309" s="23"/>
    </row>
    <row r="310" ht="15.75" customHeight="1">
      <c r="B310" s="16"/>
      <c r="L310" s="23"/>
    </row>
    <row r="311" ht="15.75" customHeight="1">
      <c r="B311" s="16"/>
      <c r="L311" s="23"/>
      <c r="M311" s="23"/>
    </row>
    <row r="312" ht="15.75" customHeight="1">
      <c r="B312" s="16"/>
      <c r="L312" s="23"/>
    </row>
    <row r="313" ht="15.75" customHeight="1">
      <c r="B313" s="16"/>
      <c r="L313" s="23"/>
      <c r="M313" s="23"/>
    </row>
    <row r="314" ht="15.75" customHeight="1">
      <c r="B314" s="16"/>
      <c r="L314" s="23"/>
      <c r="M314" s="23"/>
    </row>
    <row r="315" ht="15.75" customHeight="1">
      <c r="B315" s="16"/>
      <c r="L315" s="23"/>
    </row>
    <row r="316" ht="15.75" customHeight="1">
      <c r="B316" s="16"/>
      <c r="L316" s="23"/>
      <c r="M316" s="23"/>
    </row>
    <row r="317" ht="15.75" customHeight="1">
      <c r="B317" s="16"/>
      <c r="L317" s="23"/>
      <c r="M317" s="23"/>
    </row>
    <row r="318" ht="15.75" customHeight="1">
      <c r="B318" s="16"/>
      <c r="L318" s="23"/>
    </row>
    <row r="319" ht="15.75" customHeight="1">
      <c r="B319" s="16"/>
      <c r="L319" s="23"/>
    </row>
    <row r="320" ht="15.75" customHeight="1">
      <c r="B320" s="16"/>
      <c r="L320" s="23"/>
    </row>
    <row r="321" ht="15.75" customHeight="1">
      <c r="B321" s="16"/>
      <c r="L321" s="23"/>
    </row>
    <row r="322" ht="15.75" customHeight="1">
      <c r="B322" s="16"/>
      <c r="L322" s="23"/>
    </row>
    <row r="323" ht="15.75" customHeight="1">
      <c r="B323" s="16"/>
      <c r="L323" s="23"/>
      <c r="M323" s="23"/>
    </row>
    <row r="324" ht="15.75" customHeight="1">
      <c r="B324" s="16"/>
      <c r="L324" s="23"/>
    </row>
    <row r="325" ht="15.75" customHeight="1">
      <c r="B325" s="16"/>
      <c r="L325" s="23"/>
    </row>
    <row r="326" ht="15.75" customHeight="1">
      <c r="B326" s="16"/>
      <c r="L326" s="23"/>
      <c r="M326" s="23"/>
    </row>
    <row r="327" ht="15.75" customHeight="1">
      <c r="B327" s="16"/>
      <c r="L327" s="23"/>
      <c r="M327" s="23"/>
    </row>
    <row r="328" ht="15.75" customHeight="1">
      <c r="B328" s="16"/>
      <c r="L328" s="23"/>
    </row>
    <row r="329" ht="15.75" customHeight="1">
      <c r="B329" s="16"/>
      <c r="L329" s="23"/>
    </row>
    <row r="330" ht="15.75" customHeight="1">
      <c r="B330" s="16"/>
      <c r="L330" s="23"/>
      <c r="M330" s="23"/>
    </row>
    <row r="331" ht="15.75" customHeight="1">
      <c r="B331" s="16"/>
      <c r="L331" s="23"/>
      <c r="M331" s="23"/>
    </row>
    <row r="332" ht="15.75" customHeight="1">
      <c r="B332" s="16"/>
      <c r="L332" s="23"/>
      <c r="M332" s="23"/>
    </row>
    <row r="333" ht="15.75" customHeight="1">
      <c r="B333" s="16"/>
      <c r="L333" s="23"/>
    </row>
    <row r="334" ht="15.75" customHeight="1">
      <c r="B334" s="16"/>
      <c r="L334" s="23"/>
      <c r="M334" s="23"/>
    </row>
    <row r="335" ht="15.75" customHeight="1">
      <c r="B335" s="16"/>
      <c r="L335" s="23"/>
    </row>
    <row r="336" ht="15.75" customHeight="1">
      <c r="B336" s="16"/>
      <c r="L336" s="23"/>
      <c r="M336" s="23"/>
    </row>
    <row r="337" ht="15.75" customHeight="1">
      <c r="B337" s="16"/>
      <c r="L337" s="23"/>
    </row>
    <row r="338" ht="15.75" customHeight="1">
      <c r="B338" s="16"/>
      <c r="L338" s="23"/>
      <c r="M338" s="23"/>
    </row>
    <row r="339" ht="15.75" customHeight="1">
      <c r="B339" s="16"/>
      <c r="L339" s="23"/>
    </row>
    <row r="340" ht="15.75" customHeight="1">
      <c r="B340" s="16"/>
      <c r="L340" s="23"/>
      <c r="M340" s="23"/>
    </row>
    <row r="341" ht="15.75" customHeight="1">
      <c r="B341" s="16"/>
      <c r="L341" s="23"/>
    </row>
    <row r="342" ht="15.75" customHeight="1">
      <c r="B342" s="16"/>
      <c r="L342" s="23"/>
    </row>
    <row r="343" ht="15.75" customHeight="1">
      <c r="B343" s="16"/>
      <c r="L343" s="23"/>
      <c r="M343" s="23"/>
    </row>
    <row r="344" ht="15.75" customHeight="1">
      <c r="B344" s="16"/>
      <c r="L344" s="23"/>
    </row>
    <row r="345" ht="15.75" customHeight="1">
      <c r="B345" s="16"/>
      <c r="L345" s="23"/>
    </row>
    <row r="346" ht="15.75" customHeight="1">
      <c r="B346" s="16"/>
      <c r="L346" s="23"/>
    </row>
    <row r="347" ht="15.75" customHeight="1">
      <c r="B347" s="16"/>
      <c r="L347" s="23"/>
    </row>
    <row r="348" ht="15.75" customHeight="1">
      <c r="B348" s="16"/>
      <c r="L348" s="23"/>
      <c r="M348" s="23"/>
    </row>
    <row r="349" ht="15.75" customHeight="1">
      <c r="B349" s="16"/>
      <c r="L349" s="23"/>
    </row>
    <row r="350" ht="15.75" customHeight="1">
      <c r="B350" s="16"/>
      <c r="L350" s="23"/>
    </row>
    <row r="351" ht="15.75" customHeight="1">
      <c r="B351" s="16"/>
      <c r="L351" s="23"/>
      <c r="M351" s="23"/>
    </row>
    <row r="352" ht="15.75" customHeight="1">
      <c r="B352" s="16"/>
      <c r="L352" s="23"/>
      <c r="M352" s="23"/>
    </row>
    <row r="353" ht="15.75" customHeight="1">
      <c r="B353" s="16"/>
      <c r="L353" s="23"/>
    </row>
    <row r="354" ht="15.75" customHeight="1">
      <c r="B354" s="16"/>
      <c r="L354" s="23"/>
      <c r="M354" s="23"/>
    </row>
    <row r="355" ht="15.75" customHeight="1">
      <c r="B355" s="16"/>
      <c r="L355" s="23"/>
    </row>
    <row r="356" ht="15.75" customHeight="1">
      <c r="B356" s="16"/>
      <c r="L356" s="23"/>
    </row>
    <row r="357" ht="15.75" customHeight="1">
      <c r="B357" s="16"/>
      <c r="L357" s="23"/>
    </row>
    <row r="358" ht="15.75" customHeight="1">
      <c r="B358" s="16"/>
      <c r="L358" s="23"/>
      <c r="M358" s="23"/>
    </row>
    <row r="359" ht="15.75" customHeight="1">
      <c r="B359" s="16"/>
      <c r="L359" s="23"/>
      <c r="M359" s="23"/>
    </row>
    <row r="360" ht="15.75" customHeight="1">
      <c r="B360" s="16"/>
      <c r="L360" s="23"/>
    </row>
    <row r="361" ht="15.75" customHeight="1">
      <c r="B361" s="16"/>
      <c r="L361" s="23"/>
    </row>
    <row r="362" ht="15.75" customHeight="1">
      <c r="B362" s="16"/>
      <c r="L362" s="23"/>
      <c r="M362" s="23"/>
    </row>
    <row r="363" ht="15.75" customHeight="1">
      <c r="B363" s="16"/>
      <c r="L363" s="23"/>
    </row>
    <row r="364" ht="15.75" customHeight="1">
      <c r="B364" s="16"/>
      <c r="L364" s="23"/>
    </row>
    <row r="365" ht="15.75" customHeight="1">
      <c r="B365" s="16"/>
      <c r="L365" s="23"/>
      <c r="M365" s="23"/>
    </row>
    <row r="366" ht="15.75" customHeight="1">
      <c r="B366" s="16"/>
      <c r="L366" s="23"/>
      <c r="M366" s="23"/>
    </row>
    <row r="367" ht="15.75" customHeight="1">
      <c r="B367" s="16"/>
      <c r="L367" s="23"/>
    </row>
    <row r="368" ht="15.75" customHeight="1">
      <c r="B368" s="16"/>
      <c r="L368" s="23"/>
    </row>
    <row r="369" ht="15.75" customHeight="1">
      <c r="B369" s="16"/>
      <c r="L369" s="23"/>
    </row>
    <row r="370" ht="15.75" customHeight="1">
      <c r="B370" s="16"/>
      <c r="L370" s="23"/>
      <c r="M370" s="23"/>
    </row>
    <row r="371" ht="15.75" customHeight="1">
      <c r="B371" s="16"/>
      <c r="L371" s="23"/>
      <c r="M371" s="23"/>
    </row>
    <row r="372" ht="15.75" customHeight="1">
      <c r="B372" s="16"/>
      <c r="L372" s="23"/>
      <c r="M372" s="23"/>
    </row>
    <row r="373" ht="15.75" customHeight="1">
      <c r="B373" s="16"/>
      <c r="L373" s="23"/>
      <c r="M373" s="23"/>
    </row>
    <row r="374" ht="15.75" customHeight="1">
      <c r="B374" s="16"/>
      <c r="L374" s="23"/>
    </row>
    <row r="375" ht="15.75" customHeight="1">
      <c r="B375" s="16"/>
      <c r="L375" s="23"/>
      <c r="M375" s="23"/>
    </row>
    <row r="376" ht="15.75" customHeight="1">
      <c r="B376" s="16"/>
      <c r="L376" s="23"/>
      <c r="M376" s="23"/>
    </row>
    <row r="377" ht="15.75" customHeight="1">
      <c r="B377" s="16"/>
      <c r="L377" s="23"/>
    </row>
    <row r="378" ht="15.75" customHeight="1">
      <c r="B378" s="16"/>
      <c r="L378" s="23"/>
      <c r="M378" s="23"/>
    </row>
    <row r="379" ht="15.75" customHeight="1">
      <c r="B379" s="16"/>
      <c r="L379" s="23"/>
      <c r="M379" s="23"/>
    </row>
    <row r="380" ht="15.75" customHeight="1">
      <c r="B380" s="16"/>
      <c r="L380" s="23"/>
      <c r="M380" s="23"/>
    </row>
    <row r="381" ht="15.75" customHeight="1">
      <c r="B381" s="16"/>
      <c r="L381" s="23"/>
    </row>
    <row r="382" ht="15.75" customHeight="1">
      <c r="B382" s="16"/>
      <c r="L382" s="23"/>
    </row>
    <row r="383" ht="15.75" customHeight="1">
      <c r="B383" s="16"/>
      <c r="L383" s="23"/>
      <c r="M383" s="23"/>
    </row>
    <row r="384" ht="15.75" customHeight="1">
      <c r="B384" s="16"/>
      <c r="L384" s="23"/>
    </row>
    <row r="385" ht="15.75" customHeight="1">
      <c r="B385" s="16"/>
      <c r="L385" s="23"/>
    </row>
    <row r="386" ht="15.75" customHeight="1">
      <c r="B386" s="16"/>
      <c r="L386" s="23"/>
      <c r="M386" s="23"/>
    </row>
    <row r="387" ht="15.75" customHeight="1">
      <c r="B387" s="16"/>
      <c r="L387" s="23"/>
      <c r="M387" s="23"/>
    </row>
    <row r="388" ht="15.75" customHeight="1">
      <c r="B388" s="16"/>
      <c r="L388" s="23"/>
      <c r="M388" s="23"/>
    </row>
    <row r="389" ht="15.75" customHeight="1">
      <c r="B389" s="16"/>
      <c r="L389" s="23"/>
    </row>
    <row r="390" ht="15.75" customHeight="1">
      <c r="B390" s="16"/>
      <c r="L390" s="23"/>
    </row>
    <row r="391" ht="15.75" customHeight="1">
      <c r="B391" s="16"/>
      <c r="L391" s="23"/>
      <c r="M391" s="23"/>
    </row>
    <row r="392" ht="15.75" customHeight="1">
      <c r="B392" s="16"/>
      <c r="L392" s="23"/>
      <c r="M392" s="23"/>
    </row>
    <row r="393" ht="15.75" customHeight="1">
      <c r="B393" s="16"/>
      <c r="L393" s="23"/>
    </row>
    <row r="394" ht="15.75" customHeight="1">
      <c r="B394" s="16"/>
      <c r="L394" s="23"/>
    </row>
    <row r="395" ht="15.75" customHeight="1">
      <c r="B395" s="16"/>
      <c r="L395" s="23"/>
      <c r="M395" s="23"/>
    </row>
    <row r="396" ht="15.75" customHeight="1">
      <c r="B396" s="16"/>
      <c r="L396" s="23"/>
    </row>
    <row r="397" ht="15.75" customHeight="1">
      <c r="B397" s="16"/>
      <c r="L397" s="23"/>
    </row>
    <row r="398" ht="15.75" customHeight="1">
      <c r="B398" s="16"/>
      <c r="L398" s="23"/>
      <c r="M398" s="23"/>
    </row>
    <row r="399" ht="15.75" customHeight="1">
      <c r="B399" s="16"/>
      <c r="L399" s="23"/>
      <c r="M399" s="23"/>
    </row>
    <row r="400" ht="15.75" customHeight="1">
      <c r="B400" s="16"/>
      <c r="L400" s="23"/>
    </row>
    <row r="401" ht="15.75" customHeight="1">
      <c r="B401" s="16"/>
      <c r="L401" s="23"/>
    </row>
    <row r="402" ht="15.75" customHeight="1">
      <c r="B402" s="16"/>
      <c r="L402" s="23"/>
      <c r="M402" s="23"/>
    </row>
    <row r="403" ht="15.75" customHeight="1">
      <c r="B403" s="16"/>
      <c r="L403" s="23"/>
      <c r="M403" s="23"/>
    </row>
    <row r="404" ht="15.75" customHeight="1">
      <c r="B404" s="16"/>
      <c r="L404" s="23"/>
    </row>
    <row r="405" ht="15.75" customHeight="1">
      <c r="B405" s="16"/>
      <c r="L405" s="23"/>
    </row>
    <row r="406" ht="15.75" customHeight="1">
      <c r="B406" s="16"/>
      <c r="L406" s="23"/>
    </row>
    <row r="407" ht="15.75" customHeight="1">
      <c r="B407" s="16"/>
      <c r="L407" s="23"/>
    </row>
    <row r="408" ht="15.75" customHeight="1">
      <c r="B408" s="16"/>
      <c r="L408" s="23"/>
    </row>
    <row r="409" ht="15.75" customHeight="1">
      <c r="B409" s="16"/>
      <c r="L409" s="23"/>
    </row>
    <row r="410" ht="15.75" customHeight="1">
      <c r="B410" s="16"/>
      <c r="L410" s="23"/>
      <c r="M410" s="23"/>
    </row>
    <row r="411" ht="15.75" customHeight="1">
      <c r="B411" s="16"/>
      <c r="L411" s="23"/>
      <c r="M411" s="23"/>
    </row>
    <row r="412" ht="15.75" customHeight="1">
      <c r="B412" s="16"/>
      <c r="L412" s="23"/>
    </row>
    <row r="413" ht="15.75" customHeight="1">
      <c r="B413" s="16"/>
      <c r="L413" s="23"/>
    </row>
    <row r="414" ht="15.75" customHeight="1">
      <c r="B414" s="16"/>
      <c r="L414" s="23"/>
    </row>
    <row r="415" ht="15.75" customHeight="1">
      <c r="B415" s="16"/>
      <c r="L415" s="23"/>
    </row>
    <row r="416" ht="15.75" customHeight="1">
      <c r="B416" s="16"/>
      <c r="L416" s="23"/>
    </row>
    <row r="417" ht="15.75" customHeight="1">
      <c r="B417" s="16"/>
      <c r="L417" s="23"/>
    </row>
    <row r="418" ht="15.75" customHeight="1">
      <c r="B418" s="16"/>
      <c r="L418" s="23"/>
      <c r="M418" s="23"/>
    </row>
    <row r="419" ht="15.75" customHeight="1">
      <c r="B419" s="16"/>
      <c r="L419" s="23"/>
    </row>
    <row r="420" ht="15.75" customHeight="1">
      <c r="B420" s="16"/>
      <c r="L420" s="23"/>
    </row>
    <row r="421" ht="15.75" customHeight="1">
      <c r="B421" s="16"/>
      <c r="L421" s="23"/>
      <c r="M421" s="23"/>
    </row>
    <row r="422" ht="15.75" customHeight="1">
      <c r="B422" s="16"/>
      <c r="L422" s="23"/>
    </row>
    <row r="423" ht="15.75" customHeight="1">
      <c r="B423" s="16"/>
      <c r="L423" s="23"/>
    </row>
    <row r="424" ht="15.75" customHeight="1">
      <c r="B424" s="16"/>
      <c r="L424" s="23"/>
      <c r="M424" s="23"/>
    </row>
    <row r="425" ht="15.75" customHeight="1">
      <c r="B425" s="16"/>
      <c r="L425" s="23"/>
    </row>
    <row r="426" ht="15.75" customHeight="1">
      <c r="B426" s="16"/>
      <c r="L426" s="23"/>
    </row>
    <row r="427" ht="15.75" customHeight="1">
      <c r="B427" s="16"/>
      <c r="L427" s="23"/>
      <c r="M427" s="23"/>
    </row>
    <row r="428" ht="15.75" customHeight="1">
      <c r="B428" s="16"/>
      <c r="L428" s="23"/>
    </row>
    <row r="429" ht="15.75" customHeight="1">
      <c r="B429" s="16"/>
      <c r="L429" s="23"/>
    </row>
    <row r="430" ht="15.75" customHeight="1">
      <c r="B430" s="16"/>
      <c r="L430" s="23"/>
      <c r="M430" s="23"/>
    </row>
    <row r="431" ht="15.75" customHeight="1">
      <c r="B431" s="16"/>
      <c r="L431" s="23"/>
    </row>
    <row r="432" ht="15.75" customHeight="1">
      <c r="B432" s="16"/>
      <c r="L432" s="23"/>
    </row>
    <row r="433" ht="15.75" customHeight="1">
      <c r="B433" s="16"/>
      <c r="L433" s="23"/>
    </row>
    <row r="434" ht="15.75" customHeight="1">
      <c r="B434" s="16"/>
      <c r="L434" s="23"/>
    </row>
    <row r="435" ht="15.75" customHeight="1">
      <c r="B435" s="16"/>
      <c r="L435" s="23"/>
      <c r="M435" s="23"/>
    </row>
    <row r="436" ht="15.75" customHeight="1">
      <c r="B436" s="16"/>
      <c r="L436" s="23"/>
      <c r="M436" s="23"/>
    </row>
    <row r="437" ht="15.75" customHeight="1">
      <c r="B437" s="16"/>
      <c r="L437" s="23"/>
      <c r="M437" s="23"/>
    </row>
    <row r="438" ht="15.75" customHeight="1">
      <c r="B438" s="16"/>
      <c r="L438" s="23"/>
      <c r="M438" s="23"/>
    </row>
    <row r="439" ht="15.75" customHeight="1">
      <c r="B439" s="16"/>
      <c r="L439" s="23"/>
    </row>
    <row r="440" ht="15.75" customHeight="1">
      <c r="B440" s="16"/>
      <c r="L440" s="23"/>
    </row>
    <row r="441" ht="15.75" customHeight="1">
      <c r="B441" s="16"/>
      <c r="L441" s="23"/>
    </row>
    <row r="442" ht="15.75" customHeight="1">
      <c r="B442" s="16"/>
      <c r="L442" s="23"/>
    </row>
    <row r="443" ht="15.75" customHeight="1">
      <c r="B443" s="16"/>
      <c r="L443" s="23"/>
    </row>
    <row r="444" ht="15.75" customHeight="1">
      <c r="B444" s="16"/>
      <c r="L444" s="23"/>
      <c r="M444" s="23"/>
    </row>
    <row r="445" ht="15.75" customHeight="1">
      <c r="B445" s="16"/>
      <c r="L445" s="23"/>
    </row>
    <row r="446" ht="15.75" customHeight="1">
      <c r="B446" s="16"/>
      <c r="L446" s="23"/>
      <c r="M446" s="23"/>
    </row>
    <row r="447" ht="15.75" customHeight="1">
      <c r="B447" s="16"/>
      <c r="L447" s="23"/>
      <c r="M447" s="23"/>
    </row>
    <row r="448" ht="15.75" customHeight="1">
      <c r="B448" s="16"/>
      <c r="L448" s="23"/>
    </row>
    <row r="449" ht="15.75" customHeight="1">
      <c r="B449" s="16"/>
      <c r="L449" s="23"/>
      <c r="M449" s="23"/>
    </row>
    <row r="450" ht="15.75" customHeight="1">
      <c r="B450" s="16"/>
      <c r="L450" s="23"/>
    </row>
    <row r="451" ht="15.75" customHeight="1">
      <c r="B451" s="16"/>
      <c r="L451" s="23"/>
      <c r="M451" s="23"/>
    </row>
    <row r="452" ht="15.75" customHeight="1">
      <c r="B452" s="16"/>
      <c r="L452" s="23"/>
    </row>
    <row r="453" ht="15.75" customHeight="1">
      <c r="B453" s="16"/>
      <c r="L453" s="23"/>
      <c r="M453" s="23"/>
    </row>
    <row r="454" ht="15.75" customHeight="1">
      <c r="B454" s="16"/>
      <c r="L454" s="23"/>
    </row>
    <row r="455" ht="15.75" customHeight="1">
      <c r="B455" s="16"/>
      <c r="L455" s="23"/>
    </row>
    <row r="456" ht="15.75" customHeight="1">
      <c r="B456" s="16"/>
      <c r="L456" s="23"/>
    </row>
    <row r="457" ht="15.75" customHeight="1">
      <c r="B457" s="16"/>
      <c r="L457" s="23"/>
      <c r="M457" s="23"/>
    </row>
    <row r="458" ht="15.75" customHeight="1">
      <c r="B458" s="16"/>
      <c r="L458" s="23"/>
      <c r="M458" s="23"/>
    </row>
    <row r="459" ht="15.75" customHeight="1">
      <c r="B459" s="16"/>
      <c r="L459" s="23"/>
      <c r="M459" s="23"/>
    </row>
    <row r="460" ht="15.75" customHeight="1">
      <c r="B460" s="16"/>
      <c r="L460" s="23"/>
    </row>
    <row r="461" ht="15.75" customHeight="1">
      <c r="B461" s="16"/>
      <c r="L461" s="23"/>
      <c r="M461" s="23"/>
    </row>
    <row r="462" ht="15.75" customHeight="1">
      <c r="B462" s="16"/>
      <c r="L462" s="23"/>
      <c r="M462" s="23"/>
    </row>
    <row r="463" ht="15.75" customHeight="1">
      <c r="B463" s="16"/>
      <c r="L463" s="23"/>
      <c r="M463" s="23"/>
    </row>
    <row r="464" ht="15.75" customHeight="1">
      <c r="B464" s="16"/>
      <c r="L464" s="23"/>
      <c r="M464" s="23"/>
    </row>
    <row r="465" ht="15.75" customHeight="1">
      <c r="B465" s="16"/>
      <c r="L465" s="23"/>
      <c r="M465" s="23"/>
    </row>
    <row r="466" ht="15.75" customHeight="1">
      <c r="B466" s="16"/>
      <c r="L466" s="23"/>
      <c r="M466" s="23"/>
    </row>
    <row r="467" ht="15.75" customHeight="1">
      <c r="B467" s="16"/>
      <c r="L467" s="23"/>
      <c r="M467" s="23"/>
    </row>
    <row r="468" ht="15.75" customHeight="1">
      <c r="B468" s="16"/>
      <c r="L468" s="23"/>
      <c r="M468" s="23"/>
    </row>
    <row r="469" ht="15.75" customHeight="1">
      <c r="B469" s="16"/>
      <c r="L469" s="23"/>
      <c r="M469" s="23"/>
    </row>
    <row r="470" ht="15.75" customHeight="1">
      <c r="B470" s="16"/>
      <c r="L470" s="23"/>
      <c r="M470" s="23"/>
    </row>
    <row r="471" ht="15.75" customHeight="1">
      <c r="B471" s="16"/>
      <c r="L471" s="23"/>
      <c r="M471" s="23"/>
    </row>
    <row r="472" ht="15.75" customHeight="1">
      <c r="B472" s="16"/>
      <c r="L472" s="23"/>
      <c r="M472" s="23"/>
    </row>
    <row r="473" ht="15.75" customHeight="1">
      <c r="B473" s="16"/>
      <c r="L473" s="23"/>
    </row>
    <row r="474" ht="15.75" customHeight="1">
      <c r="B474" s="16"/>
      <c r="L474" s="23"/>
    </row>
    <row r="475" ht="15.75" customHeight="1">
      <c r="B475" s="16"/>
      <c r="L475" s="23"/>
    </row>
    <row r="476" ht="15.75" customHeight="1">
      <c r="B476" s="16"/>
      <c r="L476" s="23"/>
      <c r="M476" s="23"/>
    </row>
    <row r="477" ht="15.75" customHeight="1">
      <c r="B477" s="16"/>
      <c r="L477" s="23"/>
      <c r="M477" s="23"/>
    </row>
    <row r="478" ht="15.75" customHeight="1">
      <c r="B478" s="16"/>
      <c r="L478" s="23"/>
    </row>
    <row r="479" ht="15.75" customHeight="1">
      <c r="B479" s="16"/>
      <c r="L479" s="23"/>
      <c r="M479" s="23"/>
    </row>
    <row r="480" ht="15.75" customHeight="1">
      <c r="B480" s="16"/>
      <c r="L480" s="23"/>
      <c r="M480" s="23"/>
    </row>
    <row r="481" ht="15.75" customHeight="1">
      <c r="B481" s="16"/>
      <c r="L481" s="23"/>
    </row>
    <row r="482" ht="15.75" customHeight="1">
      <c r="B482" s="16"/>
      <c r="L482" s="23"/>
      <c r="M482" s="23"/>
    </row>
    <row r="483" ht="15.75" customHeight="1">
      <c r="B483" s="16"/>
      <c r="L483" s="23"/>
    </row>
    <row r="484" ht="15.75" customHeight="1">
      <c r="B484" s="16"/>
      <c r="L484" s="23"/>
      <c r="M484" s="23"/>
    </row>
    <row r="485" ht="15.75" customHeight="1">
      <c r="B485" s="16"/>
      <c r="L485" s="23"/>
    </row>
    <row r="486" ht="15.75" customHeight="1">
      <c r="B486" s="16"/>
      <c r="L486" s="23"/>
      <c r="M486" s="23"/>
    </row>
    <row r="487" ht="15.75" customHeight="1">
      <c r="B487" s="16"/>
      <c r="L487" s="23"/>
      <c r="M487" s="23"/>
    </row>
    <row r="488" ht="15.75" customHeight="1">
      <c r="B488" s="16"/>
      <c r="L488" s="23"/>
    </row>
    <row r="489" ht="15.75" customHeight="1">
      <c r="B489" s="16"/>
      <c r="L489" s="23"/>
      <c r="M489" s="23"/>
    </row>
    <row r="490" ht="15.75" customHeight="1">
      <c r="B490" s="16"/>
      <c r="L490" s="23"/>
    </row>
    <row r="491" ht="15.75" customHeight="1">
      <c r="B491" s="16"/>
      <c r="L491" s="23"/>
    </row>
    <row r="492" ht="15.75" customHeight="1">
      <c r="B492" s="16"/>
      <c r="L492" s="23"/>
      <c r="M492" s="23"/>
    </row>
    <row r="493" ht="15.75" customHeight="1">
      <c r="B493" s="16"/>
      <c r="L493" s="23"/>
      <c r="M493" s="23"/>
    </row>
    <row r="494" ht="15.75" customHeight="1">
      <c r="B494" s="16"/>
      <c r="L494" s="23"/>
      <c r="M494" s="23"/>
    </row>
    <row r="495" ht="15.75" customHeight="1">
      <c r="B495" s="16"/>
      <c r="L495" s="23"/>
      <c r="M495" s="23"/>
    </row>
    <row r="496" ht="15.75" customHeight="1">
      <c r="B496" s="16"/>
      <c r="L496" s="23"/>
    </row>
    <row r="497" ht="15.75" customHeight="1">
      <c r="B497" s="16"/>
      <c r="L497" s="23"/>
      <c r="M497" s="23"/>
    </row>
    <row r="498" ht="15.75" customHeight="1">
      <c r="B498" s="16"/>
      <c r="L498" s="23"/>
    </row>
    <row r="499" ht="15.75" customHeight="1">
      <c r="B499" s="16"/>
      <c r="L499" s="23"/>
      <c r="M499" s="23"/>
    </row>
    <row r="500" ht="15.75" customHeight="1">
      <c r="B500" s="16"/>
      <c r="L500" s="23"/>
    </row>
    <row r="501" ht="15.75" customHeight="1">
      <c r="B501" s="16"/>
      <c r="L501" s="23"/>
      <c r="M501" s="23"/>
    </row>
    <row r="502" ht="15.75" customHeight="1">
      <c r="B502" s="16"/>
      <c r="L502" s="23"/>
      <c r="M502" s="23"/>
    </row>
    <row r="503" ht="15.75" customHeight="1">
      <c r="B503" s="16"/>
      <c r="L503" s="23"/>
      <c r="M503" s="23"/>
    </row>
    <row r="504" ht="15.75" customHeight="1">
      <c r="B504" s="16"/>
      <c r="L504" s="23"/>
      <c r="M504" s="23"/>
    </row>
    <row r="505" ht="15.75" customHeight="1">
      <c r="B505" s="16"/>
      <c r="L505" s="23"/>
    </row>
    <row r="506" ht="15.75" customHeight="1">
      <c r="B506" s="16"/>
      <c r="L506" s="23"/>
      <c r="M506" s="23"/>
    </row>
    <row r="507" ht="15.75" customHeight="1">
      <c r="B507" s="16"/>
      <c r="L507" s="23"/>
      <c r="M507" s="23"/>
    </row>
    <row r="508" ht="15.75" customHeight="1">
      <c r="B508" s="16"/>
      <c r="L508" s="23"/>
      <c r="M508" s="23"/>
    </row>
    <row r="509" ht="15.75" customHeight="1">
      <c r="B509" s="16"/>
      <c r="L509" s="23"/>
      <c r="M509" s="23"/>
    </row>
    <row r="510" ht="15.75" customHeight="1">
      <c r="B510" s="16"/>
      <c r="L510" s="23"/>
    </row>
    <row r="511" ht="15.75" customHeight="1">
      <c r="B511" s="16"/>
      <c r="L511" s="23"/>
      <c r="M511" s="23"/>
    </row>
    <row r="512" ht="15.75" customHeight="1">
      <c r="B512" s="16"/>
      <c r="L512" s="23"/>
    </row>
    <row r="513" ht="15.75" customHeight="1">
      <c r="B513" s="16"/>
      <c r="L513" s="23"/>
      <c r="M513" s="23"/>
    </row>
    <row r="514" ht="15.75" customHeight="1">
      <c r="B514" s="16"/>
      <c r="L514" s="23"/>
      <c r="M514" s="23"/>
    </row>
    <row r="515" ht="15.75" customHeight="1">
      <c r="B515" s="16"/>
      <c r="L515" s="23"/>
    </row>
    <row r="516" ht="15.75" customHeight="1">
      <c r="B516" s="16"/>
      <c r="L516" s="23"/>
    </row>
    <row r="517" ht="15.75" customHeight="1">
      <c r="B517" s="16"/>
      <c r="L517" s="23"/>
      <c r="M517" s="23"/>
    </row>
    <row r="518" ht="15.75" customHeight="1">
      <c r="B518" s="16"/>
      <c r="L518" s="23"/>
      <c r="M518" s="23"/>
    </row>
    <row r="519" ht="15.75" customHeight="1">
      <c r="B519" s="16"/>
      <c r="L519" s="23"/>
    </row>
    <row r="520" ht="15.75" customHeight="1">
      <c r="B520" s="16"/>
      <c r="L520" s="23"/>
    </row>
    <row r="521" ht="15.75" customHeight="1">
      <c r="B521" s="16"/>
      <c r="L521" s="23"/>
      <c r="M521" s="23"/>
    </row>
    <row r="522" ht="15.75" customHeight="1">
      <c r="B522" s="16"/>
      <c r="L522" s="23"/>
    </row>
    <row r="523" ht="15.75" customHeight="1">
      <c r="B523" s="16"/>
      <c r="L523" s="23"/>
      <c r="M523" s="23"/>
    </row>
    <row r="524" ht="15.75" customHeight="1">
      <c r="B524" s="16"/>
      <c r="L524" s="23"/>
    </row>
    <row r="525" ht="15.75" customHeight="1">
      <c r="B525" s="16"/>
      <c r="L525" s="23"/>
      <c r="M525" s="23"/>
    </row>
    <row r="526" ht="15.75" customHeight="1">
      <c r="B526" s="16"/>
      <c r="L526" s="23"/>
    </row>
    <row r="527" ht="15.75" customHeight="1">
      <c r="B527" s="16"/>
      <c r="L527" s="23"/>
    </row>
    <row r="528" ht="15.75" customHeight="1">
      <c r="B528" s="16"/>
      <c r="L528" s="23"/>
      <c r="M528" s="23"/>
    </row>
    <row r="529" ht="15.75" customHeight="1">
      <c r="B529" s="16"/>
      <c r="L529" s="23"/>
    </row>
    <row r="530" ht="15.75" customHeight="1">
      <c r="B530" s="16"/>
      <c r="L530" s="23"/>
      <c r="M530" s="23"/>
    </row>
    <row r="531" ht="15.75" customHeight="1">
      <c r="B531" s="16"/>
      <c r="L531" s="23"/>
      <c r="M531" s="23"/>
    </row>
    <row r="532" ht="15.75" customHeight="1">
      <c r="B532" s="16"/>
      <c r="L532" s="23"/>
      <c r="M532" s="23"/>
    </row>
    <row r="533" ht="15.75" customHeight="1">
      <c r="B533" s="16"/>
      <c r="L533" s="23"/>
    </row>
    <row r="534" ht="15.75" customHeight="1">
      <c r="B534" s="16"/>
      <c r="L534" s="23"/>
    </row>
    <row r="535" ht="15.75" customHeight="1">
      <c r="B535" s="16"/>
      <c r="L535" s="23"/>
    </row>
    <row r="536" ht="15.75" customHeight="1">
      <c r="B536" s="16"/>
      <c r="L536" s="23"/>
      <c r="M536" s="23"/>
    </row>
    <row r="537" ht="15.75" customHeight="1">
      <c r="B537" s="16"/>
      <c r="L537" s="23"/>
      <c r="M537" s="23"/>
    </row>
    <row r="538" ht="15.75" customHeight="1">
      <c r="B538" s="16"/>
      <c r="L538" s="23"/>
      <c r="M538" s="23"/>
    </row>
    <row r="539" ht="15.75" customHeight="1">
      <c r="B539" s="16"/>
      <c r="L539" s="23"/>
    </row>
    <row r="540" ht="15.75" customHeight="1">
      <c r="B540" s="16"/>
      <c r="L540" s="23"/>
      <c r="M540" s="23"/>
    </row>
    <row r="541" ht="15.75" customHeight="1">
      <c r="B541" s="16"/>
      <c r="L541" s="23"/>
    </row>
    <row r="542" ht="15.75" customHeight="1">
      <c r="B542" s="16"/>
      <c r="L542" s="23"/>
      <c r="M542" s="23"/>
    </row>
    <row r="543" ht="15.75" customHeight="1">
      <c r="B543" s="16"/>
      <c r="L543" s="23"/>
      <c r="M543" s="23"/>
    </row>
    <row r="544" ht="15.75" customHeight="1">
      <c r="B544" s="16"/>
      <c r="L544" s="23"/>
      <c r="M544" s="23"/>
    </row>
    <row r="545" ht="15.75" customHeight="1">
      <c r="B545" s="16"/>
      <c r="L545" s="23"/>
      <c r="M545" s="23"/>
    </row>
    <row r="546" ht="15.75" customHeight="1">
      <c r="B546" s="16"/>
      <c r="L546" s="23"/>
      <c r="M546" s="23"/>
    </row>
    <row r="547" ht="15.75" customHeight="1">
      <c r="B547" s="16"/>
      <c r="L547" s="23"/>
      <c r="M547" s="23"/>
    </row>
    <row r="548" ht="15.75" customHeight="1">
      <c r="B548" s="16"/>
      <c r="L548" s="23"/>
      <c r="M548" s="23"/>
    </row>
    <row r="549" ht="15.75" customHeight="1">
      <c r="B549" s="16"/>
      <c r="L549" s="23"/>
      <c r="M549" s="23"/>
    </row>
    <row r="550" ht="15.75" customHeight="1">
      <c r="B550" s="16"/>
      <c r="L550" s="23"/>
      <c r="M550" s="23"/>
    </row>
    <row r="551" ht="15.75" customHeight="1">
      <c r="B551" s="16"/>
      <c r="L551" s="23"/>
      <c r="M551" s="23"/>
    </row>
    <row r="552" ht="15.75" customHeight="1">
      <c r="B552" s="16"/>
      <c r="L552" s="23"/>
      <c r="M552" s="23"/>
    </row>
    <row r="553" ht="15.75" customHeight="1">
      <c r="B553" s="16"/>
      <c r="L553" s="23"/>
      <c r="M553" s="23"/>
    </row>
    <row r="554" ht="15.75" customHeight="1">
      <c r="B554" s="16"/>
      <c r="L554" s="23"/>
    </row>
    <row r="555" ht="15.75" customHeight="1">
      <c r="B555" s="16"/>
      <c r="L555" s="23"/>
    </row>
    <row r="556" ht="15.75" customHeight="1">
      <c r="B556" s="16"/>
      <c r="L556" s="23"/>
      <c r="M556" s="23"/>
    </row>
    <row r="557" ht="15.75" customHeight="1">
      <c r="B557" s="16"/>
      <c r="L557" s="23"/>
      <c r="M557" s="23"/>
    </row>
    <row r="558" ht="15.75" customHeight="1">
      <c r="B558" s="16"/>
      <c r="L558" s="23"/>
      <c r="M558" s="23"/>
    </row>
    <row r="559" ht="15.75" customHeight="1">
      <c r="B559" s="16"/>
      <c r="L559" s="23"/>
      <c r="M559" s="23"/>
    </row>
    <row r="560" ht="15.75" customHeight="1">
      <c r="B560" s="16"/>
      <c r="L560" s="23"/>
      <c r="M560" s="23"/>
    </row>
    <row r="561" ht="15.75" customHeight="1">
      <c r="B561" s="16"/>
      <c r="L561" s="23"/>
      <c r="M561" s="23"/>
    </row>
    <row r="562" ht="15.75" customHeight="1">
      <c r="B562" s="16"/>
      <c r="L562" s="23"/>
    </row>
    <row r="563" ht="15.75" customHeight="1">
      <c r="B563" s="16"/>
      <c r="L563" s="23"/>
      <c r="M563" s="23"/>
    </row>
    <row r="564" ht="15.75" customHeight="1">
      <c r="B564" s="16"/>
      <c r="L564" s="23"/>
      <c r="M564" s="23"/>
    </row>
    <row r="565" ht="15.75" customHeight="1">
      <c r="B565" s="16"/>
      <c r="L565" s="23"/>
      <c r="M565" s="23"/>
    </row>
    <row r="566" ht="15.75" customHeight="1">
      <c r="B566" s="16"/>
      <c r="L566" s="23"/>
      <c r="M566" s="23"/>
    </row>
    <row r="567" ht="15.75" customHeight="1">
      <c r="B567" s="16"/>
      <c r="L567" s="23"/>
      <c r="M567" s="23"/>
    </row>
    <row r="568" ht="15.75" customHeight="1">
      <c r="B568" s="16"/>
      <c r="L568" s="23"/>
      <c r="M568" s="23"/>
    </row>
    <row r="569" ht="15.75" customHeight="1">
      <c r="B569" s="16"/>
      <c r="L569" s="23"/>
    </row>
    <row r="570" ht="15.75" customHeight="1">
      <c r="B570" s="16"/>
      <c r="L570" s="23"/>
      <c r="M570" s="23"/>
    </row>
    <row r="571" ht="15.75" customHeight="1">
      <c r="B571" s="16"/>
      <c r="L571" s="23"/>
      <c r="M571" s="23"/>
    </row>
    <row r="572" ht="15.75" customHeight="1">
      <c r="B572" s="16"/>
      <c r="L572" s="23"/>
    </row>
    <row r="573" ht="15.75" customHeight="1">
      <c r="B573" s="16"/>
      <c r="L573" s="23"/>
      <c r="M573" s="23"/>
    </row>
    <row r="574" ht="15.75" customHeight="1">
      <c r="B574" s="16"/>
      <c r="L574" s="23"/>
      <c r="M574" s="23"/>
    </row>
    <row r="575" ht="15.75" customHeight="1">
      <c r="B575" s="16"/>
      <c r="L575" s="23"/>
      <c r="M575" s="23"/>
    </row>
    <row r="576" ht="15.75" customHeight="1">
      <c r="B576" s="16"/>
      <c r="L576" s="23"/>
      <c r="M576" s="23"/>
    </row>
    <row r="577" ht="15.75" customHeight="1">
      <c r="B577" s="16"/>
      <c r="L577" s="23"/>
      <c r="M577" s="23"/>
    </row>
    <row r="578" ht="15.75" customHeight="1">
      <c r="B578" s="16"/>
      <c r="L578" s="23"/>
      <c r="M578" s="23"/>
    </row>
    <row r="579" ht="15.75" customHeight="1">
      <c r="B579" s="16"/>
      <c r="L579" s="23"/>
      <c r="M579" s="23"/>
    </row>
    <row r="580" ht="15.75" customHeight="1">
      <c r="B580" s="16"/>
      <c r="L580" s="23"/>
      <c r="M580" s="23"/>
    </row>
    <row r="581" ht="15.75" customHeight="1">
      <c r="B581" s="16"/>
      <c r="L581" s="23"/>
      <c r="M581" s="23"/>
    </row>
    <row r="582" ht="15.75" customHeight="1">
      <c r="B582" s="16"/>
      <c r="L582" s="23"/>
      <c r="M582" s="23"/>
    </row>
    <row r="583" ht="15.75" customHeight="1">
      <c r="B583" s="16"/>
      <c r="L583" s="23"/>
    </row>
    <row r="584" ht="15.75" customHeight="1">
      <c r="B584" s="16"/>
      <c r="L584" s="23"/>
      <c r="M584" s="23"/>
    </row>
    <row r="585" ht="15.75" customHeight="1">
      <c r="B585" s="16"/>
      <c r="L585" s="23"/>
      <c r="M585" s="23"/>
    </row>
    <row r="586" ht="15.75" customHeight="1">
      <c r="B586" s="16"/>
      <c r="L586" s="23"/>
      <c r="M586" s="23"/>
    </row>
    <row r="587" ht="15.75" customHeight="1">
      <c r="B587" s="16"/>
      <c r="L587" s="23"/>
      <c r="M587" s="23"/>
    </row>
    <row r="588" ht="15.75" customHeight="1">
      <c r="B588" s="16"/>
      <c r="L588" s="23"/>
      <c r="M588" s="23"/>
    </row>
    <row r="589" ht="15.75" customHeight="1">
      <c r="B589" s="16"/>
      <c r="L589" s="23"/>
    </row>
    <row r="590" ht="15.75" customHeight="1">
      <c r="B590" s="16"/>
      <c r="L590" s="23"/>
      <c r="M590" s="23"/>
    </row>
    <row r="591" ht="15.75" customHeight="1">
      <c r="B591" s="16"/>
      <c r="L591" s="23"/>
      <c r="M591" s="23"/>
    </row>
    <row r="592" ht="15.75" customHeight="1">
      <c r="B592" s="16"/>
      <c r="L592" s="23"/>
      <c r="M592" s="23"/>
    </row>
    <row r="593" ht="15.75" customHeight="1">
      <c r="B593" s="16"/>
      <c r="L593" s="23"/>
      <c r="M593" s="23"/>
    </row>
    <row r="594" ht="15.75" customHeight="1">
      <c r="B594" s="16"/>
      <c r="L594" s="23"/>
      <c r="M594" s="23"/>
    </row>
    <row r="595" ht="15.75" customHeight="1">
      <c r="B595" s="16"/>
      <c r="L595" s="23"/>
      <c r="M595" s="23"/>
    </row>
    <row r="596" ht="15.75" customHeight="1">
      <c r="B596" s="16"/>
      <c r="L596" s="23"/>
      <c r="M596" s="23"/>
    </row>
    <row r="597" ht="15.75" customHeight="1">
      <c r="B597" s="16"/>
      <c r="L597" s="23"/>
      <c r="M597" s="23"/>
    </row>
    <row r="598" ht="15.75" customHeight="1">
      <c r="B598" s="16"/>
      <c r="L598" s="23"/>
      <c r="M598" s="23"/>
    </row>
    <row r="599" ht="15.75" customHeight="1">
      <c r="B599" s="16"/>
      <c r="L599" s="23"/>
    </row>
    <row r="600" ht="15.75" customHeight="1">
      <c r="B600" s="16"/>
      <c r="L600" s="23"/>
      <c r="M600" s="23"/>
    </row>
    <row r="601" ht="15.75" customHeight="1">
      <c r="B601" s="16"/>
      <c r="L601" s="23"/>
      <c r="M601" s="23"/>
    </row>
    <row r="602" ht="15.75" customHeight="1">
      <c r="B602" s="16"/>
      <c r="L602" s="23"/>
      <c r="M602" s="23"/>
    </row>
    <row r="603" ht="15.75" customHeight="1">
      <c r="B603" s="16"/>
      <c r="L603" s="23"/>
      <c r="M603" s="23"/>
    </row>
    <row r="604" ht="15.75" customHeight="1">
      <c r="B604" s="16"/>
      <c r="L604" s="23"/>
    </row>
    <row r="605" ht="15.75" customHeight="1">
      <c r="B605" s="16"/>
      <c r="L605" s="23"/>
      <c r="M605" s="23"/>
    </row>
    <row r="606" ht="15.75" customHeight="1">
      <c r="B606" s="16"/>
      <c r="L606" s="23"/>
      <c r="M606" s="23"/>
    </row>
    <row r="607" ht="15.75" customHeight="1">
      <c r="B607" s="16"/>
      <c r="L607" s="23"/>
      <c r="M607" s="23"/>
    </row>
    <row r="608" ht="15.75" customHeight="1">
      <c r="B608" s="16"/>
      <c r="L608" s="23"/>
      <c r="M608" s="23"/>
    </row>
    <row r="609" ht="15.75" customHeight="1">
      <c r="B609" s="16"/>
      <c r="L609" s="23"/>
      <c r="M609" s="23"/>
    </row>
    <row r="610" ht="15.75" customHeight="1">
      <c r="B610" s="16"/>
      <c r="L610" s="23"/>
      <c r="M610" s="23"/>
    </row>
    <row r="611" ht="15.75" customHeight="1">
      <c r="B611" s="16"/>
      <c r="L611" s="23"/>
      <c r="M611" s="23"/>
    </row>
    <row r="612" ht="15.75" customHeight="1">
      <c r="B612" s="16"/>
      <c r="L612" s="23"/>
      <c r="M612" s="23"/>
    </row>
    <row r="613" ht="15.75" customHeight="1">
      <c r="B613" s="16"/>
      <c r="L613" s="23"/>
      <c r="M613" s="23"/>
    </row>
    <row r="614" ht="15.75" customHeight="1">
      <c r="B614" s="16"/>
      <c r="L614" s="23"/>
      <c r="M614" s="23"/>
    </row>
    <row r="615" ht="15.75" customHeight="1">
      <c r="B615" s="16"/>
      <c r="L615" s="23"/>
      <c r="M615" s="23"/>
    </row>
    <row r="616" ht="15.75" customHeight="1">
      <c r="B616" s="16"/>
      <c r="L616" s="23"/>
      <c r="M616" s="23"/>
    </row>
    <row r="617" ht="15.75" customHeight="1">
      <c r="B617" s="16"/>
      <c r="L617" s="23"/>
      <c r="M617" s="23"/>
    </row>
    <row r="618" ht="15.75" customHeight="1">
      <c r="B618" s="16"/>
      <c r="L618" s="23"/>
      <c r="M618" s="23"/>
    </row>
    <row r="619" ht="15.75" customHeight="1">
      <c r="B619" s="16"/>
      <c r="L619" s="23"/>
      <c r="M619" s="23"/>
    </row>
    <row r="620" ht="15.75" customHeight="1">
      <c r="B620" s="16"/>
      <c r="L620" s="23"/>
      <c r="M620" s="23"/>
    </row>
    <row r="621" ht="15.75" customHeight="1">
      <c r="B621" s="16"/>
      <c r="L621" s="23"/>
      <c r="M621" s="23"/>
    </row>
    <row r="622" ht="15.75" customHeight="1">
      <c r="B622" s="16"/>
      <c r="L622" s="23"/>
      <c r="M622" s="23"/>
    </row>
    <row r="623" ht="15.75" customHeight="1">
      <c r="B623" s="16"/>
      <c r="L623" s="23"/>
    </row>
    <row r="624" ht="15.75" customHeight="1">
      <c r="B624" s="16"/>
      <c r="L624" s="23"/>
    </row>
    <row r="625" ht="15.75" customHeight="1">
      <c r="B625" s="16"/>
      <c r="L625" s="23"/>
      <c r="M625" s="23"/>
    </row>
    <row r="626" ht="15.75" customHeight="1">
      <c r="B626" s="16"/>
      <c r="L626" s="23"/>
      <c r="M626" s="23"/>
    </row>
    <row r="627" ht="15.75" customHeight="1">
      <c r="B627" s="16"/>
      <c r="L627" s="23"/>
    </row>
    <row r="628" ht="15.75" customHeight="1">
      <c r="B628" s="16"/>
      <c r="L628" s="23"/>
      <c r="M628" s="23"/>
    </row>
    <row r="629" ht="15.75" customHeight="1">
      <c r="B629" s="16"/>
      <c r="L629" s="23"/>
    </row>
    <row r="630" ht="15.75" customHeight="1">
      <c r="B630" s="16"/>
      <c r="L630" s="23"/>
    </row>
    <row r="631" ht="15.75" customHeight="1">
      <c r="B631" s="16"/>
      <c r="L631" s="23"/>
      <c r="M631" s="23"/>
    </row>
    <row r="632" ht="15.75" customHeight="1">
      <c r="B632" s="16"/>
      <c r="L632" s="23"/>
    </row>
    <row r="633" ht="15.75" customHeight="1">
      <c r="B633" s="16"/>
      <c r="L633" s="23"/>
      <c r="M633" s="23"/>
    </row>
    <row r="634" ht="15.75" customHeight="1">
      <c r="B634" s="16"/>
      <c r="L634" s="23"/>
      <c r="M634" s="23"/>
    </row>
    <row r="635" ht="15.75" customHeight="1">
      <c r="B635" s="16"/>
      <c r="L635" s="23"/>
      <c r="M635" s="23"/>
    </row>
    <row r="636" ht="15.75" customHeight="1">
      <c r="B636" s="16"/>
      <c r="L636" s="23"/>
      <c r="M636" s="23"/>
    </row>
    <row r="637" ht="15.75" customHeight="1">
      <c r="B637" s="16"/>
      <c r="L637" s="23"/>
    </row>
    <row r="638" ht="15.75" customHeight="1">
      <c r="B638" s="16"/>
      <c r="L638" s="23"/>
    </row>
    <row r="639" ht="15.75" customHeight="1">
      <c r="B639" s="16"/>
      <c r="L639" s="23"/>
    </row>
    <row r="640" ht="15.75" customHeight="1">
      <c r="B640" s="16"/>
      <c r="L640" s="23"/>
    </row>
    <row r="641" ht="15.75" customHeight="1">
      <c r="B641" s="16"/>
      <c r="L641" s="23"/>
      <c r="M641" s="23"/>
    </row>
    <row r="642" ht="15.75" customHeight="1">
      <c r="B642" s="16"/>
      <c r="L642" s="23"/>
    </row>
    <row r="643" ht="15.75" customHeight="1">
      <c r="B643" s="16"/>
      <c r="L643" s="23"/>
      <c r="M643" s="23"/>
    </row>
    <row r="644" ht="15.75" customHeight="1">
      <c r="B644" s="16"/>
      <c r="L644" s="23"/>
    </row>
    <row r="645" ht="15.75" customHeight="1">
      <c r="B645" s="16"/>
      <c r="L645" s="23"/>
      <c r="M645" s="23"/>
    </row>
    <row r="646" ht="15.75" customHeight="1">
      <c r="B646" s="16"/>
      <c r="L646" s="23"/>
      <c r="M646" s="23"/>
    </row>
    <row r="647" ht="15.75" customHeight="1">
      <c r="B647" s="16"/>
      <c r="L647" s="23"/>
      <c r="M647" s="23"/>
    </row>
    <row r="648" ht="15.75" customHeight="1">
      <c r="B648" s="16"/>
      <c r="L648" s="23"/>
    </row>
    <row r="649" ht="15.75" customHeight="1">
      <c r="B649" s="16"/>
      <c r="L649" s="23"/>
    </row>
    <row r="650" ht="15.75" customHeight="1">
      <c r="B650" s="16"/>
      <c r="L650" s="23"/>
    </row>
    <row r="651" ht="15.75" customHeight="1">
      <c r="B651" s="16"/>
      <c r="L651" s="23"/>
      <c r="M651" s="23"/>
    </row>
    <row r="652" ht="15.75" customHeight="1">
      <c r="B652" s="16"/>
      <c r="L652" s="23"/>
    </row>
    <row r="653" ht="15.75" customHeight="1">
      <c r="B653" s="16"/>
      <c r="L653" s="23"/>
    </row>
    <row r="654" ht="15.75" customHeight="1">
      <c r="B654" s="16"/>
      <c r="L654" s="23"/>
      <c r="M654" s="23"/>
    </row>
    <row r="655" ht="15.75" customHeight="1">
      <c r="B655" s="16"/>
      <c r="L655" s="23"/>
      <c r="M655" s="23"/>
    </row>
    <row r="656" ht="15.75" customHeight="1">
      <c r="B656" s="16"/>
      <c r="L656" s="23"/>
    </row>
    <row r="657" ht="15.75" customHeight="1">
      <c r="B657" s="16"/>
      <c r="L657" s="23"/>
    </row>
    <row r="658" ht="15.75" customHeight="1">
      <c r="B658" s="16"/>
      <c r="L658" s="23"/>
      <c r="M658" s="23"/>
    </row>
    <row r="659" ht="15.75" customHeight="1">
      <c r="B659" s="16"/>
      <c r="L659" s="23"/>
    </row>
    <row r="660" ht="15.75" customHeight="1">
      <c r="B660" s="16"/>
      <c r="L660" s="23"/>
    </row>
    <row r="661" ht="15.75" customHeight="1">
      <c r="B661" s="16"/>
      <c r="L661" s="23"/>
    </row>
    <row r="662" ht="15.75" customHeight="1">
      <c r="B662" s="16"/>
      <c r="L662" s="23"/>
    </row>
    <row r="663" ht="15.75" customHeight="1">
      <c r="B663" s="16"/>
      <c r="L663" s="23"/>
    </row>
    <row r="664" ht="15.75" customHeight="1">
      <c r="B664" s="16"/>
      <c r="L664" s="23"/>
    </row>
    <row r="665" ht="15.75" customHeight="1">
      <c r="B665" s="16"/>
      <c r="L665" s="23"/>
      <c r="M665" s="23"/>
    </row>
    <row r="666" ht="15.75" customHeight="1">
      <c r="B666" s="16"/>
      <c r="L666" s="23"/>
    </row>
    <row r="667" ht="15.75" customHeight="1">
      <c r="B667" s="16"/>
      <c r="L667" s="23"/>
      <c r="M667" s="23"/>
    </row>
    <row r="668" ht="15.75" customHeight="1">
      <c r="B668" s="16"/>
      <c r="L668" s="23"/>
    </row>
    <row r="669" ht="15.75" customHeight="1">
      <c r="B669" s="16"/>
      <c r="L669" s="23"/>
    </row>
    <row r="670" ht="15.75" customHeight="1">
      <c r="B670" s="16"/>
      <c r="L670" s="23"/>
    </row>
    <row r="671" ht="15.75" customHeight="1">
      <c r="B671" s="16"/>
      <c r="L671" s="23"/>
    </row>
    <row r="672" ht="15.75" customHeight="1">
      <c r="B672" s="16"/>
      <c r="L672" s="23"/>
    </row>
    <row r="673" ht="15.75" customHeight="1">
      <c r="B673" s="16"/>
      <c r="L673" s="23"/>
    </row>
    <row r="674" ht="15.75" customHeight="1">
      <c r="B674" s="16"/>
      <c r="L674" s="23"/>
    </row>
    <row r="675" ht="15.75" customHeight="1">
      <c r="B675" s="16"/>
      <c r="L675" s="23"/>
      <c r="M675" s="23"/>
    </row>
    <row r="676" ht="15.75" customHeight="1">
      <c r="B676" s="16"/>
      <c r="L676" s="23"/>
    </row>
    <row r="677" ht="15.75" customHeight="1">
      <c r="B677" s="16"/>
      <c r="L677" s="23"/>
    </row>
    <row r="678" ht="15.75" customHeight="1">
      <c r="B678" s="16"/>
      <c r="L678" s="23"/>
    </row>
    <row r="679" ht="15.75" customHeight="1">
      <c r="B679" s="16"/>
      <c r="L679" s="23"/>
    </row>
    <row r="680" ht="15.75" customHeight="1">
      <c r="B680" s="16"/>
      <c r="L680" s="23"/>
      <c r="M680" s="23"/>
    </row>
    <row r="681" ht="15.75" customHeight="1">
      <c r="B681" s="16"/>
      <c r="L681" s="23"/>
    </row>
    <row r="682" ht="15.75" customHeight="1">
      <c r="B682" s="16"/>
      <c r="L682" s="23"/>
    </row>
    <row r="683" ht="15.75" customHeight="1">
      <c r="B683" s="16"/>
      <c r="L683" s="23"/>
      <c r="M683" s="23"/>
    </row>
    <row r="684" ht="15.75" customHeight="1">
      <c r="B684" s="16"/>
      <c r="L684" s="23"/>
    </row>
    <row r="685" ht="15.75" customHeight="1">
      <c r="B685" s="16"/>
      <c r="L685" s="23"/>
    </row>
    <row r="686" ht="15.75" customHeight="1">
      <c r="B686" s="16"/>
      <c r="L686" s="23"/>
    </row>
    <row r="687" ht="15.75" customHeight="1">
      <c r="B687" s="16"/>
      <c r="L687" s="23"/>
    </row>
    <row r="688" ht="15.75" customHeight="1">
      <c r="B688" s="16"/>
      <c r="L688" s="23"/>
    </row>
    <row r="689" ht="15.75" customHeight="1">
      <c r="B689" s="16"/>
      <c r="L689" s="23"/>
      <c r="M689" s="23"/>
    </row>
    <row r="690" ht="15.75" customHeight="1">
      <c r="B690" s="16"/>
      <c r="L690" s="23"/>
      <c r="M690" s="23"/>
    </row>
    <row r="691" ht="15.75" customHeight="1">
      <c r="B691" s="16"/>
      <c r="L691" s="23"/>
    </row>
    <row r="692" ht="15.75" customHeight="1">
      <c r="B692" s="16"/>
      <c r="L692" s="23"/>
    </row>
    <row r="693" ht="15.75" customHeight="1">
      <c r="B693" s="16"/>
      <c r="L693" s="23"/>
      <c r="M693" s="23"/>
    </row>
    <row r="694" ht="15.75" customHeight="1">
      <c r="B694" s="16"/>
      <c r="L694" s="23"/>
      <c r="M694" s="23"/>
    </row>
    <row r="695" ht="15.75" customHeight="1">
      <c r="B695" s="16"/>
      <c r="L695" s="23"/>
      <c r="M695" s="23"/>
    </row>
    <row r="696" ht="15.75" customHeight="1">
      <c r="B696" s="16"/>
      <c r="L696" s="23"/>
      <c r="M696" s="23"/>
    </row>
    <row r="697" ht="15.75" customHeight="1">
      <c r="B697" s="16"/>
      <c r="L697" s="23"/>
      <c r="M697" s="23"/>
    </row>
    <row r="698" ht="15.75" customHeight="1">
      <c r="B698" s="16"/>
      <c r="L698" s="23"/>
      <c r="M698" s="23"/>
    </row>
    <row r="699" ht="15.75" customHeight="1">
      <c r="B699" s="16"/>
      <c r="L699" s="23"/>
      <c r="M699" s="23"/>
    </row>
    <row r="700" ht="15.75" customHeight="1">
      <c r="B700" s="16"/>
      <c r="L700" s="23"/>
      <c r="M700" s="23"/>
    </row>
    <row r="701" ht="15.75" customHeight="1">
      <c r="B701" s="16"/>
      <c r="L701" s="23"/>
      <c r="M701" s="23"/>
    </row>
    <row r="702" ht="15.75" customHeight="1">
      <c r="B702" s="16"/>
      <c r="L702" s="23"/>
      <c r="M702" s="23"/>
    </row>
    <row r="703" ht="15.75" customHeight="1">
      <c r="B703" s="16"/>
      <c r="L703" s="23"/>
      <c r="M703" s="23"/>
    </row>
    <row r="704" ht="15.75" customHeight="1">
      <c r="B704" s="16"/>
      <c r="L704" s="23"/>
      <c r="M704" s="23"/>
    </row>
    <row r="705" ht="15.75" customHeight="1">
      <c r="B705" s="16"/>
      <c r="L705" s="23"/>
      <c r="M705" s="23"/>
    </row>
    <row r="706" ht="15.75" customHeight="1">
      <c r="B706" s="16"/>
      <c r="L706" s="23"/>
      <c r="M706" s="23"/>
    </row>
    <row r="707" ht="15.75" customHeight="1">
      <c r="B707" s="16"/>
      <c r="L707" s="23"/>
      <c r="M707" s="23"/>
    </row>
    <row r="708" ht="15.75" customHeight="1">
      <c r="B708" s="16"/>
      <c r="L708" s="23"/>
      <c r="M708" s="23"/>
    </row>
    <row r="709" ht="15.75" customHeight="1">
      <c r="B709" s="16"/>
      <c r="L709" s="23"/>
      <c r="M709" s="23"/>
    </row>
    <row r="710" ht="15.75" customHeight="1">
      <c r="B710" s="16"/>
      <c r="L710" s="23"/>
      <c r="M710" s="23"/>
    </row>
    <row r="711" ht="15.75" customHeight="1">
      <c r="B711" s="16"/>
      <c r="L711" s="23"/>
      <c r="M711" s="23"/>
    </row>
    <row r="712" ht="15.75" customHeight="1">
      <c r="B712" s="16"/>
      <c r="L712" s="23"/>
      <c r="M712" s="23"/>
    </row>
    <row r="713" ht="15.75" customHeight="1">
      <c r="B713" s="16"/>
      <c r="L713" s="23"/>
      <c r="M713" s="23"/>
    </row>
    <row r="714" ht="15.75" customHeight="1">
      <c r="B714" s="16"/>
      <c r="L714" s="23"/>
      <c r="M714" s="23"/>
    </row>
    <row r="715" ht="15.75" customHeight="1">
      <c r="B715" s="16"/>
      <c r="L715" s="23"/>
      <c r="M715" s="23"/>
    </row>
    <row r="716" ht="15.75" customHeight="1">
      <c r="B716" s="16"/>
      <c r="L716" s="23"/>
      <c r="M716" s="23"/>
    </row>
    <row r="717" ht="15.75" customHeight="1">
      <c r="B717" s="16"/>
      <c r="L717" s="23"/>
      <c r="M717" s="23"/>
    </row>
    <row r="718" ht="15.75" customHeight="1">
      <c r="B718" s="16"/>
      <c r="L718" s="23"/>
      <c r="M718" s="23"/>
    </row>
    <row r="719" ht="15.75" customHeight="1">
      <c r="B719" s="16"/>
      <c r="L719" s="23"/>
      <c r="M719" s="23"/>
    </row>
    <row r="720" ht="15.75" customHeight="1">
      <c r="B720" s="16"/>
      <c r="L720" s="23"/>
      <c r="M720" s="23"/>
    </row>
    <row r="721" ht="15.75" customHeight="1">
      <c r="B721" s="16"/>
      <c r="L721" s="23"/>
      <c r="M721" s="23"/>
    </row>
    <row r="722" ht="15.75" customHeight="1">
      <c r="B722" s="16"/>
      <c r="L722" s="23"/>
      <c r="M722" s="23"/>
    </row>
    <row r="723" ht="15.75" customHeight="1">
      <c r="B723" s="16"/>
      <c r="L723" s="23"/>
      <c r="M723" s="23"/>
    </row>
    <row r="724" ht="15.75" customHeight="1">
      <c r="B724" s="16"/>
      <c r="L724" s="23"/>
      <c r="M724" s="23"/>
    </row>
    <row r="725" ht="15.75" customHeight="1">
      <c r="B725" s="16"/>
      <c r="L725" s="23"/>
      <c r="M725" s="23"/>
    </row>
    <row r="726" ht="15.75" customHeight="1">
      <c r="B726" s="16"/>
      <c r="L726" s="23"/>
      <c r="M726" s="23"/>
    </row>
    <row r="727" ht="15.75" customHeight="1">
      <c r="B727" s="16"/>
      <c r="L727" s="23"/>
      <c r="M727" s="23"/>
    </row>
    <row r="728" ht="15.75" customHeight="1">
      <c r="B728" s="16"/>
      <c r="L728" s="23"/>
      <c r="M728" s="23"/>
    </row>
    <row r="729" ht="15.75" customHeight="1">
      <c r="B729" s="16"/>
      <c r="L729" s="23"/>
      <c r="M729" s="23"/>
    </row>
    <row r="730" ht="15.75" customHeight="1">
      <c r="B730" s="16"/>
      <c r="L730" s="23"/>
      <c r="M730" s="23"/>
    </row>
    <row r="731" ht="15.75" customHeight="1">
      <c r="B731" s="16"/>
      <c r="L731" s="23"/>
      <c r="M731" s="23"/>
    </row>
    <row r="732" ht="15.75" customHeight="1">
      <c r="B732" s="16"/>
      <c r="L732" s="23"/>
      <c r="M732" s="23"/>
    </row>
    <row r="733" ht="15.75" customHeight="1">
      <c r="B733" s="16"/>
      <c r="L733" s="23"/>
      <c r="M733" s="23"/>
    </row>
    <row r="734" ht="15.75" customHeight="1">
      <c r="B734" s="16"/>
      <c r="L734" s="23"/>
      <c r="M734" s="23"/>
    </row>
    <row r="735" ht="15.75" customHeight="1">
      <c r="B735" s="16"/>
      <c r="L735" s="23"/>
      <c r="M735" s="23"/>
    </row>
    <row r="736" ht="15.75" customHeight="1">
      <c r="B736" s="16"/>
      <c r="L736" s="23"/>
      <c r="M736" s="23"/>
    </row>
    <row r="737" ht="15.75" customHeight="1">
      <c r="B737" s="16"/>
      <c r="L737" s="23"/>
      <c r="M737" s="23"/>
    </row>
    <row r="738" ht="15.75" customHeight="1">
      <c r="B738" s="16"/>
      <c r="L738" s="23"/>
      <c r="M738" s="23"/>
    </row>
    <row r="739" ht="15.75" customHeight="1">
      <c r="B739" s="16"/>
      <c r="L739" s="23"/>
      <c r="M739" s="23"/>
    </row>
    <row r="740" ht="15.75" customHeight="1">
      <c r="B740" s="16"/>
      <c r="L740" s="23"/>
      <c r="M740" s="23"/>
    </row>
    <row r="741" ht="15.75" customHeight="1">
      <c r="B741" s="16"/>
      <c r="L741" s="23"/>
    </row>
    <row r="742" ht="15.75" customHeight="1">
      <c r="B742" s="16"/>
      <c r="L742" s="23"/>
      <c r="M742" s="23"/>
    </row>
    <row r="743" ht="15.75" customHeight="1">
      <c r="B743" s="16"/>
      <c r="L743" s="23"/>
    </row>
    <row r="744" ht="15.75" customHeight="1">
      <c r="B744" s="16"/>
      <c r="L744" s="23"/>
      <c r="M744" s="23"/>
    </row>
    <row r="745" ht="15.75" customHeight="1">
      <c r="B745" s="16"/>
      <c r="L745" s="23"/>
      <c r="M745" s="23"/>
    </row>
    <row r="746" ht="15.75" customHeight="1">
      <c r="B746" s="16"/>
      <c r="L746" s="23"/>
      <c r="M746" s="23"/>
    </row>
    <row r="747" ht="15.75" customHeight="1">
      <c r="B747" s="16"/>
      <c r="L747" s="23"/>
    </row>
    <row r="748" ht="15.75" customHeight="1">
      <c r="B748" s="16"/>
      <c r="L748" s="23"/>
    </row>
    <row r="749" ht="15.75" customHeight="1">
      <c r="B749" s="16"/>
      <c r="L749" s="23"/>
    </row>
    <row r="750" ht="15.75" customHeight="1">
      <c r="B750" s="16"/>
      <c r="L750" s="23"/>
      <c r="M750" s="23"/>
    </row>
    <row r="751" ht="15.75" customHeight="1">
      <c r="B751" s="16"/>
      <c r="L751" s="23"/>
    </row>
    <row r="752" ht="15.75" customHeight="1">
      <c r="B752" s="16"/>
      <c r="L752" s="23"/>
    </row>
    <row r="753" ht="15.75" customHeight="1">
      <c r="B753" s="16"/>
      <c r="L753" s="23"/>
      <c r="M753" s="23"/>
    </row>
    <row r="754" ht="15.75" customHeight="1">
      <c r="B754" s="16"/>
      <c r="L754" s="23"/>
    </row>
    <row r="755" ht="15.75" customHeight="1">
      <c r="B755" s="16"/>
      <c r="L755" s="23"/>
    </row>
    <row r="756" ht="15.75" customHeight="1">
      <c r="B756" s="16"/>
      <c r="L756" s="23"/>
    </row>
    <row r="757" ht="15.75" customHeight="1">
      <c r="B757" s="16"/>
      <c r="L757" s="23"/>
    </row>
    <row r="758" ht="15.75" customHeight="1">
      <c r="B758" s="16"/>
      <c r="L758" s="23"/>
    </row>
    <row r="759" ht="15.75" customHeight="1">
      <c r="B759" s="16"/>
      <c r="L759" s="23"/>
    </row>
    <row r="760" ht="15.75" customHeight="1">
      <c r="B760" s="16"/>
      <c r="L760" s="23"/>
    </row>
    <row r="761" ht="15.75" customHeight="1">
      <c r="B761" s="16"/>
      <c r="L761" s="23"/>
    </row>
    <row r="762" ht="15.75" customHeight="1">
      <c r="B762" s="16"/>
      <c r="L762" s="23"/>
      <c r="M762" s="23"/>
    </row>
    <row r="763" ht="15.75" customHeight="1">
      <c r="B763" s="16"/>
      <c r="L763" s="23"/>
    </row>
    <row r="764" ht="15.75" customHeight="1">
      <c r="B764" s="16"/>
      <c r="L764" s="23"/>
    </row>
    <row r="765" ht="15.75" customHeight="1">
      <c r="B765" s="16"/>
      <c r="L765" s="23"/>
    </row>
    <row r="766" ht="15.75" customHeight="1">
      <c r="B766" s="16"/>
      <c r="L766" s="23"/>
    </row>
    <row r="767" ht="15.75" customHeight="1">
      <c r="B767" s="16"/>
      <c r="L767" s="23"/>
    </row>
    <row r="768" ht="15.75" customHeight="1">
      <c r="B768" s="16"/>
      <c r="L768" s="23"/>
    </row>
    <row r="769" ht="15.75" customHeight="1">
      <c r="B769" s="16"/>
      <c r="L769" s="23"/>
      <c r="M769" s="23"/>
    </row>
    <row r="770" ht="15.75" customHeight="1">
      <c r="B770" s="16"/>
      <c r="L770" s="23"/>
    </row>
    <row r="771" ht="15.75" customHeight="1">
      <c r="B771" s="16"/>
      <c r="L771" s="23"/>
      <c r="M771" s="23"/>
    </row>
    <row r="772" ht="15.75" customHeight="1">
      <c r="B772" s="16"/>
      <c r="L772" s="23"/>
      <c r="M772" s="23"/>
    </row>
    <row r="773" ht="15.75" customHeight="1">
      <c r="B773" s="16"/>
      <c r="L773" s="23"/>
      <c r="M773" s="23"/>
    </row>
    <row r="774" ht="15.75" customHeight="1">
      <c r="B774" s="16"/>
      <c r="L774" s="23"/>
    </row>
    <row r="775" ht="15.75" customHeight="1">
      <c r="B775" s="16"/>
      <c r="L775" s="23"/>
    </row>
    <row r="776" ht="15.75" customHeight="1">
      <c r="B776" s="16"/>
      <c r="L776" s="23"/>
    </row>
    <row r="777" ht="15.75" customHeight="1">
      <c r="B777" s="16"/>
      <c r="L777" s="23"/>
    </row>
    <row r="778" ht="15.75" customHeight="1">
      <c r="B778" s="16"/>
      <c r="L778" s="23"/>
      <c r="M778" s="23"/>
    </row>
    <row r="779" ht="15.75" customHeight="1">
      <c r="B779" s="16"/>
      <c r="L779" s="23"/>
      <c r="M779" s="23"/>
    </row>
    <row r="780" ht="15.75" customHeight="1">
      <c r="B780" s="16"/>
      <c r="L780" s="23"/>
    </row>
    <row r="781" ht="15.75" customHeight="1">
      <c r="B781" s="16"/>
      <c r="L781" s="23"/>
    </row>
    <row r="782" ht="15.75" customHeight="1">
      <c r="B782" s="16"/>
      <c r="L782" s="23"/>
    </row>
    <row r="783" ht="15.75" customHeight="1">
      <c r="B783" s="16"/>
      <c r="L783" s="23"/>
    </row>
    <row r="784" ht="15.75" customHeight="1">
      <c r="B784" s="16"/>
      <c r="L784" s="23"/>
    </row>
    <row r="785" ht="15.75" customHeight="1">
      <c r="B785" s="16"/>
      <c r="L785" s="23"/>
    </row>
    <row r="786" ht="15.75" customHeight="1">
      <c r="B786" s="16"/>
      <c r="L786" s="23"/>
    </row>
    <row r="787" ht="15.75" customHeight="1">
      <c r="B787" s="16"/>
      <c r="L787" s="23"/>
    </row>
    <row r="788" ht="15.75" customHeight="1">
      <c r="B788" s="16"/>
      <c r="L788" s="23"/>
    </row>
    <row r="789" ht="15.75" customHeight="1">
      <c r="B789" s="16"/>
      <c r="L789" s="23"/>
    </row>
    <row r="790" ht="15.75" customHeight="1">
      <c r="B790" s="16"/>
      <c r="L790" s="23"/>
    </row>
    <row r="791">
      <c r="B791" s="16"/>
      <c r="L791" s="23"/>
      <c r="M791" s="23"/>
    </row>
    <row r="792">
      <c r="B792" s="16"/>
      <c r="L792" s="23"/>
    </row>
    <row r="793">
      <c r="B793" s="16"/>
      <c r="L793" s="23"/>
    </row>
    <row r="794">
      <c r="B794" s="16"/>
      <c r="L794" s="23"/>
      <c r="M794" s="23"/>
    </row>
    <row r="795">
      <c r="B795" s="16"/>
      <c r="L795" s="23"/>
    </row>
    <row r="796">
      <c r="B796" s="16"/>
      <c r="L796" s="23"/>
    </row>
    <row r="797">
      <c r="B797" s="16"/>
      <c r="L797" s="23"/>
    </row>
    <row r="798">
      <c r="B798" s="16"/>
      <c r="L798" s="23"/>
    </row>
    <row r="799">
      <c r="B799" s="16"/>
      <c r="L799" s="23"/>
      <c r="M799" s="23"/>
    </row>
    <row r="800">
      <c r="B800" s="16"/>
      <c r="L800" s="23"/>
    </row>
    <row r="801">
      <c r="B801" s="16"/>
      <c r="L801" s="23"/>
      <c r="M801" s="23"/>
    </row>
    <row r="802">
      <c r="B802" s="16"/>
      <c r="L802" s="23"/>
    </row>
    <row r="803">
      <c r="B803" s="16"/>
      <c r="L803" s="23"/>
    </row>
    <row r="804">
      <c r="B804" s="16"/>
      <c r="L804" s="23"/>
    </row>
    <row r="805">
      <c r="B805" s="16"/>
      <c r="L805" s="23"/>
    </row>
    <row r="806">
      <c r="B806" s="16"/>
      <c r="L806" s="23"/>
    </row>
    <row r="807">
      <c r="B807" s="16"/>
      <c r="L807" s="23"/>
    </row>
    <row r="808">
      <c r="B808" s="16"/>
      <c r="L808" s="23"/>
    </row>
    <row r="809">
      <c r="B809" s="16"/>
      <c r="L809" s="23"/>
      <c r="M809" s="23"/>
    </row>
    <row r="810">
      <c r="B810" s="16"/>
      <c r="L810" s="23"/>
      <c r="M810" s="23"/>
    </row>
    <row r="811">
      <c r="B811" s="16"/>
      <c r="L811" s="23"/>
    </row>
    <row r="812">
      <c r="B812" s="16"/>
      <c r="L812" s="23"/>
    </row>
    <row r="813">
      <c r="B813" s="16"/>
      <c r="L813" s="23"/>
    </row>
    <row r="814">
      <c r="B814" s="16"/>
      <c r="L814" s="23"/>
    </row>
    <row r="815">
      <c r="B815" s="16"/>
      <c r="L815" s="23"/>
      <c r="M815" s="23"/>
    </row>
    <row r="816">
      <c r="B816" s="16"/>
      <c r="L816" s="23"/>
    </row>
    <row r="817">
      <c r="B817" s="16"/>
      <c r="L817" s="23"/>
    </row>
    <row r="818">
      <c r="B818" s="16"/>
      <c r="L818" s="23"/>
    </row>
    <row r="819">
      <c r="B819" s="16"/>
      <c r="L819" s="23"/>
    </row>
    <row r="820">
      <c r="B820" s="16"/>
      <c r="L820" s="23"/>
      <c r="M820" s="23"/>
    </row>
    <row r="821">
      <c r="B821" s="16"/>
      <c r="L821" s="23"/>
    </row>
    <row r="822">
      <c r="B822" s="16"/>
      <c r="L822" s="23"/>
    </row>
    <row r="823">
      <c r="B823" s="16"/>
      <c r="L823" s="23"/>
      <c r="M823" s="23"/>
    </row>
    <row r="824">
      <c r="B824" s="16"/>
      <c r="L824" s="23"/>
      <c r="M824" s="23"/>
    </row>
    <row r="825">
      <c r="B825" s="16"/>
      <c r="L825" s="23"/>
      <c r="M825" s="23"/>
    </row>
    <row r="826">
      <c r="B826" s="16"/>
      <c r="L826" s="23"/>
      <c r="M826" s="23"/>
    </row>
    <row r="827">
      <c r="B827" s="16"/>
      <c r="L827" s="23"/>
    </row>
    <row r="828">
      <c r="B828" s="16"/>
      <c r="L828" s="23"/>
      <c r="M828" s="23"/>
    </row>
    <row r="829">
      <c r="B829" s="16"/>
      <c r="L829" s="23"/>
    </row>
    <row r="830">
      <c r="B830" s="16"/>
      <c r="L830" s="23"/>
    </row>
    <row r="831">
      <c r="B831" s="16"/>
      <c r="L831" s="23"/>
    </row>
    <row r="832">
      <c r="B832" s="16"/>
      <c r="L832" s="23"/>
    </row>
    <row r="833">
      <c r="B833" s="16"/>
      <c r="L833" s="23"/>
    </row>
    <row r="834">
      <c r="B834" s="16"/>
      <c r="L834" s="23"/>
    </row>
    <row r="835">
      <c r="B835" s="16"/>
      <c r="L835" s="23"/>
    </row>
    <row r="836">
      <c r="B836" s="16"/>
      <c r="L836" s="23"/>
      <c r="M836" s="23"/>
    </row>
    <row r="837">
      <c r="B837" s="16"/>
      <c r="L837" s="23"/>
    </row>
    <row r="838">
      <c r="B838" s="16"/>
      <c r="L838" s="23"/>
    </row>
    <row r="839">
      <c r="B839" s="16"/>
      <c r="L839" s="23"/>
      <c r="M839" s="23"/>
    </row>
    <row r="840">
      <c r="B840" s="16"/>
      <c r="L840" s="23"/>
    </row>
    <row r="841">
      <c r="B841" s="16"/>
      <c r="L841" s="23"/>
      <c r="M841" s="23"/>
    </row>
    <row r="842">
      <c r="B842" s="16"/>
      <c r="L842" s="23"/>
    </row>
    <row r="843">
      <c r="B843" s="16"/>
      <c r="L843" s="23"/>
      <c r="M843" s="23"/>
    </row>
    <row r="844">
      <c r="B844" s="16"/>
      <c r="L844" s="23"/>
    </row>
    <row r="845">
      <c r="B845" s="16"/>
      <c r="L845" s="23"/>
    </row>
    <row r="846">
      <c r="B846" s="16"/>
      <c r="L846" s="23"/>
    </row>
    <row r="847">
      <c r="B847" s="16"/>
      <c r="L847" s="23"/>
      <c r="M847" s="23"/>
    </row>
    <row r="848">
      <c r="B848" s="16"/>
      <c r="L848" s="23"/>
    </row>
    <row r="849">
      <c r="B849" s="16"/>
      <c r="L849" s="23"/>
    </row>
    <row r="850">
      <c r="B850" s="16"/>
      <c r="L850" s="23"/>
    </row>
    <row r="851">
      <c r="B851" s="16"/>
      <c r="L851" s="23"/>
    </row>
    <row r="852">
      <c r="B852" s="16"/>
      <c r="L852" s="23"/>
      <c r="M852" s="23"/>
    </row>
    <row r="853">
      <c r="B853" s="16"/>
      <c r="L853" s="23"/>
      <c r="M853" s="23"/>
    </row>
    <row r="854">
      <c r="B854" s="16"/>
      <c r="L854" s="23"/>
    </row>
    <row r="855">
      <c r="B855" s="16"/>
      <c r="L855" s="23"/>
    </row>
    <row r="856">
      <c r="B856" s="16"/>
      <c r="L856" s="23"/>
    </row>
    <row r="857">
      <c r="B857" s="16"/>
      <c r="L857" s="23"/>
      <c r="M857" s="23"/>
    </row>
    <row r="858">
      <c r="B858" s="16"/>
      <c r="L858" s="23"/>
      <c r="M858" s="23"/>
    </row>
    <row r="859">
      <c r="B859" s="16"/>
      <c r="L859" s="23"/>
      <c r="M859" s="23"/>
    </row>
    <row r="860">
      <c r="B860" s="16"/>
      <c r="L860" s="23"/>
      <c r="M860" s="23"/>
    </row>
    <row r="861">
      <c r="B861" s="16"/>
      <c r="L861" s="23"/>
      <c r="M861" s="23"/>
    </row>
    <row r="862">
      <c r="B862" s="16"/>
      <c r="L862" s="23"/>
    </row>
    <row r="863">
      <c r="B863" s="16"/>
      <c r="L863" s="23"/>
    </row>
    <row r="864">
      <c r="B864" s="16"/>
      <c r="L864" s="23"/>
    </row>
    <row r="865">
      <c r="B865" s="16"/>
      <c r="L865" s="23"/>
    </row>
    <row r="866">
      <c r="B866" s="16"/>
      <c r="L866" s="23"/>
    </row>
    <row r="867">
      <c r="B867" s="16"/>
      <c r="L867" s="23"/>
    </row>
    <row r="868">
      <c r="B868" s="16"/>
      <c r="L868" s="23"/>
    </row>
    <row r="869">
      <c r="B869" s="16"/>
      <c r="L869" s="23"/>
    </row>
    <row r="870">
      <c r="B870" s="16"/>
      <c r="L870" s="23"/>
    </row>
    <row r="871">
      <c r="B871" s="16"/>
      <c r="L871" s="23"/>
    </row>
    <row r="872">
      <c r="B872" s="16"/>
      <c r="L872" s="23"/>
      <c r="M872" s="23"/>
    </row>
    <row r="873">
      <c r="B873" s="16"/>
      <c r="L873" s="23"/>
    </row>
    <row r="874">
      <c r="B874" s="16"/>
      <c r="L874" s="23"/>
      <c r="M874" s="23"/>
    </row>
    <row r="875">
      <c r="B875" s="16"/>
      <c r="L875" s="23"/>
      <c r="M875" s="23"/>
    </row>
    <row r="876">
      <c r="B876" s="16"/>
      <c r="L876" s="23"/>
    </row>
    <row r="877">
      <c r="B877" s="16"/>
      <c r="L877" s="23"/>
    </row>
    <row r="878">
      <c r="B878" s="16"/>
      <c r="L878" s="23"/>
      <c r="M878" s="23"/>
    </row>
    <row r="879">
      <c r="B879" s="16"/>
      <c r="L879" s="23"/>
      <c r="M879" s="23"/>
    </row>
    <row r="880">
      <c r="B880" s="16"/>
      <c r="L880" s="23"/>
      <c r="M880" s="23"/>
    </row>
    <row r="881">
      <c r="B881" s="16"/>
      <c r="L881" s="23"/>
    </row>
    <row r="882">
      <c r="B882" s="16"/>
      <c r="L882" s="23"/>
      <c r="M882" s="23"/>
    </row>
    <row r="883">
      <c r="B883" s="16"/>
      <c r="L883" s="23"/>
      <c r="M883" s="23"/>
    </row>
    <row r="884">
      <c r="B884" s="16"/>
      <c r="L884" s="23"/>
    </row>
    <row r="885">
      <c r="B885" s="16"/>
      <c r="L885" s="23"/>
    </row>
    <row r="886">
      <c r="B886" s="16"/>
      <c r="L886" s="23"/>
      <c r="M886" s="23"/>
    </row>
    <row r="887">
      <c r="B887" s="16"/>
      <c r="L887" s="23"/>
    </row>
    <row r="888">
      <c r="B888" s="16"/>
      <c r="L888" s="23"/>
      <c r="M888" s="23"/>
    </row>
    <row r="889">
      <c r="B889" s="16"/>
      <c r="L889" s="23"/>
    </row>
    <row r="890">
      <c r="B890" s="16"/>
      <c r="L890" s="23"/>
    </row>
    <row r="891">
      <c r="B891" s="16"/>
      <c r="L891" s="23"/>
    </row>
    <row r="892">
      <c r="B892" s="16"/>
      <c r="L892" s="23"/>
    </row>
    <row r="893">
      <c r="B893" s="16"/>
      <c r="L893" s="23"/>
      <c r="M893" s="23"/>
    </row>
    <row r="894">
      <c r="B894" s="16"/>
      <c r="L894" s="23"/>
      <c r="M894" s="23"/>
    </row>
    <row r="895">
      <c r="B895" s="16"/>
      <c r="L895" s="23"/>
      <c r="M895" s="23"/>
    </row>
    <row r="896">
      <c r="B896" s="16"/>
      <c r="L896" s="23"/>
      <c r="M896" s="23"/>
    </row>
    <row r="897">
      <c r="B897" s="16"/>
      <c r="L897" s="23"/>
      <c r="M897" s="23"/>
    </row>
    <row r="898">
      <c r="B898" s="16"/>
      <c r="L898" s="23"/>
    </row>
    <row r="899">
      <c r="B899" s="16"/>
      <c r="L899" s="23"/>
      <c r="M899" s="23"/>
    </row>
    <row r="900">
      <c r="B900" s="16"/>
      <c r="L900" s="23"/>
    </row>
    <row r="901">
      <c r="B901" s="16"/>
      <c r="L901" s="23"/>
    </row>
    <row r="902">
      <c r="B902" s="16"/>
      <c r="L902" s="23"/>
    </row>
    <row r="903">
      <c r="B903" s="16"/>
      <c r="L903" s="23"/>
    </row>
    <row r="904">
      <c r="B904" s="16"/>
      <c r="L904" s="23"/>
    </row>
    <row r="905">
      <c r="B905" s="16"/>
      <c r="L905" s="23"/>
      <c r="M905" s="23"/>
    </row>
    <row r="906">
      <c r="B906" s="16"/>
      <c r="L906" s="23"/>
    </row>
    <row r="907">
      <c r="B907" s="16"/>
      <c r="L907" s="23"/>
    </row>
    <row r="908">
      <c r="B908" s="16"/>
      <c r="L908" s="23"/>
    </row>
    <row r="909">
      <c r="B909" s="16"/>
      <c r="L909" s="23"/>
    </row>
    <row r="910">
      <c r="B910" s="16"/>
      <c r="L910" s="23"/>
      <c r="M910" s="23"/>
    </row>
    <row r="911">
      <c r="B911" s="16"/>
      <c r="L911" s="23"/>
      <c r="M911" s="23"/>
    </row>
    <row r="912">
      <c r="B912" s="16"/>
      <c r="L912" s="23"/>
      <c r="M912" s="23"/>
    </row>
    <row r="913">
      <c r="B913" s="16"/>
      <c r="L913" s="23"/>
    </row>
    <row r="914">
      <c r="B914" s="16"/>
      <c r="L914" s="23"/>
      <c r="M914" s="23"/>
    </row>
    <row r="915">
      <c r="B915" s="16"/>
      <c r="L915" s="23"/>
    </row>
    <row r="916">
      <c r="B916" s="16"/>
      <c r="L916" s="23"/>
      <c r="M916" s="23"/>
    </row>
    <row r="917">
      <c r="B917" s="16"/>
      <c r="L917" s="23"/>
      <c r="M917" s="23"/>
    </row>
    <row r="918">
      <c r="B918" s="16"/>
      <c r="L918" s="23"/>
    </row>
    <row r="919">
      <c r="B919" s="16"/>
      <c r="L919" s="23"/>
    </row>
    <row r="920">
      <c r="B920" s="16"/>
      <c r="L920" s="23"/>
    </row>
    <row r="921">
      <c r="B921" s="16"/>
      <c r="L921" s="23"/>
      <c r="M921" s="23"/>
    </row>
    <row r="922">
      <c r="B922" s="16"/>
      <c r="L922" s="23"/>
      <c r="M922" s="23"/>
    </row>
    <row r="923">
      <c r="B923" s="16"/>
      <c r="L923" s="23"/>
      <c r="M923" s="23"/>
    </row>
    <row r="924">
      <c r="B924" s="16"/>
      <c r="L924" s="23"/>
    </row>
    <row r="925">
      <c r="B925" s="16"/>
      <c r="L925" s="23"/>
      <c r="M925" s="23"/>
    </row>
    <row r="926">
      <c r="B926" s="16"/>
      <c r="L926" s="23"/>
      <c r="M926" s="23"/>
    </row>
    <row r="927">
      <c r="B927" s="16"/>
      <c r="L927" s="23"/>
      <c r="M927" s="23"/>
    </row>
    <row r="928">
      <c r="B928" s="16"/>
      <c r="L928" s="23"/>
      <c r="M928" s="23"/>
    </row>
    <row r="929">
      <c r="B929" s="16"/>
      <c r="L929" s="23"/>
    </row>
    <row r="930">
      <c r="B930" s="16"/>
      <c r="L930" s="23"/>
      <c r="M930" s="23"/>
    </row>
    <row r="931">
      <c r="B931" s="16"/>
      <c r="L931" s="23"/>
      <c r="M931" s="23"/>
    </row>
    <row r="932">
      <c r="B932" s="16"/>
      <c r="L932" s="23"/>
    </row>
    <row r="933">
      <c r="B933" s="16"/>
      <c r="L933" s="23"/>
      <c r="M933" s="23"/>
    </row>
    <row r="934">
      <c r="B934" s="16"/>
      <c r="L934" s="23"/>
    </row>
    <row r="935">
      <c r="B935" s="16"/>
      <c r="L935" s="23"/>
    </row>
    <row r="936">
      <c r="B936" s="16"/>
      <c r="L936" s="23"/>
      <c r="M936" s="23"/>
    </row>
    <row r="937">
      <c r="B937" s="16"/>
      <c r="L937" s="23"/>
    </row>
    <row r="938">
      <c r="B938" s="16"/>
      <c r="L938" s="23"/>
      <c r="M938" s="23"/>
    </row>
    <row r="939">
      <c r="B939" s="16"/>
      <c r="L939" s="23"/>
    </row>
    <row r="940">
      <c r="B940" s="16"/>
      <c r="L940" s="23"/>
    </row>
    <row r="941">
      <c r="B941" s="16"/>
      <c r="L941" s="23"/>
      <c r="M941" s="23"/>
    </row>
    <row r="942">
      <c r="B942" s="16"/>
      <c r="L942" s="23"/>
    </row>
    <row r="943">
      <c r="B943" s="16"/>
      <c r="L943" s="23"/>
    </row>
    <row r="944">
      <c r="B944" s="16"/>
      <c r="L944" s="23"/>
    </row>
    <row r="945">
      <c r="B945" s="16"/>
      <c r="L945" s="23"/>
      <c r="M945" s="23"/>
    </row>
    <row r="946">
      <c r="B946" s="16"/>
      <c r="L946" s="23"/>
    </row>
    <row r="947">
      <c r="B947" s="16"/>
      <c r="L947" s="23"/>
    </row>
    <row r="948">
      <c r="B948" s="16"/>
      <c r="L948" s="23"/>
    </row>
    <row r="949">
      <c r="B949" s="16"/>
      <c r="L949" s="23"/>
    </row>
    <row r="950">
      <c r="B950" s="16"/>
      <c r="L950" s="23"/>
    </row>
    <row r="951">
      <c r="B951" s="16"/>
      <c r="L951" s="23"/>
    </row>
    <row r="952">
      <c r="B952" s="16"/>
      <c r="L952" s="23"/>
    </row>
    <row r="953">
      <c r="B953" s="16"/>
      <c r="L953" s="23"/>
      <c r="M953" s="23"/>
    </row>
    <row r="954">
      <c r="B954" s="16"/>
      <c r="L954" s="23"/>
    </row>
    <row r="955">
      <c r="B955" s="16"/>
      <c r="L955" s="23"/>
      <c r="M955" s="23"/>
    </row>
    <row r="956">
      <c r="B956" s="16"/>
      <c r="L956" s="23"/>
    </row>
    <row r="957">
      <c r="B957" s="16"/>
      <c r="L957" s="23"/>
      <c r="M957" s="23"/>
    </row>
    <row r="958">
      <c r="B958" s="16"/>
      <c r="L958" s="23"/>
    </row>
    <row r="959">
      <c r="B959" s="16"/>
      <c r="L959" s="23"/>
    </row>
    <row r="960">
      <c r="B960" s="16"/>
      <c r="L960" s="23"/>
    </row>
    <row r="961">
      <c r="B961" s="16"/>
      <c r="L961" s="23"/>
    </row>
    <row r="962">
      <c r="B962" s="16"/>
      <c r="L962" s="23"/>
    </row>
    <row r="963">
      <c r="B963" s="16"/>
      <c r="L963" s="23"/>
    </row>
    <row r="964">
      <c r="B964" s="16"/>
      <c r="L964" s="23"/>
    </row>
    <row r="965">
      <c r="B965" s="16"/>
      <c r="L965" s="23"/>
      <c r="M965" s="23"/>
    </row>
    <row r="966">
      <c r="B966" s="16"/>
      <c r="L966" s="23"/>
    </row>
    <row r="967">
      <c r="B967" s="16"/>
      <c r="L967" s="23"/>
      <c r="M967" s="23"/>
    </row>
    <row r="968">
      <c r="B968" s="16"/>
      <c r="L968" s="23"/>
      <c r="M968" s="23"/>
    </row>
    <row r="969">
      <c r="B969" s="16"/>
      <c r="L969" s="23"/>
    </row>
    <row r="970">
      <c r="B970" s="16"/>
      <c r="L970" s="23"/>
    </row>
    <row r="971">
      <c r="B971" s="16"/>
      <c r="L971" s="23"/>
    </row>
    <row r="972">
      <c r="B972" s="16"/>
      <c r="L972" s="23"/>
      <c r="M972" s="23"/>
    </row>
    <row r="973">
      <c r="B973" s="16"/>
      <c r="L973" s="23"/>
      <c r="M973" s="23"/>
    </row>
    <row r="974">
      <c r="B974" s="16"/>
      <c r="L974" s="23"/>
      <c r="M974" s="23"/>
    </row>
    <row r="975">
      <c r="B975" s="16"/>
      <c r="L975" s="23"/>
    </row>
    <row r="976">
      <c r="B976" s="16"/>
      <c r="L976" s="23"/>
    </row>
    <row r="977">
      <c r="B977" s="16"/>
      <c r="L977" s="23"/>
      <c r="M977" s="23"/>
    </row>
    <row r="978">
      <c r="B978" s="16"/>
      <c r="L978" s="23"/>
    </row>
    <row r="979">
      <c r="B979" s="16"/>
      <c r="L979" s="23"/>
      <c r="M979" s="23"/>
    </row>
    <row r="980">
      <c r="B980" s="16"/>
      <c r="L980" s="23"/>
      <c r="M980" s="23"/>
    </row>
    <row r="981">
      <c r="B981" s="16"/>
      <c r="L981" s="23"/>
    </row>
    <row r="982">
      <c r="B982" s="16"/>
      <c r="L982" s="23"/>
      <c r="M982" s="23"/>
    </row>
    <row r="983">
      <c r="B983" s="16"/>
      <c r="L983" s="23"/>
    </row>
    <row r="984">
      <c r="B984" s="16"/>
      <c r="L984" s="23"/>
    </row>
    <row r="985">
      <c r="B985" s="16"/>
      <c r="L985" s="23"/>
    </row>
    <row r="986">
      <c r="B986" s="16"/>
      <c r="L986" s="23"/>
      <c r="M986" s="23"/>
    </row>
    <row r="987">
      <c r="B987" s="16"/>
      <c r="L987" s="23"/>
      <c r="M987" s="23"/>
    </row>
    <row r="988">
      <c r="B988" s="16"/>
      <c r="L988" s="23"/>
    </row>
    <row r="989">
      <c r="B989" s="16"/>
      <c r="L989" s="23"/>
    </row>
    <row r="990">
      <c r="B990" s="16"/>
      <c r="L990" s="23"/>
    </row>
    <row r="991">
      <c r="B991" s="16"/>
      <c r="L991" s="23"/>
      <c r="M991" s="23"/>
    </row>
    <row r="992">
      <c r="B992" s="16"/>
      <c r="L992" s="23"/>
      <c r="M992" s="23"/>
    </row>
    <row r="993">
      <c r="B993" s="16"/>
      <c r="L993" s="23"/>
    </row>
    <row r="994">
      <c r="B994" s="16"/>
      <c r="L994" s="23"/>
      <c r="M994" s="23"/>
    </row>
    <row r="995">
      <c r="B995" s="16"/>
      <c r="L995" s="23"/>
      <c r="M995" s="23"/>
    </row>
    <row r="996">
      <c r="B996" s="16"/>
      <c r="L996" s="23"/>
    </row>
    <row r="997">
      <c r="B997" s="16"/>
      <c r="L997" s="23"/>
      <c r="M997" s="23"/>
    </row>
    <row r="998">
      <c r="B998" s="16"/>
      <c r="L998" s="23"/>
      <c r="M998" s="23"/>
    </row>
    <row r="999">
      <c r="B999" s="16"/>
      <c r="L999" s="23"/>
      <c r="M999" s="23"/>
    </row>
    <row r="1000">
      <c r="B1000" s="16"/>
      <c r="L1000" s="23"/>
    </row>
    <row r="1001">
      <c r="B1001" s="16"/>
      <c r="L1001" s="23"/>
      <c r="M1001" s="23"/>
    </row>
    <row r="1002">
      <c r="B1002" s="16"/>
      <c r="L1002" s="23"/>
    </row>
    <row r="1003">
      <c r="B1003" s="16"/>
      <c r="L1003" s="23"/>
      <c r="M1003" s="23"/>
    </row>
    <row r="1004">
      <c r="B1004" s="16"/>
      <c r="L1004" s="23"/>
      <c r="M1004" s="23"/>
    </row>
    <row r="1005">
      <c r="B1005" s="16"/>
      <c r="L1005" s="23"/>
      <c r="M1005" s="23"/>
    </row>
    <row r="1006">
      <c r="B1006" s="16"/>
      <c r="L1006" s="23"/>
      <c r="M1006" s="23"/>
    </row>
    <row r="1007">
      <c r="B1007" s="16"/>
      <c r="L1007" s="23"/>
      <c r="M1007" s="23"/>
    </row>
    <row r="1008">
      <c r="B1008" s="16"/>
      <c r="L1008" s="23"/>
      <c r="M1008" s="23"/>
    </row>
    <row r="1009">
      <c r="B1009" s="16"/>
      <c r="L1009" s="23"/>
    </row>
    <row r="1010">
      <c r="B1010" s="16"/>
      <c r="L1010" s="23"/>
      <c r="M1010" s="23"/>
    </row>
    <row r="1011">
      <c r="B1011" s="16"/>
      <c r="L1011" s="23"/>
      <c r="M1011" s="23"/>
    </row>
    <row r="1012">
      <c r="B1012" s="16"/>
      <c r="L1012" s="23"/>
      <c r="M1012" s="23"/>
    </row>
    <row r="1013">
      <c r="B1013" s="16"/>
      <c r="L1013" s="23"/>
      <c r="M1013" s="23"/>
    </row>
    <row r="1014">
      <c r="B1014" s="16"/>
      <c r="L1014" s="23"/>
      <c r="M1014" s="23"/>
    </row>
    <row r="1015">
      <c r="B1015" s="16"/>
      <c r="L1015" s="23"/>
      <c r="M1015" s="23"/>
    </row>
    <row r="1016">
      <c r="B1016" s="16"/>
      <c r="L1016" s="23"/>
      <c r="M1016" s="23"/>
    </row>
    <row r="1017">
      <c r="B1017" s="16"/>
      <c r="L1017" s="23"/>
    </row>
    <row r="1018">
      <c r="B1018" s="16"/>
      <c r="L1018" s="23"/>
      <c r="M1018" s="23"/>
    </row>
    <row r="1019">
      <c r="B1019" s="16"/>
      <c r="L1019" s="23"/>
      <c r="M1019" s="23"/>
    </row>
    <row r="1020">
      <c r="B1020" s="16"/>
      <c r="L1020" s="23"/>
      <c r="M1020" s="23"/>
    </row>
    <row r="1021">
      <c r="B1021" s="16"/>
      <c r="L1021" s="23"/>
      <c r="M1021" s="23"/>
    </row>
    <row r="1022">
      <c r="B1022" s="16"/>
      <c r="L1022" s="23"/>
    </row>
    <row r="1023">
      <c r="B1023" s="16"/>
      <c r="L1023" s="23"/>
      <c r="M1023" s="23"/>
    </row>
    <row r="1024">
      <c r="B1024" s="16"/>
      <c r="L1024" s="23"/>
      <c r="M1024" s="23"/>
    </row>
    <row r="1025">
      <c r="B1025" s="16"/>
      <c r="L1025" s="23"/>
      <c r="M1025" s="23"/>
    </row>
    <row r="1026">
      <c r="B1026" s="16"/>
      <c r="L1026" s="23"/>
    </row>
    <row r="1027">
      <c r="B1027" s="16"/>
      <c r="L1027" s="23"/>
      <c r="M1027" s="23"/>
    </row>
    <row r="1028">
      <c r="B1028" s="16"/>
      <c r="L1028" s="23"/>
      <c r="M1028" s="23"/>
    </row>
    <row r="1029">
      <c r="B1029" s="16"/>
      <c r="L1029" s="23"/>
      <c r="M1029" s="23"/>
    </row>
    <row r="1030">
      <c r="B1030" s="16"/>
      <c r="L1030" s="23"/>
      <c r="M1030" s="23"/>
    </row>
    <row r="1031">
      <c r="B1031" s="16"/>
      <c r="L1031" s="23"/>
    </row>
    <row r="1032">
      <c r="B1032" s="16"/>
      <c r="L1032" s="23"/>
      <c r="M1032" s="23"/>
    </row>
    <row r="1033">
      <c r="B1033" s="16"/>
      <c r="L1033" s="23"/>
      <c r="M1033" s="23"/>
    </row>
    <row r="1034">
      <c r="B1034" s="16"/>
      <c r="L1034" s="23"/>
      <c r="M1034" s="23"/>
    </row>
    <row r="1035">
      <c r="B1035" s="16"/>
      <c r="L1035" s="23"/>
      <c r="M1035" s="23"/>
    </row>
    <row r="1036">
      <c r="B1036" s="16"/>
      <c r="L1036" s="23"/>
      <c r="M1036" s="23"/>
    </row>
    <row r="1037">
      <c r="B1037" s="16"/>
      <c r="L1037" s="23"/>
      <c r="M1037" s="23"/>
    </row>
    <row r="1038">
      <c r="B1038" s="16"/>
      <c r="L1038" s="23"/>
      <c r="M1038" s="23"/>
    </row>
    <row r="1039">
      <c r="B1039" s="16"/>
      <c r="L1039" s="23"/>
    </row>
    <row r="1040">
      <c r="B1040" s="16"/>
      <c r="L1040" s="23"/>
      <c r="M1040" s="23"/>
    </row>
    <row r="1041">
      <c r="B1041" s="16"/>
      <c r="L1041" s="23"/>
      <c r="M1041" s="23"/>
    </row>
    <row r="1042">
      <c r="B1042" s="16"/>
      <c r="L1042" s="23"/>
      <c r="M1042" s="23"/>
    </row>
    <row r="1043">
      <c r="B1043" s="16"/>
      <c r="L1043" s="23"/>
      <c r="M1043" s="23"/>
    </row>
    <row r="1044">
      <c r="B1044" s="16"/>
      <c r="L1044" s="23"/>
      <c r="M1044" s="23"/>
    </row>
    <row r="1045">
      <c r="B1045" s="16"/>
      <c r="L1045" s="23"/>
      <c r="M1045" s="23"/>
    </row>
    <row r="1046">
      <c r="B1046" s="16"/>
      <c r="L1046" s="23"/>
      <c r="M1046" s="23"/>
    </row>
    <row r="1047">
      <c r="B1047" s="16"/>
      <c r="L1047" s="23"/>
      <c r="M1047" s="23"/>
    </row>
    <row r="1048">
      <c r="B1048" s="16"/>
      <c r="L1048" s="23"/>
      <c r="M1048" s="23"/>
    </row>
    <row r="1049">
      <c r="B1049" s="16"/>
      <c r="L1049" s="23"/>
      <c r="M1049" s="23"/>
    </row>
    <row r="1050">
      <c r="B1050" s="16"/>
      <c r="L1050" s="23"/>
      <c r="M1050" s="23"/>
    </row>
    <row r="1051">
      <c r="B1051" s="16"/>
      <c r="L1051" s="23"/>
      <c r="M1051" s="23"/>
    </row>
    <row r="1052">
      <c r="B1052" s="16"/>
      <c r="L1052" s="23"/>
      <c r="M1052" s="23"/>
    </row>
    <row r="1053">
      <c r="B1053" s="16"/>
      <c r="L1053" s="23"/>
      <c r="M1053" s="23"/>
    </row>
    <row r="1054">
      <c r="B1054" s="16"/>
      <c r="L1054" s="23"/>
    </row>
    <row r="1055">
      <c r="B1055" s="16"/>
      <c r="L1055" s="23"/>
    </row>
    <row r="1056">
      <c r="B1056" s="16"/>
      <c r="L1056" s="23"/>
      <c r="M1056" s="23"/>
    </row>
    <row r="1057">
      <c r="B1057" s="16"/>
      <c r="L1057" s="23"/>
      <c r="M1057" s="23"/>
    </row>
    <row r="1058">
      <c r="B1058" s="16"/>
      <c r="L1058" s="23"/>
      <c r="M1058" s="23"/>
    </row>
    <row r="1059">
      <c r="B1059" s="16"/>
      <c r="L1059" s="23"/>
      <c r="M1059" s="23"/>
    </row>
    <row r="1060">
      <c r="B1060" s="16"/>
      <c r="L1060" s="23"/>
      <c r="M1060" s="23"/>
    </row>
    <row r="1061">
      <c r="B1061" s="16"/>
      <c r="L1061" s="23"/>
      <c r="M1061" s="23"/>
    </row>
    <row r="1062">
      <c r="B1062" s="16"/>
      <c r="L1062" s="23"/>
      <c r="M1062" s="23"/>
    </row>
    <row r="1063">
      <c r="B1063" s="16"/>
      <c r="L1063" s="23"/>
      <c r="M1063" s="23"/>
    </row>
    <row r="1064">
      <c r="B1064" s="16"/>
      <c r="L1064" s="23"/>
      <c r="M1064" s="23"/>
    </row>
    <row r="1065">
      <c r="B1065" s="16"/>
      <c r="L1065" s="23"/>
      <c r="M1065" s="23"/>
    </row>
    <row r="1066">
      <c r="B1066" s="16"/>
      <c r="L1066" s="23"/>
    </row>
    <row r="1067">
      <c r="B1067" s="16"/>
      <c r="L1067" s="23"/>
    </row>
    <row r="1068">
      <c r="B1068" s="16"/>
      <c r="L1068" s="23"/>
      <c r="M1068" s="23"/>
    </row>
    <row r="1069">
      <c r="B1069" s="16"/>
      <c r="L1069" s="23"/>
      <c r="M1069" s="23"/>
    </row>
    <row r="1070">
      <c r="B1070" s="16"/>
      <c r="L1070" s="23"/>
      <c r="M1070" s="23"/>
    </row>
    <row r="1071">
      <c r="B1071" s="16"/>
      <c r="L1071" s="23"/>
      <c r="M1071" s="23"/>
    </row>
    <row r="1072">
      <c r="B1072" s="16"/>
      <c r="L1072" s="23"/>
      <c r="M1072" s="23"/>
    </row>
    <row r="1073">
      <c r="B1073" s="16"/>
      <c r="L1073" s="23"/>
      <c r="M1073" s="23"/>
    </row>
    <row r="1074">
      <c r="B1074" s="16"/>
      <c r="L1074" s="23"/>
      <c r="M1074" s="23"/>
    </row>
    <row r="1075">
      <c r="B1075" s="16"/>
      <c r="L1075" s="23"/>
      <c r="M1075" s="23"/>
    </row>
    <row r="1076">
      <c r="B1076" s="16"/>
      <c r="L1076" s="23"/>
      <c r="M1076" s="23"/>
    </row>
    <row r="1077">
      <c r="B1077" s="16"/>
      <c r="L1077" s="23"/>
      <c r="M1077" s="23"/>
    </row>
    <row r="1078">
      <c r="B1078" s="16"/>
      <c r="L1078" s="23"/>
      <c r="M1078" s="23"/>
    </row>
    <row r="1079">
      <c r="B1079" s="16"/>
      <c r="L1079" s="23"/>
      <c r="M1079" s="23"/>
    </row>
    <row r="1080">
      <c r="B1080" s="16"/>
      <c r="L1080" s="23"/>
      <c r="M1080" s="23"/>
    </row>
    <row r="1081">
      <c r="B1081" s="16"/>
      <c r="L1081" s="23"/>
      <c r="M1081" s="23"/>
    </row>
    <row r="1082">
      <c r="B1082" s="16"/>
      <c r="L1082" s="23"/>
      <c r="M1082" s="23"/>
    </row>
    <row r="1083">
      <c r="B1083" s="16"/>
      <c r="L1083" s="23"/>
      <c r="M1083" s="23"/>
    </row>
    <row r="1084">
      <c r="B1084" s="16"/>
      <c r="L1084" s="23"/>
      <c r="M1084" s="23"/>
    </row>
    <row r="1085">
      <c r="B1085" s="16"/>
      <c r="L1085" s="23"/>
      <c r="M1085" s="23"/>
    </row>
    <row r="1086">
      <c r="B1086" s="16"/>
      <c r="L1086" s="23"/>
      <c r="M1086" s="23"/>
    </row>
    <row r="1087">
      <c r="B1087" s="16"/>
      <c r="L1087" s="23"/>
      <c r="M1087" s="23"/>
    </row>
    <row r="1088">
      <c r="B1088" s="16"/>
      <c r="L1088" s="23"/>
      <c r="M1088" s="23"/>
    </row>
    <row r="1089">
      <c r="B1089" s="16"/>
      <c r="L1089" s="23"/>
      <c r="M1089" s="23"/>
    </row>
    <row r="1090">
      <c r="B1090" s="16"/>
      <c r="L1090" s="23"/>
    </row>
    <row r="1091">
      <c r="B1091" s="16"/>
      <c r="L1091" s="23"/>
      <c r="M1091" s="23"/>
    </row>
    <row r="1092">
      <c r="B1092" s="16"/>
      <c r="L1092" s="23"/>
      <c r="M1092" s="23"/>
    </row>
    <row r="1093">
      <c r="B1093" s="16"/>
      <c r="L1093" s="23"/>
      <c r="M1093" s="23"/>
    </row>
    <row r="1094">
      <c r="B1094" s="16"/>
      <c r="L1094" s="23"/>
      <c r="M1094" s="23"/>
    </row>
    <row r="1095">
      <c r="B1095" s="16"/>
      <c r="L1095" s="23"/>
      <c r="M1095" s="23"/>
    </row>
    <row r="1096">
      <c r="B1096" s="16"/>
      <c r="L1096" s="23"/>
    </row>
    <row r="1097">
      <c r="B1097" s="16"/>
      <c r="L1097" s="23"/>
    </row>
    <row r="1098">
      <c r="B1098" s="16"/>
      <c r="L1098" s="23"/>
      <c r="M1098" s="23"/>
    </row>
    <row r="1099">
      <c r="B1099" s="16"/>
      <c r="L1099" s="23"/>
      <c r="M1099" s="23"/>
    </row>
    <row r="1100">
      <c r="B1100" s="16"/>
      <c r="L1100" s="23"/>
      <c r="M1100" s="23"/>
    </row>
    <row r="1101">
      <c r="B1101" s="16"/>
      <c r="L1101" s="23"/>
    </row>
    <row r="1102">
      <c r="B1102" s="16"/>
      <c r="L1102" s="23"/>
      <c r="M1102" s="23"/>
    </row>
    <row r="1103">
      <c r="B1103" s="16"/>
      <c r="L1103" s="23"/>
      <c r="M1103" s="23"/>
    </row>
    <row r="1104">
      <c r="B1104" s="16"/>
      <c r="L1104" s="23"/>
      <c r="M1104" s="23"/>
    </row>
    <row r="1105">
      <c r="B1105" s="16"/>
      <c r="L1105" s="23"/>
      <c r="M1105" s="23"/>
    </row>
    <row r="1106">
      <c r="B1106" s="16"/>
      <c r="L1106" s="23"/>
      <c r="M1106" s="23"/>
    </row>
    <row r="1107">
      <c r="B1107" s="16"/>
      <c r="L1107" s="23"/>
      <c r="M1107" s="23"/>
    </row>
    <row r="1108">
      <c r="B1108" s="16"/>
      <c r="L1108" s="23"/>
      <c r="M1108" s="23"/>
    </row>
    <row r="1109">
      <c r="B1109" s="16"/>
      <c r="L1109" s="23"/>
      <c r="M1109" s="23"/>
    </row>
    <row r="1110">
      <c r="B1110" s="16"/>
      <c r="L1110" s="23"/>
      <c r="M1110" s="23"/>
    </row>
    <row r="1111">
      <c r="B1111" s="16"/>
      <c r="L1111" s="23"/>
    </row>
    <row r="1112">
      <c r="B1112" s="16"/>
      <c r="L1112" s="23"/>
    </row>
    <row r="1113">
      <c r="B1113" s="16"/>
      <c r="L1113" s="23"/>
      <c r="M1113" s="23"/>
    </row>
    <row r="1114">
      <c r="B1114" s="16"/>
      <c r="L1114" s="23"/>
    </row>
    <row r="1115">
      <c r="B1115" s="16"/>
      <c r="L1115" s="23"/>
      <c r="M1115" s="23"/>
    </row>
    <row r="1116">
      <c r="B1116" s="16"/>
      <c r="L1116" s="23"/>
    </row>
    <row r="1117">
      <c r="B1117" s="16"/>
      <c r="L1117" s="23"/>
      <c r="M1117" s="23"/>
    </row>
    <row r="1118">
      <c r="B1118" s="16"/>
      <c r="L1118" s="23"/>
      <c r="M1118" s="23"/>
    </row>
    <row r="1119">
      <c r="B1119" s="16"/>
      <c r="L1119" s="23"/>
    </row>
    <row r="1120">
      <c r="B1120" s="16"/>
      <c r="L1120" s="23"/>
      <c r="M1120" s="23"/>
    </row>
    <row r="1121">
      <c r="B1121" s="16"/>
      <c r="L1121" s="23"/>
    </row>
    <row r="1122">
      <c r="B1122" s="16"/>
      <c r="L1122" s="23"/>
    </row>
    <row r="1123">
      <c r="B1123" s="16"/>
      <c r="L1123" s="23"/>
    </row>
    <row r="1124">
      <c r="B1124" s="16"/>
      <c r="L1124" s="23"/>
    </row>
    <row r="1125">
      <c r="B1125" s="16"/>
      <c r="L1125" s="23"/>
      <c r="M1125" s="23"/>
    </row>
    <row r="1126">
      <c r="B1126" s="16"/>
      <c r="L1126" s="23"/>
    </row>
    <row r="1127">
      <c r="B1127" s="16"/>
      <c r="L1127" s="23"/>
    </row>
    <row r="1128">
      <c r="B1128" s="16"/>
      <c r="L1128" s="23"/>
      <c r="M1128" s="23"/>
    </row>
    <row r="1129">
      <c r="B1129" s="16"/>
      <c r="L1129" s="23"/>
    </row>
    <row r="1130">
      <c r="B1130" s="16"/>
      <c r="L1130" s="23"/>
    </row>
    <row r="1131">
      <c r="B1131" s="16"/>
      <c r="L1131" s="23"/>
    </row>
    <row r="1132">
      <c r="B1132" s="16"/>
      <c r="L1132" s="23"/>
    </row>
    <row r="1133">
      <c r="B1133" s="16"/>
      <c r="L1133" s="23"/>
      <c r="M1133" s="23"/>
    </row>
    <row r="1134">
      <c r="B1134" s="16"/>
      <c r="L1134" s="23"/>
    </row>
    <row r="1135">
      <c r="B1135" s="16"/>
      <c r="L1135" s="23"/>
    </row>
    <row r="1136">
      <c r="B1136" s="16"/>
      <c r="L1136" s="23"/>
    </row>
    <row r="1137">
      <c r="B1137" s="16"/>
      <c r="L1137" s="23"/>
    </row>
    <row r="1138">
      <c r="B1138" s="16"/>
      <c r="L1138" s="23"/>
      <c r="M1138" s="23"/>
    </row>
    <row r="1139">
      <c r="B1139" s="16"/>
      <c r="L1139" s="23"/>
      <c r="M1139" s="23"/>
    </row>
    <row r="1140">
      <c r="B1140" s="16"/>
      <c r="L1140" s="23"/>
    </row>
    <row r="1141">
      <c r="B1141" s="16"/>
      <c r="L1141" s="23"/>
    </row>
    <row r="1142">
      <c r="B1142" s="16"/>
      <c r="L1142" s="23"/>
    </row>
    <row r="1143">
      <c r="B1143" s="16"/>
      <c r="L1143" s="23"/>
      <c r="M1143" s="23"/>
    </row>
    <row r="1144">
      <c r="B1144" s="16"/>
      <c r="L1144" s="23"/>
    </row>
    <row r="1145">
      <c r="B1145" s="16"/>
      <c r="L1145" s="23"/>
    </row>
    <row r="1146">
      <c r="B1146" s="16"/>
      <c r="L1146" s="23"/>
    </row>
    <row r="1147">
      <c r="B1147" s="16"/>
      <c r="L1147" s="23"/>
      <c r="M1147" s="23"/>
    </row>
    <row r="1148">
      <c r="B1148" s="16"/>
      <c r="L1148" s="23"/>
    </row>
    <row r="1149">
      <c r="B1149" s="16"/>
      <c r="L1149" s="23"/>
    </row>
    <row r="1150">
      <c r="B1150" s="16"/>
      <c r="L1150" s="23"/>
    </row>
    <row r="1151">
      <c r="B1151" s="16"/>
      <c r="L1151" s="23"/>
    </row>
    <row r="1152">
      <c r="B1152" s="16"/>
      <c r="L1152" s="23"/>
    </row>
    <row r="1153">
      <c r="B1153" s="16"/>
      <c r="L1153" s="23"/>
    </row>
    <row r="1154">
      <c r="B1154" s="16"/>
      <c r="L1154" s="23"/>
    </row>
    <row r="1155">
      <c r="B1155" s="16"/>
      <c r="L1155" s="23"/>
      <c r="M1155" s="23"/>
    </row>
    <row r="1156">
      <c r="B1156" s="16"/>
      <c r="L1156" s="23"/>
    </row>
    <row r="1157">
      <c r="B1157" s="16"/>
      <c r="L1157" s="23"/>
    </row>
    <row r="1158">
      <c r="B1158" s="16"/>
      <c r="L1158" s="23"/>
    </row>
    <row r="1159">
      <c r="B1159" s="16"/>
      <c r="L1159" s="23"/>
    </row>
    <row r="1160">
      <c r="B1160" s="16"/>
      <c r="L1160" s="23"/>
    </row>
    <row r="1161">
      <c r="B1161" s="16"/>
      <c r="L1161" s="23"/>
    </row>
    <row r="1162">
      <c r="B1162" s="16"/>
      <c r="L1162" s="23"/>
    </row>
    <row r="1163">
      <c r="B1163" s="16"/>
      <c r="L1163" s="23"/>
    </row>
    <row r="1164">
      <c r="B1164" s="16"/>
      <c r="L1164" s="23"/>
    </row>
    <row r="1165">
      <c r="B1165" s="16"/>
      <c r="L1165" s="23"/>
    </row>
    <row r="1166">
      <c r="B1166" s="16"/>
      <c r="L1166" s="23"/>
    </row>
    <row r="1167">
      <c r="B1167" s="16"/>
      <c r="L1167" s="23"/>
    </row>
    <row r="1168">
      <c r="B1168" s="16"/>
      <c r="L1168" s="23"/>
    </row>
    <row r="1169">
      <c r="B1169" s="16"/>
      <c r="L1169" s="23"/>
      <c r="M1169" s="23"/>
    </row>
    <row r="1170">
      <c r="B1170" s="16"/>
      <c r="L1170" s="23"/>
    </row>
    <row r="1171">
      <c r="B1171" s="16"/>
      <c r="L1171" s="23"/>
    </row>
    <row r="1172">
      <c r="B1172" s="16"/>
      <c r="L1172" s="23"/>
    </row>
    <row r="1173">
      <c r="B1173" s="16"/>
      <c r="L1173" s="23"/>
    </row>
    <row r="1174">
      <c r="B1174" s="16"/>
      <c r="L1174" s="23"/>
    </row>
    <row r="1175">
      <c r="B1175" s="16"/>
      <c r="L1175" s="23"/>
    </row>
    <row r="1176">
      <c r="B1176" s="16"/>
      <c r="L1176" s="23"/>
      <c r="M1176" s="23"/>
    </row>
    <row r="1177">
      <c r="B1177" s="16"/>
      <c r="L1177" s="23"/>
    </row>
    <row r="1178">
      <c r="B1178" s="16"/>
      <c r="L1178" s="23"/>
    </row>
    <row r="1179">
      <c r="B1179" s="16"/>
      <c r="L1179" s="23"/>
    </row>
    <row r="1180">
      <c r="B1180" s="16"/>
      <c r="L1180" s="23"/>
      <c r="M1180" s="23"/>
    </row>
    <row r="1181">
      <c r="B1181" s="16"/>
      <c r="L1181" s="23"/>
      <c r="M1181" s="23"/>
    </row>
    <row r="1182">
      <c r="B1182" s="16"/>
      <c r="L1182" s="23"/>
    </row>
    <row r="1183">
      <c r="B1183" s="16"/>
      <c r="L1183" s="23"/>
    </row>
    <row r="1184">
      <c r="B1184" s="16"/>
      <c r="L1184" s="23"/>
    </row>
    <row r="1185">
      <c r="B1185" s="16"/>
      <c r="L1185" s="23"/>
    </row>
    <row r="1186">
      <c r="B1186" s="16"/>
      <c r="L1186" s="23"/>
    </row>
    <row r="1187">
      <c r="B1187" s="16"/>
      <c r="L1187" s="23"/>
    </row>
    <row r="1188">
      <c r="B1188" s="16"/>
      <c r="L1188" s="23"/>
      <c r="M1188" s="23"/>
    </row>
    <row r="1189">
      <c r="B1189" s="16"/>
      <c r="L1189" s="23"/>
    </row>
    <row r="1190">
      <c r="B1190" s="16"/>
      <c r="L1190" s="23"/>
    </row>
    <row r="1191">
      <c r="B1191" s="16"/>
      <c r="L1191" s="23"/>
    </row>
    <row r="1192">
      <c r="B1192" s="16"/>
      <c r="L1192" s="23"/>
    </row>
    <row r="1193">
      <c r="B1193" s="16"/>
      <c r="L1193" s="23"/>
    </row>
    <row r="1194">
      <c r="B1194" s="16"/>
      <c r="L1194" s="23"/>
      <c r="M1194" s="23"/>
    </row>
    <row r="1195">
      <c r="B1195" s="16"/>
      <c r="L1195" s="23"/>
    </row>
    <row r="1196">
      <c r="B1196" s="16"/>
      <c r="L1196" s="23"/>
      <c r="M1196" s="23"/>
    </row>
    <row r="1197">
      <c r="B1197" s="16"/>
      <c r="L1197" s="23"/>
    </row>
    <row r="1198">
      <c r="B1198" s="16"/>
      <c r="L1198" s="23"/>
    </row>
    <row r="1199">
      <c r="B1199" s="16"/>
      <c r="L1199" s="23"/>
    </row>
    <row r="1200">
      <c r="B1200" s="16"/>
      <c r="L1200" s="23"/>
    </row>
    <row r="1201">
      <c r="B1201" s="16"/>
      <c r="L1201" s="23"/>
    </row>
    <row r="1202">
      <c r="B1202" s="16"/>
      <c r="L1202" s="23"/>
    </row>
    <row r="1203">
      <c r="B1203" s="16"/>
      <c r="L1203" s="23"/>
    </row>
    <row r="1204">
      <c r="B1204" s="16"/>
      <c r="L1204" s="23"/>
    </row>
    <row r="1205">
      <c r="B1205" s="16"/>
      <c r="L1205" s="23"/>
      <c r="M1205" s="23"/>
    </row>
    <row r="1206">
      <c r="B1206" s="16"/>
      <c r="L1206" s="23"/>
    </row>
    <row r="1207">
      <c r="B1207" s="16"/>
      <c r="L1207" s="23"/>
    </row>
    <row r="1208">
      <c r="B1208" s="16"/>
      <c r="L1208" s="23"/>
      <c r="M1208" s="23"/>
    </row>
    <row r="1209">
      <c r="B1209" s="16"/>
      <c r="L1209" s="23"/>
    </row>
    <row r="1210">
      <c r="B1210" s="16"/>
      <c r="L1210" s="23"/>
    </row>
    <row r="1211">
      <c r="B1211" s="16"/>
      <c r="L1211" s="23"/>
    </row>
    <row r="1212">
      <c r="B1212" s="16"/>
      <c r="L1212" s="23"/>
    </row>
    <row r="1213">
      <c r="B1213" s="16"/>
      <c r="L1213" s="23"/>
    </row>
    <row r="1214">
      <c r="B1214" s="16"/>
      <c r="L1214" s="23"/>
    </row>
    <row r="1215">
      <c r="B1215" s="16"/>
      <c r="L1215" s="23"/>
    </row>
    <row r="1216">
      <c r="B1216" s="16"/>
      <c r="L1216" s="23"/>
    </row>
    <row r="1217">
      <c r="B1217" s="16"/>
      <c r="L1217" s="23"/>
    </row>
    <row r="1218">
      <c r="B1218" s="16"/>
      <c r="L1218" s="23"/>
      <c r="M1218" s="23"/>
    </row>
    <row r="1219">
      <c r="B1219" s="16"/>
      <c r="L1219" s="23"/>
    </row>
    <row r="1220">
      <c r="B1220" s="16"/>
      <c r="L1220" s="23"/>
    </row>
    <row r="1221">
      <c r="B1221" s="16"/>
      <c r="L1221" s="23"/>
    </row>
    <row r="1222">
      <c r="B1222" s="16"/>
      <c r="L1222" s="23"/>
      <c r="M1222" s="23"/>
    </row>
    <row r="1223">
      <c r="B1223" s="16"/>
      <c r="L1223" s="23"/>
    </row>
    <row r="1224">
      <c r="B1224" s="16"/>
      <c r="L1224" s="23"/>
    </row>
    <row r="1225">
      <c r="B1225" s="16"/>
      <c r="L1225" s="23"/>
    </row>
    <row r="1226">
      <c r="B1226" s="16"/>
      <c r="L1226" s="23"/>
    </row>
    <row r="1227">
      <c r="B1227" s="16"/>
      <c r="L1227" s="23"/>
    </row>
    <row r="1228">
      <c r="B1228" s="16"/>
      <c r="L1228" s="23"/>
    </row>
    <row r="1229">
      <c r="B1229" s="16"/>
      <c r="L1229" s="23"/>
      <c r="M1229" s="23"/>
    </row>
    <row r="1230">
      <c r="B1230" s="16"/>
      <c r="L1230" s="23"/>
    </row>
    <row r="1231">
      <c r="B1231" s="16"/>
      <c r="L1231" s="23"/>
    </row>
    <row r="1232">
      <c r="B1232" s="16"/>
      <c r="L1232" s="23"/>
    </row>
    <row r="1233">
      <c r="B1233" s="16"/>
      <c r="L1233" s="23"/>
    </row>
    <row r="1234">
      <c r="B1234" s="16"/>
      <c r="L1234" s="23"/>
    </row>
    <row r="1235">
      <c r="B1235" s="16"/>
      <c r="L1235" s="23"/>
    </row>
    <row r="1236">
      <c r="B1236" s="16"/>
      <c r="L1236" s="23"/>
    </row>
    <row r="1237">
      <c r="B1237" s="16"/>
      <c r="L1237" s="23"/>
    </row>
    <row r="1238">
      <c r="B1238" s="16"/>
      <c r="L1238" s="23"/>
    </row>
    <row r="1239">
      <c r="B1239" s="16"/>
      <c r="L1239" s="23"/>
      <c r="M1239" s="23"/>
    </row>
    <row r="1240">
      <c r="B1240" s="16"/>
      <c r="L1240" s="23"/>
    </row>
    <row r="1241">
      <c r="B1241" s="16"/>
      <c r="L1241" s="23"/>
    </row>
    <row r="1242">
      <c r="B1242" s="16"/>
      <c r="L1242" s="23"/>
      <c r="M1242" s="23"/>
    </row>
    <row r="1243">
      <c r="B1243" s="16"/>
      <c r="L1243" s="23"/>
    </row>
    <row r="1244">
      <c r="B1244" s="16"/>
      <c r="L1244" s="23"/>
    </row>
    <row r="1245">
      <c r="B1245" s="16"/>
      <c r="L1245" s="23"/>
    </row>
    <row r="1246">
      <c r="B1246" s="16"/>
      <c r="L1246" s="23"/>
    </row>
    <row r="1247">
      <c r="B1247" s="16"/>
      <c r="L1247" s="23"/>
      <c r="M1247" s="23"/>
    </row>
    <row r="1248">
      <c r="B1248" s="16"/>
      <c r="L1248" s="23"/>
    </row>
    <row r="1249">
      <c r="B1249" s="16"/>
      <c r="L1249" s="23"/>
    </row>
    <row r="1250">
      <c r="B1250" s="16"/>
      <c r="L1250" s="23"/>
    </row>
    <row r="1251">
      <c r="B1251" s="16"/>
      <c r="L1251" s="23"/>
    </row>
    <row r="1252">
      <c r="B1252" s="16"/>
      <c r="L1252" s="23"/>
    </row>
    <row r="1253">
      <c r="B1253" s="16"/>
      <c r="L1253" s="23"/>
    </row>
    <row r="1254">
      <c r="B1254" s="16"/>
      <c r="L1254" s="23"/>
    </row>
    <row r="1255">
      <c r="B1255" s="16"/>
      <c r="L1255" s="23"/>
    </row>
    <row r="1256">
      <c r="B1256" s="16"/>
      <c r="L1256" s="23"/>
    </row>
    <row r="1257">
      <c r="B1257" s="16"/>
      <c r="L1257" s="23"/>
    </row>
    <row r="1258">
      <c r="B1258" s="16"/>
      <c r="L1258" s="23"/>
    </row>
    <row r="1259">
      <c r="B1259" s="16"/>
      <c r="L1259" s="23"/>
    </row>
    <row r="1260">
      <c r="B1260" s="16"/>
      <c r="L1260" s="23"/>
    </row>
    <row r="1261">
      <c r="B1261" s="16"/>
      <c r="L1261" s="23"/>
    </row>
    <row r="1262">
      <c r="B1262" s="16"/>
      <c r="L1262" s="23"/>
    </row>
    <row r="1263">
      <c r="B1263" s="16"/>
      <c r="L1263" s="23"/>
    </row>
    <row r="1264">
      <c r="B1264" s="16"/>
      <c r="L1264" s="23"/>
    </row>
    <row r="1265">
      <c r="B1265" s="16"/>
      <c r="L1265" s="23"/>
    </row>
    <row r="1266">
      <c r="B1266" s="16"/>
      <c r="L1266" s="23"/>
      <c r="M1266" s="23"/>
    </row>
    <row r="1267">
      <c r="B1267" s="16"/>
      <c r="L1267" s="23"/>
    </row>
    <row r="1268">
      <c r="B1268" s="16"/>
      <c r="L1268" s="23"/>
    </row>
    <row r="1269">
      <c r="B1269" s="16"/>
      <c r="L1269" s="23"/>
    </row>
    <row r="1270">
      <c r="B1270" s="16"/>
      <c r="L1270" s="23"/>
    </row>
    <row r="1271">
      <c r="B1271" s="16"/>
      <c r="L1271" s="23"/>
    </row>
    <row r="1272">
      <c r="B1272" s="16"/>
      <c r="L1272" s="23"/>
      <c r="M1272" s="23"/>
    </row>
    <row r="1273">
      <c r="B1273" s="16"/>
      <c r="L1273" s="23"/>
    </row>
    <row r="1274">
      <c r="B1274" s="16"/>
      <c r="L1274" s="23"/>
    </row>
    <row r="1275">
      <c r="B1275" s="16"/>
      <c r="L1275" s="23"/>
    </row>
    <row r="1276">
      <c r="B1276" s="16"/>
      <c r="L1276" s="23"/>
    </row>
    <row r="1277">
      <c r="B1277" s="16"/>
      <c r="L1277" s="23"/>
    </row>
    <row r="1278">
      <c r="B1278" s="16"/>
      <c r="L1278" s="23"/>
    </row>
    <row r="1279">
      <c r="B1279" s="16"/>
      <c r="L1279" s="23"/>
    </row>
    <row r="1280">
      <c r="B1280" s="16"/>
      <c r="L1280" s="23"/>
    </row>
    <row r="1281">
      <c r="B1281" s="16"/>
      <c r="L1281" s="23"/>
    </row>
    <row r="1282">
      <c r="B1282" s="16"/>
      <c r="L1282" s="23"/>
    </row>
    <row r="1283">
      <c r="B1283" s="16"/>
      <c r="L1283" s="23"/>
    </row>
    <row r="1284">
      <c r="B1284" s="16"/>
      <c r="L1284" s="23"/>
    </row>
    <row r="1285">
      <c r="B1285" s="16"/>
      <c r="L1285" s="23"/>
      <c r="M1285" s="23"/>
    </row>
    <row r="1286">
      <c r="B1286" s="16"/>
      <c r="L1286" s="23"/>
    </row>
    <row r="1287">
      <c r="B1287" s="16"/>
      <c r="L1287" s="23"/>
    </row>
    <row r="1288">
      <c r="B1288" s="16"/>
      <c r="L1288" s="23"/>
    </row>
    <row r="1289">
      <c r="B1289" s="16"/>
      <c r="L1289" s="23"/>
    </row>
    <row r="1290">
      <c r="B1290" s="16"/>
      <c r="L1290" s="23"/>
      <c r="M1290" s="23"/>
    </row>
    <row r="1291">
      <c r="B1291" s="16"/>
      <c r="L1291" s="23"/>
    </row>
    <row r="1292">
      <c r="B1292" s="16"/>
      <c r="L1292" s="23"/>
    </row>
    <row r="1293">
      <c r="B1293" s="16"/>
      <c r="L1293" s="23"/>
    </row>
    <row r="1294">
      <c r="B1294" s="16"/>
      <c r="L1294" s="23"/>
    </row>
    <row r="1295">
      <c r="B1295" s="16"/>
      <c r="L1295" s="23"/>
      <c r="M1295" s="23"/>
    </row>
    <row r="1296">
      <c r="B1296" s="16"/>
      <c r="L1296" s="23"/>
    </row>
    <row r="1297">
      <c r="B1297" s="16"/>
      <c r="L1297" s="23"/>
    </row>
    <row r="1298">
      <c r="B1298" s="16"/>
      <c r="L1298" s="23"/>
    </row>
    <row r="1299">
      <c r="B1299" s="16"/>
      <c r="L1299" s="23"/>
      <c r="M1299" s="23"/>
    </row>
    <row r="1300">
      <c r="B1300" s="16"/>
      <c r="L1300" s="23"/>
    </row>
    <row r="1301">
      <c r="B1301" s="16"/>
      <c r="L1301" s="23"/>
    </row>
    <row r="1302">
      <c r="B1302" s="16"/>
      <c r="L1302" s="23"/>
    </row>
    <row r="1303">
      <c r="B1303" s="16"/>
      <c r="L1303" s="23"/>
    </row>
    <row r="1304">
      <c r="B1304" s="16"/>
      <c r="L1304" s="23"/>
      <c r="M1304" s="23"/>
    </row>
    <row r="1305">
      <c r="B1305" s="16"/>
      <c r="L1305" s="23"/>
    </row>
    <row r="1306">
      <c r="B1306" s="16"/>
      <c r="L1306" s="23"/>
    </row>
    <row r="1307">
      <c r="B1307" s="16"/>
      <c r="L1307" s="23"/>
    </row>
    <row r="1308">
      <c r="B1308" s="16"/>
      <c r="L1308" s="23"/>
    </row>
    <row r="1309">
      <c r="B1309" s="16"/>
      <c r="L1309" s="23"/>
      <c r="M1309" s="23"/>
    </row>
    <row r="1310">
      <c r="B1310" s="16"/>
      <c r="L1310" s="23"/>
      <c r="M1310" s="23"/>
    </row>
    <row r="1311">
      <c r="B1311" s="16"/>
      <c r="L1311" s="23"/>
    </row>
    <row r="1312">
      <c r="B1312" s="16"/>
      <c r="L1312" s="23"/>
      <c r="M1312" s="23"/>
    </row>
    <row r="1313">
      <c r="B1313" s="16"/>
      <c r="L1313" s="23"/>
    </row>
    <row r="1314">
      <c r="B1314" s="16"/>
      <c r="L1314" s="23"/>
      <c r="M1314" s="23"/>
    </row>
    <row r="1315">
      <c r="B1315" s="16"/>
      <c r="L1315" s="23"/>
    </row>
    <row r="1316">
      <c r="B1316" s="16"/>
      <c r="L1316" s="23"/>
    </row>
    <row r="1317">
      <c r="B1317" s="16"/>
      <c r="L1317" s="23"/>
    </row>
    <row r="1318">
      <c r="B1318" s="16"/>
      <c r="L1318" s="23"/>
      <c r="M1318" s="23"/>
    </row>
    <row r="1319">
      <c r="B1319" s="16"/>
      <c r="L1319" s="23"/>
    </row>
    <row r="1320">
      <c r="B1320" s="16"/>
      <c r="L1320" s="23"/>
    </row>
    <row r="1321">
      <c r="B1321" s="16"/>
      <c r="L1321" s="23"/>
    </row>
    <row r="1322">
      <c r="B1322" s="16"/>
      <c r="L1322" s="23"/>
    </row>
    <row r="1323">
      <c r="B1323" s="16"/>
      <c r="L1323" s="23"/>
    </row>
    <row r="1324">
      <c r="B1324" s="16"/>
      <c r="L1324" s="23"/>
    </row>
    <row r="1325">
      <c r="B1325" s="16"/>
      <c r="L1325" s="23"/>
    </row>
    <row r="1326">
      <c r="B1326" s="16"/>
      <c r="L1326" s="23"/>
    </row>
    <row r="1327">
      <c r="B1327" s="16"/>
      <c r="L1327" s="23"/>
    </row>
    <row r="1328">
      <c r="B1328" s="16"/>
      <c r="L1328" s="23"/>
    </row>
    <row r="1329">
      <c r="B1329" s="16"/>
      <c r="L1329" s="23"/>
    </row>
    <row r="1330">
      <c r="B1330" s="16"/>
      <c r="L1330" s="23"/>
    </row>
    <row r="1331">
      <c r="B1331" s="16"/>
      <c r="L1331" s="23"/>
    </row>
    <row r="1332">
      <c r="B1332" s="16"/>
      <c r="L1332" s="23"/>
      <c r="M1332" s="23"/>
    </row>
    <row r="1333">
      <c r="B1333" s="16"/>
      <c r="L1333" s="23"/>
    </row>
    <row r="1334">
      <c r="B1334" s="16"/>
      <c r="L1334" s="23"/>
    </row>
    <row r="1335">
      <c r="B1335" s="16"/>
      <c r="L1335" s="23"/>
    </row>
    <row r="1336">
      <c r="B1336" s="16"/>
      <c r="L1336" s="23"/>
    </row>
    <row r="1337">
      <c r="B1337" s="16"/>
      <c r="L1337" s="23"/>
      <c r="M1337" s="23"/>
    </row>
    <row r="1338">
      <c r="B1338" s="16"/>
      <c r="L1338" s="23"/>
    </row>
    <row r="1339">
      <c r="B1339" s="16"/>
      <c r="L1339" s="23"/>
    </row>
    <row r="1340">
      <c r="B1340" s="16"/>
      <c r="L1340" s="23"/>
      <c r="M1340" s="23"/>
    </row>
    <row r="1341">
      <c r="B1341" s="16"/>
      <c r="L1341" s="23"/>
    </row>
    <row r="1342">
      <c r="B1342" s="16"/>
      <c r="L1342" s="23"/>
    </row>
    <row r="1343">
      <c r="B1343" s="16"/>
      <c r="L1343" s="23"/>
    </row>
    <row r="1344">
      <c r="B1344" s="16"/>
      <c r="L1344" s="23"/>
      <c r="M1344" s="23"/>
    </row>
    <row r="1345">
      <c r="B1345" s="16"/>
      <c r="L1345" s="23"/>
    </row>
    <row r="1346">
      <c r="B1346" s="16"/>
      <c r="L1346" s="23"/>
    </row>
    <row r="1347">
      <c r="B1347" s="16"/>
      <c r="L1347" s="23"/>
    </row>
    <row r="1348">
      <c r="B1348" s="16"/>
      <c r="L1348" s="23"/>
    </row>
    <row r="1349">
      <c r="B1349" s="16"/>
      <c r="L1349" s="23"/>
    </row>
    <row r="1350">
      <c r="B1350" s="16"/>
      <c r="L1350" s="23"/>
    </row>
    <row r="1351">
      <c r="B1351" s="16"/>
      <c r="L1351" s="23"/>
    </row>
    <row r="1352">
      <c r="B1352" s="16"/>
      <c r="L1352" s="23"/>
    </row>
    <row r="1353">
      <c r="B1353" s="16"/>
      <c r="L1353" s="23"/>
    </row>
    <row r="1354">
      <c r="B1354" s="16"/>
      <c r="L1354" s="23"/>
      <c r="M1354" s="23"/>
    </row>
    <row r="1355">
      <c r="B1355" s="16"/>
      <c r="L1355" s="23"/>
    </row>
    <row r="1356">
      <c r="B1356" s="16"/>
      <c r="L1356" s="23"/>
    </row>
    <row r="1357">
      <c r="B1357" s="16"/>
      <c r="L1357" s="23"/>
    </row>
    <row r="1358">
      <c r="B1358" s="16"/>
      <c r="L1358" s="23"/>
    </row>
    <row r="1359">
      <c r="B1359" s="16"/>
      <c r="L1359" s="23"/>
    </row>
    <row r="1360">
      <c r="B1360" s="16"/>
      <c r="L1360" s="23"/>
      <c r="M1360" s="23"/>
    </row>
    <row r="1361">
      <c r="B1361" s="16"/>
      <c r="L1361" s="23"/>
    </row>
    <row r="1362">
      <c r="B1362" s="16"/>
      <c r="L1362" s="23"/>
    </row>
    <row r="1363">
      <c r="B1363" s="16"/>
      <c r="L1363" s="23"/>
    </row>
    <row r="1364">
      <c r="B1364" s="16"/>
      <c r="L1364" s="23"/>
    </row>
    <row r="1365">
      <c r="B1365" s="16"/>
      <c r="L1365" s="23"/>
    </row>
    <row r="1366">
      <c r="B1366" s="16"/>
      <c r="L1366" s="23"/>
    </row>
    <row r="1367">
      <c r="B1367" s="16"/>
      <c r="L1367" s="23"/>
    </row>
    <row r="1368">
      <c r="B1368" s="16"/>
      <c r="L1368" s="23"/>
    </row>
    <row r="1369">
      <c r="B1369" s="16"/>
      <c r="L1369" s="23"/>
      <c r="M1369" s="23"/>
    </row>
    <row r="1370">
      <c r="B1370" s="16"/>
      <c r="L1370" s="23"/>
    </row>
    <row r="1371">
      <c r="B1371" s="16"/>
      <c r="L1371" s="23"/>
    </row>
    <row r="1372">
      <c r="B1372" s="16"/>
      <c r="L1372" s="23"/>
    </row>
    <row r="1373">
      <c r="B1373" s="16"/>
      <c r="L1373" s="23"/>
    </row>
    <row r="1374">
      <c r="B1374" s="16"/>
      <c r="L1374" s="23"/>
    </row>
    <row r="1375">
      <c r="B1375" s="16"/>
      <c r="L1375" s="23"/>
    </row>
    <row r="1376">
      <c r="B1376" s="16"/>
      <c r="L1376" s="23"/>
    </row>
    <row r="1377">
      <c r="B1377" s="16"/>
      <c r="L1377" s="23"/>
    </row>
    <row r="1378">
      <c r="B1378" s="16"/>
      <c r="L1378" s="23"/>
    </row>
    <row r="1379">
      <c r="B1379" s="16"/>
      <c r="L1379" s="23"/>
    </row>
    <row r="1380">
      <c r="B1380" s="16"/>
      <c r="L1380" s="23"/>
    </row>
    <row r="1381">
      <c r="B1381" s="16"/>
      <c r="L1381" s="23"/>
    </row>
    <row r="1382">
      <c r="B1382" s="16"/>
      <c r="L1382" s="23"/>
    </row>
    <row r="1383">
      <c r="B1383" s="16"/>
      <c r="L1383" s="23"/>
      <c r="M1383" s="23"/>
    </row>
    <row r="1384">
      <c r="B1384" s="16"/>
      <c r="L1384" s="23"/>
    </row>
    <row r="1385">
      <c r="B1385" s="16"/>
      <c r="L1385" s="23"/>
    </row>
    <row r="1386">
      <c r="B1386" s="16"/>
      <c r="L1386" s="23"/>
    </row>
    <row r="1387">
      <c r="B1387" s="16"/>
      <c r="L1387" s="23"/>
    </row>
    <row r="1388">
      <c r="B1388" s="16"/>
      <c r="L1388" s="23"/>
    </row>
    <row r="1389">
      <c r="B1389" s="16"/>
      <c r="L1389" s="23"/>
      <c r="M1389" s="23"/>
    </row>
    <row r="1390">
      <c r="B1390" s="16"/>
      <c r="L1390" s="23"/>
    </row>
    <row r="1391">
      <c r="B1391" s="16"/>
      <c r="L1391" s="23"/>
    </row>
    <row r="1392">
      <c r="B1392" s="16"/>
      <c r="L1392" s="23"/>
    </row>
    <row r="1393">
      <c r="B1393" s="16"/>
      <c r="L1393" s="23"/>
    </row>
    <row r="1394">
      <c r="B1394" s="16"/>
      <c r="L1394" s="23"/>
    </row>
    <row r="1395">
      <c r="B1395" s="16"/>
      <c r="L1395" s="23"/>
    </row>
    <row r="1396">
      <c r="B1396" s="16"/>
      <c r="L1396" s="23"/>
    </row>
    <row r="1397">
      <c r="B1397" s="16"/>
      <c r="L1397" s="23"/>
    </row>
    <row r="1398">
      <c r="B1398" s="16"/>
      <c r="L1398" s="23"/>
    </row>
    <row r="1399">
      <c r="B1399" s="16"/>
      <c r="L1399" s="23"/>
    </row>
    <row r="1400">
      <c r="B1400" s="16"/>
      <c r="L1400" s="23"/>
    </row>
    <row r="1401">
      <c r="B1401" s="16"/>
      <c r="L1401" s="23"/>
    </row>
    <row r="1402">
      <c r="B1402" s="16"/>
      <c r="L1402" s="23"/>
    </row>
    <row r="1403">
      <c r="B1403" s="16"/>
      <c r="L1403" s="23"/>
      <c r="M1403" s="23"/>
    </row>
    <row r="1404">
      <c r="B1404" s="16"/>
      <c r="L1404" s="23"/>
    </row>
    <row r="1405">
      <c r="B1405" s="16"/>
      <c r="L1405" s="23"/>
    </row>
    <row r="1406">
      <c r="B1406" s="16"/>
      <c r="L1406" s="23"/>
    </row>
    <row r="1407">
      <c r="B1407" s="16"/>
      <c r="L1407" s="23"/>
    </row>
    <row r="1408">
      <c r="B1408" s="16"/>
      <c r="L1408" s="23"/>
    </row>
    <row r="1409">
      <c r="B1409" s="16"/>
      <c r="L1409" s="23"/>
    </row>
    <row r="1410">
      <c r="B1410" s="16"/>
      <c r="L1410" s="23"/>
    </row>
    <row r="1411">
      <c r="B1411" s="16"/>
      <c r="L1411" s="23"/>
    </row>
    <row r="1412">
      <c r="B1412" s="16"/>
      <c r="L1412" s="23"/>
    </row>
    <row r="1413">
      <c r="B1413" s="16"/>
      <c r="L1413" s="23"/>
    </row>
    <row r="1414">
      <c r="B1414" s="16"/>
      <c r="L1414" s="23"/>
    </row>
    <row r="1415">
      <c r="B1415" s="16"/>
      <c r="L1415" s="23"/>
      <c r="M1415" s="23"/>
    </row>
    <row r="1416">
      <c r="B1416" s="16"/>
      <c r="L1416" s="23"/>
    </row>
    <row r="1417">
      <c r="B1417" s="16"/>
      <c r="L1417" s="23"/>
    </row>
    <row r="1418">
      <c r="B1418" s="16"/>
      <c r="L1418" s="23"/>
    </row>
    <row r="1419">
      <c r="B1419" s="16"/>
      <c r="L1419" s="23"/>
    </row>
    <row r="1420">
      <c r="B1420" s="16"/>
      <c r="L1420" s="23"/>
    </row>
    <row r="1421">
      <c r="B1421" s="16"/>
      <c r="L1421" s="23"/>
    </row>
    <row r="1422">
      <c r="B1422" s="16"/>
      <c r="L1422" s="23"/>
    </row>
    <row r="1423">
      <c r="B1423" s="16"/>
      <c r="L1423" s="23"/>
    </row>
    <row r="1424">
      <c r="B1424" s="16"/>
      <c r="L1424" s="23"/>
    </row>
    <row r="1425">
      <c r="B1425" s="16"/>
      <c r="L1425" s="23"/>
    </row>
    <row r="1426">
      <c r="B1426" s="16"/>
      <c r="L1426" s="23"/>
    </row>
    <row r="1427">
      <c r="B1427" s="16"/>
      <c r="L1427" s="23"/>
    </row>
    <row r="1428">
      <c r="B1428" s="16"/>
      <c r="L1428" s="23"/>
    </row>
    <row r="1429">
      <c r="B1429" s="16"/>
      <c r="L1429" s="23"/>
    </row>
    <row r="1430">
      <c r="B1430" s="16"/>
      <c r="L1430" s="23"/>
    </row>
    <row r="1431">
      <c r="B1431" s="16"/>
      <c r="L1431" s="23"/>
      <c r="M1431" s="23"/>
    </row>
    <row r="1432">
      <c r="B1432" s="16"/>
      <c r="L1432" s="23"/>
    </row>
    <row r="1433">
      <c r="B1433" s="16"/>
      <c r="L1433" s="23"/>
    </row>
    <row r="1434">
      <c r="B1434" s="16"/>
      <c r="L1434" s="23"/>
    </row>
    <row r="1435">
      <c r="B1435" s="16"/>
      <c r="L1435" s="23"/>
      <c r="M1435" s="23"/>
    </row>
    <row r="1436">
      <c r="B1436" s="16"/>
      <c r="L1436" s="23"/>
    </row>
    <row r="1437">
      <c r="B1437" s="16"/>
      <c r="L1437" s="23"/>
    </row>
    <row r="1438">
      <c r="B1438" s="16"/>
      <c r="L1438" s="23"/>
      <c r="M1438" s="23"/>
    </row>
    <row r="1439">
      <c r="B1439" s="16"/>
      <c r="L1439" s="23"/>
      <c r="M1439" s="23"/>
    </row>
    <row r="1440">
      <c r="B1440" s="16"/>
      <c r="L1440" s="23"/>
      <c r="M1440" s="23"/>
    </row>
    <row r="1441">
      <c r="B1441" s="16"/>
      <c r="L1441" s="23"/>
    </row>
    <row r="1442">
      <c r="B1442" s="16"/>
      <c r="L1442" s="23"/>
    </row>
    <row r="1443">
      <c r="B1443" s="16"/>
      <c r="L1443" s="23"/>
    </row>
    <row r="1444">
      <c r="B1444" s="16"/>
      <c r="L1444" s="23"/>
    </row>
    <row r="1445">
      <c r="B1445" s="16"/>
      <c r="L1445" s="23"/>
    </row>
    <row r="1446">
      <c r="B1446" s="16"/>
      <c r="L1446" s="23"/>
    </row>
    <row r="1447">
      <c r="B1447" s="16"/>
      <c r="L1447" s="23"/>
    </row>
    <row r="1448">
      <c r="B1448" s="16"/>
      <c r="L1448" s="23"/>
    </row>
    <row r="1449">
      <c r="B1449" s="16"/>
      <c r="L1449" s="23"/>
    </row>
    <row r="1450">
      <c r="B1450" s="16"/>
      <c r="L1450" s="23"/>
      <c r="M1450" s="23"/>
    </row>
    <row r="1451">
      <c r="B1451" s="16"/>
      <c r="L1451" s="23"/>
    </row>
    <row r="1452">
      <c r="B1452" s="16"/>
      <c r="L1452" s="23"/>
    </row>
    <row r="1453">
      <c r="B1453" s="16"/>
      <c r="L1453" s="23"/>
      <c r="M1453" s="23"/>
    </row>
    <row r="1454">
      <c r="B1454" s="16"/>
      <c r="L1454" s="23"/>
    </row>
    <row r="1455">
      <c r="B1455" s="16"/>
      <c r="L1455" s="23"/>
    </row>
    <row r="1456">
      <c r="B1456" s="16"/>
      <c r="L1456" s="23"/>
    </row>
    <row r="1457">
      <c r="B1457" s="16"/>
      <c r="L1457" s="23"/>
    </row>
    <row r="1458">
      <c r="B1458" s="16"/>
      <c r="L1458" s="23"/>
    </row>
    <row r="1459">
      <c r="B1459" s="16"/>
      <c r="L1459" s="23"/>
    </row>
    <row r="1460">
      <c r="B1460" s="16"/>
      <c r="L1460" s="23"/>
    </row>
    <row r="1461">
      <c r="B1461" s="16"/>
      <c r="L1461" s="23"/>
    </row>
    <row r="1462">
      <c r="B1462" s="16"/>
      <c r="L1462" s="23"/>
    </row>
    <row r="1463">
      <c r="B1463" s="16"/>
      <c r="L1463" s="23"/>
    </row>
    <row r="1464">
      <c r="B1464" s="16"/>
      <c r="L1464" s="23"/>
    </row>
    <row r="1465">
      <c r="B1465" s="16"/>
      <c r="L1465" s="23"/>
    </row>
    <row r="1466">
      <c r="B1466" s="16"/>
      <c r="L1466" s="23"/>
      <c r="M1466" s="23"/>
    </row>
    <row r="1467">
      <c r="B1467" s="16"/>
      <c r="L1467" s="23"/>
    </row>
    <row r="1468">
      <c r="B1468" s="16"/>
      <c r="L1468" s="23"/>
    </row>
    <row r="1469">
      <c r="B1469" s="16"/>
      <c r="L1469" s="23"/>
      <c r="M1469" s="23"/>
    </row>
    <row r="1470">
      <c r="B1470" s="16"/>
      <c r="L1470" s="23"/>
    </row>
    <row r="1471">
      <c r="B1471" s="16"/>
      <c r="L1471" s="23"/>
    </row>
    <row r="1472">
      <c r="B1472" s="16"/>
      <c r="L1472" s="23"/>
      <c r="M1472" s="23"/>
    </row>
    <row r="1473">
      <c r="B1473" s="16"/>
      <c r="L1473" s="23"/>
    </row>
    <row r="1474">
      <c r="B1474" s="16"/>
      <c r="L1474" s="23"/>
    </row>
    <row r="1475">
      <c r="B1475" s="16"/>
      <c r="L1475" s="23"/>
    </row>
    <row r="1476">
      <c r="B1476" s="16"/>
      <c r="L1476" s="23"/>
    </row>
    <row r="1477">
      <c r="B1477" s="16"/>
      <c r="L1477" s="23"/>
    </row>
    <row r="1478">
      <c r="B1478" s="16"/>
      <c r="L1478" s="23"/>
    </row>
    <row r="1479">
      <c r="B1479" s="16"/>
      <c r="L1479" s="23"/>
    </row>
    <row r="1480">
      <c r="B1480" s="16"/>
      <c r="L1480" s="23"/>
      <c r="M1480" s="23"/>
    </row>
    <row r="1481">
      <c r="B1481" s="16"/>
      <c r="L1481" s="23"/>
      <c r="M1481" s="23"/>
    </row>
    <row r="1482">
      <c r="B1482" s="16"/>
      <c r="L1482" s="23"/>
    </row>
    <row r="1483">
      <c r="B1483" s="16"/>
      <c r="L1483" s="23"/>
    </row>
    <row r="1484">
      <c r="B1484" s="16"/>
      <c r="L1484" s="23"/>
    </row>
    <row r="1485">
      <c r="B1485" s="16"/>
      <c r="L1485" s="23"/>
    </row>
    <row r="1486">
      <c r="B1486" s="16"/>
      <c r="L1486" s="23"/>
    </row>
    <row r="1487">
      <c r="B1487" s="16"/>
      <c r="L1487" s="23"/>
    </row>
    <row r="1488">
      <c r="B1488" s="16"/>
      <c r="L1488" s="23"/>
    </row>
    <row r="1489">
      <c r="B1489" s="16"/>
      <c r="L1489" s="23"/>
    </row>
    <row r="1490">
      <c r="B1490" s="16"/>
      <c r="L1490" s="23"/>
    </row>
    <row r="1491">
      <c r="B1491" s="16"/>
      <c r="L1491" s="23"/>
    </row>
    <row r="1492">
      <c r="B1492" s="16"/>
      <c r="L1492" s="23"/>
    </row>
    <row r="1493">
      <c r="B1493" s="16"/>
      <c r="L1493" s="23"/>
    </row>
    <row r="1494">
      <c r="B1494" s="16"/>
      <c r="L1494" s="23"/>
    </row>
    <row r="1495">
      <c r="B1495" s="16"/>
      <c r="L1495" s="23"/>
    </row>
    <row r="1496">
      <c r="B1496" s="16"/>
      <c r="L1496" s="23"/>
    </row>
    <row r="1497">
      <c r="B1497" s="16"/>
      <c r="L1497" s="23"/>
      <c r="M1497" s="23"/>
    </row>
    <row r="1498">
      <c r="B1498" s="16"/>
      <c r="L1498" s="23"/>
      <c r="M1498" s="23"/>
    </row>
    <row r="1499">
      <c r="B1499" s="16"/>
      <c r="L1499" s="23"/>
    </row>
    <row r="1500">
      <c r="B1500" s="16"/>
      <c r="L1500" s="23"/>
    </row>
    <row r="1501">
      <c r="B1501" s="16"/>
      <c r="L1501" s="23"/>
    </row>
    <row r="1502">
      <c r="B1502" s="16"/>
      <c r="L1502" s="23"/>
    </row>
    <row r="1503">
      <c r="B1503" s="16"/>
      <c r="L1503" s="23"/>
    </row>
    <row r="1504">
      <c r="B1504" s="16"/>
      <c r="L1504" s="23"/>
    </row>
    <row r="1505">
      <c r="B1505" s="16"/>
      <c r="L1505" s="23"/>
    </row>
    <row r="1506">
      <c r="B1506" s="16"/>
      <c r="L1506" s="23"/>
    </row>
    <row r="1507">
      <c r="B1507" s="16"/>
      <c r="L1507" s="23"/>
    </row>
    <row r="1508">
      <c r="B1508" s="16"/>
      <c r="L1508" s="23"/>
      <c r="M1508" s="23"/>
    </row>
    <row r="1509">
      <c r="B1509" s="16"/>
      <c r="L1509" s="23"/>
    </row>
    <row r="1510">
      <c r="B1510" s="16"/>
      <c r="L1510" s="23"/>
    </row>
    <row r="1511">
      <c r="B1511" s="16"/>
      <c r="L1511" s="23"/>
    </row>
    <row r="1512">
      <c r="B1512" s="16"/>
      <c r="L1512" s="23"/>
    </row>
    <row r="1513">
      <c r="B1513" s="16"/>
      <c r="L1513" s="23"/>
    </row>
    <row r="1514">
      <c r="B1514" s="16"/>
      <c r="L1514" s="23"/>
    </row>
    <row r="1515">
      <c r="B1515" s="16"/>
      <c r="L1515" s="23"/>
    </row>
    <row r="1516">
      <c r="B1516" s="16"/>
      <c r="L1516" s="23"/>
    </row>
    <row r="1517">
      <c r="B1517" s="16"/>
      <c r="L1517" s="23"/>
    </row>
    <row r="1518">
      <c r="B1518" s="16"/>
      <c r="L1518" s="23"/>
    </row>
    <row r="1519">
      <c r="B1519" s="16"/>
      <c r="L1519" s="23"/>
    </row>
    <row r="1520">
      <c r="B1520" s="16"/>
      <c r="L1520" s="23"/>
    </row>
    <row r="1521">
      <c r="B1521" s="16"/>
      <c r="L1521" s="23"/>
    </row>
    <row r="1522">
      <c r="B1522" s="16"/>
      <c r="L1522" s="23"/>
    </row>
    <row r="1523">
      <c r="B1523" s="16"/>
      <c r="L1523" s="23"/>
    </row>
    <row r="1524">
      <c r="B1524" s="16"/>
      <c r="L1524" s="23"/>
    </row>
    <row r="1525">
      <c r="B1525" s="16"/>
      <c r="L1525" s="23"/>
      <c r="M1525" s="23"/>
    </row>
    <row r="1526">
      <c r="B1526" s="16"/>
      <c r="L1526" s="23"/>
    </row>
    <row r="1527">
      <c r="B1527" s="16"/>
      <c r="L1527" s="23"/>
      <c r="M1527" s="23"/>
    </row>
    <row r="1528">
      <c r="B1528" s="16"/>
      <c r="L1528" s="23"/>
    </row>
    <row r="1529">
      <c r="B1529" s="16"/>
      <c r="L1529" s="23"/>
    </row>
    <row r="1530">
      <c r="B1530" s="16"/>
      <c r="L1530" s="23"/>
    </row>
    <row r="1531">
      <c r="B1531" s="16"/>
      <c r="L1531" s="23"/>
    </row>
    <row r="1532">
      <c r="B1532" s="16"/>
      <c r="L1532" s="23"/>
    </row>
    <row r="1533">
      <c r="B1533" s="16"/>
      <c r="L1533" s="23"/>
    </row>
    <row r="1534">
      <c r="B1534" s="16"/>
      <c r="L1534" s="23"/>
    </row>
    <row r="1535">
      <c r="B1535" s="16"/>
      <c r="L1535" s="23"/>
    </row>
    <row r="1536">
      <c r="B1536" s="16"/>
      <c r="L1536" s="23"/>
    </row>
    <row r="1537">
      <c r="B1537" s="16"/>
      <c r="L1537" s="23"/>
    </row>
    <row r="1538">
      <c r="B1538" s="16"/>
      <c r="L1538" s="23"/>
    </row>
    <row r="1539">
      <c r="B1539" s="16"/>
      <c r="L1539" s="23"/>
    </row>
    <row r="1540">
      <c r="B1540" s="16"/>
      <c r="L1540" s="23"/>
    </row>
    <row r="1541">
      <c r="B1541" s="16"/>
      <c r="L1541" s="23"/>
    </row>
    <row r="1542">
      <c r="B1542" s="16"/>
      <c r="L1542" s="23"/>
    </row>
    <row r="1543">
      <c r="B1543" s="16"/>
      <c r="L1543" s="23"/>
    </row>
    <row r="1544">
      <c r="B1544" s="16"/>
      <c r="L1544" s="23"/>
    </row>
    <row r="1545">
      <c r="B1545" s="16"/>
      <c r="L1545" s="23"/>
    </row>
    <row r="1546">
      <c r="B1546" s="16"/>
      <c r="L1546" s="23"/>
    </row>
    <row r="1547">
      <c r="B1547" s="16"/>
      <c r="L1547" s="23"/>
    </row>
    <row r="1548">
      <c r="B1548" s="16"/>
      <c r="L1548" s="23"/>
    </row>
    <row r="1549">
      <c r="B1549" s="16"/>
      <c r="L1549" s="23"/>
    </row>
    <row r="1550">
      <c r="B1550" s="16"/>
      <c r="L1550" s="23"/>
    </row>
    <row r="1551">
      <c r="B1551" s="16"/>
      <c r="L1551" s="23"/>
    </row>
    <row r="1552">
      <c r="B1552" s="16"/>
      <c r="L1552" s="23"/>
    </row>
    <row r="1553">
      <c r="B1553" s="16"/>
      <c r="L1553" s="23"/>
    </row>
    <row r="1554">
      <c r="B1554" s="16"/>
      <c r="L1554" s="23"/>
    </row>
    <row r="1555">
      <c r="B1555" s="16"/>
      <c r="L1555" s="23"/>
    </row>
    <row r="1556">
      <c r="B1556" s="16"/>
      <c r="L1556" s="23"/>
    </row>
    <row r="1557">
      <c r="B1557" s="16"/>
      <c r="L1557" s="23"/>
    </row>
    <row r="1558">
      <c r="B1558" s="16"/>
      <c r="L1558" s="23"/>
    </row>
    <row r="1559">
      <c r="B1559" s="16"/>
      <c r="L1559" s="23"/>
      <c r="M1559" s="23"/>
    </row>
    <row r="1560">
      <c r="B1560" s="16"/>
      <c r="L1560" s="23"/>
    </row>
    <row r="1561">
      <c r="B1561" s="16"/>
      <c r="L1561" s="23"/>
    </row>
    <row r="1562">
      <c r="B1562" s="16"/>
      <c r="L1562" s="23"/>
    </row>
    <row r="1563">
      <c r="B1563" s="16"/>
      <c r="L1563" s="23"/>
    </row>
    <row r="1564">
      <c r="B1564" s="16"/>
      <c r="L1564" s="23"/>
    </row>
    <row r="1565">
      <c r="B1565" s="16"/>
      <c r="L1565" s="23"/>
    </row>
    <row r="1566">
      <c r="B1566" s="16"/>
      <c r="L1566" s="23"/>
    </row>
    <row r="1567">
      <c r="B1567" s="16"/>
      <c r="L1567" s="23"/>
      <c r="M1567" s="23"/>
    </row>
    <row r="1568">
      <c r="B1568" s="16"/>
      <c r="L1568" s="23"/>
    </row>
    <row r="1569">
      <c r="B1569" s="16"/>
      <c r="L1569" s="23"/>
    </row>
    <row r="1570">
      <c r="B1570" s="16"/>
      <c r="L1570" s="23"/>
    </row>
    <row r="1571">
      <c r="B1571" s="16"/>
      <c r="L1571" s="23"/>
    </row>
    <row r="1572">
      <c r="B1572" s="16"/>
      <c r="L1572" s="23"/>
    </row>
    <row r="1573">
      <c r="B1573" s="16"/>
      <c r="L1573" s="23"/>
    </row>
    <row r="1574">
      <c r="B1574" s="16"/>
      <c r="L1574" s="23"/>
    </row>
    <row r="1575">
      <c r="B1575" s="16"/>
      <c r="L1575" s="23"/>
    </row>
    <row r="1576">
      <c r="B1576" s="16"/>
      <c r="L1576" s="23"/>
    </row>
    <row r="1577">
      <c r="B1577" s="16"/>
      <c r="L1577" s="23"/>
    </row>
    <row r="1578">
      <c r="B1578" s="16"/>
      <c r="L1578" s="23"/>
    </row>
    <row r="1579">
      <c r="B1579" s="16"/>
      <c r="L1579" s="23"/>
    </row>
    <row r="1580">
      <c r="B1580" s="16"/>
      <c r="L1580" s="23"/>
    </row>
    <row r="1581">
      <c r="B1581" s="16"/>
      <c r="L1581" s="23"/>
    </row>
    <row r="1582">
      <c r="B1582" s="16"/>
      <c r="L1582" s="23"/>
      <c r="M1582" s="23"/>
    </row>
    <row r="1583">
      <c r="B1583" s="16"/>
      <c r="L1583" s="23"/>
    </row>
    <row r="1584">
      <c r="B1584" s="16"/>
      <c r="L1584" s="23"/>
    </row>
    <row r="1585">
      <c r="B1585" s="16"/>
      <c r="L1585" s="23"/>
    </row>
    <row r="1586">
      <c r="B1586" s="16"/>
      <c r="L1586" s="23"/>
    </row>
    <row r="1587">
      <c r="B1587" s="16"/>
      <c r="L1587" s="23"/>
      <c r="M1587" s="23"/>
    </row>
    <row r="1588">
      <c r="B1588" s="16"/>
      <c r="L1588" s="23"/>
    </row>
    <row r="1589">
      <c r="B1589" s="16"/>
      <c r="L1589" s="23"/>
    </row>
    <row r="1590">
      <c r="B1590" s="16"/>
      <c r="L1590" s="23"/>
    </row>
    <row r="1591">
      <c r="B1591" s="16"/>
      <c r="L1591" s="23"/>
    </row>
    <row r="1592">
      <c r="B1592" s="16"/>
      <c r="L1592" s="23"/>
    </row>
    <row r="1593">
      <c r="B1593" s="16"/>
      <c r="L1593" s="23"/>
    </row>
    <row r="1594">
      <c r="B1594" s="16"/>
      <c r="L1594" s="23"/>
    </row>
    <row r="1595">
      <c r="B1595" s="16"/>
      <c r="L1595" s="23"/>
    </row>
    <row r="1596">
      <c r="B1596" s="16"/>
      <c r="L1596" s="23"/>
      <c r="M1596" s="23"/>
    </row>
    <row r="1597">
      <c r="B1597" s="16"/>
      <c r="L1597" s="23"/>
    </row>
    <row r="1598">
      <c r="B1598" s="16"/>
      <c r="L1598" s="23"/>
    </row>
    <row r="1599">
      <c r="B1599" s="16"/>
      <c r="L1599" s="23"/>
    </row>
    <row r="1600">
      <c r="B1600" s="16"/>
      <c r="L1600" s="23"/>
    </row>
    <row r="1601">
      <c r="B1601" s="16"/>
      <c r="L1601" s="23"/>
    </row>
    <row r="1602">
      <c r="B1602" s="16"/>
      <c r="L1602" s="23"/>
    </row>
    <row r="1603">
      <c r="B1603" s="16"/>
      <c r="L1603" s="23"/>
    </row>
    <row r="1604">
      <c r="B1604" s="16"/>
      <c r="L1604" s="23"/>
    </row>
    <row r="1605">
      <c r="B1605" s="16"/>
      <c r="L1605" s="23"/>
    </row>
    <row r="1606">
      <c r="B1606" s="16"/>
      <c r="L1606" s="23"/>
    </row>
    <row r="1607">
      <c r="B1607" s="16"/>
      <c r="L1607" s="23"/>
    </row>
    <row r="1608">
      <c r="B1608" s="16"/>
      <c r="L1608" s="23"/>
    </row>
    <row r="1609">
      <c r="B1609" s="16"/>
      <c r="L1609" s="23"/>
    </row>
    <row r="1610">
      <c r="B1610" s="16"/>
      <c r="L1610" s="23"/>
    </row>
    <row r="1611">
      <c r="B1611" s="16"/>
      <c r="L1611" s="23"/>
    </row>
    <row r="1612">
      <c r="B1612" s="16"/>
      <c r="L1612" s="23"/>
    </row>
    <row r="1613">
      <c r="B1613" s="16"/>
      <c r="L1613" s="23"/>
    </row>
    <row r="1614">
      <c r="B1614" s="16"/>
      <c r="L1614" s="23"/>
    </row>
    <row r="1615">
      <c r="B1615" s="16"/>
      <c r="L1615" s="23"/>
    </row>
    <row r="1616">
      <c r="B1616" s="16"/>
      <c r="L1616" s="23"/>
    </row>
    <row r="1617">
      <c r="B1617" s="16"/>
      <c r="L1617" s="23"/>
    </row>
    <row r="1618">
      <c r="B1618" s="16"/>
      <c r="L1618" s="23"/>
    </row>
    <row r="1619">
      <c r="B1619" s="16"/>
      <c r="L1619" s="23"/>
    </row>
    <row r="1620">
      <c r="B1620" s="16"/>
      <c r="L1620" s="23"/>
      <c r="M1620" s="23"/>
    </row>
    <row r="1621">
      <c r="B1621" s="16"/>
      <c r="L1621" s="23"/>
      <c r="M1621" s="23"/>
    </row>
    <row r="1622">
      <c r="B1622" s="16"/>
      <c r="L1622" s="23"/>
    </row>
    <row r="1623">
      <c r="B1623" s="16"/>
      <c r="L1623" s="23"/>
    </row>
    <row r="1624">
      <c r="B1624" s="16"/>
      <c r="L1624" s="23"/>
    </row>
    <row r="1625">
      <c r="B1625" s="16"/>
      <c r="L1625" s="23"/>
    </row>
    <row r="1626">
      <c r="B1626" s="16"/>
      <c r="L1626" s="23"/>
    </row>
    <row r="1627">
      <c r="B1627" s="16"/>
      <c r="L1627" s="23"/>
    </row>
    <row r="1628">
      <c r="B1628" s="16"/>
      <c r="L1628" s="23"/>
    </row>
    <row r="1629">
      <c r="B1629" s="16"/>
      <c r="L1629" s="23"/>
    </row>
    <row r="1630">
      <c r="B1630" s="16"/>
      <c r="L1630" s="23"/>
    </row>
    <row r="1631">
      <c r="B1631" s="16"/>
      <c r="L1631" s="23"/>
    </row>
    <row r="1632">
      <c r="B1632" s="16"/>
      <c r="L1632" s="23"/>
    </row>
    <row r="1633">
      <c r="B1633" s="16"/>
      <c r="L1633" s="23"/>
    </row>
    <row r="1634">
      <c r="B1634" s="16"/>
      <c r="L1634" s="23"/>
    </row>
    <row r="1635">
      <c r="B1635" s="16"/>
      <c r="L1635" s="23"/>
    </row>
    <row r="1636">
      <c r="B1636" s="16"/>
      <c r="L1636" s="23"/>
    </row>
    <row r="1637">
      <c r="B1637" s="16"/>
      <c r="L1637" s="23"/>
    </row>
    <row r="1638">
      <c r="B1638" s="16"/>
      <c r="L1638" s="23"/>
    </row>
    <row r="1639">
      <c r="B1639" s="16"/>
      <c r="L1639" s="23"/>
    </row>
    <row r="1640">
      <c r="B1640" s="16"/>
      <c r="L1640" s="23"/>
    </row>
    <row r="1641">
      <c r="B1641" s="16"/>
      <c r="L1641" s="23"/>
    </row>
    <row r="1642">
      <c r="B1642" s="16"/>
      <c r="L1642" s="23"/>
      <c r="M1642" s="23"/>
    </row>
    <row r="1643">
      <c r="B1643" s="16"/>
      <c r="L1643" s="23"/>
    </row>
    <row r="1644">
      <c r="B1644" s="16"/>
      <c r="L1644" s="23"/>
    </row>
    <row r="1645">
      <c r="B1645" s="16"/>
      <c r="L1645" s="23"/>
    </row>
    <row r="1646">
      <c r="B1646" s="16"/>
      <c r="L1646" s="23"/>
    </row>
    <row r="1647">
      <c r="B1647" s="16"/>
      <c r="L1647" s="23"/>
    </row>
    <row r="1648">
      <c r="B1648" s="16"/>
      <c r="L1648" s="23"/>
    </row>
    <row r="1649">
      <c r="B1649" s="16"/>
      <c r="L1649" s="23"/>
    </row>
    <row r="1650">
      <c r="B1650" s="16"/>
      <c r="L1650" s="23"/>
    </row>
    <row r="1651">
      <c r="B1651" s="16"/>
      <c r="L1651" s="23"/>
    </row>
    <row r="1652">
      <c r="B1652" s="16"/>
      <c r="L1652" s="23"/>
    </row>
    <row r="1653">
      <c r="B1653" s="16"/>
      <c r="L1653" s="23"/>
    </row>
    <row r="1654">
      <c r="B1654" s="16"/>
      <c r="L1654" s="23"/>
    </row>
    <row r="1655">
      <c r="B1655" s="16"/>
      <c r="L1655" s="23"/>
      <c r="M1655" s="23"/>
    </row>
    <row r="1656">
      <c r="B1656" s="16"/>
      <c r="L1656" s="23"/>
    </row>
    <row r="1657">
      <c r="B1657" s="16"/>
      <c r="L1657" s="23"/>
    </row>
    <row r="1658">
      <c r="B1658" s="16"/>
      <c r="L1658" s="23"/>
      <c r="M1658" s="23"/>
    </row>
    <row r="1659">
      <c r="B1659" s="16"/>
      <c r="L1659" s="23"/>
    </row>
    <row r="1660">
      <c r="B1660" s="16"/>
      <c r="L1660" s="23"/>
    </row>
    <row r="1661">
      <c r="B1661" s="16"/>
      <c r="L1661" s="23"/>
    </row>
    <row r="1662">
      <c r="B1662" s="16"/>
      <c r="L1662" s="23"/>
    </row>
    <row r="1663">
      <c r="B1663" s="16"/>
      <c r="L1663" s="23"/>
      <c r="M1663" s="23"/>
    </row>
    <row r="1664">
      <c r="B1664" s="16"/>
      <c r="L1664" s="23"/>
    </row>
    <row r="1665">
      <c r="B1665" s="16"/>
      <c r="L1665" s="23"/>
    </row>
    <row r="1666">
      <c r="B1666" s="16"/>
      <c r="L1666" s="23"/>
    </row>
    <row r="1667">
      <c r="B1667" s="16"/>
      <c r="L1667" s="23"/>
    </row>
    <row r="1668">
      <c r="B1668" s="16"/>
      <c r="L1668" s="23"/>
    </row>
    <row r="1669">
      <c r="B1669" s="16"/>
      <c r="L1669" s="23"/>
    </row>
    <row r="1670">
      <c r="B1670" s="16"/>
      <c r="L1670" s="23"/>
      <c r="M1670" s="23"/>
    </row>
    <row r="1671">
      <c r="B1671" s="16"/>
      <c r="L1671" s="23"/>
    </row>
    <row r="1672">
      <c r="B1672" s="16"/>
      <c r="L1672" s="23"/>
      <c r="M1672" s="23"/>
    </row>
    <row r="1673">
      <c r="B1673" s="16"/>
      <c r="L1673" s="23"/>
    </row>
    <row r="1674">
      <c r="B1674" s="16"/>
      <c r="L1674" s="23"/>
    </row>
    <row r="1675">
      <c r="B1675" s="16"/>
      <c r="L1675" s="23"/>
    </row>
    <row r="1676">
      <c r="B1676" s="16"/>
      <c r="L1676" s="23"/>
    </row>
    <row r="1677">
      <c r="B1677" s="16"/>
      <c r="L1677" s="23"/>
    </row>
    <row r="1678">
      <c r="B1678" s="16"/>
      <c r="L1678" s="23"/>
    </row>
    <row r="1679">
      <c r="B1679" s="16"/>
      <c r="L1679" s="23"/>
    </row>
    <row r="1680">
      <c r="B1680" s="16"/>
      <c r="L1680" s="23"/>
    </row>
    <row r="1681">
      <c r="B1681" s="16"/>
      <c r="L1681" s="23"/>
    </row>
    <row r="1682">
      <c r="B1682" s="16"/>
      <c r="L1682" s="23"/>
      <c r="M1682" s="23"/>
    </row>
    <row r="1683">
      <c r="B1683" s="16"/>
      <c r="L1683" s="23"/>
      <c r="M1683" s="23"/>
    </row>
    <row r="1684">
      <c r="B1684" s="16"/>
      <c r="L1684" s="23"/>
      <c r="M1684" s="23"/>
    </row>
    <row r="1685">
      <c r="B1685" s="16"/>
      <c r="L1685" s="23"/>
      <c r="M1685" s="23"/>
    </row>
    <row r="1686">
      <c r="B1686" s="16"/>
      <c r="L1686" s="23"/>
    </row>
    <row r="1687">
      <c r="B1687" s="16"/>
      <c r="L1687" s="23"/>
    </row>
    <row r="1688">
      <c r="B1688" s="16"/>
      <c r="L1688" s="23"/>
    </row>
    <row r="1689">
      <c r="B1689" s="16"/>
      <c r="L1689" s="23"/>
    </row>
    <row r="1690">
      <c r="B1690" s="16"/>
      <c r="L1690" s="23"/>
    </row>
    <row r="1691">
      <c r="B1691" s="16"/>
      <c r="L1691" s="23"/>
      <c r="M1691" s="23"/>
    </row>
    <row r="1692">
      <c r="B1692" s="16"/>
      <c r="L1692" s="23"/>
    </row>
    <row r="1693">
      <c r="B1693" s="16"/>
      <c r="L1693" s="23"/>
    </row>
    <row r="1694">
      <c r="B1694" s="16"/>
      <c r="L1694" s="23"/>
    </row>
    <row r="1695">
      <c r="B1695" s="16"/>
      <c r="L1695" s="23"/>
      <c r="M1695" s="23"/>
    </row>
    <row r="1696">
      <c r="B1696" s="16"/>
      <c r="L1696" s="23"/>
      <c r="M1696" s="23"/>
    </row>
    <row r="1697">
      <c r="B1697" s="16"/>
      <c r="L1697" s="23"/>
    </row>
    <row r="1698">
      <c r="B1698" s="16"/>
      <c r="L1698" s="23"/>
    </row>
    <row r="1699">
      <c r="B1699" s="16"/>
      <c r="L1699" s="23"/>
      <c r="M1699" s="23"/>
    </row>
    <row r="1700">
      <c r="B1700" s="16"/>
      <c r="L1700" s="23"/>
    </row>
    <row r="1701">
      <c r="B1701" s="16"/>
      <c r="L1701" s="23"/>
    </row>
    <row r="1702">
      <c r="B1702" s="16"/>
      <c r="L1702" s="23"/>
    </row>
    <row r="1703">
      <c r="B1703" s="16"/>
      <c r="L1703" s="23"/>
      <c r="M1703" s="23"/>
    </row>
    <row r="1704">
      <c r="B1704" s="16"/>
      <c r="L1704" s="23"/>
    </row>
    <row r="1705">
      <c r="B1705" s="16"/>
      <c r="L1705" s="23"/>
      <c r="M1705" s="23"/>
    </row>
    <row r="1706">
      <c r="B1706" s="16"/>
      <c r="L1706" s="23"/>
      <c r="M1706" s="23"/>
    </row>
    <row r="1707">
      <c r="B1707" s="16"/>
      <c r="L1707" s="23"/>
    </row>
    <row r="1708">
      <c r="B1708" s="16"/>
      <c r="L1708" s="23"/>
    </row>
    <row r="1709">
      <c r="B1709" s="16"/>
      <c r="L1709" s="23"/>
    </row>
    <row r="1710">
      <c r="B1710" s="16"/>
      <c r="L1710" s="23"/>
    </row>
    <row r="1711">
      <c r="B1711" s="16"/>
      <c r="L1711" s="23"/>
    </row>
    <row r="1712">
      <c r="B1712" s="16"/>
      <c r="L1712" s="23"/>
      <c r="M1712" s="23"/>
    </row>
    <row r="1713">
      <c r="B1713" s="16"/>
      <c r="L1713" s="23"/>
    </row>
    <row r="1714">
      <c r="B1714" s="16"/>
      <c r="L1714" s="23"/>
      <c r="M1714" s="23"/>
    </row>
    <row r="1715">
      <c r="B1715" s="16"/>
      <c r="L1715" s="23"/>
    </row>
    <row r="1716">
      <c r="B1716" s="16"/>
      <c r="L1716" s="23"/>
      <c r="M1716" s="23"/>
    </row>
    <row r="1717">
      <c r="B1717" s="16"/>
      <c r="L1717" s="23"/>
    </row>
    <row r="1718">
      <c r="B1718" s="16"/>
      <c r="L1718" s="23"/>
    </row>
    <row r="1719">
      <c r="B1719" s="16"/>
      <c r="L1719" s="23"/>
    </row>
    <row r="1720">
      <c r="B1720" s="16"/>
      <c r="L1720" s="23"/>
    </row>
    <row r="1721">
      <c r="B1721" s="16"/>
      <c r="L1721" s="23"/>
      <c r="M1721" s="23"/>
    </row>
    <row r="1722">
      <c r="B1722" s="16"/>
      <c r="L1722" s="23"/>
      <c r="M1722" s="23"/>
    </row>
    <row r="1723">
      <c r="B1723" s="16"/>
      <c r="L1723" s="23"/>
    </row>
    <row r="1724">
      <c r="B1724" s="16"/>
      <c r="L1724" s="23"/>
    </row>
    <row r="1725">
      <c r="B1725" s="16"/>
      <c r="L1725" s="23"/>
    </row>
    <row r="1726">
      <c r="B1726" s="16"/>
      <c r="L1726" s="23"/>
      <c r="M1726" s="23"/>
    </row>
    <row r="1727">
      <c r="B1727" s="16"/>
      <c r="L1727" s="23"/>
    </row>
    <row r="1728">
      <c r="B1728" s="16"/>
      <c r="L1728" s="23"/>
    </row>
    <row r="1729">
      <c r="B1729" s="16"/>
      <c r="L1729" s="23"/>
    </row>
    <row r="1730">
      <c r="B1730" s="16"/>
      <c r="L1730" s="23"/>
      <c r="M1730" s="23"/>
    </row>
    <row r="1731">
      <c r="B1731" s="16"/>
      <c r="L1731" s="23"/>
    </row>
    <row r="1732">
      <c r="B1732" s="16"/>
      <c r="L1732" s="23"/>
    </row>
    <row r="1733">
      <c r="B1733" s="16"/>
      <c r="L1733" s="23"/>
    </row>
    <row r="1734">
      <c r="B1734" s="16"/>
      <c r="L1734" s="23"/>
      <c r="M1734" s="23"/>
    </row>
    <row r="1735">
      <c r="B1735" s="16"/>
      <c r="L1735" s="23"/>
    </row>
    <row r="1736">
      <c r="B1736" s="16"/>
      <c r="L1736" s="23"/>
    </row>
    <row r="1737">
      <c r="B1737" s="16"/>
      <c r="L1737" s="23"/>
    </row>
    <row r="1738">
      <c r="B1738" s="16"/>
      <c r="L1738" s="23"/>
      <c r="M1738" s="23"/>
    </row>
    <row r="1739">
      <c r="B1739" s="16"/>
      <c r="L1739" s="23"/>
    </row>
    <row r="1740">
      <c r="B1740" s="16"/>
      <c r="L1740" s="23"/>
      <c r="M1740" s="23"/>
    </row>
    <row r="1741">
      <c r="B1741" s="16"/>
      <c r="L1741" s="23"/>
    </row>
    <row r="1742">
      <c r="B1742" s="16"/>
      <c r="L1742" s="23"/>
      <c r="M1742" s="23"/>
    </row>
    <row r="1743">
      <c r="B1743" s="16"/>
      <c r="L1743" s="23"/>
    </row>
    <row r="1744">
      <c r="B1744" s="16"/>
      <c r="L1744" s="23"/>
    </row>
    <row r="1745">
      <c r="B1745" s="16"/>
      <c r="L1745" s="23"/>
    </row>
    <row r="1746">
      <c r="B1746" s="16"/>
      <c r="L1746" s="23"/>
    </row>
    <row r="1747">
      <c r="B1747" s="16"/>
      <c r="L1747" s="23"/>
    </row>
    <row r="1748">
      <c r="B1748" s="16"/>
      <c r="L1748" s="23"/>
    </row>
    <row r="1749">
      <c r="B1749" s="16"/>
      <c r="L1749" s="23"/>
    </row>
    <row r="1750">
      <c r="B1750" s="16"/>
      <c r="L1750" s="23"/>
      <c r="M1750" s="23"/>
    </row>
    <row r="1751">
      <c r="B1751" s="16"/>
      <c r="L1751" s="23"/>
    </row>
    <row r="1752">
      <c r="B1752" s="16"/>
      <c r="L1752" s="23"/>
    </row>
    <row r="1753">
      <c r="B1753" s="16"/>
      <c r="L1753" s="23"/>
    </row>
    <row r="1754">
      <c r="B1754" s="16"/>
      <c r="L1754" s="23"/>
    </row>
    <row r="1755">
      <c r="B1755" s="16"/>
      <c r="L1755" s="23"/>
    </row>
    <row r="1756">
      <c r="B1756" s="16"/>
      <c r="L1756" s="23"/>
    </row>
    <row r="1757">
      <c r="B1757" s="16"/>
      <c r="L1757" s="23"/>
    </row>
    <row r="1758">
      <c r="B1758" s="16"/>
      <c r="L1758" s="23"/>
      <c r="M1758" s="23"/>
    </row>
    <row r="1759">
      <c r="B1759" s="16"/>
      <c r="L1759" s="23"/>
    </row>
    <row r="1760">
      <c r="B1760" s="16"/>
      <c r="L1760" s="23"/>
    </row>
    <row r="1761">
      <c r="B1761" s="16"/>
      <c r="L1761" s="23"/>
      <c r="M1761" s="23"/>
    </row>
    <row r="1762">
      <c r="B1762" s="16"/>
      <c r="L1762" s="23"/>
    </row>
    <row r="1763">
      <c r="B1763" s="16"/>
      <c r="L1763" s="23"/>
      <c r="M1763" s="23"/>
    </row>
    <row r="1764">
      <c r="B1764" s="16"/>
      <c r="L1764" s="23"/>
    </row>
    <row r="1765">
      <c r="B1765" s="16"/>
      <c r="L1765" s="23"/>
      <c r="M1765" s="23"/>
    </row>
    <row r="1766">
      <c r="B1766" s="16"/>
      <c r="L1766" s="23"/>
    </row>
    <row r="1767">
      <c r="B1767" s="16"/>
      <c r="L1767" s="23"/>
      <c r="M1767" s="23"/>
    </row>
    <row r="1768">
      <c r="B1768" s="16"/>
      <c r="L1768" s="23"/>
    </row>
    <row r="1769">
      <c r="B1769" s="16"/>
      <c r="L1769" s="23"/>
    </row>
    <row r="1770">
      <c r="B1770" s="16"/>
      <c r="L1770" s="23"/>
    </row>
    <row r="1771">
      <c r="B1771" s="16"/>
      <c r="L1771" s="23"/>
    </row>
    <row r="1772">
      <c r="B1772" s="16"/>
      <c r="L1772" s="23"/>
    </row>
    <row r="1773">
      <c r="B1773" s="16"/>
      <c r="L1773" s="23"/>
    </row>
    <row r="1774">
      <c r="B1774" s="16"/>
      <c r="L1774" s="23"/>
      <c r="M1774" s="23"/>
    </row>
    <row r="1775">
      <c r="B1775" s="16"/>
      <c r="L1775" s="23"/>
    </row>
    <row r="1776">
      <c r="B1776" s="16"/>
      <c r="L1776" s="23"/>
      <c r="M1776" s="23"/>
    </row>
    <row r="1777">
      <c r="B1777" s="16"/>
      <c r="L1777" s="23"/>
      <c r="M1777" s="23"/>
    </row>
    <row r="1778">
      <c r="B1778" s="16"/>
      <c r="L1778" s="23"/>
      <c r="M1778" s="23"/>
    </row>
    <row r="1779">
      <c r="B1779" s="16"/>
      <c r="L1779" s="23"/>
    </row>
    <row r="1780">
      <c r="B1780" s="16"/>
      <c r="L1780" s="23"/>
      <c r="M1780" s="23"/>
    </row>
    <row r="1781">
      <c r="B1781" s="16"/>
      <c r="L1781" s="23"/>
    </row>
    <row r="1782">
      <c r="B1782" s="16"/>
      <c r="L1782" s="23"/>
    </row>
    <row r="1783">
      <c r="B1783" s="16"/>
      <c r="L1783" s="23"/>
    </row>
    <row r="1784">
      <c r="B1784" s="16"/>
      <c r="L1784" s="23"/>
    </row>
    <row r="1785">
      <c r="B1785" s="16"/>
      <c r="L1785" s="23"/>
      <c r="M1785" s="23"/>
    </row>
    <row r="1786">
      <c r="B1786" s="16"/>
      <c r="L1786" s="23"/>
      <c r="M1786" s="23"/>
    </row>
    <row r="1787">
      <c r="B1787" s="16"/>
      <c r="L1787" s="23"/>
    </row>
    <row r="1788">
      <c r="B1788" s="16"/>
      <c r="L1788" s="23"/>
    </row>
    <row r="1789">
      <c r="B1789" s="16"/>
      <c r="L1789" s="23"/>
    </row>
    <row r="1790">
      <c r="B1790" s="16"/>
      <c r="L1790" s="23"/>
    </row>
    <row r="1791">
      <c r="B1791" s="16"/>
      <c r="L1791" s="23"/>
    </row>
    <row r="1792">
      <c r="B1792" s="16"/>
      <c r="L1792" s="23"/>
    </row>
    <row r="1793">
      <c r="B1793" s="16"/>
      <c r="L1793" s="23"/>
    </row>
    <row r="1794">
      <c r="B1794" s="16"/>
      <c r="L1794" s="23"/>
    </row>
    <row r="1795">
      <c r="B1795" s="16"/>
      <c r="L1795" s="23"/>
    </row>
    <row r="1796">
      <c r="B1796" s="16"/>
      <c r="L1796" s="23"/>
    </row>
    <row r="1797">
      <c r="B1797" s="16"/>
      <c r="L1797" s="23"/>
    </row>
    <row r="1798">
      <c r="B1798" s="16"/>
      <c r="L1798" s="23"/>
      <c r="M1798" s="23"/>
    </row>
    <row r="1799">
      <c r="B1799" s="16"/>
      <c r="L1799" s="23"/>
      <c r="M1799" s="23"/>
    </row>
    <row r="1800">
      <c r="B1800" s="16"/>
      <c r="L1800" s="23"/>
      <c r="M1800" s="23"/>
    </row>
    <row r="1801">
      <c r="B1801" s="16"/>
      <c r="L1801" s="23"/>
    </row>
    <row r="1802">
      <c r="B1802" s="16"/>
      <c r="L1802" s="23"/>
    </row>
    <row r="1803">
      <c r="B1803" s="16"/>
      <c r="L1803" s="23"/>
    </row>
    <row r="1804">
      <c r="B1804" s="16"/>
      <c r="L1804" s="23"/>
    </row>
    <row r="1805">
      <c r="B1805" s="16"/>
      <c r="L1805" s="23"/>
      <c r="M1805" s="23"/>
    </row>
    <row r="1806">
      <c r="B1806" s="16"/>
      <c r="L1806" s="23"/>
      <c r="M1806" s="23"/>
    </row>
    <row r="1807">
      <c r="B1807" s="16"/>
      <c r="L1807" s="23"/>
      <c r="M1807" s="23"/>
    </row>
    <row r="1808">
      <c r="B1808" s="16"/>
      <c r="L1808" s="23"/>
    </row>
    <row r="1809">
      <c r="B1809" s="16"/>
      <c r="L1809" s="23"/>
    </row>
    <row r="1810">
      <c r="B1810" s="16"/>
      <c r="L1810" s="23"/>
      <c r="M1810" s="23"/>
    </row>
    <row r="1811">
      <c r="B1811" s="16"/>
      <c r="L1811" s="23"/>
      <c r="M1811" s="23"/>
    </row>
    <row r="1812">
      <c r="B1812" s="16"/>
      <c r="L1812" s="23"/>
    </row>
    <row r="1813">
      <c r="B1813" s="16"/>
      <c r="L1813" s="23"/>
    </row>
    <row r="1814">
      <c r="B1814" s="16"/>
      <c r="L1814" s="23"/>
    </row>
    <row r="1815">
      <c r="B1815" s="16"/>
      <c r="L1815" s="23"/>
      <c r="M1815" s="23"/>
    </row>
    <row r="1816">
      <c r="B1816" s="16"/>
      <c r="L1816" s="23"/>
    </row>
    <row r="1817">
      <c r="B1817" s="16"/>
      <c r="L1817" s="23"/>
    </row>
    <row r="1818">
      <c r="B1818" s="16"/>
      <c r="L1818" s="23"/>
    </row>
    <row r="1819">
      <c r="B1819" s="16"/>
      <c r="L1819" s="23"/>
    </row>
    <row r="1820">
      <c r="B1820" s="16"/>
      <c r="L1820" s="23"/>
    </row>
    <row r="1821">
      <c r="B1821" s="16"/>
      <c r="L1821" s="23"/>
    </row>
    <row r="1822">
      <c r="B1822" s="16"/>
      <c r="L1822" s="23"/>
      <c r="M1822" s="23"/>
    </row>
    <row r="1823">
      <c r="B1823" s="16"/>
      <c r="L1823" s="23"/>
      <c r="M1823" s="23"/>
    </row>
    <row r="1824">
      <c r="B1824" s="16"/>
      <c r="L1824" s="23"/>
    </row>
    <row r="1825">
      <c r="B1825" s="16"/>
      <c r="L1825" s="23"/>
    </row>
    <row r="1826">
      <c r="B1826" s="16"/>
      <c r="L1826" s="23"/>
      <c r="M1826" s="23"/>
    </row>
    <row r="1827">
      <c r="B1827" s="16"/>
      <c r="L1827" s="23"/>
    </row>
    <row r="1828">
      <c r="B1828" s="16"/>
      <c r="L1828" s="23"/>
    </row>
    <row r="1829">
      <c r="B1829" s="16"/>
      <c r="L1829" s="23"/>
    </row>
    <row r="1830">
      <c r="B1830" s="16"/>
      <c r="L1830" s="23"/>
    </row>
    <row r="1831">
      <c r="B1831" s="16"/>
      <c r="L1831" s="23"/>
    </row>
    <row r="1832">
      <c r="B1832" s="16"/>
      <c r="L1832" s="23"/>
      <c r="M1832" s="23"/>
    </row>
    <row r="1833">
      <c r="B1833" s="16"/>
      <c r="L1833" s="23"/>
    </row>
    <row r="1834">
      <c r="B1834" s="16"/>
      <c r="L1834" s="23"/>
    </row>
    <row r="1835">
      <c r="B1835" s="16"/>
      <c r="L1835" s="23"/>
    </row>
    <row r="1836">
      <c r="B1836" s="16"/>
      <c r="L1836" s="23"/>
    </row>
    <row r="1837">
      <c r="B1837" s="16"/>
      <c r="L1837" s="23"/>
      <c r="M1837" s="23"/>
    </row>
    <row r="1838">
      <c r="B1838" s="16"/>
      <c r="L1838" s="23"/>
    </row>
    <row r="1839">
      <c r="B1839" s="16"/>
      <c r="L1839" s="23"/>
    </row>
    <row r="1840">
      <c r="B1840" s="16"/>
      <c r="L1840" s="23"/>
    </row>
    <row r="1841">
      <c r="B1841" s="16"/>
      <c r="L1841" s="23"/>
    </row>
    <row r="1842">
      <c r="B1842" s="16"/>
      <c r="L1842" s="23"/>
      <c r="M1842" s="23"/>
    </row>
    <row r="1843">
      <c r="B1843" s="16"/>
      <c r="L1843" s="23"/>
    </row>
    <row r="1844">
      <c r="B1844" s="16"/>
      <c r="L1844" s="23"/>
    </row>
    <row r="1845">
      <c r="B1845" s="16"/>
      <c r="L1845" s="23"/>
    </row>
    <row r="1846">
      <c r="B1846" s="16"/>
      <c r="L1846" s="23"/>
    </row>
    <row r="1847">
      <c r="B1847" s="16"/>
      <c r="L1847" s="23"/>
    </row>
    <row r="1848">
      <c r="B1848" s="16"/>
      <c r="L1848" s="23"/>
    </row>
    <row r="1849">
      <c r="B1849" s="16"/>
      <c r="L1849" s="23"/>
    </row>
    <row r="1850">
      <c r="B1850" s="16"/>
      <c r="L1850" s="23"/>
    </row>
    <row r="1851">
      <c r="B1851" s="16"/>
      <c r="L1851" s="23"/>
    </row>
    <row r="1852">
      <c r="B1852" s="16"/>
      <c r="L1852" s="23"/>
      <c r="M1852" s="23"/>
    </row>
    <row r="1853">
      <c r="B1853" s="16"/>
      <c r="L1853" s="23"/>
    </row>
    <row r="1854">
      <c r="B1854" s="16"/>
      <c r="L1854" s="23"/>
    </row>
    <row r="1855">
      <c r="B1855" s="16"/>
      <c r="L1855" s="23"/>
      <c r="M1855" s="23"/>
    </row>
    <row r="1856">
      <c r="B1856" s="16"/>
      <c r="L1856" s="23"/>
    </row>
    <row r="1857">
      <c r="B1857" s="16"/>
      <c r="L1857" s="23"/>
      <c r="M1857" s="23"/>
    </row>
    <row r="1858">
      <c r="B1858" s="16"/>
      <c r="L1858" s="23"/>
    </row>
    <row r="1859">
      <c r="B1859" s="16"/>
      <c r="L1859" s="23"/>
    </row>
    <row r="1860">
      <c r="B1860" s="16"/>
      <c r="L1860" s="23"/>
    </row>
    <row r="1861">
      <c r="B1861" s="16"/>
      <c r="L1861" s="23"/>
      <c r="M1861" s="23"/>
    </row>
    <row r="1862">
      <c r="B1862" s="16"/>
      <c r="L1862" s="23"/>
    </row>
    <row r="1863">
      <c r="B1863" s="16"/>
      <c r="L1863" s="23"/>
      <c r="M1863" s="23"/>
    </row>
    <row r="1864">
      <c r="B1864" s="16"/>
      <c r="L1864" s="23"/>
    </row>
    <row r="1865">
      <c r="B1865" s="16"/>
      <c r="L1865" s="23"/>
    </row>
    <row r="1866">
      <c r="B1866" s="16"/>
      <c r="L1866" s="23"/>
    </row>
    <row r="1867">
      <c r="B1867" s="16"/>
      <c r="L1867" s="23"/>
    </row>
    <row r="1868">
      <c r="B1868" s="16"/>
      <c r="L1868" s="23"/>
      <c r="M1868" s="23"/>
    </row>
    <row r="1869">
      <c r="B1869" s="16"/>
      <c r="L1869" s="23"/>
    </row>
    <row r="1870">
      <c r="B1870" s="16"/>
      <c r="L1870" s="23"/>
    </row>
    <row r="1871">
      <c r="B1871" s="16"/>
      <c r="L1871" s="23"/>
    </row>
    <row r="1872">
      <c r="B1872" s="16"/>
      <c r="L1872" s="23"/>
    </row>
    <row r="1873">
      <c r="B1873" s="16"/>
      <c r="L1873" s="23"/>
      <c r="M1873" s="23"/>
    </row>
    <row r="1874">
      <c r="B1874" s="16"/>
      <c r="L1874" s="23"/>
    </row>
    <row r="1875">
      <c r="B1875" s="16"/>
      <c r="L1875" s="23"/>
      <c r="M1875" s="23"/>
    </row>
    <row r="1876">
      <c r="B1876" s="16"/>
      <c r="L1876" s="23"/>
    </row>
    <row r="1877">
      <c r="B1877" s="16"/>
      <c r="L1877" s="23"/>
    </row>
    <row r="1878">
      <c r="B1878" s="16"/>
      <c r="L1878" s="23"/>
      <c r="M1878" s="23"/>
    </row>
    <row r="1879">
      <c r="B1879" s="16"/>
      <c r="L1879" s="23"/>
      <c r="M1879" s="23"/>
    </row>
    <row r="1880">
      <c r="B1880" s="16"/>
      <c r="L1880" s="23"/>
    </row>
    <row r="1881">
      <c r="B1881" s="16"/>
      <c r="L1881" s="23"/>
      <c r="M1881" s="23"/>
    </row>
    <row r="1882">
      <c r="B1882" s="16"/>
      <c r="L1882" s="23"/>
    </row>
    <row r="1883">
      <c r="B1883" s="16"/>
      <c r="L1883" s="23"/>
    </row>
    <row r="1884">
      <c r="B1884" s="16"/>
      <c r="L1884" s="23"/>
    </row>
    <row r="1885">
      <c r="B1885" s="16"/>
      <c r="L1885" s="23"/>
    </row>
    <row r="1886">
      <c r="B1886" s="16"/>
      <c r="L1886" s="23"/>
    </row>
    <row r="1887">
      <c r="B1887" s="16"/>
      <c r="L1887" s="23"/>
    </row>
    <row r="1888">
      <c r="B1888" s="16"/>
      <c r="L1888" s="23"/>
      <c r="M1888" s="23"/>
    </row>
    <row r="1889">
      <c r="B1889" s="16"/>
      <c r="L1889" s="23"/>
    </row>
    <row r="1890">
      <c r="B1890" s="16"/>
      <c r="L1890" s="23"/>
    </row>
    <row r="1891">
      <c r="B1891" s="16"/>
      <c r="L1891" s="23"/>
    </row>
    <row r="1892">
      <c r="B1892" s="16"/>
      <c r="L1892" s="23"/>
    </row>
    <row r="1893">
      <c r="B1893" s="16"/>
      <c r="L1893" s="23"/>
    </row>
    <row r="1894">
      <c r="B1894" s="16"/>
      <c r="L1894" s="23"/>
    </row>
    <row r="1895">
      <c r="B1895" s="16"/>
      <c r="L1895" s="23"/>
    </row>
    <row r="1896">
      <c r="B1896" s="16"/>
      <c r="L1896" s="23"/>
    </row>
    <row r="1897">
      <c r="B1897" s="16"/>
      <c r="L1897" s="23"/>
      <c r="M1897" s="23"/>
    </row>
    <row r="1898">
      <c r="B1898" s="16"/>
      <c r="L1898" s="23"/>
    </row>
    <row r="1899">
      <c r="B1899" s="16"/>
      <c r="L1899" s="23"/>
    </row>
    <row r="1900">
      <c r="B1900" s="16"/>
      <c r="L1900" s="23"/>
      <c r="M1900" s="23"/>
    </row>
    <row r="1901">
      <c r="B1901" s="16"/>
      <c r="L1901" s="23"/>
    </row>
    <row r="1902">
      <c r="B1902" s="16"/>
      <c r="L1902" s="23"/>
    </row>
    <row r="1903">
      <c r="B1903" s="16"/>
      <c r="L1903" s="23"/>
    </row>
    <row r="1904">
      <c r="B1904" s="16"/>
      <c r="L1904" s="23"/>
    </row>
    <row r="1905">
      <c r="B1905" s="16"/>
      <c r="L1905" s="23"/>
      <c r="M1905" s="23"/>
    </row>
    <row r="1906">
      <c r="B1906" s="16"/>
      <c r="L1906" s="23"/>
    </row>
    <row r="1907">
      <c r="B1907" s="16"/>
      <c r="L1907" s="23"/>
    </row>
    <row r="1908">
      <c r="B1908" s="16"/>
      <c r="L1908" s="23"/>
    </row>
    <row r="1909">
      <c r="B1909" s="16"/>
      <c r="L1909" s="23"/>
    </row>
    <row r="1910">
      <c r="B1910" s="16"/>
      <c r="L1910" s="23"/>
    </row>
    <row r="1911">
      <c r="B1911" s="16"/>
      <c r="L1911" s="23"/>
    </row>
    <row r="1912">
      <c r="B1912" s="16"/>
      <c r="L1912" s="23"/>
      <c r="M1912" s="23"/>
    </row>
    <row r="1913">
      <c r="B1913" s="16"/>
      <c r="L1913" s="23"/>
      <c r="M1913" s="23"/>
    </row>
    <row r="1914">
      <c r="B1914" s="16"/>
      <c r="L1914" s="23"/>
      <c r="M1914" s="23"/>
    </row>
    <row r="1915">
      <c r="B1915" s="16"/>
      <c r="L1915" s="23"/>
    </row>
    <row r="1916">
      <c r="B1916" s="16"/>
      <c r="L1916" s="23"/>
      <c r="M1916" s="23"/>
    </row>
    <row r="1917">
      <c r="B1917" s="16"/>
      <c r="L1917" s="23"/>
    </row>
    <row r="1918">
      <c r="B1918" s="16"/>
      <c r="L1918" s="23"/>
    </row>
    <row r="1919">
      <c r="B1919" s="16"/>
      <c r="L1919" s="23"/>
      <c r="M1919" s="23"/>
    </row>
    <row r="1920">
      <c r="B1920" s="16"/>
      <c r="L1920" s="23"/>
    </row>
    <row r="1921">
      <c r="B1921" s="16"/>
      <c r="L1921" s="23"/>
      <c r="M1921" s="23"/>
    </row>
    <row r="1922">
      <c r="B1922" s="16"/>
      <c r="L1922" s="23"/>
      <c r="M1922" s="23"/>
    </row>
    <row r="1923">
      <c r="B1923" s="16"/>
      <c r="L1923" s="23"/>
    </row>
    <row r="1924">
      <c r="B1924" s="16"/>
      <c r="L1924" s="23"/>
      <c r="M1924" s="23"/>
    </row>
    <row r="1925">
      <c r="B1925" s="16"/>
      <c r="L1925" s="23"/>
    </row>
    <row r="1926">
      <c r="B1926" s="16"/>
      <c r="L1926" s="23"/>
    </row>
    <row r="1927">
      <c r="B1927" s="16"/>
      <c r="L1927" s="23"/>
    </row>
    <row r="1928">
      <c r="B1928" s="16"/>
      <c r="L1928" s="23"/>
      <c r="M1928" s="23"/>
    </row>
    <row r="1929">
      <c r="B1929" s="16"/>
      <c r="L1929" s="23"/>
    </row>
    <row r="1930">
      <c r="B1930" s="16"/>
      <c r="L1930" s="23"/>
      <c r="M1930" s="23"/>
    </row>
    <row r="1931">
      <c r="B1931" s="16"/>
      <c r="L1931" s="23"/>
      <c r="M1931" s="23"/>
    </row>
    <row r="1932">
      <c r="B1932" s="16"/>
      <c r="L1932" s="23"/>
    </row>
    <row r="1933">
      <c r="B1933" s="16"/>
      <c r="L1933" s="23"/>
      <c r="M1933" s="23"/>
    </row>
    <row r="1934">
      <c r="B1934" s="16"/>
      <c r="L1934" s="23"/>
      <c r="M1934" s="23"/>
    </row>
    <row r="1935">
      <c r="B1935" s="16"/>
      <c r="L1935" s="23"/>
      <c r="M1935" s="23"/>
    </row>
    <row r="1936">
      <c r="B1936" s="16"/>
      <c r="L1936" s="23"/>
      <c r="M1936" s="23"/>
    </row>
    <row r="1937">
      <c r="B1937" s="16"/>
      <c r="L1937" s="23"/>
    </row>
    <row r="1938">
      <c r="B1938" s="16"/>
      <c r="L1938" s="23"/>
    </row>
    <row r="1939">
      <c r="B1939" s="16"/>
      <c r="L1939" s="23"/>
    </row>
    <row r="1940">
      <c r="B1940" s="16"/>
      <c r="L1940" s="23"/>
    </row>
    <row r="1941">
      <c r="B1941" s="16"/>
      <c r="L1941" s="23"/>
      <c r="M1941" s="23"/>
    </row>
    <row r="1942">
      <c r="B1942" s="16"/>
      <c r="L1942" s="23"/>
      <c r="M1942" s="23"/>
    </row>
    <row r="1943">
      <c r="B1943" s="16"/>
      <c r="L1943" s="23"/>
      <c r="M1943" s="23"/>
    </row>
    <row r="1944">
      <c r="B1944" s="16"/>
      <c r="L1944" s="23"/>
    </row>
    <row r="1945">
      <c r="B1945" s="16"/>
      <c r="L1945" s="23"/>
    </row>
    <row r="1946">
      <c r="B1946" s="16"/>
      <c r="L1946" s="23"/>
    </row>
    <row r="1947">
      <c r="B1947" s="16"/>
      <c r="L1947" s="23"/>
    </row>
    <row r="1948">
      <c r="B1948" s="16"/>
      <c r="L1948" s="23"/>
    </row>
    <row r="1949">
      <c r="B1949" s="16"/>
      <c r="L1949" s="23"/>
      <c r="M1949" s="23"/>
    </row>
    <row r="1950">
      <c r="B1950" s="16"/>
      <c r="L1950" s="23"/>
      <c r="M1950" s="23"/>
    </row>
    <row r="1951">
      <c r="B1951" s="16"/>
      <c r="L1951" s="23"/>
    </row>
    <row r="1952">
      <c r="B1952" s="16"/>
      <c r="L1952" s="23"/>
    </row>
    <row r="1953">
      <c r="B1953" s="16"/>
      <c r="L1953" s="23"/>
    </row>
    <row r="1954">
      <c r="B1954" s="16"/>
      <c r="L1954" s="23"/>
    </row>
    <row r="1955">
      <c r="B1955" s="16"/>
      <c r="L1955" s="23"/>
    </row>
    <row r="1956">
      <c r="B1956" s="16"/>
      <c r="L1956" s="23"/>
    </row>
    <row r="1957">
      <c r="B1957" s="16"/>
      <c r="L1957" s="23"/>
    </row>
    <row r="1958">
      <c r="B1958" s="16"/>
      <c r="L1958" s="23"/>
    </row>
    <row r="1959">
      <c r="B1959" s="16"/>
      <c r="L1959" s="23"/>
    </row>
    <row r="1960">
      <c r="B1960" s="16"/>
      <c r="L1960" s="23"/>
      <c r="M1960" s="23"/>
    </row>
    <row r="1961">
      <c r="B1961" s="16"/>
      <c r="L1961" s="23"/>
      <c r="M1961" s="23"/>
    </row>
    <row r="1962">
      <c r="B1962" s="16"/>
      <c r="L1962" s="23"/>
    </row>
    <row r="1963">
      <c r="B1963" s="16"/>
      <c r="L1963" s="23"/>
      <c r="M1963" s="23"/>
    </row>
    <row r="1964">
      <c r="B1964" s="16"/>
      <c r="L1964" s="23"/>
      <c r="M1964" s="23"/>
    </row>
    <row r="1965">
      <c r="B1965" s="16"/>
      <c r="L1965" s="23"/>
      <c r="M1965" s="23"/>
    </row>
    <row r="1966">
      <c r="B1966" s="16"/>
      <c r="L1966" s="23"/>
    </row>
    <row r="1967">
      <c r="B1967" s="16"/>
      <c r="L1967" s="23"/>
    </row>
    <row r="1968">
      <c r="B1968" s="16"/>
      <c r="L1968" s="23"/>
      <c r="M1968" s="23"/>
    </row>
    <row r="1969">
      <c r="B1969" s="16"/>
      <c r="L1969" s="23"/>
      <c r="M1969" s="23"/>
    </row>
    <row r="1970">
      <c r="B1970" s="16"/>
      <c r="L1970" s="23"/>
      <c r="M1970" s="23"/>
    </row>
    <row r="1971">
      <c r="B1971" s="16"/>
      <c r="L1971" s="23"/>
      <c r="M1971" s="23"/>
    </row>
    <row r="1972">
      <c r="B1972" s="16"/>
      <c r="L1972" s="23"/>
      <c r="M1972" s="23"/>
    </row>
    <row r="1973">
      <c r="B1973" s="16"/>
      <c r="L1973" s="23"/>
    </row>
    <row r="1974">
      <c r="B1974" s="16"/>
      <c r="L1974" s="23"/>
      <c r="M1974" s="23"/>
    </row>
    <row r="1975">
      <c r="B1975" s="16"/>
      <c r="L1975" s="23"/>
      <c r="M1975" s="23"/>
    </row>
    <row r="1976">
      <c r="B1976" s="16"/>
      <c r="L1976" s="23"/>
    </row>
    <row r="1977">
      <c r="B1977" s="16"/>
      <c r="L1977" s="23"/>
      <c r="M1977" s="23"/>
    </row>
    <row r="1978">
      <c r="B1978" s="16"/>
      <c r="L1978" s="23"/>
      <c r="M1978" s="23"/>
    </row>
    <row r="1979">
      <c r="B1979" s="16"/>
      <c r="L1979" s="23"/>
      <c r="M1979" s="23"/>
    </row>
    <row r="1980">
      <c r="B1980" s="16"/>
      <c r="L1980" s="23"/>
      <c r="M1980" s="23"/>
    </row>
    <row r="1981">
      <c r="B1981" s="16"/>
      <c r="L1981" s="23"/>
    </row>
    <row r="1982">
      <c r="B1982" s="16"/>
      <c r="L1982" s="23"/>
      <c r="M1982" s="23"/>
    </row>
    <row r="1983">
      <c r="B1983" s="16"/>
      <c r="L1983" s="23"/>
      <c r="M1983" s="23"/>
    </row>
    <row r="1984">
      <c r="B1984" s="16"/>
      <c r="L1984" s="23"/>
    </row>
    <row r="1985">
      <c r="B1985" s="16"/>
      <c r="L1985" s="23"/>
    </row>
    <row r="1986">
      <c r="B1986" s="16"/>
      <c r="L1986" s="23"/>
      <c r="M1986" s="23"/>
    </row>
    <row r="1987">
      <c r="B1987" s="16"/>
      <c r="L1987" s="23"/>
    </row>
    <row r="1988">
      <c r="B1988" s="16"/>
      <c r="L1988" s="23"/>
      <c r="M1988" s="23"/>
    </row>
    <row r="1989">
      <c r="B1989" s="16"/>
      <c r="L1989" s="23"/>
    </row>
    <row r="1990">
      <c r="B1990" s="16"/>
      <c r="L1990" s="23"/>
    </row>
    <row r="1991">
      <c r="B1991" s="16"/>
      <c r="L1991" s="23"/>
    </row>
    <row r="1992">
      <c r="B1992" s="16"/>
      <c r="L1992" s="23"/>
    </row>
    <row r="1993">
      <c r="B1993" s="16"/>
      <c r="L1993" s="23"/>
    </row>
    <row r="1994">
      <c r="B1994" s="16"/>
      <c r="L1994" s="23"/>
      <c r="M1994" s="23"/>
    </row>
    <row r="1995">
      <c r="B1995" s="16"/>
      <c r="L1995" s="23"/>
    </row>
    <row r="1996">
      <c r="B1996" s="16"/>
      <c r="L1996" s="23"/>
    </row>
    <row r="1997">
      <c r="B1997" s="16"/>
      <c r="L1997" s="23"/>
    </row>
    <row r="1998">
      <c r="B1998" s="16"/>
      <c r="L1998" s="23"/>
    </row>
    <row r="1999">
      <c r="B1999" s="16"/>
      <c r="L1999" s="23"/>
    </row>
    <row r="2000">
      <c r="B2000" s="16"/>
      <c r="L2000" s="23"/>
    </row>
    <row r="2001">
      <c r="B2001" s="16"/>
      <c r="L2001" s="23"/>
      <c r="M2001" s="23"/>
    </row>
    <row r="2002">
      <c r="B2002" s="16"/>
      <c r="L2002" s="23"/>
    </row>
    <row r="2003">
      <c r="B2003" s="16"/>
      <c r="L2003" s="23"/>
    </row>
    <row r="2004">
      <c r="B2004" s="16"/>
      <c r="L2004" s="23"/>
    </row>
    <row r="2005">
      <c r="B2005" s="16"/>
      <c r="L2005" s="23"/>
      <c r="M2005" s="23"/>
    </row>
    <row r="2006">
      <c r="B2006" s="16"/>
      <c r="L2006" s="23"/>
    </row>
    <row r="2007">
      <c r="B2007" s="16"/>
      <c r="L2007" s="23"/>
      <c r="M2007" s="23"/>
    </row>
    <row r="2008">
      <c r="B2008" s="16"/>
      <c r="L2008" s="23"/>
      <c r="M2008" s="23"/>
    </row>
    <row r="2009">
      <c r="B2009" s="16"/>
      <c r="L2009" s="23"/>
    </row>
    <row r="2010">
      <c r="B2010" s="16"/>
      <c r="L2010" s="23"/>
    </row>
    <row r="2011">
      <c r="B2011" s="16"/>
      <c r="L2011" s="23"/>
      <c r="M2011" s="23"/>
    </row>
    <row r="2012">
      <c r="B2012" s="16"/>
      <c r="L2012" s="23"/>
    </row>
    <row r="2013">
      <c r="B2013" s="16"/>
      <c r="L2013" s="23"/>
    </row>
    <row r="2014">
      <c r="B2014" s="16"/>
      <c r="L2014" s="23"/>
    </row>
    <row r="2015">
      <c r="B2015" s="16"/>
      <c r="L2015" s="23"/>
    </row>
    <row r="2016">
      <c r="B2016" s="16"/>
      <c r="L2016" s="23"/>
    </row>
    <row r="2017">
      <c r="B2017" s="16"/>
      <c r="L2017" s="23"/>
    </row>
    <row r="2018">
      <c r="B2018" s="16"/>
      <c r="L2018" s="23"/>
      <c r="M2018" s="23"/>
    </row>
    <row r="2019">
      <c r="B2019" s="16"/>
      <c r="L2019" s="23"/>
    </row>
    <row r="2020">
      <c r="B2020" s="16"/>
      <c r="L2020" s="23"/>
    </row>
    <row r="2021">
      <c r="B2021" s="16"/>
      <c r="L2021" s="23"/>
      <c r="M2021" s="23"/>
    </row>
    <row r="2022">
      <c r="B2022" s="16"/>
      <c r="L2022" s="23"/>
      <c r="M2022" s="23"/>
    </row>
    <row r="2023">
      <c r="B2023" s="16"/>
      <c r="L2023" s="23"/>
      <c r="M2023" s="23"/>
    </row>
    <row r="2024">
      <c r="B2024" s="16"/>
      <c r="L2024" s="23"/>
    </row>
    <row r="2025">
      <c r="B2025" s="16"/>
      <c r="L2025" s="23"/>
    </row>
    <row r="2026">
      <c r="B2026" s="16"/>
      <c r="L2026" s="23"/>
    </row>
    <row r="2027">
      <c r="B2027" s="16"/>
      <c r="L2027" s="23"/>
    </row>
    <row r="2028">
      <c r="B2028" s="16"/>
      <c r="L2028" s="23"/>
      <c r="M2028" s="23"/>
    </row>
    <row r="2029">
      <c r="B2029" s="16"/>
      <c r="L2029" s="23"/>
      <c r="M2029" s="23"/>
    </row>
    <row r="2030">
      <c r="B2030" s="16"/>
      <c r="L2030" s="23"/>
      <c r="M2030" s="23"/>
    </row>
    <row r="2031">
      <c r="B2031" s="16"/>
      <c r="L2031" s="23"/>
    </row>
    <row r="2032">
      <c r="B2032" s="16"/>
      <c r="L2032" s="23"/>
      <c r="M2032" s="23"/>
    </row>
    <row r="2033">
      <c r="B2033" s="16"/>
      <c r="L2033" s="23"/>
    </row>
    <row r="2034">
      <c r="B2034" s="16"/>
      <c r="L2034" s="23"/>
    </row>
    <row r="2035">
      <c r="B2035" s="16"/>
      <c r="L2035" s="23"/>
    </row>
    <row r="2036">
      <c r="B2036" s="16"/>
      <c r="L2036" s="23"/>
      <c r="M2036" s="23"/>
    </row>
    <row r="2037">
      <c r="B2037" s="16"/>
      <c r="L2037" s="23"/>
      <c r="M2037" s="23"/>
    </row>
    <row r="2038">
      <c r="B2038" s="16"/>
      <c r="L2038" s="23"/>
    </row>
    <row r="2039">
      <c r="B2039" s="16"/>
      <c r="L2039" s="23"/>
    </row>
    <row r="2040">
      <c r="B2040" s="16"/>
      <c r="L2040" s="23"/>
    </row>
    <row r="2041">
      <c r="B2041" s="16"/>
      <c r="L2041" s="23"/>
    </row>
    <row r="2042">
      <c r="B2042" s="16"/>
      <c r="L2042" s="23"/>
    </row>
    <row r="2043">
      <c r="B2043" s="16"/>
      <c r="L2043" s="23"/>
    </row>
    <row r="2044">
      <c r="B2044" s="16"/>
      <c r="L2044" s="23"/>
    </row>
    <row r="2045">
      <c r="B2045" s="16"/>
      <c r="L2045" s="23"/>
    </row>
    <row r="2046">
      <c r="B2046" s="16"/>
      <c r="L2046" s="23"/>
      <c r="M2046" s="23"/>
    </row>
    <row r="2047">
      <c r="B2047" s="16"/>
      <c r="L2047" s="23"/>
      <c r="M2047" s="23"/>
    </row>
    <row r="2048">
      <c r="B2048" s="16"/>
      <c r="L2048" s="23"/>
    </row>
    <row r="2049">
      <c r="B2049" s="16"/>
      <c r="L2049" s="23"/>
      <c r="M2049" s="23"/>
    </row>
    <row r="2050">
      <c r="B2050" s="16"/>
      <c r="L2050" s="23"/>
      <c r="M2050" s="23"/>
    </row>
    <row r="2051">
      <c r="B2051" s="16"/>
      <c r="L2051" s="23"/>
    </row>
    <row r="2052">
      <c r="B2052" s="16"/>
      <c r="L2052" s="23"/>
    </row>
    <row r="2053">
      <c r="B2053" s="16"/>
      <c r="L2053" s="23"/>
      <c r="M2053" s="23"/>
    </row>
    <row r="2054">
      <c r="B2054" s="16"/>
      <c r="L2054" s="23"/>
      <c r="M2054" s="23"/>
    </row>
    <row r="2055">
      <c r="B2055" s="16"/>
      <c r="L2055" s="23"/>
    </row>
    <row r="2056">
      <c r="B2056" s="16"/>
      <c r="L2056" s="23"/>
    </row>
    <row r="2057">
      <c r="B2057" s="16"/>
      <c r="L2057" s="23"/>
      <c r="M2057" s="23"/>
    </row>
    <row r="2058">
      <c r="B2058" s="16"/>
      <c r="L2058" s="23"/>
    </row>
    <row r="2059">
      <c r="B2059" s="16"/>
      <c r="L2059" s="23"/>
      <c r="M2059" s="23"/>
    </row>
    <row r="2060">
      <c r="B2060" s="16"/>
      <c r="L2060" s="23"/>
    </row>
    <row r="2061">
      <c r="B2061" s="16"/>
      <c r="L2061" s="23"/>
      <c r="M2061" s="23"/>
    </row>
    <row r="2062">
      <c r="B2062" s="16"/>
      <c r="L2062" s="23"/>
    </row>
    <row r="2063">
      <c r="B2063" s="16"/>
      <c r="L2063" s="23"/>
      <c r="M2063" s="23"/>
    </row>
    <row r="2064">
      <c r="B2064" s="16"/>
      <c r="L2064" s="23"/>
      <c r="M2064" s="23"/>
    </row>
    <row r="2065">
      <c r="B2065" s="16"/>
      <c r="L2065" s="23"/>
    </row>
    <row r="2066">
      <c r="B2066" s="16"/>
      <c r="L2066" s="23"/>
      <c r="M2066" s="23"/>
    </row>
    <row r="2067">
      <c r="B2067" s="16"/>
      <c r="L2067" s="23"/>
      <c r="M2067" s="23"/>
    </row>
    <row r="2068">
      <c r="B2068" s="16"/>
      <c r="L2068" s="23"/>
      <c r="M2068" s="23"/>
    </row>
    <row r="2069">
      <c r="B2069" s="16"/>
      <c r="L2069" s="23"/>
      <c r="M2069" s="23"/>
    </row>
    <row r="2070">
      <c r="B2070" s="16"/>
      <c r="L2070" s="23"/>
      <c r="M2070" s="23"/>
    </row>
    <row r="2071">
      <c r="B2071" s="16"/>
      <c r="L2071" s="23"/>
    </row>
    <row r="2072">
      <c r="B2072" s="16"/>
      <c r="L2072" s="23"/>
      <c r="M2072" s="23"/>
    </row>
    <row r="2073">
      <c r="B2073" s="16"/>
      <c r="L2073" s="23"/>
    </row>
    <row r="2074">
      <c r="B2074" s="16"/>
      <c r="L2074" s="23"/>
      <c r="M2074" s="23"/>
    </row>
    <row r="2075">
      <c r="B2075" s="16"/>
      <c r="L2075" s="23"/>
    </row>
    <row r="2076">
      <c r="B2076" s="16"/>
      <c r="L2076" s="23"/>
      <c r="M2076" s="23"/>
    </row>
    <row r="2077">
      <c r="B2077" s="16"/>
      <c r="L2077" s="23"/>
      <c r="M2077" s="23"/>
    </row>
    <row r="2078">
      <c r="B2078" s="16"/>
      <c r="L2078" s="23"/>
    </row>
    <row r="2079">
      <c r="B2079" s="16"/>
      <c r="L2079" s="23"/>
    </row>
    <row r="2080">
      <c r="B2080" s="16"/>
      <c r="L2080" s="23"/>
      <c r="M2080" s="23"/>
    </row>
    <row r="2081">
      <c r="B2081" s="16"/>
      <c r="L2081" s="23"/>
    </row>
    <row r="2082">
      <c r="B2082" s="16"/>
      <c r="L2082" s="23"/>
      <c r="M2082" s="23"/>
    </row>
    <row r="2083">
      <c r="B2083" s="16"/>
      <c r="L2083" s="23"/>
    </row>
    <row r="2084">
      <c r="B2084" s="16"/>
      <c r="L2084" s="23"/>
      <c r="M2084" s="23"/>
    </row>
    <row r="2085">
      <c r="B2085" s="16"/>
      <c r="L2085" s="23"/>
    </row>
    <row r="2086">
      <c r="B2086" s="16"/>
      <c r="L2086" s="23"/>
    </row>
    <row r="2087">
      <c r="B2087" s="16"/>
      <c r="L2087" s="23"/>
    </row>
    <row r="2088">
      <c r="B2088" s="16"/>
      <c r="L2088" s="23"/>
    </row>
    <row r="2089">
      <c r="B2089" s="16"/>
      <c r="L2089" s="23"/>
    </row>
    <row r="2090">
      <c r="B2090" s="16"/>
      <c r="L2090" s="23"/>
    </row>
    <row r="2091">
      <c r="B2091" s="16"/>
      <c r="L2091" s="23"/>
    </row>
    <row r="2092">
      <c r="B2092" s="16"/>
      <c r="L2092" s="23"/>
    </row>
    <row r="2093">
      <c r="B2093" s="16"/>
      <c r="L2093" s="23"/>
    </row>
    <row r="2094">
      <c r="B2094" s="16"/>
      <c r="L2094" s="23"/>
    </row>
    <row r="2095">
      <c r="B2095" s="16"/>
      <c r="L2095" s="23"/>
    </row>
    <row r="2096">
      <c r="B2096" s="16"/>
      <c r="L2096" s="23"/>
      <c r="M2096" s="23"/>
    </row>
    <row r="2097">
      <c r="B2097" s="16"/>
      <c r="L2097" s="23"/>
    </row>
    <row r="2098">
      <c r="B2098" s="16"/>
      <c r="L2098" s="23"/>
    </row>
    <row r="2099">
      <c r="B2099" s="16"/>
      <c r="L2099" s="23"/>
      <c r="M2099" s="23"/>
    </row>
    <row r="2100">
      <c r="B2100" s="16"/>
      <c r="L2100" s="23"/>
      <c r="M2100" s="23"/>
    </row>
    <row r="2101">
      <c r="B2101" s="16"/>
      <c r="L2101" s="23"/>
    </row>
    <row r="2102">
      <c r="B2102" s="16"/>
      <c r="L2102" s="23"/>
    </row>
    <row r="2103">
      <c r="B2103" s="16"/>
      <c r="L2103" s="23"/>
    </row>
    <row r="2104">
      <c r="B2104" s="16"/>
      <c r="L2104" s="23"/>
      <c r="M2104" s="23"/>
    </row>
    <row r="2105">
      <c r="B2105" s="16"/>
      <c r="L2105" s="23"/>
    </row>
    <row r="2106">
      <c r="B2106" s="16"/>
      <c r="L2106" s="23"/>
      <c r="M2106" s="23"/>
    </row>
    <row r="2107">
      <c r="B2107" s="16"/>
      <c r="L2107" s="23"/>
      <c r="M2107" s="23"/>
    </row>
    <row r="2108">
      <c r="B2108" s="16"/>
      <c r="L2108" s="23"/>
      <c r="M2108" s="23"/>
    </row>
    <row r="2109">
      <c r="B2109" s="16"/>
      <c r="L2109" s="23"/>
    </row>
    <row r="2110">
      <c r="B2110" s="16"/>
      <c r="L2110" s="23"/>
      <c r="M2110" s="23"/>
    </row>
    <row r="2111">
      <c r="B2111" s="16"/>
      <c r="L2111" s="23"/>
      <c r="M2111" s="23"/>
    </row>
    <row r="2112">
      <c r="B2112" s="16"/>
      <c r="L2112" s="23"/>
    </row>
    <row r="2113">
      <c r="B2113" s="16"/>
      <c r="L2113" s="23"/>
    </row>
    <row r="2114">
      <c r="B2114" s="16"/>
      <c r="L2114" s="23"/>
    </row>
    <row r="2115">
      <c r="B2115" s="16"/>
      <c r="L2115" s="23"/>
    </row>
    <row r="2116">
      <c r="B2116" s="16"/>
      <c r="L2116" s="23"/>
    </row>
    <row r="2117">
      <c r="B2117" s="16"/>
      <c r="L2117" s="23"/>
    </row>
    <row r="2118">
      <c r="B2118" s="16"/>
      <c r="L2118" s="23"/>
    </row>
    <row r="2119">
      <c r="B2119" s="16"/>
      <c r="L2119" s="23"/>
    </row>
    <row r="2120">
      <c r="B2120" s="16"/>
      <c r="L2120" s="23"/>
    </row>
    <row r="2121">
      <c r="B2121" s="16"/>
      <c r="L2121" s="23"/>
    </row>
    <row r="2122">
      <c r="B2122" s="16"/>
      <c r="L2122" s="23"/>
    </row>
    <row r="2123">
      <c r="B2123" s="16"/>
      <c r="L2123" s="23"/>
    </row>
    <row r="2124">
      <c r="B2124" s="16"/>
      <c r="L2124" s="23"/>
    </row>
    <row r="2125">
      <c r="B2125" s="16"/>
      <c r="L2125" s="23"/>
    </row>
    <row r="2126">
      <c r="B2126" s="16"/>
      <c r="L2126" s="23"/>
    </row>
    <row r="2127">
      <c r="B2127" s="16"/>
      <c r="L2127" s="23"/>
    </row>
    <row r="2128">
      <c r="B2128" s="16"/>
      <c r="L2128" s="23"/>
    </row>
    <row r="2129">
      <c r="B2129" s="16"/>
      <c r="L2129" s="23"/>
    </row>
    <row r="2130">
      <c r="B2130" s="16"/>
      <c r="L2130" s="23"/>
    </row>
    <row r="2131">
      <c r="B2131" s="16"/>
      <c r="L2131" s="23"/>
    </row>
    <row r="2132">
      <c r="B2132" s="16"/>
      <c r="L2132" s="23"/>
    </row>
    <row r="2133">
      <c r="B2133" s="16"/>
      <c r="L2133" s="23"/>
    </row>
    <row r="2134">
      <c r="B2134" s="16"/>
      <c r="L2134" s="23"/>
    </row>
    <row r="2135">
      <c r="B2135" s="16"/>
      <c r="L2135" s="23"/>
    </row>
    <row r="2136">
      <c r="B2136" s="16"/>
      <c r="L2136" s="23"/>
      <c r="M2136" s="23"/>
    </row>
    <row r="2137">
      <c r="B2137" s="16"/>
      <c r="L2137" s="23"/>
    </row>
    <row r="2138">
      <c r="B2138" s="16"/>
      <c r="L2138" s="23"/>
    </row>
    <row r="2139">
      <c r="B2139" s="16"/>
      <c r="L2139" s="23"/>
    </row>
    <row r="2140">
      <c r="B2140" s="16"/>
      <c r="L2140" s="23"/>
      <c r="M2140" s="23"/>
    </row>
    <row r="2141">
      <c r="B2141" s="16"/>
      <c r="L2141" s="23"/>
    </row>
    <row r="2142">
      <c r="B2142" s="16"/>
      <c r="L2142" s="23"/>
      <c r="M2142" s="23"/>
    </row>
    <row r="2143">
      <c r="B2143" s="16"/>
      <c r="L2143" s="23"/>
      <c r="M2143" s="23"/>
    </row>
    <row r="2144">
      <c r="B2144" s="16"/>
      <c r="L2144" s="23"/>
      <c r="M2144" s="23"/>
    </row>
    <row r="2145">
      <c r="B2145" s="16"/>
      <c r="L2145" s="23"/>
      <c r="M2145" s="23"/>
    </row>
    <row r="2146">
      <c r="B2146" s="16"/>
      <c r="L2146" s="23"/>
      <c r="M2146" s="23"/>
    </row>
    <row r="2147">
      <c r="B2147" s="16"/>
      <c r="L2147" s="23"/>
    </row>
    <row r="2148">
      <c r="B2148" s="16"/>
      <c r="L2148" s="23"/>
    </row>
    <row r="2149">
      <c r="B2149" s="16"/>
      <c r="L2149" s="23"/>
    </row>
    <row r="2150">
      <c r="B2150" s="16"/>
      <c r="L2150" s="23"/>
    </row>
    <row r="2151">
      <c r="B2151" s="16"/>
      <c r="L2151" s="23"/>
    </row>
    <row r="2152">
      <c r="B2152" s="16"/>
      <c r="L2152" s="23"/>
    </row>
    <row r="2153">
      <c r="B2153" s="16"/>
      <c r="L2153" s="23"/>
    </row>
    <row r="2154">
      <c r="B2154" s="16"/>
      <c r="L2154" s="23"/>
      <c r="M2154" s="23"/>
    </row>
    <row r="2155">
      <c r="B2155" s="16"/>
      <c r="L2155" s="23"/>
      <c r="M2155" s="23"/>
    </row>
    <row r="2156">
      <c r="B2156" s="16"/>
      <c r="L2156" s="23"/>
      <c r="M2156" s="23"/>
    </row>
    <row r="2157">
      <c r="B2157" s="16"/>
      <c r="L2157" s="23"/>
    </row>
    <row r="2158">
      <c r="B2158" s="16"/>
      <c r="L2158" s="23"/>
    </row>
    <row r="2159">
      <c r="B2159" s="16"/>
      <c r="L2159" s="23"/>
    </row>
    <row r="2160">
      <c r="B2160" s="16"/>
      <c r="L2160" s="23"/>
    </row>
    <row r="2161">
      <c r="B2161" s="16"/>
      <c r="L2161" s="23"/>
    </row>
    <row r="2162">
      <c r="B2162" s="16"/>
      <c r="L2162" s="23"/>
    </row>
    <row r="2163">
      <c r="B2163" s="16"/>
      <c r="L2163" s="23"/>
    </row>
    <row r="2164">
      <c r="B2164" s="16"/>
      <c r="L2164" s="23"/>
    </row>
    <row r="2165">
      <c r="B2165" s="16"/>
      <c r="L2165" s="23"/>
    </row>
    <row r="2166">
      <c r="B2166" s="16"/>
      <c r="L2166" s="23"/>
    </row>
    <row r="2167">
      <c r="B2167" s="16"/>
      <c r="L2167" s="23"/>
      <c r="M2167" s="23"/>
    </row>
    <row r="2168">
      <c r="B2168" s="16"/>
      <c r="L2168" s="23"/>
    </row>
    <row r="2169">
      <c r="B2169" s="16"/>
      <c r="L2169" s="23"/>
    </row>
    <row r="2170">
      <c r="B2170" s="16"/>
      <c r="L2170" s="23"/>
      <c r="M2170" s="23"/>
    </row>
    <row r="2171">
      <c r="B2171" s="16"/>
      <c r="L2171" s="23"/>
    </row>
    <row r="2172">
      <c r="B2172" s="16"/>
      <c r="L2172" s="23"/>
    </row>
    <row r="2173">
      <c r="B2173" s="16"/>
      <c r="L2173" s="23"/>
    </row>
    <row r="2174">
      <c r="B2174" s="16"/>
      <c r="L2174" s="23"/>
    </row>
    <row r="2175">
      <c r="B2175" s="16"/>
      <c r="L2175" s="23"/>
    </row>
    <row r="2176">
      <c r="B2176" s="16"/>
      <c r="L2176" s="23"/>
      <c r="M2176" s="23"/>
    </row>
    <row r="2177">
      <c r="B2177" s="16"/>
      <c r="L2177" s="23"/>
      <c r="M2177" s="23"/>
    </row>
    <row r="2178">
      <c r="B2178" s="16"/>
      <c r="L2178" s="23"/>
    </row>
    <row r="2179">
      <c r="B2179" s="16"/>
      <c r="L2179" s="23"/>
    </row>
    <row r="2180">
      <c r="B2180" s="16"/>
      <c r="L2180" s="23"/>
      <c r="M2180" s="23"/>
    </row>
    <row r="2181">
      <c r="B2181" s="16"/>
      <c r="L2181" s="23"/>
    </row>
    <row r="2182">
      <c r="B2182" s="16"/>
      <c r="L2182" s="23"/>
      <c r="M2182" s="23"/>
    </row>
    <row r="2183">
      <c r="B2183" s="16"/>
      <c r="L2183" s="23"/>
    </row>
    <row r="2184">
      <c r="B2184" s="16"/>
      <c r="L2184" s="23"/>
    </row>
    <row r="2185">
      <c r="B2185" s="16"/>
      <c r="L2185" s="23"/>
      <c r="M2185" s="23"/>
    </row>
    <row r="2186">
      <c r="B2186" s="16"/>
      <c r="L2186" s="23"/>
    </row>
    <row r="2187">
      <c r="B2187" s="16"/>
      <c r="L2187" s="23"/>
    </row>
    <row r="2188">
      <c r="B2188" s="16"/>
      <c r="L2188" s="23"/>
    </row>
    <row r="2189">
      <c r="B2189" s="16"/>
      <c r="L2189" s="23"/>
    </row>
    <row r="2190">
      <c r="B2190" s="16"/>
      <c r="L2190" s="23"/>
    </row>
    <row r="2191">
      <c r="B2191" s="16"/>
      <c r="L2191" s="23"/>
    </row>
    <row r="2192">
      <c r="B2192" s="16"/>
      <c r="L2192" s="23"/>
    </row>
    <row r="2193">
      <c r="B2193" s="16"/>
      <c r="L2193" s="23"/>
    </row>
    <row r="2194">
      <c r="B2194" s="16"/>
      <c r="L2194" s="23"/>
    </row>
    <row r="2195">
      <c r="B2195" s="16"/>
      <c r="L2195" s="23"/>
    </row>
    <row r="2196">
      <c r="B2196" s="16"/>
      <c r="L2196" s="23"/>
    </row>
    <row r="2197">
      <c r="B2197" s="16"/>
      <c r="L2197" s="23"/>
    </row>
    <row r="2198">
      <c r="B2198" s="16"/>
      <c r="L2198" s="23"/>
    </row>
    <row r="2199">
      <c r="B2199" s="16"/>
      <c r="L2199" s="23"/>
    </row>
    <row r="2200">
      <c r="B2200" s="16"/>
      <c r="L2200" s="23"/>
    </row>
    <row r="2201">
      <c r="B2201" s="16"/>
      <c r="L2201" s="23"/>
    </row>
    <row r="2202">
      <c r="B2202" s="16"/>
      <c r="L2202" s="23"/>
    </row>
    <row r="2203">
      <c r="B2203" s="16"/>
      <c r="L2203" s="23"/>
    </row>
    <row r="2204">
      <c r="B2204" s="16"/>
      <c r="L2204" s="23"/>
    </row>
    <row r="2205">
      <c r="B2205" s="16"/>
      <c r="L2205" s="23"/>
    </row>
    <row r="2206">
      <c r="B2206" s="16"/>
      <c r="L2206" s="23"/>
    </row>
    <row r="2207">
      <c r="B2207" s="16"/>
      <c r="L2207" s="23"/>
    </row>
    <row r="2208">
      <c r="B2208" s="16"/>
      <c r="L2208" s="23"/>
    </row>
    <row r="2209">
      <c r="B2209" s="16"/>
      <c r="L2209" s="23"/>
    </row>
    <row r="2210">
      <c r="B2210" s="16"/>
      <c r="L2210" s="23"/>
    </row>
    <row r="2211">
      <c r="B2211" s="16"/>
      <c r="L2211" s="23"/>
    </row>
    <row r="2212">
      <c r="B2212" s="16"/>
      <c r="L2212" s="23"/>
    </row>
    <row r="2213">
      <c r="B2213" s="16"/>
      <c r="L2213" s="23"/>
    </row>
    <row r="2214">
      <c r="B2214" s="16"/>
      <c r="L2214" s="23"/>
    </row>
    <row r="2215">
      <c r="B2215" s="16"/>
      <c r="L2215" s="23"/>
    </row>
    <row r="2216">
      <c r="B2216" s="16"/>
      <c r="L2216" s="23"/>
    </row>
    <row r="2217">
      <c r="B2217" s="16"/>
      <c r="L2217" s="23"/>
    </row>
    <row r="2218">
      <c r="B2218" s="16"/>
      <c r="L2218" s="23"/>
    </row>
    <row r="2219">
      <c r="B2219" s="16"/>
      <c r="L2219" s="23"/>
    </row>
    <row r="2220">
      <c r="B2220" s="16"/>
      <c r="L2220" s="23"/>
      <c r="M2220" s="23"/>
    </row>
    <row r="2221">
      <c r="B2221" s="16"/>
      <c r="L2221" s="23"/>
    </row>
    <row r="2222">
      <c r="B2222" s="16"/>
      <c r="L2222" s="23"/>
    </row>
    <row r="2223">
      <c r="B2223" s="16"/>
      <c r="L2223" s="23"/>
    </row>
    <row r="2224">
      <c r="B2224" s="16"/>
      <c r="L2224" s="23"/>
    </row>
    <row r="2225">
      <c r="B2225" s="16"/>
      <c r="L2225" s="23"/>
    </row>
    <row r="2226">
      <c r="B2226" s="16"/>
      <c r="L2226" s="23"/>
      <c r="M2226" s="23"/>
    </row>
    <row r="2227">
      <c r="B2227" s="16"/>
      <c r="L2227" s="23"/>
    </row>
    <row r="2228">
      <c r="B2228" s="16"/>
      <c r="L2228" s="23"/>
    </row>
    <row r="2229">
      <c r="B2229" s="16"/>
      <c r="L2229" s="23"/>
    </row>
    <row r="2230">
      <c r="B2230" s="16"/>
      <c r="L2230" s="23"/>
    </row>
    <row r="2231">
      <c r="B2231" s="16"/>
      <c r="L2231" s="23"/>
    </row>
    <row r="2232">
      <c r="B2232" s="16"/>
      <c r="L2232" s="23"/>
    </row>
    <row r="2233">
      <c r="B2233" s="16"/>
      <c r="L2233" s="23"/>
    </row>
    <row r="2234">
      <c r="B2234" s="16"/>
      <c r="L2234" s="23"/>
    </row>
    <row r="2235">
      <c r="B2235" s="16"/>
      <c r="L2235" s="23"/>
    </row>
    <row r="2236">
      <c r="B2236" s="16"/>
      <c r="L2236" s="23"/>
    </row>
    <row r="2237">
      <c r="B2237" s="16"/>
      <c r="L2237" s="23"/>
      <c r="M2237" s="23"/>
    </row>
    <row r="2238">
      <c r="B2238" s="16"/>
      <c r="L2238" s="23"/>
      <c r="M2238" s="23"/>
    </row>
    <row r="2239">
      <c r="B2239" s="16"/>
      <c r="L2239" s="23"/>
      <c r="M2239" s="23"/>
    </row>
    <row r="2240">
      <c r="B2240" s="16"/>
      <c r="L2240" s="23"/>
      <c r="M2240" s="23"/>
    </row>
    <row r="2241">
      <c r="B2241" s="16"/>
      <c r="L2241" s="23"/>
      <c r="M2241" s="23"/>
    </row>
    <row r="2242">
      <c r="B2242" s="16"/>
      <c r="L2242" s="23"/>
      <c r="M2242" s="23"/>
    </row>
    <row r="2243">
      <c r="B2243" s="16"/>
      <c r="L2243" s="23"/>
    </row>
    <row r="2244">
      <c r="B2244" s="16"/>
      <c r="L2244" s="23"/>
    </row>
    <row r="2245">
      <c r="B2245" s="16"/>
      <c r="L2245" s="23"/>
      <c r="M2245" s="23"/>
    </row>
    <row r="2246">
      <c r="B2246" s="16"/>
      <c r="L2246" s="23"/>
    </row>
    <row r="2247">
      <c r="B2247" s="16"/>
      <c r="L2247" s="23"/>
    </row>
    <row r="2248">
      <c r="B2248" s="16"/>
      <c r="L2248" s="23"/>
    </row>
    <row r="2249">
      <c r="B2249" s="16"/>
      <c r="L2249" s="23"/>
    </row>
    <row r="2250">
      <c r="B2250" s="16"/>
      <c r="L2250" s="23"/>
    </row>
    <row r="2251">
      <c r="B2251" s="16"/>
      <c r="L2251" s="23"/>
    </row>
    <row r="2252">
      <c r="B2252" s="16"/>
      <c r="L2252" s="23"/>
    </row>
    <row r="2253">
      <c r="B2253" s="16"/>
      <c r="L2253" s="23"/>
    </row>
    <row r="2254">
      <c r="B2254" s="16"/>
      <c r="L2254" s="23"/>
      <c r="M2254" s="23"/>
    </row>
    <row r="2255">
      <c r="B2255" s="16"/>
      <c r="L2255" s="23"/>
    </row>
    <row r="2256">
      <c r="B2256" s="16"/>
      <c r="L2256" s="23"/>
      <c r="M2256" s="23"/>
    </row>
    <row r="2257">
      <c r="B2257" s="16"/>
      <c r="L2257" s="23"/>
    </row>
    <row r="2258">
      <c r="B2258" s="16"/>
      <c r="L2258" s="23"/>
    </row>
    <row r="2259">
      <c r="B2259" s="16"/>
      <c r="L2259" s="23"/>
      <c r="M2259" s="23"/>
    </row>
    <row r="2260">
      <c r="B2260" s="16"/>
      <c r="L2260" s="23"/>
    </row>
    <row r="2261">
      <c r="B2261" s="16"/>
      <c r="L2261" s="23"/>
    </row>
    <row r="2262">
      <c r="B2262" s="16"/>
      <c r="L2262" s="23"/>
      <c r="M2262" s="23"/>
    </row>
    <row r="2263">
      <c r="B2263" s="16"/>
      <c r="L2263" s="23"/>
    </row>
    <row r="2264">
      <c r="B2264" s="16"/>
      <c r="L2264" s="23"/>
    </row>
    <row r="2265">
      <c r="B2265" s="16"/>
      <c r="L2265" s="23"/>
      <c r="M2265" s="23"/>
    </row>
    <row r="2266">
      <c r="B2266" s="16"/>
      <c r="L2266" s="23"/>
      <c r="M2266" s="23"/>
    </row>
    <row r="2267">
      <c r="B2267" s="16"/>
      <c r="L2267" s="23"/>
    </row>
    <row r="2268">
      <c r="B2268" s="16"/>
      <c r="L2268" s="23"/>
      <c r="M2268" s="23"/>
    </row>
    <row r="2269">
      <c r="B2269" s="16"/>
      <c r="L2269" s="23"/>
    </row>
    <row r="2270">
      <c r="B2270" s="16"/>
      <c r="L2270" s="23"/>
      <c r="M2270" s="23"/>
    </row>
    <row r="2271">
      <c r="B2271" s="16"/>
      <c r="L2271" s="23"/>
      <c r="M2271" s="23"/>
    </row>
    <row r="2272">
      <c r="B2272" s="16"/>
      <c r="L2272" s="23"/>
    </row>
    <row r="2273">
      <c r="B2273" s="16"/>
      <c r="L2273" s="23"/>
    </row>
    <row r="2274">
      <c r="B2274" s="16"/>
      <c r="L2274" s="23"/>
      <c r="M2274" s="23"/>
    </row>
    <row r="2275">
      <c r="B2275" s="16"/>
      <c r="L2275" s="23"/>
      <c r="M2275" s="23"/>
    </row>
    <row r="2276">
      <c r="B2276" s="16"/>
      <c r="L2276" s="23"/>
      <c r="M2276" s="23"/>
    </row>
    <row r="2277">
      <c r="B2277" s="16"/>
      <c r="L2277" s="23"/>
    </row>
    <row r="2278">
      <c r="B2278" s="16"/>
      <c r="L2278" s="23"/>
    </row>
    <row r="2279">
      <c r="B2279" s="16"/>
      <c r="L2279" s="23"/>
    </row>
    <row r="2280">
      <c r="B2280" s="16"/>
      <c r="L2280" s="23"/>
    </row>
    <row r="2281">
      <c r="B2281" s="16"/>
      <c r="L2281" s="23"/>
    </row>
    <row r="2282">
      <c r="B2282" s="16"/>
      <c r="L2282" s="23"/>
    </row>
    <row r="2283">
      <c r="B2283" s="16"/>
      <c r="L2283" s="23"/>
    </row>
    <row r="2284">
      <c r="B2284" s="16"/>
      <c r="L2284" s="23"/>
    </row>
    <row r="2285">
      <c r="B2285" s="16"/>
      <c r="L2285" s="23"/>
    </row>
    <row r="2286">
      <c r="B2286" s="16"/>
      <c r="L2286" s="23"/>
    </row>
    <row r="2287">
      <c r="B2287" s="16"/>
      <c r="L2287" s="23"/>
    </row>
    <row r="2288">
      <c r="B2288" s="16"/>
      <c r="L2288" s="23"/>
    </row>
    <row r="2289">
      <c r="B2289" s="16"/>
      <c r="L2289" s="23"/>
    </row>
    <row r="2290">
      <c r="B2290" s="16"/>
      <c r="L2290" s="23"/>
    </row>
    <row r="2291">
      <c r="B2291" s="16"/>
      <c r="L2291" s="23"/>
    </row>
    <row r="2292">
      <c r="B2292" s="16"/>
      <c r="L2292" s="23"/>
    </row>
    <row r="2293">
      <c r="B2293" s="16"/>
      <c r="L2293" s="23"/>
    </row>
    <row r="2294">
      <c r="B2294" s="16"/>
      <c r="L2294" s="23"/>
      <c r="M2294" s="23"/>
    </row>
    <row r="2295">
      <c r="B2295" s="16"/>
      <c r="L2295" s="23"/>
    </row>
    <row r="2296">
      <c r="B2296" s="16"/>
      <c r="L2296" s="23"/>
    </row>
    <row r="2297">
      <c r="B2297" s="16"/>
      <c r="L2297" s="23"/>
    </row>
    <row r="2298">
      <c r="B2298" s="16"/>
      <c r="L2298" s="23"/>
    </row>
    <row r="2299">
      <c r="B2299" s="16"/>
      <c r="L2299" s="23"/>
    </row>
    <row r="2300">
      <c r="B2300" s="16"/>
      <c r="L2300" s="23"/>
    </row>
    <row r="2301">
      <c r="B2301" s="16"/>
      <c r="L2301" s="23"/>
    </row>
    <row r="2302">
      <c r="B2302" s="16"/>
      <c r="L2302" s="23"/>
    </row>
    <row r="2303">
      <c r="B2303" s="16"/>
      <c r="L2303" s="23"/>
    </row>
    <row r="2304">
      <c r="B2304" s="16"/>
      <c r="L2304" s="23"/>
    </row>
    <row r="2305">
      <c r="B2305" s="16"/>
      <c r="L2305" s="23"/>
    </row>
    <row r="2306">
      <c r="B2306" s="16"/>
      <c r="L2306" s="23"/>
    </row>
    <row r="2307">
      <c r="B2307" s="16"/>
      <c r="L2307" s="23"/>
    </row>
    <row r="2308">
      <c r="B2308" s="16"/>
      <c r="L2308" s="23"/>
    </row>
    <row r="2309">
      <c r="B2309" s="16"/>
      <c r="L2309" s="23"/>
    </row>
    <row r="2310">
      <c r="B2310" s="16"/>
      <c r="L2310" s="23"/>
    </row>
    <row r="2311">
      <c r="B2311" s="16"/>
      <c r="L2311" s="23"/>
    </row>
    <row r="2312">
      <c r="B2312" s="16"/>
      <c r="L2312" s="23"/>
    </row>
    <row r="2313">
      <c r="B2313" s="16"/>
      <c r="L2313" s="23"/>
    </row>
    <row r="2314">
      <c r="B2314" s="16"/>
      <c r="L2314" s="23"/>
    </row>
    <row r="2315">
      <c r="B2315" s="16"/>
      <c r="L2315" s="23"/>
    </row>
    <row r="2316">
      <c r="B2316" s="16"/>
      <c r="L2316" s="23"/>
    </row>
    <row r="2317">
      <c r="B2317" s="16"/>
      <c r="L2317" s="23"/>
      <c r="M2317" s="23"/>
    </row>
    <row r="2318">
      <c r="B2318" s="16"/>
      <c r="L2318" s="23"/>
    </row>
    <row r="2319">
      <c r="B2319" s="16"/>
      <c r="L2319" s="23"/>
    </row>
    <row r="2320">
      <c r="B2320" s="16"/>
      <c r="L2320" s="23"/>
    </row>
    <row r="2321">
      <c r="B2321" s="16"/>
      <c r="L2321" s="23"/>
    </row>
    <row r="2322">
      <c r="B2322" s="16"/>
      <c r="L2322" s="23"/>
    </row>
    <row r="2323">
      <c r="B2323" s="16"/>
      <c r="L2323" s="23"/>
      <c r="M2323" s="23"/>
    </row>
    <row r="2324">
      <c r="B2324" s="16"/>
      <c r="L2324" s="23"/>
      <c r="M2324" s="23"/>
    </row>
    <row r="2325">
      <c r="B2325" s="16"/>
      <c r="L2325" s="23"/>
      <c r="M2325" s="23"/>
    </row>
    <row r="2326">
      <c r="B2326" s="16"/>
      <c r="L2326" s="23"/>
      <c r="M2326" s="23"/>
    </row>
    <row r="2327">
      <c r="B2327" s="16"/>
      <c r="L2327" s="23"/>
      <c r="M2327" s="23"/>
    </row>
    <row r="2328">
      <c r="B2328" s="16"/>
      <c r="L2328" s="23"/>
      <c r="M2328" s="23"/>
    </row>
    <row r="2329">
      <c r="B2329" s="16"/>
      <c r="L2329" s="23"/>
    </row>
    <row r="2330">
      <c r="B2330" s="16"/>
      <c r="L2330" s="23"/>
    </row>
    <row r="2331">
      <c r="B2331" s="16"/>
      <c r="L2331" s="23"/>
      <c r="M2331" s="23"/>
    </row>
    <row r="2332">
      <c r="B2332" s="16"/>
      <c r="L2332" s="23"/>
      <c r="M2332" s="23"/>
    </row>
    <row r="2333">
      <c r="B2333" s="16"/>
      <c r="L2333" s="23"/>
      <c r="M2333" s="23"/>
    </row>
    <row r="2334">
      <c r="B2334" s="16"/>
      <c r="L2334" s="23"/>
      <c r="M2334" s="23"/>
    </row>
    <row r="2335">
      <c r="B2335" s="16"/>
      <c r="L2335" s="23"/>
      <c r="M2335" s="23"/>
    </row>
    <row r="2336">
      <c r="B2336" s="16"/>
      <c r="L2336" s="23"/>
    </row>
    <row r="2337">
      <c r="B2337" s="16"/>
      <c r="L2337" s="23"/>
      <c r="M2337" s="23"/>
    </row>
    <row r="2338">
      <c r="B2338" s="16"/>
      <c r="L2338" s="23"/>
      <c r="M2338" s="23"/>
    </row>
    <row r="2339">
      <c r="B2339" s="16"/>
      <c r="L2339" s="23"/>
      <c r="M2339" s="23"/>
    </row>
    <row r="2340">
      <c r="B2340" s="16"/>
      <c r="L2340" s="23"/>
      <c r="M2340" s="23"/>
    </row>
    <row r="2341">
      <c r="B2341" s="16"/>
      <c r="L2341" s="23"/>
      <c r="M2341" s="23"/>
    </row>
    <row r="2342">
      <c r="B2342" s="16"/>
      <c r="L2342" s="23"/>
      <c r="M2342" s="23"/>
    </row>
    <row r="2343">
      <c r="B2343" s="16"/>
      <c r="L2343" s="23"/>
      <c r="M2343" s="23"/>
    </row>
    <row r="2344">
      <c r="B2344" s="16"/>
      <c r="L2344" s="23"/>
    </row>
    <row r="2345">
      <c r="B2345" s="16"/>
      <c r="L2345" s="23"/>
      <c r="M2345" s="23"/>
    </row>
    <row r="2346">
      <c r="B2346" s="16"/>
      <c r="L2346" s="23"/>
      <c r="M2346" s="23"/>
    </row>
    <row r="2347">
      <c r="B2347" s="16"/>
      <c r="L2347" s="23"/>
    </row>
    <row r="2348">
      <c r="B2348" s="16"/>
      <c r="L2348" s="23"/>
      <c r="M2348" s="23"/>
    </row>
    <row r="2349">
      <c r="B2349" s="16"/>
      <c r="L2349" s="23"/>
      <c r="M2349" s="23"/>
    </row>
    <row r="2350">
      <c r="B2350" s="16"/>
      <c r="L2350" s="23"/>
      <c r="M2350" s="23"/>
    </row>
    <row r="2351">
      <c r="B2351" s="16"/>
      <c r="L2351" s="23"/>
      <c r="M2351" s="23"/>
    </row>
    <row r="2352">
      <c r="B2352" s="16"/>
      <c r="L2352" s="23"/>
      <c r="M2352" s="23"/>
    </row>
    <row r="2353">
      <c r="B2353" s="16"/>
      <c r="L2353" s="23"/>
      <c r="M2353" s="23"/>
    </row>
    <row r="2354">
      <c r="B2354" s="16"/>
      <c r="L2354" s="23"/>
      <c r="M2354" s="23"/>
    </row>
    <row r="2355">
      <c r="B2355" s="16"/>
      <c r="L2355" s="23"/>
      <c r="M2355" s="23"/>
    </row>
    <row r="2356">
      <c r="B2356" s="16"/>
      <c r="L2356" s="23"/>
      <c r="M2356" s="23"/>
    </row>
    <row r="2357">
      <c r="B2357" s="16"/>
      <c r="L2357" s="23"/>
    </row>
    <row r="2358">
      <c r="B2358" s="16"/>
      <c r="L2358" s="23"/>
      <c r="M2358" s="23"/>
    </row>
    <row r="2359">
      <c r="B2359" s="16"/>
      <c r="L2359" s="23"/>
      <c r="M2359" s="23"/>
    </row>
    <row r="2360">
      <c r="B2360" s="16"/>
      <c r="L2360" s="23"/>
      <c r="M2360" s="23"/>
    </row>
    <row r="2361">
      <c r="B2361" s="16"/>
      <c r="L2361" s="23"/>
      <c r="M2361" s="23"/>
    </row>
    <row r="2362">
      <c r="B2362" s="16"/>
      <c r="L2362" s="23"/>
    </row>
    <row r="2363">
      <c r="B2363" s="16"/>
      <c r="L2363" s="23"/>
    </row>
    <row r="2364">
      <c r="B2364" s="16"/>
      <c r="L2364" s="23"/>
    </row>
    <row r="2365">
      <c r="B2365" s="16"/>
      <c r="L2365" s="23"/>
      <c r="M2365" s="23"/>
    </row>
    <row r="2366">
      <c r="B2366" s="16"/>
      <c r="L2366" s="23"/>
      <c r="M2366" s="23"/>
    </row>
    <row r="2367">
      <c r="B2367" s="16"/>
      <c r="L2367" s="23"/>
    </row>
    <row r="2368">
      <c r="B2368" s="16"/>
      <c r="L2368" s="23"/>
    </row>
    <row r="2369">
      <c r="B2369" s="16"/>
      <c r="L2369" s="23"/>
    </row>
    <row r="2370">
      <c r="B2370" s="16"/>
      <c r="L2370" s="23"/>
    </row>
    <row r="2371">
      <c r="B2371" s="16"/>
      <c r="L2371" s="23"/>
    </row>
    <row r="2372">
      <c r="B2372" s="16"/>
      <c r="L2372" s="23"/>
    </row>
    <row r="2373">
      <c r="B2373" s="16"/>
      <c r="L2373" s="23"/>
    </row>
    <row r="2374">
      <c r="B2374" s="16"/>
      <c r="L2374" s="23"/>
    </row>
    <row r="2375">
      <c r="B2375" s="16"/>
      <c r="L2375" s="23"/>
    </row>
    <row r="2376">
      <c r="B2376" s="16"/>
      <c r="L2376" s="23"/>
    </row>
    <row r="2377">
      <c r="B2377" s="16"/>
      <c r="L2377" s="23"/>
      <c r="M2377" s="23"/>
    </row>
    <row r="2378">
      <c r="B2378" s="16"/>
      <c r="L2378" s="23"/>
    </row>
    <row r="2379">
      <c r="B2379" s="16"/>
      <c r="L2379" s="23"/>
    </row>
    <row r="2380">
      <c r="B2380" s="16"/>
      <c r="L2380" s="23"/>
    </row>
    <row r="2381">
      <c r="B2381" s="16"/>
      <c r="L2381" s="23"/>
    </row>
    <row r="2382">
      <c r="B2382" s="16"/>
      <c r="L2382" s="23"/>
    </row>
    <row r="2383">
      <c r="B2383" s="16"/>
      <c r="L2383" s="23"/>
    </row>
    <row r="2384">
      <c r="B2384" s="16"/>
      <c r="L2384" s="23"/>
    </row>
    <row r="2385">
      <c r="B2385" s="16"/>
      <c r="L2385" s="23"/>
    </row>
    <row r="2386">
      <c r="B2386" s="16"/>
      <c r="L2386" s="23"/>
      <c r="M2386" s="23"/>
    </row>
    <row r="2387">
      <c r="B2387" s="16"/>
      <c r="L2387" s="23"/>
      <c r="M2387" s="23"/>
    </row>
    <row r="2388">
      <c r="B2388" s="16"/>
      <c r="L2388" s="23"/>
    </row>
    <row r="2389">
      <c r="B2389" s="16"/>
      <c r="L2389" s="23"/>
    </row>
    <row r="2390">
      <c r="B2390" s="16"/>
      <c r="L2390" s="23"/>
    </row>
    <row r="2391">
      <c r="B2391" s="16"/>
      <c r="L2391" s="23"/>
    </row>
    <row r="2392">
      <c r="B2392" s="16"/>
      <c r="L2392" s="23"/>
    </row>
    <row r="2393">
      <c r="B2393" s="16"/>
      <c r="L2393" s="23"/>
    </row>
    <row r="2394">
      <c r="B2394" s="16"/>
      <c r="L2394" s="23"/>
      <c r="M2394" s="23"/>
    </row>
    <row r="2395">
      <c r="B2395" s="16"/>
      <c r="L2395" s="23"/>
      <c r="M2395" s="23"/>
    </row>
    <row r="2396">
      <c r="B2396" s="16"/>
      <c r="L2396" s="23"/>
    </row>
    <row r="2397">
      <c r="B2397" s="16"/>
      <c r="L2397" s="23"/>
      <c r="M2397" s="23"/>
    </row>
    <row r="2398">
      <c r="B2398" s="16"/>
      <c r="L2398" s="23"/>
    </row>
    <row r="2399">
      <c r="B2399" s="16"/>
      <c r="L2399" s="23"/>
    </row>
    <row r="2400">
      <c r="B2400" s="16"/>
      <c r="L2400" s="23"/>
      <c r="M2400" s="23"/>
    </row>
    <row r="2401">
      <c r="B2401" s="16"/>
      <c r="L2401" s="23"/>
      <c r="M2401" s="23"/>
    </row>
    <row r="2402">
      <c r="B2402" s="16"/>
      <c r="L2402" s="23"/>
      <c r="M2402" s="23"/>
    </row>
    <row r="2403">
      <c r="B2403" s="16"/>
      <c r="L2403" s="23"/>
    </row>
    <row r="2404">
      <c r="B2404" s="16"/>
      <c r="L2404" s="23"/>
    </row>
    <row r="2405">
      <c r="B2405" s="16"/>
      <c r="L2405" s="23"/>
    </row>
    <row r="2406">
      <c r="B2406" s="16"/>
      <c r="L2406" s="23"/>
      <c r="M2406" s="23"/>
    </row>
    <row r="2407">
      <c r="B2407" s="16"/>
      <c r="L2407" s="23"/>
    </row>
    <row r="2408">
      <c r="B2408" s="16"/>
      <c r="L2408" s="23"/>
      <c r="M2408" s="23"/>
    </row>
    <row r="2409">
      <c r="B2409" s="16"/>
      <c r="L2409" s="23"/>
      <c r="M2409" s="23"/>
    </row>
    <row r="2410">
      <c r="B2410" s="16"/>
      <c r="L2410" s="23"/>
      <c r="M2410" s="23"/>
    </row>
    <row r="2411">
      <c r="B2411" s="16"/>
      <c r="L2411" s="23"/>
    </row>
    <row r="2412">
      <c r="B2412" s="16"/>
      <c r="L2412" s="23"/>
    </row>
    <row r="2413">
      <c r="B2413" s="16"/>
      <c r="L2413" s="23"/>
    </row>
    <row r="2414">
      <c r="B2414" s="16"/>
      <c r="L2414" s="23"/>
      <c r="M2414" s="23"/>
    </row>
    <row r="2415">
      <c r="B2415" s="16"/>
      <c r="L2415" s="23"/>
      <c r="M2415" s="23"/>
    </row>
    <row r="2416">
      <c r="B2416" s="16"/>
      <c r="L2416" s="23"/>
    </row>
    <row r="2417">
      <c r="B2417" s="16"/>
      <c r="L2417" s="23"/>
    </row>
    <row r="2418">
      <c r="B2418" s="16"/>
      <c r="L2418" s="23"/>
      <c r="M2418" s="23"/>
    </row>
    <row r="2419">
      <c r="B2419" s="16"/>
      <c r="L2419" s="23"/>
    </row>
    <row r="2420">
      <c r="B2420" s="16"/>
      <c r="L2420" s="23"/>
      <c r="M2420" s="23"/>
    </row>
    <row r="2421">
      <c r="B2421" s="16"/>
      <c r="L2421" s="23"/>
    </row>
    <row r="2422">
      <c r="B2422" s="16"/>
      <c r="L2422" s="23"/>
    </row>
    <row r="2423">
      <c r="B2423" s="16"/>
      <c r="L2423" s="23"/>
    </row>
    <row r="2424">
      <c r="B2424" s="16"/>
      <c r="L2424" s="23"/>
    </row>
    <row r="2425">
      <c r="B2425" s="16"/>
      <c r="L2425" s="23"/>
      <c r="M2425" s="23"/>
    </row>
    <row r="2426">
      <c r="B2426" s="16"/>
      <c r="L2426" s="23"/>
    </row>
    <row r="2427">
      <c r="B2427" s="16"/>
      <c r="L2427" s="23"/>
      <c r="M2427" s="23"/>
    </row>
    <row r="2428">
      <c r="B2428" s="16"/>
      <c r="L2428" s="23"/>
    </row>
    <row r="2429">
      <c r="B2429" s="16"/>
      <c r="L2429" s="23"/>
    </row>
    <row r="2430">
      <c r="B2430" s="16"/>
      <c r="L2430" s="23"/>
    </row>
    <row r="2431">
      <c r="B2431" s="16"/>
      <c r="L2431" s="23"/>
    </row>
    <row r="2432">
      <c r="B2432" s="16"/>
      <c r="L2432" s="23"/>
    </row>
    <row r="2433">
      <c r="B2433" s="16"/>
      <c r="L2433" s="23"/>
    </row>
    <row r="2434">
      <c r="B2434" s="16"/>
      <c r="L2434" s="23"/>
    </row>
    <row r="2435">
      <c r="B2435" s="16"/>
      <c r="L2435" s="23"/>
    </row>
    <row r="2436">
      <c r="B2436" s="16"/>
      <c r="L2436" s="23"/>
      <c r="M2436" s="23"/>
    </row>
    <row r="2437">
      <c r="B2437" s="16"/>
      <c r="L2437" s="23"/>
    </row>
    <row r="2438">
      <c r="B2438" s="16"/>
      <c r="L2438" s="23"/>
    </row>
    <row r="2439">
      <c r="B2439" s="16"/>
      <c r="L2439" s="23"/>
    </row>
    <row r="2440">
      <c r="B2440" s="16"/>
      <c r="L2440" s="23"/>
    </row>
    <row r="2441">
      <c r="B2441" s="16"/>
      <c r="L2441" s="23"/>
    </row>
    <row r="2442">
      <c r="B2442" s="16"/>
      <c r="L2442" s="23"/>
    </row>
    <row r="2443">
      <c r="B2443" s="16"/>
      <c r="L2443" s="23"/>
    </row>
    <row r="2444">
      <c r="B2444" s="16"/>
      <c r="L2444" s="23"/>
      <c r="M2444" s="23"/>
    </row>
    <row r="2445">
      <c r="B2445" s="16"/>
      <c r="L2445" s="23"/>
    </row>
    <row r="2446">
      <c r="B2446" s="16"/>
      <c r="L2446" s="23"/>
    </row>
    <row r="2447">
      <c r="B2447" s="16"/>
      <c r="L2447" s="23"/>
    </row>
    <row r="2448">
      <c r="B2448" s="16"/>
      <c r="L2448" s="23"/>
    </row>
    <row r="2449">
      <c r="B2449" s="16"/>
      <c r="L2449" s="23"/>
    </row>
    <row r="2450">
      <c r="B2450" s="16"/>
      <c r="L2450" s="23"/>
    </row>
    <row r="2451">
      <c r="B2451" s="16"/>
      <c r="L2451" s="23"/>
    </row>
    <row r="2452">
      <c r="B2452" s="16"/>
      <c r="L2452" s="23"/>
    </row>
    <row r="2453">
      <c r="B2453" s="16"/>
      <c r="L2453" s="23"/>
    </row>
    <row r="2454">
      <c r="B2454" s="16"/>
      <c r="L2454" s="23"/>
      <c r="M2454" s="23"/>
    </row>
    <row r="2455">
      <c r="B2455" s="16"/>
      <c r="L2455" s="23"/>
    </row>
    <row r="2456">
      <c r="B2456" s="16"/>
      <c r="L2456" s="23"/>
    </row>
    <row r="2457">
      <c r="B2457" s="16"/>
      <c r="L2457" s="23"/>
      <c r="M2457" s="23"/>
    </row>
    <row r="2458">
      <c r="B2458" s="16"/>
      <c r="L2458" s="23"/>
    </row>
    <row r="2459">
      <c r="B2459" s="16"/>
      <c r="L2459" s="23"/>
    </row>
    <row r="2460">
      <c r="B2460" s="16"/>
      <c r="L2460" s="23"/>
    </row>
    <row r="2461">
      <c r="B2461" s="16"/>
      <c r="L2461" s="23"/>
      <c r="M2461" s="23"/>
    </row>
    <row r="2462">
      <c r="B2462" s="16"/>
      <c r="L2462" s="23"/>
    </row>
    <row r="2463">
      <c r="B2463" s="16"/>
      <c r="L2463" s="23"/>
    </row>
    <row r="2464">
      <c r="B2464" s="16"/>
      <c r="L2464" s="23"/>
    </row>
    <row r="2465">
      <c r="B2465" s="16"/>
      <c r="L2465" s="23"/>
      <c r="M2465" s="23"/>
    </row>
    <row r="2466">
      <c r="B2466" s="16"/>
      <c r="L2466" s="23"/>
    </row>
    <row r="2467">
      <c r="B2467" s="16"/>
      <c r="L2467" s="23"/>
    </row>
    <row r="2468">
      <c r="B2468" s="16"/>
      <c r="L2468" s="23"/>
    </row>
    <row r="2469">
      <c r="B2469" s="16"/>
      <c r="L2469" s="23"/>
    </row>
    <row r="2470">
      <c r="B2470" s="16"/>
      <c r="L2470" s="23"/>
      <c r="M2470" s="23"/>
    </row>
    <row r="2471">
      <c r="B2471" s="16"/>
      <c r="L2471" s="23"/>
      <c r="M2471" s="23"/>
    </row>
    <row r="2472">
      <c r="B2472" s="16"/>
      <c r="L2472" s="23"/>
      <c r="M2472" s="23"/>
    </row>
    <row r="2473">
      <c r="B2473" s="16"/>
      <c r="L2473" s="23"/>
      <c r="M2473" s="23"/>
    </row>
    <row r="2474">
      <c r="B2474" s="16"/>
      <c r="L2474" s="23"/>
      <c r="M2474" s="23"/>
    </row>
    <row r="2475">
      <c r="B2475" s="16"/>
      <c r="L2475" s="23"/>
      <c r="M2475" s="23"/>
    </row>
    <row r="2476">
      <c r="B2476" s="16"/>
      <c r="L2476" s="23"/>
      <c r="M2476" s="23"/>
    </row>
    <row r="2477">
      <c r="B2477" s="16"/>
      <c r="L2477" s="23"/>
      <c r="M2477" s="23"/>
    </row>
    <row r="2478">
      <c r="B2478" s="16"/>
      <c r="L2478" s="23"/>
      <c r="M2478" s="23"/>
    </row>
    <row r="2479">
      <c r="B2479" s="16"/>
      <c r="L2479" s="23"/>
    </row>
    <row r="2480">
      <c r="B2480" s="16"/>
      <c r="L2480" s="23"/>
    </row>
    <row r="2481">
      <c r="B2481" s="16"/>
      <c r="L2481" s="23"/>
    </row>
    <row r="2482">
      <c r="B2482" s="16"/>
      <c r="L2482" s="23"/>
    </row>
    <row r="2483">
      <c r="B2483" s="16"/>
      <c r="L2483" s="23"/>
    </row>
    <row r="2484">
      <c r="B2484" s="16"/>
      <c r="L2484" s="23"/>
    </row>
    <row r="2485">
      <c r="B2485" s="16"/>
      <c r="L2485" s="23"/>
    </row>
    <row r="2486">
      <c r="B2486" s="16"/>
      <c r="L2486" s="23"/>
    </row>
    <row r="2487">
      <c r="B2487" s="16"/>
      <c r="L2487" s="23"/>
    </row>
    <row r="2488">
      <c r="B2488" s="16"/>
      <c r="L2488" s="23"/>
    </row>
    <row r="2489">
      <c r="B2489" s="16"/>
      <c r="L2489" s="23"/>
    </row>
    <row r="2490">
      <c r="B2490" s="16"/>
      <c r="L2490" s="23"/>
      <c r="M2490" s="23"/>
    </row>
    <row r="2491">
      <c r="B2491" s="16"/>
      <c r="L2491" s="23"/>
    </row>
    <row r="2492">
      <c r="B2492" s="16"/>
      <c r="L2492" s="23"/>
    </row>
    <row r="2493">
      <c r="B2493" s="16"/>
      <c r="L2493" s="23"/>
    </row>
    <row r="2494">
      <c r="B2494" s="16"/>
      <c r="L2494" s="23"/>
    </row>
    <row r="2495">
      <c r="B2495" s="16"/>
      <c r="L2495" s="23"/>
    </row>
    <row r="2496">
      <c r="B2496" s="16"/>
      <c r="L2496" s="23"/>
    </row>
    <row r="2497">
      <c r="B2497" s="16"/>
      <c r="L2497" s="23"/>
    </row>
    <row r="2498">
      <c r="B2498" s="16"/>
      <c r="L2498" s="23"/>
    </row>
    <row r="2499">
      <c r="B2499" s="16"/>
      <c r="L2499" s="23"/>
    </row>
    <row r="2500">
      <c r="B2500" s="16"/>
      <c r="L2500" s="23"/>
    </row>
    <row r="2501">
      <c r="B2501" s="16"/>
      <c r="L2501" s="23"/>
    </row>
    <row r="2502">
      <c r="B2502" s="16"/>
      <c r="L2502" s="23"/>
    </row>
    <row r="2503">
      <c r="B2503" s="16"/>
      <c r="L2503" s="23"/>
    </row>
    <row r="2504">
      <c r="B2504" s="16"/>
      <c r="L2504" s="23"/>
      <c r="M2504" s="23"/>
    </row>
    <row r="2505">
      <c r="B2505" s="16"/>
      <c r="L2505" s="23"/>
    </row>
    <row r="2506">
      <c r="B2506" s="16"/>
      <c r="L2506" s="23"/>
    </row>
    <row r="2507">
      <c r="B2507" s="16"/>
      <c r="L2507" s="23"/>
    </row>
    <row r="2508">
      <c r="B2508" s="16"/>
      <c r="L2508" s="23"/>
    </row>
    <row r="2509">
      <c r="B2509" s="16"/>
      <c r="L2509" s="23"/>
    </row>
    <row r="2510">
      <c r="B2510" s="16"/>
      <c r="L2510" s="23"/>
    </row>
    <row r="2511">
      <c r="B2511" s="16"/>
      <c r="L2511" s="23"/>
    </row>
    <row r="2512">
      <c r="B2512" s="16"/>
      <c r="L2512" s="23"/>
    </row>
    <row r="2513">
      <c r="B2513" s="16"/>
      <c r="L2513" s="23"/>
    </row>
    <row r="2514">
      <c r="B2514" s="16"/>
      <c r="L2514" s="23"/>
    </row>
    <row r="2515">
      <c r="B2515" s="16"/>
      <c r="L2515" s="23"/>
    </row>
    <row r="2516">
      <c r="B2516" s="16"/>
      <c r="L2516" s="23"/>
      <c r="M2516" s="23"/>
    </row>
    <row r="2517">
      <c r="B2517" s="16"/>
      <c r="L2517" s="23"/>
    </row>
    <row r="2518">
      <c r="B2518" s="16"/>
      <c r="L2518" s="23"/>
    </row>
    <row r="2519">
      <c r="B2519" s="16"/>
      <c r="L2519" s="23"/>
    </row>
    <row r="2520">
      <c r="B2520" s="16"/>
      <c r="L2520" s="23"/>
    </row>
    <row r="2521">
      <c r="B2521" s="16"/>
      <c r="L2521" s="23"/>
    </row>
    <row r="2522">
      <c r="B2522" s="16"/>
      <c r="L2522" s="23"/>
    </row>
    <row r="2523">
      <c r="B2523" s="16"/>
      <c r="L2523" s="23"/>
    </row>
    <row r="2524">
      <c r="B2524" s="16"/>
      <c r="L2524" s="23"/>
      <c r="M2524" s="23"/>
    </row>
    <row r="2525">
      <c r="B2525" s="16"/>
      <c r="L2525" s="23"/>
    </row>
    <row r="2526">
      <c r="B2526" s="16"/>
      <c r="L2526" s="23"/>
      <c r="M2526" s="23"/>
    </row>
    <row r="2527">
      <c r="B2527" s="16"/>
      <c r="L2527" s="23"/>
      <c r="M2527" s="23"/>
    </row>
    <row r="2528">
      <c r="B2528" s="16"/>
      <c r="L2528" s="23"/>
      <c r="M2528" s="23"/>
    </row>
    <row r="2529">
      <c r="B2529" s="16"/>
      <c r="L2529" s="23"/>
      <c r="M2529" s="23"/>
    </row>
    <row r="2530">
      <c r="B2530" s="16"/>
      <c r="L2530" s="23"/>
      <c r="M2530" s="23"/>
    </row>
    <row r="2531">
      <c r="B2531" s="16"/>
      <c r="L2531" s="23"/>
      <c r="M2531" s="23"/>
    </row>
    <row r="2532">
      <c r="B2532" s="16"/>
      <c r="L2532" s="23"/>
      <c r="M2532" s="23"/>
    </row>
    <row r="2533">
      <c r="B2533" s="16"/>
      <c r="L2533" s="23"/>
      <c r="M2533" s="23"/>
    </row>
    <row r="2534">
      <c r="B2534" s="16"/>
      <c r="L2534" s="23"/>
      <c r="M2534" s="23"/>
    </row>
    <row r="2535">
      <c r="B2535" s="16"/>
      <c r="L2535" s="23"/>
      <c r="M2535" s="23"/>
    </row>
    <row r="2536">
      <c r="B2536" s="16"/>
      <c r="L2536" s="23"/>
      <c r="M2536" s="23"/>
    </row>
    <row r="2537">
      <c r="B2537" s="16"/>
      <c r="L2537" s="23"/>
      <c r="M2537" s="23"/>
    </row>
    <row r="2538">
      <c r="B2538" s="16"/>
      <c r="L2538" s="23"/>
      <c r="M2538" s="23"/>
    </row>
    <row r="2539">
      <c r="B2539" s="16"/>
      <c r="L2539" s="23"/>
    </row>
    <row r="2540">
      <c r="B2540" s="16"/>
      <c r="L2540" s="23"/>
      <c r="M2540" s="23"/>
    </row>
    <row r="2541">
      <c r="B2541" s="16"/>
      <c r="L2541" s="23"/>
    </row>
    <row r="2542">
      <c r="B2542" s="16"/>
      <c r="L2542" s="23"/>
      <c r="M2542" s="23"/>
    </row>
    <row r="2543">
      <c r="B2543" s="16"/>
      <c r="L2543" s="23"/>
    </row>
    <row r="2544">
      <c r="B2544" s="16"/>
      <c r="L2544" s="23"/>
      <c r="M2544" s="23"/>
    </row>
    <row r="2545">
      <c r="B2545" s="16"/>
      <c r="L2545" s="23"/>
      <c r="M2545" s="23"/>
    </row>
    <row r="2546">
      <c r="B2546" s="16"/>
      <c r="L2546" s="23"/>
    </row>
    <row r="2547">
      <c r="B2547" s="16"/>
      <c r="L2547" s="23"/>
    </row>
    <row r="2548">
      <c r="B2548" s="16"/>
      <c r="L2548" s="23"/>
    </row>
    <row r="2549">
      <c r="B2549" s="16"/>
      <c r="L2549" s="23"/>
    </row>
    <row r="2550">
      <c r="B2550" s="16"/>
      <c r="L2550" s="23"/>
    </row>
    <row r="2551">
      <c r="B2551" s="16"/>
      <c r="L2551" s="23"/>
      <c r="M2551" s="23"/>
    </row>
    <row r="2552">
      <c r="B2552" s="16"/>
      <c r="L2552" s="23"/>
    </row>
    <row r="2553">
      <c r="B2553" s="16"/>
      <c r="L2553" s="23"/>
      <c r="M2553" s="23"/>
    </row>
    <row r="2554">
      <c r="B2554" s="16"/>
      <c r="L2554" s="23"/>
    </row>
    <row r="2555">
      <c r="B2555" s="16"/>
      <c r="L2555" s="23"/>
    </row>
    <row r="2556">
      <c r="B2556" s="16"/>
      <c r="L2556" s="23"/>
      <c r="M2556" s="23"/>
    </row>
    <row r="2557">
      <c r="B2557" s="16"/>
      <c r="L2557" s="23"/>
    </row>
    <row r="2558">
      <c r="B2558" s="16"/>
      <c r="L2558" s="23"/>
    </row>
    <row r="2559">
      <c r="B2559" s="16"/>
      <c r="L2559" s="23"/>
    </row>
    <row r="2560">
      <c r="B2560" s="16"/>
      <c r="L2560" s="23"/>
    </row>
    <row r="2561">
      <c r="B2561" s="16"/>
      <c r="L2561" s="23"/>
    </row>
    <row r="2562">
      <c r="B2562" s="16"/>
      <c r="L2562" s="23"/>
    </row>
    <row r="2563">
      <c r="B2563" s="16"/>
      <c r="L2563" s="23"/>
    </row>
    <row r="2564">
      <c r="B2564" s="16"/>
      <c r="L2564" s="23"/>
    </row>
    <row r="2565">
      <c r="B2565" s="16"/>
      <c r="L2565" s="23"/>
    </row>
    <row r="2566">
      <c r="B2566" s="16"/>
      <c r="L2566" s="23"/>
    </row>
    <row r="2567">
      <c r="B2567" s="16"/>
      <c r="L2567" s="23"/>
      <c r="M2567" s="23"/>
    </row>
    <row r="2568">
      <c r="B2568" s="16"/>
      <c r="L2568" s="23"/>
      <c r="M2568" s="23"/>
    </row>
    <row r="2569">
      <c r="B2569" s="16"/>
      <c r="L2569" s="23"/>
    </row>
    <row r="2570">
      <c r="B2570" s="16"/>
      <c r="L2570" s="23"/>
    </row>
    <row r="2571">
      <c r="B2571" s="16"/>
      <c r="L2571" s="23"/>
      <c r="M2571" s="23"/>
    </row>
    <row r="2572">
      <c r="B2572" s="16"/>
      <c r="L2572" s="23"/>
      <c r="M2572" s="23"/>
    </row>
    <row r="2573">
      <c r="B2573" s="16"/>
      <c r="L2573" s="23"/>
      <c r="M2573" s="23"/>
    </row>
    <row r="2574">
      <c r="B2574" s="16"/>
      <c r="L2574" s="23"/>
      <c r="M2574" s="23"/>
    </row>
    <row r="2575">
      <c r="B2575" s="16"/>
      <c r="L2575" s="23"/>
      <c r="M2575" s="23"/>
    </row>
    <row r="2576">
      <c r="B2576" s="16"/>
      <c r="L2576" s="23"/>
    </row>
    <row r="2577">
      <c r="B2577" s="16"/>
      <c r="L2577" s="23"/>
      <c r="M2577" s="23"/>
    </row>
    <row r="2578">
      <c r="B2578" s="16"/>
      <c r="L2578" s="23"/>
    </row>
    <row r="2579">
      <c r="B2579" s="16"/>
      <c r="L2579" s="23"/>
    </row>
    <row r="2580">
      <c r="B2580" s="16"/>
      <c r="L2580" s="23"/>
      <c r="M2580" s="23"/>
    </row>
    <row r="2581">
      <c r="B2581" s="16"/>
      <c r="L2581" s="23"/>
      <c r="M2581" s="23"/>
    </row>
    <row r="2582">
      <c r="B2582" s="16"/>
      <c r="L2582" s="23"/>
      <c r="M2582" s="23"/>
    </row>
    <row r="2583">
      <c r="B2583" s="16"/>
      <c r="L2583" s="23"/>
      <c r="M2583" s="23"/>
    </row>
    <row r="2584">
      <c r="B2584" s="16"/>
      <c r="L2584" s="23"/>
      <c r="M2584" s="23"/>
    </row>
    <row r="2585">
      <c r="B2585" s="16"/>
      <c r="L2585" s="23"/>
    </row>
    <row r="2586">
      <c r="B2586" s="16"/>
      <c r="L2586" s="23"/>
    </row>
    <row r="2587">
      <c r="B2587" s="16"/>
      <c r="L2587" s="23"/>
    </row>
    <row r="2588">
      <c r="B2588" s="16"/>
      <c r="L2588" s="23"/>
    </row>
    <row r="2589">
      <c r="B2589" s="16"/>
      <c r="L2589" s="23"/>
    </row>
    <row r="2590">
      <c r="B2590" s="16"/>
      <c r="L2590" s="23"/>
    </row>
    <row r="2591">
      <c r="B2591" s="16"/>
      <c r="L2591" s="23"/>
      <c r="M2591" s="23"/>
    </row>
    <row r="2592">
      <c r="B2592" s="16"/>
      <c r="L2592" s="23"/>
    </row>
    <row r="2593">
      <c r="B2593" s="16"/>
      <c r="L2593" s="23"/>
    </row>
    <row r="2594">
      <c r="B2594" s="16"/>
      <c r="L2594" s="23"/>
    </row>
    <row r="2595">
      <c r="B2595" s="16"/>
      <c r="L2595" s="23"/>
    </row>
    <row r="2596">
      <c r="B2596" s="16"/>
      <c r="L2596" s="23"/>
    </row>
    <row r="2597">
      <c r="B2597" s="16"/>
      <c r="L2597" s="23"/>
    </row>
    <row r="2598">
      <c r="B2598" s="16"/>
      <c r="L2598" s="23"/>
    </row>
    <row r="2599">
      <c r="B2599" s="16"/>
      <c r="L2599" s="23"/>
      <c r="M2599" s="23"/>
    </row>
    <row r="2600">
      <c r="B2600" s="16"/>
      <c r="L2600" s="23"/>
    </row>
    <row r="2601">
      <c r="B2601" s="16"/>
      <c r="L2601" s="23"/>
    </row>
    <row r="2602">
      <c r="B2602" s="16"/>
      <c r="L2602" s="23"/>
    </row>
    <row r="2603">
      <c r="B2603" s="16"/>
      <c r="L2603" s="23"/>
    </row>
    <row r="2604">
      <c r="B2604" s="16"/>
      <c r="L2604" s="23"/>
    </row>
    <row r="2605">
      <c r="B2605" s="16"/>
      <c r="L2605" s="23"/>
    </row>
    <row r="2606">
      <c r="B2606" s="16"/>
      <c r="L2606" s="23"/>
    </row>
    <row r="2607">
      <c r="B2607" s="16"/>
      <c r="L2607" s="23"/>
    </row>
    <row r="2608">
      <c r="B2608" s="16"/>
      <c r="L2608" s="23"/>
      <c r="M2608" s="23"/>
    </row>
    <row r="2609">
      <c r="B2609" s="16"/>
      <c r="L2609" s="23"/>
    </row>
    <row r="2610">
      <c r="B2610" s="16"/>
      <c r="L2610" s="23"/>
      <c r="M2610" s="23"/>
    </row>
    <row r="2611">
      <c r="B2611" s="16"/>
      <c r="L2611" s="23"/>
    </row>
    <row r="2612">
      <c r="B2612" s="16"/>
      <c r="L2612" s="23"/>
    </row>
    <row r="2613">
      <c r="B2613" s="16"/>
      <c r="L2613" s="23"/>
    </row>
    <row r="2614">
      <c r="B2614" s="16"/>
      <c r="L2614" s="23"/>
    </row>
    <row r="2615">
      <c r="B2615" s="16"/>
      <c r="L2615" s="23"/>
    </row>
    <row r="2616">
      <c r="B2616" s="16"/>
      <c r="L2616" s="23"/>
    </row>
    <row r="2617">
      <c r="B2617" s="16"/>
      <c r="L2617" s="23"/>
    </row>
    <row r="2618">
      <c r="B2618" s="16"/>
      <c r="L2618" s="23"/>
    </row>
    <row r="2619">
      <c r="B2619" s="16"/>
      <c r="L2619" s="23"/>
      <c r="M2619" s="23"/>
    </row>
    <row r="2620">
      <c r="B2620" s="16"/>
      <c r="L2620" s="23"/>
    </row>
    <row r="2621">
      <c r="B2621" s="16"/>
      <c r="L2621" s="23"/>
    </row>
    <row r="2622">
      <c r="B2622" s="16"/>
      <c r="L2622" s="23"/>
      <c r="M2622" s="23"/>
    </row>
    <row r="2623">
      <c r="B2623" s="16"/>
      <c r="L2623" s="23"/>
    </row>
    <row r="2624">
      <c r="B2624" s="16"/>
      <c r="L2624" s="23"/>
    </row>
    <row r="2625">
      <c r="B2625" s="16"/>
      <c r="L2625" s="23"/>
    </row>
    <row r="2626">
      <c r="B2626" s="16"/>
      <c r="L2626" s="23"/>
      <c r="M2626" s="23"/>
    </row>
    <row r="2627">
      <c r="B2627" s="16"/>
      <c r="L2627" s="23"/>
    </row>
    <row r="2628">
      <c r="B2628" s="16"/>
      <c r="L2628" s="23"/>
    </row>
    <row r="2629">
      <c r="B2629" s="16"/>
      <c r="L2629" s="23"/>
    </row>
    <row r="2630">
      <c r="B2630" s="16"/>
      <c r="L2630" s="23"/>
    </row>
    <row r="2631">
      <c r="B2631" s="16"/>
      <c r="L2631" s="23"/>
    </row>
    <row r="2632">
      <c r="B2632" s="16"/>
      <c r="L2632" s="23"/>
      <c r="M2632" s="23"/>
    </row>
    <row r="2633">
      <c r="B2633" s="16"/>
      <c r="L2633" s="23"/>
    </row>
    <row r="2634">
      <c r="B2634" s="16"/>
      <c r="L2634" s="23"/>
      <c r="M2634" s="23"/>
    </row>
    <row r="2635">
      <c r="B2635" s="16"/>
      <c r="L2635" s="23"/>
      <c r="M2635" s="23"/>
    </row>
    <row r="2636">
      <c r="B2636" s="16"/>
      <c r="L2636" s="23"/>
    </row>
    <row r="2637">
      <c r="B2637" s="16"/>
      <c r="L2637" s="23"/>
      <c r="M2637" s="23"/>
    </row>
    <row r="2638">
      <c r="B2638" s="16"/>
      <c r="L2638" s="23"/>
    </row>
    <row r="2639">
      <c r="B2639" s="16"/>
      <c r="L2639" s="23"/>
    </row>
    <row r="2640">
      <c r="B2640" s="16"/>
      <c r="L2640" s="23"/>
    </row>
    <row r="2641">
      <c r="B2641" s="16"/>
      <c r="L2641" s="23"/>
      <c r="M2641" s="23"/>
    </row>
    <row r="2642">
      <c r="B2642" s="16"/>
      <c r="L2642" s="23"/>
      <c r="M2642" s="23"/>
    </row>
    <row r="2643">
      <c r="B2643" s="16"/>
      <c r="L2643" s="23"/>
      <c r="M2643" s="23"/>
    </row>
    <row r="2644">
      <c r="B2644" s="16"/>
      <c r="L2644" s="23"/>
      <c r="M2644" s="23"/>
    </row>
    <row r="2645">
      <c r="B2645" s="16"/>
      <c r="L2645" s="23"/>
      <c r="M2645" s="23"/>
    </row>
    <row r="2646">
      <c r="B2646" s="16"/>
      <c r="L2646" s="23"/>
      <c r="M2646" s="23"/>
    </row>
    <row r="2647">
      <c r="B2647" s="16"/>
      <c r="L2647" s="23"/>
      <c r="M2647" s="23"/>
    </row>
    <row r="2648">
      <c r="B2648" s="16"/>
      <c r="L2648" s="23"/>
      <c r="M2648" s="23"/>
    </row>
    <row r="2649">
      <c r="B2649" s="16"/>
      <c r="L2649" s="23"/>
      <c r="M2649" s="23"/>
    </row>
    <row r="2650">
      <c r="B2650" s="16"/>
      <c r="L2650" s="23"/>
      <c r="M2650" s="23"/>
    </row>
    <row r="2651">
      <c r="B2651" s="16"/>
      <c r="L2651" s="23"/>
      <c r="M2651" s="23"/>
    </row>
    <row r="2652">
      <c r="B2652" s="16"/>
      <c r="L2652" s="23"/>
      <c r="M2652" s="23"/>
    </row>
    <row r="2653">
      <c r="B2653" s="16"/>
      <c r="L2653" s="23"/>
    </row>
    <row r="2654">
      <c r="B2654" s="16"/>
      <c r="L2654" s="23"/>
    </row>
    <row r="2655">
      <c r="B2655" s="16"/>
      <c r="L2655" s="23"/>
      <c r="M2655" s="23"/>
    </row>
    <row r="2656">
      <c r="B2656" s="16"/>
      <c r="L2656" s="23"/>
    </row>
    <row r="2657">
      <c r="B2657" s="16"/>
      <c r="L2657" s="23"/>
    </row>
    <row r="2658">
      <c r="B2658" s="16"/>
      <c r="L2658" s="23"/>
      <c r="M2658" s="23"/>
    </row>
    <row r="2659">
      <c r="B2659" s="16"/>
      <c r="L2659" s="23"/>
      <c r="M2659" s="23"/>
    </row>
    <row r="2660">
      <c r="B2660" s="16"/>
      <c r="L2660" s="23"/>
      <c r="M2660" s="23"/>
    </row>
    <row r="2661">
      <c r="B2661" s="16"/>
      <c r="L2661" s="23"/>
      <c r="M2661" s="23"/>
    </row>
    <row r="2662">
      <c r="B2662" s="16"/>
      <c r="L2662" s="23"/>
    </row>
    <row r="2663">
      <c r="B2663" s="16"/>
      <c r="L2663" s="23"/>
      <c r="M2663" s="23"/>
    </row>
    <row r="2664">
      <c r="B2664" s="16"/>
      <c r="L2664" s="23"/>
      <c r="M2664" s="23"/>
    </row>
    <row r="2665">
      <c r="B2665" s="16"/>
      <c r="L2665" s="23"/>
      <c r="M2665" s="23"/>
    </row>
    <row r="2666">
      <c r="B2666" s="16"/>
      <c r="L2666" s="23"/>
    </row>
    <row r="2667">
      <c r="B2667" s="16"/>
      <c r="L2667" s="23"/>
    </row>
    <row r="2668">
      <c r="B2668" s="16"/>
      <c r="L2668" s="23"/>
    </row>
    <row r="2669">
      <c r="B2669" s="16"/>
      <c r="L2669" s="23"/>
      <c r="M2669" s="23"/>
    </row>
    <row r="2670">
      <c r="B2670" s="16"/>
      <c r="L2670" s="23"/>
      <c r="M2670" s="23"/>
    </row>
    <row r="2671">
      <c r="B2671" s="16"/>
      <c r="L2671" s="23"/>
    </row>
    <row r="2672">
      <c r="B2672" s="16"/>
      <c r="L2672" s="23"/>
    </row>
    <row r="2673">
      <c r="B2673" s="16"/>
      <c r="L2673" s="23"/>
    </row>
    <row r="2674">
      <c r="B2674" s="16"/>
      <c r="L2674" s="23"/>
    </row>
    <row r="2675">
      <c r="B2675" s="16"/>
      <c r="L2675" s="23"/>
    </row>
    <row r="2676">
      <c r="B2676" s="16"/>
      <c r="L2676" s="23"/>
      <c r="M2676" s="23"/>
    </row>
    <row r="2677">
      <c r="B2677" s="16"/>
      <c r="L2677" s="23"/>
    </row>
    <row r="2678">
      <c r="B2678" s="16"/>
      <c r="L2678" s="23"/>
      <c r="M2678" s="23"/>
    </row>
    <row r="2679">
      <c r="B2679" s="16"/>
      <c r="L2679" s="23"/>
    </row>
    <row r="2680">
      <c r="B2680" s="16"/>
      <c r="L2680" s="23"/>
    </row>
    <row r="2681">
      <c r="B2681" s="16"/>
      <c r="L2681" s="23"/>
    </row>
    <row r="2682">
      <c r="B2682" s="16"/>
      <c r="L2682" s="23"/>
    </row>
    <row r="2683">
      <c r="B2683" s="16"/>
      <c r="L2683" s="23"/>
    </row>
    <row r="2684">
      <c r="B2684" s="16"/>
      <c r="L2684" s="23"/>
    </row>
    <row r="2685">
      <c r="B2685" s="16"/>
      <c r="L2685" s="23"/>
    </row>
    <row r="2686">
      <c r="B2686" s="16"/>
      <c r="L2686" s="23"/>
    </row>
    <row r="2687">
      <c r="B2687" s="16"/>
      <c r="L2687" s="23"/>
    </row>
    <row r="2688">
      <c r="B2688" s="16"/>
      <c r="L2688" s="23"/>
    </row>
    <row r="2689">
      <c r="B2689" s="16"/>
      <c r="L2689" s="23"/>
    </row>
    <row r="2690">
      <c r="B2690" s="16"/>
      <c r="L2690" s="23"/>
    </row>
    <row r="2691">
      <c r="B2691" s="16"/>
      <c r="L2691" s="23"/>
    </row>
    <row r="2692">
      <c r="B2692" s="16"/>
      <c r="L2692" s="23"/>
    </row>
    <row r="2693">
      <c r="B2693" s="16"/>
      <c r="L2693" s="23"/>
    </row>
    <row r="2694">
      <c r="B2694" s="16"/>
      <c r="L2694" s="23"/>
    </row>
    <row r="2695">
      <c r="B2695" s="16"/>
      <c r="L2695" s="23"/>
    </row>
    <row r="2696">
      <c r="B2696" s="16"/>
      <c r="L2696" s="23"/>
    </row>
    <row r="2697">
      <c r="B2697" s="16"/>
      <c r="L2697" s="23"/>
    </row>
    <row r="2698">
      <c r="B2698" s="16"/>
      <c r="L2698" s="23"/>
    </row>
    <row r="2699">
      <c r="B2699" s="16"/>
      <c r="L2699" s="23"/>
    </row>
    <row r="2700">
      <c r="B2700" s="16"/>
      <c r="L2700" s="23"/>
    </row>
    <row r="2701">
      <c r="B2701" s="16"/>
      <c r="L2701" s="23"/>
      <c r="M2701" s="23"/>
    </row>
    <row r="2702">
      <c r="B2702" s="16"/>
      <c r="L2702" s="23"/>
    </row>
    <row r="2703">
      <c r="B2703" s="16"/>
      <c r="L2703" s="23"/>
    </row>
    <row r="2704">
      <c r="B2704" s="16"/>
      <c r="L2704" s="23"/>
    </row>
    <row r="2705">
      <c r="B2705" s="16"/>
      <c r="L2705" s="23"/>
    </row>
    <row r="2706">
      <c r="B2706" s="16"/>
      <c r="L2706" s="23"/>
    </row>
    <row r="2707">
      <c r="B2707" s="16"/>
      <c r="L2707" s="23"/>
    </row>
    <row r="2708">
      <c r="B2708" s="16"/>
      <c r="L2708" s="23"/>
    </row>
    <row r="2709">
      <c r="B2709" s="16"/>
      <c r="L2709" s="23"/>
    </row>
    <row r="2710">
      <c r="B2710" s="16"/>
      <c r="L2710" s="23"/>
    </row>
    <row r="2711">
      <c r="B2711" s="16"/>
      <c r="L2711" s="23"/>
      <c r="M2711" s="23"/>
    </row>
    <row r="2712">
      <c r="B2712" s="16"/>
      <c r="L2712" s="23"/>
    </row>
    <row r="2713">
      <c r="B2713" s="16"/>
      <c r="L2713" s="23"/>
    </row>
    <row r="2714">
      <c r="B2714" s="16"/>
      <c r="L2714" s="23"/>
    </row>
    <row r="2715">
      <c r="B2715" s="16"/>
      <c r="L2715" s="23"/>
    </row>
    <row r="2716">
      <c r="B2716" s="16"/>
      <c r="L2716" s="23"/>
      <c r="M2716" s="23"/>
    </row>
    <row r="2717">
      <c r="B2717" s="16"/>
      <c r="L2717" s="23"/>
    </row>
    <row r="2718">
      <c r="B2718" s="16"/>
      <c r="L2718" s="23"/>
      <c r="M2718" s="23"/>
    </row>
    <row r="2719">
      <c r="B2719" s="16"/>
      <c r="L2719" s="23"/>
      <c r="M2719" s="23"/>
    </row>
    <row r="2720">
      <c r="B2720" s="16"/>
      <c r="L2720" s="23"/>
    </row>
    <row r="2721">
      <c r="B2721" s="16"/>
      <c r="L2721" s="23"/>
      <c r="M2721" s="23"/>
    </row>
    <row r="2722">
      <c r="B2722" s="16"/>
      <c r="L2722" s="23"/>
      <c r="M2722" s="23"/>
    </row>
    <row r="2723">
      <c r="B2723" s="16"/>
      <c r="L2723" s="23"/>
      <c r="M2723" s="23"/>
    </row>
    <row r="2724">
      <c r="B2724" s="16"/>
      <c r="L2724" s="23"/>
    </row>
    <row r="2725">
      <c r="B2725" s="16"/>
      <c r="L2725" s="23"/>
    </row>
    <row r="2726">
      <c r="B2726" s="16"/>
      <c r="L2726" s="23"/>
    </row>
    <row r="2727">
      <c r="B2727" s="16"/>
      <c r="L2727" s="23"/>
      <c r="M2727" s="23"/>
    </row>
    <row r="2728">
      <c r="B2728" s="16"/>
      <c r="L2728" s="23"/>
      <c r="M2728" s="23"/>
    </row>
    <row r="2729">
      <c r="B2729" s="16"/>
      <c r="L2729" s="23"/>
      <c r="M2729" s="23"/>
    </row>
    <row r="2730">
      <c r="B2730" s="16"/>
      <c r="L2730" s="23"/>
      <c r="M2730" s="23"/>
    </row>
    <row r="2731">
      <c r="B2731" s="16"/>
      <c r="L2731" s="23"/>
      <c r="M2731" s="23"/>
    </row>
    <row r="2732">
      <c r="B2732" s="16"/>
      <c r="L2732" s="23"/>
      <c r="M2732" s="23"/>
    </row>
    <row r="2733">
      <c r="B2733" s="16"/>
      <c r="L2733" s="23"/>
    </row>
    <row r="2734">
      <c r="B2734" s="16"/>
      <c r="L2734" s="23"/>
    </row>
    <row r="2735">
      <c r="B2735" s="16"/>
      <c r="L2735" s="23"/>
    </row>
    <row r="2736">
      <c r="B2736" s="16"/>
      <c r="L2736" s="23"/>
    </row>
    <row r="2737">
      <c r="B2737" s="16"/>
      <c r="L2737" s="23"/>
    </row>
    <row r="2738">
      <c r="B2738" s="16"/>
      <c r="L2738" s="23"/>
    </row>
    <row r="2739">
      <c r="B2739" s="16"/>
      <c r="L2739" s="23"/>
    </row>
    <row r="2740">
      <c r="B2740" s="16"/>
      <c r="L2740" s="23"/>
    </row>
    <row r="2741">
      <c r="B2741" s="16"/>
      <c r="L2741" s="23"/>
      <c r="M2741" s="23"/>
    </row>
    <row r="2742">
      <c r="B2742" s="16"/>
      <c r="L2742" s="23"/>
    </row>
    <row r="2743">
      <c r="B2743" s="16"/>
      <c r="L2743" s="23"/>
    </row>
    <row r="2744">
      <c r="B2744" s="16"/>
      <c r="L2744" s="23"/>
    </row>
    <row r="2745">
      <c r="B2745" s="16"/>
      <c r="L2745" s="23"/>
    </row>
    <row r="2746">
      <c r="B2746" s="16"/>
      <c r="L2746" s="23"/>
    </row>
    <row r="2747">
      <c r="B2747" s="16"/>
      <c r="L2747" s="23"/>
    </row>
    <row r="2748">
      <c r="B2748" s="16"/>
      <c r="L2748" s="23"/>
    </row>
    <row r="2749">
      <c r="B2749" s="16"/>
      <c r="L2749" s="23"/>
    </row>
    <row r="2750">
      <c r="B2750" s="16"/>
      <c r="L2750" s="23"/>
    </row>
    <row r="2751">
      <c r="B2751" s="16"/>
      <c r="L2751" s="23"/>
    </row>
    <row r="2752">
      <c r="B2752" s="16"/>
      <c r="L2752" s="23"/>
    </row>
    <row r="2753">
      <c r="B2753" s="16"/>
      <c r="L2753" s="23"/>
    </row>
    <row r="2754">
      <c r="B2754" s="16"/>
      <c r="L2754" s="23"/>
    </row>
    <row r="2755">
      <c r="B2755" s="16"/>
      <c r="L2755" s="23"/>
    </row>
    <row r="2756">
      <c r="B2756" s="16"/>
      <c r="L2756" s="23"/>
    </row>
    <row r="2757">
      <c r="B2757" s="16"/>
      <c r="L2757" s="23"/>
      <c r="M2757" s="23"/>
    </row>
    <row r="2758">
      <c r="B2758" s="16"/>
      <c r="L2758" s="23"/>
    </row>
    <row r="2759">
      <c r="B2759" s="16"/>
      <c r="L2759" s="23"/>
    </row>
    <row r="2760">
      <c r="B2760" s="16"/>
      <c r="L2760" s="23"/>
    </row>
    <row r="2761">
      <c r="B2761" s="16"/>
      <c r="L2761" s="23"/>
    </row>
    <row r="2762">
      <c r="B2762" s="16"/>
      <c r="L2762" s="23"/>
    </row>
    <row r="2763">
      <c r="B2763" s="16"/>
      <c r="L2763" s="23"/>
    </row>
    <row r="2764">
      <c r="B2764" s="16"/>
      <c r="L2764" s="23"/>
    </row>
    <row r="2765">
      <c r="B2765" s="16"/>
      <c r="L2765" s="23"/>
    </row>
    <row r="2766">
      <c r="B2766" s="16"/>
      <c r="L2766" s="23"/>
    </row>
    <row r="2767">
      <c r="B2767" s="16"/>
      <c r="L2767" s="23"/>
    </row>
    <row r="2768">
      <c r="B2768" s="16"/>
      <c r="L2768" s="23"/>
    </row>
    <row r="2769">
      <c r="B2769" s="16"/>
      <c r="L2769" s="23"/>
    </row>
    <row r="2770">
      <c r="B2770" s="16"/>
      <c r="L2770" s="23"/>
    </row>
    <row r="2771">
      <c r="B2771" s="16"/>
      <c r="L2771" s="23"/>
    </row>
    <row r="2772">
      <c r="B2772" s="16"/>
      <c r="L2772" s="23"/>
    </row>
    <row r="2773">
      <c r="B2773" s="16"/>
      <c r="L2773" s="23"/>
    </row>
    <row r="2774">
      <c r="B2774" s="16"/>
      <c r="L2774" s="23"/>
    </row>
    <row r="2775">
      <c r="B2775" s="16"/>
      <c r="L2775" s="23"/>
    </row>
    <row r="2776">
      <c r="B2776" s="16"/>
      <c r="L2776" s="23"/>
    </row>
    <row r="2777">
      <c r="B2777" s="16"/>
      <c r="L2777" s="23"/>
    </row>
    <row r="2778">
      <c r="B2778" s="16"/>
      <c r="L2778" s="23"/>
    </row>
    <row r="2779">
      <c r="B2779" s="16"/>
      <c r="L2779" s="23"/>
    </row>
    <row r="2780">
      <c r="B2780" s="16"/>
      <c r="L2780" s="23"/>
    </row>
    <row r="2781">
      <c r="B2781" s="16"/>
      <c r="L2781" s="23"/>
    </row>
    <row r="2782">
      <c r="B2782" s="16"/>
      <c r="L2782" s="23"/>
    </row>
    <row r="2783">
      <c r="B2783" s="16"/>
      <c r="L2783" s="23"/>
    </row>
    <row r="2784">
      <c r="B2784" s="16"/>
      <c r="L2784" s="23"/>
    </row>
    <row r="2785">
      <c r="B2785" s="16"/>
      <c r="L2785" s="23"/>
    </row>
    <row r="2786">
      <c r="B2786" s="16"/>
      <c r="L2786" s="23"/>
    </row>
    <row r="2787">
      <c r="B2787" s="16"/>
      <c r="L2787" s="23"/>
    </row>
    <row r="2788">
      <c r="B2788" s="16"/>
      <c r="L2788" s="23"/>
    </row>
    <row r="2789">
      <c r="B2789" s="16"/>
      <c r="L2789" s="23"/>
    </row>
    <row r="2790">
      <c r="B2790" s="16"/>
      <c r="L2790" s="23"/>
    </row>
    <row r="2791">
      <c r="B2791" s="16"/>
      <c r="L2791" s="23"/>
    </row>
    <row r="2792">
      <c r="B2792" s="16"/>
      <c r="L2792" s="23"/>
    </row>
    <row r="2793">
      <c r="B2793" s="16"/>
      <c r="L2793" s="23"/>
    </row>
    <row r="2794">
      <c r="B2794" s="16"/>
      <c r="L2794" s="23"/>
    </row>
    <row r="2795">
      <c r="B2795" s="16"/>
      <c r="L2795" s="23"/>
    </row>
    <row r="2796">
      <c r="B2796" s="16"/>
      <c r="L2796" s="23"/>
    </row>
    <row r="2797">
      <c r="B2797" s="16"/>
      <c r="L2797" s="23"/>
    </row>
    <row r="2798">
      <c r="B2798" s="16"/>
      <c r="L2798" s="23"/>
    </row>
    <row r="2799">
      <c r="B2799" s="16"/>
      <c r="L2799" s="23"/>
    </row>
    <row r="2800">
      <c r="B2800" s="16"/>
      <c r="L2800" s="23"/>
    </row>
    <row r="2801">
      <c r="B2801" s="16"/>
      <c r="L2801" s="23"/>
    </row>
    <row r="2802">
      <c r="B2802" s="16"/>
      <c r="L2802" s="23"/>
    </row>
    <row r="2803">
      <c r="B2803" s="16"/>
      <c r="L2803" s="23"/>
    </row>
    <row r="2804">
      <c r="B2804" s="16"/>
      <c r="L2804" s="23"/>
      <c r="M2804" s="23"/>
    </row>
    <row r="2805">
      <c r="B2805" s="16"/>
      <c r="L2805" s="23"/>
    </row>
    <row r="2806">
      <c r="B2806" s="16"/>
      <c r="L2806" s="23"/>
    </row>
    <row r="2807">
      <c r="B2807" s="16"/>
      <c r="L2807" s="23"/>
    </row>
    <row r="2808">
      <c r="B2808" s="16"/>
      <c r="L2808" s="23"/>
    </row>
    <row r="2809">
      <c r="B2809" s="16"/>
      <c r="L2809" s="23"/>
    </row>
    <row r="2810">
      <c r="B2810" s="16"/>
      <c r="L2810" s="23"/>
    </row>
    <row r="2811">
      <c r="B2811" s="16"/>
      <c r="L2811" s="23"/>
    </row>
    <row r="2812">
      <c r="B2812" s="16"/>
      <c r="L2812" s="23"/>
    </row>
    <row r="2813">
      <c r="B2813" s="16"/>
      <c r="L2813" s="23"/>
      <c r="M2813" s="23"/>
    </row>
    <row r="2814">
      <c r="B2814" s="16"/>
      <c r="L2814" s="23"/>
    </row>
    <row r="2815">
      <c r="B2815" s="16"/>
      <c r="L2815" s="23"/>
    </row>
    <row r="2816">
      <c r="B2816" s="16"/>
      <c r="L2816" s="23"/>
    </row>
    <row r="2817">
      <c r="B2817" s="16"/>
      <c r="L2817" s="23"/>
    </row>
    <row r="2818">
      <c r="B2818" s="16"/>
      <c r="L2818" s="23"/>
      <c r="M2818" s="23"/>
    </row>
    <row r="2819">
      <c r="B2819" s="16"/>
      <c r="L2819" s="23"/>
      <c r="M2819" s="23"/>
    </row>
    <row r="2820">
      <c r="B2820" s="16"/>
      <c r="L2820" s="23"/>
    </row>
    <row r="2821">
      <c r="B2821" s="16"/>
      <c r="L2821" s="23"/>
    </row>
    <row r="2822">
      <c r="B2822" s="16"/>
      <c r="L2822" s="23"/>
    </row>
    <row r="2823">
      <c r="B2823" s="16"/>
      <c r="L2823" s="23"/>
      <c r="M2823" s="23"/>
    </row>
    <row r="2824">
      <c r="B2824" s="16"/>
      <c r="L2824" s="23"/>
      <c r="M2824" s="23"/>
    </row>
    <row r="2825">
      <c r="B2825" s="16"/>
      <c r="L2825" s="23"/>
      <c r="M2825" s="23"/>
    </row>
    <row r="2826">
      <c r="B2826" s="16"/>
      <c r="L2826" s="23"/>
      <c r="M2826" s="23"/>
    </row>
    <row r="2827">
      <c r="B2827" s="16"/>
      <c r="L2827" s="23"/>
    </row>
    <row r="2828">
      <c r="B2828" s="16"/>
      <c r="L2828" s="23"/>
    </row>
    <row r="2829">
      <c r="B2829" s="16"/>
      <c r="L2829" s="23"/>
    </row>
    <row r="2830">
      <c r="B2830" s="16"/>
      <c r="L2830" s="23"/>
    </row>
    <row r="2831">
      <c r="B2831" s="16"/>
      <c r="L2831" s="23"/>
    </row>
    <row r="2832">
      <c r="B2832" s="16"/>
      <c r="L2832" s="23"/>
    </row>
    <row r="2833">
      <c r="B2833" s="16"/>
      <c r="L2833" s="23"/>
      <c r="M2833" s="23"/>
    </row>
    <row r="2834">
      <c r="B2834" s="16"/>
      <c r="L2834" s="23"/>
    </row>
    <row r="2835">
      <c r="B2835" s="16"/>
      <c r="L2835" s="23"/>
    </row>
    <row r="2836">
      <c r="B2836" s="16"/>
      <c r="L2836" s="23"/>
      <c r="M2836" s="23"/>
    </row>
    <row r="2837">
      <c r="B2837" s="16"/>
      <c r="L2837" s="23"/>
    </row>
    <row r="2838">
      <c r="B2838" s="16"/>
      <c r="L2838" s="23"/>
      <c r="M2838" s="23"/>
    </row>
    <row r="2839">
      <c r="B2839" s="16"/>
      <c r="L2839" s="23"/>
    </row>
    <row r="2840">
      <c r="B2840" s="16"/>
      <c r="L2840" s="23"/>
      <c r="M2840" s="23"/>
    </row>
    <row r="2841">
      <c r="B2841" s="16"/>
      <c r="L2841" s="23"/>
    </row>
    <row r="2842">
      <c r="B2842" s="16"/>
      <c r="L2842" s="23"/>
    </row>
    <row r="2843">
      <c r="B2843" s="16"/>
      <c r="L2843" s="23"/>
    </row>
    <row r="2844">
      <c r="B2844" s="16"/>
      <c r="L2844" s="23"/>
    </row>
    <row r="2845">
      <c r="B2845" s="16"/>
      <c r="L2845" s="23"/>
    </row>
    <row r="2846">
      <c r="B2846" s="16"/>
      <c r="L2846" s="23"/>
    </row>
    <row r="2847">
      <c r="B2847" s="16"/>
      <c r="L2847" s="23"/>
    </row>
    <row r="2848">
      <c r="B2848" s="16"/>
      <c r="L2848" s="23"/>
    </row>
    <row r="2849">
      <c r="B2849" s="16"/>
      <c r="L2849" s="23"/>
      <c r="M2849" s="23"/>
    </row>
    <row r="2850">
      <c r="B2850" s="16"/>
      <c r="L2850" s="23"/>
      <c r="M2850" s="23"/>
    </row>
    <row r="2851">
      <c r="B2851" s="16"/>
      <c r="L2851" s="23"/>
    </row>
    <row r="2852">
      <c r="B2852" s="16"/>
      <c r="L2852" s="23"/>
    </row>
    <row r="2853">
      <c r="B2853" s="16"/>
      <c r="L2853" s="23"/>
    </row>
    <row r="2854">
      <c r="B2854" s="16"/>
      <c r="L2854" s="23"/>
    </row>
    <row r="2855">
      <c r="B2855" s="16"/>
      <c r="L2855" s="23"/>
    </row>
    <row r="2856">
      <c r="B2856" s="16"/>
      <c r="L2856" s="23"/>
      <c r="M2856" s="23"/>
    </row>
    <row r="2857">
      <c r="B2857" s="16"/>
      <c r="L2857" s="23"/>
    </row>
    <row r="2858">
      <c r="B2858" s="16"/>
      <c r="L2858" s="23"/>
    </row>
    <row r="2859">
      <c r="B2859" s="16"/>
      <c r="L2859" s="23"/>
    </row>
    <row r="2860">
      <c r="B2860" s="16"/>
      <c r="L2860" s="23"/>
    </row>
    <row r="2861">
      <c r="B2861" s="16"/>
      <c r="L2861" s="23"/>
    </row>
    <row r="2862">
      <c r="B2862" s="16"/>
      <c r="L2862" s="23"/>
    </row>
    <row r="2863">
      <c r="B2863" s="16"/>
      <c r="L2863" s="23"/>
    </row>
    <row r="2864">
      <c r="B2864" s="16"/>
      <c r="L2864" s="23"/>
    </row>
    <row r="2865">
      <c r="B2865" s="16"/>
      <c r="L2865" s="23"/>
    </row>
    <row r="2866">
      <c r="B2866" s="16"/>
      <c r="L2866" s="23"/>
      <c r="M2866" s="23"/>
    </row>
    <row r="2867">
      <c r="B2867" s="16"/>
      <c r="L2867" s="23"/>
    </row>
    <row r="2868">
      <c r="B2868" s="16"/>
      <c r="L2868" s="23"/>
    </row>
    <row r="2869">
      <c r="B2869" s="16"/>
      <c r="L2869" s="23"/>
    </row>
    <row r="2870">
      <c r="B2870" s="16"/>
      <c r="L2870" s="23"/>
    </row>
    <row r="2871">
      <c r="B2871" s="16"/>
      <c r="L2871" s="23"/>
    </row>
    <row r="2872">
      <c r="B2872" s="16"/>
      <c r="L2872" s="23"/>
    </row>
    <row r="2873">
      <c r="B2873" s="16"/>
      <c r="L2873" s="23"/>
      <c r="M2873" s="23"/>
    </row>
    <row r="2874">
      <c r="B2874" s="16"/>
      <c r="L2874" s="23"/>
    </row>
    <row r="2875">
      <c r="B2875" s="16"/>
      <c r="L2875" s="23"/>
    </row>
    <row r="2876">
      <c r="B2876" s="16"/>
      <c r="L2876" s="23"/>
      <c r="M2876" s="23"/>
    </row>
    <row r="2877">
      <c r="B2877" s="16"/>
      <c r="L2877" s="23"/>
    </row>
    <row r="2878">
      <c r="B2878" s="16"/>
      <c r="L2878" s="23"/>
      <c r="M2878" s="23"/>
    </row>
    <row r="2879">
      <c r="B2879" s="16"/>
      <c r="L2879" s="23"/>
    </row>
    <row r="2880">
      <c r="B2880" s="16"/>
      <c r="L2880" s="23"/>
    </row>
    <row r="2881">
      <c r="B2881" s="16"/>
      <c r="L2881" s="23"/>
    </row>
    <row r="2882">
      <c r="B2882" s="16"/>
      <c r="L2882" s="23"/>
      <c r="M2882" s="23"/>
    </row>
    <row r="2883">
      <c r="B2883" s="16"/>
      <c r="L2883" s="23"/>
      <c r="M2883" s="23"/>
    </row>
    <row r="2884">
      <c r="B2884" s="16"/>
      <c r="L2884" s="23"/>
    </row>
    <row r="2885">
      <c r="B2885" s="16"/>
      <c r="L2885" s="23"/>
      <c r="M2885" s="23"/>
    </row>
    <row r="2886">
      <c r="B2886" s="16"/>
      <c r="L2886" s="23"/>
      <c r="M2886" s="23"/>
    </row>
    <row r="2887">
      <c r="B2887" s="16"/>
      <c r="L2887" s="23"/>
      <c r="M2887" s="23"/>
    </row>
    <row r="2888">
      <c r="B2888" s="16"/>
      <c r="L2888" s="23"/>
    </row>
    <row r="2889">
      <c r="B2889" s="16"/>
      <c r="L2889" s="23"/>
    </row>
    <row r="2890">
      <c r="B2890" s="16"/>
      <c r="L2890" s="23"/>
    </row>
    <row r="2891">
      <c r="B2891" s="16"/>
      <c r="L2891" s="23"/>
      <c r="M2891" s="23"/>
    </row>
    <row r="2892">
      <c r="B2892" s="16"/>
      <c r="L2892" s="23"/>
      <c r="M2892" s="23"/>
    </row>
    <row r="2893">
      <c r="B2893" s="16"/>
      <c r="L2893" s="23"/>
      <c r="M2893" s="23"/>
    </row>
    <row r="2894">
      <c r="B2894" s="16"/>
      <c r="L2894" s="23"/>
    </row>
    <row r="2895">
      <c r="B2895" s="16"/>
      <c r="L2895" s="23"/>
    </row>
    <row r="2896">
      <c r="B2896" s="16"/>
      <c r="L2896" s="23"/>
    </row>
    <row r="2897">
      <c r="B2897" s="16"/>
      <c r="L2897" s="23"/>
    </row>
    <row r="2898">
      <c r="B2898" s="16"/>
      <c r="L2898" s="23"/>
    </row>
    <row r="2899">
      <c r="B2899" s="16"/>
      <c r="L2899" s="23"/>
    </row>
    <row r="2900">
      <c r="B2900" s="16"/>
      <c r="L2900" s="23"/>
    </row>
    <row r="2901">
      <c r="B2901" s="16"/>
      <c r="L2901" s="23"/>
    </row>
    <row r="2902">
      <c r="B2902" s="16"/>
      <c r="L2902" s="23"/>
    </row>
    <row r="2903">
      <c r="B2903" s="16"/>
      <c r="L2903" s="23"/>
    </row>
    <row r="2904">
      <c r="B2904" s="16"/>
      <c r="L2904" s="23"/>
    </row>
    <row r="2905">
      <c r="B2905" s="16"/>
      <c r="L2905" s="23"/>
    </row>
    <row r="2906">
      <c r="B2906" s="16"/>
      <c r="L2906" s="23"/>
    </row>
    <row r="2907">
      <c r="B2907" s="16"/>
      <c r="L2907" s="23"/>
    </row>
    <row r="2908">
      <c r="B2908" s="16"/>
      <c r="L2908" s="23"/>
      <c r="M2908" s="23"/>
    </row>
    <row r="2909">
      <c r="B2909" s="16"/>
      <c r="L2909" s="23"/>
    </row>
    <row r="2910">
      <c r="B2910" s="16"/>
      <c r="L2910" s="23"/>
    </row>
    <row r="2911">
      <c r="B2911" s="16"/>
      <c r="L2911" s="23"/>
    </row>
    <row r="2912">
      <c r="B2912" s="16"/>
      <c r="L2912" s="23"/>
    </row>
    <row r="2913">
      <c r="B2913" s="16"/>
      <c r="L2913" s="23"/>
    </row>
    <row r="2914">
      <c r="B2914" s="16"/>
      <c r="L2914" s="23"/>
    </row>
    <row r="2915">
      <c r="B2915" s="16"/>
      <c r="L2915" s="23"/>
    </row>
    <row r="2916">
      <c r="B2916" s="16"/>
      <c r="L2916" s="23"/>
    </row>
    <row r="2917">
      <c r="B2917" s="16"/>
      <c r="L2917" s="23"/>
    </row>
    <row r="2918">
      <c r="B2918" s="16"/>
      <c r="L2918" s="23"/>
    </row>
    <row r="2919">
      <c r="B2919" s="16"/>
      <c r="L2919" s="23"/>
    </row>
    <row r="2920">
      <c r="B2920" s="16"/>
      <c r="L2920" s="23"/>
    </row>
    <row r="2921">
      <c r="B2921" s="16"/>
      <c r="L2921" s="23"/>
    </row>
    <row r="2922">
      <c r="B2922" s="16"/>
      <c r="L2922" s="23"/>
    </row>
    <row r="2923">
      <c r="B2923" s="16"/>
      <c r="L2923" s="23"/>
    </row>
    <row r="2924">
      <c r="B2924" s="16"/>
      <c r="L2924" s="23"/>
    </row>
    <row r="2925">
      <c r="B2925" s="16"/>
      <c r="L2925" s="23"/>
      <c r="M2925" s="23"/>
    </row>
    <row r="2926">
      <c r="B2926" s="16"/>
      <c r="L2926" s="23"/>
    </row>
    <row r="2927">
      <c r="B2927" s="16"/>
      <c r="L2927" s="23"/>
      <c r="M2927" s="23"/>
    </row>
    <row r="2928">
      <c r="B2928" s="16"/>
      <c r="L2928" s="23"/>
    </row>
    <row r="2929">
      <c r="B2929" s="16"/>
      <c r="L2929" s="23"/>
    </row>
    <row r="2930">
      <c r="B2930" s="16"/>
      <c r="L2930" s="23"/>
    </row>
    <row r="2931">
      <c r="B2931" s="16"/>
      <c r="L2931" s="23"/>
    </row>
    <row r="2932">
      <c r="B2932" s="16"/>
      <c r="L2932" s="23"/>
    </row>
    <row r="2933">
      <c r="B2933" s="16"/>
      <c r="L2933" s="23"/>
    </row>
    <row r="2934">
      <c r="B2934" s="16"/>
      <c r="L2934" s="23"/>
    </row>
    <row r="2935">
      <c r="B2935" s="16"/>
      <c r="L2935" s="23"/>
    </row>
    <row r="2936">
      <c r="B2936" s="16"/>
      <c r="L2936" s="23"/>
    </row>
    <row r="2937">
      <c r="B2937" s="16"/>
      <c r="L2937" s="23"/>
    </row>
    <row r="2938">
      <c r="B2938" s="16"/>
      <c r="L2938" s="23"/>
    </row>
    <row r="2939">
      <c r="B2939" s="16"/>
      <c r="L2939" s="23"/>
    </row>
    <row r="2940">
      <c r="B2940" s="16"/>
      <c r="L2940" s="23"/>
    </row>
    <row r="2941">
      <c r="B2941" s="16"/>
      <c r="L2941" s="23"/>
    </row>
    <row r="2942">
      <c r="B2942" s="16"/>
      <c r="L2942" s="23"/>
    </row>
    <row r="2943">
      <c r="B2943" s="16"/>
      <c r="L2943" s="23"/>
    </row>
    <row r="2944">
      <c r="B2944" s="16"/>
      <c r="L2944" s="23"/>
    </row>
    <row r="2945">
      <c r="B2945" s="16"/>
      <c r="L2945" s="23"/>
    </row>
    <row r="2946">
      <c r="B2946" s="16"/>
      <c r="L2946" s="23"/>
    </row>
    <row r="2947">
      <c r="B2947" s="16"/>
      <c r="L2947" s="23"/>
    </row>
    <row r="2948">
      <c r="B2948" s="16"/>
      <c r="L2948" s="23"/>
    </row>
    <row r="2949">
      <c r="B2949" s="16"/>
      <c r="L2949" s="23"/>
    </row>
    <row r="2950">
      <c r="B2950" s="16"/>
      <c r="L2950" s="23"/>
    </row>
    <row r="2951">
      <c r="B2951" s="16"/>
      <c r="L2951" s="23"/>
    </row>
    <row r="2952">
      <c r="B2952" s="16"/>
      <c r="L2952" s="23"/>
    </row>
    <row r="2953">
      <c r="B2953" s="16"/>
      <c r="L2953" s="23"/>
    </row>
    <row r="2954">
      <c r="B2954" s="16"/>
      <c r="L2954" s="23"/>
    </row>
    <row r="2955">
      <c r="B2955" s="16"/>
      <c r="L2955" s="23"/>
    </row>
    <row r="2956">
      <c r="B2956" s="16"/>
      <c r="L2956" s="23"/>
    </row>
    <row r="2957">
      <c r="B2957" s="16"/>
      <c r="L2957" s="23"/>
    </row>
    <row r="2958">
      <c r="B2958" s="16"/>
      <c r="L2958" s="23"/>
    </row>
    <row r="2959">
      <c r="B2959" s="16"/>
      <c r="L2959" s="23"/>
    </row>
    <row r="2960">
      <c r="B2960" s="16"/>
      <c r="L2960" s="23"/>
    </row>
    <row r="2961">
      <c r="B2961" s="16"/>
      <c r="L2961" s="23"/>
    </row>
    <row r="2962">
      <c r="B2962" s="16"/>
      <c r="L2962" s="23"/>
    </row>
    <row r="2963">
      <c r="B2963" s="16"/>
      <c r="L2963" s="23"/>
    </row>
    <row r="2964">
      <c r="B2964" s="16"/>
      <c r="L2964" s="23"/>
    </row>
    <row r="2965">
      <c r="B2965" s="16"/>
      <c r="L2965" s="23"/>
    </row>
    <row r="2966">
      <c r="B2966" s="16"/>
      <c r="L2966" s="23"/>
    </row>
    <row r="2967">
      <c r="B2967" s="16"/>
      <c r="L2967" s="23"/>
    </row>
    <row r="2968">
      <c r="B2968" s="16"/>
      <c r="L2968" s="23"/>
    </row>
    <row r="2969">
      <c r="B2969" s="16"/>
      <c r="L2969" s="23"/>
    </row>
    <row r="2970">
      <c r="B2970" s="16"/>
      <c r="L2970" s="23"/>
    </row>
    <row r="2971">
      <c r="B2971" s="16"/>
      <c r="L2971" s="23"/>
    </row>
    <row r="2972">
      <c r="B2972" s="16"/>
      <c r="L2972" s="23"/>
    </row>
    <row r="2973">
      <c r="B2973" s="16"/>
      <c r="L2973" s="23"/>
    </row>
    <row r="2974">
      <c r="B2974" s="16"/>
      <c r="L2974" s="23"/>
    </row>
    <row r="2975">
      <c r="B2975" s="16"/>
      <c r="L2975" s="23"/>
    </row>
    <row r="2976">
      <c r="B2976" s="16"/>
      <c r="L2976" s="23"/>
    </row>
    <row r="2977">
      <c r="B2977" s="16"/>
      <c r="L2977" s="23"/>
    </row>
    <row r="2978">
      <c r="B2978" s="16"/>
      <c r="L2978" s="23"/>
    </row>
    <row r="2979">
      <c r="B2979" s="16"/>
      <c r="L2979" s="23"/>
    </row>
    <row r="2980">
      <c r="B2980" s="16"/>
      <c r="L2980" s="23"/>
    </row>
    <row r="2981">
      <c r="B2981" s="16"/>
      <c r="L2981" s="23"/>
    </row>
    <row r="2982">
      <c r="B2982" s="16"/>
      <c r="L2982" s="23"/>
    </row>
    <row r="2983">
      <c r="B2983" s="16"/>
      <c r="L2983" s="23"/>
    </row>
    <row r="2984">
      <c r="B2984" s="16"/>
      <c r="L2984" s="23"/>
    </row>
    <row r="2985">
      <c r="B2985" s="16"/>
      <c r="L2985" s="23"/>
    </row>
    <row r="2986">
      <c r="B2986" s="16"/>
      <c r="L2986" s="23"/>
    </row>
    <row r="2987">
      <c r="B2987" s="16"/>
      <c r="L2987" s="23"/>
    </row>
    <row r="2988">
      <c r="B2988" s="16"/>
      <c r="L2988" s="23"/>
    </row>
    <row r="2989">
      <c r="B2989" s="16"/>
      <c r="L2989" s="23"/>
    </row>
    <row r="2990">
      <c r="B2990" s="16"/>
      <c r="L2990" s="23"/>
    </row>
    <row r="2991">
      <c r="B2991" s="16"/>
      <c r="L2991" s="23"/>
    </row>
    <row r="2992">
      <c r="B2992" s="16"/>
      <c r="L2992" s="23"/>
    </row>
    <row r="2993">
      <c r="B2993" s="16"/>
      <c r="L2993" s="23"/>
    </row>
    <row r="2994">
      <c r="B2994" s="16"/>
      <c r="L2994" s="23"/>
    </row>
    <row r="2995">
      <c r="B2995" s="16"/>
      <c r="L2995" s="23"/>
    </row>
    <row r="2996">
      <c r="B2996" s="16"/>
      <c r="L2996" s="23"/>
    </row>
    <row r="2997">
      <c r="B2997" s="16"/>
      <c r="L2997" s="23"/>
    </row>
    <row r="2998">
      <c r="B2998" s="16"/>
      <c r="L2998" s="23"/>
    </row>
    <row r="2999">
      <c r="B2999" s="16"/>
      <c r="L2999" s="23"/>
    </row>
    <row r="3000">
      <c r="B3000" s="16"/>
      <c r="L3000" s="23"/>
    </row>
    <row r="3001">
      <c r="B3001" s="16"/>
      <c r="L3001" s="23"/>
    </row>
    <row r="3002">
      <c r="B3002" s="16"/>
      <c r="L3002" s="23"/>
    </row>
    <row r="3003">
      <c r="B3003" s="16"/>
      <c r="L3003" s="23"/>
    </row>
    <row r="3004">
      <c r="B3004" s="16"/>
      <c r="L3004" s="23"/>
    </row>
    <row r="3005">
      <c r="B3005" s="16"/>
      <c r="L3005" s="23"/>
    </row>
    <row r="3006">
      <c r="B3006" s="16"/>
      <c r="L3006" s="23"/>
    </row>
    <row r="3007">
      <c r="B3007" s="16"/>
      <c r="L3007" s="23"/>
    </row>
    <row r="3008">
      <c r="B3008" s="16"/>
      <c r="L3008" s="23"/>
    </row>
    <row r="3009">
      <c r="B3009" s="16"/>
      <c r="L3009" s="23"/>
    </row>
    <row r="3010">
      <c r="B3010" s="16"/>
      <c r="L3010" s="23"/>
    </row>
    <row r="3011">
      <c r="B3011" s="16"/>
      <c r="L3011" s="23"/>
    </row>
    <row r="3012">
      <c r="B3012" s="16"/>
      <c r="L3012" s="23"/>
    </row>
    <row r="3013">
      <c r="B3013" s="16"/>
      <c r="L3013" s="23"/>
    </row>
    <row r="3014">
      <c r="B3014" s="16"/>
      <c r="L3014" s="23"/>
    </row>
    <row r="3015">
      <c r="B3015" s="16"/>
      <c r="L3015" s="23"/>
    </row>
    <row r="3016">
      <c r="B3016" s="16"/>
      <c r="L3016" s="23"/>
    </row>
    <row r="3017">
      <c r="B3017" s="16"/>
      <c r="L3017" s="23"/>
    </row>
    <row r="3018">
      <c r="B3018" s="16"/>
      <c r="L3018" s="23"/>
    </row>
    <row r="3019">
      <c r="B3019" s="16"/>
      <c r="L3019" s="23"/>
    </row>
    <row r="3020">
      <c r="B3020" s="16"/>
      <c r="L3020" s="23"/>
    </row>
    <row r="3021">
      <c r="B3021" s="16"/>
      <c r="L3021" s="23"/>
    </row>
    <row r="3022">
      <c r="B3022" s="16"/>
      <c r="L3022" s="23"/>
    </row>
    <row r="3023">
      <c r="B3023" s="16"/>
      <c r="L3023" s="23"/>
    </row>
    <row r="3024">
      <c r="B3024" s="16"/>
      <c r="L3024" s="23"/>
    </row>
    <row r="3025">
      <c r="B3025" s="16"/>
      <c r="L3025" s="23"/>
    </row>
    <row r="3026">
      <c r="B3026" s="16"/>
      <c r="L3026" s="23"/>
    </row>
    <row r="3027">
      <c r="B3027" s="16"/>
      <c r="L3027" s="23"/>
    </row>
    <row r="3028">
      <c r="B3028" s="16"/>
      <c r="L3028" s="23"/>
    </row>
    <row r="3029">
      <c r="B3029" s="16"/>
      <c r="L3029" s="23"/>
    </row>
    <row r="3030">
      <c r="B3030" s="16"/>
      <c r="L3030" s="23"/>
    </row>
    <row r="3031">
      <c r="B3031" s="16"/>
      <c r="L3031" s="23"/>
    </row>
    <row r="3032">
      <c r="B3032" s="16"/>
      <c r="L3032" s="23"/>
    </row>
    <row r="3033">
      <c r="B3033" s="16"/>
      <c r="L3033" s="23"/>
    </row>
    <row r="3034">
      <c r="B3034" s="16"/>
      <c r="L3034" s="23"/>
    </row>
    <row r="3035">
      <c r="B3035" s="16"/>
      <c r="L3035" s="23"/>
    </row>
    <row r="3036">
      <c r="B3036" s="16"/>
      <c r="L3036" s="23"/>
    </row>
    <row r="3037">
      <c r="B3037" s="16"/>
      <c r="L3037" s="23"/>
    </row>
    <row r="3038">
      <c r="B3038" s="16"/>
      <c r="L3038" s="23"/>
    </row>
    <row r="3039">
      <c r="B3039" s="16"/>
      <c r="L3039" s="23"/>
    </row>
    <row r="3040">
      <c r="B3040" s="16"/>
      <c r="L3040" s="23"/>
    </row>
    <row r="3041">
      <c r="B3041" s="16"/>
      <c r="L3041" s="23"/>
    </row>
    <row r="3042">
      <c r="B3042" s="16"/>
      <c r="L3042" s="23"/>
    </row>
    <row r="3043">
      <c r="B3043" s="16"/>
      <c r="L3043" s="23"/>
    </row>
    <row r="3044">
      <c r="B3044" s="16"/>
      <c r="L3044" s="23"/>
    </row>
    <row r="3045">
      <c r="B3045" s="16"/>
      <c r="L3045" s="23"/>
    </row>
    <row r="3046">
      <c r="B3046" s="16"/>
      <c r="L3046" s="23"/>
    </row>
    <row r="3047">
      <c r="B3047" s="16"/>
      <c r="L3047" s="23"/>
    </row>
    <row r="3048">
      <c r="B3048" s="16"/>
      <c r="L3048" s="23"/>
    </row>
    <row r="3049">
      <c r="B3049" s="16"/>
      <c r="L3049" s="23"/>
    </row>
    <row r="3050">
      <c r="B3050" s="16"/>
      <c r="L3050" s="23"/>
    </row>
    <row r="3051">
      <c r="B3051" s="16"/>
      <c r="L3051" s="23"/>
    </row>
    <row r="3052">
      <c r="B3052" s="16"/>
      <c r="L3052" s="23"/>
    </row>
    <row r="3053">
      <c r="B3053" s="16"/>
      <c r="L3053" s="23"/>
    </row>
    <row r="3054">
      <c r="B3054" s="16"/>
      <c r="L3054" s="23"/>
    </row>
    <row r="3055">
      <c r="B3055" s="16"/>
      <c r="L3055" s="23"/>
    </row>
    <row r="3056">
      <c r="B3056" s="16"/>
      <c r="L3056" s="23"/>
    </row>
    <row r="3057">
      <c r="B3057" s="16"/>
      <c r="L3057" s="23"/>
    </row>
    <row r="3058">
      <c r="B3058" s="16"/>
      <c r="L3058" s="23"/>
    </row>
    <row r="3059">
      <c r="B3059" s="16"/>
      <c r="L3059" s="23"/>
    </row>
    <row r="3060">
      <c r="B3060" s="16"/>
      <c r="L3060" s="23"/>
    </row>
    <row r="3061">
      <c r="B3061" s="16"/>
      <c r="L3061" s="23"/>
    </row>
    <row r="3062">
      <c r="B3062" s="16"/>
      <c r="L3062" s="23"/>
    </row>
    <row r="3063">
      <c r="B3063" s="16"/>
      <c r="L3063" s="23"/>
    </row>
    <row r="3064">
      <c r="B3064" s="16"/>
      <c r="L3064" s="23"/>
    </row>
    <row r="3065">
      <c r="B3065" s="16"/>
      <c r="L3065" s="23"/>
    </row>
    <row r="3066">
      <c r="B3066" s="16"/>
      <c r="L3066" s="23"/>
    </row>
    <row r="3067">
      <c r="B3067" s="16"/>
      <c r="L3067" s="23"/>
    </row>
    <row r="3068">
      <c r="B3068" s="16"/>
      <c r="L3068" s="23"/>
    </row>
    <row r="3069">
      <c r="B3069" s="16"/>
      <c r="L3069" s="23"/>
    </row>
    <row r="3070">
      <c r="B3070" s="16"/>
      <c r="L3070" s="23"/>
    </row>
    <row r="3071">
      <c r="B3071" s="16"/>
      <c r="L3071" s="23"/>
    </row>
    <row r="3072">
      <c r="B3072" s="16"/>
      <c r="L3072" s="23"/>
    </row>
    <row r="3073">
      <c r="B3073" s="16"/>
      <c r="L3073" s="23"/>
    </row>
    <row r="3074">
      <c r="B3074" s="16"/>
      <c r="L3074" s="23"/>
    </row>
    <row r="3075">
      <c r="B3075" s="16"/>
      <c r="L3075" s="23"/>
    </row>
    <row r="3076">
      <c r="B3076" s="16"/>
      <c r="L3076" s="23"/>
    </row>
    <row r="3077">
      <c r="B3077" s="16"/>
      <c r="L3077" s="23"/>
    </row>
    <row r="3078">
      <c r="B3078" s="16"/>
      <c r="L3078" s="23"/>
    </row>
    <row r="3079">
      <c r="B3079" s="16"/>
      <c r="L3079" s="23"/>
    </row>
    <row r="3080">
      <c r="B3080" s="16"/>
      <c r="L3080" s="23"/>
    </row>
    <row r="3081">
      <c r="B3081" s="16"/>
      <c r="L3081" s="23"/>
    </row>
    <row r="3082">
      <c r="B3082" s="16"/>
      <c r="L3082" s="23"/>
    </row>
    <row r="3083">
      <c r="B3083" s="16"/>
      <c r="L3083" s="23"/>
    </row>
    <row r="3084">
      <c r="B3084" s="16"/>
      <c r="L3084" s="23"/>
    </row>
    <row r="3085">
      <c r="B3085" s="16"/>
      <c r="L3085" s="23"/>
    </row>
    <row r="3086">
      <c r="B3086" s="16"/>
      <c r="L3086" s="23"/>
    </row>
    <row r="3087">
      <c r="B3087" s="16"/>
      <c r="L3087" s="23"/>
    </row>
    <row r="3088">
      <c r="B3088" s="16"/>
      <c r="L3088" s="23"/>
    </row>
    <row r="3089">
      <c r="B3089" s="16"/>
      <c r="L3089" s="23"/>
    </row>
    <row r="3090">
      <c r="B3090" s="16"/>
      <c r="L3090" s="23"/>
      <c r="M3090" s="23"/>
    </row>
    <row r="3091">
      <c r="B3091" s="16"/>
      <c r="L3091" s="23"/>
    </row>
    <row r="3092">
      <c r="B3092" s="16"/>
      <c r="L3092" s="23"/>
    </row>
    <row r="3093">
      <c r="B3093" s="16"/>
      <c r="L3093" s="23"/>
    </row>
    <row r="3094">
      <c r="B3094" s="16"/>
      <c r="L3094" s="23"/>
    </row>
    <row r="3095">
      <c r="B3095" s="16"/>
      <c r="L3095" s="23"/>
    </row>
    <row r="3096">
      <c r="B3096" s="16"/>
      <c r="L3096" s="23"/>
    </row>
    <row r="3097">
      <c r="B3097" s="16"/>
      <c r="L3097" s="23"/>
    </row>
    <row r="3098">
      <c r="B3098" s="16"/>
      <c r="L3098" s="23"/>
    </row>
    <row r="3099">
      <c r="B3099" s="16"/>
      <c r="L3099" s="23"/>
    </row>
    <row r="3100">
      <c r="B3100" s="16"/>
      <c r="L3100" s="23"/>
    </row>
    <row r="3101">
      <c r="B3101" s="16"/>
      <c r="L3101" s="23"/>
    </row>
    <row r="3102">
      <c r="B3102" s="16"/>
      <c r="L3102" s="23"/>
    </row>
    <row r="3103">
      <c r="B3103" s="16"/>
      <c r="L3103" s="23"/>
    </row>
    <row r="3104">
      <c r="B3104" s="16"/>
      <c r="L3104" s="23"/>
    </row>
    <row r="3105">
      <c r="B3105" s="16"/>
      <c r="L3105" s="23"/>
    </row>
    <row r="3106">
      <c r="B3106" s="16"/>
      <c r="L3106" s="23"/>
    </row>
    <row r="3107">
      <c r="B3107" s="16"/>
      <c r="L3107" s="23"/>
    </row>
    <row r="3108">
      <c r="B3108" s="16"/>
      <c r="L3108" s="23"/>
    </row>
    <row r="3109">
      <c r="B3109" s="16"/>
      <c r="L3109" s="23"/>
    </row>
    <row r="3110">
      <c r="B3110" s="16"/>
      <c r="L3110" s="23"/>
    </row>
    <row r="3111">
      <c r="B3111" s="16"/>
      <c r="L3111" s="23"/>
    </row>
    <row r="3112">
      <c r="B3112" s="16"/>
      <c r="L3112" s="23"/>
    </row>
    <row r="3113">
      <c r="B3113" s="16"/>
      <c r="L3113" s="23"/>
    </row>
    <row r="3114">
      <c r="B3114" s="16"/>
      <c r="L3114" s="23"/>
    </row>
    <row r="3115">
      <c r="B3115" s="16"/>
      <c r="L3115" s="23"/>
    </row>
    <row r="3116">
      <c r="B3116" s="16"/>
      <c r="L3116" s="23"/>
    </row>
    <row r="3117">
      <c r="B3117" s="16"/>
      <c r="L3117" s="23"/>
    </row>
    <row r="3118">
      <c r="B3118" s="16"/>
      <c r="L3118" s="23"/>
    </row>
    <row r="3119">
      <c r="B3119" s="16"/>
      <c r="L3119" s="23"/>
    </row>
    <row r="3120">
      <c r="B3120" s="16"/>
      <c r="L3120" s="23"/>
    </row>
    <row r="3121">
      <c r="B3121" s="16"/>
      <c r="L3121" s="23"/>
    </row>
    <row r="3122">
      <c r="B3122" s="16"/>
      <c r="L3122" s="23"/>
    </row>
    <row r="3123">
      <c r="B3123" s="16"/>
      <c r="L3123" s="23"/>
    </row>
    <row r="3124">
      <c r="B3124" s="16"/>
      <c r="L3124" s="23"/>
    </row>
    <row r="3125">
      <c r="B3125" s="16"/>
      <c r="L3125" s="23"/>
    </row>
    <row r="3126">
      <c r="B3126" s="16"/>
      <c r="L3126" s="23"/>
    </row>
    <row r="3127">
      <c r="B3127" s="16"/>
      <c r="L3127" s="23"/>
    </row>
    <row r="3128">
      <c r="B3128" s="16"/>
      <c r="L3128" s="23"/>
    </row>
    <row r="3129">
      <c r="B3129" s="16"/>
      <c r="L3129" s="23"/>
    </row>
    <row r="3130">
      <c r="B3130" s="16"/>
      <c r="L3130" s="23"/>
    </row>
    <row r="3131">
      <c r="B3131" s="16"/>
      <c r="L3131" s="23"/>
    </row>
    <row r="3132">
      <c r="B3132" s="16"/>
      <c r="L3132" s="23"/>
    </row>
    <row r="3133">
      <c r="B3133" s="16"/>
      <c r="L3133" s="23"/>
    </row>
    <row r="3134">
      <c r="B3134" s="16"/>
      <c r="L3134" s="23"/>
    </row>
    <row r="3135">
      <c r="B3135" s="16"/>
      <c r="L3135" s="23"/>
    </row>
    <row r="3136">
      <c r="B3136" s="16"/>
      <c r="L3136" s="23"/>
    </row>
    <row r="3137">
      <c r="B3137" s="16"/>
      <c r="L3137" s="23"/>
    </row>
    <row r="3138">
      <c r="B3138" s="16"/>
      <c r="L3138" s="23"/>
    </row>
    <row r="3139">
      <c r="B3139" s="16"/>
      <c r="L3139" s="23"/>
    </row>
    <row r="3140">
      <c r="B3140" s="16"/>
      <c r="L3140" s="23"/>
      <c r="M3140" s="23"/>
    </row>
    <row r="3141">
      <c r="B3141" s="16"/>
      <c r="L3141" s="23"/>
    </row>
    <row r="3142">
      <c r="B3142" s="16"/>
      <c r="L3142" s="23"/>
    </row>
    <row r="3143">
      <c r="B3143" s="16"/>
      <c r="L3143" s="23"/>
    </row>
    <row r="3144">
      <c r="B3144" s="16"/>
      <c r="L3144" s="23"/>
    </row>
    <row r="3145">
      <c r="B3145" s="16"/>
      <c r="L3145" s="23"/>
    </row>
    <row r="3146">
      <c r="B3146" s="16"/>
      <c r="L3146" s="23"/>
    </row>
    <row r="3147">
      <c r="B3147" s="16"/>
      <c r="L3147" s="23"/>
    </row>
    <row r="3148">
      <c r="B3148" s="16"/>
      <c r="L3148" s="23"/>
    </row>
    <row r="3149">
      <c r="B3149" s="16"/>
      <c r="L3149" s="23"/>
    </row>
    <row r="3150">
      <c r="B3150" s="16"/>
      <c r="L3150" s="23"/>
    </row>
    <row r="3151">
      <c r="B3151" s="16"/>
      <c r="L3151" s="23"/>
    </row>
    <row r="3152">
      <c r="B3152" s="16"/>
      <c r="L3152" s="23"/>
    </row>
    <row r="3153">
      <c r="B3153" s="16"/>
      <c r="L3153" s="23"/>
    </row>
    <row r="3154">
      <c r="B3154" s="16"/>
      <c r="L3154" s="23"/>
    </row>
    <row r="3155">
      <c r="B3155" s="16"/>
      <c r="L3155" s="23"/>
    </row>
    <row r="3156">
      <c r="B3156" s="16"/>
      <c r="L3156" s="23"/>
    </row>
    <row r="3157">
      <c r="B3157" s="16"/>
      <c r="L3157" s="23"/>
    </row>
    <row r="3158">
      <c r="B3158" s="16"/>
      <c r="L3158" s="23"/>
    </row>
    <row r="3159">
      <c r="B3159" s="16"/>
      <c r="L3159" s="23"/>
    </row>
    <row r="3160">
      <c r="B3160" s="16"/>
      <c r="L3160" s="23"/>
    </row>
    <row r="3161">
      <c r="B3161" s="16"/>
      <c r="L3161" s="23"/>
    </row>
    <row r="3162">
      <c r="B3162" s="16"/>
      <c r="L3162" s="23"/>
    </row>
    <row r="3163">
      <c r="B3163" s="16"/>
      <c r="L3163" s="23"/>
    </row>
    <row r="3164">
      <c r="B3164" s="16"/>
      <c r="L3164" s="23"/>
    </row>
    <row r="3165">
      <c r="B3165" s="16"/>
      <c r="L3165" s="23"/>
      <c r="M3165" s="23"/>
    </row>
    <row r="3166">
      <c r="B3166" s="16"/>
      <c r="L3166" s="23"/>
    </row>
    <row r="3167">
      <c r="B3167" s="16"/>
      <c r="L3167" s="23"/>
    </row>
    <row r="3168">
      <c r="B3168" s="16"/>
      <c r="L3168" s="23"/>
    </row>
    <row r="3169">
      <c r="B3169" s="16"/>
      <c r="L3169" s="23"/>
    </row>
    <row r="3170">
      <c r="B3170" s="16"/>
      <c r="L3170" s="23"/>
      <c r="M3170" s="23"/>
    </row>
    <row r="3171">
      <c r="B3171" s="16"/>
      <c r="L3171" s="23"/>
    </row>
    <row r="3172">
      <c r="B3172" s="16"/>
      <c r="L3172" s="23"/>
    </row>
    <row r="3173">
      <c r="B3173" s="16"/>
      <c r="L3173" s="23"/>
      <c r="M3173" s="23"/>
    </row>
    <row r="3174">
      <c r="B3174" s="16"/>
      <c r="L3174" s="23"/>
    </row>
    <row r="3175">
      <c r="B3175" s="16"/>
      <c r="L3175" s="23"/>
    </row>
    <row r="3176">
      <c r="B3176" s="16"/>
      <c r="L3176" s="23"/>
    </row>
    <row r="3177">
      <c r="B3177" s="16"/>
      <c r="L3177" s="23"/>
    </row>
    <row r="3178">
      <c r="B3178" s="16"/>
      <c r="L3178" s="23"/>
    </row>
    <row r="3179">
      <c r="B3179" s="16"/>
      <c r="L3179" s="23"/>
    </row>
    <row r="3180">
      <c r="B3180" s="16"/>
      <c r="L3180" s="23"/>
    </row>
    <row r="3181">
      <c r="B3181" s="16"/>
      <c r="L3181" s="23"/>
    </row>
    <row r="3182">
      <c r="B3182" s="16"/>
      <c r="L3182" s="23"/>
    </row>
    <row r="3183">
      <c r="B3183" s="16"/>
      <c r="L3183" s="23"/>
      <c r="M3183" s="23"/>
    </row>
    <row r="3184">
      <c r="B3184" s="16"/>
      <c r="L3184" s="23"/>
      <c r="M3184" s="23"/>
    </row>
    <row r="3185">
      <c r="B3185" s="16"/>
      <c r="L3185" s="23"/>
      <c r="M3185" s="23"/>
    </row>
    <row r="3186">
      <c r="B3186" s="16"/>
      <c r="L3186" s="23"/>
    </row>
    <row r="3187">
      <c r="B3187" s="16"/>
      <c r="L3187" s="23"/>
    </row>
    <row r="3188">
      <c r="B3188" s="16"/>
      <c r="L3188" s="23"/>
      <c r="M3188" s="23"/>
    </row>
    <row r="3189">
      <c r="B3189" s="16"/>
      <c r="L3189" s="23"/>
      <c r="M3189" s="23"/>
    </row>
    <row r="3190">
      <c r="B3190" s="16"/>
      <c r="L3190" s="23"/>
    </row>
    <row r="3191">
      <c r="B3191" s="16"/>
      <c r="L3191" s="23"/>
    </row>
    <row r="3192">
      <c r="B3192" s="16"/>
      <c r="L3192" s="23"/>
      <c r="M3192" s="23"/>
    </row>
    <row r="3193">
      <c r="B3193" s="16"/>
      <c r="L3193" s="23"/>
    </row>
    <row r="3194">
      <c r="B3194" s="16"/>
      <c r="L3194" s="23"/>
    </row>
    <row r="3195">
      <c r="B3195" s="16"/>
      <c r="L3195" s="23"/>
      <c r="M3195" s="23"/>
    </row>
    <row r="3196">
      <c r="B3196" s="16"/>
      <c r="L3196" s="23"/>
    </row>
    <row r="3197">
      <c r="B3197" s="16"/>
      <c r="L3197" s="23"/>
    </row>
    <row r="3198">
      <c r="B3198" s="16"/>
      <c r="L3198" s="23"/>
      <c r="M3198" s="23"/>
    </row>
    <row r="3199">
      <c r="B3199" s="16"/>
      <c r="L3199" s="23"/>
      <c r="M3199" s="23"/>
    </row>
    <row r="3200">
      <c r="B3200" s="16"/>
      <c r="L3200" s="23"/>
    </row>
    <row r="3201">
      <c r="B3201" s="16"/>
      <c r="L3201" s="23"/>
    </row>
    <row r="3202">
      <c r="B3202" s="16"/>
      <c r="L3202" s="23"/>
      <c r="M3202" s="23"/>
    </row>
    <row r="3203">
      <c r="B3203" s="16"/>
      <c r="L3203" s="23"/>
    </row>
    <row r="3204">
      <c r="B3204" s="16"/>
      <c r="L3204" s="23"/>
    </row>
    <row r="3205">
      <c r="B3205" s="16"/>
      <c r="L3205" s="23"/>
    </row>
    <row r="3206">
      <c r="B3206" s="16"/>
      <c r="L3206" s="23"/>
    </row>
    <row r="3207">
      <c r="B3207" s="16"/>
      <c r="L3207" s="23"/>
      <c r="M3207" s="23"/>
    </row>
    <row r="3208">
      <c r="B3208" s="16"/>
      <c r="L3208" s="23"/>
    </row>
    <row r="3209">
      <c r="B3209" s="16"/>
      <c r="L3209" s="23"/>
    </row>
    <row r="3210">
      <c r="B3210" s="16"/>
      <c r="L3210" s="23"/>
    </row>
    <row r="3211">
      <c r="B3211" s="16"/>
      <c r="L3211" s="23"/>
    </row>
    <row r="3212">
      <c r="B3212" s="16"/>
      <c r="L3212" s="23"/>
      <c r="M3212" s="23"/>
    </row>
    <row r="3213">
      <c r="B3213" s="16"/>
      <c r="L3213" s="23"/>
    </row>
    <row r="3214">
      <c r="B3214" s="16"/>
      <c r="L3214" s="23"/>
    </row>
    <row r="3215">
      <c r="B3215" s="16"/>
      <c r="L3215" s="23"/>
    </row>
    <row r="3216">
      <c r="B3216" s="16"/>
      <c r="L3216" s="23"/>
    </row>
    <row r="3217">
      <c r="B3217" s="16"/>
      <c r="L3217" s="23"/>
    </row>
    <row r="3218">
      <c r="B3218" s="16"/>
      <c r="L3218" s="23"/>
    </row>
    <row r="3219">
      <c r="B3219" s="16"/>
      <c r="L3219" s="23"/>
    </row>
    <row r="3220">
      <c r="B3220" s="16"/>
      <c r="L3220" s="23"/>
    </row>
    <row r="3221">
      <c r="B3221" s="16"/>
      <c r="L3221" s="23"/>
    </row>
    <row r="3222">
      <c r="B3222" s="16"/>
      <c r="L3222" s="23"/>
    </row>
    <row r="3223">
      <c r="B3223" s="16"/>
      <c r="L3223" s="23"/>
    </row>
    <row r="3224">
      <c r="B3224" s="16"/>
      <c r="L3224" s="23"/>
    </row>
    <row r="3225">
      <c r="B3225" s="16"/>
      <c r="L3225" s="23"/>
    </row>
    <row r="3226">
      <c r="B3226" s="16"/>
      <c r="L3226" s="23"/>
    </row>
    <row r="3227">
      <c r="B3227" s="16"/>
      <c r="L3227" s="23"/>
    </row>
    <row r="3228">
      <c r="B3228" s="16"/>
      <c r="L3228" s="23"/>
    </row>
    <row r="3229">
      <c r="B3229" s="16"/>
      <c r="L3229" s="23"/>
    </row>
    <row r="3230">
      <c r="B3230" s="16"/>
      <c r="L3230" s="23"/>
      <c r="M3230" s="23"/>
    </row>
    <row r="3231">
      <c r="B3231" s="16"/>
      <c r="L3231" s="23"/>
    </row>
    <row r="3232">
      <c r="B3232" s="16"/>
      <c r="L3232" s="23"/>
    </row>
    <row r="3233">
      <c r="B3233" s="16"/>
      <c r="L3233" s="23"/>
    </row>
    <row r="3234">
      <c r="B3234" s="16"/>
      <c r="L3234" s="23"/>
    </row>
    <row r="3235">
      <c r="B3235" s="16"/>
      <c r="L3235" s="23"/>
    </row>
    <row r="3236">
      <c r="B3236" s="16"/>
      <c r="L3236" s="23"/>
    </row>
    <row r="3237">
      <c r="B3237" s="16"/>
      <c r="L3237" s="23"/>
    </row>
    <row r="3238">
      <c r="B3238" s="16"/>
      <c r="L3238" s="23"/>
    </row>
    <row r="3239">
      <c r="B3239" s="16"/>
      <c r="L3239" s="23"/>
    </row>
    <row r="3240">
      <c r="B3240" s="16"/>
      <c r="L3240" s="23"/>
    </row>
    <row r="3241">
      <c r="B3241" s="16"/>
      <c r="L3241" s="23"/>
    </row>
    <row r="3242">
      <c r="B3242" s="16"/>
      <c r="L3242" s="23"/>
    </row>
    <row r="3243">
      <c r="B3243" s="16"/>
      <c r="L3243" s="23"/>
    </row>
    <row r="3244">
      <c r="B3244" s="16"/>
      <c r="L3244" s="23"/>
    </row>
    <row r="3245">
      <c r="B3245" s="16"/>
      <c r="L3245" s="23"/>
    </row>
    <row r="3246">
      <c r="B3246" s="16"/>
      <c r="L3246" s="23"/>
    </row>
    <row r="3247">
      <c r="B3247" s="16"/>
      <c r="L3247" s="23"/>
      <c r="M3247" s="23"/>
    </row>
    <row r="3248">
      <c r="B3248" s="16"/>
      <c r="L3248" s="23"/>
    </row>
    <row r="3249">
      <c r="B3249" s="16"/>
      <c r="L3249" s="23"/>
      <c r="M3249" s="23"/>
    </row>
    <row r="3250">
      <c r="B3250" s="16"/>
      <c r="L3250" s="23"/>
    </row>
    <row r="3251">
      <c r="B3251" s="16"/>
      <c r="L3251" s="23"/>
    </row>
    <row r="3252">
      <c r="B3252" s="16"/>
      <c r="L3252" s="23"/>
    </row>
    <row r="3253">
      <c r="B3253" s="16"/>
      <c r="L3253" s="23"/>
    </row>
    <row r="3254">
      <c r="B3254" s="16"/>
      <c r="L3254" s="23"/>
    </row>
    <row r="3255">
      <c r="B3255" s="16"/>
      <c r="L3255" s="23"/>
    </row>
    <row r="3256">
      <c r="B3256" s="16"/>
      <c r="L3256" s="23"/>
    </row>
    <row r="3257">
      <c r="B3257" s="16"/>
      <c r="L3257" s="23"/>
    </row>
    <row r="3258">
      <c r="B3258" s="16"/>
      <c r="L3258" s="23"/>
    </row>
    <row r="3259">
      <c r="B3259" s="16"/>
      <c r="L3259" s="23"/>
    </row>
    <row r="3260">
      <c r="B3260" s="16"/>
      <c r="L3260" s="23"/>
    </row>
    <row r="3261">
      <c r="B3261" s="16"/>
      <c r="L3261" s="23"/>
    </row>
    <row r="3262">
      <c r="B3262" s="16"/>
      <c r="L3262" s="23"/>
    </row>
    <row r="3263">
      <c r="B3263" s="16"/>
      <c r="L3263" s="23"/>
    </row>
    <row r="3264">
      <c r="B3264" s="16"/>
      <c r="L3264" s="23"/>
    </row>
    <row r="3265">
      <c r="B3265" s="16"/>
      <c r="L3265" s="23"/>
    </row>
    <row r="3266">
      <c r="B3266" s="16"/>
      <c r="L3266" s="23"/>
    </row>
    <row r="3267">
      <c r="B3267" s="16"/>
      <c r="L3267" s="23"/>
    </row>
    <row r="3268">
      <c r="B3268" s="16"/>
      <c r="L3268" s="23"/>
    </row>
    <row r="3269">
      <c r="B3269" s="16"/>
      <c r="L3269" s="23"/>
    </row>
    <row r="3270">
      <c r="B3270" s="16"/>
      <c r="L3270" s="23"/>
    </row>
    <row r="3271">
      <c r="B3271" s="16"/>
      <c r="L3271" s="23"/>
    </row>
    <row r="3272">
      <c r="B3272" s="16"/>
      <c r="L3272" s="23"/>
    </row>
    <row r="3273">
      <c r="B3273" s="16"/>
      <c r="L3273" s="23"/>
    </row>
    <row r="3274">
      <c r="B3274" s="16"/>
      <c r="L3274" s="23"/>
    </row>
    <row r="3275">
      <c r="B3275" s="16"/>
      <c r="L3275" s="23"/>
    </row>
    <row r="3276">
      <c r="B3276" s="16"/>
      <c r="L3276" s="23"/>
    </row>
    <row r="3277">
      <c r="B3277" s="16"/>
      <c r="L3277" s="23"/>
    </row>
    <row r="3278">
      <c r="B3278" s="16"/>
      <c r="L3278" s="23"/>
    </row>
    <row r="3279">
      <c r="B3279" s="16"/>
      <c r="L3279" s="23"/>
    </row>
    <row r="3280">
      <c r="B3280" s="16"/>
      <c r="L3280" s="23"/>
    </row>
    <row r="3281">
      <c r="B3281" s="16"/>
      <c r="L3281" s="23"/>
      <c r="M3281" s="23"/>
    </row>
    <row r="3282">
      <c r="B3282" s="16"/>
      <c r="L3282" s="23"/>
    </row>
    <row r="3283">
      <c r="B3283" s="16"/>
      <c r="L3283" s="23"/>
    </row>
    <row r="3284">
      <c r="B3284" s="16"/>
      <c r="L3284" s="23"/>
    </row>
    <row r="3285">
      <c r="B3285" s="16"/>
      <c r="L3285" s="23"/>
    </row>
    <row r="3286">
      <c r="B3286" s="16"/>
      <c r="L3286" s="23"/>
    </row>
    <row r="3287">
      <c r="B3287" s="16"/>
      <c r="L3287" s="23"/>
    </row>
    <row r="3288">
      <c r="B3288" s="16"/>
      <c r="L3288" s="23"/>
    </row>
    <row r="3289">
      <c r="B3289" s="16"/>
      <c r="L3289" s="23"/>
    </row>
    <row r="3290">
      <c r="B3290" s="16"/>
      <c r="L3290" s="23"/>
    </row>
    <row r="3291">
      <c r="B3291" s="16"/>
      <c r="L3291" s="23"/>
    </row>
    <row r="3292">
      <c r="B3292" s="16"/>
      <c r="L3292" s="23"/>
    </row>
    <row r="3293">
      <c r="B3293" s="16"/>
      <c r="L3293" s="23"/>
    </row>
    <row r="3294">
      <c r="B3294" s="16"/>
      <c r="L3294" s="23"/>
    </row>
    <row r="3295">
      <c r="B3295" s="16"/>
      <c r="L3295" s="23"/>
    </row>
    <row r="3296">
      <c r="B3296" s="16"/>
      <c r="L3296" s="23"/>
    </row>
    <row r="3297">
      <c r="B3297" s="16"/>
      <c r="L3297" s="23"/>
    </row>
    <row r="3298">
      <c r="B3298" s="16"/>
      <c r="L3298" s="23"/>
    </row>
    <row r="3299">
      <c r="B3299" s="16"/>
      <c r="L3299" s="23"/>
    </row>
    <row r="3300">
      <c r="B3300" s="16"/>
      <c r="L3300" s="23"/>
    </row>
    <row r="3301">
      <c r="B3301" s="16"/>
      <c r="L3301" s="23"/>
    </row>
    <row r="3302">
      <c r="B3302" s="16"/>
      <c r="L3302" s="23"/>
    </row>
    <row r="3303">
      <c r="B3303" s="16"/>
      <c r="L3303" s="23"/>
      <c r="M3303" s="23"/>
    </row>
    <row r="3304">
      <c r="B3304" s="16"/>
      <c r="L3304" s="23"/>
      <c r="M3304" s="23"/>
    </row>
    <row r="3305">
      <c r="B3305" s="16"/>
      <c r="L3305" s="23"/>
    </row>
    <row r="3306">
      <c r="B3306" s="16"/>
      <c r="L3306" s="23"/>
      <c r="M3306" s="23"/>
    </row>
    <row r="3307">
      <c r="B3307" s="16"/>
      <c r="L3307" s="23"/>
    </row>
    <row r="3308">
      <c r="B3308" s="16"/>
      <c r="L3308" s="23"/>
      <c r="M3308" s="23"/>
    </row>
    <row r="3309">
      <c r="B3309" s="16"/>
      <c r="L3309" s="23"/>
      <c r="M3309" s="23"/>
    </row>
    <row r="3310">
      <c r="B3310" s="16"/>
      <c r="L3310" s="23"/>
      <c r="M3310" s="23"/>
    </row>
    <row r="3311">
      <c r="B3311" s="16"/>
      <c r="L3311" s="23"/>
    </row>
    <row r="3312">
      <c r="B3312" s="16"/>
      <c r="L3312" s="23"/>
      <c r="M3312" s="23"/>
    </row>
    <row r="3313">
      <c r="B3313" s="16"/>
      <c r="L3313" s="23"/>
      <c r="M3313" s="23"/>
    </row>
    <row r="3314">
      <c r="B3314" s="16"/>
      <c r="L3314" s="23"/>
      <c r="M3314" s="23"/>
    </row>
    <row r="3315">
      <c r="B3315" s="16"/>
      <c r="L3315" s="23"/>
      <c r="M3315" s="23"/>
    </row>
    <row r="3316">
      <c r="B3316" s="16"/>
      <c r="L3316" s="23"/>
      <c r="M3316" s="23"/>
    </row>
    <row r="3317">
      <c r="B3317" s="16"/>
      <c r="L3317" s="23"/>
      <c r="M3317" s="23"/>
    </row>
    <row r="3318">
      <c r="B3318" s="16"/>
      <c r="L3318" s="23"/>
      <c r="M3318" s="23"/>
    </row>
    <row r="3319">
      <c r="B3319" s="16"/>
      <c r="L3319" s="23"/>
      <c r="M3319" s="23"/>
    </row>
    <row r="3320">
      <c r="B3320" s="16"/>
      <c r="L3320" s="23"/>
      <c r="M3320" s="23"/>
    </row>
    <row r="3321">
      <c r="B3321" s="16"/>
      <c r="L3321" s="23"/>
      <c r="M3321" s="23"/>
    </row>
    <row r="3322">
      <c r="B3322" s="16"/>
      <c r="L3322" s="23"/>
      <c r="M3322" s="23"/>
    </row>
    <row r="3323">
      <c r="B3323" s="16"/>
      <c r="L3323" s="23"/>
      <c r="M3323" s="23"/>
    </row>
    <row r="3324">
      <c r="B3324" s="16"/>
      <c r="L3324" s="23"/>
      <c r="M3324" s="23"/>
    </row>
    <row r="3325">
      <c r="B3325" s="16"/>
      <c r="L3325" s="23"/>
      <c r="M3325" s="23"/>
    </row>
    <row r="3326">
      <c r="B3326" s="16"/>
      <c r="L3326" s="23"/>
      <c r="M3326" s="23"/>
    </row>
    <row r="3327">
      <c r="B3327" s="16"/>
      <c r="L3327" s="23"/>
      <c r="M3327" s="23"/>
    </row>
    <row r="3328">
      <c r="B3328" s="16"/>
      <c r="L3328" s="23"/>
      <c r="M3328" s="23"/>
    </row>
    <row r="3329">
      <c r="B3329" s="16"/>
      <c r="L3329" s="23"/>
      <c r="M3329" s="23"/>
    </row>
    <row r="3330">
      <c r="B3330" s="16"/>
      <c r="L3330" s="23"/>
    </row>
    <row r="3331">
      <c r="B3331" s="16"/>
      <c r="L3331" s="23"/>
    </row>
    <row r="3332">
      <c r="B3332" s="16"/>
      <c r="L3332" s="23"/>
      <c r="M3332" s="23"/>
    </row>
    <row r="3333">
      <c r="B3333" s="16"/>
      <c r="L3333" s="23"/>
      <c r="M3333" s="23"/>
    </row>
    <row r="3334">
      <c r="B3334" s="16"/>
      <c r="L3334" s="23"/>
      <c r="M3334" s="23"/>
    </row>
    <row r="3335">
      <c r="B3335" s="16"/>
      <c r="L3335" s="23"/>
    </row>
    <row r="3336">
      <c r="B3336" s="16"/>
      <c r="L3336" s="23"/>
    </row>
    <row r="3337">
      <c r="B3337" s="16"/>
      <c r="L3337" s="23"/>
      <c r="M3337" s="23"/>
    </row>
    <row r="3338">
      <c r="B3338" s="16"/>
      <c r="L3338" s="23"/>
    </row>
    <row r="3339">
      <c r="B3339" s="16"/>
      <c r="L3339" s="23"/>
      <c r="M3339" s="23"/>
    </row>
    <row r="3340">
      <c r="B3340" s="16"/>
      <c r="L3340" s="23"/>
      <c r="M3340" s="23"/>
    </row>
    <row r="3341">
      <c r="B3341" s="16"/>
      <c r="L3341" s="23"/>
      <c r="M3341" s="23"/>
    </row>
    <row r="3342">
      <c r="B3342" s="16"/>
      <c r="L3342" s="23"/>
      <c r="M3342" s="23"/>
    </row>
    <row r="3343">
      <c r="B3343" s="16"/>
      <c r="L3343" s="23"/>
      <c r="M3343" s="23"/>
    </row>
    <row r="3344">
      <c r="B3344" s="16"/>
      <c r="L3344" s="23"/>
      <c r="M3344" s="23"/>
    </row>
    <row r="3345">
      <c r="B3345" s="16"/>
      <c r="L3345" s="23"/>
    </row>
    <row r="3346">
      <c r="B3346" s="16"/>
      <c r="L3346" s="23"/>
    </row>
    <row r="3347">
      <c r="B3347" s="16"/>
      <c r="L3347" s="23"/>
    </row>
    <row r="3348">
      <c r="B3348" s="16"/>
      <c r="L3348" s="23"/>
    </row>
    <row r="3349">
      <c r="B3349" s="16"/>
      <c r="L3349" s="23"/>
    </row>
    <row r="3350">
      <c r="B3350" s="16"/>
      <c r="L3350" s="23"/>
    </row>
    <row r="3351">
      <c r="B3351" s="16"/>
      <c r="L3351" s="23"/>
    </row>
    <row r="3352">
      <c r="B3352" s="16"/>
      <c r="L3352" s="23"/>
    </row>
    <row r="3353">
      <c r="B3353" s="16"/>
      <c r="L3353" s="23"/>
    </row>
    <row r="3354">
      <c r="B3354" s="16"/>
      <c r="L3354" s="23"/>
    </row>
    <row r="3355">
      <c r="B3355" s="16"/>
      <c r="L3355" s="23"/>
    </row>
    <row r="3356">
      <c r="B3356" s="16"/>
      <c r="L3356" s="23"/>
    </row>
    <row r="3357">
      <c r="B3357" s="16"/>
      <c r="L3357" s="23"/>
    </row>
    <row r="3358">
      <c r="B3358" s="16"/>
      <c r="L3358" s="23"/>
    </row>
    <row r="3359">
      <c r="B3359" s="16"/>
      <c r="L3359" s="23"/>
    </row>
    <row r="3360">
      <c r="B3360" s="16"/>
      <c r="L3360" s="23"/>
    </row>
    <row r="3361">
      <c r="B3361" s="16"/>
      <c r="L3361" s="23"/>
      <c r="M3361" s="23"/>
    </row>
    <row r="3362">
      <c r="B3362" s="16"/>
      <c r="L3362" s="23"/>
    </row>
    <row r="3363">
      <c r="B3363" s="16"/>
      <c r="L3363" s="23"/>
    </row>
    <row r="3364">
      <c r="B3364" s="16"/>
      <c r="L3364" s="23"/>
    </row>
    <row r="3365">
      <c r="B3365" s="16"/>
      <c r="L3365" s="23"/>
    </row>
    <row r="3366">
      <c r="B3366" s="16"/>
      <c r="L3366" s="23"/>
      <c r="M3366" s="23"/>
    </row>
    <row r="3367">
      <c r="B3367" s="16"/>
      <c r="L3367" s="23"/>
    </row>
    <row r="3368">
      <c r="B3368" s="16"/>
      <c r="L3368" s="23"/>
    </row>
    <row r="3369">
      <c r="B3369" s="16"/>
      <c r="L3369" s="23"/>
    </row>
    <row r="3370">
      <c r="B3370" s="16"/>
      <c r="L3370" s="23"/>
    </row>
    <row r="3371">
      <c r="B3371" s="16"/>
      <c r="L3371" s="23"/>
    </row>
    <row r="3372">
      <c r="B3372" s="16"/>
      <c r="L3372" s="23"/>
    </row>
    <row r="3373">
      <c r="B3373" s="16"/>
      <c r="L3373" s="23"/>
    </row>
    <row r="3374">
      <c r="B3374" s="16"/>
      <c r="L3374" s="23"/>
      <c r="M3374" s="23"/>
    </row>
    <row r="3375">
      <c r="B3375" s="16"/>
      <c r="L3375" s="23"/>
    </row>
    <row r="3376">
      <c r="B3376" s="16"/>
      <c r="L3376" s="23"/>
    </row>
    <row r="3377">
      <c r="B3377" s="16"/>
      <c r="L3377" s="23"/>
    </row>
    <row r="3378">
      <c r="B3378" s="16"/>
      <c r="L3378" s="23"/>
    </row>
    <row r="3379">
      <c r="B3379" s="16"/>
      <c r="L3379" s="23"/>
    </row>
    <row r="3380">
      <c r="B3380" s="16"/>
      <c r="L3380" s="23"/>
    </row>
    <row r="3381">
      <c r="B3381" s="16"/>
      <c r="L3381" s="23"/>
      <c r="M3381" s="23"/>
    </row>
    <row r="3382">
      <c r="B3382" s="16"/>
      <c r="L3382" s="23"/>
    </row>
    <row r="3383">
      <c r="B3383" s="16"/>
      <c r="L3383" s="23"/>
    </row>
    <row r="3384">
      <c r="B3384" s="16"/>
      <c r="L3384" s="23"/>
      <c r="M3384" s="23"/>
    </row>
    <row r="3385">
      <c r="B3385" s="16"/>
      <c r="L3385" s="23"/>
      <c r="M3385" s="23"/>
    </row>
    <row r="3386">
      <c r="B3386" s="16"/>
      <c r="L3386" s="23"/>
    </row>
    <row r="3387">
      <c r="B3387" s="16"/>
      <c r="L3387" s="23"/>
      <c r="M3387" s="23"/>
    </row>
    <row r="3388">
      <c r="B3388" s="16"/>
      <c r="L3388" s="23"/>
      <c r="M3388" s="23"/>
    </row>
    <row r="3389">
      <c r="B3389" s="16"/>
      <c r="L3389" s="23"/>
    </row>
    <row r="3390">
      <c r="B3390" s="16"/>
      <c r="L3390" s="23"/>
    </row>
    <row r="3391">
      <c r="B3391" s="16"/>
      <c r="L3391" s="23"/>
    </row>
    <row r="3392">
      <c r="B3392" s="16"/>
      <c r="L3392" s="23"/>
      <c r="M3392" s="23"/>
    </row>
    <row r="3393">
      <c r="B3393" s="16"/>
      <c r="L3393" s="23"/>
    </row>
    <row r="3394">
      <c r="B3394" s="16"/>
      <c r="L3394" s="23"/>
      <c r="M3394" s="23"/>
    </row>
    <row r="3395">
      <c r="B3395" s="16"/>
      <c r="L3395" s="23"/>
    </row>
    <row r="3396">
      <c r="B3396" s="16"/>
      <c r="L3396" s="23"/>
    </row>
    <row r="3397">
      <c r="B3397" s="16"/>
      <c r="L3397" s="23"/>
    </row>
    <row r="3398">
      <c r="B3398" s="16"/>
      <c r="L3398" s="23"/>
      <c r="M3398" s="23"/>
    </row>
    <row r="3399">
      <c r="B3399" s="16"/>
      <c r="L3399" s="23"/>
    </row>
    <row r="3400">
      <c r="B3400" s="16"/>
      <c r="L3400" s="23"/>
    </row>
    <row r="3401">
      <c r="B3401" s="16"/>
      <c r="L3401" s="23"/>
    </row>
    <row r="3402">
      <c r="B3402" s="16"/>
      <c r="L3402" s="23"/>
      <c r="M3402" s="23"/>
    </row>
    <row r="3403">
      <c r="B3403" s="16"/>
      <c r="L3403" s="23"/>
    </row>
    <row r="3404">
      <c r="B3404" s="16"/>
      <c r="L3404" s="23"/>
      <c r="M3404" s="23"/>
    </row>
    <row r="3405">
      <c r="B3405" s="16"/>
      <c r="L3405" s="23"/>
    </row>
    <row r="3406">
      <c r="B3406" s="16"/>
      <c r="L3406" s="23"/>
    </row>
    <row r="3407">
      <c r="B3407" s="16"/>
      <c r="L3407" s="23"/>
    </row>
    <row r="3408">
      <c r="B3408" s="16"/>
      <c r="L3408" s="23"/>
    </row>
    <row r="3409">
      <c r="B3409" s="16"/>
      <c r="L3409" s="23"/>
    </row>
    <row r="3410">
      <c r="B3410" s="16"/>
      <c r="L3410" s="23"/>
    </row>
    <row r="3411">
      <c r="B3411" s="16"/>
      <c r="L3411" s="23"/>
    </row>
    <row r="3412">
      <c r="B3412" s="16"/>
      <c r="L3412" s="23"/>
      <c r="M3412" s="23"/>
    </row>
    <row r="3413">
      <c r="B3413" s="16"/>
      <c r="L3413" s="23"/>
    </row>
    <row r="3414">
      <c r="B3414" s="16"/>
      <c r="L3414" s="23"/>
    </row>
    <row r="3415">
      <c r="B3415" s="16"/>
      <c r="L3415" s="23"/>
    </row>
    <row r="3416">
      <c r="B3416" s="16"/>
      <c r="L3416" s="23"/>
    </row>
    <row r="3417">
      <c r="B3417" s="16"/>
      <c r="L3417" s="23"/>
    </row>
    <row r="3418">
      <c r="B3418" s="16"/>
      <c r="L3418" s="23"/>
      <c r="M3418" s="23"/>
    </row>
    <row r="3419">
      <c r="B3419" s="16"/>
      <c r="L3419" s="23"/>
      <c r="M3419" s="23"/>
    </row>
    <row r="3420">
      <c r="B3420" s="16"/>
      <c r="L3420" s="23"/>
      <c r="M3420" s="23"/>
    </row>
    <row r="3421">
      <c r="B3421" s="16"/>
      <c r="L3421" s="23"/>
      <c r="M3421" s="23"/>
    </row>
    <row r="3422">
      <c r="B3422" s="16"/>
      <c r="L3422" s="23"/>
      <c r="M3422" s="23"/>
    </row>
    <row r="3423">
      <c r="B3423" s="16"/>
      <c r="L3423" s="23"/>
      <c r="M3423" s="23"/>
    </row>
    <row r="3424">
      <c r="B3424" s="16"/>
      <c r="L3424" s="23"/>
      <c r="M3424" s="23"/>
    </row>
    <row r="3425">
      <c r="B3425" s="16"/>
      <c r="L3425" s="23"/>
    </row>
    <row r="3426">
      <c r="B3426" s="16"/>
      <c r="L3426" s="23"/>
      <c r="M3426" s="23"/>
    </row>
    <row r="3427">
      <c r="B3427" s="16"/>
      <c r="L3427" s="23"/>
      <c r="M3427" s="23"/>
    </row>
    <row r="3428">
      <c r="B3428" s="16"/>
      <c r="L3428" s="23"/>
      <c r="M3428" s="23"/>
    </row>
    <row r="3429">
      <c r="B3429" s="16"/>
      <c r="L3429" s="23"/>
      <c r="M3429" s="23"/>
    </row>
    <row r="3430">
      <c r="B3430" s="16"/>
      <c r="L3430" s="23"/>
      <c r="M3430" s="23"/>
    </row>
    <row r="3431">
      <c r="B3431" s="16"/>
      <c r="L3431" s="23"/>
      <c r="M3431" s="23"/>
    </row>
    <row r="3432">
      <c r="B3432" s="16"/>
      <c r="L3432" s="23"/>
      <c r="M3432" s="23"/>
    </row>
    <row r="3433">
      <c r="B3433" s="16"/>
      <c r="L3433" s="23"/>
      <c r="M3433" s="23"/>
    </row>
    <row r="3434">
      <c r="B3434" s="16"/>
      <c r="L3434" s="23"/>
      <c r="M3434" s="23"/>
    </row>
    <row r="3435">
      <c r="B3435" s="16"/>
      <c r="L3435" s="23"/>
      <c r="M3435" s="23"/>
    </row>
    <row r="3436">
      <c r="B3436" s="16"/>
      <c r="L3436" s="23"/>
      <c r="M3436" s="23"/>
    </row>
    <row r="3437">
      <c r="B3437" s="16"/>
      <c r="L3437" s="23"/>
    </row>
    <row r="3438">
      <c r="B3438" s="16"/>
      <c r="L3438" s="23"/>
      <c r="M3438" s="23"/>
    </row>
    <row r="3439">
      <c r="B3439" s="16"/>
      <c r="L3439" s="23"/>
      <c r="M3439" s="23"/>
    </row>
    <row r="3440">
      <c r="B3440" s="16"/>
      <c r="L3440" s="23"/>
    </row>
    <row r="3441">
      <c r="B3441" s="16"/>
      <c r="L3441" s="23"/>
    </row>
    <row r="3442">
      <c r="B3442" s="16"/>
      <c r="L3442" s="23"/>
    </row>
    <row r="3443">
      <c r="B3443" s="16"/>
      <c r="L3443" s="23"/>
    </row>
    <row r="3444">
      <c r="B3444" s="16"/>
      <c r="L3444" s="23"/>
    </row>
    <row r="3445">
      <c r="B3445" s="16"/>
      <c r="L3445" s="23"/>
    </row>
    <row r="3446">
      <c r="B3446" s="16"/>
      <c r="L3446" s="23"/>
    </row>
    <row r="3447">
      <c r="B3447" s="16"/>
      <c r="L3447" s="23"/>
    </row>
    <row r="3448">
      <c r="B3448" s="16"/>
      <c r="L3448" s="23"/>
    </row>
    <row r="3449">
      <c r="B3449" s="16"/>
      <c r="L3449" s="23"/>
    </row>
    <row r="3450">
      <c r="B3450" s="16"/>
      <c r="L3450" s="23"/>
    </row>
    <row r="3451">
      <c r="B3451" s="16"/>
      <c r="L3451" s="23"/>
      <c r="M3451" s="23"/>
    </row>
    <row r="3452">
      <c r="B3452" s="16"/>
      <c r="L3452" s="23"/>
    </row>
    <row r="3453">
      <c r="B3453" s="16"/>
      <c r="L3453" s="23"/>
    </row>
    <row r="3454">
      <c r="B3454" s="16"/>
      <c r="L3454" s="23"/>
    </row>
    <row r="3455">
      <c r="B3455" s="16"/>
      <c r="L3455" s="23"/>
    </row>
    <row r="3456">
      <c r="B3456" s="16"/>
      <c r="L3456" s="23"/>
    </row>
    <row r="3457">
      <c r="B3457" s="16"/>
      <c r="L3457" s="23"/>
    </row>
    <row r="3458">
      <c r="B3458" s="16"/>
      <c r="L3458" s="23"/>
      <c r="M3458" s="23"/>
    </row>
    <row r="3459">
      <c r="B3459" s="16"/>
      <c r="L3459" s="23"/>
    </row>
    <row r="3460">
      <c r="B3460" s="16"/>
      <c r="L3460" s="23"/>
    </row>
    <row r="3461">
      <c r="B3461" s="16"/>
      <c r="L3461" s="23"/>
      <c r="M3461" s="23"/>
    </row>
    <row r="3462">
      <c r="B3462" s="16"/>
      <c r="L3462" s="23"/>
      <c r="M3462" s="23"/>
    </row>
    <row r="3463">
      <c r="B3463" s="16"/>
      <c r="L3463" s="23"/>
      <c r="M3463" s="23"/>
    </row>
    <row r="3464">
      <c r="B3464" s="16"/>
      <c r="L3464" s="23"/>
      <c r="M3464" s="23"/>
    </row>
    <row r="3465">
      <c r="B3465" s="16"/>
      <c r="L3465" s="23"/>
      <c r="M3465" s="23"/>
    </row>
    <row r="3466">
      <c r="B3466" s="16"/>
      <c r="L3466" s="23"/>
    </row>
    <row r="3467">
      <c r="B3467" s="16"/>
      <c r="L3467" s="23"/>
      <c r="M3467" s="23"/>
    </row>
    <row r="3468">
      <c r="B3468" s="16"/>
      <c r="L3468" s="23"/>
    </row>
    <row r="3469">
      <c r="B3469" s="16"/>
      <c r="L3469" s="23"/>
      <c r="M3469" s="23"/>
    </row>
    <row r="3470">
      <c r="B3470" s="16"/>
      <c r="L3470" s="23"/>
      <c r="M3470" s="23"/>
    </row>
    <row r="3471">
      <c r="B3471" s="16"/>
      <c r="L3471" s="23"/>
      <c r="M3471" s="23"/>
    </row>
    <row r="3472">
      <c r="B3472" s="16"/>
      <c r="L3472" s="23"/>
    </row>
    <row r="3473">
      <c r="B3473" s="16"/>
      <c r="L3473" s="23"/>
      <c r="M3473" s="23"/>
    </row>
    <row r="3474">
      <c r="B3474" s="16"/>
      <c r="L3474" s="23"/>
      <c r="M3474" s="23"/>
    </row>
    <row r="3475">
      <c r="B3475" s="16"/>
      <c r="L3475" s="23"/>
      <c r="M3475" s="23"/>
    </row>
    <row r="3476">
      <c r="B3476" s="16"/>
      <c r="L3476" s="23"/>
      <c r="M3476" s="23"/>
    </row>
    <row r="3477">
      <c r="B3477" s="16"/>
      <c r="L3477" s="23"/>
      <c r="M3477" s="23"/>
    </row>
    <row r="3478">
      <c r="B3478" s="16"/>
      <c r="L3478" s="23"/>
      <c r="M3478" s="23"/>
    </row>
    <row r="3479">
      <c r="B3479" s="16"/>
      <c r="L3479" s="23"/>
      <c r="M3479" s="23"/>
    </row>
    <row r="3480">
      <c r="B3480" s="16"/>
      <c r="L3480" s="23"/>
      <c r="M3480" s="23"/>
    </row>
    <row r="3481">
      <c r="B3481" s="16"/>
      <c r="L3481" s="23"/>
      <c r="M3481" s="23"/>
    </row>
    <row r="3482">
      <c r="B3482" s="16"/>
      <c r="L3482" s="23"/>
      <c r="M3482" s="23"/>
    </row>
    <row r="3483">
      <c r="B3483" s="16"/>
      <c r="L3483" s="23"/>
      <c r="M3483" s="23"/>
    </row>
    <row r="3484">
      <c r="B3484" s="16"/>
      <c r="L3484" s="23"/>
      <c r="M3484" s="23"/>
    </row>
    <row r="3485">
      <c r="B3485" s="16"/>
      <c r="L3485" s="23"/>
      <c r="M3485" s="23"/>
    </row>
    <row r="3486">
      <c r="B3486" s="16"/>
      <c r="L3486" s="23"/>
      <c r="M3486" s="23"/>
    </row>
    <row r="3487">
      <c r="B3487" s="16"/>
      <c r="L3487" s="23"/>
      <c r="M3487" s="23"/>
    </row>
    <row r="3488">
      <c r="B3488" s="16"/>
      <c r="L3488" s="23"/>
      <c r="M3488" s="23"/>
    </row>
    <row r="3489">
      <c r="B3489" s="16"/>
      <c r="L3489" s="23"/>
    </row>
    <row r="3490">
      <c r="B3490" s="16"/>
      <c r="L3490" s="23"/>
      <c r="M3490" s="23"/>
    </row>
    <row r="3491">
      <c r="B3491" s="16"/>
      <c r="L3491" s="23"/>
    </row>
    <row r="3492">
      <c r="B3492" s="16"/>
      <c r="L3492" s="23"/>
      <c r="M3492" s="23"/>
    </row>
    <row r="3493">
      <c r="B3493" s="16"/>
      <c r="L3493" s="23"/>
      <c r="M3493" s="23"/>
    </row>
    <row r="3494">
      <c r="B3494" s="16"/>
      <c r="L3494" s="23"/>
      <c r="M3494" s="23"/>
    </row>
    <row r="3495">
      <c r="B3495" s="16"/>
      <c r="L3495" s="23"/>
      <c r="M3495" s="23"/>
    </row>
    <row r="3496">
      <c r="B3496" s="16"/>
      <c r="L3496" s="23"/>
      <c r="M3496" s="23"/>
    </row>
    <row r="3497">
      <c r="B3497" s="16"/>
      <c r="L3497" s="23"/>
      <c r="M3497" s="23"/>
    </row>
    <row r="3498">
      <c r="B3498" s="16"/>
      <c r="L3498" s="23"/>
      <c r="M3498" s="23"/>
    </row>
    <row r="3499">
      <c r="B3499" s="16"/>
      <c r="L3499" s="23"/>
      <c r="M3499" s="23"/>
    </row>
    <row r="3500">
      <c r="B3500" s="16"/>
      <c r="L3500" s="23"/>
      <c r="M3500" s="23"/>
    </row>
    <row r="3501">
      <c r="B3501" s="16"/>
      <c r="L3501" s="23"/>
      <c r="M3501" s="23"/>
    </row>
    <row r="3502">
      <c r="B3502" s="16"/>
      <c r="L3502" s="23"/>
      <c r="M3502" s="23"/>
    </row>
    <row r="3503">
      <c r="B3503" s="16"/>
      <c r="L3503" s="23"/>
      <c r="M3503" s="23"/>
    </row>
    <row r="3504">
      <c r="B3504" s="16"/>
      <c r="L3504" s="23"/>
      <c r="M3504" s="23"/>
    </row>
    <row r="3505">
      <c r="B3505" s="16"/>
      <c r="L3505" s="23"/>
      <c r="M3505" s="23"/>
    </row>
    <row r="3506">
      <c r="B3506" s="16"/>
      <c r="L3506" s="23"/>
      <c r="M3506" s="23"/>
    </row>
    <row r="3507">
      <c r="B3507" s="16"/>
      <c r="L3507" s="23"/>
      <c r="M3507" s="23"/>
    </row>
    <row r="3508">
      <c r="B3508" s="16"/>
      <c r="L3508" s="23"/>
      <c r="M3508" s="23"/>
    </row>
    <row r="3509">
      <c r="B3509" s="16"/>
      <c r="L3509" s="23"/>
    </row>
    <row r="3510">
      <c r="B3510" s="16"/>
      <c r="L3510" s="23"/>
      <c r="M3510" s="23"/>
    </row>
    <row r="3511">
      <c r="B3511" s="16"/>
      <c r="L3511" s="23"/>
    </row>
    <row r="3512">
      <c r="B3512" s="16"/>
      <c r="L3512" s="23"/>
      <c r="M3512" s="23"/>
    </row>
    <row r="3513">
      <c r="B3513" s="16"/>
      <c r="L3513" s="23"/>
      <c r="M3513" s="23"/>
    </row>
    <row r="3514">
      <c r="B3514" s="16"/>
      <c r="L3514" s="23"/>
      <c r="M3514" s="23"/>
    </row>
    <row r="3515">
      <c r="B3515" s="16"/>
      <c r="L3515" s="23"/>
    </row>
    <row r="3516">
      <c r="B3516" s="16"/>
      <c r="L3516" s="23"/>
    </row>
    <row r="3517">
      <c r="B3517" s="16"/>
      <c r="L3517" s="23"/>
    </row>
    <row r="3518">
      <c r="B3518" s="16"/>
      <c r="L3518" s="23"/>
    </row>
    <row r="3519">
      <c r="B3519" s="16"/>
      <c r="L3519" s="23"/>
    </row>
    <row r="3520">
      <c r="B3520" s="16"/>
      <c r="L3520" s="23"/>
    </row>
    <row r="3521">
      <c r="B3521" s="16"/>
      <c r="L3521" s="23"/>
    </row>
    <row r="3522">
      <c r="B3522" s="16"/>
      <c r="L3522" s="23"/>
    </row>
    <row r="3523">
      <c r="B3523" s="16"/>
      <c r="L3523" s="23"/>
    </row>
    <row r="3524">
      <c r="B3524" s="16"/>
      <c r="L3524" s="23"/>
    </row>
    <row r="3525">
      <c r="B3525" s="16"/>
      <c r="L3525" s="23"/>
    </row>
    <row r="3526">
      <c r="B3526" s="16"/>
      <c r="L3526" s="23"/>
    </row>
    <row r="3527">
      <c r="B3527" s="16"/>
      <c r="L3527" s="23"/>
    </row>
    <row r="3528">
      <c r="B3528" s="16"/>
      <c r="L3528" s="23"/>
    </row>
    <row r="3529">
      <c r="B3529" s="16"/>
      <c r="L3529" s="23"/>
    </row>
    <row r="3530">
      <c r="B3530" s="16"/>
      <c r="L3530" s="23"/>
      <c r="M3530" s="23"/>
    </row>
    <row r="3531">
      <c r="B3531" s="16"/>
      <c r="L3531" s="23"/>
    </row>
    <row r="3532">
      <c r="B3532" s="16"/>
      <c r="L3532" s="23"/>
    </row>
    <row r="3533">
      <c r="B3533" s="16"/>
      <c r="L3533" s="23"/>
    </row>
    <row r="3534">
      <c r="B3534" s="16"/>
      <c r="L3534" s="23"/>
    </row>
    <row r="3535">
      <c r="B3535" s="16"/>
      <c r="L3535" s="23"/>
    </row>
    <row r="3536">
      <c r="B3536" s="16"/>
      <c r="L3536" s="23"/>
    </row>
    <row r="3537">
      <c r="B3537" s="16"/>
      <c r="L3537" s="23"/>
      <c r="M3537" s="23"/>
    </row>
    <row r="3538">
      <c r="B3538" s="16"/>
      <c r="L3538" s="23"/>
    </row>
    <row r="3539">
      <c r="B3539" s="16"/>
      <c r="L3539" s="23"/>
    </row>
    <row r="3540">
      <c r="B3540" s="16"/>
      <c r="L3540" s="23"/>
    </row>
    <row r="3541">
      <c r="B3541" s="16"/>
      <c r="L3541" s="23"/>
      <c r="M3541" s="23"/>
    </row>
    <row r="3542">
      <c r="B3542" s="16"/>
      <c r="L3542" s="23"/>
      <c r="M3542" s="23"/>
    </row>
    <row r="3543">
      <c r="B3543" s="16"/>
      <c r="L3543" s="23"/>
      <c r="M3543" s="23"/>
    </row>
    <row r="3544">
      <c r="B3544" s="16"/>
      <c r="L3544" s="23"/>
    </row>
    <row r="3545">
      <c r="B3545" s="16"/>
      <c r="L3545" s="23"/>
      <c r="M3545" s="23"/>
    </row>
    <row r="3546">
      <c r="B3546" s="16"/>
      <c r="L3546" s="23"/>
      <c r="M3546" s="23"/>
    </row>
    <row r="3547">
      <c r="B3547" s="16"/>
      <c r="L3547" s="23"/>
      <c r="M3547" s="23"/>
    </row>
    <row r="3548">
      <c r="B3548" s="16"/>
      <c r="L3548" s="23"/>
      <c r="M3548" s="23"/>
    </row>
    <row r="3549">
      <c r="B3549" s="16"/>
      <c r="L3549" s="23"/>
    </row>
    <row r="3550">
      <c r="B3550" s="16"/>
      <c r="L3550" s="23"/>
      <c r="M3550" s="23"/>
    </row>
    <row r="3551">
      <c r="B3551" s="16"/>
      <c r="L3551" s="23"/>
    </row>
    <row r="3552">
      <c r="B3552" s="16"/>
      <c r="L3552" s="23"/>
      <c r="M3552" s="23"/>
    </row>
    <row r="3553">
      <c r="B3553" s="16"/>
      <c r="L3553" s="23"/>
      <c r="M3553" s="23"/>
    </row>
    <row r="3554">
      <c r="B3554" s="16"/>
      <c r="L3554" s="23"/>
      <c r="M3554" s="23"/>
    </row>
    <row r="3555">
      <c r="B3555" s="16"/>
      <c r="L3555" s="23"/>
      <c r="M3555" s="23"/>
    </row>
    <row r="3556">
      <c r="B3556" s="16"/>
      <c r="L3556" s="23"/>
      <c r="M3556" s="23"/>
    </row>
    <row r="3557">
      <c r="B3557" s="16"/>
      <c r="L3557" s="23"/>
      <c r="M3557" s="23"/>
    </row>
    <row r="3558">
      <c r="B3558" s="16"/>
      <c r="L3558" s="23"/>
      <c r="M3558" s="23"/>
    </row>
    <row r="3559">
      <c r="B3559" s="16"/>
      <c r="L3559" s="23"/>
      <c r="M3559" s="23"/>
    </row>
    <row r="3560">
      <c r="B3560" s="16"/>
      <c r="L3560" s="23"/>
      <c r="M3560" s="23"/>
    </row>
    <row r="3561">
      <c r="B3561" s="16"/>
      <c r="L3561" s="23"/>
      <c r="M3561" s="23"/>
    </row>
    <row r="3562">
      <c r="B3562" s="16"/>
      <c r="L3562" s="23"/>
      <c r="M3562" s="23"/>
    </row>
    <row r="3563">
      <c r="B3563" s="16"/>
      <c r="L3563" s="23"/>
      <c r="M3563" s="23"/>
    </row>
    <row r="3564">
      <c r="B3564" s="16"/>
      <c r="L3564" s="23"/>
      <c r="M3564" s="23"/>
    </row>
    <row r="3565">
      <c r="B3565" s="16"/>
      <c r="L3565" s="23"/>
      <c r="M3565" s="23"/>
    </row>
    <row r="3566">
      <c r="B3566" s="16"/>
      <c r="L3566" s="23"/>
      <c r="M3566" s="23"/>
    </row>
    <row r="3567">
      <c r="B3567" s="16"/>
      <c r="L3567" s="23"/>
      <c r="M3567" s="23"/>
    </row>
    <row r="3568">
      <c r="B3568" s="16"/>
      <c r="L3568" s="23"/>
      <c r="M3568" s="23"/>
    </row>
    <row r="3569">
      <c r="B3569" s="16"/>
      <c r="L3569" s="23"/>
      <c r="M3569" s="23"/>
    </row>
    <row r="3570">
      <c r="B3570" s="16"/>
      <c r="L3570" s="23"/>
      <c r="M3570" s="23"/>
    </row>
    <row r="3571">
      <c r="B3571" s="16"/>
      <c r="L3571" s="23"/>
      <c r="M3571" s="23"/>
    </row>
    <row r="3572">
      <c r="B3572" s="16"/>
      <c r="L3572" s="23"/>
      <c r="M3572" s="23"/>
    </row>
    <row r="3573">
      <c r="B3573" s="16"/>
      <c r="L3573" s="23"/>
      <c r="M3573" s="23"/>
    </row>
    <row r="3574">
      <c r="B3574" s="16"/>
      <c r="L3574" s="23"/>
      <c r="M3574" s="23"/>
    </row>
    <row r="3575">
      <c r="B3575" s="16"/>
      <c r="L3575" s="23"/>
      <c r="M3575" s="23"/>
    </row>
    <row r="3576">
      <c r="B3576" s="16"/>
      <c r="L3576" s="23"/>
      <c r="M3576" s="23"/>
    </row>
    <row r="3577">
      <c r="B3577" s="16"/>
      <c r="L3577" s="23"/>
      <c r="M3577" s="23"/>
    </row>
    <row r="3578">
      <c r="B3578" s="16"/>
      <c r="L3578" s="23"/>
      <c r="M3578" s="23"/>
    </row>
    <row r="3579">
      <c r="B3579" s="16"/>
      <c r="L3579" s="23"/>
      <c r="M3579" s="23"/>
    </row>
    <row r="3580">
      <c r="B3580" s="16"/>
      <c r="L3580" s="23"/>
      <c r="M3580" s="23"/>
    </row>
    <row r="3581">
      <c r="B3581" s="16"/>
      <c r="L3581" s="23"/>
      <c r="M3581" s="23"/>
    </row>
    <row r="3582">
      <c r="B3582" s="16"/>
      <c r="L3582" s="23"/>
    </row>
    <row r="3583">
      <c r="B3583" s="16"/>
      <c r="L3583" s="23"/>
      <c r="M3583" s="23"/>
    </row>
    <row r="3584">
      <c r="B3584" s="16"/>
      <c r="L3584" s="23"/>
      <c r="M3584" s="23"/>
    </row>
    <row r="3585">
      <c r="B3585" s="16"/>
      <c r="L3585" s="23"/>
      <c r="M3585" s="23"/>
    </row>
    <row r="3586">
      <c r="B3586" s="16"/>
      <c r="L3586" s="23"/>
    </row>
    <row r="3587">
      <c r="B3587" s="16"/>
      <c r="L3587" s="23"/>
    </row>
    <row r="3588">
      <c r="B3588" s="16"/>
      <c r="L3588" s="23"/>
    </row>
    <row r="3589">
      <c r="B3589" s="16"/>
      <c r="L3589" s="23"/>
      <c r="M3589" s="23"/>
    </row>
    <row r="3590">
      <c r="B3590" s="16"/>
      <c r="L3590" s="23"/>
    </row>
    <row r="3591">
      <c r="B3591" s="16"/>
      <c r="L3591" s="23"/>
    </row>
    <row r="3592">
      <c r="B3592" s="16"/>
      <c r="L3592" s="23"/>
    </row>
    <row r="3593">
      <c r="B3593" s="16"/>
      <c r="L3593" s="23"/>
    </row>
    <row r="3594">
      <c r="B3594" s="16"/>
      <c r="L3594" s="23"/>
      <c r="M3594" s="23"/>
    </row>
    <row r="3595">
      <c r="B3595" s="16"/>
      <c r="L3595" s="23"/>
      <c r="M3595" s="23"/>
    </row>
    <row r="3596">
      <c r="B3596" s="16"/>
      <c r="L3596" s="23"/>
    </row>
    <row r="3597">
      <c r="B3597" s="16"/>
      <c r="L3597" s="23"/>
    </row>
    <row r="3598">
      <c r="B3598" s="16"/>
      <c r="L3598" s="23"/>
    </row>
    <row r="3599">
      <c r="B3599" s="16"/>
      <c r="L3599" s="23"/>
    </row>
    <row r="3600">
      <c r="B3600" s="16"/>
      <c r="L3600" s="23"/>
      <c r="M3600" s="23"/>
    </row>
    <row r="3601">
      <c r="B3601" s="16"/>
      <c r="L3601" s="23"/>
      <c r="M3601" s="23"/>
    </row>
    <row r="3602">
      <c r="B3602" s="16"/>
      <c r="L3602" s="23"/>
    </row>
    <row r="3603">
      <c r="B3603" s="16"/>
      <c r="L3603" s="23"/>
    </row>
    <row r="3604">
      <c r="B3604" s="16"/>
      <c r="L3604" s="23"/>
    </row>
    <row r="3605">
      <c r="B3605" s="16"/>
      <c r="L3605" s="23"/>
    </row>
    <row r="3606">
      <c r="B3606" s="16"/>
      <c r="L3606" s="23"/>
    </row>
    <row r="3607">
      <c r="B3607" s="16"/>
      <c r="L3607" s="23"/>
    </row>
    <row r="3608">
      <c r="B3608" s="16"/>
      <c r="L3608" s="23"/>
    </row>
    <row r="3609">
      <c r="B3609" s="16"/>
      <c r="L3609" s="23"/>
    </row>
    <row r="3610">
      <c r="B3610" s="16"/>
      <c r="L3610" s="23"/>
      <c r="M3610" s="23"/>
    </row>
    <row r="3611">
      <c r="B3611" s="16"/>
      <c r="L3611" s="23"/>
    </row>
    <row r="3612">
      <c r="B3612" s="16"/>
      <c r="L3612" s="23"/>
    </row>
    <row r="3613">
      <c r="B3613" s="16"/>
      <c r="L3613" s="23"/>
      <c r="M3613" s="23"/>
    </row>
    <row r="3614">
      <c r="B3614" s="16"/>
      <c r="L3614" s="23"/>
      <c r="M3614" s="23"/>
    </row>
    <row r="3615">
      <c r="B3615" s="16"/>
      <c r="L3615" s="23"/>
      <c r="M3615" s="23"/>
    </row>
    <row r="3616">
      <c r="B3616" s="16"/>
      <c r="L3616" s="23"/>
      <c r="M3616" s="23"/>
    </row>
    <row r="3617">
      <c r="B3617" s="16"/>
      <c r="L3617" s="23"/>
      <c r="M3617" s="23"/>
    </row>
    <row r="3618">
      <c r="B3618" s="16"/>
      <c r="L3618" s="23"/>
    </row>
    <row r="3619">
      <c r="B3619" s="16"/>
      <c r="L3619" s="23"/>
    </row>
    <row r="3620">
      <c r="B3620" s="16"/>
      <c r="L3620" s="23"/>
    </row>
    <row r="3621">
      <c r="B3621" s="16"/>
      <c r="L3621" s="23"/>
      <c r="M3621" s="23"/>
    </row>
    <row r="3622">
      <c r="B3622" s="16"/>
      <c r="L3622" s="23"/>
    </row>
    <row r="3623">
      <c r="B3623" s="16"/>
      <c r="L3623" s="23"/>
    </row>
    <row r="3624">
      <c r="B3624" s="16"/>
      <c r="L3624" s="23"/>
    </row>
    <row r="3625">
      <c r="B3625" s="16"/>
      <c r="L3625" s="23"/>
    </row>
    <row r="3626">
      <c r="B3626" s="16"/>
      <c r="L3626" s="23"/>
    </row>
    <row r="3627">
      <c r="B3627" s="16"/>
      <c r="L3627" s="23"/>
    </row>
    <row r="3628">
      <c r="B3628" s="16"/>
      <c r="L3628" s="23"/>
    </row>
    <row r="3629">
      <c r="B3629" s="16"/>
      <c r="L3629" s="23"/>
    </row>
    <row r="3630">
      <c r="B3630" s="16"/>
      <c r="L3630" s="23"/>
    </row>
    <row r="3631">
      <c r="B3631" s="16"/>
      <c r="L3631" s="23"/>
      <c r="M3631" s="23"/>
    </row>
    <row r="3632">
      <c r="B3632" s="16"/>
      <c r="L3632" s="23"/>
    </row>
    <row r="3633">
      <c r="B3633" s="16"/>
      <c r="L3633" s="23"/>
    </row>
    <row r="3634">
      <c r="B3634" s="16"/>
      <c r="L3634" s="23"/>
    </row>
    <row r="3635">
      <c r="B3635" s="16"/>
      <c r="L3635" s="23"/>
    </row>
    <row r="3636">
      <c r="B3636" s="16"/>
      <c r="L3636" s="23"/>
    </row>
    <row r="3637">
      <c r="B3637" s="16"/>
      <c r="L3637" s="23"/>
    </row>
    <row r="3638">
      <c r="B3638" s="16"/>
      <c r="L3638" s="23"/>
    </row>
    <row r="3639">
      <c r="B3639" s="16"/>
      <c r="L3639" s="23"/>
      <c r="M3639" s="23"/>
    </row>
    <row r="3640">
      <c r="B3640" s="16"/>
      <c r="L3640" s="23"/>
    </row>
    <row r="3641">
      <c r="B3641" s="16"/>
      <c r="L3641" s="23"/>
    </row>
    <row r="3642">
      <c r="B3642" s="16"/>
      <c r="L3642" s="23"/>
    </row>
    <row r="3643">
      <c r="B3643" s="16"/>
      <c r="L3643" s="23"/>
    </row>
    <row r="3644">
      <c r="B3644" s="16"/>
      <c r="L3644" s="23"/>
      <c r="M3644" s="23"/>
    </row>
    <row r="3645">
      <c r="B3645" s="16"/>
      <c r="L3645" s="23"/>
    </row>
    <row r="3646">
      <c r="B3646" s="16"/>
      <c r="L3646" s="23"/>
      <c r="M3646" s="23"/>
    </row>
    <row r="3647">
      <c r="B3647" s="16"/>
      <c r="L3647" s="23"/>
      <c r="M3647" s="23"/>
    </row>
    <row r="3648">
      <c r="B3648" s="16"/>
      <c r="L3648" s="23"/>
      <c r="M3648" s="23"/>
    </row>
    <row r="3649">
      <c r="B3649" s="16"/>
      <c r="L3649" s="23"/>
      <c r="M3649" s="23"/>
    </row>
    <row r="3650">
      <c r="B3650" s="16"/>
      <c r="L3650" s="23"/>
    </row>
    <row r="3651">
      <c r="B3651" s="16"/>
      <c r="L3651" s="23"/>
    </row>
    <row r="3652">
      <c r="B3652" s="16"/>
      <c r="L3652" s="23"/>
    </row>
    <row r="3653">
      <c r="B3653" s="16"/>
      <c r="L3653" s="23"/>
      <c r="M3653" s="23"/>
    </row>
    <row r="3654">
      <c r="B3654" s="16"/>
      <c r="L3654" s="23"/>
    </row>
    <row r="3655">
      <c r="B3655" s="16"/>
      <c r="L3655" s="23"/>
      <c r="M3655" s="23"/>
    </row>
    <row r="3656">
      <c r="B3656" s="16"/>
      <c r="L3656" s="23"/>
    </row>
    <row r="3657">
      <c r="B3657" s="16"/>
      <c r="L3657" s="23"/>
      <c r="M3657" s="23"/>
    </row>
    <row r="3658">
      <c r="B3658" s="16"/>
      <c r="L3658" s="23"/>
      <c r="M3658" s="23"/>
    </row>
    <row r="3659">
      <c r="B3659" s="16"/>
      <c r="L3659" s="23"/>
    </row>
    <row r="3660">
      <c r="B3660" s="16"/>
      <c r="L3660" s="23"/>
    </row>
    <row r="3661">
      <c r="B3661" s="16"/>
      <c r="L3661" s="23"/>
    </row>
    <row r="3662">
      <c r="B3662" s="16"/>
      <c r="L3662" s="23"/>
    </row>
    <row r="3663">
      <c r="B3663" s="16"/>
      <c r="L3663" s="23"/>
    </row>
    <row r="3664">
      <c r="B3664" s="16"/>
      <c r="L3664" s="23"/>
    </row>
    <row r="3665">
      <c r="B3665" s="16"/>
      <c r="L3665" s="23"/>
    </row>
    <row r="3666">
      <c r="B3666" s="16"/>
      <c r="L3666" s="23"/>
    </row>
    <row r="3667">
      <c r="B3667" s="16"/>
      <c r="L3667" s="23"/>
    </row>
    <row r="3668">
      <c r="B3668" s="16"/>
      <c r="L3668" s="23"/>
    </row>
    <row r="3669">
      <c r="B3669" s="16"/>
      <c r="L3669" s="23"/>
    </row>
    <row r="3670">
      <c r="B3670" s="16"/>
      <c r="L3670" s="23"/>
    </row>
    <row r="3671">
      <c r="B3671" s="16"/>
      <c r="L3671" s="23"/>
      <c r="M3671" s="23"/>
    </row>
    <row r="3672">
      <c r="B3672" s="16"/>
      <c r="L3672" s="23"/>
    </row>
    <row r="3673">
      <c r="B3673" s="16"/>
      <c r="L3673" s="23"/>
    </row>
    <row r="3674">
      <c r="B3674" s="16"/>
      <c r="L3674" s="23"/>
    </row>
    <row r="3675">
      <c r="B3675" s="16"/>
      <c r="L3675" s="23"/>
    </row>
    <row r="3676">
      <c r="B3676" s="16"/>
      <c r="L3676" s="23"/>
    </row>
    <row r="3677">
      <c r="B3677" s="16"/>
      <c r="L3677" s="23"/>
      <c r="M3677" s="23"/>
    </row>
    <row r="3678">
      <c r="B3678" s="16"/>
      <c r="L3678" s="23"/>
    </row>
    <row r="3679">
      <c r="B3679" s="16"/>
      <c r="L3679" s="23"/>
    </row>
    <row r="3680">
      <c r="B3680" s="16"/>
      <c r="L3680" s="23"/>
    </row>
    <row r="3681">
      <c r="B3681" s="16"/>
      <c r="L3681" s="23"/>
    </row>
    <row r="3682">
      <c r="B3682" s="16"/>
      <c r="L3682" s="23"/>
      <c r="M3682" s="23"/>
    </row>
    <row r="3683">
      <c r="B3683" s="16"/>
      <c r="L3683" s="23"/>
    </row>
    <row r="3684">
      <c r="B3684" s="16"/>
      <c r="L3684" s="23"/>
    </row>
    <row r="3685">
      <c r="B3685" s="16"/>
      <c r="L3685" s="23"/>
    </row>
    <row r="3686">
      <c r="B3686" s="16"/>
      <c r="L3686" s="23"/>
    </row>
    <row r="3687">
      <c r="B3687" s="16"/>
      <c r="L3687" s="23"/>
    </row>
    <row r="3688">
      <c r="B3688" s="16"/>
      <c r="L3688" s="23"/>
      <c r="M3688" s="23"/>
    </row>
    <row r="3689">
      <c r="B3689" s="16"/>
      <c r="L3689" s="23"/>
    </row>
    <row r="3690">
      <c r="B3690" s="16"/>
      <c r="L3690" s="23"/>
      <c r="M3690" s="23"/>
    </row>
    <row r="3691">
      <c r="B3691" s="16"/>
      <c r="L3691" s="23"/>
    </row>
    <row r="3692">
      <c r="B3692" s="16"/>
      <c r="L3692" s="23"/>
    </row>
    <row r="3693">
      <c r="B3693" s="16"/>
      <c r="L3693" s="23"/>
    </row>
    <row r="3694">
      <c r="B3694" s="16"/>
      <c r="L3694" s="23"/>
    </row>
    <row r="3695">
      <c r="B3695" s="16"/>
      <c r="L3695" s="23"/>
    </row>
    <row r="3696">
      <c r="B3696" s="16"/>
      <c r="L3696" s="23"/>
    </row>
    <row r="3697">
      <c r="B3697" s="16"/>
      <c r="L3697" s="23"/>
    </row>
    <row r="3698">
      <c r="B3698" s="16"/>
      <c r="L3698" s="23"/>
    </row>
    <row r="3699">
      <c r="B3699" s="16"/>
      <c r="L3699" s="23"/>
    </row>
    <row r="3700">
      <c r="B3700" s="16"/>
      <c r="L3700" s="23"/>
    </row>
    <row r="3701">
      <c r="B3701" s="16"/>
      <c r="L3701" s="23"/>
    </row>
    <row r="3702">
      <c r="B3702" s="16"/>
      <c r="L3702" s="23"/>
    </row>
    <row r="3703">
      <c r="B3703" s="16"/>
      <c r="L3703" s="23"/>
    </row>
    <row r="3704">
      <c r="B3704" s="16"/>
      <c r="L3704" s="23"/>
    </row>
    <row r="3705">
      <c r="B3705" s="16"/>
      <c r="L3705" s="23"/>
    </row>
    <row r="3706">
      <c r="B3706" s="16"/>
      <c r="L3706" s="23"/>
    </row>
    <row r="3707">
      <c r="B3707" s="16"/>
      <c r="L3707" s="23"/>
    </row>
    <row r="3708">
      <c r="B3708" s="16"/>
      <c r="L3708" s="23"/>
    </row>
    <row r="3709">
      <c r="B3709" s="16"/>
      <c r="L3709" s="23"/>
    </row>
    <row r="3710">
      <c r="B3710" s="16"/>
      <c r="L3710" s="23"/>
    </row>
    <row r="3711">
      <c r="B3711" s="16"/>
      <c r="L3711" s="23"/>
      <c r="M3711" s="23"/>
    </row>
    <row r="3712">
      <c r="B3712" s="16"/>
      <c r="L3712" s="23"/>
    </row>
    <row r="3713">
      <c r="B3713" s="16"/>
      <c r="L3713" s="23"/>
    </row>
    <row r="3714">
      <c r="B3714" s="16"/>
      <c r="L3714" s="23"/>
    </row>
    <row r="3715">
      <c r="B3715" s="16"/>
      <c r="L3715" s="23"/>
    </row>
    <row r="3716">
      <c r="B3716" s="16"/>
      <c r="L3716" s="23"/>
    </row>
    <row r="3717">
      <c r="B3717" s="16"/>
      <c r="L3717" s="23"/>
      <c r="M3717" s="23"/>
    </row>
    <row r="3718">
      <c r="B3718" s="16"/>
      <c r="L3718" s="23"/>
      <c r="M3718" s="23"/>
    </row>
    <row r="3719">
      <c r="B3719" s="16"/>
      <c r="L3719" s="23"/>
      <c r="M3719" s="23"/>
    </row>
    <row r="3720">
      <c r="B3720" s="16"/>
      <c r="L3720" s="23"/>
    </row>
    <row r="3721">
      <c r="B3721" s="16"/>
      <c r="L3721" s="23"/>
    </row>
    <row r="3722">
      <c r="B3722" s="16"/>
      <c r="L3722" s="23"/>
    </row>
    <row r="3723">
      <c r="B3723" s="16"/>
      <c r="L3723" s="23"/>
    </row>
    <row r="3724">
      <c r="B3724" s="16"/>
      <c r="L3724" s="23"/>
    </row>
    <row r="3725">
      <c r="B3725" s="16"/>
      <c r="L3725" s="23"/>
    </row>
    <row r="3726">
      <c r="B3726" s="16"/>
      <c r="L3726" s="23"/>
      <c r="M3726" s="23"/>
    </row>
    <row r="3727">
      <c r="B3727" s="16"/>
      <c r="L3727" s="23"/>
      <c r="M3727" s="23"/>
    </row>
    <row r="3728">
      <c r="B3728" s="16"/>
      <c r="L3728" s="23"/>
    </row>
    <row r="3729">
      <c r="B3729" s="16"/>
      <c r="L3729" s="23"/>
      <c r="M3729" s="23"/>
    </row>
    <row r="3730">
      <c r="B3730" s="16"/>
      <c r="L3730" s="23"/>
      <c r="M3730" s="23"/>
    </row>
    <row r="3731">
      <c r="B3731" s="16"/>
      <c r="L3731" s="23"/>
      <c r="M3731" s="23"/>
    </row>
    <row r="3732">
      <c r="B3732" s="16"/>
      <c r="L3732" s="23"/>
    </row>
    <row r="3733">
      <c r="B3733" s="16"/>
      <c r="L3733" s="23"/>
    </row>
    <row r="3734">
      <c r="B3734" s="16"/>
      <c r="L3734" s="23"/>
    </row>
    <row r="3735">
      <c r="B3735" s="16"/>
      <c r="L3735" s="23"/>
    </row>
    <row r="3736">
      <c r="B3736" s="16"/>
      <c r="L3736" s="23"/>
    </row>
    <row r="3737">
      <c r="B3737" s="16"/>
      <c r="L3737" s="23"/>
    </row>
    <row r="3738">
      <c r="B3738" s="16"/>
      <c r="L3738" s="23"/>
    </row>
    <row r="3739">
      <c r="B3739" s="16"/>
      <c r="L3739" s="23"/>
      <c r="M3739" s="23"/>
    </row>
    <row r="3740">
      <c r="B3740" s="16"/>
      <c r="L3740" s="23"/>
    </row>
    <row r="3741">
      <c r="B3741" s="16"/>
      <c r="L3741" s="23"/>
    </row>
    <row r="3742">
      <c r="B3742" s="16"/>
      <c r="L3742" s="23"/>
    </row>
    <row r="3743">
      <c r="B3743" s="16"/>
      <c r="L3743" s="23"/>
    </row>
    <row r="3744">
      <c r="B3744" s="16"/>
      <c r="L3744" s="23"/>
      <c r="M3744" s="23"/>
    </row>
    <row r="3745">
      <c r="B3745" s="16"/>
      <c r="L3745" s="23"/>
    </row>
    <row r="3746">
      <c r="B3746" s="16"/>
      <c r="L3746" s="23"/>
    </row>
    <row r="3747">
      <c r="B3747" s="16"/>
      <c r="L3747" s="23"/>
    </row>
    <row r="3748">
      <c r="B3748" s="16"/>
      <c r="L3748" s="23"/>
      <c r="M3748" s="23"/>
    </row>
    <row r="3749">
      <c r="B3749" s="16"/>
      <c r="L3749" s="23"/>
    </row>
    <row r="3750">
      <c r="B3750" s="16"/>
      <c r="L3750" s="23"/>
      <c r="M3750" s="23"/>
    </row>
    <row r="3751">
      <c r="B3751" s="16"/>
      <c r="L3751" s="23"/>
    </row>
    <row r="3752">
      <c r="B3752" s="16"/>
      <c r="L3752" s="23"/>
    </row>
    <row r="3753">
      <c r="B3753" s="16"/>
      <c r="L3753" s="23"/>
    </row>
    <row r="3754">
      <c r="B3754" s="16"/>
      <c r="L3754" s="23"/>
    </row>
    <row r="3755">
      <c r="B3755" s="16"/>
      <c r="L3755" s="23"/>
    </row>
    <row r="3756">
      <c r="B3756" s="16"/>
      <c r="L3756" s="23"/>
    </row>
    <row r="3757">
      <c r="B3757" s="16"/>
      <c r="L3757" s="23"/>
      <c r="M3757" s="23"/>
    </row>
    <row r="3758">
      <c r="B3758" s="16"/>
      <c r="L3758" s="23"/>
      <c r="M3758" s="23"/>
    </row>
    <row r="3759">
      <c r="B3759" s="16"/>
      <c r="L3759" s="23"/>
      <c r="M3759" s="23"/>
    </row>
    <row r="3760">
      <c r="B3760" s="16"/>
      <c r="L3760" s="23"/>
      <c r="M3760" s="23"/>
    </row>
    <row r="3761">
      <c r="B3761" s="16"/>
      <c r="L3761" s="23"/>
    </row>
    <row r="3762">
      <c r="B3762" s="16"/>
      <c r="L3762" s="23"/>
      <c r="M3762" s="23"/>
    </row>
    <row r="3763">
      <c r="B3763" s="16"/>
      <c r="L3763" s="23"/>
      <c r="M3763" s="23"/>
    </row>
    <row r="3764">
      <c r="B3764" s="16"/>
      <c r="L3764" s="23"/>
      <c r="M3764" s="23"/>
    </row>
    <row r="3765">
      <c r="B3765" s="16"/>
      <c r="L3765" s="23"/>
    </row>
    <row r="3766">
      <c r="B3766" s="16"/>
      <c r="L3766" s="23"/>
    </row>
    <row r="3767">
      <c r="B3767" s="16"/>
      <c r="L3767" s="23"/>
    </row>
    <row r="3768">
      <c r="B3768" s="16"/>
      <c r="L3768" s="23"/>
    </row>
    <row r="3769">
      <c r="B3769" s="16"/>
      <c r="L3769" s="23"/>
      <c r="M3769" s="23"/>
    </row>
    <row r="3770">
      <c r="B3770" s="16"/>
      <c r="L3770" s="23"/>
      <c r="M3770" s="23"/>
    </row>
    <row r="3771">
      <c r="B3771" s="16"/>
      <c r="L3771" s="23"/>
    </row>
    <row r="3772">
      <c r="B3772" s="16"/>
      <c r="L3772" s="23"/>
    </row>
    <row r="3773">
      <c r="B3773" s="16"/>
      <c r="L3773" s="23"/>
    </row>
    <row r="3774">
      <c r="B3774" s="16"/>
      <c r="L3774" s="23"/>
    </row>
    <row r="3775">
      <c r="B3775" s="16"/>
      <c r="L3775" s="23"/>
    </row>
    <row r="3776">
      <c r="B3776" s="16"/>
      <c r="L3776" s="23"/>
    </row>
    <row r="3777">
      <c r="B3777" s="16"/>
      <c r="L3777" s="23"/>
    </row>
    <row r="3778">
      <c r="B3778" s="16"/>
      <c r="L3778" s="23"/>
      <c r="M3778" s="23"/>
    </row>
    <row r="3779">
      <c r="B3779" s="16"/>
      <c r="L3779" s="23"/>
      <c r="M3779" s="23"/>
    </row>
    <row r="3780">
      <c r="B3780" s="16"/>
      <c r="L3780" s="23"/>
      <c r="M3780" s="23"/>
    </row>
    <row r="3781">
      <c r="B3781" s="16"/>
      <c r="L3781" s="23"/>
      <c r="M3781" s="23"/>
    </row>
    <row r="3782">
      <c r="B3782" s="16"/>
      <c r="L3782" s="23"/>
    </row>
    <row r="3783">
      <c r="B3783" s="16"/>
      <c r="L3783" s="23"/>
    </row>
    <row r="3784">
      <c r="B3784" s="16"/>
      <c r="L3784" s="23"/>
    </row>
    <row r="3785">
      <c r="B3785" s="16"/>
      <c r="L3785" s="23"/>
    </row>
    <row r="3786">
      <c r="B3786" s="16"/>
      <c r="L3786" s="23"/>
    </row>
    <row r="3787">
      <c r="B3787" s="16"/>
      <c r="L3787" s="23"/>
    </row>
    <row r="3788">
      <c r="B3788" s="16"/>
      <c r="L3788" s="23"/>
    </row>
    <row r="3789">
      <c r="B3789" s="16"/>
      <c r="L3789" s="23"/>
      <c r="M3789" s="23"/>
    </row>
    <row r="3790">
      <c r="B3790" s="16"/>
      <c r="L3790" s="23"/>
    </row>
    <row r="3791">
      <c r="B3791" s="16"/>
      <c r="L3791" s="23"/>
    </row>
    <row r="3792">
      <c r="B3792" s="16"/>
      <c r="L3792" s="23"/>
    </row>
    <row r="3793">
      <c r="B3793" s="16"/>
      <c r="L3793" s="23"/>
    </row>
    <row r="3794">
      <c r="B3794" s="16"/>
      <c r="L3794" s="23"/>
      <c r="M3794" s="23"/>
    </row>
    <row r="3795">
      <c r="B3795" s="16"/>
      <c r="L3795" s="23"/>
    </row>
    <row r="3796">
      <c r="B3796" s="16"/>
      <c r="L3796" s="23"/>
      <c r="M3796" s="23"/>
    </row>
    <row r="3797">
      <c r="B3797" s="16"/>
      <c r="L3797" s="23"/>
    </row>
    <row r="3798">
      <c r="B3798" s="16"/>
      <c r="L3798" s="23"/>
      <c r="M3798" s="23"/>
    </row>
    <row r="3799">
      <c r="B3799" s="16"/>
      <c r="L3799" s="23"/>
    </row>
    <row r="3800">
      <c r="B3800" s="16"/>
      <c r="L3800" s="23"/>
    </row>
    <row r="3801">
      <c r="B3801" s="16"/>
      <c r="L3801" s="23"/>
      <c r="M3801" s="23"/>
    </row>
    <row r="3802">
      <c r="B3802" s="16"/>
      <c r="L3802" s="23"/>
      <c r="M3802" s="23"/>
    </row>
    <row r="3803">
      <c r="B3803" s="16"/>
      <c r="L3803" s="23"/>
    </row>
    <row r="3804">
      <c r="B3804" s="16"/>
      <c r="L3804" s="23"/>
    </row>
    <row r="3805">
      <c r="B3805" s="16"/>
      <c r="L3805" s="23"/>
    </row>
    <row r="3806">
      <c r="B3806" s="16"/>
      <c r="L3806" s="23"/>
    </row>
    <row r="3807">
      <c r="B3807" s="16"/>
      <c r="L3807" s="23"/>
    </row>
    <row r="3808">
      <c r="B3808" s="16"/>
      <c r="L3808" s="23"/>
    </row>
    <row r="3809">
      <c r="B3809" s="16"/>
      <c r="L3809" s="23"/>
    </row>
    <row r="3810">
      <c r="B3810" s="16"/>
      <c r="L3810" s="23"/>
    </row>
    <row r="3811">
      <c r="B3811" s="16"/>
      <c r="L3811" s="23"/>
    </row>
    <row r="3812">
      <c r="B3812" s="16"/>
      <c r="L3812" s="23"/>
    </row>
    <row r="3813">
      <c r="B3813" s="16"/>
      <c r="L3813" s="23"/>
    </row>
    <row r="3814">
      <c r="B3814" s="16"/>
      <c r="L3814" s="23"/>
    </row>
    <row r="3815">
      <c r="B3815" s="16"/>
      <c r="L3815" s="23"/>
      <c r="M3815" s="23"/>
    </row>
    <row r="3816">
      <c r="B3816" s="16"/>
      <c r="L3816" s="23"/>
    </row>
    <row r="3817">
      <c r="B3817" s="16"/>
      <c r="L3817" s="23"/>
    </row>
    <row r="3818">
      <c r="B3818" s="16"/>
      <c r="L3818" s="23"/>
    </row>
    <row r="3819">
      <c r="B3819" s="16"/>
      <c r="L3819" s="23"/>
    </row>
    <row r="3820">
      <c r="B3820" s="16"/>
      <c r="L3820" s="23"/>
      <c r="M3820" s="23"/>
    </row>
    <row r="3821">
      <c r="B3821" s="16"/>
      <c r="L3821" s="23"/>
    </row>
    <row r="3822">
      <c r="B3822" s="16"/>
      <c r="L3822" s="23"/>
    </row>
    <row r="3823">
      <c r="B3823" s="16"/>
      <c r="L3823" s="23"/>
    </row>
    <row r="3824">
      <c r="B3824" s="16"/>
      <c r="L3824" s="23"/>
      <c r="M3824" s="23"/>
    </row>
    <row r="3825">
      <c r="B3825" s="16"/>
      <c r="L3825" s="23"/>
    </row>
    <row r="3826">
      <c r="B3826" s="16"/>
      <c r="L3826" s="23"/>
    </row>
    <row r="3827">
      <c r="B3827" s="16"/>
      <c r="L3827" s="23"/>
    </row>
    <row r="3828">
      <c r="B3828" s="16"/>
      <c r="L3828" s="23"/>
    </row>
    <row r="3829">
      <c r="B3829" s="16"/>
      <c r="L3829" s="23"/>
    </row>
    <row r="3830">
      <c r="B3830" s="16"/>
      <c r="L3830" s="23"/>
      <c r="M3830" s="23"/>
    </row>
    <row r="3831">
      <c r="B3831" s="16"/>
      <c r="L3831" s="23"/>
    </row>
    <row r="3832">
      <c r="B3832" s="16"/>
      <c r="L3832" s="23"/>
    </row>
    <row r="3833">
      <c r="B3833" s="16"/>
      <c r="L3833" s="23"/>
    </row>
    <row r="3834">
      <c r="B3834" s="16"/>
      <c r="L3834" s="23"/>
    </row>
    <row r="3835">
      <c r="B3835" s="16"/>
      <c r="L3835" s="23"/>
    </row>
    <row r="3836">
      <c r="B3836" s="16"/>
      <c r="L3836" s="23"/>
      <c r="M3836" s="23"/>
    </row>
    <row r="3837">
      <c r="B3837" s="16"/>
      <c r="L3837" s="23"/>
    </row>
    <row r="3838">
      <c r="B3838" s="16"/>
      <c r="L3838" s="23"/>
    </row>
    <row r="3839">
      <c r="B3839" s="16"/>
      <c r="L3839" s="23"/>
    </row>
    <row r="3840">
      <c r="B3840" s="16"/>
      <c r="L3840" s="23"/>
    </row>
    <row r="3841">
      <c r="B3841" s="16"/>
      <c r="L3841" s="23"/>
    </row>
    <row r="3842">
      <c r="B3842" s="16"/>
      <c r="L3842" s="23"/>
    </row>
    <row r="3843">
      <c r="B3843" s="16"/>
      <c r="L3843" s="23"/>
    </row>
    <row r="3844">
      <c r="B3844" s="16"/>
      <c r="L3844" s="23"/>
    </row>
    <row r="3845">
      <c r="B3845" s="16"/>
      <c r="L3845" s="23"/>
      <c r="M3845" s="23"/>
    </row>
    <row r="3846">
      <c r="B3846" s="16"/>
      <c r="L3846" s="23"/>
    </row>
    <row r="3847">
      <c r="B3847" s="16"/>
      <c r="L3847" s="23"/>
    </row>
    <row r="3848">
      <c r="B3848" s="16"/>
      <c r="L3848" s="23"/>
    </row>
    <row r="3849">
      <c r="B3849" s="16"/>
      <c r="L3849" s="23"/>
    </row>
    <row r="3850">
      <c r="B3850" s="16"/>
      <c r="L3850" s="23"/>
      <c r="M3850" s="23"/>
    </row>
    <row r="3851">
      <c r="B3851" s="16"/>
      <c r="L3851" s="23"/>
    </row>
    <row r="3852">
      <c r="B3852" s="16"/>
      <c r="L3852" s="23"/>
    </row>
    <row r="3853">
      <c r="B3853" s="16"/>
      <c r="L3853" s="23"/>
    </row>
    <row r="3854">
      <c r="B3854" s="16"/>
      <c r="L3854" s="23"/>
    </row>
    <row r="3855">
      <c r="B3855" s="16"/>
      <c r="L3855" s="23"/>
    </row>
    <row r="3856">
      <c r="B3856" s="16"/>
      <c r="L3856" s="23"/>
      <c r="M3856" s="23"/>
    </row>
    <row r="3857">
      <c r="B3857" s="16"/>
      <c r="L3857" s="23"/>
      <c r="M3857" s="23"/>
    </row>
    <row r="3858">
      <c r="B3858" s="16"/>
      <c r="L3858" s="23"/>
      <c r="M3858" s="23"/>
    </row>
    <row r="3859">
      <c r="B3859" s="16"/>
      <c r="L3859" s="23"/>
    </row>
    <row r="3860">
      <c r="B3860" s="16"/>
      <c r="L3860" s="23"/>
    </row>
    <row r="3861">
      <c r="B3861" s="16"/>
      <c r="L3861" s="23"/>
    </row>
    <row r="3862">
      <c r="B3862" s="16"/>
      <c r="L3862" s="23"/>
    </row>
    <row r="3863">
      <c r="B3863" s="16"/>
      <c r="L3863" s="23"/>
      <c r="M3863" s="23"/>
    </row>
    <row r="3864">
      <c r="B3864" s="16"/>
      <c r="L3864" s="23"/>
      <c r="M3864" s="23"/>
    </row>
    <row r="3865">
      <c r="B3865" s="16"/>
      <c r="L3865" s="23"/>
    </row>
    <row r="3866">
      <c r="B3866" s="16"/>
      <c r="L3866" s="23"/>
    </row>
    <row r="3867">
      <c r="B3867" s="16"/>
      <c r="L3867" s="23"/>
    </row>
    <row r="3868">
      <c r="B3868" s="16"/>
      <c r="L3868" s="23"/>
    </row>
    <row r="3869">
      <c r="B3869" s="16"/>
      <c r="L3869" s="23"/>
    </row>
    <row r="3870">
      <c r="B3870" s="16"/>
      <c r="L3870" s="23"/>
    </row>
    <row r="3871">
      <c r="B3871" s="16"/>
      <c r="L3871" s="23"/>
    </row>
    <row r="3872">
      <c r="B3872" s="16"/>
      <c r="L3872" s="23"/>
      <c r="M3872" s="23"/>
    </row>
    <row r="3873">
      <c r="B3873" s="16"/>
      <c r="L3873" s="23"/>
    </row>
    <row r="3874">
      <c r="B3874" s="16"/>
      <c r="L3874" s="23"/>
      <c r="M3874" s="23"/>
    </row>
    <row r="3875">
      <c r="B3875" s="16"/>
      <c r="L3875" s="23"/>
    </row>
    <row r="3876">
      <c r="B3876" s="16"/>
      <c r="L3876" s="23"/>
    </row>
    <row r="3877">
      <c r="B3877" s="16"/>
      <c r="L3877" s="23"/>
      <c r="M3877" s="23"/>
    </row>
    <row r="3878">
      <c r="B3878" s="16"/>
      <c r="L3878" s="23"/>
    </row>
    <row r="3879">
      <c r="B3879" s="16"/>
      <c r="L3879" s="23"/>
    </row>
    <row r="3880">
      <c r="B3880" s="16"/>
      <c r="L3880" s="23"/>
    </row>
    <row r="3881">
      <c r="B3881" s="16"/>
      <c r="L3881" s="23"/>
    </row>
    <row r="3882">
      <c r="B3882" s="16"/>
      <c r="L3882" s="23"/>
    </row>
    <row r="3883">
      <c r="B3883" s="16"/>
      <c r="L3883" s="23"/>
    </row>
    <row r="3884">
      <c r="B3884" s="16"/>
      <c r="L3884" s="23"/>
    </row>
    <row r="3885">
      <c r="B3885" s="16"/>
      <c r="L3885" s="23"/>
      <c r="M3885" s="23"/>
    </row>
    <row r="3886">
      <c r="B3886" s="16"/>
      <c r="L3886" s="23"/>
    </row>
    <row r="3887">
      <c r="B3887" s="16"/>
      <c r="L3887" s="23"/>
    </row>
    <row r="3888">
      <c r="B3888" s="16"/>
      <c r="L3888" s="23"/>
      <c r="M3888" s="23"/>
    </row>
    <row r="3889">
      <c r="B3889" s="16"/>
      <c r="L3889" s="23"/>
    </row>
    <row r="3890">
      <c r="B3890" s="16"/>
      <c r="L3890" s="23"/>
    </row>
    <row r="3891">
      <c r="B3891" s="16"/>
      <c r="L3891" s="23"/>
    </row>
    <row r="3892">
      <c r="B3892" s="16"/>
      <c r="L3892" s="23"/>
    </row>
    <row r="3893">
      <c r="B3893" s="16"/>
      <c r="L3893" s="23"/>
    </row>
    <row r="3894">
      <c r="B3894" s="16"/>
      <c r="L3894" s="23"/>
    </row>
    <row r="3895">
      <c r="B3895" s="16"/>
      <c r="L3895" s="23"/>
    </row>
    <row r="3896">
      <c r="B3896" s="16"/>
      <c r="L3896" s="23"/>
    </row>
    <row r="3897">
      <c r="B3897" s="16"/>
      <c r="L3897" s="23"/>
    </row>
    <row r="3898">
      <c r="B3898" s="16"/>
      <c r="L3898" s="23"/>
    </row>
    <row r="3899">
      <c r="B3899" s="16"/>
      <c r="L3899" s="23"/>
    </row>
    <row r="3900">
      <c r="B3900" s="16"/>
      <c r="L3900" s="23"/>
    </row>
    <row r="3901">
      <c r="B3901" s="16"/>
      <c r="L3901" s="23"/>
      <c r="M3901" s="23"/>
    </row>
    <row r="3902">
      <c r="B3902" s="16"/>
      <c r="L3902" s="23"/>
    </row>
    <row r="3903">
      <c r="B3903" s="16"/>
      <c r="L3903" s="23"/>
    </row>
    <row r="3904">
      <c r="B3904" s="16"/>
      <c r="L3904" s="23"/>
    </row>
    <row r="3905">
      <c r="B3905" s="16"/>
      <c r="L3905" s="23"/>
    </row>
    <row r="3906">
      <c r="B3906" s="16"/>
      <c r="L3906" s="23"/>
    </row>
    <row r="3907">
      <c r="B3907" s="16"/>
      <c r="L3907" s="23"/>
    </row>
    <row r="3908">
      <c r="B3908" s="16"/>
      <c r="L3908" s="23"/>
    </row>
    <row r="3909">
      <c r="B3909" s="16"/>
      <c r="L3909" s="23"/>
    </row>
    <row r="3910">
      <c r="B3910" s="16"/>
      <c r="L3910" s="23"/>
      <c r="M3910" s="23"/>
    </row>
    <row r="3911">
      <c r="B3911" s="16"/>
      <c r="L3911" s="23"/>
    </row>
    <row r="3912">
      <c r="B3912" s="16"/>
      <c r="L3912" s="23"/>
    </row>
    <row r="3913">
      <c r="B3913" s="16"/>
      <c r="L3913" s="23"/>
    </row>
    <row r="3914">
      <c r="B3914" s="16"/>
      <c r="L3914" s="23"/>
    </row>
    <row r="3915">
      <c r="B3915" s="16"/>
      <c r="L3915" s="23"/>
    </row>
    <row r="3916">
      <c r="B3916" s="16"/>
      <c r="L3916" s="23"/>
      <c r="M3916" s="23"/>
    </row>
    <row r="3917">
      <c r="B3917" s="16"/>
      <c r="L3917" s="23"/>
    </row>
    <row r="3918">
      <c r="B3918" s="16"/>
      <c r="L3918" s="23"/>
    </row>
    <row r="3919">
      <c r="B3919" s="16"/>
      <c r="L3919" s="23"/>
    </row>
    <row r="3920">
      <c r="B3920" s="16"/>
      <c r="L3920" s="23"/>
    </row>
    <row r="3921">
      <c r="B3921" s="16"/>
      <c r="L3921" s="23"/>
    </row>
    <row r="3922">
      <c r="B3922" s="16"/>
      <c r="L3922" s="23"/>
    </row>
    <row r="3923">
      <c r="B3923" s="16"/>
      <c r="L3923" s="23"/>
    </row>
    <row r="3924">
      <c r="B3924" s="16"/>
      <c r="L3924" s="23"/>
    </row>
    <row r="3925">
      <c r="B3925" s="16"/>
      <c r="L3925" s="23"/>
    </row>
    <row r="3926">
      <c r="B3926" s="16"/>
      <c r="L3926" s="23"/>
    </row>
    <row r="3927">
      <c r="B3927" s="16"/>
      <c r="L3927" s="23"/>
      <c r="M3927" s="23"/>
    </row>
    <row r="3928">
      <c r="B3928" s="16"/>
      <c r="L3928" s="23"/>
      <c r="M3928" s="23"/>
    </row>
    <row r="3929">
      <c r="B3929" s="16"/>
      <c r="L3929" s="23"/>
    </row>
    <row r="3930">
      <c r="B3930" s="16"/>
      <c r="L3930" s="23"/>
    </row>
    <row r="3931">
      <c r="B3931" s="16"/>
      <c r="L3931" s="23"/>
    </row>
    <row r="3932">
      <c r="B3932" s="16"/>
      <c r="L3932" s="23"/>
    </row>
    <row r="3933">
      <c r="B3933" s="16"/>
      <c r="L3933" s="23"/>
    </row>
    <row r="3934">
      <c r="B3934" s="16"/>
      <c r="L3934" s="23"/>
    </row>
    <row r="3935">
      <c r="B3935" s="16"/>
      <c r="L3935" s="23"/>
    </row>
    <row r="3936">
      <c r="B3936" s="16"/>
      <c r="L3936" s="23"/>
    </row>
    <row r="3937">
      <c r="B3937" s="16"/>
      <c r="L3937" s="23"/>
    </row>
    <row r="3938">
      <c r="B3938" s="16"/>
      <c r="L3938" s="23"/>
    </row>
    <row r="3939">
      <c r="B3939" s="16"/>
      <c r="L3939" s="23"/>
    </row>
    <row r="3940">
      <c r="B3940" s="16"/>
      <c r="L3940" s="23"/>
    </row>
    <row r="3941">
      <c r="B3941" s="16"/>
      <c r="L3941" s="23"/>
    </row>
    <row r="3942">
      <c r="B3942" s="16"/>
      <c r="L3942" s="23"/>
    </row>
    <row r="3943">
      <c r="B3943" s="16"/>
      <c r="L3943" s="23"/>
    </row>
    <row r="3944">
      <c r="B3944" s="16"/>
      <c r="L3944" s="23"/>
    </row>
    <row r="3945">
      <c r="B3945" s="16"/>
      <c r="L3945" s="23"/>
    </row>
    <row r="3946">
      <c r="B3946" s="16"/>
      <c r="L3946" s="23"/>
    </row>
    <row r="3947">
      <c r="B3947" s="16"/>
      <c r="L3947" s="23"/>
    </row>
    <row r="3948">
      <c r="B3948" s="16"/>
      <c r="L3948" s="23"/>
    </row>
    <row r="3949">
      <c r="B3949" s="16"/>
      <c r="L3949" s="23"/>
    </row>
    <row r="3950">
      <c r="B3950" s="16"/>
      <c r="L3950" s="23"/>
    </row>
    <row r="3951">
      <c r="B3951" s="16"/>
      <c r="L3951" s="23"/>
    </row>
    <row r="3952">
      <c r="B3952" s="16"/>
      <c r="L3952" s="23"/>
    </row>
    <row r="3953">
      <c r="B3953" s="16"/>
      <c r="L3953" s="23"/>
    </row>
    <row r="3954">
      <c r="B3954" s="16"/>
      <c r="L3954" s="23"/>
    </row>
    <row r="3955">
      <c r="B3955" s="16"/>
      <c r="L3955" s="23"/>
    </row>
    <row r="3956">
      <c r="B3956" s="16"/>
      <c r="L3956" s="23"/>
    </row>
    <row r="3957">
      <c r="B3957" s="16"/>
      <c r="L3957" s="23"/>
    </row>
    <row r="3958">
      <c r="B3958" s="16"/>
      <c r="L3958" s="23"/>
    </row>
    <row r="3959">
      <c r="B3959" s="16"/>
      <c r="L3959" s="23"/>
    </row>
    <row r="3960">
      <c r="B3960" s="16"/>
      <c r="L3960" s="23"/>
    </row>
    <row r="3961">
      <c r="B3961" s="16"/>
      <c r="L3961" s="23"/>
    </row>
    <row r="3962">
      <c r="B3962" s="16"/>
      <c r="L3962" s="23"/>
    </row>
    <row r="3963">
      <c r="B3963" s="16"/>
      <c r="L3963" s="23"/>
    </row>
    <row r="3964">
      <c r="B3964" s="16"/>
      <c r="L3964" s="23"/>
    </row>
    <row r="3965">
      <c r="B3965" s="16"/>
      <c r="L3965" s="23"/>
    </row>
    <row r="3966">
      <c r="B3966" s="16"/>
      <c r="L3966" s="23"/>
    </row>
    <row r="3967">
      <c r="B3967" s="16"/>
      <c r="L3967" s="23"/>
    </row>
    <row r="3968">
      <c r="B3968" s="16"/>
      <c r="L3968" s="23"/>
    </row>
    <row r="3969">
      <c r="B3969" s="16"/>
      <c r="L3969" s="23"/>
    </row>
    <row r="3970">
      <c r="B3970" s="16"/>
      <c r="L3970" s="23"/>
    </row>
    <row r="3971">
      <c r="B3971" s="16"/>
      <c r="L3971" s="23"/>
    </row>
    <row r="3972">
      <c r="B3972" s="16"/>
      <c r="L3972" s="23"/>
    </row>
    <row r="3973">
      <c r="B3973" s="16"/>
      <c r="L3973" s="23"/>
    </row>
    <row r="3974">
      <c r="B3974" s="16"/>
      <c r="L3974" s="23"/>
    </row>
    <row r="3975">
      <c r="B3975" s="16"/>
      <c r="L3975" s="23"/>
    </row>
    <row r="3976">
      <c r="B3976" s="16"/>
      <c r="L3976" s="23"/>
    </row>
    <row r="3977">
      <c r="B3977" s="16"/>
      <c r="L3977" s="23"/>
    </row>
    <row r="3978">
      <c r="B3978" s="16"/>
      <c r="L3978" s="23"/>
    </row>
    <row r="3979">
      <c r="B3979" s="16"/>
      <c r="L3979" s="23"/>
    </row>
    <row r="3980">
      <c r="B3980" s="16"/>
      <c r="L3980" s="23"/>
    </row>
    <row r="3981">
      <c r="B3981" s="16"/>
      <c r="L3981" s="23"/>
    </row>
    <row r="3982">
      <c r="B3982" s="16"/>
      <c r="L3982" s="23"/>
    </row>
    <row r="3983">
      <c r="B3983" s="16"/>
      <c r="L3983" s="23"/>
    </row>
    <row r="3984">
      <c r="B3984" s="16"/>
      <c r="L3984" s="23"/>
    </row>
    <row r="3985">
      <c r="B3985" s="16"/>
      <c r="L3985" s="23"/>
    </row>
    <row r="3986">
      <c r="B3986" s="16"/>
      <c r="L3986" s="23"/>
    </row>
    <row r="3987">
      <c r="B3987" s="16"/>
      <c r="L3987" s="23"/>
    </row>
    <row r="3988">
      <c r="B3988" s="16"/>
      <c r="L3988" s="23"/>
    </row>
    <row r="3989">
      <c r="B3989" s="16"/>
      <c r="L3989" s="23"/>
    </row>
    <row r="3990">
      <c r="B3990" s="16"/>
      <c r="L3990" s="23"/>
    </row>
    <row r="3991">
      <c r="B3991" s="16"/>
      <c r="L3991" s="23"/>
    </row>
    <row r="3992">
      <c r="B3992" s="16"/>
      <c r="L3992" s="23"/>
    </row>
    <row r="3993">
      <c r="B3993" s="16"/>
      <c r="L3993" s="23"/>
    </row>
    <row r="3994">
      <c r="B3994" s="16"/>
      <c r="L3994" s="23"/>
    </row>
    <row r="3995">
      <c r="B3995" s="16"/>
      <c r="L3995" s="23"/>
    </row>
    <row r="3996">
      <c r="B3996" s="16"/>
      <c r="L3996" s="23"/>
    </row>
    <row r="3997">
      <c r="B3997" s="16"/>
      <c r="L3997" s="23"/>
    </row>
    <row r="3998">
      <c r="B3998" s="16"/>
      <c r="L3998" s="23"/>
    </row>
    <row r="3999">
      <c r="B3999" s="16"/>
      <c r="L3999" s="23"/>
    </row>
    <row r="4000">
      <c r="B4000" s="16"/>
      <c r="L4000" s="23"/>
    </row>
    <row r="4001">
      <c r="B4001" s="16"/>
      <c r="L4001" s="23"/>
    </row>
    <row r="4002">
      <c r="B4002" s="16"/>
      <c r="L4002" s="23"/>
    </row>
    <row r="4003">
      <c r="B4003" s="16"/>
      <c r="L4003" s="23"/>
    </row>
    <row r="4004">
      <c r="B4004" s="16"/>
      <c r="L4004" s="23"/>
    </row>
    <row r="4005">
      <c r="B4005" s="16"/>
      <c r="L4005" s="23"/>
    </row>
    <row r="4006">
      <c r="B4006" s="16"/>
      <c r="L4006" s="23"/>
    </row>
    <row r="4007">
      <c r="B4007" s="16"/>
      <c r="L4007" s="23"/>
    </row>
    <row r="4008">
      <c r="B4008" s="16"/>
      <c r="L4008" s="23"/>
    </row>
    <row r="4009">
      <c r="B4009" s="16"/>
      <c r="L4009" s="23"/>
    </row>
    <row r="4010">
      <c r="B4010" s="16"/>
      <c r="L4010" s="23"/>
    </row>
    <row r="4011">
      <c r="B4011" s="16"/>
      <c r="L4011" s="23"/>
    </row>
    <row r="4012">
      <c r="B4012" s="16"/>
      <c r="L4012" s="23"/>
    </row>
    <row r="4013">
      <c r="B4013" s="16"/>
      <c r="L4013" s="23"/>
    </row>
    <row r="4014">
      <c r="B4014" s="16"/>
      <c r="L4014" s="23"/>
    </row>
    <row r="4015">
      <c r="B4015" s="16"/>
      <c r="L4015" s="23"/>
    </row>
    <row r="4016">
      <c r="B4016" s="16"/>
      <c r="L4016" s="23"/>
    </row>
    <row r="4017">
      <c r="B4017" s="16"/>
      <c r="L4017" s="23"/>
    </row>
    <row r="4018">
      <c r="B4018" s="16"/>
      <c r="L4018" s="23"/>
    </row>
    <row r="4019">
      <c r="B4019" s="16"/>
      <c r="L4019" s="23"/>
    </row>
    <row r="4020">
      <c r="B4020" s="16"/>
      <c r="L4020" s="23"/>
    </row>
    <row r="4021">
      <c r="B4021" s="16"/>
      <c r="L4021" s="23"/>
    </row>
    <row r="4022">
      <c r="B4022" s="16"/>
      <c r="L4022" s="23"/>
    </row>
    <row r="4023">
      <c r="B4023" s="16"/>
      <c r="L4023" s="23"/>
    </row>
    <row r="4024">
      <c r="B4024" s="16"/>
      <c r="L4024" s="23"/>
    </row>
    <row r="4025">
      <c r="B4025" s="16"/>
      <c r="L4025" s="23"/>
    </row>
    <row r="4026">
      <c r="B4026" s="16"/>
      <c r="L4026" s="23"/>
    </row>
    <row r="4027">
      <c r="B4027" s="16"/>
      <c r="L4027" s="23"/>
    </row>
    <row r="4028">
      <c r="B4028" s="16"/>
      <c r="L4028" s="23"/>
    </row>
    <row r="4029">
      <c r="B4029" s="16"/>
      <c r="L4029" s="23"/>
    </row>
    <row r="4030">
      <c r="B4030" s="16"/>
      <c r="L4030" s="23"/>
    </row>
    <row r="4031">
      <c r="B4031" s="16"/>
      <c r="L4031" s="23"/>
    </row>
    <row r="4032">
      <c r="B4032" s="16"/>
      <c r="L4032" s="23"/>
    </row>
    <row r="4033">
      <c r="B4033" s="16"/>
      <c r="L4033" s="23"/>
    </row>
    <row r="4034">
      <c r="B4034" s="16"/>
      <c r="L4034" s="23"/>
    </row>
    <row r="4035">
      <c r="B4035" s="16"/>
      <c r="L4035" s="23"/>
    </row>
    <row r="4036">
      <c r="B4036" s="16"/>
      <c r="L4036" s="23"/>
    </row>
    <row r="4037">
      <c r="B4037" s="16"/>
      <c r="L4037" s="23"/>
    </row>
    <row r="4038">
      <c r="B4038" s="16"/>
      <c r="L4038" s="23"/>
    </row>
    <row r="4039">
      <c r="B4039" s="16"/>
      <c r="L4039" s="23"/>
    </row>
    <row r="4040">
      <c r="B4040" s="16"/>
      <c r="L4040" s="23"/>
    </row>
    <row r="4041">
      <c r="B4041" s="16"/>
      <c r="L4041" s="23"/>
    </row>
    <row r="4042">
      <c r="B4042" s="16"/>
      <c r="L4042" s="23"/>
    </row>
    <row r="4043">
      <c r="B4043" s="16"/>
      <c r="L4043" s="23"/>
    </row>
    <row r="4044">
      <c r="B4044" s="16"/>
      <c r="L4044" s="23"/>
    </row>
    <row r="4045">
      <c r="B4045" s="16"/>
      <c r="L4045" s="23"/>
    </row>
    <row r="4046">
      <c r="B4046" s="16"/>
      <c r="L4046" s="23"/>
    </row>
    <row r="4047">
      <c r="B4047" s="16"/>
      <c r="L4047" s="23"/>
    </row>
    <row r="4048">
      <c r="B4048" s="16"/>
      <c r="L4048" s="23"/>
    </row>
    <row r="4049">
      <c r="B4049" s="16"/>
      <c r="L4049" s="23"/>
    </row>
    <row r="4050">
      <c r="B4050" s="16"/>
      <c r="L4050" s="23"/>
    </row>
    <row r="4051">
      <c r="B4051" s="16"/>
      <c r="L4051" s="23"/>
    </row>
    <row r="4052">
      <c r="B4052" s="16"/>
      <c r="L4052" s="23"/>
    </row>
    <row r="4053">
      <c r="B4053" s="16"/>
      <c r="L4053" s="23"/>
    </row>
    <row r="4054">
      <c r="B4054" s="16"/>
      <c r="L4054" s="23"/>
    </row>
    <row r="4055">
      <c r="B4055" s="16"/>
      <c r="L4055" s="23"/>
    </row>
    <row r="4056">
      <c r="B4056" s="16"/>
      <c r="L4056" s="23"/>
    </row>
    <row r="4057">
      <c r="B4057" s="16"/>
      <c r="L4057" s="23"/>
    </row>
    <row r="4058">
      <c r="B4058" s="16"/>
      <c r="L4058" s="23"/>
    </row>
    <row r="4059">
      <c r="B4059" s="16"/>
      <c r="L4059" s="23"/>
    </row>
    <row r="4060">
      <c r="B4060" s="16"/>
      <c r="L4060" s="23"/>
    </row>
    <row r="4061">
      <c r="B4061" s="16"/>
      <c r="L4061" s="23"/>
    </row>
    <row r="4062">
      <c r="B4062" s="16"/>
      <c r="L4062" s="23"/>
    </row>
    <row r="4063">
      <c r="B4063" s="16"/>
      <c r="L4063" s="23"/>
    </row>
    <row r="4064">
      <c r="B4064" s="16"/>
      <c r="L4064" s="23"/>
    </row>
    <row r="4065">
      <c r="B4065" s="16"/>
      <c r="L4065" s="23"/>
    </row>
    <row r="4066">
      <c r="B4066" s="16"/>
      <c r="L4066" s="23"/>
    </row>
    <row r="4067">
      <c r="B4067" s="16"/>
      <c r="L4067" s="23"/>
    </row>
    <row r="4068">
      <c r="B4068" s="16"/>
      <c r="L4068" s="23"/>
    </row>
    <row r="4069">
      <c r="B4069" s="16"/>
      <c r="L4069" s="23"/>
    </row>
    <row r="4070">
      <c r="B4070" s="16"/>
      <c r="L4070" s="23"/>
    </row>
    <row r="4071">
      <c r="B4071" s="16"/>
      <c r="L4071" s="23"/>
    </row>
    <row r="4072">
      <c r="B4072" s="16"/>
      <c r="L4072" s="23"/>
    </row>
    <row r="4073">
      <c r="B4073" s="16"/>
      <c r="L4073" s="23"/>
    </row>
    <row r="4074">
      <c r="B4074" s="16"/>
      <c r="L4074" s="23"/>
    </row>
    <row r="4075">
      <c r="B4075" s="16"/>
      <c r="L4075" s="23"/>
    </row>
    <row r="4076">
      <c r="B4076" s="16"/>
      <c r="L4076" s="23"/>
    </row>
    <row r="4077">
      <c r="B4077" s="16"/>
      <c r="L4077" s="23"/>
    </row>
    <row r="4078">
      <c r="B4078" s="16"/>
      <c r="L4078" s="23"/>
    </row>
    <row r="4079">
      <c r="B4079" s="16"/>
      <c r="L4079" s="23"/>
    </row>
    <row r="4080">
      <c r="B4080" s="16"/>
      <c r="L4080" s="23"/>
    </row>
    <row r="4081">
      <c r="B4081" s="16"/>
      <c r="L4081" s="23"/>
    </row>
    <row r="4082">
      <c r="B4082" s="16"/>
      <c r="L4082" s="23"/>
    </row>
    <row r="4083">
      <c r="B4083" s="16"/>
      <c r="L4083" s="23"/>
    </row>
    <row r="4084">
      <c r="B4084" s="16"/>
      <c r="L4084" s="23"/>
    </row>
    <row r="4085">
      <c r="B4085" s="16"/>
      <c r="L4085" s="23"/>
    </row>
    <row r="4086">
      <c r="B4086" s="16"/>
      <c r="L4086" s="23"/>
    </row>
    <row r="4087">
      <c r="B4087" s="16"/>
      <c r="L4087" s="23"/>
    </row>
    <row r="4088">
      <c r="B4088" s="16"/>
      <c r="L4088" s="23"/>
    </row>
    <row r="4089">
      <c r="B4089" s="16"/>
      <c r="L4089" s="23"/>
    </row>
    <row r="4090">
      <c r="B4090" s="16"/>
      <c r="L4090" s="23"/>
    </row>
    <row r="4091">
      <c r="B4091" s="16"/>
      <c r="L4091" s="23"/>
    </row>
    <row r="4092">
      <c r="B4092" s="16"/>
      <c r="L4092" s="23"/>
      <c r="M4092" s="23"/>
    </row>
    <row r="4093">
      <c r="B4093" s="16"/>
      <c r="L4093" s="23"/>
    </row>
    <row r="4094">
      <c r="B4094" s="16"/>
      <c r="L4094" s="23"/>
    </row>
    <row r="4095">
      <c r="B4095" s="16"/>
      <c r="L4095" s="23"/>
    </row>
    <row r="4096">
      <c r="B4096" s="16"/>
      <c r="L4096" s="23"/>
    </row>
    <row r="4097">
      <c r="B4097" s="16"/>
      <c r="L4097" s="23"/>
    </row>
    <row r="4098">
      <c r="B4098" s="16"/>
      <c r="L4098" s="23"/>
    </row>
    <row r="4099">
      <c r="B4099" s="16"/>
      <c r="L4099" s="23"/>
      <c r="M4099" s="23"/>
    </row>
    <row r="4100">
      <c r="B4100" s="16"/>
      <c r="L4100" s="23"/>
    </row>
    <row r="4101">
      <c r="B4101" s="16"/>
      <c r="L4101" s="23"/>
    </row>
    <row r="4102">
      <c r="B4102" s="16"/>
      <c r="L4102" s="23"/>
    </row>
    <row r="4103">
      <c r="B4103" s="16"/>
      <c r="L4103" s="23"/>
    </row>
    <row r="4104">
      <c r="B4104" s="16"/>
      <c r="L4104" s="23"/>
    </row>
    <row r="4105">
      <c r="B4105" s="16"/>
      <c r="L4105" s="23"/>
    </row>
    <row r="4106">
      <c r="B4106" s="16"/>
      <c r="L4106" s="23"/>
    </row>
    <row r="4107">
      <c r="B4107" s="16"/>
      <c r="L4107" s="23"/>
    </row>
    <row r="4108">
      <c r="B4108" s="16"/>
      <c r="L4108" s="23"/>
    </row>
    <row r="4109">
      <c r="B4109" s="16"/>
      <c r="L4109" s="23"/>
    </row>
    <row r="4110">
      <c r="B4110" s="16"/>
      <c r="L4110" s="23"/>
    </row>
    <row r="4111">
      <c r="B4111" s="16"/>
      <c r="L4111" s="23"/>
    </row>
    <row r="4112">
      <c r="B4112" s="16"/>
      <c r="L4112" s="23"/>
    </row>
    <row r="4113">
      <c r="B4113" s="16"/>
      <c r="L4113" s="23"/>
    </row>
    <row r="4114">
      <c r="B4114" s="16"/>
      <c r="L4114" s="23"/>
    </row>
    <row r="4115">
      <c r="B4115" s="16"/>
      <c r="L4115" s="23"/>
    </row>
    <row r="4116">
      <c r="B4116" s="16"/>
      <c r="L4116" s="23"/>
      <c r="M4116" s="23"/>
    </row>
    <row r="4117">
      <c r="B4117" s="16"/>
      <c r="L4117" s="23"/>
    </row>
    <row r="4118">
      <c r="B4118" s="16"/>
      <c r="L4118" s="23"/>
    </row>
    <row r="4119">
      <c r="B4119" s="16"/>
      <c r="L4119" s="23"/>
    </row>
    <row r="4120">
      <c r="B4120" s="16"/>
      <c r="L4120" s="23"/>
    </row>
    <row r="4121">
      <c r="B4121" s="16"/>
      <c r="L4121" s="23"/>
    </row>
    <row r="4122">
      <c r="B4122" s="16"/>
      <c r="L4122" s="23"/>
    </row>
    <row r="4123">
      <c r="B4123" s="16"/>
      <c r="L4123" s="23"/>
    </row>
    <row r="4124">
      <c r="B4124" s="16"/>
      <c r="L4124" s="23"/>
    </row>
    <row r="4125">
      <c r="B4125" s="16"/>
      <c r="L4125" s="23"/>
    </row>
    <row r="4126">
      <c r="B4126" s="16"/>
      <c r="L4126" s="23"/>
    </row>
    <row r="4127">
      <c r="B4127" s="16"/>
      <c r="L4127" s="23"/>
    </row>
    <row r="4128">
      <c r="B4128" s="16"/>
      <c r="L4128" s="23"/>
    </row>
    <row r="4129">
      <c r="B4129" s="16"/>
      <c r="L4129" s="23"/>
    </row>
    <row r="4130">
      <c r="B4130" s="16"/>
      <c r="L4130" s="23"/>
    </row>
    <row r="4131">
      <c r="B4131" s="16"/>
      <c r="L4131" s="23"/>
    </row>
    <row r="4132">
      <c r="B4132" s="16"/>
      <c r="L4132" s="23"/>
    </row>
    <row r="4133">
      <c r="B4133" s="16"/>
      <c r="L4133" s="23"/>
    </row>
    <row r="4134">
      <c r="B4134" s="16"/>
      <c r="L4134" s="23"/>
    </row>
    <row r="4135">
      <c r="B4135" s="16"/>
      <c r="L4135" s="23"/>
    </row>
    <row r="4136">
      <c r="B4136" s="16"/>
      <c r="L4136" s="23"/>
    </row>
    <row r="4137">
      <c r="B4137" s="16"/>
      <c r="L4137" s="23"/>
    </row>
    <row r="4138">
      <c r="B4138" s="16"/>
      <c r="L4138" s="23"/>
    </row>
    <row r="4139">
      <c r="B4139" s="16"/>
      <c r="L4139" s="23"/>
    </row>
    <row r="4140">
      <c r="B4140" s="16"/>
      <c r="L4140" s="23"/>
    </row>
    <row r="4141">
      <c r="B4141" s="16"/>
      <c r="L4141" s="23"/>
    </row>
    <row r="4142">
      <c r="B4142" s="16"/>
      <c r="L4142" s="23"/>
    </row>
    <row r="4143">
      <c r="B4143" s="16"/>
      <c r="L4143" s="23"/>
    </row>
    <row r="4144">
      <c r="B4144" s="16"/>
      <c r="L4144" s="23"/>
    </row>
    <row r="4145">
      <c r="B4145" s="16"/>
      <c r="L4145" s="23"/>
    </row>
    <row r="4146">
      <c r="B4146" s="16"/>
      <c r="L4146" s="23"/>
    </row>
    <row r="4147">
      <c r="B4147" s="16"/>
      <c r="L4147" s="23"/>
    </row>
    <row r="4148">
      <c r="B4148" s="16"/>
      <c r="L4148" s="23"/>
    </row>
    <row r="4149">
      <c r="B4149" s="16"/>
      <c r="L4149" s="23"/>
    </row>
    <row r="4150">
      <c r="B4150" s="16"/>
      <c r="L4150" s="23"/>
    </row>
    <row r="4151">
      <c r="B4151" s="16"/>
      <c r="L4151" s="23"/>
    </row>
    <row r="4152">
      <c r="B4152" s="16"/>
      <c r="L4152" s="23"/>
    </row>
    <row r="4153">
      <c r="B4153" s="16"/>
      <c r="L4153" s="23"/>
    </row>
    <row r="4154">
      <c r="B4154" s="16"/>
      <c r="L4154" s="23"/>
    </row>
    <row r="4155">
      <c r="B4155" s="16"/>
      <c r="L4155" s="23"/>
      <c r="M4155" s="23"/>
    </row>
    <row r="4156">
      <c r="B4156" s="16"/>
      <c r="L4156" s="23"/>
      <c r="M4156" s="23"/>
    </row>
    <row r="4157">
      <c r="B4157" s="16"/>
      <c r="L4157" s="23"/>
    </row>
    <row r="4158">
      <c r="B4158" s="16"/>
      <c r="L4158" s="23"/>
    </row>
    <row r="4159">
      <c r="B4159" s="16"/>
      <c r="L4159" s="23"/>
    </row>
    <row r="4160">
      <c r="B4160" s="16"/>
      <c r="L4160" s="23"/>
    </row>
    <row r="4161">
      <c r="B4161" s="16"/>
      <c r="L4161" s="23"/>
    </row>
    <row r="4162">
      <c r="B4162" s="16"/>
      <c r="L4162" s="23"/>
    </row>
    <row r="4163">
      <c r="B4163" s="16"/>
      <c r="L4163" s="23"/>
    </row>
    <row r="4164">
      <c r="B4164" s="16"/>
      <c r="L4164" s="23"/>
    </row>
    <row r="4165">
      <c r="B4165" s="16"/>
      <c r="L4165" s="23"/>
    </row>
    <row r="4166">
      <c r="B4166" s="16"/>
      <c r="L4166" s="23"/>
    </row>
    <row r="4167">
      <c r="B4167" s="16"/>
      <c r="L4167" s="23"/>
    </row>
    <row r="4168">
      <c r="B4168" s="16"/>
      <c r="L4168" s="23"/>
    </row>
    <row r="4169">
      <c r="B4169" s="16"/>
      <c r="L4169" s="23"/>
    </row>
    <row r="4170">
      <c r="B4170" s="16"/>
      <c r="L4170" s="23"/>
    </row>
    <row r="4171">
      <c r="B4171" s="16"/>
      <c r="L4171" s="23"/>
    </row>
    <row r="4172">
      <c r="B4172" s="16"/>
      <c r="L4172" s="23"/>
    </row>
    <row r="4173">
      <c r="B4173" s="16"/>
      <c r="L4173" s="23"/>
    </row>
    <row r="4174">
      <c r="B4174" s="16"/>
      <c r="L4174" s="23"/>
    </row>
    <row r="4175">
      <c r="B4175" s="16"/>
      <c r="L4175" s="23"/>
    </row>
    <row r="4176">
      <c r="B4176" s="16"/>
      <c r="L4176" s="23"/>
    </row>
    <row r="4177">
      <c r="B4177" s="16"/>
      <c r="L4177" s="23"/>
    </row>
    <row r="4178">
      <c r="B4178" s="16"/>
      <c r="L4178" s="23"/>
    </row>
    <row r="4179">
      <c r="B4179" s="16"/>
      <c r="L4179" s="23"/>
    </row>
    <row r="4180">
      <c r="B4180" s="16"/>
      <c r="L4180" s="23"/>
    </row>
    <row r="4181">
      <c r="B4181" s="16"/>
      <c r="L4181" s="23"/>
    </row>
    <row r="4182">
      <c r="B4182" s="16"/>
      <c r="L4182" s="23"/>
    </row>
    <row r="4183">
      <c r="B4183" s="16"/>
      <c r="L4183" s="23"/>
    </row>
    <row r="4184">
      <c r="B4184" s="16"/>
      <c r="L4184" s="23"/>
    </row>
    <row r="4185">
      <c r="B4185" s="16"/>
      <c r="L4185" s="23"/>
    </row>
    <row r="4186">
      <c r="B4186" s="16"/>
      <c r="L4186" s="23"/>
    </row>
    <row r="4187">
      <c r="B4187" s="16"/>
      <c r="L4187" s="23"/>
    </row>
    <row r="4188">
      <c r="B4188" s="16"/>
      <c r="L4188" s="23"/>
    </row>
    <row r="4189">
      <c r="B4189" s="16"/>
      <c r="L4189" s="23"/>
    </row>
    <row r="4190">
      <c r="B4190" s="16"/>
      <c r="L4190" s="23"/>
    </row>
    <row r="4191">
      <c r="B4191" s="16"/>
      <c r="L4191" s="23"/>
    </row>
    <row r="4192">
      <c r="B4192" s="16"/>
      <c r="L4192" s="23"/>
    </row>
    <row r="4193">
      <c r="B4193" s="16"/>
      <c r="L4193" s="23"/>
    </row>
    <row r="4194">
      <c r="B4194" s="16"/>
      <c r="L4194" s="23"/>
    </row>
    <row r="4195">
      <c r="B4195" s="16"/>
      <c r="L4195" s="23"/>
    </row>
    <row r="4196">
      <c r="B4196" s="16"/>
      <c r="L4196" s="23"/>
    </row>
    <row r="4197">
      <c r="B4197" s="16"/>
      <c r="L4197" s="23"/>
    </row>
    <row r="4198">
      <c r="B4198" s="16"/>
      <c r="L4198" s="23"/>
    </row>
    <row r="4199">
      <c r="B4199" s="16"/>
      <c r="L4199" s="23"/>
    </row>
    <row r="4200">
      <c r="B4200" s="16"/>
      <c r="L4200" s="23"/>
    </row>
    <row r="4201">
      <c r="B4201" s="16"/>
      <c r="L4201" s="23"/>
    </row>
    <row r="4202">
      <c r="B4202" s="16"/>
      <c r="L4202" s="23"/>
    </row>
    <row r="4203">
      <c r="B4203" s="16"/>
      <c r="L4203" s="23"/>
    </row>
    <row r="4204">
      <c r="B4204" s="16"/>
      <c r="L4204" s="23"/>
    </row>
    <row r="4205">
      <c r="B4205" s="16"/>
      <c r="L4205" s="23"/>
    </row>
    <row r="4206">
      <c r="B4206" s="16"/>
      <c r="L4206" s="23"/>
    </row>
    <row r="4207">
      <c r="B4207" s="16"/>
      <c r="L4207" s="23"/>
    </row>
    <row r="4208">
      <c r="B4208" s="16"/>
      <c r="L4208" s="23"/>
    </row>
    <row r="4209">
      <c r="B4209" s="16"/>
      <c r="L4209" s="23"/>
    </row>
    <row r="4210">
      <c r="B4210" s="16"/>
      <c r="L4210" s="23"/>
    </row>
    <row r="4211">
      <c r="B4211" s="16"/>
      <c r="L4211" s="23"/>
    </row>
    <row r="4212">
      <c r="B4212" s="16"/>
      <c r="L4212" s="23"/>
    </row>
    <row r="4213">
      <c r="B4213" s="16"/>
      <c r="L4213" s="23"/>
    </row>
    <row r="4214">
      <c r="B4214" s="16"/>
      <c r="L4214" s="23"/>
    </row>
    <row r="4215">
      <c r="B4215" s="16"/>
      <c r="L4215" s="23"/>
    </row>
    <row r="4216">
      <c r="B4216" s="16"/>
      <c r="L4216" s="23"/>
    </row>
    <row r="4217">
      <c r="B4217" s="16"/>
      <c r="L4217" s="23"/>
    </row>
    <row r="4218">
      <c r="B4218" s="16"/>
      <c r="L4218" s="23"/>
    </row>
    <row r="4219">
      <c r="B4219" s="16"/>
      <c r="L4219" s="23"/>
    </row>
    <row r="4220">
      <c r="B4220" s="16"/>
      <c r="L4220" s="23"/>
    </row>
    <row r="4221">
      <c r="B4221" s="16"/>
      <c r="L4221" s="23"/>
    </row>
    <row r="4222">
      <c r="B4222" s="16"/>
      <c r="L4222" s="23"/>
    </row>
    <row r="4223">
      <c r="B4223" s="16"/>
      <c r="L4223" s="23"/>
    </row>
    <row r="4224">
      <c r="B4224" s="16"/>
      <c r="L4224" s="23"/>
    </row>
    <row r="4225">
      <c r="B4225" s="16"/>
      <c r="L4225" s="23"/>
    </row>
    <row r="4226">
      <c r="B4226" s="16"/>
      <c r="L4226" s="23"/>
    </row>
    <row r="4227">
      <c r="B4227" s="16"/>
      <c r="L4227" s="23"/>
    </row>
    <row r="4228">
      <c r="B4228" s="16"/>
      <c r="L4228" s="23"/>
    </row>
    <row r="4229">
      <c r="B4229" s="16"/>
      <c r="L4229" s="23"/>
    </row>
    <row r="4230">
      <c r="B4230" s="16"/>
      <c r="L4230" s="23"/>
    </row>
    <row r="4231">
      <c r="B4231" s="16"/>
      <c r="L4231" s="23"/>
    </row>
    <row r="4232">
      <c r="B4232" s="16"/>
      <c r="L4232" s="23"/>
    </row>
    <row r="4233">
      <c r="B4233" s="16"/>
      <c r="L4233" s="23"/>
      <c r="M4233" s="23"/>
    </row>
    <row r="4234">
      <c r="B4234" s="16"/>
      <c r="L4234" s="23"/>
    </row>
    <row r="4235">
      <c r="B4235" s="16"/>
      <c r="L4235" s="23"/>
    </row>
    <row r="4236">
      <c r="B4236" s="16"/>
      <c r="L4236" s="23"/>
    </row>
    <row r="4237">
      <c r="B4237" s="16"/>
      <c r="L4237" s="23"/>
    </row>
    <row r="4238">
      <c r="B4238" s="16"/>
      <c r="L4238" s="23"/>
    </row>
    <row r="4239">
      <c r="B4239" s="16"/>
      <c r="L4239" s="23"/>
    </row>
    <row r="4240">
      <c r="B4240" s="16"/>
      <c r="L4240" s="23"/>
    </row>
    <row r="4241">
      <c r="B4241" s="16"/>
      <c r="L4241" s="23"/>
    </row>
    <row r="4242">
      <c r="B4242" s="16"/>
      <c r="L4242" s="23"/>
    </row>
    <row r="4243">
      <c r="B4243" s="16"/>
      <c r="L4243" s="23"/>
    </row>
    <row r="4244">
      <c r="B4244" s="16"/>
      <c r="L4244" s="23"/>
    </row>
    <row r="4245">
      <c r="B4245" s="16"/>
      <c r="L4245" s="23"/>
    </row>
    <row r="4246">
      <c r="B4246" s="16"/>
      <c r="L4246" s="23"/>
    </row>
    <row r="4247">
      <c r="B4247" s="16"/>
      <c r="L4247" s="23"/>
    </row>
    <row r="4248">
      <c r="B4248" s="16"/>
      <c r="L4248" s="23"/>
    </row>
    <row r="4249">
      <c r="B4249" s="16"/>
      <c r="L4249" s="23"/>
    </row>
    <row r="4250">
      <c r="B4250" s="16"/>
      <c r="L4250" s="23"/>
    </row>
    <row r="4251">
      <c r="B4251" s="16"/>
      <c r="L4251" s="23"/>
    </row>
    <row r="4252">
      <c r="B4252" s="16"/>
      <c r="L4252" s="23"/>
    </row>
    <row r="4253">
      <c r="B4253" s="16"/>
      <c r="L4253" s="23"/>
    </row>
    <row r="4254">
      <c r="B4254" s="16"/>
      <c r="L4254" s="23"/>
    </row>
    <row r="4255">
      <c r="B4255" s="16"/>
      <c r="L4255" s="23"/>
    </row>
    <row r="4256">
      <c r="B4256" s="16"/>
      <c r="L4256" s="23"/>
    </row>
    <row r="4257">
      <c r="B4257" s="16"/>
      <c r="L4257" s="23"/>
    </row>
    <row r="4258">
      <c r="B4258" s="16"/>
      <c r="L4258" s="23"/>
    </row>
    <row r="4259">
      <c r="B4259" s="16"/>
      <c r="L4259" s="23"/>
    </row>
    <row r="4260">
      <c r="B4260" s="16"/>
      <c r="L4260" s="23"/>
    </row>
    <row r="4261">
      <c r="B4261" s="16"/>
      <c r="L4261" s="23"/>
    </row>
    <row r="4262">
      <c r="B4262" s="16"/>
      <c r="L4262" s="23"/>
    </row>
    <row r="4263">
      <c r="B4263" s="16"/>
      <c r="L4263" s="23"/>
    </row>
    <row r="4264">
      <c r="B4264" s="16"/>
      <c r="L4264" s="23"/>
    </row>
    <row r="4265">
      <c r="B4265" s="16"/>
      <c r="L4265" s="23"/>
    </row>
    <row r="4266">
      <c r="B4266" s="16"/>
      <c r="L4266" s="23"/>
    </row>
    <row r="4267">
      <c r="B4267" s="16"/>
      <c r="L4267" s="23"/>
    </row>
    <row r="4268">
      <c r="B4268" s="16"/>
      <c r="L4268" s="23"/>
    </row>
    <row r="4269">
      <c r="B4269" s="16"/>
      <c r="L4269" s="23"/>
    </row>
    <row r="4270">
      <c r="B4270" s="16"/>
      <c r="L4270" s="23"/>
    </row>
    <row r="4271">
      <c r="B4271" s="16"/>
      <c r="L4271" s="23"/>
    </row>
    <row r="4272">
      <c r="B4272" s="16"/>
      <c r="L4272" s="23"/>
    </row>
    <row r="4273">
      <c r="B4273" s="16"/>
      <c r="L4273" s="23"/>
    </row>
    <row r="4274">
      <c r="B4274" s="16"/>
      <c r="L4274" s="23"/>
    </row>
    <row r="4275">
      <c r="B4275" s="16"/>
      <c r="L4275" s="23"/>
    </row>
    <row r="4276">
      <c r="B4276" s="16"/>
      <c r="L4276" s="23"/>
    </row>
    <row r="4277">
      <c r="B4277" s="16"/>
      <c r="L4277" s="23"/>
    </row>
    <row r="4278">
      <c r="B4278" s="16"/>
      <c r="L4278" s="23"/>
    </row>
    <row r="4279">
      <c r="B4279" s="16"/>
      <c r="L4279" s="23"/>
    </row>
    <row r="4280">
      <c r="B4280" s="16"/>
      <c r="L4280" s="23"/>
    </row>
    <row r="4281">
      <c r="B4281" s="16"/>
      <c r="L4281" s="23"/>
    </row>
    <row r="4282">
      <c r="B4282" s="16"/>
      <c r="L4282" s="23"/>
    </row>
    <row r="4283">
      <c r="B4283" s="16"/>
      <c r="L4283" s="23"/>
    </row>
    <row r="4284">
      <c r="B4284" s="16"/>
      <c r="L4284" s="23"/>
    </row>
    <row r="4285">
      <c r="B4285" s="16"/>
      <c r="L4285" s="23"/>
    </row>
    <row r="4286">
      <c r="B4286" s="16"/>
      <c r="L4286" s="23"/>
    </row>
    <row r="4287">
      <c r="B4287" s="16"/>
      <c r="L4287" s="23"/>
    </row>
    <row r="4288">
      <c r="B4288" s="16"/>
      <c r="L4288" s="23"/>
    </row>
    <row r="4289">
      <c r="B4289" s="16"/>
      <c r="L4289" s="23"/>
    </row>
    <row r="4290">
      <c r="B4290" s="16"/>
      <c r="L4290" s="23"/>
    </row>
    <row r="4291">
      <c r="B4291" s="16"/>
      <c r="L4291" s="23"/>
    </row>
    <row r="4292">
      <c r="B4292" s="16"/>
      <c r="L4292" s="23"/>
    </row>
    <row r="4293">
      <c r="B4293" s="16"/>
      <c r="L4293" s="23"/>
    </row>
    <row r="4294">
      <c r="B4294" s="16"/>
      <c r="L4294" s="23"/>
    </row>
    <row r="4295">
      <c r="B4295" s="16"/>
      <c r="L4295" s="23"/>
    </row>
    <row r="4296">
      <c r="B4296" s="16"/>
      <c r="L4296" s="23"/>
    </row>
    <row r="4297">
      <c r="B4297" s="16"/>
      <c r="L4297" s="23"/>
    </row>
    <row r="4298">
      <c r="B4298" s="16"/>
      <c r="L4298" s="23"/>
    </row>
    <row r="4299">
      <c r="B4299" s="16"/>
      <c r="L4299" s="23"/>
    </row>
    <row r="4300">
      <c r="B4300" s="16"/>
      <c r="L4300" s="23"/>
    </row>
    <row r="4301">
      <c r="B4301" s="16"/>
      <c r="L4301" s="23"/>
    </row>
    <row r="4302">
      <c r="B4302" s="16"/>
      <c r="L4302" s="23"/>
    </row>
    <row r="4303">
      <c r="B4303" s="16"/>
      <c r="L4303" s="23"/>
    </row>
    <row r="4304">
      <c r="B4304" s="16"/>
      <c r="L4304" s="23"/>
    </row>
    <row r="4305">
      <c r="B4305" s="16"/>
      <c r="L4305" s="23"/>
    </row>
    <row r="4306">
      <c r="B4306" s="16"/>
      <c r="L4306" s="23"/>
    </row>
    <row r="4307">
      <c r="B4307" s="16"/>
      <c r="L4307" s="23"/>
    </row>
    <row r="4308">
      <c r="B4308" s="16"/>
      <c r="L4308" s="23"/>
    </row>
    <row r="4309">
      <c r="B4309" s="16"/>
      <c r="L4309" s="23"/>
    </row>
    <row r="4310">
      <c r="B4310" s="16"/>
      <c r="L4310" s="23"/>
    </row>
    <row r="4311">
      <c r="B4311" s="16"/>
      <c r="L4311" s="23"/>
    </row>
    <row r="4312">
      <c r="B4312" s="16"/>
      <c r="L4312" s="23"/>
    </row>
    <row r="4313">
      <c r="B4313" s="16"/>
      <c r="L4313" s="23"/>
    </row>
    <row r="4314">
      <c r="B4314" s="16"/>
      <c r="L4314" s="23"/>
    </row>
    <row r="4315">
      <c r="B4315" s="16"/>
      <c r="L4315" s="23"/>
    </row>
    <row r="4316">
      <c r="B4316" s="16"/>
      <c r="L4316" s="23"/>
    </row>
    <row r="4317">
      <c r="B4317" s="16"/>
      <c r="L4317" s="23"/>
    </row>
    <row r="4318">
      <c r="B4318" s="16"/>
      <c r="L4318" s="23"/>
    </row>
    <row r="4319">
      <c r="B4319" s="16"/>
      <c r="L4319" s="23"/>
    </row>
    <row r="4320">
      <c r="B4320" s="16"/>
      <c r="L4320" s="23"/>
    </row>
    <row r="4321">
      <c r="B4321" s="16"/>
      <c r="L4321" s="23"/>
    </row>
    <row r="4322">
      <c r="B4322" s="16"/>
      <c r="L4322" s="23"/>
    </row>
    <row r="4323">
      <c r="B4323" s="16"/>
      <c r="L4323" s="23"/>
    </row>
    <row r="4324">
      <c r="B4324" s="16"/>
      <c r="L4324" s="23"/>
    </row>
    <row r="4325">
      <c r="B4325" s="16"/>
      <c r="L4325" s="23"/>
    </row>
    <row r="4326">
      <c r="B4326" s="16"/>
      <c r="L4326" s="23"/>
    </row>
    <row r="4327">
      <c r="B4327" s="16"/>
      <c r="L4327" s="23"/>
    </row>
    <row r="4328">
      <c r="B4328" s="16"/>
      <c r="L4328" s="23"/>
    </row>
    <row r="4329">
      <c r="B4329" s="16"/>
      <c r="L4329" s="23"/>
    </row>
    <row r="4330">
      <c r="B4330" s="16"/>
      <c r="L4330" s="23"/>
    </row>
    <row r="4331">
      <c r="B4331" s="16"/>
      <c r="L4331" s="23"/>
    </row>
    <row r="4332">
      <c r="B4332" s="16"/>
      <c r="L4332" s="23"/>
    </row>
    <row r="4333">
      <c r="B4333" s="16"/>
      <c r="L4333" s="23"/>
    </row>
    <row r="4334">
      <c r="B4334" s="16"/>
      <c r="L4334" s="23"/>
    </row>
    <row r="4335">
      <c r="B4335" s="16"/>
      <c r="L4335" s="23"/>
    </row>
    <row r="4336">
      <c r="B4336" s="16"/>
      <c r="L4336" s="23"/>
    </row>
    <row r="4337">
      <c r="B4337" s="16"/>
      <c r="L4337" s="23"/>
    </row>
    <row r="4338">
      <c r="B4338" s="16"/>
      <c r="L4338" s="23"/>
    </row>
    <row r="4339">
      <c r="B4339" s="16"/>
      <c r="L4339" s="23"/>
    </row>
    <row r="4340">
      <c r="B4340" s="16"/>
      <c r="L4340" s="23"/>
    </row>
    <row r="4341">
      <c r="B4341" s="16"/>
      <c r="L4341" s="23"/>
    </row>
    <row r="4342">
      <c r="B4342" s="16"/>
      <c r="L4342" s="23"/>
    </row>
    <row r="4343">
      <c r="B4343" s="16"/>
      <c r="L4343" s="23"/>
    </row>
    <row r="4344">
      <c r="B4344" s="16"/>
      <c r="L4344" s="23"/>
    </row>
    <row r="4345">
      <c r="B4345" s="16"/>
      <c r="L4345" s="23"/>
    </row>
    <row r="4346">
      <c r="B4346" s="16"/>
      <c r="L4346" s="23"/>
    </row>
    <row r="4347">
      <c r="B4347" s="16"/>
      <c r="L4347" s="23"/>
    </row>
    <row r="4348">
      <c r="B4348" s="16"/>
      <c r="L4348" s="23"/>
    </row>
    <row r="4349">
      <c r="B4349" s="16"/>
      <c r="L4349" s="23"/>
    </row>
    <row r="4350">
      <c r="B4350" s="16"/>
      <c r="L4350" s="23"/>
      <c r="M4350" s="23"/>
    </row>
    <row r="4351">
      <c r="B4351" s="16"/>
      <c r="L4351" s="23"/>
      <c r="M4351" s="23"/>
    </row>
    <row r="4352">
      <c r="B4352" s="16"/>
      <c r="L4352" s="23"/>
    </row>
    <row r="4353">
      <c r="B4353" s="16"/>
      <c r="L4353" s="23"/>
    </row>
    <row r="4354">
      <c r="B4354" s="16"/>
      <c r="L4354" s="23"/>
      <c r="M4354" s="23"/>
    </row>
    <row r="4355">
      <c r="B4355" s="16"/>
      <c r="L4355" s="23"/>
      <c r="M4355" s="23"/>
    </row>
    <row r="4356">
      <c r="B4356" s="16"/>
      <c r="L4356" s="23"/>
    </row>
    <row r="4357">
      <c r="B4357" s="16"/>
      <c r="L4357" s="23"/>
      <c r="M4357" s="23"/>
    </row>
    <row r="4358">
      <c r="B4358" s="16"/>
      <c r="L4358" s="23"/>
    </row>
    <row r="4359">
      <c r="B4359" s="16"/>
      <c r="L4359" s="23"/>
      <c r="M4359" s="23"/>
    </row>
    <row r="4360">
      <c r="B4360" s="16"/>
      <c r="L4360" s="23"/>
    </row>
    <row r="4361">
      <c r="B4361" s="16"/>
      <c r="L4361" s="23"/>
    </row>
    <row r="4362">
      <c r="B4362" s="16"/>
      <c r="L4362" s="23"/>
    </row>
    <row r="4363">
      <c r="B4363" s="16"/>
      <c r="L4363" s="23"/>
    </row>
    <row r="4364">
      <c r="B4364" s="16"/>
      <c r="L4364" s="23"/>
    </row>
    <row r="4365">
      <c r="B4365" s="16"/>
      <c r="L4365" s="23"/>
      <c r="M4365" s="23"/>
    </row>
    <row r="4366">
      <c r="B4366" s="16"/>
      <c r="L4366" s="23"/>
    </row>
    <row r="4367">
      <c r="B4367" s="16"/>
      <c r="L4367" s="23"/>
    </row>
    <row r="4368">
      <c r="B4368" s="16"/>
      <c r="L4368" s="23"/>
    </row>
    <row r="4369">
      <c r="B4369" s="16"/>
      <c r="L4369" s="23"/>
    </row>
    <row r="4370">
      <c r="B4370" s="16"/>
      <c r="L4370" s="23"/>
    </row>
    <row r="4371">
      <c r="B4371" s="16"/>
      <c r="L4371" s="23"/>
    </row>
    <row r="4372">
      <c r="B4372" s="16"/>
      <c r="L4372" s="23"/>
    </row>
    <row r="4373">
      <c r="B4373" s="16"/>
      <c r="L4373" s="23"/>
    </row>
    <row r="4374">
      <c r="B4374" s="16"/>
      <c r="L4374" s="23"/>
    </row>
    <row r="4375">
      <c r="B4375" s="16"/>
      <c r="L4375" s="23"/>
    </row>
    <row r="4376">
      <c r="B4376" s="16"/>
      <c r="L4376" s="23"/>
    </row>
    <row r="4377">
      <c r="B4377" s="16"/>
      <c r="L4377" s="23"/>
    </row>
    <row r="4378">
      <c r="B4378" s="16"/>
      <c r="L4378" s="23"/>
    </row>
    <row r="4379">
      <c r="B4379" s="16"/>
      <c r="L4379" s="23"/>
    </row>
    <row r="4380">
      <c r="B4380" s="16"/>
      <c r="L4380" s="23"/>
    </row>
    <row r="4381">
      <c r="B4381" s="16"/>
      <c r="L4381" s="23"/>
    </row>
    <row r="4382">
      <c r="B4382" s="16"/>
      <c r="L4382" s="23"/>
    </row>
    <row r="4383">
      <c r="B4383" s="16"/>
      <c r="L4383" s="23"/>
    </row>
    <row r="4384">
      <c r="B4384" s="16"/>
      <c r="L4384" s="23"/>
    </row>
    <row r="4385">
      <c r="B4385" s="16"/>
      <c r="L4385" s="23"/>
    </row>
    <row r="4386">
      <c r="B4386" s="16"/>
      <c r="L4386" s="23"/>
    </row>
    <row r="4387">
      <c r="B4387" s="16"/>
      <c r="L4387" s="23"/>
    </row>
    <row r="4388">
      <c r="B4388" s="16"/>
      <c r="L4388" s="23"/>
    </row>
    <row r="4389">
      <c r="B4389" s="16"/>
      <c r="L4389" s="23"/>
    </row>
    <row r="4390">
      <c r="B4390" s="16"/>
      <c r="L4390" s="23"/>
    </row>
    <row r="4391">
      <c r="B4391" s="16"/>
      <c r="L4391" s="23"/>
    </row>
    <row r="4392">
      <c r="B4392" s="16"/>
      <c r="L4392" s="23"/>
    </row>
    <row r="4393">
      <c r="B4393" s="16"/>
      <c r="L4393" s="23"/>
    </row>
    <row r="4394">
      <c r="B4394" s="16"/>
      <c r="L4394" s="23"/>
    </row>
    <row r="4395">
      <c r="B4395" s="16"/>
      <c r="L4395" s="23"/>
    </row>
    <row r="4396">
      <c r="B4396" s="16"/>
      <c r="L4396" s="23"/>
    </row>
    <row r="4397">
      <c r="B4397" s="16"/>
      <c r="L4397" s="23"/>
    </row>
    <row r="4398">
      <c r="B4398" s="16"/>
      <c r="L4398" s="23"/>
    </row>
    <row r="4399">
      <c r="B4399" s="16"/>
      <c r="L4399" s="23"/>
    </row>
    <row r="4400">
      <c r="B4400" s="16"/>
      <c r="L4400" s="23"/>
    </row>
    <row r="4401">
      <c r="B4401" s="16"/>
      <c r="L4401" s="23"/>
    </row>
    <row r="4402">
      <c r="B4402" s="16"/>
      <c r="L4402" s="23"/>
    </row>
    <row r="4403">
      <c r="B4403" s="16"/>
      <c r="L4403" s="23"/>
    </row>
    <row r="4404">
      <c r="B4404" s="16"/>
      <c r="L4404" s="23"/>
    </row>
    <row r="4405">
      <c r="B4405" s="16"/>
      <c r="L4405" s="23"/>
    </row>
    <row r="4406">
      <c r="B4406" s="16"/>
      <c r="L4406" s="23"/>
    </row>
    <row r="4407">
      <c r="B4407" s="16"/>
      <c r="L4407" s="23"/>
    </row>
    <row r="4408">
      <c r="B4408" s="16"/>
      <c r="L4408" s="23"/>
    </row>
    <row r="4409">
      <c r="B4409" s="16"/>
      <c r="L4409" s="23"/>
    </row>
    <row r="4410">
      <c r="B4410" s="16"/>
      <c r="L4410" s="23"/>
    </row>
    <row r="4411">
      <c r="B4411" s="16"/>
      <c r="L4411" s="23"/>
    </row>
    <row r="4412">
      <c r="B4412" s="16"/>
      <c r="L4412" s="23"/>
    </row>
    <row r="4413">
      <c r="B4413" s="16"/>
      <c r="L4413" s="23"/>
    </row>
    <row r="4414">
      <c r="B4414" s="16"/>
      <c r="L4414" s="23"/>
    </row>
    <row r="4415">
      <c r="B4415" s="16"/>
      <c r="L4415" s="23"/>
    </row>
    <row r="4416">
      <c r="B4416" s="16"/>
      <c r="L4416" s="23"/>
    </row>
    <row r="4417">
      <c r="B4417" s="16"/>
      <c r="L4417" s="23"/>
    </row>
    <row r="4418">
      <c r="B4418" s="16"/>
      <c r="L4418" s="23"/>
    </row>
    <row r="4419">
      <c r="B4419" s="16"/>
      <c r="L4419" s="23"/>
    </row>
    <row r="4420">
      <c r="B4420" s="16"/>
      <c r="L4420" s="23"/>
    </row>
    <row r="4421">
      <c r="B4421" s="16"/>
      <c r="L4421" s="23"/>
      <c r="M4421" s="23"/>
    </row>
    <row r="4422">
      <c r="B4422" s="16"/>
      <c r="L4422" s="23"/>
      <c r="M4422" s="23"/>
    </row>
    <row r="4423">
      <c r="B4423" s="16"/>
      <c r="L4423" s="23"/>
    </row>
    <row r="4424">
      <c r="B4424" s="16"/>
      <c r="L4424" s="23"/>
    </row>
    <row r="4425">
      <c r="B4425" s="16"/>
      <c r="L4425" s="23"/>
    </row>
    <row r="4426">
      <c r="B4426" s="16"/>
      <c r="L4426" s="23"/>
    </row>
    <row r="4427">
      <c r="B4427" s="16"/>
      <c r="L4427" s="23"/>
    </row>
    <row r="4428">
      <c r="B4428" s="16"/>
      <c r="L4428" s="23"/>
    </row>
    <row r="4429">
      <c r="B4429" s="16"/>
      <c r="L4429" s="23"/>
    </row>
    <row r="4430">
      <c r="B4430" s="16"/>
      <c r="L4430" s="23"/>
    </row>
    <row r="4431">
      <c r="B4431" s="16"/>
      <c r="L4431" s="23"/>
    </row>
    <row r="4432">
      <c r="B4432" s="16"/>
      <c r="L4432" s="23"/>
    </row>
    <row r="4433">
      <c r="B4433" s="16"/>
      <c r="L4433" s="23"/>
    </row>
    <row r="4434">
      <c r="B4434" s="16"/>
      <c r="L4434" s="23"/>
    </row>
    <row r="4435">
      <c r="B4435" s="16"/>
      <c r="L4435" s="23"/>
    </row>
    <row r="4436">
      <c r="B4436" s="16"/>
      <c r="L4436" s="23"/>
    </row>
    <row r="4437">
      <c r="B4437" s="16"/>
      <c r="L4437" s="23"/>
    </row>
    <row r="4438">
      <c r="B4438" s="16"/>
      <c r="L4438" s="23"/>
    </row>
    <row r="4439">
      <c r="B4439" s="16"/>
      <c r="L4439" s="23"/>
    </row>
    <row r="4440">
      <c r="B4440" s="16"/>
      <c r="L4440" s="23"/>
    </row>
    <row r="4441">
      <c r="B4441" s="16"/>
      <c r="L4441" s="23"/>
    </row>
    <row r="4442">
      <c r="B4442" s="16"/>
      <c r="L4442" s="23"/>
    </row>
    <row r="4443">
      <c r="B4443" s="16"/>
      <c r="L4443" s="23"/>
    </row>
    <row r="4444">
      <c r="B4444" s="16"/>
      <c r="L4444" s="23"/>
    </row>
    <row r="4445">
      <c r="B4445" s="16"/>
      <c r="L4445" s="23"/>
    </row>
    <row r="4446">
      <c r="B4446" s="16"/>
      <c r="L4446" s="23"/>
    </row>
    <row r="4447">
      <c r="B4447" s="16"/>
      <c r="L4447" s="23"/>
    </row>
    <row r="4448">
      <c r="B4448" s="16"/>
      <c r="L4448" s="23"/>
    </row>
    <row r="4449">
      <c r="B4449" s="16"/>
      <c r="L4449" s="23"/>
      <c r="M4449" s="23"/>
    </row>
    <row r="4450">
      <c r="B4450" s="16"/>
      <c r="L4450" s="23"/>
    </row>
    <row r="4451">
      <c r="B4451" s="16"/>
      <c r="L4451" s="23"/>
    </row>
    <row r="4452">
      <c r="B4452" s="16"/>
      <c r="L4452" s="23"/>
    </row>
    <row r="4453">
      <c r="B4453" s="16"/>
      <c r="L4453" s="23"/>
    </row>
    <row r="4454">
      <c r="B4454" s="16"/>
      <c r="L4454" s="23"/>
    </row>
    <row r="4455">
      <c r="B4455" s="16"/>
      <c r="L4455" s="23"/>
      <c r="M4455" s="23"/>
    </row>
    <row r="4456">
      <c r="B4456" s="16"/>
      <c r="L4456" s="23"/>
    </row>
    <row r="4457">
      <c r="B4457" s="16"/>
      <c r="L4457" s="23"/>
    </row>
    <row r="4458">
      <c r="B4458" s="16"/>
      <c r="L4458" s="23"/>
    </row>
    <row r="4459">
      <c r="B4459" s="16"/>
      <c r="L4459" s="23"/>
      <c r="M4459" s="23"/>
    </row>
    <row r="4460">
      <c r="B4460" s="16"/>
      <c r="L4460" s="23"/>
    </row>
    <row r="4461">
      <c r="B4461" s="16"/>
      <c r="L4461" s="23"/>
    </row>
    <row r="4462">
      <c r="B4462" s="16"/>
      <c r="L4462" s="23"/>
    </row>
    <row r="4463">
      <c r="B4463" s="16"/>
      <c r="L4463" s="23"/>
    </row>
    <row r="4464">
      <c r="B4464" s="16"/>
      <c r="L4464" s="23"/>
    </row>
    <row r="4465">
      <c r="B4465" s="16"/>
      <c r="L4465" s="23"/>
    </row>
    <row r="4466">
      <c r="B4466" s="16"/>
      <c r="L4466" s="23"/>
    </row>
    <row r="4467">
      <c r="B4467" s="16"/>
      <c r="L4467" s="23"/>
    </row>
    <row r="4468">
      <c r="B4468" s="16"/>
      <c r="L4468" s="23"/>
    </row>
    <row r="4469">
      <c r="B4469" s="16"/>
      <c r="L4469" s="23"/>
    </row>
    <row r="4470">
      <c r="B4470" s="16"/>
      <c r="L4470" s="23"/>
    </row>
    <row r="4471">
      <c r="B4471" s="16"/>
      <c r="L4471" s="23"/>
    </row>
    <row r="4472">
      <c r="B4472" s="16"/>
      <c r="L4472" s="23"/>
    </row>
    <row r="4473">
      <c r="B4473" s="16"/>
      <c r="L4473" s="23"/>
    </row>
    <row r="4474">
      <c r="B4474" s="16"/>
      <c r="L4474" s="23"/>
    </row>
    <row r="4475">
      <c r="B4475" s="16"/>
      <c r="L4475" s="23"/>
    </row>
    <row r="4476">
      <c r="B4476" s="16"/>
      <c r="L4476" s="23"/>
    </row>
    <row r="4477">
      <c r="B4477" s="16"/>
      <c r="L4477" s="23"/>
    </row>
    <row r="4478">
      <c r="B4478" s="16"/>
      <c r="L4478" s="23"/>
    </row>
    <row r="4479">
      <c r="B4479" s="16"/>
      <c r="L4479" s="23"/>
    </row>
    <row r="4480">
      <c r="B4480" s="16"/>
      <c r="L4480" s="23"/>
    </row>
    <row r="4481">
      <c r="B4481" s="16"/>
      <c r="L4481" s="23"/>
    </row>
    <row r="4482">
      <c r="B4482" s="16"/>
      <c r="L4482" s="23"/>
    </row>
    <row r="4483">
      <c r="B4483" s="16"/>
      <c r="L4483" s="23"/>
    </row>
    <row r="4484">
      <c r="B4484" s="16"/>
      <c r="L4484" s="23"/>
    </row>
    <row r="4485">
      <c r="B4485" s="16"/>
      <c r="L4485" s="23"/>
    </row>
    <row r="4486">
      <c r="B4486" s="16"/>
      <c r="L4486" s="23"/>
    </row>
    <row r="4487">
      <c r="B4487" s="16"/>
      <c r="L4487" s="23"/>
    </row>
    <row r="4488">
      <c r="B4488" s="16"/>
      <c r="L4488" s="23"/>
    </row>
    <row r="4489">
      <c r="B4489" s="16"/>
      <c r="L4489" s="23"/>
    </row>
    <row r="4490">
      <c r="B4490" s="16"/>
      <c r="L4490" s="23"/>
    </row>
    <row r="4491">
      <c r="B4491" s="16"/>
      <c r="L4491" s="23"/>
    </row>
    <row r="4492">
      <c r="B4492" s="16"/>
      <c r="L4492" s="23"/>
    </row>
    <row r="4493">
      <c r="B4493" s="16"/>
      <c r="L4493" s="23"/>
    </row>
    <row r="4494">
      <c r="B4494" s="16"/>
      <c r="L4494" s="23"/>
    </row>
    <row r="4495">
      <c r="B4495" s="16"/>
      <c r="L4495" s="23"/>
    </row>
    <row r="4496">
      <c r="B4496" s="16"/>
      <c r="L4496" s="23"/>
      <c r="M4496" s="23"/>
    </row>
    <row r="4497">
      <c r="B4497" s="16"/>
      <c r="L4497" s="23"/>
      <c r="M4497" s="23"/>
    </row>
    <row r="4498">
      <c r="B4498" s="16"/>
      <c r="L4498" s="23"/>
      <c r="M4498" s="23"/>
    </row>
    <row r="4499">
      <c r="B4499" s="16"/>
      <c r="L4499" s="23"/>
      <c r="M4499" s="23"/>
    </row>
    <row r="4500">
      <c r="B4500" s="16"/>
      <c r="L4500" s="23"/>
      <c r="M4500" s="23"/>
    </row>
    <row r="4501">
      <c r="B4501" s="16"/>
      <c r="L4501" s="23"/>
      <c r="M4501" s="23"/>
    </row>
    <row r="4502">
      <c r="B4502" s="16"/>
      <c r="L4502" s="23"/>
    </row>
    <row r="4503">
      <c r="B4503" s="16"/>
      <c r="L4503" s="23"/>
    </row>
    <row r="4504">
      <c r="B4504" s="16"/>
      <c r="L4504" s="23"/>
    </row>
    <row r="4505">
      <c r="B4505" s="16"/>
      <c r="L4505" s="23"/>
    </row>
    <row r="4506">
      <c r="B4506" s="16"/>
      <c r="L4506" s="23"/>
    </row>
    <row r="4507">
      <c r="B4507" s="16"/>
      <c r="L4507" s="23"/>
    </row>
    <row r="4508">
      <c r="B4508" s="16"/>
      <c r="L4508" s="23"/>
    </row>
    <row r="4509">
      <c r="B4509" s="16"/>
      <c r="L4509" s="23"/>
    </row>
    <row r="4510">
      <c r="B4510" s="16"/>
      <c r="L4510" s="23"/>
    </row>
    <row r="4511">
      <c r="B4511" s="16"/>
      <c r="L4511" s="23"/>
    </row>
    <row r="4512">
      <c r="B4512" s="16"/>
      <c r="L4512" s="23"/>
    </row>
    <row r="4513">
      <c r="B4513" s="16"/>
      <c r="L4513" s="23"/>
      <c r="M4513" s="23"/>
    </row>
    <row r="4514">
      <c r="B4514" s="16"/>
      <c r="L4514" s="23"/>
    </row>
    <row r="4515">
      <c r="B4515" s="16"/>
      <c r="L4515" s="23"/>
    </row>
    <row r="4516">
      <c r="B4516" s="16"/>
      <c r="L4516" s="23"/>
    </row>
    <row r="4517">
      <c r="B4517" s="16"/>
      <c r="L4517" s="23"/>
    </row>
    <row r="4518">
      <c r="B4518" s="16"/>
      <c r="L4518" s="23"/>
    </row>
    <row r="4519">
      <c r="B4519" s="16"/>
      <c r="L4519" s="23"/>
    </row>
    <row r="4520">
      <c r="B4520" s="16"/>
      <c r="L4520" s="23"/>
    </row>
    <row r="4521">
      <c r="B4521" s="16"/>
      <c r="L4521" s="23"/>
    </row>
    <row r="4522">
      <c r="B4522" s="16"/>
      <c r="L4522" s="23"/>
    </row>
    <row r="4523">
      <c r="B4523" s="16"/>
      <c r="L4523" s="23"/>
    </row>
    <row r="4524">
      <c r="B4524" s="16"/>
      <c r="L4524" s="23"/>
    </row>
    <row r="4525">
      <c r="B4525" s="16"/>
      <c r="L4525" s="23"/>
    </row>
    <row r="4526">
      <c r="B4526" s="16"/>
      <c r="L4526" s="23"/>
    </row>
    <row r="4527">
      <c r="B4527" s="16"/>
      <c r="L4527" s="23"/>
    </row>
    <row r="4528">
      <c r="B4528" s="16"/>
      <c r="L4528" s="23"/>
    </row>
    <row r="4529">
      <c r="B4529" s="16"/>
      <c r="L4529" s="23"/>
    </row>
    <row r="4530">
      <c r="B4530" s="16"/>
      <c r="L4530" s="23"/>
    </row>
    <row r="4531">
      <c r="B4531" s="16"/>
      <c r="L4531" s="23"/>
    </row>
    <row r="4532">
      <c r="B4532" s="16"/>
      <c r="L4532" s="23"/>
    </row>
    <row r="4533">
      <c r="B4533" s="16"/>
      <c r="L4533" s="23"/>
    </row>
    <row r="4534">
      <c r="B4534" s="16"/>
      <c r="L4534" s="23"/>
      <c r="M4534" s="23"/>
    </row>
    <row r="4535">
      <c r="B4535" s="16"/>
      <c r="L4535" s="23"/>
    </row>
    <row r="4536">
      <c r="B4536" s="16"/>
      <c r="L4536" s="23"/>
    </row>
    <row r="4537">
      <c r="B4537" s="16"/>
      <c r="L4537" s="23"/>
    </row>
    <row r="4538">
      <c r="B4538" s="16"/>
      <c r="L4538" s="23"/>
    </row>
    <row r="4539">
      <c r="B4539" s="16"/>
      <c r="L4539" s="23"/>
    </row>
    <row r="4540">
      <c r="B4540" s="16"/>
      <c r="L4540" s="23"/>
    </row>
    <row r="4541">
      <c r="B4541" s="16"/>
      <c r="L4541" s="23"/>
    </row>
    <row r="4542">
      <c r="B4542" s="16"/>
      <c r="L4542" s="23"/>
    </row>
    <row r="4543">
      <c r="B4543" s="16"/>
      <c r="L4543" s="23"/>
    </row>
    <row r="4544">
      <c r="B4544" s="16"/>
      <c r="L4544" s="23"/>
    </row>
    <row r="4545">
      <c r="B4545" s="16"/>
      <c r="L4545" s="23"/>
    </row>
    <row r="4546">
      <c r="B4546" s="16"/>
      <c r="L4546" s="23"/>
    </row>
    <row r="4547">
      <c r="B4547" s="16"/>
      <c r="L4547" s="23"/>
    </row>
    <row r="4548">
      <c r="B4548" s="16"/>
      <c r="L4548" s="23"/>
      <c r="M4548" s="23"/>
    </row>
    <row r="4549">
      <c r="B4549" s="16"/>
      <c r="L4549" s="23"/>
    </row>
    <row r="4550">
      <c r="B4550" s="16"/>
      <c r="L4550" s="23"/>
    </row>
    <row r="4551">
      <c r="B4551" s="16"/>
      <c r="L4551" s="23"/>
    </row>
    <row r="4552">
      <c r="B4552" s="16"/>
      <c r="L4552" s="23"/>
    </row>
    <row r="4553">
      <c r="B4553" s="16"/>
      <c r="L4553" s="23"/>
    </row>
    <row r="4554">
      <c r="B4554" s="16"/>
      <c r="L4554" s="23"/>
    </row>
    <row r="4555">
      <c r="B4555" s="16"/>
      <c r="L4555" s="23"/>
      <c r="M4555" s="23"/>
    </row>
    <row r="4556">
      <c r="B4556" s="16"/>
      <c r="L4556" s="23"/>
    </row>
    <row r="4557">
      <c r="B4557" s="16"/>
      <c r="L4557" s="23"/>
    </row>
    <row r="4558">
      <c r="B4558" s="16"/>
      <c r="L4558" s="23"/>
    </row>
    <row r="4559">
      <c r="B4559" s="16"/>
      <c r="L4559" s="23"/>
    </row>
    <row r="4560">
      <c r="B4560" s="16"/>
      <c r="L4560" s="23"/>
    </row>
    <row r="4561">
      <c r="B4561" s="16"/>
      <c r="L4561" s="23"/>
    </row>
    <row r="4562">
      <c r="B4562" s="16"/>
      <c r="L4562" s="23"/>
    </row>
    <row r="4563">
      <c r="B4563" s="16"/>
      <c r="L4563" s="23"/>
    </row>
    <row r="4564">
      <c r="B4564" s="16"/>
      <c r="L4564" s="23"/>
    </row>
    <row r="4565">
      <c r="B4565" s="16"/>
      <c r="L4565" s="23"/>
    </row>
    <row r="4566">
      <c r="B4566" s="16"/>
      <c r="L4566" s="23"/>
    </row>
    <row r="4567">
      <c r="B4567" s="16"/>
      <c r="L4567" s="23"/>
    </row>
    <row r="4568">
      <c r="B4568" s="16"/>
      <c r="L4568" s="23"/>
    </row>
    <row r="4569">
      <c r="B4569" s="16"/>
      <c r="L4569" s="23"/>
      <c r="M4569" s="23"/>
    </row>
    <row r="4570">
      <c r="B4570" s="16"/>
      <c r="L4570" s="23"/>
    </row>
    <row r="4571">
      <c r="B4571" s="16"/>
      <c r="L4571" s="23"/>
    </row>
    <row r="4572">
      <c r="B4572" s="16"/>
      <c r="L4572" s="23"/>
    </row>
    <row r="4573">
      <c r="B4573" s="16"/>
      <c r="L4573" s="23"/>
    </row>
    <row r="4574">
      <c r="B4574" s="16"/>
      <c r="L4574" s="23"/>
    </row>
    <row r="4575">
      <c r="B4575" s="16"/>
      <c r="L4575" s="23"/>
    </row>
    <row r="4576">
      <c r="B4576" s="16"/>
      <c r="L4576" s="23"/>
    </row>
    <row r="4577">
      <c r="B4577" s="16"/>
      <c r="L4577" s="23"/>
      <c r="M4577" s="23"/>
    </row>
    <row r="4578">
      <c r="B4578" s="16"/>
      <c r="L4578" s="23"/>
    </row>
    <row r="4579">
      <c r="B4579" s="16"/>
      <c r="L4579" s="23"/>
    </row>
    <row r="4580">
      <c r="B4580" s="16"/>
      <c r="L4580" s="23"/>
    </row>
    <row r="4581">
      <c r="B4581" s="16"/>
      <c r="L4581" s="23"/>
    </row>
    <row r="4582">
      <c r="B4582" s="16"/>
      <c r="L4582" s="23"/>
    </row>
    <row r="4583">
      <c r="B4583" s="16"/>
      <c r="L4583" s="23"/>
    </row>
    <row r="4584">
      <c r="B4584" s="16"/>
      <c r="L4584" s="23"/>
    </row>
    <row r="4585">
      <c r="B4585" s="16"/>
      <c r="L4585" s="23"/>
    </row>
    <row r="4586">
      <c r="B4586" s="16"/>
      <c r="L4586" s="23"/>
    </row>
    <row r="4587">
      <c r="B4587" s="16"/>
      <c r="L4587" s="23"/>
    </row>
    <row r="4588">
      <c r="B4588" s="16"/>
      <c r="L4588" s="23"/>
    </row>
    <row r="4589">
      <c r="B4589" s="16"/>
      <c r="L4589" s="23"/>
    </row>
    <row r="4590">
      <c r="B4590" s="16"/>
      <c r="L4590" s="23"/>
    </row>
    <row r="4591">
      <c r="B4591" s="16"/>
      <c r="L4591" s="23"/>
    </row>
    <row r="4592">
      <c r="B4592" s="16"/>
      <c r="L4592" s="23"/>
    </row>
    <row r="4593">
      <c r="B4593" s="16"/>
      <c r="L4593" s="23"/>
    </row>
    <row r="4594">
      <c r="B4594" s="16"/>
      <c r="L4594" s="23"/>
    </row>
    <row r="4595">
      <c r="B4595" s="16"/>
      <c r="L4595" s="23"/>
    </row>
    <row r="4596">
      <c r="B4596" s="16"/>
      <c r="L4596" s="23"/>
    </row>
    <row r="4597">
      <c r="B4597" s="16"/>
      <c r="L4597" s="23"/>
    </row>
    <row r="4598">
      <c r="B4598" s="16"/>
      <c r="L4598" s="23"/>
    </row>
    <row r="4599">
      <c r="B4599" s="16"/>
      <c r="L4599" s="23"/>
    </row>
    <row r="4600">
      <c r="B4600" s="16"/>
      <c r="L4600" s="23"/>
    </row>
    <row r="4601">
      <c r="B4601" s="16"/>
      <c r="L4601" s="23"/>
    </row>
    <row r="4602">
      <c r="B4602" s="16"/>
      <c r="L4602" s="23"/>
    </row>
    <row r="4603">
      <c r="B4603" s="16"/>
      <c r="L4603" s="23"/>
    </row>
    <row r="4604">
      <c r="B4604" s="16"/>
      <c r="L4604" s="23"/>
    </row>
    <row r="4605">
      <c r="B4605" s="16"/>
      <c r="L4605" s="23"/>
    </row>
    <row r="4606">
      <c r="B4606" s="16"/>
      <c r="L4606" s="23"/>
    </row>
    <row r="4607">
      <c r="B4607" s="16"/>
      <c r="L4607" s="23"/>
    </row>
    <row r="4608">
      <c r="B4608" s="16"/>
      <c r="L4608" s="23"/>
    </row>
    <row r="4609">
      <c r="B4609" s="16"/>
      <c r="L4609" s="23"/>
    </row>
    <row r="4610">
      <c r="B4610" s="16"/>
      <c r="L4610" s="23"/>
    </row>
    <row r="4611">
      <c r="B4611" s="16"/>
      <c r="L4611" s="23"/>
    </row>
    <row r="4612">
      <c r="B4612" s="16"/>
      <c r="L4612" s="23"/>
    </row>
    <row r="4613">
      <c r="B4613" s="16"/>
      <c r="L4613" s="23"/>
    </row>
    <row r="4614">
      <c r="B4614" s="16"/>
      <c r="L4614" s="23"/>
    </row>
    <row r="4615">
      <c r="B4615" s="16"/>
      <c r="L4615" s="23"/>
    </row>
    <row r="4616">
      <c r="B4616" s="16"/>
      <c r="L4616" s="23"/>
    </row>
    <row r="4617">
      <c r="B4617" s="16"/>
      <c r="L4617" s="23"/>
    </row>
    <row r="4618">
      <c r="B4618" s="16"/>
      <c r="L4618" s="23"/>
    </row>
    <row r="4619">
      <c r="B4619" s="16"/>
      <c r="L4619" s="23"/>
    </row>
    <row r="4620">
      <c r="B4620" s="16"/>
      <c r="L4620" s="23"/>
    </row>
    <row r="4621">
      <c r="B4621" s="16"/>
      <c r="L4621" s="23"/>
    </row>
    <row r="4622">
      <c r="B4622" s="16"/>
      <c r="L4622" s="23"/>
    </row>
    <row r="4623">
      <c r="B4623" s="16"/>
      <c r="L4623" s="23"/>
    </row>
    <row r="4624">
      <c r="B4624" s="16"/>
      <c r="L4624" s="23"/>
    </row>
    <row r="4625">
      <c r="B4625" s="16"/>
      <c r="L4625" s="23"/>
    </row>
    <row r="4626">
      <c r="B4626" s="16"/>
      <c r="L4626" s="23"/>
    </row>
    <row r="4627">
      <c r="B4627" s="16"/>
      <c r="L4627" s="23"/>
    </row>
    <row r="4628">
      <c r="B4628" s="16"/>
      <c r="L4628" s="23"/>
    </row>
    <row r="4629">
      <c r="B4629" s="16"/>
      <c r="L4629" s="23"/>
    </row>
    <row r="4630">
      <c r="B4630" s="16"/>
      <c r="L4630" s="23"/>
    </row>
    <row r="4631">
      <c r="B4631" s="16"/>
      <c r="L4631" s="23"/>
    </row>
    <row r="4632">
      <c r="B4632" s="16"/>
      <c r="L4632" s="23"/>
    </row>
    <row r="4633">
      <c r="B4633" s="16"/>
      <c r="L4633" s="23"/>
    </row>
    <row r="4634">
      <c r="B4634" s="16"/>
      <c r="L4634" s="23"/>
    </row>
    <row r="4635">
      <c r="B4635" s="16"/>
      <c r="L4635" s="23"/>
    </row>
    <row r="4636">
      <c r="B4636" s="16"/>
      <c r="L4636" s="23"/>
    </row>
    <row r="4637">
      <c r="B4637" s="16"/>
      <c r="L4637" s="23"/>
    </row>
    <row r="4638">
      <c r="B4638" s="16"/>
      <c r="L4638" s="23"/>
    </row>
    <row r="4639">
      <c r="B4639" s="16"/>
      <c r="L4639" s="23"/>
    </row>
    <row r="4640">
      <c r="B4640" s="16"/>
      <c r="L4640" s="23"/>
    </row>
    <row r="4641">
      <c r="B4641" s="16"/>
      <c r="L4641" s="23"/>
    </row>
    <row r="4642">
      <c r="B4642" s="16"/>
      <c r="L4642" s="23"/>
    </row>
    <row r="4643">
      <c r="B4643" s="16"/>
      <c r="L4643" s="23"/>
    </row>
    <row r="4644">
      <c r="B4644" s="16"/>
      <c r="L4644" s="23"/>
    </row>
    <row r="4645">
      <c r="B4645" s="16"/>
      <c r="L4645" s="23"/>
    </row>
    <row r="4646">
      <c r="B4646" s="16"/>
      <c r="L4646" s="23"/>
    </row>
    <row r="4647">
      <c r="B4647" s="16"/>
      <c r="L4647" s="23"/>
    </row>
    <row r="4648">
      <c r="B4648" s="16"/>
      <c r="L4648" s="23"/>
    </row>
    <row r="4649">
      <c r="B4649" s="16"/>
      <c r="L4649" s="23"/>
    </row>
    <row r="4650">
      <c r="B4650" s="16"/>
      <c r="L4650" s="23"/>
    </row>
    <row r="4651">
      <c r="B4651" s="16"/>
      <c r="L4651" s="23"/>
    </row>
    <row r="4652">
      <c r="B4652" s="16"/>
      <c r="L4652" s="23"/>
    </row>
    <row r="4653">
      <c r="B4653" s="16"/>
      <c r="L4653" s="23"/>
    </row>
    <row r="4654">
      <c r="B4654" s="16"/>
      <c r="L4654" s="23"/>
    </row>
    <row r="4655">
      <c r="B4655" s="16"/>
      <c r="L4655" s="23"/>
    </row>
    <row r="4656">
      <c r="B4656" s="16"/>
      <c r="L4656" s="23"/>
      <c r="M4656" s="23"/>
    </row>
    <row r="4657">
      <c r="B4657" s="16"/>
      <c r="L4657" s="23"/>
    </row>
    <row r="4658">
      <c r="B4658" s="16"/>
      <c r="L4658" s="23"/>
    </row>
    <row r="4659">
      <c r="B4659" s="16"/>
      <c r="L4659" s="23"/>
    </row>
    <row r="4660">
      <c r="B4660" s="16"/>
      <c r="L4660" s="23"/>
    </row>
    <row r="4661">
      <c r="B4661" s="16"/>
      <c r="L4661" s="23"/>
    </row>
    <row r="4662">
      <c r="B4662" s="16"/>
      <c r="L4662" s="23"/>
    </row>
    <row r="4663">
      <c r="B4663" s="16"/>
      <c r="L4663" s="23"/>
    </row>
    <row r="4664">
      <c r="B4664" s="16"/>
      <c r="L4664" s="23"/>
    </row>
    <row r="4665">
      <c r="B4665" s="16"/>
      <c r="L4665" s="23"/>
    </row>
    <row r="4666">
      <c r="B4666" s="16"/>
      <c r="L4666" s="23"/>
    </row>
    <row r="4667">
      <c r="B4667" s="16"/>
      <c r="L4667" s="23"/>
      <c r="M4667" s="23"/>
    </row>
    <row r="4668">
      <c r="B4668" s="16"/>
      <c r="L4668" s="23"/>
    </row>
    <row r="4669">
      <c r="B4669" s="16"/>
      <c r="L4669" s="23"/>
    </row>
    <row r="4670">
      <c r="B4670" s="16"/>
      <c r="L4670" s="23"/>
    </row>
    <row r="4671">
      <c r="B4671" s="16"/>
      <c r="L4671" s="23"/>
    </row>
    <row r="4672">
      <c r="B4672" s="16"/>
      <c r="L4672" s="23"/>
    </row>
    <row r="4673">
      <c r="B4673" s="16"/>
      <c r="L4673" s="23"/>
    </row>
    <row r="4674">
      <c r="B4674" s="16"/>
      <c r="L4674" s="23"/>
    </row>
    <row r="4675">
      <c r="B4675" s="16"/>
      <c r="L4675" s="23"/>
    </row>
    <row r="4676">
      <c r="B4676" s="16"/>
      <c r="L4676" s="23"/>
      <c r="M4676" s="23"/>
    </row>
    <row r="4677">
      <c r="B4677" s="16"/>
      <c r="L4677" s="23"/>
    </row>
    <row r="4678">
      <c r="B4678" s="16"/>
      <c r="L4678" s="23"/>
    </row>
    <row r="4679">
      <c r="B4679" s="16"/>
      <c r="L4679" s="23"/>
    </row>
    <row r="4680">
      <c r="B4680" s="16"/>
      <c r="L4680" s="23"/>
    </row>
    <row r="4681">
      <c r="B4681" s="16"/>
      <c r="L4681" s="23"/>
    </row>
    <row r="4682">
      <c r="B4682" s="16"/>
      <c r="L4682" s="23"/>
    </row>
    <row r="4683">
      <c r="B4683" s="16"/>
      <c r="L4683" s="23"/>
    </row>
    <row r="4684">
      <c r="B4684" s="16"/>
      <c r="L4684" s="23"/>
    </row>
    <row r="4685">
      <c r="B4685" s="16"/>
      <c r="L4685" s="23"/>
    </row>
    <row r="4686">
      <c r="B4686" s="16"/>
      <c r="L4686" s="23"/>
    </row>
    <row r="4687">
      <c r="B4687" s="16"/>
      <c r="L4687" s="23"/>
    </row>
    <row r="4688">
      <c r="B4688" s="16"/>
      <c r="L4688" s="23"/>
    </row>
    <row r="4689">
      <c r="B4689" s="16"/>
      <c r="L4689" s="23"/>
    </row>
    <row r="4690">
      <c r="B4690" s="16"/>
      <c r="L4690" s="23"/>
    </row>
    <row r="4691">
      <c r="B4691" s="16"/>
      <c r="L4691" s="23"/>
    </row>
    <row r="4692">
      <c r="B4692" s="16"/>
      <c r="L4692" s="23"/>
    </row>
    <row r="4693">
      <c r="B4693" s="16"/>
      <c r="L4693" s="23"/>
    </row>
    <row r="4694">
      <c r="B4694" s="16"/>
      <c r="L4694" s="23"/>
    </row>
    <row r="4695">
      <c r="B4695" s="16"/>
      <c r="L4695" s="23"/>
    </row>
    <row r="4696">
      <c r="B4696" s="16"/>
      <c r="L4696" s="23"/>
    </row>
    <row r="4697">
      <c r="B4697" s="16"/>
      <c r="L4697" s="23"/>
    </row>
    <row r="4698">
      <c r="B4698" s="16"/>
      <c r="L4698" s="23"/>
    </row>
    <row r="4699">
      <c r="B4699" s="16"/>
      <c r="L4699" s="23"/>
    </row>
    <row r="4700">
      <c r="B4700" s="16"/>
      <c r="L4700" s="23"/>
    </row>
    <row r="4701">
      <c r="B4701" s="16"/>
      <c r="L4701" s="23"/>
    </row>
    <row r="4702">
      <c r="B4702" s="16"/>
      <c r="L4702" s="23"/>
    </row>
    <row r="4703">
      <c r="B4703" s="16"/>
      <c r="L4703" s="23"/>
    </row>
    <row r="4704">
      <c r="B4704" s="16"/>
      <c r="L4704" s="23"/>
    </row>
    <row r="4705">
      <c r="B4705" s="16"/>
      <c r="L4705" s="23"/>
    </row>
    <row r="4706">
      <c r="B4706" s="16"/>
      <c r="L4706" s="23"/>
    </row>
    <row r="4707">
      <c r="B4707" s="16"/>
      <c r="L4707" s="23"/>
    </row>
    <row r="4708">
      <c r="B4708" s="16"/>
      <c r="L4708" s="23"/>
    </row>
    <row r="4709">
      <c r="B4709" s="16"/>
      <c r="L4709" s="23"/>
    </row>
    <row r="4710">
      <c r="B4710" s="16"/>
      <c r="L4710" s="23"/>
    </row>
    <row r="4711">
      <c r="B4711" s="16"/>
      <c r="L4711" s="23"/>
    </row>
    <row r="4712">
      <c r="B4712" s="16"/>
      <c r="L4712" s="23"/>
    </row>
    <row r="4713">
      <c r="B4713" s="16"/>
      <c r="L4713" s="23"/>
    </row>
    <row r="4714">
      <c r="B4714" s="16"/>
      <c r="L4714" s="23"/>
    </row>
    <row r="4715">
      <c r="B4715" s="16"/>
      <c r="L4715" s="23"/>
    </row>
    <row r="4716">
      <c r="B4716" s="16"/>
      <c r="L4716" s="23"/>
    </row>
    <row r="4717">
      <c r="B4717" s="16"/>
      <c r="L4717" s="23"/>
    </row>
    <row r="4718">
      <c r="B4718" s="16"/>
      <c r="L4718" s="23"/>
    </row>
    <row r="4719">
      <c r="B4719" s="16"/>
      <c r="L4719" s="23"/>
    </row>
    <row r="4720">
      <c r="B4720" s="16"/>
      <c r="L4720" s="23"/>
    </row>
    <row r="4721">
      <c r="B4721" s="16"/>
      <c r="L4721" s="23"/>
    </row>
    <row r="4722">
      <c r="B4722" s="16"/>
      <c r="L4722" s="23"/>
    </row>
    <row r="4723">
      <c r="B4723" s="16"/>
      <c r="L4723" s="23"/>
    </row>
    <row r="4724">
      <c r="B4724" s="16"/>
      <c r="L4724" s="23"/>
      <c r="M4724" s="23"/>
    </row>
    <row r="4725">
      <c r="B4725" s="16"/>
      <c r="L4725" s="23"/>
    </row>
    <row r="4726">
      <c r="B4726" s="16"/>
      <c r="L4726" s="23"/>
    </row>
    <row r="4727">
      <c r="B4727" s="16"/>
      <c r="L4727" s="23"/>
    </row>
    <row r="4728">
      <c r="B4728" s="16"/>
      <c r="L4728" s="23"/>
    </row>
    <row r="4729">
      <c r="B4729" s="16"/>
      <c r="L4729" s="23"/>
    </row>
    <row r="4730">
      <c r="B4730" s="16"/>
      <c r="L4730" s="23"/>
    </row>
    <row r="4731">
      <c r="B4731" s="16"/>
      <c r="L4731" s="23"/>
    </row>
    <row r="4732">
      <c r="B4732" s="16"/>
      <c r="L4732" s="23"/>
    </row>
    <row r="4733">
      <c r="B4733" s="16"/>
      <c r="L4733" s="23"/>
    </row>
    <row r="4734">
      <c r="B4734" s="16"/>
      <c r="L4734" s="23"/>
    </row>
    <row r="4735">
      <c r="B4735" s="16"/>
      <c r="L4735" s="23"/>
    </row>
    <row r="4736">
      <c r="B4736" s="16"/>
      <c r="L4736" s="23"/>
    </row>
    <row r="4737">
      <c r="B4737" s="16"/>
      <c r="L4737" s="23"/>
    </row>
    <row r="4738">
      <c r="B4738" s="16"/>
      <c r="L4738" s="23"/>
    </row>
    <row r="4739">
      <c r="B4739" s="16"/>
      <c r="L4739" s="23"/>
    </row>
    <row r="4740">
      <c r="B4740" s="16"/>
      <c r="L4740" s="23"/>
      <c r="M4740" s="23"/>
    </row>
    <row r="4741">
      <c r="B4741" s="16"/>
      <c r="L4741" s="23"/>
    </row>
    <row r="4742">
      <c r="B4742" s="16"/>
      <c r="L4742" s="23"/>
    </row>
    <row r="4743">
      <c r="B4743" s="16"/>
      <c r="L4743" s="23"/>
    </row>
    <row r="4744">
      <c r="B4744" s="16"/>
      <c r="L4744" s="23"/>
    </row>
    <row r="4745">
      <c r="B4745" s="16"/>
      <c r="L4745" s="23"/>
    </row>
    <row r="4746">
      <c r="B4746" s="16"/>
      <c r="L4746" s="23"/>
    </row>
    <row r="4747">
      <c r="B4747" s="16"/>
      <c r="L4747" s="23"/>
    </row>
    <row r="4748">
      <c r="B4748" s="16"/>
      <c r="L4748" s="23"/>
    </row>
    <row r="4749">
      <c r="B4749" s="16"/>
      <c r="L4749" s="23"/>
    </row>
    <row r="4750">
      <c r="B4750" s="16"/>
      <c r="L4750" s="23"/>
    </row>
    <row r="4751">
      <c r="B4751" s="16"/>
      <c r="L4751" s="23"/>
    </row>
    <row r="4752">
      <c r="B4752" s="16"/>
      <c r="L4752" s="23"/>
    </row>
    <row r="4753">
      <c r="B4753" s="16"/>
      <c r="L4753" s="23"/>
    </row>
    <row r="4754">
      <c r="B4754" s="16"/>
      <c r="L4754" s="23"/>
    </row>
    <row r="4755">
      <c r="B4755" s="16"/>
      <c r="L4755" s="23"/>
    </row>
    <row r="4756">
      <c r="B4756" s="16"/>
      <c r="L4756" s="23"/>
    </row>
    <row r="4757">
      <c r="B4757" s="16"/>
      <c r="L4757" s="23"/>
    </row>
    <row r="4758">
      <c r="B4758" s="16"/>
      <c r="L4758" s="23"/>
    </row>
    <row r="4759">
      <c r="B4759" s="16"/>
      <c r="L4759" s="23"/>
    </row>
    <row r="4760">
      <c r="B4760" s="16"/>
      <c r="L4760" s="23"/>
    </row>
    <row r="4761">
      <c r="B4761" s="16"/>
      <c r="L4761" s="23"/>
    </row>
    <row r="4762">
      <c r="B4762" s="16"/>
      <c r="L4762" s="23"/>
    </row>
    <row r="4763">
      <c r="B4763" s="16"/>
      <c r="L4763" s="23"/>
    </row>
    <row r="4764">
      <c r="B4764" s="16"/>
      <c r="L4764" s="23"/>
    </row>
    <row r="4765">
      <c r="B4765" s="16"/>
      <c r="L4765" s="23"/>
    </row>
    <row r="4766">
      <c r="B4766" s="16"/>
      <c r="L4766" s="23"/>
    </row>
    <row r="4767">
      <c r="B4767" s="16"/>
      <c r="L4767" s="23"/>
    </row>
    <row r="4768">
      <c r="B4768" s="16"/>
      <c r="L4768" s="23"/>
    </row>
    <row r="4769">
      <c r="B4769" s="16"/>
      <c r="L4769" s="23"/>
    </row>
    <row r="4770">
      <c r="B4770" s="16"/>
      <c r="L4770" s="23"/>
    </row>
    <row r="4771">
      <c r="B4771" s="16"/>
      <c r="L4771" s="23"/>
    </row>
    <row r="4772">
      <c r="B4772" s="16"/>
      <c r="L4772" s="23"/>
    </row>
    <row r="4773">
      <c r="B4773" s="16"/>
      <c r="L4773" s="23"/>
    </row>
    <row r="4774">
      <c r="B4774" s="16"/>
      <c r="L4774" s="23"/>
    </row>
    <row r="4775">
      <c r="B4775" s="16"/>
      <c r="L4775" s="23"/>
    </row>
    <row r="4776">
      <c r="B4776" s="16"/>
      <c r="L4776" s="23"/>
      <c r="M4776" s="23"/>
    </row>
    <row r="4777">
      <c r="B4777" s="16"/>
      <c r="L4777" s="23"/>
      <c r="M4777" s="23"/>
    </row>
    <row r="4778">
      <c r="B4778" s="16"/>
      <c r="L4778" s="23"/>
      <c r="M4778" s="23"/>
    </row>
    <row r="4779">
      <c r="B4779" s="16"/>
      <c r="L4779" s="23"/>
    </row>
    <row r="4780">
      <c r="B4780" s="16"/>
      <c r="L4780" s="23"/>
    </row>
    <row r="4781">
      <c r="B4781" s="16"/>
      <c r="L4781" s="23"/>
    </row>
    <row r="4782">
      <c r="B4782" s="16"/>
      <c r="L4782" s="23"/>
    </row>
    <row r="4783">
      <c r="B4783" s="16"/>
      <c r="L4783" s="23"/>
    </row>
    <row r="4784">
      <c r="B4784" s="16"/>
      <c r="L4784" s="23"/>
      <c r="M4784" s="23"/>
    </row>
    <row r="4785">
      <c r="B4785" s="16"/>
      <c r="L4785" s="23"/>
      <c r="M4785" s="23"/>
    </row>
    <row r="4786">
      <c r="B4786" s="16"/>
      <c r="L4786" s="23"/>
      <c r="M4786" s="23"/>
    </row>
    <row r="4787">
      <c r="B4787" s="16"/>
      <c r="L4787" s="23"/>
    </row>
    <row r="4788">
      <c r="B4788" s="16"/>
      <c r="L4788" s="23"/>
    </row>
    <row r="4789">
      <c r="B4789" s="16"/>
      <c r="L4789" s="23"/>
      <c r="M4789" s="23"/>
    </row>
    <row r="4790">
      <c r="B4790" s="16"/>
      <c r="L4790" s="23"/>
    </row>
    <row r="4791">
      <c r="B4791" s="16"/>
      <c r="L4791" s="23"/>
    </row>
    <row r="4792">
      <c r="B4792" s="16"/>
      <c r="L4792" s="23"/>
    </row>
    <row r="4793">
      <c r="B4793" s="16"/>
      <c r="L4793" s="23"/>
      <c r="M4793" s="23"/>
    </row>
    <row r="4794">
      <c r="B4794" s="16"/>
      <c r="L4794" s="23"/>
      <c r="M4794" s="23"/>
    </row>
    <row r="4795">
      <c r="B4795" s="16"/>
      <c r="L4795" s="23"/>
    </row>
    <row r="4796">
      <c r="B4796" s="16"/>
      <c r="L4796" s="23"/>
    </row>
    <row r="4797">
      <c r="B4797" s="16"/>
      <c r="L4797" s="23"/>
    </row>
    <row r="4798">
      <c r="B4798" s="16"/>
      <c r="L4798" s="23"/>
    </row>
    <row r="4799">
      <c r="B4799" s="16"/>
      <c r="L4799" s="23"/>
    </row>
    <row r="4800">
      <c r="B4800" s="16"/>
      <c r="L4800" s="23"/>
    </row>
    <row r="4801">
      <c r="B4801" s="16"/>
      <c r="L4801" s="23"/>
      <c r="M4801" s="23"/>
    </row>
    <row r="4802">
      <c r="B4802" s="16"/>
      <c r="L4802" s="23"/>
    </row>
    <row r="4803">
      <c r="B4803" s="16"/>
      <c r="L4803" s="23"/>
      <c r="M4803" s="23"/>
    </row>
    <row r="4804">
      <c r="B4804" s="16"/>
      <c r="L4804" s="23"/>
    </row>
    <row r="4805">
      <c r="B4805" s="16"/>
      <c r="L4805" s="23"/>
      <c r="M4805" s="23"/>
    </row>
    <row r="4806">
      <c r="B4806" s="16"/>
      <c r="L4806" s="23"/>
    </row>
    <row r="4807">
      <c r="B4807" s="16"/>
      <c r="L4807" s="23"/>
    </row>
    <row r="4808">
      <c r="B4808" s="16"/>
      <c r="L4808" s="23"/>
    </row>
    <row r="4809">
      <c r="B4809" s="16"/>
      <c r="L4809" s="23"/>
    </row>
    <row r="4810">
      <c r="B4810" s="16"/>
      <c r="L4810" s="23"/>
    </row>
    <row r="4811">
      <c r="B4811" s="16"/>
      <c r="L4811" s="23"/>
    </row>
    <row r="4812">
      <c r="B4812" s="16"/>
      <c r="L4812" s="23"/>
    </row>
    <row r="4813">
      <c r="B4813" s="16"/>
      <c r="L4813" s="23"/>
    </row>
    <row r="4814">
      <c r="B4814" s="16"/>
      <c r="L4814" s="23"/>
    </row>
    <row r="4815">
      <c r="B4815" s="16"/>
      <c r="L4815" s="23"/>
    </row>
    <row r="4816">
      <c r="B4816" s="16"/>
      <c r="L4816" s="23"/>
      <c r="M4816" s="23"/>
    </row>
    <row r="4817">
      <c r="B4817" s="16"/>
      <c r="L4817" s="23"/>
    </row>
    <row r="4818">
      <c r="B4818" s="16"/>
      <c r="L4818" s="23"/>
    </row>
    <row r="4819">
      <c r="B4819" s="16"/>
      <c r="L4819" s="23"/>
    </row>
    <row r="4820">
      <c r="B4820" s="16"/>
      <c r="L4820" s="23"/>
    </row>
    <row r="4821">
      <c r="B4821" s="16"/>
      <c r="L4821" s="23"/>
    </row>
    <row r="4822">
      <c r="B4822" s="16"/>
      <c r="L4822" s="23"/>
    </row>
    <row r="4823">
      <c r="B4823" s="16"/>
      <c r="L4823" s="23"/>
    </row>
    <row r="4824">
      <c r="B4824" s="16"/>
      <c r="L4824" s="23"/>
    </row>
    <row r="4825">
      <c r="B4825" s="16"/>
      <c r="L4825" s="23"/>
      <c r="M4825" s="23"/>
    </row>
    <row r="4826">
      <c r="B4826" s="16"/>
      <c r="L4826" s="23"/>
    </row>
    <row r="4827">
      <c r="B4827" s="16"/>
      <c r="L4827" s="23"/>
    </row>
    <row r="4828">
      <c r="B4828" s="16"/>
      <c r="L4828" s="23"/>
    </row>
    <row r="4829">
      <c r="B4829" s="16"/>
      <c r="L4829" s="23"/>
      <c r="M4829" s="23"/>
    </row>
    <row r="4830">
      <c r="B4830" s="16"/>
      <c r="L4830" s="23"/>
    </row>
    <row r="4831">
      <c r="B4831" s="16"/>
      <c r="L4831" s="23"/>
    </row>
    <row r="4832">
      <c r="B4832" s="16"/>
      <c r="L4832" s="23"/>
    </row>
    <row r="4833">
      <c r="B4833" s="16"/>
      <c r="L4833" s="23"/>
    </row>
    <row r="4834">
      <c r="B4834" s="16"/>
      <c r="L4834" s="23"/>
      <c r="M4834" s="23"/>
    </row>
    <row r="4835">
      <c r="B4835" s="16"/>
      <c r="L4835" s="23"/>
    </row>
    <row r="4836">
      <c r="B4836" s="16"/>
      <c r="L4836" s="23"/>
    </row>
    <row r="4837">
      <c r="B4837" s="16"/>
      <c r="L4837" s="23"/>
    </row>
    <row r="4838">
      <c r="B4838" s="16"/>
      <c r="L4838" s="23"/>
    </row>
    <row r="4839">
      <c r="B4839" s="16"/>
      <c r="L4839" s="23"/>
    </row>
    <row r="4840">
      <c r="B4840" s="16"/>
      <c r="L4840" s="23"/>
    </row>
    <row r="4841">
      <c r="B4841" s="16"/>
      <c r="L4841" s="23"/>
    </row>
    <row r="4842">
      <c r="B4842" s="16"/>
      <c r="L4842" s="23"/>
    </row>
    <row r="4843">
      <c r="B4843" s="16"/>
      <c r="L4843" s="23"/>
    </row>
    <row r="4844">
      <c r="B4844" s="16"/>
      <c r="L4844" s="23"/>
    </row>
    <row r="4845">
      <c r="B4845" s="16"/>
      <c r="L4845" s="23"/>
    </row>
    <row r="4846">
      <c r="B4846" s="16"/>
      <c r="L4846" s="23"/>
    </row>
    <row r="4847">
      <c r="B4847" s="16"/>
      <c r="L4847" s="23"/>
    </row>
    <row r="4848">
      <c r="B4848" s="16"/>
      <c r="L4848" s="23"/>
    </row>
    <row r="4849">
      <c r="B4849" s="16"/>
      <c r="L4849" s="23"/>
    </row>
    <row r="4850">
      <c r="B4850" s="16"/>
      <c r="L4850" s="23"/>
    </row>
    <row r="4851">
      <c r="B4851" s="16"/>
      <c r="L4851" s="23"/>
    </row>
    <row r="4852">
      <c r="B4852" s="16"/>
      <c r="L4852" s="23"/>
    </row>
    <row r="4853">
      <c r="B4853" s="16"/>
      <c r="L4853" s="23"/>
    </row>
    <row r="4854">
      <c r="B4854" s="16"/>
      <c r="L4854" s="23"/>
    </row>
    <row r="4855">
      <c r="B4855" s="16"/>
      <c r="L4855" s="23"/>
    </row>
    <row r="4856">
      <c r="B4856" s="16"/>
      <c r="L4856" s="23"/>
    </row>
    <row r="4857">
      <c r="B4857" s="16"/>
      <c r="L4857" s="23"/>
    </row>
    <row r="4858">
      <c r="B4858" s="16"/>
      <c r="L4858" s="23"/>
    </row>
    <row r="4859">
      <c r="B4859" s="16"/>
      <c r="L4859" s="23"/>
    </row>
    <row r="4860">
      <c r="B4860" s="16"/>
      <c r="L4860" s="23"/>
    </row>
    <row r="4861">
      <c r="B4861" s="16"/>
      <c r="L4861" s="23"/>
    </row>
    <row r="4862">
      <c r="B4862" s="16"/>
      <c r="L4862" s="23"/>
      <c r="M4862" s="23"/>
    </row>
    <row r="4863">
      <c r="B4863" s="16"/>
      <c r="L4863" s="23"/>
    </row>
    <row r="4864">
      <c r="B4864" s="16"/>
      <c r="L4864" s="23"/>
    </row>
    <row r="4865">
      <c r="B4865" s="16"/>
      <c r="L4865" s="23"/>
      <c r="M4865" s="23"/>
    </row>
    <row r="4866">
      <c r="B4866" s="16"/>
      <c r="L4866" s="23"/>
    </row>
    <row r="4867">
      <c r="B4867" s="16"/>
      <c r="L4867" s="23"/>
    </row>
    <row r="4868">
      <c r="B4868" s="16"/>
      <c r="L4868" s="23"/>
    </row>
    <row r="4869">
      <c r="B4869" s="16"/>
      <c r="L4869" s="23"/>
      <c r="M4869" s="23"/>
    </row>
    <row r="4870">
      <c r="B4870" s="16"/>
      <c r="L4870" s="23"/>
      <c r="M4870" s="23"/>
    </row>
    <row r="4871">
      <c r="B4871" s="16"/>
      <c r="L4871" s="23"/>
    </row>
    <row r="4872">
      <c r="B4872" s="16"/>
      <c r="L4872" s="23"/>
      <c r="M4872" s="23"/>
    </row>
    <row r="4873">
      <c r="B4873" s="16"/>
      <c r="L4873" s="23"/>
    </row>
    <row r="4874">
      <c r="B4874" s="16"/>
      <c r="L4874" s="23"/>
    </row>
    <row r="4875">
      <c r="B4875" s="16"/>
      <c r="L4875" s="23"/>
    </row>
    <row r="4876">
      <c r="B4876" s="16"/>
      <c r="L4876" s="23"/>
    </row>
    <row r="4877">
      <c r="B4877" s="16"/>
      <c r="L4877" s="23"/>
      <c r="M4877" s="23"/>
    </row>
    <row r="4878">
      <c r="B4878" s="16"/>
      <c r="L4878" s="23"/>
      <c r="M4878" s="23"/>
    </row>
    <row r="4879">
      <c r="B4879" s="16"/>
      <c r="L4879" s="23"/>
      <c r="M4879" s="23"/>
    </row>
    <row r="4880">
      <c r="B4880" s="16"/>
      <c r="L4880" s="23"/>
      <c r="M4880" s="23"/>
    </row>
    <row r="4881">
      <c r="B4881" s="16"/>
      <c r="L4881" s="23"/>
    </row>
    <row r="4882">
      <c r="B4882" s="16"/>
      <c r="L4882" s="23"/>
    </row>
    <row r="4883">
      <c r="B4883" s="16"/>
      <c r="L4883" s="23"/>
    </row>
    <row r="4884">
      <c r="B4884" s="16"/>
      <c r="L4884" s="23"/>
    </row>
    <row r="4885">
      <c r="B4885" s="16"/>
      <c r="L4885" s="23"/>
    </row>
    <row r="4886">
      <c r="B4886" s="16"/>
      <c r="L4886" s="23"/>
      <c r="M4886" s="23"/>
    </row>
    <row r="4887">
      <c r="B4887" s="16"/>
      <c r="L4887" s="23"/>
    </row>
    <row r="4888">
      <c r="B4888" s="16"/>
      <c r="L4888" s="23"/>
    </row>
    <row r="4889">
      <c r="B4889" s="16"/>
      <c r="L4889" s="23"/>
    </row>
    <row r="4890">
      <c r="B4890" s="16"/>
      <c r="L4890" s="23"/>
    </row>
    <row r="4891">
      <c r="B4891" s="16"/>
      <c r="L4891" s="23"/>
    </row>
    <row r="4892">
      <c r="B4892" s="16"/>
      <c r="L4892" s="23"/>
      <c r="M4892" s="23"/>
    </row>
    <row r="4893">
      <c r="B4893" s="16"/>
      <c r="L4893" s="23"/>
    </row>
    <row r="4894">
      <c r="B4894" s="16"/>
      <c r="L4894" s="23"/>
      <c r="M4894" s="23"/>
    </row>
    <row r="4895">
      <c r="B4895" s="16"/>
      <c r="L4895" s="23"/>
    </row>
    <row r="4896">
      <c r="B4896" s="16"/>
      <c r="L4896" s="23"/>
    </row>
    <row r="4897">
      <c r="B4897" s="16"/>
      <c r="L4897" s="23"/>
    </row>
    <row r="4898">
      <c r="B4898" s="16"/>
      <c r="L4898" s="23"/>
    </row>
    <row r="4899">
      <c r="B4899" s="16"/>
      <c r="L4899" s="23"/>
    </row>
    <row r="4900">
      <c r="B4900" s="16"/>
      <c r="L4900" s="23"/>
    </row>
    <row r="4901">
      <c r="B4901" s="16"/>
      <c r="L4901" s="23"/>
    </row>
    <row r="4902">
      <c r="B4902" s="16"/>
      <c r="L4902" s="23"/>
    </row>
    <row r="4903">
      <c r="B4903" s="16"/>
      <c r="L4903" s="23"/>
    </row>
    <row r="4904">
      <c r="B4904" s="16"/>
      <c r="L4904" s="23"/>
    </row>
    <row r="4905">
      <c r="B4905" s="16"/>
      <c r="L4905" s="23"/>
    </row>
    <row r="4906">
      <c r="B4906" s="16"/>
      <c r="L4906" s="23"/>
    </row>
    <row r="4907">
      <c r="B4907" s="16"/>
      <c r="L4907" s="23"/>
    </row>
    <row r="4908">
      <c r="B4908" s="16"/>
      <c r="L4908" s="23"/>
    </row>
    <row r="4909">
      <c r="B4909" s="16"/>
      <c r="L4909" s="23"/>
    </row>
    <row r="4910">
      <c r="B4910" s="16"/>
      <c r="L4910" s="23"/>
      <c r="M4910" s="23"/>
    </row>
    <row r="4911">
      <c r="B4911" s="16"/>
      <c r="L4911" s="23"/>
      <c r="M4911" s="23"/>
    </row>
    <row r="4912">
      <c r="B4912" s="16"/>
      <c r="L4912" s="23"/>
      <c r="M4912" s="23"/>
    </row>
    <row r="4913">
      <c r="B4913" s="16"/>
      <c r="L4913" s="23"/>
    </row>
    <row r="4914">
      <c r="B4914" s="16"/>
      <c r="L4914" s="23"/>
    </row>
    <row r="4915">
      <c r="B4915" s="16"/>
      <c r="L4915" s="23"/>
      <c r="M4915" s="23"/>
    </row>
    <row r="4916">
      <c r="B4916" s="16"/>
      <c r="L4916" s="23"/>
    </row>
    <row r="4917">
      <c r="B4917" s="16"/>
      <c r="L4917" s="23"/>
      <c r="M4917" s="23"/>
    </row>
    <row r="4918">
      <c r="B4918" s="16"/>
      <c r="L4918" s="23"/>
      <c r="M4918" s="23"/>
    </row>
    <row r="4919">
      <c r="B4919" s="16"/>
      <c r="L4919" s="23"/>
    </row>
    <row r="4920">
      <c r="B4920" s="16"/>
      <c r="L4920" s="23"/>
    </row>
    <row r="4921">
      <c r="B4921" s="16"/>
      <c r="L4921" s="23"/>
      <c r="M4921" s="23"/>
    </row>
    <row r="4922">
      <c r="B4922" s="16"/>
      <c r="L4922" s="23"/>
    </row>
    <row r="4923">
      <c r="B4923" s="16"/>
      <c r="L4923" s="23"/>
      <c r="M4923" s="23"/>
    </row>
    <row r="4924">
      <c r="B4924" s="16"/>
      <c r="L4924" s="23"/>
      <c r="M4924" s="23"/>
    </row>
    <row r="4925">
      <c r="B4925" s="16"/>
      <c r="L4925" s="23"/>
    </row>
    <row r="4926">
      <c r="B4926" s="16"/>
      <c r="L4926" s="23"/>
    </row>
    <row r="4927">
      <c r="B4927" s="16"/>
      <c r="L4927" s="23"/>
    </row>
    <row r="4928">
      <c r="B4928" s="16"/>
      <c r="L4928" s="23"/>
    </row>
    <row r="4929">
      <c r="B4929" s="16"/>
      <c r="L4929" s="23"/>
    </row>
    <row r="4930">
      <c r="B4930" s="16"/>
      <c r="L4930" s="23"/>
      <c r="M4930" s="23"/>
    </row>
    <row r="4931">
      <c r="B4931" s="16"/>
      <c r="L4931" s="23"/>
    </row>
    <row r="4932">
      <c r="B4932" s="16"/>
      <c r="L4932" s="23"/>
    </row>
    <row r="4933">
      <c r="B4933" s="16"/>
      <c r="L4933" s="23"/>
      <c r="M4933" s="23"/>
    </row>
    <row r="4934">
      <c r="B4934" s="16"/>
      <c r="L4934" s="23"/>
    </row>
    <row r="4935">
      <c r="B4935" s="16"/>
      <c r="L4935" s="23"/>
      <c r="M4935" s="23"/>
    </row>
    <row r="4936">
      <c r="B4936" s="16"/>
      <c r="L4936" s="23"/>
      <c r="M4936" s="23"/>
    </row>
    <row r="4937">
      <c r="B4937" s="16"/>
      <c r="L4937" s="23"/>
    </row>
    <row r="4938">
      <c r="B4938" s="16"/>
      <c r="L4938" s="23"/>
      <c r="M4938" s="23"/>
    </row>
    <row r="4939">
      <c r="B4939" s="16"/>
      <c r="L4939" s="23"/>
      <c r="M4939" s="23"/>
    </row>
    <row r="4940">
      <c r="B4940" s="16"/>
      <c r="L4940" s="23"/>
      <c r="M4940" s="23"/>
    </row>
    <row r="4941">
      <c r="B4941" s="16"/>
      <c r="L4941" s="23"/>
      <c r="M4941" s="23"/>
    </row>
    <row r="4942">
      <c r="B4942" s="16"/>
      <c r="L4942" s="23"/>
      <c r="M4942" s="23"/>
    </row>
    <row r="4943">
      <c r="B4943" s="16"/>
      <c r="L4943" s="23"/>
      <c r="M4943" s="23"/>
    </row>
    <row r="4944">
      <c r="B4944" s="16"/>
      <c r="L4944" s="23"/>
      <c r="M4944" s="23"/>
    </row>
    <row r="4945">
      <c r="B4945" s="16"/>
      <c r="L4945" s="23"/>
    </row>
    <row r="4946">
      <c r="B4946" s="16"/>
      <c r="L4946" s="23"/>
    </row>
    <row r="4947">
      <c r="B4947" s="16"/>
      <c r="L4947" s="23"/>
      <c r="M4947" s="23"/>
    </row>
    <row r="4948">
      <c r="B4948" s="16"/>
      <c r="L4948" s="23"/>
      <c r="M4948" s="23"/>
    </row>
    <row r="4949">
      <c r="B4949" s="16"/>
      <c r="L4949" s="23"/>
      <c r="M4949" s="23"/>
    </row>
    <row r="4950">
      <c r="B4950" s="16"/>
      <c r="L4950" s="23"/>
      <c r="M4950" s="23"/>
    </row>
    <row r="4951">
      <c r="B4951" s="16"/>
      <c r="L4951" s="23"/>
      <c r="M4951" s="23"/>
    </row>
    <row r="4952">
      <c r="B4952" s="16"/>
      <c r="L4952" s="23"/>
      <c r="M4952" s="23"/>
    </row>
    <row r="4953">
      <c r="B4953" s="16"/>
      <c r="L4953" s="23"/>
      <c r="M4953" s="23"/>
    </row>
    <row r="4954">
      <c r="B4954" s="16"/>
      <c r="L4954" s="23"/>
      <c r="M4954" s="23"/>
    </row>
    <row r="4955">
      <c r="B4955" s="16"/>
      <c r="L4955" s="23"/>
      <c r="M4955" s="23"/>
    </row>
    <row r="4956">
      <c r="B4956" s="16"/>
      <c r="L4956" s="23"/>
      <c r="M4956" s="23"/>
    </row>
    <row r="4957">
      <c r="B4957" s="16"/>
      <c r="L4957" s="23"/>
      <c r="M4957" s="23"/>
    </row>
    <row r="4958">
      <c r="B4958" s="16"/>
      <c r="L4958" s="23"/>
      <c r="M4958" s="23"/>
    </row>
    <row r="4959">
      <c r="B4959" s="16"/>
      <c r="L4959" s="23"/>
      <c r="M4959" s="23"/>
    </row>
    <row r="4960">
      <c r="B4960" s="16"/>
      <c r="L4960" s="23"/>
      <c r="M4960" s="23"/>
    </row>
    <row r="4961">
      <c r="B4961" s="16"/>
      <c r="L4961" s="23"/>
      <c r="M4961" s="23"/>
    </row>
    <row r="4962">
      <c r="B4962" s="16"/>
      <c r="L4962" s="23"/>
      <c r="M4962" s="23"/>
    </row>
    <row r="4963">
      <c r="B4963" s="16"/>
      <c r="L4963" s="23"/>
      <c r="M4963" s="23"/>
    </row>
    <row r="4964">
      <c r="B4964" s="16"/>
      <c r="L4964" s="23"/>
      <c r="M4964" s="23"/>
    </row>
    <row r="4965">
      <c r="B4965" s="16"/>
      <c r="L4965" s="23"/>
      <c r="M4965" s="23"/>
    </row>
    <row r="4966">
      <c r="B4966" s="16"/>
      <c r="L4966" s="23"/>
      <c r="M4966" s="23"/>
    </row>
    <row r="4967">
      <c r="B4967" s="16"/>
      <c r="L4967" s="23"/>
      <c r="M4967" s="23"/>
    </row>
    <row r="4968">
      <c r="B4968" s="16"/>
      <c r="L4968" s="23"/>
      <c r="M4968" s="23"/>
    </row>
    <row r="4969">
      <c r="B4969" s="16"/>
      <c r="L4969" s="23"/>
      <c r="M4969" s="23"/>
    </row>
    <row r="4970">
      <c r="B4970" s="16"/>
      <c r="L4970" s="23"/>
      <c r="M4970" s="23"/>
    </row>
    <row r="4971">
      <c r="B4971" s="16"/>
      <c r="L4971" s="23"/>
      <c r="M4971" s="23"/>
    </row>
    <row r="4972">
      <c r="B4972" s="16"/>
      <c r="L4972" s="23"/>
      <c r="M4972" s="23"/>
    </row>
    <row r="4973">
      <c r="B4973" s="16"/>
      <c r="L4973" s="23"/>
      <c r="M4973" s="23"/>
    </row>
    <row r="4974">
      <c r="B4974" s="16"/>
      <c r="L4974" s="23"/>
      <c r="M4974" s="23"/>
    </row>
    <row r="4975">
      <c r="B4975" s="16"/>
      <c r="L4975" s="23"/>
      <c r="M4975" s="23"/>
    </row>
    <row r="4976">
      <c r="B4976" s="16"/>
      <c r="L4976" s="23"/>
      <c r="M4976" s="23"/>
    </row>
    <row r="4977">
      <c r="B4977" s="16"/>
      <c r="L4977" s="23"/>
      <c r="M4977" s="23"/>
    </row>
    <row r="4978">
      <c r="B4978" s="16"/>
      <c r="L4978" s="23"/>
      <c r="M4978" s="23"/>
    </row>
    <row r="4979">
      <c r="B4979" s="16"/>
      <c r="L4979" s="23"/>
      <c r="M4979" s="23"/>
    </row>
    <row r="4980">
      <c r="B4980" s="16"/>
      <c r="L4980" s="23"/>
      <c r="M4980" s="23"/>
    </row>
    <row r="4981">
      <c r="B4981" s="16"/>
      <c r="L4981" s="23"/>
      <c r="M4981" s="23"/>
    </row>
    <row r="4982">
      <c r="B4982" s="16"/>
      <c r="L4982" s="23"/>
      <c r="M4982" s="23"/>
    </row>
    <row r="4983">
      <c r="B4983" s="16"/>
      <c r="L4983" s="23"/>
      <c r="M4983" s="23"/>
    </row>
    <row r="4984">
      <c r="B4984" s="16"/>
      <c r="L4984" s="23"/>
      <c r="M4984" s="23"/>
    </row>
    <row r="4985">
      <c r="B4985" s="16"/>
      <c r="L4985" s="23"/>
      <c r="M4985" s="23"/>
    </row>
    <row r="4986">
      <c r="B4986" s="16"/>
      <c r="L4986" s="23"/>
      <c r="M4986" s="23"/>
    </row>
    <row r="4987">
      <c r="B4987" s="16"/>
      <c r="L4987" s="23"/>
      <c r="M4987" s="23"/>
    </row>
    <row r="4988">
      <c r="B4988" s="16"/>
      <c r="L4988" s="23"/>
      <c r="M4988" s="23"/>
    </row>
    <row r="4989">
      <c r="B4989" s="16"/>
      <c r="L4989" s="23"/>
      <c r="M4989" s="23"/>
    </row>
    <row r="4990">
      <c r="B4990" s="16"/>
      <c r="L4990" s="23"/>
      <c r="M4990" s="23"/>
    </row>
    <row r="4991">
      <c r="B4991" s="16"/>
      <c r="L4991" s="23"/>
      <c r="M4991" s="23"/>
    </row>
    <row r="4992">
      <c r="B4992" s="16"/>
      <c r="L4992" s="23"/>
      <c r="M4992" s="23"/>
    </row>
    <row r="4993">
      <c r="B4993" s="16"/>
      <c r="L4993" s="23"/>
      <c r="M4993" s="23"/>
    </row>
    <row r="4994">
      <c r="B4994" s="16"/>
      <c r="L4994" s="23"/>
      <c r="M4994" s="23"/>
    </row>
    <row r="4995">
      <c r="B4995" s="16"/>
      <c r="L4995" s="23"/>
      <c r="M4995" s="23"/>
    </row>
    <row r="4996">
      <c r="B4996" s="16"/>
      <c r="L4996" s="23"/>
      <c r="M4996" s="23"/>
    </row>
    <row r="4997">
      <c r="B4997" s="16"/>
      <c r="L4997" s="23"/>
      <c r="M4997" s="23"/>
    </row>
    <row r="4998">
      <c r="B4998" s="16"/>
      <c r="L4998" s="23"/>
      <c r="M4998" s="23"/>
    </row>
    <row r="4999">
      <c r="B4999" s="16"/>
      <c r="L4999" s="23"/>
      <c r="M4999" s="23"/>
    </row>
    <row r="5000">
      <c r="B5000" s="16"/>
      <c r="L5000" s="23"/>
      <c r="M5000" s="23"/>
    </row>
    <row r="5001">
      <c r="B5001" s="16"/>
      <c r="L5001" s="23"/>
      <c r="M5001" s="23"/>
    </row>
    <row r="5002">
      <c r="B5002" s="16"/>
      <c r="L5002" s="23"/>
      <c r="M5002" s="23"/>
    </row>
    <row r="5003">
      <c r="B5003" s="16"/>
      <c r="L5003" s="23"/>
      <c r="M5003" s="23"/>
    </row>
    <row r="5004">
      <c r="B5004" s="16"/>
      <c r="L5004" s="23"/>
      <c r="M5004" s="23"/>
    </row>
    <row r="5005">
      <c r="B5005" s="16"/>
      <c r="L5005" s="23"/>
      <c r="M5005" s="23"/>
    </row>
    <row r="5006">
      <c r="B5006" s="16"/>
      <c r="L5006" s="23"/>
      <c r="M5006" s="23"/>
    </row>
    <row r="5007">
      <c r="B5007" s="16"/>
      <c r="L5007" s="23"/>
      <c r="M5007" s="23"/>
    </row>
    <row r="5008">
      <c r="B5008" s="16"/>
      <c r="L5008" s="23"/>
      <c r="M5008" s="23"/>
    </row>
    <row r="5009">
      <c r="B5009" s="16"/>
      <c r="L5009" s="23"/>
      <c r="M5009" s="23"/>
    </row>
    <row r="5010">
      <c r="B5010" s="16"/>
      <c r="L5010" s="23"/>
      <c r="M5010" s="23"/>
    </row>
    <row r="5011">
      <c r="B5011" s="16"/>
      <c r="L5011" s="23"/>
    </row>
    <row r="5012">
      <c r="B5012" s="16"/>
      <c r="L5012" s="23"/>
    </row>
    <row r="5013">
      <c r="B5013" s="16"/>
      <c r="L5013" s="23"/>
    </row>
    <row r="5014">
      <c r="B5014" s="16"/>
      <c r="L5014" s="23"/>
    </row>
    <row r="5015">
      <c r="B5015" s="16"/>
      <c r="L5015" s="23"/>
    </row>
    <row r="5016">
      <c r="B5016" s="16"/>
      <c r="L5016" s="23"/>
    </row>
    <row r="5017">
      <c r="B5017" s="16"/>
      <c r="L5017" s="23"/>
    </row>
    <row r="5018">
      <c r="B5018" s="16"/>
      <c r="L5018" s="23"/>
    </row>
    <row r="5019">
      <c r="B5019" s="16"/>
      <c r="L5019" s="23"/>
    </row>
    <row r="5020">
      <c r="B5020" s="16"/>
      <c r="L5020" s="23"/>
    </row>
    <row r="5021">
      <c r="B5021" s="16"/>
      <c r="L5021" s="23"/>
    </row>
    <row r="5022">
      <c r="B5022" s="16"/>
      <c r="L5022" s="23"/>
    </row>
    <row r="5023">
      <c r="B5023" s="16"/>
      <c r="L5023" s="23"/>
    </row>
    <row r="5024">
      <c r="B5024" s="16"/>
      <c r="L5024" s="23"/>
    </row>
    <row r="5025">
      <c r="B5025" s="16"/>
      <c r="L5025" s="23"/>
    </row>
    <row r="5026">
      <c r="B5026" s="16"/>
      <c r="L5026" s="23"/>
    </row>
    <row r="5027">
      <c r="B5027" s="16"/>
      <c r="L5027" s="23"/>
    </row>
    <row r="5028">
      <c r="B5028" s="16"/>
      <c r="L5028" s="23"/>
    </row>
    <row r="5029">
      <c r="B5029" s="16"/>
      <c r="L5029" s="23"/>
    </row>
    <row r="5030">
      <c r="B5030" s="16"/>
      <c r="L5030" s="23"/>
    </row>
    <row r="5031">
      <c r="B5031" s="16"/>
      <c r="L5031" s="23"/>
    </row>
    <row r="5032">
      <c r="B5032" s="16"/>
      <c r="L5032" s="23"/>
    </row>
    <row r="5033">
      <c r="B5033" s="16"/>
      <c r="L5033" s="23"/>
    </row>
    <row r="5034">
      <c r="B5034" s="16"/>
      <c r="L5034" s="23"/>
    </row>
    <row r="5035">
      <c r="B5035" s="16"/>
      <c r="L5035" s="23"/>
    </row>
    <row r="5036">
      <c r="B5036" s="16"/>
      <c r="L5036" s="23"/>
    </row>
    <row r="5037">
      <c r="B5037" s="16"/>
      <c r="L5037" s="23"/>
    </row>
    <row r="5038">
      <c r="B5038" s="16"/>
      <c r="L5038" s="23"/>
    </row>
    <row r="5039">
      <c r="B5039" s="16"/>
      <c r="L5039" s="23"/>
    </row>
    <row r="5040">
      <c r="B5040" s="16"/>
      <c r="L5040" s="23"/>
    </row>
    <row r="5041">
      <c r="B5041" s="16"/>
      <c r="L5041" s="23"/>
    </row>
    <row r="5042">
      <c r="B5042" s="16"/>
      <c r="L5042" s="23"/>
    </row>
    <row r="5043">
      <c r="B5043" s="16"/>
      <c r="L5043" s="23"/>
    </row>
    <row r="5044">
      <c r="B5044" s="16"/>
      <c r="L5044" s="23"/>
    </row>
    <row r="5045">
      <c r="B5045" s="16"/>
      <c r="L5045" s="23"/>
    </row>
    <row r="5046">
      <c r="B5046" s="16"/>
      <c r="L5046" s="23"/>
    </row>
    <row r="5047">
      <c r="B5047" s="16"/>
      <c r="L5047" s="23"/>
    </row>
    <row r="5048">
      <c r="B5048" s="16"/>
      <c r="L5048" s="23"/>
    </row>
    <row r="5049">
      <c r="B5049" s="16"/>
      <c r="L5049" s="23"/>
    </row>
    <row r="5050">
      <c r="B5050" s="16"/>
      <c r="L5050" s="23"/>
    </row>
    <row r="5051">
      <c r="B5051" s="16"/>
      <c r="L5051" s="23"/>
    </row>
    <row r="5052">
      <c r="B5052" s="16"/>
      <c r="L5052" s="23"/>
    </row>
    <row r="5053">
      <c r="B5053" s="16"/>
      <c r="L5053" s="23"/>
    </row>
    <row r="5054">
      <c r="B5054" s="16"/>
      <c r="L5054" s="23"/>
    </row>
    <row r="5055">
      <c r="B5055" s="16"/>
      <c r="L5055" s="23"/>
    </row>
    <row r="5056">
      <c r="B5056" s="16"/>
      <c r="L5056" s="23"/>
    </row>
    <row r="5057">
      <c r="B5057" s="16"/>
      <c r="L5057" s="23"/>
    </row>
    <row r="5058">
      <c r="B5058" s="16"/>
      <c r="L5058" s="23"/>
    </row>
    <row r="5059">
      <c r="B5059" s="16"/>
      <c r="L5059" s="23"/>
    </row>
    <row r="5060">
      <c r="B5060" s="16"/>
      <c r="L5060" s="23"/>
    </row>
    <row r="5061">
      <c r="B5061" s="16"/>
      <c r="L5061" s="23"/>
      <c r="M5061" s="23"/>
    </row>
    <row r="5062">
      <c r="B5062" s="16"/>
      <c r="L5062" s="23"/>
      <c r="M5062" s="23"/>
    </row>
    <row r="5063">
      <c r="B5063" s="16"/>
      <c r="L5063" s="23"/>
      <c r="M5063" s="23"/>
    </row>
    <row r="5064">
      <c r="B5064" s="16"/>
      <c r="L5064" s="23"/>
      <c r="M5064" s="23"/>
    </row>
    <row r="5065">
      <c r="B5065" s="16"/>
      <c r="L5065" s="23"/>
      <c r="M5065" s="23"/>
    </row>
    <row r="5066">
      <c r="B5066" s="16"/>
      <c r="L5066" s="23"/>
      <c r="M5066" s="23"/>
    </row>
    <row r="5067">
      <c r="B5067" s="16"/>
      <c r="L5067" s="23"/>
      <c r="M5067" s="23"/>
    </row>
    <row r="5068">
      <c r="B5068" s="16"/>
      <c r="L5068" s="23"/>
      <c r="M5068" s="23"/>
    </row>
    <row r="5069">
      <c r="B5069" s="16"/>
      <c r="L5069" s="23"/>
      <c r="M5069" s="23"/>
    </row>
    <row r="5070">
      <c r="B5070" s="16"/>
      <c r="L5070" s="23"/>
      <c r="M5070" s="23"/>
    </row>
    <row r="5071">
      <c r="B5071" s="16"/>
      <c r="L5071" s="23"/>
      <c r="M5071" s="23"/>
    </row>
    <row r="5072">
      <c r="B5072" s="16"/>
      <c r="L5072" s="23"/>
      <c r="M5072" s="23"/>
    </row>
    <row r="5073">
      <c r="B5073" s="16"/>
      <c r="L5073" s="23"/>
      <c r="M5073" s="23"/>
    </row>
    <row r="5074">
      <c r="B5074" s="16"/>
      <c r="L5074" s="23"/>
      <c r="M5074" s="23"/>
    </row>
    <row r="5075">
      <c r="B5075" s="16"/>
      <c r="L5075" s="23"/>
      <c r="M5075" s="23"/>
    </row>
    <row r="5076">
      <c r="B5076" s="16"/>
      <c r="L5076" s="23"/>
      <c r="M5076" s="23"/>
    </row>
    <row r="5077">
      <c r="B5077" s="16"/>
      <c r="L5077" s="23"/>
      <c r="M5077" s="23"/>
    </row>
    <row r="5078">
      <c r="B5078" s="16"/>
      <c r="L5078" s="23"/>
      <c r="M5078" s="23"/>
    </row>
    <row r="5079">
      <c r="B5079" s="16"/>
      <c r="L5079" s="23"/>
      <c r="M5079" s="23"/>
    </row>
    <row r="5080">
      <c r="B5080" s="16"/>
      <c r="L5080" s="23"/>
      <c r="M5080" s="23"/>
    </row>
    <row r="5081">
      <c r="B5081" s="16"/>
      <c r="L5081" s="23"/>
      <c r="M5081" s="23"/>
    </row>
    <row r="5082">
      <c r="B5082" s="16"/>
      <c r="L5082" s="23"/>
      <c r="M5082" s="23"/>
    </row>
    <row r="5083">
      <c r="B5083" s="16"/>
      <c r="L5083" s="23"/>
      <c r="M5083" s="23"/>
    </row>
    <row r="5084">
      <c r="B5084" s="16"/>
      <c r="L5084" s="23"/>
      <c r="M5084" s="23"/>
    </row>
    <row r="5085">
      <c r="B5085" s="16"/>
      <c r="L5085" s="23"/>
      <c r="M5085" s="23"/>
    </row>
    <row r="5086">
      <c r="B5086" s="16"/>
      <c r="L5086" s="23"/>
      <c r="M5086" s="23"/>
    </row>
    <row r="5087">
      <c r="B5087" s="16"/>
      <c r="L5087" s="23"/>
      <c r="M5087" s="23"/>
    </row>
    <row r="5088">
      <c r="B5088" s="16"/>
      <c r="L5088" s="23"/>
      <c r="M5088" s="23"/>
    </row>
    <row r="5089">
      <c r="B5089" s="16"/>
      <c r="L5089" s="23"/>
      <c r="M5089" s="23"/>
    </row>
    <row r="5090">
      <c r="B5090" s="16"/>
      <c r="L5090" s="23"/>
      <c r="M5090" s="23"/>
    </row>
    <row r="5091">
      <c r="B5091" s="16"/>
      <c r="L5091" s="23"/>
      <c r="M5091" s="23"/>
    </row>
    <row r="5092">
      <c r="B5092" s="16"/>
      <c r="L5092" s="23"/>
      <c r="M5092" s="23"/>
    </row>
    <row r="5093">
      <c r="B5093" s="16"/>
      <c r="L5093" s="23"/>
      <c r="M5093" s="23"/>
    </row>
    <row r="5094">
      <c r="B5094" s="16"/>
      <c r="L5094" s="23"/>
      <c r="M5094" s="23"/>
    </row>
    <row r="5095">
      <c r="B5095" s="16"/>
      <c r="L5095" s="23"/>
      <c r="M5095" s="23"/>
    </row>
    <row r="5096">
      <c r="B5096" s="16"/>
      <c r="L5096" s="23"/>
      <c r="M5096" s="23"/>
    </row>
    <row r="5097">
      <c r="B5097" s="16"/>
      <c r="L5097" s="23"/>
      <c r="M5097" s="23"/>
    </row>
    <row r="5098">
      <c r="B5098" s="16"/>
      <c r="L5098" s="23"/>
      <c r="M5098" s="23"/>
    </row>
    <row r="5099">
      <c r="B5099" s="16"/>
      <c r="L5099" s="23"/>
      <c r="M5099" s="23"/>
    </row>
    <row r="5100">
      <c r="B5100" s="16"/>
      <c r="L5100" s="23"/>
      <c r="M5100" s="23"/>
    </row>
    <row r="5101">
      <c r="B5101" s="16"/>
      <c r="L5101" s="23"/>
      <c r="M5101" s="23"/>
    </row>
    <row r="5102">
      <c r="B5102" s="16"/>
      <c r="L5102" s="23"/>
      <c r="M5102" s="23"/>
    </row>
    <row r="5103">
      <c r="B5103" s="16"/>
      <c r="L5103" s="23"/>
      <c r="M5103" s="23"/>
    </row>
    <row r="5104">
      <c r="B5104" s="16"/>
      <c r="L5104" s="23"/>
      <c r="M5104" s="23"/>
    </row>
    <row r="5105">
      <c r="B5105" s="16"/>
      <c r="L5105" s="23"/>
      <c r="M5105" s="23"/>
    </row>
    <row r="5106">
      <c r="B5106" s="16"/>
      <c r="L5106" s="23"/>
      <c r="M5106" s="23"/>
    </row>
    <row r="5107">
      <c r="B5107" s="16"/>
      <c r="L5107" s="23"/>
      <c r="M5107" s="23"/>
    </row>
    <row r="5108">
      <c r="B5108" s="16"/>
      <c r="L5108" s="23"/>
      <c r="M5108" s="23"/>
    </row>
    <row r="5109">
      <c r="B5109" s="16"/>
      <c r="L5109" s="23"/>
      <c r="M5109" s="23"/>
    </row>
    <row r="5110">
      <c r="B5110" s="16"/>
      <c r="L5110" s="23"/>
      <c r="M5110" s="23"/>
    </row>
    <row r="5111">
      <c r="B5111" s="16"/>
      <c r="L5111" s="23"/>
      <c r="M5111" s="23"/>
    </row>
    <row r="5112">
      <c r="B5112" s="16"/>
      <c r="L5112" s="23"/>
      <c r="M5112" s="23"/>
    </row>
    <row r="5113">
      <c r="B5113" s="16"/>
      <c r="L5113" s="23"/>
      <c r="M5113" s="23"/>
    </row>
    <row r="5114">
      <c r="B5114" s="16"/>
      <c r="L5114" s="23"/>
      <c r="M5114" s="23"/>
    </row>
    <row r="5115">
      <c r="B5115" s="16"/>
      <c r="L5115" s="23"/>
      <c r="M5115" s="23"/>
    </row>
    <row r="5116">
      <c r="B5116" s="16"/>
      <c r="L5116" s="23"/>
      <c r="M5116" s="23"/>
    </row>
    <row r="5117">
      <c r="B5117" s="16"/>
      <c r="L5117" s="23"/>
      <c r="M5117" s="23"/>
    </row>
    <row r="5118">
      <c r="B5118" s="16"/>
      <c r="L5118" s="23"/>
      <c r="M5118" s="23"/>
    </row>
    <row r="5119">
      <c r="B5119" s="16"/>
      <c r="L5119" s="23"/>
      <c r="M5119" s="23"/>
    </row>
    <row r="5120">
      <c r="B5120" s="16"/>
      <c r="L5120" s="23"/>
      <c r="M5120" s="23"/>
    </row>
    <row r="5121">
      <c r="B5121" s="16"/>
      <c r="L5121" s="23"/>
      <c r="M5121" s="23"/>
    </row>
    <row r="5122">
      <c r="B5122" s="16"/>
      <c r="L5122" s="23"/>
      <c r="M5122" s="23"/>
    </row>
    <row r="5123">
      <c r="B5123" s="16"/>
      <c r="L5123" s="23"/>
      <c r="M5123" s="23"/>
    </row>
    <row r="5124">
      <c r="B5124" s="16"/>
      <c r="L5124" s="23"/>
      <c r="M5124" s="23"/>
    </row>
    <row r="5125">
      <c r="B5125" s="16"/>
      <c r="L5125" s="23"/>
      <c r="M5125" s="23"/>
    </row>
    <row r="5126">
      <c r="B5126" s="16"/>
      <c r="L5126" s="23"/>
    </row>
    <row r="5127">
      <c r="B5127" s="16"/>
      <c r="L5127" s="23"/>
    </row>
    <row r="5128">
      <c r="B5128" s="16"/>
      <c r="L5128" s="23"/>
    </row>
    <row r="5129">
      <c r="B5129" s="16"/>
      <c r="L5129" s="23"/>
      <c r="M5129" s="23"/>
    </row>
    <row r="5130">
      <c r="B5130" s="16"/>
      <c r="L5130" s="23"/>
    </row>
    <row r="5131">
      <c r="B5131" s="16"/>
      <c r="L5131" s="23"/>
    </row>
    <row r="5132">
      <c r="B5132" s="16"/>
      <c r="L5132" s="23"/>
      <c r="M5132" s="23"/>
    </row>
    <row r="5133">
      <c r="B5133" s="16"/>
      <c r="L5133" s="23"/>
      <c r="M5133" s="23"/>
    </row>
    <row r="5134">
      <c r="B5134" s="16"/>
      <c r="L5134" s="23"/>
      <c r="M5134" s="23"/>
    </row>
    <row r="5135">
      <c r="B5135" s="16"/>
      <c r="L5135" s="23"/>
      <c r="M5135" s="23"/>
    </row>
    <row r="5136">
      <c r="B5136" s="16"/>
      <c r="L5136" s="23"/>
    </row>
    <row r="5137">
      <c r="B5137" s="16"/>
      <c r="L5137" s="23"/>
    </row>
    <row r="5138">
      <c r="B5138" s="16"/>
      <c r="L5138" s="23"/>
    </row>
    <row r="5139">
      <c r="B5139" s="16"/>
      <c r="L5139" s="23"/>
      <c r="M5139" s="23"/>
    </row>
    <row r="5140">
      <c r="B5140" s="16"/>
      <c r="L5140" s="23"/>
    </row>
    <row r="5141">
      <c r="B5141" s="16"/>
      <c r="L5141" s="23"/>
      <c r="M5141" s="23"/>
    </row>
    <row r="5142">
      <c r="B5142" s="16"/>
      <c r="L5142" s="23"/>
    </row>
    <row r="5143">
      <c r="B5143" s="16"/>
      <c r="L5143" s="23"/>
      <c r="M5143" s="23"/>
    </row>
    <row r="5144">
      <c r="B5144" s="16"/>
      <c r="L5144" s="23"/>
      <c r="M5144" s="23"/>
    </row>
    <row r="5145">
      <c r="B5145" s="16"/>
      <c r="L5145" s="23"/>
    </row>
    <row r="5146">
      <c r="B5146" s="16"/>
      <c r="L5146" s="23"/>
    </row>
    <row r="5147">
      <c r="B5147" s="16"/>
      <c r="L5147" s="23"/>
    </row>
    <row r="5148">
      <c r="B5148" s="16"/>
      <c r="L5148" s="23"/>
      <c r="M5148" s="23"/>
    </row>
    <row r="5149">
      <c r="B5149" s="16"/>
      <c r="L5149" s="23"/>
      <c r="M5149" s="23"/>
    </row>
    <row r="5150">
      <c r="B5150" s="16"/>
      <c r="L5150" s="23"/>
      <c r="M5150" s="23"/>
    </row>
    <row r="5151">
      <c r="B5151" s="16"/>
      <c r="L5151" s="23"/>
    </row>
    <row r="5152">
      <c r="B5152" s="16"/>
      <c r="L5152" s="23"/>
      <c r="M5152" s="23"/>
    </row>
    <row r="5153">
      <c r="B5153" s="16"/>
      <c r="L5153" s="23"/>
      <c r="M5153" s="23"/>
    </row>
    <row r="5154">
      <c r="B5154" s="16"/>
      <c r="L5154" s="23"/>
    </row>
    <row r="5155">
      <c r="B5155" s="16"/>
      <c r="L5155" s="23"/>
      <c r="M5155" s="23"/>
    </row>
    <row r="5156">
      <c r="B5156" s="16"/>
      <c r="L5156" s="23"/>
      <c r="M5156" s="23"/>
    </row>
    <row r="5157">
      <c r="B5157" s="16"/>
      <c r="L5157" s="23"/>
      <c r="M5157" s="23"/>
    </row>
    <row r="5158">
      <c r="B5158" s="16"/>
      <c r="L5158" s="23"/>
    </row>
    <row r="5159">
      <c r="B5159" s="16"/>
      <c r="L5159" s="23"/>
    </row>
    <row r="5160">
      <c r="B5160" s="16"/>
      <c r="L5160" s="23"/>
    </row>
    <row r="5161">
      <c r="B5161" s="16"/>
      <c r="L5161" s="23"/>
      <c r="M5161" s="23"/>
    </row>
    <row r="5162">
      <c r="B5162" s="16"/>
      <c r="L5162" s="23"/>
    </row>
    <row r="5163">
      <c r="B5163" s="16"/>
      <c r="L5163" s="23"/>
    </row>
    <row r="5164">
      <c r="B5164" s="16"/>
      <c r="L5164" s="23"/>
      <c r="M5164" s="23"/>
    </row>
    <row r="5165">
      <c r="B5165" s="16"/>
      <c r="L5165" s="23"/>
    </row>
    <row r="5166">
      <c r="B5166" s="16"/>
      <c r="L5166" s="23"/>
    </row>
    <row r="5167">
      <c r="B5167" s="16"/>
      <c r="L5167" s="23"/>
    </row>
    <row r="5168">
      <c r="B5168" s="16"/>
      <c r="L5168" s="23"/>
    </row>
    <row r="5169">
      <c r="B5169" s="16"/>
      <c r="L5169" s="23"/>
      <c r="M5169" s="23"/>
    </row>
    <row r="5170">
      <c r="B5170" s="16"/>
      <c r="L5170" s="23"/>
    </row>
    <row r="5171">
      <c r="B5171" s="16"/>
      <c r="L5171" s="23"/>
    </row>
    <row r="5172">
      <c r="B5172" s="16"/>
      <c r="L5172" s="23"/>
    </row>
    <row r="5173">
      <c r="B5173" s="16"/>
      <c r="L5173" s="23"/>
    </row>
    <row r="5174">
      <c r="B5174" s="16"/>
      <c r="L5174" s="23"/>
    </row>
    <row r="5175">
      <c r="B5175" s="16"/>
      <c r="L5175" s="23"/>
    </row>
    <row r="5176">
      <c r="B5176" s="16"/>
      <c r="L5176" s="23"/>
    </row>
    <row r="5177">
      <c r="B5177" s="16"/>
      <c r="L5177" s="23"/>
    </row>
    <row r="5178">
      <c r="B5178" s="16"/>
      <c r="L5178" s="23"/>
    </row>
    <row r="5179">
      <c r="B5179" s="16"/>
      <c r="L5179" s="23"/>
    </row>
    <row r="5180">
      <c r="B5180" s="16"/>
      <c r="L5180" s="23"/>
    </row>
    <row r="5181">
      <c r="B5181" s="16"/>
      <c r="L5181" s="23"/>
    </row>
    <row r="5182">
      <c r="B5182" s="16"/>
      <c r="L5182" s="23"/>
    </row>
    <row r="5183">
      <c r="B5183" s="16"/>
      <c r="L5183" s="23"/>
    </row>
    <row r="5184">
      <c r="B5184" s="16"/>
      <c r="L5184" s="23"/>
    </row>
    <row r="5185">
      <c r="B5185" s="16"/>
      <c r="L5185" s="23"/>
    </row>
    <row r="5186">
      <c r="B5186" s="16"/>
      <c r="L5186" s="23"/>
    </row>
    <row r="5187">
      <c r="B5187" s="16"/>
      <c r="L5187" s="23"/>
    </row>
    <row r="5188">
      <c r="B5188" s="16"/>
      <c r="L5188" s="23"/>
    </row>
    <row r="5189">
      <c r="B5189" s="16"/>
      <c r="L5189" s="23"/>
    </row>
    <row r="5190">
      <c r="B5190" s="16"/>
      <c r="L5190" s="23"/>
    </row>
    <row r="5191">
      <c r="B5191" s="16"/>
      <c r="L5191" s="23"/>
    </row>
    <row r="5192">
      <c r="B5192" s="16"/>
      <c r="L5192" s="23"/>
    </row>
    <row r="5193">
      <c r="B5193" s="16"/>
      <c r="L5193" s="23"/>
    </row>
    <row r="5194">
      <c r="B5194" s="16"/>
      <c r="L5194" s="23"/>
    </row>
    <row r="5195">
      <c r="B5195" s="16"/>
      <c r="L5195" s="23"/>
    </row>
    <row r="5196">
      <c r="B5196" s="16"/>
      <c r="L5196" s="23"/>
    </row>
    <row r="5197">
      <c r="B5197" s="16"/>
      <c r="L5197" s="23"/>
    </row>
    <row r="5198">
      <c r="B5198" s="16"/>
      <c r="L5198" s="23"/>
    </row>
    <row r="5199">
      <c r="B5199" s="16"/>
      <c r="L5199" s="23"/>
    </row>
    <row r="5200">
      <c r="B5200" s="16"/>
      <c r="L5200" s="23"/>
    </row>
    <row r="5201">
      <c r="B5201" s="16"/>
      <c r="L5201" s="23"/>
    </row>
    <row r="5202">
      <c r="B5202" s="16"/>
      <c r="L5202" s="23"/>
    </row>
    <row r="5203">
      <c r="B5203" s="16"/>
      <c r="L5203" s="23"/>
    </row>
    <row r="5204">
      <c r="B5204" s="16"/>
      <c r="L5204" s="23"/>
    </row>
    <row r="5205">
      <c r="B5205" s="16"/>
      <c r="L5205" s="23"/>
    </row>
    <row r="5206">
      <c r="B5206" s="16"/>
      <c r="L5206" s="23"/>
    </row>
    <row r="5207">
      <c r="B5207" s="16"/>
      <c r="L5207" s="23"/>
    </row>
    <row r="5208">
      <c r="B5208" s="16"/>
      <c r="L5208" s="23"/>
    </row>
    <row r="5209">
      <c r="B5209" s="16"/>
      <c r="L5209" s="23"/>
    </row>
    <row r="5210">
      <c r="B5210" s="16"/>
      <c r="L5210" s="23"/>
    </row>
    <row r="5211">
      <c r="B5211" s="16"/>
      <c r="L5211" s="23"/>
    </row>
    <row r="5212">
      <c r="B5212" s="16"/>
      <c r="L5212" s="23"/>
    </row>
    <row r="5213">
      <c r="B5213" s="16"/>
      <c r="L5213" s="23"/>
    </row>
    <row r="5214">
      <c r="B5214" s="16"/>
      <c r="L5214" s="23"/>
    </row>
    <row r="5215">
      <c r="B5215" s="16"/>
      <c r="L5215" s="23"/>
    </row>
    <row r="5216">
      <c r="B5216" s="16"/>
      <c r="L5216" s="23"/>
    </row>
    <row r="5217">
      <c r="B5217" s="16"/>
      <c r="L5217" s="23"/>
    </row>
    <row r="5218">
      <c r="B5218" s="16"/>
      <c r="L5218" s="23"/>
    </row>
    <row r="5219">
      <c r="B5219" s="16"/>
      <c r="L5219" s="23"/>
    </row>
    <row r="5220">
      <c r="B5220" s="16"/>
      <c r="L5220" s="23"/>
    </row>
    <row r="5221">
      <c r="B5221" s="16"/>
      <c r="L5221" s="23"/>
    </row>
    <row r="5222">
      <c r="B5222" s="16"/>
      <c r="L5222" s="23"/>
    </row>
    <row r="5223">
      <c r="B5223" s="16"/>
      <c r="L5223" s="23"/>
    </row>
    <row r="5224">
      <c r="B5224" s="16"/>
      <c r="L5224" s="23"/>
    </row>
    <row r="5225">
      <c r="B5225" s="16"/>
      <c r="L5225" s="23"/>
    </row>
    <row r="5226">
      <c r="B5226" s="16"/>
      <c r="L5226" s="23"/>
    </row>
    <row r="5227">
      <c r="B5227" s="16"/>
      <c r="L5227" s="23"/>
    </row>
    <row r="5228">
      <c r="B5228" s="16"/>
      <c r="L5228" s="23"/>
    </row>
    <row r="5229">
      <c r="B5229" s="16"/>
      <c r="L5229" s="23"/>
      <c r="M5229" s="23"/>
    </row>
    <row r="5230">
      <c r="B5230" s="16"/>
      <c r="L5230" s="23"/>
    </row>
    <row r="5231">
      <c r="B5231" s="16"/>
      <c r="L5231" s="23"/>
    </row>
    <row r="5232">
      <c r="B5232" s="16"/>
      <c r="L5232" s="23"/>
    </row>
    <row r="5233">
      <c r="B5233" s="16"/>
      <c r="L5233" s="23"/>
    </row>
    <row r="5234">
      <c r="B5234" s="16"/>
      <c r="L5234" s="23"/>
    </row>
    <row r="5235">
      <c r="B5235" s="16"/>
      <c r="L5235" s="23"/>
    </row>
    <row r="5236">
      <c r="B5236" s="16"/>
      <c r="L5236" s="23"/>
    </row>
    <row r="5237">
      <c r="B5237" s="16"/>
      <c r="L5237" s="23"/>
    </row>
    <row r="5238">
      <c r="B5238" s="16"/>
      <c r="L5238" s="23"/>
    </row>
    <row r="5239">
      <c r="B5239" s="16"/>
      <c r="L5239" s="23"/>
    </row>
    <row r="5240">
      <c r="B5240" s="16"/>
      <c r="L5240" s="23"/>
    </row>
    <row r="5241">
      <c r="B5241" s="16"/>
      <c r="L5241" s="23"/>
    </row>
    <row r="5242">
      <c r="B5242" s="16"/>
      <c r="L5242" s="23"/>
    </row>
    <row r="5243">
      <c r="B5243" s="16"/>
      <c r="L5243" s="23"/>
    </row>
    <row r="5244">
      <c r="B5244" s="16"/>
      <c r="L5244" s="23"/>
    </row>
    <row r="5245">
      <c r="B5245" s="16"/>
      <c r="L5245" s="23"/>
    </row>
    <row r="5246">
      <c r="B5246" s="16"/>
      <c r="L5246" s="23"/>
    </row>
    <row r="5247">
      <c r="B5247" s="16"/>
      <c r="L5247" s="23"/>
    </row>
    <row r="5248">
      <c r="B5248" s="16"/>
      <c r="L5248" s="23"/>
    </row>
    <row r="5249">
      <c r="B5249" s="16"/>
      <c r="L5249" s="23"/>
    </row>
    <row r="5250">
      <c r="B5250" s="16"/>
      <c r="L5250" s="23"/>
    </row>
    <row r="5251">
      <c r="B5251" s="16"/>
      <c r="L5251" s="23"/>
    </row>
    <row r="5252">
      <c r="B5252" s="16"/>
      <c r="L5252" s="23"/>
    </row>
    <row r="5253">
      <c r="B5253" s="16"/>
      <c r="L5253" s="23"/>
    </row>
    <row r="5254">
      <c r="B5254" s="16"/>
      <c r="L5254" s="23"/>
    </row>
    <row r="5255">
      <c r="B5255" s="16"/>
      <c r="L5255" s="23"/>
    </row>
    <row r="5256">
      <c r="B5256" s="16"/>
      <c r="L5256" s="23"/>
    </row>
    <row r="5257">
      <c r="B5257" s="16"/>
      <c r="L5257" s="23"/>
    </row>
    <row r="5258">
      <c r="B5258" s="16"/>
      <c r="L5258" s="23"/>
    </row>
    <row r="5259">
      <c r="B5259" s="16"/>
      <c r="L5259" s="23"/>
    </row>
    <row r="5260">
      <c r="B5260" s="16"/>
      <c r="L5260" s="23"/>
    </row>
    <row r="5261">
      <c r="B5261" s="16"/>
      <c r="L5261" s="23"/>
    </row>
    <row r="5262">
      <c r="B5262" s="16"/>
      <c r="L5262" s="23"/>
    </row>
    <row r="5263">
      <c r="B5263" s="16"/>
      <c r="L5263" s="23"/>
    </row>
    <row r="5264">
      <c r="B5264" s="16"/>
      <c r="L5264" s="23"/>
    </row>
    <row r="5265">
      <c r="B5265" s="16"/>
      <c r="L5265" s="23"/>
    </row>
    <row r="5266">
      <c r="B5266" s="16"/>
      <c r="L5266" s="23"/>
    </row>
    <row r="5267">
      <c r="B5267" s="16"/>
      <c r="L5267" s="23"/>
    </row>
    <row r="5268">
      <c r="B5268" s="16"/>
      <c r="L5268" s="23"/>
    </row>
    <row r="5269">
      <c r="B5269" s="16"/>
      <c r="L5269" s="23"/>
    </row>
    <row r="5270">
      <c r="B5270" s="16"/>
      <c r="L5270" s="23"/>
    </row>
    <row r="5271">
      <c r="B5271" s="16"/>
      <c r="L5271" s="23"/>
    </row>
    <row r="5272">
      <c r="B5272" s="16"/>
      <c r="L5272" s="23"/>
    </row>
    <row r="5273">
      <c r="B5273" s="16"/>
      <c r="L5273" s="23"/>
    </row>
    <row r="5274">
      <c r="B5274" s="16"/>
      <c r="L5274" s="23"/>
    </row>
    <row r="5275">
      <c r="B5275" s="16"/>
      <c r="L5275" s="23"/>
    </row>
    <row r="5276">
      <c r="B5276" s="16"/>
      <c r="L5276" s="23"/>
      <c r="M5276" s="23"/>
    </row>
    <row r="5277">
      <c r="B5277" s="16"/>
      <c r="L5277" s="23"/>
    </row>
    <row r="5278">
      <c r="B5278" s="16"/>
      <c r="L5278" s="23"/>
      <c r="M5278" s="23"/>
    </row>
    <row r="5279">
      <c r="B5279" s="16"/>
      <c r="L5279" s="23"/>
    </row>
    <row r="5280">
      <c r="B5280" s="16"/>
      <c r="L5280" s="23"/>
    </row>
    <row r="5281">
      <c r="B5281" s="16"/>
      <c r="L5281" s="23"/>
    </row>
    <row r="5282">
      <c r="B5282" s="16"/>
      <c r="L5282" s="23"/>
    </row>
    <row r="5283">
      <c r="B5283" s="16"/>
      <c r="L5283" s="23"/>
    </row>
    <row r="5284">
      <c r="B5284" s="16"/>
      <c r="L5284" s="23"/>
    </row>
    <row r="5285">
      <c r="B5285" s="16"/>
      <c r="L5285" s="23"/>
    </row>
    <row r="5286">
      <c r="B5286" s="16"/>
      <c r="L5286" s="23"/>
    </row>
    <row r="5287">
      <c r="B5287" s="16"/>
      <c r="L5287" s="23"/>
      <c r="M5287" s="23"/>
    </row>
    <row r="5288">
      <c r="B5288" s="16"/>
      <c r="L5288" s="23"/>
      <c r="M5288" s="23"/>
    </row>
    <row r="5289">
      <c r="B5289" s="16"/>
      <c r="L5289" s="23"/>
      <c r="M5289" s="23"/>
    </row>
    <row r="5290">
      <c r="B5290" s="16"/>
      <c r="L5290" s="23"/>
      <c r="M5290" s="23"/>
    </row>
    <row r="5291">
      <c r="B5291" s="16"/>
      <c r="L5291" s="23"/>
    </row>
    <row r="5292">
      <c r="B5292" s="16"/>
      <c r="L5292" s="23"/>
    </row>
    <row r="5293">
      <c r="B5293" s="16"/>
      <c r="L5293" s="23"/>
    </row>
    <row r="5294">
      <c r="B5294" s="16"/>
      <c r="L5294" s="23"/>
    </row>
    <row r="5295">
      <c r="B5295" s="16"/>
      <c r="L5295" s="23"/>
    </row>
    <row r="5296">
      <c r="B5296" s="16"/>
      <c r="L5296" s="23"/>
    </row>
    <row r="5297">
      <c r="B5297" s="16"/>
      <c r="L5297" s="23"/>
      <c r="M5297" s="23"/>
    </row>
    <row r="5298">
      <c r="B5298" s="16"/>
      <c r="L5298" s="23"/>
    </row>
    <row r="5299">
      <c r="B5299" s="16"/>
      <c r="L5299" s="23"/>
      <c r="M5299" s="23"/>
    </row>
    <row r="5300">
      <c r="B5300" s="16"/>
      <c r="L5300" s="23"/>
    </row>
    <row r="5301">
      <c r="B5301" s="16"/>
      <c r="L5301" s="23"/>
    </row>
    <row r="5302">
      <c r="B5302" s="16"/>
      <c r="L5302" s="23"/>
    </row>
    <row r="5303">
      <c r="B5303" s="16"/>
      <c r="L5303" s="23"/>
    </row>
    <row r="5304">
      <c r="B5304" s="16"/>
      <c r="L5304" s="23"/>
    </row>
    <row r="5305">
      <c r="B5305" s="16"/>
      <c r="L5305" s="23"/>
    </row>
    <row r="5306">
      <c r="B5306" s="16"/>
      <c r="L5306" s="23"/>
    </row>
    <row r="5307">
      <c r="B5307" s="16"/>
      <c r="L5307" s="23"/>
    </row>
    <row r="5308">
      <c r="B5308" s="16"/>
      <c r="L5308" s="23"/>
    </row>
    <row r="5309">
      <c r="B5309" s="16"/>
      <c r="L5309" s="23"/>
    </row>
    <row r="5310">
      <c r="B5310" s="16"/>
      <c r="L5310" s="23"/>
    </row>
    <row r="5311">
      <c r="B5311" s="16"/>
      <c r="L5311" s="23"/>
    </row>
    <row r="5312">
      <c r="B5312" s="16"/>
      <c r="L5312" s="23"/>
    </row>
    <row r="5313">
      <c r="B5313" s="16"/>
      <c r="L5313" s="23"/>
      <c r="M5313" s="23"/>
    </row>
    <row r="5314">
      <c r="B5314" s="16"/>
      <c r="L5314" s="23"/>
    </row>
    <row r="5315">
      <c r="B5315" s="16"/>
      <c r="L5315" s="23"/>
    </row>
    <row r="5316">
      <c r="B5316" s="16"/>
      <c r="L5316" s="23"/>
    </row>
    <row r="5317">
      <c r="B5317" s="16"/>
      <c r="L5317" s="23"/>
    </row>
    <row r="5318">
      <c r="B5318" s="16"/>
      <c r="L5318" s="23"/>
    </row>
    <row r="5319">
      <c r="B5319" s="16"/>
      <c r="L5319" s="23"/>
    </row>
    <row r="5320">
      <c r="B5320" s="16"/>
      <c r="L5320" s="23"/>
      <c r="M5320" s="23"/>
    </row>
    <row r="5321">
      <c r="B5321" s="16"/>
      <c r="L5321" s="23"/>
    </row>
    <row r="5322">
      <c r="B5322" s="16"/>
      <c r="L5322" s="23"/>
    </row>
    <row r="5323">
      <c r="B5323" s="16"/>
      <c r="L5323" s="23"/>
      <c r="M5323" s="23"/>
    </row>
    <row r="5324">
      <c r="B5324" s="16"/>
      <c r="L5324" s="23"/>
    </row>
    <row r="5325">
      <c r="B5325" s="16"/>
      <c r="L5325" s="23"/>
    </row>
    <row r="5326">
      <c r="B5326" s="16"/>
      <c r="L5326" s="23"/>
    </row>
    <row r="5327">
      <c r="B5327" s="16"/>
      <c r="L5327" s="23"/>
    </row>
    <row r="5328">
      <c r="B5328" s="16"/>
      <c r="L5328" s="23"/>
    </row>
    <row r="5329">
      <c r="B5329" s="16"/>
      <c r="L5329" s="23"/>
    </row>
    <row r="5330">
      <c r="B5330" s="16"/>
      <c r="L5330" s="23"/>
    </row>
    <row r="5331">
      <c r="B5331" s="16"/>
      <c r="L5331" s="23"/>
    </row>
    <row r="5332">
      <c r="B5332" s="16"/>
      <c r="L5332" s="23"/>
      <c r="M5332" s="23"/>
    </row>
    <row r="5333">
      <c r="B5333" s="16"/>
      <c r="L5333" s="23"/>
    </row>
    <row r="5334">
      <c r="B5334" s="16"/>
      <c r="L5334" s="23"/>
    </row>
    <row r="5335">
      <c r="B5335" s="16"/>
      <c r="L5335" s="23"/>
    </row>
    <row r="5336">
      <c r="B5336" s="16"/>
      <c r="L5336" s="23"/>
      <c r="M5336" s="23"/>
    </row>
    <row r="5337">
      <c r="B5337" s="16"/>
      <c r="L5337" s="23"/>
      <c r="M5337" s="23"/>
    </row>
    <row r="5338">
      <c r="B5338" s="16"/>
      <c r="L5338" s="23"/>
    </row>
    <row r="5339">
      <c r="B5339" s="16"/>
      <c r="L5339" s="23"/>
    </row>
    <row r="5340">
      <c r="B5340" s="16"/>
      <c r="L5340" s="23"/>
    </row>
    <row r="5341">
      <c r="B5341" s="16"/>
      <c r="L5341" s="23"/>
    </row>
    <row r="5342">
      <c r="B5342" s="16"/>
      <c r="L5342" s="23"/>
    </row>
    <row r="5343">
      <c r="B5343" s="16"/>
      <c r="L5343" s="23"/>
    </row>
    <row r="5344">
      <c r="B5344" s="16"/>
      <c r="L5344" s="23"/>
    </row>
    <row r="5345">
      <c r="B5345" s="16"/>
      <c r="L5345" s="23"/>
    </row>
    <row r="5346">
      <c r="B5346" s="16"/>
      <c r="L5346" s="23"/>
      <c r="M5346" s="23"/>
    </row>
    <row r="5347">
      <c r="B5347" s="16"/>
      <c r="L5347" s="23"/>
    </row>
    <row r="5348">
      <c r="B5348" s="16"/>
      <c r="L5348" s="23"/>
    </row>
    <row r="5349">
      <c r="B5349" s="16"/>
      <c r="L5349" s="23"/>
    </row>
    <row r="5350">
      <c r="B5350" s="16"/>
      <c r="L5350" s="23"/>
    </row>
    <row r="5351">
      <c r="B5351" s="16"/>
      <c r="L5351" s="23"/>
    </row>
    <row r="5352">
      <c r="B5352" s="16"/>
      <c r="L5352" s="23"/>
    </row>
    <row r="5353">
      <c r="B5353" s="16"/>
      <c r="L5353" s="23"/>
    </row>
    <row r="5354">
      <c r="B5354" s="16"/>
      <c r="L5354" s="23"/>
    </row>
    <row r="5355">
      <c r="B5355" s="16"/>
      <c r="L5355" s="23"/>
    </row>
    <row r="5356">
      <c r="B5356" s="16"/>
      <c r="L5356" s="23"/>
      <c r="M5356" s="23"/>
    </row>
    <row r="5357">
      <c r="B5357" s="16"/>
      <c r="L5357" s="23"/>
    </row>
    <row r="5358">
      <c r="B5358" s="16"/>
      <c r="L5358" s="23"/>
    </row>
    <row r="5359">
      <c r="B5359" s="16"/>
      <c r="L5359" s="23"/>
      <c r="M5359" s="23"/>
    </row>
    <row r="5360">
      <c r="B5360" s="16"/>
      <c r="L5360" s="23"/>
    </row>
    <row r="5361">
      <c r="B5361" s="16"/>
      <c r="L5361" s="23"/>
    </row>
    <row r="5362">
      <c r="B5362" s="16"/>
      <c r="L5362" s="23"/>
    </row>
    <row r="5363">
      <c r="B5363" s="16"/>
      <c r="L5363" s="23"/>
      <c r="M5363" s="23"/>
    </row>
    <row r="5364">
      <c r="B5364" s="16"/>
      <c r="L5364" s="23"/>
    </row>
    <row r="5365">
      <c r="B5365" s="16"/>
      <c r="L5365" s="23"/>
    </row>
    <row r="5366">
      <c r="B5366" s="16"/>
      <c r="L5366" s="23"/>
      <c r="M5366" s="23"/>
    </row>
    <row r="5367">
      <c r="B5367" s="16"/>
      <c r="L5367" s="23"/>
    </row>
    <row r="5368">
      <c r="B5368" s="16"/>
      <c r="L5368" s="23"/>
    </row>
    <row r="5369">
      <c r="B5369" s="16"/>
      <c r="L5369" s="23"/>
    </row>
    <row r="5370">
      <c r="B5370" s="16"/>
      <c r="L5370" s="23"/>
    </row>
    <row r="5371">
      <c r="B5371" s="16"/>
      <c r="L5371" s="23"/>
      <c r="M5371" s="23"/>
    </row>
    <row r="5372">
      <c r="B5372" s="16"/>
      <c r="L5372" s="23"/>
      <c r="M5372" s="23"/>
    </row>
    <row r="5373">
      <c r="B5373" s="16"/>
      <c r="L5373" s="23"/>
    </row>
    <row r="5374">
      <c r="B5374" s="16"/>
      <c r="L5374" s="23"/>
      <c r="M5374" s="23"/>
    </row>
    <row r="5375">
      <c r="B5375" s="16"/>
      <c r="L5375" s="23"/>
    </row>
    <row r="5376">
      <c r="B5376" s="16"/>
      <c r="L5376" s="23"/>
      <c r="M5376" s="23"/>
    </row>
    <row r="5377">
      <c r="B5377" s="16"/>
      <c r="L5377" s="23"/>
    </row>
    <row r="5378">
      <c r="B5378" s="16"/>
      <c r="L5378" s="23"/>
      <c r="M5378" s="23"/>
    </row>
    <row r="5379">
      <c r="B5379" s="16"/>
      <c r="L5379" s="23"/>
      <c r="M5379" s="23"/>
    </row>
    <row r="5380">
      <c r="B5380" s="16"/>
      <c r="L5380" s="23"/>
      <c r="M5380" s="23"/>
    </row>
    <row r="5381">
      <c r="B5381" s="16"/>
      <c r="L5381" s="23"/>
      <c r="M5381" s="23"/>
    </row>
    <row r="5382">
      <c r="B5382" s="16"/>
      <c r="L5382" s="23"/>
      <c r="M5382" s="23"/>
    </row>
    <row r="5383">
      <c r="B5383" s="16"/>
      <c r="L5383" s="23"/>
      <c r="M5383" s="23"/>
    </row>
    <row r="5384">
      <c r="B5384" s="16"/>
      <c r="L5384" s="23"/>
      <c r="M5384" s="23"/>
    </row>
    <row r="5385">
      <c r="B5385" s="16"/>
      <c r="L5385" s="23"/>
      <c r="M5385" s="23"/>
    </row>
    <row r="5386">
      <c r="B5386" s="16"/>
      <c r="L5386" s="23"/>
      <c r="M5386" s="23"/>
    </row>
    <row r="5387">
      <c r="B5387" s="16"/>
      <c r="L5387" s="23"/>
      <c r="M5387" s="23"/>
    </row>
    <row r="5388">
      <c r="B5388" s="16"/>
      <c r="L5388" s="23"/>
      <c r="M5388" s="23"/>
    </row>
    <row r="5389">
      <c r="B5389" s="16"/>
      <c r="L5389" s="23"/>
      <c r="M5389" s="23"/>
    </row>
    <row r="5390">
      <c r="B5390" s="16"/>
      <c r="L5390" s="23"/>
      <c r="M5390" s="23"/>
    </row>
    <row r="5391">
      <c r="B5391" s="16"/>
      <c r="L5391" s="23"/>
      <c r="M5391" s="23"/>
    </row>
    <row r="5392">
      <c r="B5392" s="16"/>
      <c r="L5392" s="23"/>
      <c r="M5392" s="23"/>
    </row>
    <row r="5393">
      <c r="B5393" s="16"/>
      <c r="L5393" s="23"/>
      <c r="M5393" s="23"/>
    </row>
    <row r="5394">
      <c r="B5394" s="16"/>
      <c r="L5394" s="23"/>
      <c r="M5394" s="23"/>
    </row>
    <row r="5395">
      <c r="B5395" s="16"/>
      <c r="L5395" s="23"/>
      <c r="M5395" s="23"/>
    </row>
    <row r="5396">
      <c r="B5396" s="16"/>
      <c r="L5396" s="23"/>
      <c r="M5396" s="23"/>
    </row>
    <row r="5397">
      <c r="B5397" s="16"/>
      <c r="L5397" s="23"/>
      <c r="M5397" s="23"/>
    </row>
    <row r="5398">
      <c r="B5398" s="16"/>
      <c r="L5398" s="23"/>
      <c r="M5398" s="23"/>
    </row>
    <row r="5399">
      <c r="B5399" s="16"/>
      <c r="L5399" s="23"/>
      <c r="M5399" s="23"/>
    </row>
    <row r="5400">
      <c r="B5400" s="16"/>
      <c r="L5400" s="23"/>
      <c r="M5400" s="23"/>
    </row>
    <row r="5401">
      <c r="B5401" s="16"/>
      <c r="L5401" s="23"/>
      <c r="M5401" s="23"/>
    </row>
    <row r="5402">
      <c r="B5402" s="16"/>
      <c r="L5402" s="23"/>
      <c r="M5402" s="23"/>
    </row>
    <row r="5403">
      <c r="B5403" s="16"/>
      <c r="L5403" s="23"/>
      <c r="M5403" s="23"/>
    </row>
    <row r="5404">
      <c r="B5404" s="16"/>
      <c r="L5404" s="23"/>
      <c r="M5404" s="23"/>
    </row>
    <row r="5405">
      <c r="B5405" s="16"/>
      <c r="L5405" s="23"/>
      <c r="M5405" s="23"/>
    </row>
    <row r="5406">
      <c r="B5406" s="16"/>
      <c r="L5406" s="23"/>
      <c r="M5406" s="23"/>
    </row>
    <row r="5407">
      <c r="B5407" s="16"/>
      <c r="L5407" s="23"/>
      <c r="M5407" s="23"/>
    </row>
    <row r="5408">
      <c r="B5408" s="16"/>
      <c r="L5408" s="23"/>
      <c r="M5408" s="23"/>
    </row>
    <row r="5409">
      <c r="B5409" s="16"/>
      <c r="L5409" s="23"/>
      <c r="M5409" s="23"/>
    </row>
    <row r="5410">
      <c r="B5410" s="16"/>
      <c r="L5410" s="23"/>
      <c r="M5410" s="23"/>
    </row>
    <row r="5411">
      <c r="B5411" s="16"/>
      <c r="L5411" s="23"/>
      <c r="M5411" s="23"/>
    </row>
    <row r="5412">
      <c r="B5412" s="16"/>
      <c r="L5412" s="23"/>
      <c r="M5412" s="23"/>
    </row>
    <row r="5413">
      <c r="B5413" s="16"/>
      <c r="L5413" s="23"/>
      <c r="M5413" s="23"/>
    </row>
    <row r="5414">
      <c r="B5414" s="16"/>
      <c r="L5414" s="23"/>
      <c r="M5414" s="23"/>
    </row>
    <row r="5415">
      <c r="B5415" s="16"/>
      <c r="L5415" s="23"/>
      <c r="M5415" s="23"/>
    </row>
    <row r="5416">
      <c r="B5416" s="16"/>
      <c r="L5416" s="23"/>
      <c r="M5416" s="23"/>
    </row>
    <row r="5417">
      <c r="B5417" s="16"/>
      <c r="L5417" s="23"/>
      <c r="M5417" s="23"/>
    </row>
    <row r="5418">
      <c r="B5418" s="16"/>
      <c r="L5418" s="23"/>
      <c r="M5418" s="23"/>
    </row>
    <row r="5419">
      <c r="B5419" s="16"/>
      <c r="L5419" s="23"/>
      <c r="M5419" s="23"/>
    </row>
    <row r="5420">
      <c r="B5420" s="16"/>
      <c r="L5420" s="23"/>
      <c r="M5420" s="23"/>
    </row>
    <row r="5421">
      <c r="B5421" s="16"/>
      <c r="L5421" s="23"/>
      <c r="M5421" s="23"/>
    </row>
    <row r="5422">
      <c r="B5422" s="16"/>
      <c r="L5422" s="23"/>
      <c r="M5422" s="23"/>
    </row>
    <row r="5423">
      <c r="B5423" s="16"/>
      <c r="L5423" s="23"/>
    </row>
    <row r="5424">
      <c r="B5424" s="16"/>
      <c r="L5424" s="23"/>
      <c r="M5424" s="23"/>
    </row>
    <row r="5425">
      <c r="B5425" s="16"/>
      <c r="L5425" s="23"/>
      <c r="M5425" s="23"/>
    </row>
    <row r="5426">
      <c r="B5426" s="16"/>
      <c r="L5426" s="23"/>
      <c r="M5426" s="23"/>
    </row>
    <row r="5427">
      <c r="B5427" s="16"/>
      <c r="L5427" s="23"/>
      <c r="M5427" s="23"/>
    </row>
    <row r="5428">
      <c r="B5428" s="16"/>
      <c r="L5428" s="23"/>
    </row>
    <row r="5429">
      <c r="B5429" s="16"/>
      <c r="L5429" s="23"/>
      <c r="M5429" s="23"/>
    </row>
    <row r="5430">
      <c r="B5430" s="16"/>
      <c r="L5430" s="23"/>
    </row>
    <row r="5431">
      <c r="B5431" s="16"/>
      <c r="L5431" s="23"/>
    </row>
    <row r="5432">
      <c r="B5432" s="16"/>
      <c r="L5432" s="23"/>
      <c r="M5432" s="23"/>
    </row>
    <row r="5433">
      <c r="B5433" s="16"/>
      <c r="L5433" s="23"/>
    </row>
    <row r="5434">
      <c r="B5434" s="16"/>
      <c r="L5434" s="23"/>
      <c r="M5434" s="23"/>
    </row>
    <row r="5435">
      <c r="B5435" s="16"/>
      <c r="L5435" s="23"/>
      <c r="M5435" s="23"/>
    </row>
    <row r="5436">
      <c r="B5436" s="16"/>
      <c r="L5436" s="23"/>
      <c r="M5436" s="23"/>
    </row>
    <row r="5437">
      <c r="B5437" s="16"/>
      <c r="L5437" s="23"/>
    </row>
    <row r="5438">
      <c r="B5438" s="16"/>
      <c r="L5438" s="23"/>
      <c r="M5438" s="23"/>
    </row>
    <row r="5439">
      <c r="B5439" s="16"/>
      <c r="L5439" s="23"/>
      <c r="M5439" s="23"/>
    </row>
    <row r="5440">
      <c r="B5440" s="16"/>
      <c r="L5440" s="23"/>
      <c r="M5440" s="23"/>
    </row>
    <row r="5441">
      <c r="B5441" s="16"/>
      <c r="L5441" s="23"/>
      <c r="M5441" s="23"/>
    </row>
    <row r="5442">
      <c r="B5442" s="16"/>
      <c r="L5442" s="23"/>
    </row>
    <row r="5443">
      <c r="B5443" s="16"/>
      <c r="L5443" s="23"/>
      <c r="M5443" s="23"/>
    </row>
    <row r="5444">
      <c r="B5444" s="16"/>
      <c r="L5444" s="23"/>
      <c r="M5444" s="23"/>
    </row>
    <row r="5445">
      <c r="B5445" s="16"/>
      <c r="L5445" s="23"/>
    </row>
    <row r="5446">
      <c r="B5446" s="16"/>
      <c r="L5446" s="23"/>
      <c r="M5446" s="23"/>
    </row>
    <row r="5447">
      <c r="B5447" s="16"/>
      <c r="L5447" s="23"/>
      <c r="M5447" s="23"/>
    </row>
    <row r="5448">
      <c r="B5448" s="16"/>
      <c r="L5448" s="23"/>
      <c r="M5448" s="23"/>
    </row>
    <row r="5449">
      <c r="B5449" s="16"/>
      <c r="L5449" s="23"/>
      <c r="M5449" s="23"/>
    </row>
    <row r="5450">
      <c r="B5450" s="16"/>
      <c r="L5450" s="23"/>
      <c r="M5450" s="23"/>
    </row>
    <row r="5451">
      <c r="B5451" s="16"/>
      <c r="L5451" s="23"/>
      <c r="M5451" s="23"/>
    </row>
    <row r="5452">
      <c r="B5452" s="16"/>
      <c r="L5452" s="23"/>
    </row>
    <row r="5453">
      <c r="B5453" s="16"/>
      <c r="L5453" s="23"/>
    </row>
    <row r="5454">
      <c r="B5454" s="16"/>
      <c r="L5454" s="23"/>
    </row>
    <row r="5455">
      <c r="B5455" s="16"/>
      <c r="L5455" s="23"/>
    </row>
    <row r="5456">
      <c r="B5456" s="16"/>
      <c r="L5456" s="23"/>
      <c r="M5456" s="23"/>
    </row>
    <row r="5457">
      <c r="B5457" s="16"/>
      <c r="L5457" s="23"/>
      <c r="M5457" s="23"/>
    </row>
    <row r="5458">
      <c r="B5458" s="16"/>
      <c r="L5458" s="23"/>
      <c r="M5458" s="23"/>
    </row>
    <row r="5459">
      <c r="B5459" s="16"/>
      <c r="L5459" s="23"/>
      <c r="M5459" s="23"/>
    </row>
    <row r="5460">
      <c r="B5460" s="16"/>
      <c r="L5460" s="23"/>
      <c r="M5460" s="23"/>
    </row>
    <row r="5461">
      <c r="B5461" s="16"/>
      <c r="L5461" s="23"/>
      <c r="M5461" s="23"/>
    </row>
    <row r="5462">
      <c r="B5462" s="16"/>
      <c r="L5462" s="23"/>
    </row>
    <row r="5463">
      <c r="B5463" s="16"/>
      <c r="L5463" s="23"/>
      <c r="M5463" s="23"/>
    </row>
    <row r="5464">
      <c r="B5464" s="16"/>
      <c r="L5464" s="23"/>
    </row>
    <row r="5465">
      <c r="B5465" s="16"/>
      <c r="L5465" s="23"/>
      <c r="M5465" s="23"/>
    </row>
    <row r="5466">
      <c r="B5466" s="16"/>
      <c r="L5466" s="23"/>
      <c r="M5466" s="23"/>
    </row>
    <row r="5467">
      <c r="B5467" s="16"/>
      <c r="L5467" s="23"/>
      <c r="M5467" s="23"/>
    </row>
    <row r="5468">
      <c r="B5468" s="16"/>
      <c r="L5468" s="23"/>
      <c r="M5468" s="23"/>
    </row>
    <row r="5469">
      <c r="B5469" s="16"/>
      <c r="L5469" s="23"/>
      <c r="M5469" s="23"/>
    </row>
    <row r="5470">
      <c r="B5470" s="16"/>
      <c r="L5470" s="23"/>
      <c r="M5470" s="23"/>
    </row>
    <row r="5471">
      <c r="B5471" s="16"/>
      <c r="L5471" s="23"/>
    </row>
    <row r="5472">
      <c r="B5472" s="16"/>
      <c r="L5472" s="23"/>
      <c r="M5472" s="23"/>
    </row>
    <row r="5473">
      <c r="B5473" s="16"/>
      <c r="L5473" s="23"/>
      <c r="M5473" s="23"/>
    </row>
    <row r="5474">
      <c r="B5474" s="16"/>
      <c r="L5474" s="23"/>
    </row>
    <row r="5475">
      <c r="B5475" s="16"/>
      <c r="L5475" s="23"/>
    </row>
    <row r="5476">
      <c r="B5476" s="16"/>
      <c r="L5476" s="23"/>
      <c r="M5476" s="23"/>
    </row>
    <row r="5477">
      <c r="B5477" s="16"/>
      <c r="L5477" s="23"/>
    </row>
    <row r="5478">
      <c r="B5478" s="16"/>
      <c r="L5478" s="23"/>
      <c r="M5478" s="23"/>
    </row>
    <row r="5479">
      <c r="B5479" s="16"/>
      <c r="L5479" s="23"/>
    </row>
    <row r="5480">
      <c r="B5480" s="16"/>
      <c r="L5480" s="23"/>
      <c r="M5480" s="23"/>
    </row>
    <row r="5481">
      <c r="B5481" s="16"/>
      <c r="L5481" s="23"/>
      <c r="M5481" s="23"/>
    </row>
    <row r="5482">
      <c r="B5482" s="16"/>
      <c r="L5482" s="23"/>
    </row>
    <row r="5483">
      <c r="B5483" s="16"/>
      <c r="L5483" s="23"/>
      <c r="M5483" s="23"/>
    </row>
    <row r="5484">
      <c r="B5484" s="16"/>
      <c r="L5484" s="23"/>
    </row>
    <row r="5485">
      <c r="B5485" s="16"/>
      <c r="L5485" s="23"/>
    </row>
    <row r="5486">
      <c r="B5486" s="16"/>
      <c r="L5486" s="23"/>
      <c r="M5486" s="23"/>
    </row>
    <row r="5487">
      <c r="B5487" s="16"/>
      <c r="L5487" s="23"/>
      <c r="M5487" s="23"/>
    </row>
    <row r="5488">
      <c r="B5488" s="16"/>
      <c r="L5488" s="23"/>
      <c r="M5488" s="23"/>
    </row>
    <row r="5489">
      <c r="B5489" s="16"/>
      <c r="L5489" s="23"/>
      <c r="M5489" s="23"/>
    </row>
    <row r="5490">
      <c r="B5490" s="16"/>
      <c r="L5490" s="23"/>
      <c r="M5490" s="23"/>
    </row>
    <row r="5491">
      <c r="B5491" s="16"/>
      <c r="L5491" s="23"/>
      <c r="M5491" s="23"/>
    </row>
    <row r="5492">
      <c r="B5492" s="16"/>
      <c r="L5492" s="23"/>
      <c r="M5492" s="23"/>
    </row>
    <row r="5493">
      <c r="B5493" s="16"/>
      <c r="L5493" s="23"/>
      <c r="M5493" s="23"/>
    </row>
    <row r="5494">
      <c r="B5494" s="16"/>
      <c r="L5494" s="23"/>
      <c r="M5494" s="23"/>
    </row>
    <row r="5495">
      <c r="B5495" s="16"/>
      <c r="L5495" s="23"/>
    </row>
    <row r="5496">
      <c r="B5496" s="16"/>
      <c r="L5496" s="23"/>
      <c r="M5496" s="23"/>
    </row>
    <row r="5497">
      <c r="B5497" s="16"/>
      <c r="L5497" s="23"/>
      <c r="M5497" s="23"/>
    </row>
  </sheetData>
  <autoFilter ref="$A$1:$Y$787"/>
  <conditionalFormatting sqref="B1 L1:L196 B197:B787">
    <cfRule type="cellIs" dxfId="0" priority="1" stopIfTrue="1" operator="between">
      <formula>51</formula>
      <formula>1000</formula>
    </cfRule>
  </conditionalFormatting>
  <conditionalFormatting sqref="B1 L1:L196 B197:B787">
    <cfRule type="cellIs" dxfId="1" priority="2" stopIfTrue="1" operator="between">
      <formula>21</formula>
      <formula>50</formula>
    </cfRule>
  </conditionalFormatting>
  <conditionalFormatting sqref="B1 L1:L196 B197:B787">
    <cfRule type="cellIs" dxfId="2" priority="3" stopIfTrue="1" operator="between">
      <formula>0</formula>
      <formula>20</formula>
    </cfRule>
  </conditionalFormatting>
  <hyperlinks>
    <hyperlink r:id="rId1" ref="A2"/>
    <hyperlink r:id="rId2" ref="A3"/>
    <hyperlink r:id="rId3" ref="A4"/>
    <hyperlink r:id="rId4" ref="A6"/>
    <hyperlink r:id="rId5" ref="A24"/>
    <hyperlink r:id="rId6" ref="A29"/>
    <hyperlink r:id="rId7" ref="A31"/>
    <hyperlink r:id="rId8" ref="A33"/>
    <hyperlink r:id="rId9" ref="A34"/>
    <hyperlink r:id="rId10" ref="A35"/>
    <hyperlink r:id="rId11" ref="A36"/>
    <hyperlink r:id="rId12" ref="A38"/>
    <hyperlink r:id="rId13" ref="A40"/>
    <hyperlink r:id="rId14" ref="A41"/>
    <hyperlink r:id="rId15" ref="A42"/>
    <hyperlink r:id="rId16" ref="A43"/>
    <hyperlink r:id="rId17" ref="A44"/>
    <hyperlink r:id="rId18" ref="A45"/>
    <hyperlink r:id="rId19" ref="A46"/>
    <hyperlink r:id="rId20" ref="A47"/>
    <hyperlink r:id="rId21" ref="A48"/>
    <hyperlink r:id="rId22" ref="A49"/>
    <hyperlink r:id="rId23" ref="A50"/>
    <hyperlink r:id="rId24" ref="A51"/>
    <hyperlink r:id="rId25" ref="A52"/>
    <hyperlink r:id="rId26" ref="A53"/>
    <hyperlink r:id="rId27" ref="A54"/>
    <hyperlink r:id="rId28" ref="A55"/>
    <hyperlink r:id="rId29" ref="A56"/>
    <hyperlink r:id="rId30" ref="A57"/>
    <hyperlink r:id="rId31" ref="A73"/>
    <hyperlink r:id="rId32" ref="A118"/>
  </hyperlinks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13"/>
    <col customWidth="1" min="2" max="2" width="12.25"/>
    <col customWidth="1" min="3" max="3" width="20.88"/>
    <col customWidth="1" min="4" max="4" width="23.13"/>
    <col customWidth="1" min="5" max="5" width="19.0"/>
    <col customWidth="1" min="6" max="6" width="11.88"/>
    <col customWidth="1" min="7" max="7" width="16.63"/>
    <col customWidth="1" min="8" max="8" width="15.75"/>
    <col customWidth="1" min="9" max="9" width="18.13"/>
    <col customWidth="1" min="10" max="10" width="16.25"/>
    <col customWidth="1" min="11" max="11" width="15.13"/>
  </cols>
  <sheetData>
    <row r="1" ht="15.75" customHeight="1">
      <c r="A1" s="3" t="s">
        <v>0</v>
      </c>
      <c r="B1" s="1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21</v>
      </c>
      <c r="J1" s="3" t="s">
        <v>22</v>
      </c>
      <c r="K1" s="7" t="s">
        <v>9</v>
      </c>
      <c r="L1" s="7" t="s">
        <v>10</v>
      </c>
      <c r="M1" s="9" t="s">
        <v>11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15" t="s">
        <v>24</v>
      </c>
      <c r="B2" s="17" t="b">
        <v>0</v>
      </c>
      <c r="C2" s="18">
        <v>93.0</v>
      </c>
      <c r="D2" s="18">
        <v>193230.0</v>
      </c>
      <c r="E2" s="18">
        <v>9960.0</v>
      </c>
      <c r="F2" s="18">
        <v>3593412.0</v>
      </c>
      <c r="G2" s="20">
        <v>741789.0</v>
      </c>
      <c r="H2" s="20">
        <v>1.0</v>
      </c>
      <c r="I2" s="20">
        <v>0.0</v>
      </c>
      <c r="J2" s="20">
        <v>0.0</v>
      </c>
      <c r="K2" s="18">
        <v>0.0</v>
      </c>
      <c r="L2" s="22">
        <v>45935.9971875</v>
      </c>
      <c r="M2" s="22"/>
    </row>
    <row r="3" ht="15.75" customHeight="1">
      <c r="A3" s="15" t="s">
        <v>23</v>
      </c>
      <c r="B3" s="17" t="b">
        <v>0</v>
      </c>
      <c r="C3" s="18">
        <v>77.0</v>
      </c>
      <c r="D3" s="18">
        <v>10024.0</v>
      </c>
      <c r="E3" s="18">
        <v>501.0</v>
      </c>
      <c r="F3" s="18">
        <v>21143.0</v>
      </c>
      <c r="G3" s="20">
        <v>14707.0</v>
      </c>
      <c r="H3" s="20">
        <v>1.0</v>
      </c>
      <c r="I3" s="20">
        <v>1.0</v>
      </c>
      <c r="J3" s="20">
        <v>0.0</v>
      </c>
      <c r="K3" s="18">
        <v>0.0</v>
      </c>
      <c r="L3" s="22">
        <v>46226.39560185185</v>
      </c>
      <c r="M3" s="22"/>
    </row>
    <row r="4" ht="15.75" customHeight="1">
      <c r="A4" s="15" t="s">
        <v>30</v>
      </c>
      <c r="B4" s="17" t="b">
        <v>0</v>
      </c>
      <c r="C4" s="18">
        <v>76.0</v>
      </c>
      <c r="D4" s="18">
        <v>13594.0</v>
      </c>
      <c r="E4" s="18">
        <v>820541.0</v>
      </c>
      <c r="F4" s="18">
        <v>98474.0</v>
      </c>
      <c r="G4" s="20">
        <v>73166.0</v>
      </c>
      <c r="H4" s="20">
        <v>1.0</v>
      </c>
      <c r="I4" s="20">
        <v>1.0</v>
      </c>
      <c r="J4" s="20">
        <v>0.0</v>
      </c>
      <c r="K4" s="18">
        <v>1.0</v>
      </c>
      <c r="L4" s="22">
        <v>46191.93984953704</v>
      </c>
      <c r="M4" s="18"/>
    </row>
    <row r="5" ht="15.75" customHeight="1">
      <c r="A5" s="18" t="s">
        <v>32</v>
      </c>
      <c r="B5" s="17" t="b">
        <v>1</v>
      </c>
      <c r="C5" s="18">
        <v>74.0</v>
      </c>
      <c r="D5" s="18">
        <v>165.0</v>
      </c>
      <c r="E5" s="18">
        <v>998.0</v>
      </c>
      <c r="F5" s="18">
        <v>0.0</v>
      </c>
      <c r="G5" s="20">
        <v>0.0</v>
      </c>
      <c r="H5" s="20">
        <v>1.0</v>
      </c>
      <c r="I5" s="20">
        <v>1.0</v>
      </c>
      <c r="J5" s="20">
        <v>0.0</v>
      </c>
      <c r="K5" s="18">
        <v>0.0</v>
      </c>
      <c r="L5" s="22">
        <v>46136.745983796296</v>
      </c>
      <c r="M5" s="18"/>
    </row>
    <row r="6" ht="15.75" customHeight="1">
      <c r="A6" s="15" t="s">
        <v>34</v>
      </c>
      <c r="B6" s="17" t="b">
        <v>1</v>
      </c>
      <c r="C6" s="18">
        <v>74.0</v>
      </c>
      <c r="D6" s="18">
        <v>5194.0</v>
      </c>
      <c r="E6" s="18">
        <v>4.1279165E7</v>
      </c>
      <c r="F6" s="18">
        <v>0.0</v>
      </c>
      <c r="G6" s="20">
        <v>0.0</v>
      </c>
      <c r="H6" s="20">
        <v>1.0</v>
      </c>
      <c r="I6" s="20">
        <v>1.0</v>
      </c>
      <c r="J6" s="20">
        <v>0.0</v>
      </c>
      <c r="K6" s="18">
        <v>0.0</v>
      </c>
      <c r="L6" s="22">
        <v>46156.271319444444</v>
      </c>
      <c r="M6" s="18"/>
    </row>
    <row r="7" ht="15.75" customHeight="1">
      <c r="A7" s="18" t="s">
        <v>37</v>
      </c>
      <c r="B7" s="17" t="b">
        <v>1</v>
      </c>
      <c r="C7" s="18">
        <v>71.0</v>
      </c>
      <c r="D7" s="18">
        <v>423.0</v>
      </c>
      <c r="E7" s="18">
        <v>998.0</v>
      </c>
      <c r="F7" s="18">
        <v>0.0</v>
      </c>
      <c r="G7" s="20">
        <v>0.0</v>
      </c>
      <c r="H7" s="20">
        <v>1.0</v>
      </c>
      <c r="I7" s="20">
        <v>1.0</v>
      </c>
      <c r="J7" s="20">
        <v>0.0</v>
      </c>
      <c r="K7" s="18">
        <v>0.0</v>
      </c>
      <c r="L7" s="22">
        <v>46108.467997685184</v>
      </c>
      <c r="M7" s="18"/>
    </row>
    <row r="8" ht="15.75" customHeight="1">
      <c r="A8" s="15" t="s">
        <v>46</v>
      </c>
      <c r="B8" s="17" t="b">
        <v>1</v>
      </c>
      <c r="C8" s="18">
        <v>66.0</v>
      </c>
      <c r="D8" s="18">
        <v>1303.0</v>
      </c>
      <c r="E8" s="18">
        <v>6.0</v>
      </c>
      <c r="F8" s="18">
        <v>0.0</v>
      </c>
      <c r="G8" s="20">
        <v>0.0</v>
      </c>
      <c r="H8" s="20">
        <v>1.0</v>
      </c>
      <c r="I8" s="20">
        <v>1.0</v>
      </c>
      <c r="J8" s="20">
        <v>1.0</v>
      </c>
      <c r="K8" s="18">
        <v>0.0</v>
      </c>
      <c r="L8" s="22">
        <v>46115.93960648148</v>
      </c>
      <c r="M8" s="22">
        <v>46121.3537037037</v>
      </c>
    </row>
    <row r="9" ht="15.75" customHeight="1">
      <c r="A9" s="18" t="s">
        <v>38</v>
      </c>
      <c r="B9" s="17" t="b">
        <v>1</v>
      </c>
      <c r="C9" s="18">
        <v>61.0</v>
      </c>
      <c r="D9" s="18">
        <v>553.0</v>
      </c>
      <c r="E9" s="18">
        <v>0.0</v>
      </c>
      <c r="F9" s="18">
        <v>0.0</v>
      </c>
      <c r="G9" s="18">
        <v>0.0</v>
      </c>
      <c r="H9" s="20">
        <v>1.0</v>
      </c>
      <c r="I9" s="20">
        <v>0.0</v>
      </c>
      <c r="J9" s="20">
        <v>0.0</v>
      </c>
      <c r="K9" s="20">
        <v>0.0</v>
      </c>
      <c r="L9" s="22">
        <v>45947.860972222225</v>
      </c>
      <c r="M9" s="22"/>
    </row>
    <row r="10" ht="15.75" customHeight="1">
      <c r="A10" s="18" t="s">
        <v>41</v>
      </c>
      <c r="B10" s="17" t="b">
        <v>1</v>
      </c>
      <c r="C10" s="18">
        <v>60.0</v>
      </c>
      <c r="D10" s="18">
        <v>145.0</v>
      </c>
      <c r="E10" s="18">
        <v>998.0</v>
      </c>
      <c r="F10" s="18">
        <v>0.0</v>
      </c>
      <c r="G10" s="18">
        <v>0.0</v>
      </c>
      <c r="H10" s="20">
        <v>1.0</v>
      </c>
      <c r="I10" s="20">
        <v>1.0</v>
      </c>
      <c r="J10" s="20">
        <v>0.0</v>
      </c>
      <c r="K10" s="20">
        <v>0.0</v>
      </c>
      <c r="L10" s="22">
        <v>46145.95621527778</v>
      </c>
      <c r="M10" s="18"/>
    </row>
    <row r="11" ht="15.75" customHeight="1">
      <c r="A11" s="18" t="s">
        <v>43</v>
      </c>
      <c r="B11" s="17" t="b">
        <v>1</v>
      </c>
      <c r="C11" s="18">
        <v>54.0</v>
      </c>
      <c r="D11" s="18">
        <v>166.0</v>
      </c>
      <c r="E11" s="18">
        <v>998.0</v>
      </c>
      <c r="F11" s="18">
        <v>0.0</v>
      </c>
      <c r="G11" s="18">
        <v>0.0</v>
      </c>
      <c r="H11" s="20">
        <v>1.0</v>
      </c>
      <c r="I11" s="20">
        <v>1.0</v>
      </c>
      <c r="J11" s="20">
        <v>0.0</v>
      </c>
      <c r="K11" s="20">
        <v>0.0</v>
      </c>
      <c r="L11" s="22">
        <v>46149.883055555554</v>
      </c>
      <c r="M11" s="22"/>
    </row>
    <row r="12" ht="15.75" customHeight="1">
      <c r="A12" s="18" t="s">
        <v>45</v>
      </c>
      <c r="B12" s="17" t="b">
        <v>1</v>
      </c>
      <c r="C12" s="18">
        <v>54.0</v>
      </c>
      <c r="D12" s="18">
        <v>119.0</v>
      </c>
      <c r="E12" s="18">
        <v>998.0</v>
      </c>
      <c r="F12" s="18">
        <v>0.0</v>
      </c>
      <c r="G12" s="18">
        <v>0.0</v>
      </c>
      <c r="H12" s="20">
        <v>1.0</v>
      </c>
      <c r="I12" s="20">
        <v>1.0</v>
      </c>
      <c r="J12" s="20">
        <v>0.0</v>
      </c>
      <c r="K12" s="20">
        <v>0.0</v>
      </c>
      <c r="L12" s="22">
        <v>46146.089166666665</v>
      </c>
      <c r="M12" s="18"/>
    </row>
    <row r="13" ht="15.75" customHeight="1">
      <c r="A13" s="18" t="s">
        <v>47</v>
      </c>
      <c r="B13" s="17" t="b">
        <v>1</v>
      </c>
      <c r="C13" s="18">
        <v>54.0</v>
      </c>
      <c r="D13" s="18">
        <v>115.0</v>
      </c>
      <c r="E13" s="18">
        <v>2.0</v>
      </c>
      <c r="F13" s="18">
        <v>0.0</v>
      </c>
      <c r="G13" s="18">
        <v>0.0</v>
      </c>
      <c r="H13" s="20">
        <v>1.0</v>
      </c>
      <c r="I13" s="20">
        <v>1.0</v>
      </c>
      <c r="J13" s="20">
        <v>0.0</v>
      </c>
      <c r="K13" s="20">
        <v>0.0</v>
      </c>
      <c r="L13" s="22">
        <v>46148.83530092592</v>
      </c>
      <c r="M13" s="18"/>
    </row>
    <row r="14" ht="15.75" customHeight="1">
      <c r="A14" s="18" t="s">
        <v>49</v>
      </c>
      <c r="B14" s="17" t="b">
        <v>1</v>
      </c>
      <c r="C14" s="18">
        <v>54.0</v>
      </c>
      <c r="D14" s="18">
        <v>107.0</v>
      </c>
      <c r="E14" s="18">
        <v>2.0</v>
      </c>
      <c r="F14" s="18">
        <v>0.0</v>
      </c>
      <c r="G14" s="18">
        <v>0.0</v>
      </c>
      <c r="H14" s="20">
        <v>1.0</v>
      </c>
      <c r="I14" s="20">
        <v>1.0</v>
      </c>
      <c r="J14" s="20">
        <v>0.0</v>
      </c>
      <c r="K14" s="20">
        <v>0.0</v>
      </c>
      <c r="L14" s="22">
        <v>46195.998715277776</v>
      </c>
      <c r="M14" s="18"/>
    </row>
    <row r="15" ht="15.75" customHeight="1">
      <c r="A15" s="18" t="s">
        <v>51</v>
      </c>
      <c r="B15" s="17" t="b">
        <v>1</v>
      </c>
      <c r="C15" s="18">
        <v>54.0</v>
      </c>
      <c r="D15" s="18">
        <v>136.0</v>
      </c>
      <c r="E15" s="18">
        <v>998.0</v>
      </c>
      <c r="F15" s="18">
        <v>0.0</v>
      </c>
      <c r="G15" s="18">
        <v>0.0</v>
      </c>
      <c r="H15" s="20">
        <v>1.0</v>
      </c>
      <c r="I15" s="20">
        <v>1.0</v>
      </c>
      <c r="J15" s="20">
        <v>0.0</v>
      </c>
      <c r="K15" s="20">
        <v>0.0</v>
      </c>
      <c r="L15" s="22">
        <v>46152.204305555555</v>
      </c>
      <c r="M15" s="18"/>
    </row>
    <row r="16" ht="15.75" customHeight="1">
      <c r="A16" s="18" t="s">
        <v>52</v>
      </c>
      <c r="B16" s="17" t="b">
        <v>1</v>
      </c>
      <c r="C16" s="18">
        <v>53.0</v>
      </c>
      <c r="D16" s="18">
        <v>246.0</v>
      </c>
      <c r="E16" s="18">
        <v>998.0</v>
      </c>
      <c r="F16" s="18">
        <v>0.0</v>
      </c>
      <c r="G16" s="18">
        <v>0.0</v>
      </c>
      <c r="H16" s="20">
        <v>1.0</v>
      </c>
      <c r="I16" s="20">
        <v>1.0</v>
      </c>
      <c r="J16" s="20">
        <v>0.0</v>
      </c>
      <c r="K16" s="20">
        <v>0.0</v>
      </c>
      <c r="L16" s="22">
        <v>46149.681122685186</v>
      </c>
      <c r="M16" s="18"/>
    </row>
    <row r="17" ht="15.75" customHeight="1">
      <c r="A17" s="18" t="s">
        <v>54</v>
      </c>
      <c r="B17" s="17" t="b">
        <v>1</v>
      </c>
      <c r="C17" s="18">
        <v>53.0</v>
      </c>
      <c r="D17" s="18">
        <v>153.0</v>
      </c>
      <c r="E17" s="18">
        <v>999.0</v>
      </c>
      <c r="F17" s="18">
        <v>0.0</v>
      </c>
      <c r="G17" s="18">
        <v>0.0</v>
      </c>
      <c r="H17" s="20">
        <v>1.0</v>
      </c>
      <c r="I17" s="20">
        <v>1.0</v>
      </c>
      <c r="J17" s="20">
        <v>0.0</v>
      </c>
      <c r="K17" s="20">
        <v>0.0</v>
      </c>
      <c r="L17" s="22">
        <v>46152.73978009259</v>
      </c>
      <c r="M17" s="18"/>
    </row>
    <row r="18" ht="15.75" customHeight="1">
      <c r="A18" s="18" t="s">
        <v>56</v>
      </c>
      <c r="B18" s="17" t="b">
        <v>1</v>
      </c>
      <c r="C18" s="18">
        <v>53.0</v>
      </c>
      <c r="D18" s="18">
        <v>213.0</v>
      </c>
      <c r="E18" s="18">
        <v>998.0</v>
      </c>
      <c r="F18" s="18">
        <v>0.0</v>
      </c>
      <c r="G18" s="18">
        <v>0.0</v>
      </c>
      <c r="H18" s="20">
        <v>1.0</v>
      </c>
      <c r="I18" s="20">
        <v>1.0</v>
      </c>
      <c r="J18" s="20">
        <v>0.0</v>
      </c>
      <c r="K18" s="20">
        <v>0.0</v>
      </c>
      <c r="L18" s="22">
        <v>46151.28065972222</v>
      </c>
      <c r="M18" s="18"/>
    </row>
    <row r="19" ht="15.75" customHeight="1">
      <c r="A19" s="18" t="s">
        <v>57</v>
      </c>
      <c r="B19" s="17" t="b">
        <v>1</v>
      </c>
      <c r="C19" s="18">
        <v>53.0</v>
      </c>
      <c r="D19" s="18">
        <v>143.0</v>
      </c>
      <c r="E19" s="18">
        <v>998.0</v>
      </c>
      <c r="F19" s="18">
        <v>0.0</v>
      </c>
      <c r="G19" s="18">
        <v>0.0</v>
      </c>
      <c r="H19" s="20">
        <v>1.0</v>
      </c>
      <c r="I19" s="20">
        <v>1.0</v>
      </c>
      <c r="J19" s="20">
        <v>0.0</v>
      </c>
      <c r="K19" s="20">
        <v>0.0</v>
      </c>
      <c r="L19" s="22">
        <v>46158.63483796296</v>
      </c>
      <c r="M19" s="22"/>
    </row>
    <row r="20" ht="15.75" customHeight="1">
      <c r="A20" s="18" t="s">
        <v>59</v>
      </c>
      <c r="B20" s="17" t="b">
        <v>1</v>
      </c>
      <c r="C20" s="18">
        <v>53.0</v>
      </c>
      <c r="D20" s="18">
        <v>138.0</v>
      </c>
      <c r="E20" s="18">
        <v>998.0</v>
      </c>
      <c r="F20" s="18">
        <v>0.0</v>
      </c>
      <c r="G20" s="18">
        <v>0.0</v>
      </c>
      <c r="H20" s="20">
        <v>1.0</v>
      </c>
      <c r="I20" s="20">
        <v>1.0</v>
      </c>
      <c r="J20" s="20">
        <v>0.0</v>
      </c>
      <c r="K20" s="20">
        <v>0.0</v>
      </c>
      <c r="L20" s="22">
        <v>46153.72971064815</v>
      </c>
      <c r="M20" s="18"/>
    </row>
    <row r="21" ht="15.75" customHeight="1">
      <c r="A21" s="18" t="s">
        <v>60</v>
      </c>
      <c r="B21" s="17" t="b">
        <v>1</v>
      </c>
      <c r="C21" s="18">
        <v>53.0</v>
      </c>
      <c r="D21" s="18">
        <v>137.0</v>
      </c>
      <c r="E21" s="18">
        <v>998.0</v>
      </c>
      <c r="F21" s="18">
        <v>0.0</v>
      </c>
      <c r="G21" s="18">
        <v>0.0</v>
      </c>
      <c r="H21" s="20">
        <v>1.0</v>
      </c>
      <c r="I21" s="20">
        <v>1.0</v>
      </c>
      <c r="J21" s="20">
        <v>0.0</v>
      </c>
      <c r="K21" s="20">
        <v>0.0</v>
      </c>
      <c r="L21" s="22">
        <v>46153.01561342592</v>
      </c>
      <c r="M21" s="22"/>
    </row>
    <row r="22" ht="15.75" customHeight="1">
      <c r="A22" s="18" t="s">
        <v>62</v>
      </c>
      <c r="B22" s="17" t="b">
        <v>1</v>
      </c>
      <c r="C22" s="18">
        <v>53.0</v>
      </c>
      <c r="D22" s="18">
        <v>134.0</v>
      </c>
      <c r="E22" s="18">
        <v>998.0</v>
      </c>
      <c r="F22" s="18">
        <v>0.0</v>
      </c>
      <c r="G22" s="18">
        <v>0.0</v>
      </c>
      <c r="H22" s="20">
        <v>1.0</v>
      </c>
      <c r="I22" s="20">
        <v>1.0</v>
      </c>
      <c r="J22" s="20">
        <v>0.0</v>
      </c>
      <c r="K22" s="20">
        <v>0.0</v>
      </c>
      <c r="L22" s="22">
        <v>46153.7421412037</v>
      </c>
      <c r="M22" s="18"/>
    </row>
    <row r="23" ht="15.75" customHeight="1">
      <c r="A23" s="15" t="s">
        <v>86</v>
      </c>
      <c r="B23" s="17" t="b">
        <v>1</v>
      </c>
      <c r="C23" s="18">
        <v>50.0</v>
      </c>
      <c r="D23" s="18">
        <v>1762.0</v>
      </c>
      <c r="E23" s="18">
        <v>0.0</v>
      </c>
      <c r="F23" s="18">
        <v>0.0</v>
      </c>
      <c r="G23" s="18">
        <v>0.0</v>
      </c>
      <c r="H23" s="20">
        <v>1.0</v>
      </c>
      <c r="I23" s="20">
        <v>0.0</v>
      </c>
      <c r="J23" s="20">
        <v>1.0</v>
      </c>
      <c r="K23" s="20">
        <v>0.0</v>
      </c>
      <c r="L23" s="22">
        <v>45715.483449074076</v>
      </c>
      <c r="M23" s="22">
        <v>46110.167175925926</v>
      </c>
    </row>
    <row r="24" ht="15.75" customHeight="1">
      <c r="A24" s="18" t="s">
        <v>93</v>
      </c>
      <c r="B24" s="17" t="b">
        <v>0</v>
      </c>
      <c r="C24" s="18">
        <v>49.0</v>
      </c>
      <c r="D24" s="18">
        <v>871.0</v>
      </c>
      <c r="E24" s="18">
        <v>18.0</v>
      </c>
      <c r="F24" s="18">
        <v>33.0</v>
      </c>
      <c r="G24" s="18">
        <v>3.0</v>
      </c>
      <c r="H24" s="20">
        <v>1.0</v>
      </c>
      <c r="I24" s="20">
        <v>0.0</v>
      </c>
      <c r="J24" s="20">
        <v>1.0</v>
      </c>
      <c r="K24" s="20">
        <v>0.0</v>
      </c>
      <c r="L24" s="22">
        <v>46033.8446412037</v>
      </c>
      <c r="M24" s="22">
        <v>46072.77741898148</v>
      </c>
    </row>
    <row r="25" ht="15.75" customHeight="1">
      <c r="A25" s="18" t="s">
        <v>94</v>
      </c>
      <c r="B25" s="17" t="b">
        <v>0</v>
      </c>
      <c r="C25" s="18">
        <v>49.0</v>
      </c>
      <c r="D25" s="18">
        <v>478.0</v>
      </c>
      <c r="E25" s="18">
        <v>18.0</v>
      </c>
      <c r="F25" s="18">
        <v>0.0</v>
      </c>
      <c r="G25" s="18">
        <v>0.0</v>
      </c>
      <c r="H25" s="20">
        <v>1.0</v>
      </c>
      <c r="I25" s="20">
        <v>1.0</v>
      </c>
      <c r="J25" s="20">
        <v>1.0</v>
      </c>
      <c r="K25" s="20">
        <v>0.0</v>
      </c>
      <c r="L25" s="22">
        <v>46068.941724537035</v>
      </c>
      <c r="M25" s="22">
        <v>46133.174050925925</v>
      </c>
    </row>
    <row r="26" ht="15.75" customHeight="1">
      <c r="A26" s="18" t="s">
        <v>98</v>
      </c>
      <c r="B26" s="17" t="b">
        <v>1</v>
      </c>
      <c r="C26" s="18">
        <v>47.0</v>
      </c>
      <c r="D26" s="18">
        <v>159.0</v>
      </c>
      <c r="E26" s="18">
        <v>0.0</v>
      </c>
      <c r="F26" s="18">
        <v>0.0</v>
      </c>
      <c r="G26" s="18">
        <v>0.0</v>
      </c>
      <c r="H26" s="20">
        <v>1.0</v>
      </c>
      <c r="I26" s="20">
        <v>0.0</v>
      </c>
      <c r="J26" s="20">
        <v>1.0</v>
      </c>
      <c r="K26" s="20">
        <v>1.0</v>
      </c>
      <c r="L26" s="22">
        <v>45860.376851851855</v>
      </c>
      <c r="M26" s="22">
        <v>46105.945555555554</v>
      </c>
    </row>
    <row r="27" ht="15.75" customHeight="1">
      <c r="A27" s="18" t="s">
        <v>64</v>
      </c>
      <c r="B27" s="17" t="b">
        <v>1</v>
      </c>
      <c r="C27" s="18">
        <v>47.0</v>
      </c>
      <c r="D27" s="18">
        <v>78.0</v>
      </c>
      <c r="E27" s="18">
        <v>0.0</v>
      </c>
      <c r="F27" s="18">
        <v>0.0</v>
      </c>
      <c r="G27" s="18">
        <v>0.0</v>
      </c>
      <c r="H27" s="20">
        <v>2.0</v>
      </c>
      <c r="I27" s="20">
        <v>2.0</v>
      </c>
      <c r="J27" s="20">
        <v>1.0</v>
      </c>
      <c r="K27" s="20">
        <v>0.0</v>
      </c>
      <c r="L27" s="22">
        <v>46189.377534722225</v>
      </c>
      <c r="M27" s="18"/>
    </row>
    <row r="28" ht="15.75" customHeight="1">
      <c r="A28" s="15" t="s">
        <v>101</v>
      </c>
      <c r="B28" s="17" t="b">
        <v>1</v>
      </c>
      <c r="C28" s="18">
        <v>46.0</v>
      </c>
      <c r="D28" s="18">
        <v>1482.0</v>
      </c>
      <c r="E28" s="18">
        <v>5.0</v>
      </c>
      <c r="F28" s="18">
        <v>0.0</v>
      </c>
      <c r="G28" s="18">
        <v>0.0</v>
      </c>
      <c r="H28" s="20">
        <v>1.0</v>
      </c>
      <c r="I28" s="20">
        <v>0.0</v>
      </c>
      <c r="J28" s="20">
        <v>1.0</v>
      </c>
      <c r="K28" s="20">
        <v>1.0</v>
      </c>
      <c r="L28" s="22">
        <v>46034.46574074074</v>
      </c>
      <c r="M28" s="22">
        <v>46094.986805555556</v>
      </c>
    </row>
    <row r="29" ht="15.75" customHeight="1">
      <c r="A29" s="18" t="s">
        <v>65</v>
      </c>
      <c r="B29" s="17" t="b">
        <v>0</v>
      </c>
      <c r="C29" s="18">
        <v>45.0</v>
      </c>
      <c r="D29" s="18">
        <v>192.0</v>
      </c>
      <c r="E29" s="18">
        <v>18.0</v>
      </c>
      <c r="F29" s="18">
        <v>0.0</v>
      </c>
      <c r="G29" s="18">
        <v>0.0</v>
      </c>
      <c r="H29" s="20">
        <v>1.0</v>
      </c>
      <c r="I29" s="20">
        <v>1.0</v>
      </c>
      <c r="J29" s="20">
        <v>0.0</v>
      </c>
      <c r="K29" s="20">
        <v>0.0</v>
      </c>
      <c r="L29" s="22">
        <v>46075.16900462963</v>
      </c>
      <c r="M29" s="22"/>
    </row>
    <row r="30" ht="15.75" customHeight="1">
      <c r="A30" s="18" t="s">
        <v>106</v>
      </c>
      <c r="B30" s="17" t="b">
        <v>1</v>
      </c>
      <c r="C30" s="18">
        <v>44.0</v>
      </c>
      <c r="D30" s="18">
        <v>1189.0</v>
      </c>
      <c r="E30" s="18">
        <v>9200.0</v>
      </c>
      <c r="F30" s="18">
        <v>0.0</v>
      </c>
      <c r="G30" s="18">
        <v>0.0</v>
      </c>
      <c r="H30" s="20">
        <v>1.0</v>
      </c>
      <c r="I30" s="20">
        <v>0.0</v>
      </c>
      <c r="J30" s="20">
        <v>1.0</v>
      </c>
      <c r="K30" s="20">
        <v>1.0</v>
      </c>
      <c r="L30" s="22">
        <v>46012.12881944444</v>
      </c>
      <c r="M30" s="22">
        <v>46100.070752314816</v>
      </c>
    </row>
    <row r="31" ht="15.75" customHeight="1">
      <c r="A31" s="15" t="s">
        <v>67</v>
      </c>
      <c r="B31" s="17" t="b">
        <v>0</v>
      </c>
      <c r="C31" s="18">
        <v>44.0</v>
      </c>
      <c r="D31" s="18">
        <v>182.0</v>
      </c>
      <c r="E31" s="18">
        <v>18.0</v>
      </c>
      <c r="F31" s="18">
        <v>0.0</v>
      </c>
      <c r="G31" s="18">
        <v>0.0</v>
      </c>
      <c r="H31" s="20">
        <v>1.0</v>
      </c>
      <c r="I31" s="20">
        <v>1.0</v>
      </c>
      <c r="J31" s="20">
        <v>0.0</v>
      </c>
      <c r="K31" s="20">
        <v>0.0</v>
      </c>
      <c r="L31" s="22">
        <v>46111.04309027778</v>
      </c>
      <c r="M31" s="18"/>
    </row>
    <row r="32" ht="15.75" customHeight="1">
      <c r="A32" s="18" t="s">
        <v>69</v>
      </c>
      <c r="B32" s="17" t="b">
        <v>0</v>
      </c>
      <c r="C32" s="18">
        <v>43.0</v>
      </c>
      <c r="D32" s="18">
        <v>547.0</v>
      </c>
      <c r="E32" s="18">
        <v>18.0</v>
      </c>
      <c r="F32" s="18">
        <v>0.0</v>
      </c>
      <c r="G32" s="18">
        <v>0.0</v>
      </c>
      <c r="H32" s="20">
        <v>2.0</v>
      </c>
      <c r="I32" s="20">
        <v>1.0</v>
      </c>
      <c r="J32" s="20">
        <v>0.0</v>
      </c>
      <c r="K32" s="20">
        <v>0.0</v>
      </c>
      <c r="L32" s="22">
        <v>46018.702523148146</v>
      </c>
      <c r="M32" s="18"/>
    </row>
    <row r="33" ht="15.75" customHeight="1">
      <c r="A33" s="18" t="s">
        <v>71</v>
      </c>
      <c r="B33" s="17" t="b">
        <v>0</v>
      </c>
      <c r="C33" s="18">
        <v>42.0</v>
      </c>
      <c r="D33" s="18">
        <v>123.0</v>
      </c>
      <c r="E33" s="18">
        <v>18.0</v>
      </c>
      <c r="F33" s="18">
        <v>0.0</v>
      </c>
      <c r="G33" s="18">
        <v>0.0</v>
      </c>
      <c r="H33" s="20">
        <v>1.0</v>
      </c>
      <c r="I33" s="20">
        <v>1.0</v>
      </c>
      <c r="J33" s="20">
        <v>0.0</v>
      </c>
      <c r="K33" s="20">
        <v>0.0</v>
      </c>
      <c r="L33" s="22">
        <v>46066.13892361111</v>
      </c>
      <c r="M33" s="18"/>
    </row>
    <row r="34" ht="15.75" customHeight="1">
      <c r="A34" s="18" t="s">
        <v>115</v>
      </c>
      <c r="B34" s="17" t="b">
        <v>0</v>
      </c>
      <c r="C34" s="18">
        <v>42.0</v>
      </c>
      <c r="D34" s="18">
        <v>183.0</v>
      </c>
      <c r="E34" s="18">
        <v>18.0</v>
      </c>
      <c r="F34" s="18">
        <v>0.0</v>
      </c>
      <c r="G34" s="18">
        <v>0.0</v>
      </c>
      <c r="H34" s="20">
        <v>1.0</v>
      </c>
      <c r="I34" s="20">
        <v>1.0</v>
      </c>
      <c r="J34" s="20">
        <v>1.0</v>
      </c>
      <c r="K34" s="20">
        <v>0.0</v>
      </c>
      <c r="L34" s="22">
        <v>46078.456030092595</v>
      </c>
      <c r="M34" s="22">
        <v>46131.650405092594</v>
      </c>
    </row>
    <row r="35" ht="15.75" customHeight="1">
      <c r="A35" s="18" t="s">
        <v>73</v>
      </c>
      <c r="B35" s="17" t="b">
        <v>1</v>
      </c>
      <c r="C35" s="18">
        <v>41.0</v>
      </c>
      <c r="D35" s="18">
        <v>166.0</v>
      </c>
      <c r="E35" s="18">
        <v>18.0</v>
      </c>
      <c r="F35" s="18">
        <v>0.0</v>
      </c>
      <c r="G35" s="18">
        <v>0.0</v>
      </c>
      <c r="H35" s="20">
        <v>2.0</v>
      </c>
      <c r="I35" s="20">
        <v>2.0</v>
      </c>
      <c r="J35" s="20">
        <v>1.0</v>
      </c>
      <c r="K35" s="20">
        <v>0.0</v>
      </c>
      <c r="L35" s="22">
        <v>46057.078738425924</v>
      </c>
      <c r="M35" s="18"/>
    </row>
    <row r="36" ht="15.75" customHeight="1">
      <c r="A36" s="18" t="s">
        <v>119</v>
      </c>
      <c r="B36" s="17" t="b">
        <v>1</v>
      </c>
      <c r="C36" s="18">
        <v>41.0</v>
      </c>
      <c r="D36" s="18">
        <v>1447.0</v>
      </c>
      <c r="E36" s="18">
        <v>237.0</v>
      </c>
      <c r="F36" s="18">
        <v>0.0</v>
      </c>
      <c r="G36" s="18">
        <v>0.0</v>
      </c>
      <c r="H36" s="20">
        <v>1.0</v>
      </c>
      <c r="I36" s="20">
        <v>1.0</v>
      </c>
      <c r="J36" s="20">
        <v>1.0</v>
      </c>
      <c r="K36" s="20">
        <v>0.0</v>
      </c>
      <c r="L36" s="22">
        <v>46131.12075231481</v>
      </c>
      <c r="M36" s="22">
        <v>46163.11493055556</v>
      </c>
    </row>
    <row r="37" ht="15.75" customHeight="1">
      <c r="A37" s="18" t="s">
        <v>74</v>
      </c>
      <c r="B37" s="17" t="b">
        <v>0</v>
      </c>
      <c r="C37" s="18">
        <v>41.0</v>
      </c>
      <c r="D37" s="18">
        <v>239.0</v>
      </c>
      <c r="E37" s="18">
        <v>18.0</v>
      </c>
      <c r="F37" s="18">
        <v>0.0</v>
      </c>
      <c r="G37" s="18">
        <v>0.0</v>
      </c>
      <c r="H37" s="20">
        <v>2.0</v>
      </c>
      <c r="I37" s="20">
        <v>2.0</v>
      </c>
      <c r="J37" s="20">
        <v>0.0</v>
      </c>
      <c r="K37" s="20">
        <v>0.0</v>
      </c>
      <c r="L37" s="22">
        <v>46058.9746875</v>
      </c>
      <c r="M37" s="18"/>
    </row>
    <row r="38" ht="15.75" customHeight="1">
      <c r="A38" s="18" t="s">
        <v>124</v>
      </c>
      <c r="B38" s="17" t="b">
        <v>1</v>
      </c>
      <c r="C38" s="18">
        <v>40.0</v>
      </c>
      <c r="D38" s="18">
        <v>129.0</v>
      </c>
      <c r="E38" s="18">
        <v>0.0</v>
      </c>
      <c r="F38" s="18">
        <v>0.0</v>
      </c>
      <c r="G38" s="18">
        <v>0.0</v>
      </c>
      <c r="H38" s="20">
        <v>1.0</v>
      </c>
      <c r="I38" s="20">
        <v>0.0</v>
      </c>
      <c r="J38" s="20">
        <v>1.0</v>
      </c>
      <c r="K38" s="20">
        <v>1.0</v>
      </c>
      <c r="L38" s="22">
        <v>45814.8744212963</v>
      </c>
      <c r="M38" s="22">
        <v>46064.561111111114</v>
      </c>
    </row>
    <row r="39" ht="15.75" customHeight="1">
      <c r="A39" s="18" t="s">
        <v>126</v>
      </c>
      <c r="B39" s="17" t="b">
        <v>0</v>
      </c>
      <c r="C39" s="18">
        <v>40.0</v>
      </c>
      <c r="D39" s="18">
        <v>178.0</v>
      </c>
      <c r="E39" s="18">
        <v>1275.0</v>
      </c>
      <c r="F39" s="18">
        <v>0.0</v>
      </c>
      <c r="G39" s="18">
        <v>0.0</v>
      </c>
      <c r="H39" s="20">
        <v>1.0</v>
      </c>
      <c r="I39" s="20">
        <v>0.0</v>
      </c>
      <c r="J39" s="20">
        <v>1.0</v>
      </c>
      <c r="K39" s="20">
        <v>0.0</v>
      </c>
      <c r="L39" s="22">
        <v>46024.26768518519</v>
      </c>
      <c r="M39" s="22">
        <v>46133.54833333333</v>
      </c>
    </row>
    <row r="40" ht="15.75" customHeight="1">
      <c r="A40" s="15" t="s">
        <v>129</v>
      </c>
      <c r="B40" s="17" t="b">
        <v>1</v>
      </c>
      <c r="C40" s="18">
        <v>36.0</v>
      </c>
      <c r="D40" s="18">
        <v>1584.0</v>
      </c>
      <c r="E40" s="18">
        <v>18118.0</v>
      </c>
      <c r="F40" s="18">
        <v>0.0</v>
      </c>
      <c r="G40" s="18">
        <v>0.0</v>
      </c>
      <c r="H40" s="20">
        <v>1.0</v>
      </c>
      <c r="I40" s="20">
        <v>0.0</v>
      </c>
      <c r="J40" s="20">
        <v>1.0</v>
      </c>
      <c r="K40" s="20">
        <v>1.0</v>
      </c>
      <c r="L40" s="22">
        <v>46034.3872337963</v>
      </c>
      <c r="M40" s="22">
        <v>46092.907789351855</v>
      </c>
    </row>
    <row r="41" ht="15.75" customHeight="1">
      <c r="A41" s="15" t="s">
        <v>132</v>
      </c>
      <c r="B41" s="17" t="b">
        <v>1</v>
      </c>
      <c r="C41" s="18">
        <v>36.0</v>
      </c>
      <c r="D41" s="18">
        <v>1375.0</v>
      </c>
      <c r="E41" s="18">
        <v>5.0</v>
      </c>
      <c r="F41" s="18">
        <v>0.0</v>
      </c>
      <c r="G41" s="18">
        <v>0.0</v>
      </c>
      <c r="H41" s="20">
        <v>1.0</v>
      </c>
      <c r="I41" s="20">
        <v>0.0</v>
      </c>
      <c r="J41" s="20">
        <v>1.0</v>
      </c>
      <c r="K41" s="20">
        <v>1.0</v>
      </c>
      <c r="L41" s="22">
        <v>46029.93615740741</v>
      </c>
      <c r="M41" s="22">
        <v>46088.25655092593</v>
      </c>
    </row>
    <row r="42" ht="15.75" customHeight="1">
      <c r="A42" s="15" t="s">
        <v>136</v>
      </c>
      <c r="B42" s="17" t="b">
        <v>1</v>
      </c>
      <c r="C42" s="18">
        <v>35.0</v>
      </c>
      <c r="D42" s="18">
        <v>1463.0</v>
      </c>
      <c r="E42" s="18">
        <v>9242.0</v>
      </c>
      <c r="F42" s="18">
        <v>0.0</v>
      </c>
      <c r="G42" s="18">
        <v>0.0</v>
      </c>
      <c r="H42" s="20">
        <v>1.0</v>
      </c>
      <c r="I42" s="20">
        <v>0.0</v>
      </c>
      <c r="J42" s="20">
        <v>1.0</v>
      </c>
      <c r="K42" s="20">
        <v>1.0</v>
      </c>
      <c r="L42" s="22">
        <v>46011.06458333333</v>
      </c>
      <c r="M42" s="22">
        <v>46092.903645833336</v>
      </c>
    </row>
    <row r="43" ht="15.75" customHeight="1">
      <c r="A43" s="15" t="s">
        <v>76</v>
      </c>
      <c r="B43" s="17" t="b">
        <v>1</v>
      </c>
      <c r="C43" s="18">
        <v>35.0</v>
      </c>
      <c r="D43" s="18">
        <v>155.0</v>
      </c>
      <c r="E43" s="18">
        <v>18.0</v>
      </c>
      <c r="F43" s="18">
        <v>0.0</v>
      </c>
      <c r="G43" s="18">
        <v>0.0</v>
      </c>
      <c r="H43" s="20">
        <v>2.0</v>
      </c>
      <c r="I43" s="20">
        <v>2.0</v>
      </c>
      <c r="J43" s="20">
        <v>0.0</v>
      </c>
      <c r="K43" s="20">
        <v>0.0</v>
      </c>
      <c r="L43" s="22">
        <v>46102.85502314815</v>
      </c>
      <c r="M43" s="18"/>
    </row>
    <row r="44" ht="15.75" customHeight="1">
      <c r="A44" s="15" t="s">
        <v>144</v>
      </c>
      <c r="B44" s="17" t="b">
        <v>1</v>
      </c>
      <c r="C44" s="18">
        <v>35.0</v>
      </c>
      <c r="D44" s="18">
        <v>1351.0</v>
      </c>
      <c r="E44" s="18">
        <v>125.0</v>
      </c>
      <c r="F44" s="18">
        <v>0.0</v>
      </c>
      <c r="G44" s="18">
        <v>0.0</v>
      </c>
      <c r="H44" s="20">
        <v>1.0</v>
      </c>
      <c r="I44" s="20">
        <v>0.0</v>
      </c>
      <c r="J44" s="20">
        <v>1.0</v>
      </c>
      <c r="K44" s="20">
        <v>1.0</v>
      </c>
      <c r="L44" s="22">
        <v>46031.83611111111</v>
      </c>
      <c r="M44" s="22">
        <v>46065.03962962963</v>
      </c>
    </row>
    <row r="45" ht="15.75" customHeight="1">
      <c r="A45" s="15" t="s">
        <v>147</v>
      </c>
      <c r="B45" s="17" t="b">
        <v>1</v>
      </c>
      <c r="C45" s="18">
        <v>33.0</v>
      </c>
      <c r="D45" s="18">
        <v>1254.0</v>
      </c>
      <c r="E45" s="18">
        <v>318703.0</v>
      </c>
      <c r="F45" s="18">
        <v>0.0</v>
      </c>
      <c r="G45" s="18">
        <v>0.0</v>
      </c>
      <c r="H45" s="20">
        <v>1.0</v>
      </c>
      <c r="I45" s="20">
        <v>0.0</v>
      </c>
      <c r="J45" s="20">
        <v>1.0</v>
      </c>
      <c r="K45" s="20">
        <v>1.0</v>
      </c>
      <c r="L45" s="22">
        <v>46011.899143518516</v>
      </c>
      <c r="M45" s="22">
        <v>46093.967939814815</v>
      </c>
    </row>
    <row r="46" ht="15.75" customHeight="1">
      <c r="A46" s="15" t="s">
        <v>151</v>
      </c>
      <c r="B46" s="17" t="b">
        <v>1</v>
      </c>
      <c r="C46" s="18">
        <v>33.0</v>
      </c>
      <c r="D46" s="18">
        <v>1631.0</v>
      </c>
      <c r="E46" s="18">
        <v>0.0</v>
      </c>
      <c r="F46" s="18">
        <v>0.0</v>
      </c>
      <c r="G46" s="18">
        <v>0.0</v>
      </c>
      <c r="H46" s="20">
        <v>1.0</v>
      </c>
      <c r="I46" s="20">
        <v>0.0</v>
      </c>
      <c r="J46" s="20">
        <v>1.0</v>
      </c>
      <c r="K46" s="20">
        <v>1.0</v>
      </c>
      <c r="L46" s="22">
        <v>45809.99486111111</v>
      </c>
      <c r="M46" s="22">
        <v>46073.71366898148</v>
      </c>
    </row>
    <row r="47" ht="15.75" customHeight="1">
      <c r="A47" s="18" t="s">
        <v>154</v>
      </c>
      <c r="B47" s="17" t="b">
        <v>1</v>
      </c>
      <c r="C47" s="18">
        <v>33.0</v>
      </c>
      <c r="D47" s="18">
        <v>1000.0</v>
      </c>
      <c r="E47" s="18">
        <v>337.0</v>
      </c>
      <c r="F47" s="18">
        <v>0.0</v>
      </c>
      <c r="G47" s="18">
        <v>0.0</v>
      </c>
      <c r="H47" s="20">
        <v>1.0</v>
      </c>
      <c r="I47" s="20">
        <v>1.0</v>
      </c>
      <c r="J47" s="20">
        <v>1.0</v>
      </c>
      <c r="K47" s="20">
        <v>0.0</v>
      </c>
      <c r="L47" s="22">
        <v>46139.47540509259</v>
      </c>
      <c r="M47" s="22">
        <v>46172.47430555556</v>
      </c>
    </row>
    <row r="48" ht="15.75" customHeight="1">
      <c r="A48" s="18" t="s">
        <v>157</v>
      </c>
      <c r="B48" s="17" t="b">
        <v>1</v>
      </c>
      <c r="C48" s="18">
        <v>33.0</v>
      </c>
      <c r="D48" s="18">
        <v>976.0</v>
      </c>
      <c r="E48" s="18">
        <v>339.0</v>
      </c>
      <c r="F48" s="18">
        <v>0.0</v>
      </c>
      <c r="G48" s="18">
        <v>0.0</v>
      </c>
      <c r="H48" s="20">
        <v>1.0</v>
      </c>
      <c r="I48" s="20">
        <v>1.0</v>
      </c>
      <c r="J48" s="20">
        <v>1.0</v>
      </c>
      <c r="K48" s="20">
        <v>0.0</v>
      </c>
      <c r="L48" s="22">
        <v>46151.36310185185</v>
      </c>
      <c r="M48" s="22">
        <v>46174.42016203704</v>
      </c>
    </row>
    <row r="49" ht="15.75" customHeight="1">
      <c r="A49" s="18" t="s">
        <v>159</v>
      </c>
      <c r="B49" s="17" t="b">
        <v>1</v>
      </c>
      <c r="C49" s="18">
        <v>33.0</v>
      </c>
      <c r="D49" s="18">
        <v>1004.0</v>
      </c>
      <c r="E49" s="18">
        <v>290.0</v>
      </c>
      <c r="F49" s="18">
        <v>0.0</v>
      </c>
      <c r="G49" s="18">
        <v>0.0</v>
      </c>
      <c r="H49" s="20">
        <v>1.0</v>
      </c>
      <c r="I49" s="20">
        <v>1.0</v>
      </c>
      <c r="J49" s="20">
        <v>1.0</v>
      </c>
      <c r="K49" s="20">
        <v>0.0</v>
      </c>
      <c r="L49" s="22">
        <v>46139.114907407406</v>
      </c>
      <c r="M49" s="22">
        <v>46173.094618055555</v>
      </c>
    </row>
    <row r="50" ht="15.75" customHeight="1">
      <c r="A50" s="18" t="s">
        <v>163</v>
      </c>
      <c r="B50" s="17" t="b">
        <v>1</v>
      </c>
      <c r="C50" s="18">
        <v>33.0</v>
      </c>
      <c r="D50" s="18">
        <v>987.0</v>
      </c>
      <c r="E50" s="18">
        <v>311.0</v>
      </c>
      <c r="F50" s="18">
        <v>0.0</v>
      </c>
      <c r="G50" s="18">
        <v>0.0</v>
      </c>
      <c r="H50" s="20">
        <v>1.0</v>
      </c>
      <c r="I50" s="20">
        <v>1.0</v>
      </c>
      <c r="J50" s="20">
        <v>1.0</v>
      </c>
      <c r="K50" s="20">
        <v>0.0</v>
      </c>
      <c r="L50" s="22">
        <v>46143.901400462964</v>
      </c>
      <c r="M50" s="22">
        <v>46164.46357638889</v>
      </c>
    </row>
    <row r="51" ht="15.75" customHeight="1">
      <c r="A51" s="18" t="s">
        <v>167</v>
      </c>
      <c r="B51" s="17" t="b">
        <v>1</v>
      </c>
      <c r="C51" s="18">
        <v>33.0</v>
      </c>
      <c r="D51" s="18">
        <v>983.0</v>
      </c>
      <c r="E51" s="18">
        <v>340.0</v>
      </c>
      <c r="F51" s="18">
        <v>0.0</v>
      </c>
      <c r="G51" s="18">
        <v>0.0</v>
      </c>
      <c r="H51" s="20">
        <v>1.0</v>
      </c>
      <c r="I51" s="20">
        <v>1.0</v>
      </c>
      <c r="J51" s="20">
        <v>1.0</v>
      </c>
      <c r="K51" s="20">
        <v>0.0</v>
      </c>
      <c r="L51" s="22">
        <v>46152.89539351852</v>
      </c>
      <c r="M51" s="22">
        <v>46172.80302083334</v>
      </c>
    </row>
    <row r="52" ht="15.75" customHeight="1">
      <c r="A52" s="18" t="s">
        <v>171</v>
      </c>
      <c r="B52" s="17" t="b">
        <v>1</v>
      </c>
      <c r="C52" s="18">
        <v>33.0</v>
      </c>
      <c r="D52" s="18">
        <v>988.0</v>
      </c>
      <c r="E52" s="18">
        <v>340.0</v>
      </c>
      <c r="F52" s="18">
        <v>0.0</v>
      </c>
      <c r="G52" s="18">
        <v>0.0</v>
      </c>
      <c r="H52" s="20">
        <v>1.0</v>
      </c>
      <c r="I52" s="20">
        <v>1.0</v>
      </c>
      <c r="J52" s="20">
        <v>1.0</v>
      </c>
      <c r="K52" s="20">
        <v>0.0</v>
      </c>
      <c r="L52" s="22">
        <v>46142.21260416666</v>
      </c>
      <c r="M52" s="22">
        <v>46172.90480324074</v>
      </c>
    </row>
    <row r="53" ht="15.75" customHeight="1">
      <c r="A53" s="18" t="s">
        <v>173</v>
      </c>
      <c r="B53" s="17" t="b">
        <v>1</v>
      </c>
      <c r="C53" s="18">
        <v>33.0</v>
      </c>
      <c r="D53" s="18">
        <v>989.0</v>
      </c>
      <c r="E53" s="18">
        <v>303.0</v>
      </c>
      <c r="F53" s="18">
        <v>0.0</v>
      </c>
      <c r="G53" s="18">
        <v>0.0</v>
      </c>
      <c r="H53" s="20">
        <v>1.0</v>
      </c>
      <c r="I53" s="20">
        <v>1.0</v>
      </c>
      <c r="J53" s="20">
        <v>1.0</v>
      </c>
      <c r="K53" s="20">
        <v>0.0</v>
      </c>
      <c r="L53" s="22">
        <v>46147.24630787037</v>
      </c>
      <c r="M53" s="22">
        <v>46172.471979166665</v>
      </c>
    </row>
    <row r="54" ht="15.75" customHeight="1">
      <c r="A54" s="18" t="s">
        <v>177</v>
      </c>
      <c r="B54" s="17" t="b">
        <v>1</v>
      </c>
      <c r="C54" s="18">
        <v>33.0</v>
      </c>
      <c r="D54" s="18">
        <v>981.0</v>
      </c>
      <c r="E54" s="18">
        <v>337.0</v>
      </c>
      <c r="F54" s="18">
        <v>0.0</v>
      </c>
      <c r="G54" s="18">
        <v>0.0</v>
      </c>
      <c r="H54" s="20">
        <v>1.0</v>
      </c>
      <c r="I54" s="20">
        <v>1.0</v>
      </c>
      <c r="J54" s="20">
        <v>1.0</v>
      </c>
      <c r="K54" s="20">
        <v>0.0</v>
      </c>
      <c r="L54" s="22">
        <v>46150.44503472222</v>
      </c>
      <c r="M54" s="22">
        <v>46174.46729166667</v>
      </c>
    </row>
    <row r="55" ht="15.75" customHeight="1">
      <c r="A55" s="18" t="s">
        <v>180</v>
      </c>
      <c r="B55" s="17" t="b">
        <v>1</v>
      </c>
      <c r="C55" s="18">
        <v>33.0</v>
      </c>
      <c r="D55" s="18">
        <v>1055.0</v>
      </c>
      <c r="E55" s="18">
        <v>337.0</v>
      </c>
      <c r="F55" s="18">
        <v>0.0</v>
      </c>
      <c r="G55" s="18">
        <v>0.0</v>
      </c>
      <c r="H55" s="20">
        <v>1.0</v>
      </c>
      <c r="I55" s="20">
        <v>1.0</v>
      </c>
      <c r="J55" s="20">
        <v>1.0</v>
      </c>
      <c r="K55" s="20">
        <v>0.0</v>
      </c>
      <c r="L55" s="22">
        <v>46151.37831018519</v>
      </c>
      <c r="M55" s="22">
        <v>46165.4540625</v>
      </c>
    </row>
    <row r="56" ht="15.75" customHeight="1">
      <c r="A56" s="18" t="s">
        <v>184</v>
      </c>
      <c r="B56" s="17" t="b">
        <v>1</v>
      </c>
      <c r="C56" s="18">
        <v>33.0</v>
      </c>
      <c r="D56" s="18">
        <v>992.0</v>
      </c>
      <c r="E56" s="18">
        <v>337.0</v>
      </c>
      <c r="F56" s="18">
        <v>0.0</v>
      </c>
      <c r="G56" s="18">
        <v>0.0</v>
      </c>
      <c r="H56" s="20">
        <v>1.0</v>
      </c>
      <c r="I56" s="20">
        <v>1.0</v>
      </c>
      <c r="J56" s="20">
        <v>1.0</v>
      </c>
      <c r="K56" s="20">
        <v>0.0</v>
      </c>
      <c r="L56" s="22">
        <v>46149.4149537037</v>
      </c>
      <c r="M56" s="22">
        <v>46173.134050925924</v>
      </c>
    </row>
    <row r="57" ht="15.75" customHeight="1">
      <c r="A57" s="18" t="s">
        <v>187</v>
      </c>
      <c r="B57" s="17" t="b">
        <v>1</v>
      </c>
      <c r="C57" s="18">
        <v>33.0</v>
      </c>
      <c r="D57" s="18">
        <v>985.0</v>
      </c>
      <c r="E57" s="18">
        <v>337.0</v>
      </c>
      <c r="F57" s="18">
        <v>0.0</v>
      </c>
      <c r="G57" s="18">
        <v>0.0</v>
      </c>
      <c r="H57" s="20">
        <v>1.0</v>
      </c>
      <c r="I57" s="20">
        <v>1.0</v>
      </c>
      <c r="J57" s="20">
        <v>1.0</v>
      </c>
      <c r="K57" s="20">
        <v>0.0</v>
      </c>
      <c r="L57" s="22">
        <v>46146.992685185185</v>
      </c>
      <c r="M57" s="22">
        <v>46174.1706712963</v>
      </c>
    </row>
    <row r="58" ht="15.75" customHeight="1">
      <c r="A58" s="18" t="s">
        <v>189</v>
      </c>
      <c r="B58" s="17" t="b">
        <v>1</v>
      </c>
      <c r="C58" s="18">
        <v>33.0</v>
      </c>
      <c r="D58" s="18">
        <v>973.0</v>
      </c>
      <c r="E58" s="18">
        <v>322.0</v>
      </c>
      <c r="F58" s="18">
        <v>0.0</v>
      </c>
      <c r="G58" s="18">
        <v>0.0</v>
      </c>
      <c r="H58" s="20">
        <v>1.0</v>
      </c>
      <c r="I58" s="20">
        <v>1.0</v>
      </c>
      <c r="J58" s="20">
        <v>1.0</v>
      </c>
      <c r="K58" s="20">
        <v>0.0</v>
      </c>
      <c r="L58" s="22">
        <v>46137.24337962963</v>
      </c>
      <c r="M58" s="22">
        <v>46179.4849537037</v>
      </c>
    </row>
    <row r="59" ht="15.75" customHeight="1">
      <c r="A59" s="18" t="s">
        <v>191</v>
      </c>
      <c r="B59" s="17" t="b">
        <v>1</v>
      </c>
      <c r="C59" s="18">
        <v>33.0</v>
      </c>
      <c r="D59" s="18">
        <v>995.0</v>
      </c>
      <c r="E59" s="18">
        <v>337.0</v>
      </c>
      <c r="F59" s="18">
        <v>0.0</v>
      </c>
      <c r="G59" s="18">
        <v>0.0</v>
      </c>
      <c r="H59" s="20">
        <v>1.0</v>
      </c>
      <c r="I59" s="20">
        <v>1.0</v>
      </c>
      <c r="J59" s="20">
        <v>1.0</v>
      </c>
      <c r="K59" s="20">
        <v>0.0</v>
      </c>
      <c r="L59" s="22">
        <v>46149.03508101852</v>
      </c>
      <c r="M59" s="22">
        <v>46163.03086805555</v>
      </c>
    </row>
    <row r="60" ht="15.75" customHeight="1">
      <c r="A60" s="18" t="s">
        <v>193</v>
      </c>
      <c r="B60" s="17" t="b">
        <v>1</v>
      </c>
      <c r="C60" s="18">
        <v>33.0</v>
      </c>
      <c r="D60" s="18">
        <v>994.0</v>
      </c>
      <c r="E60" s="18">
        <v>340.0</v>
      </c>
      <c r="F60" s="18">
        <v>0.0</v>
      </c>
      <c r="G60" s="18">
        <v>0.0</v>
      </c>
      <c r="H60" s="20">
        <v>1.0</v>
      </c>
      <c r="I60" s="20">
        <v>1.0</v>
      </c>
      <c r="J60" s="20">
        <v>1.0</v>
      </c>
      <c r="K60" s="20">
        <v>0.0</v>
      </c>
      <c r="L60" s="22">
        <v>46138.69322916667</v>
      </c>
      <c r="M60" s="22">
        <v>46163.83005787037</v>
      </c>
    </row>
    <row r="61" ht="15.75" customHeight="1">
      <c r="A61" s="18" t="s">
        <v>195</v>
      </c>
      <c r="B61" s="17" t="b">
        <v>1</v>
      </c>
      <c r="C61" s="18">
        <v>33.0</v>
      </c>
      <c r="D61" s="18">
        <v>982.0</v>
      </c>
      <c r="E61" s="18">
        <v>337.0</v>
      </c>
      <c r="F61" s="18">
        <v>0.0</v>
      </c>
      <c r="G61" s="18">
        <v>0.0</v>
      </c>
      <c r="H61" s="20">
        <v>1.0</v>
      </c>
      <c r="I61" s="20">
        <v>1.0</v>
      </c>
      <c r="J61" s="20">
        <v>1.0</v>
      </c>
      <c r="K61" s="20">
        <v>0.0</v>
      </c>
      <c r="L61" s="22">
        <v>46140.045590277776</v>
      </c>
      <c r="M61" s="22">
        <v>46163.56775462963</v>
      </c>
    </row>
    <row r="62" ht="15.75" customHeight="1">
      <c r="A62" s="18" t="s">
        <v>197</v>
      </c>
      <c r="B62" s="17" t="b">
        <v>1</v>
      </c>
      <c r="C62" s="18">
        <v>33.0</v>
      </c>
      <c r="D62" s="18">
        <v>986.0</v>
      </c>
      <c r="E62" s="18">
        <v>336.0</v>
      </c>
      <c r="F62" s="18">
        <v>0.0</v>
      </c>
      <c r="G62" s="18">
        <v>0.0</v>
      </c>
      <c r="H62" s="20">
        <v>1.0</v>
      </c>
      <c r="I62" s="20">
        <v>1.0</v>
      </c>
      <c r="J62" s="20">
        <v>1.0</v>
      </c>
      <c r="K62" s="20">
        <v>0.0</v>
      </c>
      <c r="L62" s="22">
        <v>46150.59380787037</v>
      </c>
      <c r="M62" s="22">
        <v>46165.251851851855</v>
      </c>
    </row>
    <row r="63" ht="15.75" customHeight="1">
      <c r="A63" s="18" t="s">
        <v>199</v>
      </c>
      <c r="B63" s="17" t="b">
        <v>1</v>
      </c>
      <c r="C63" s="18">
        <v>33.0</v>
      </c>
      <c r="D63" s="18">
        <v>1079.0</v>
      </c>
      <c r="E63" s="18">
        <v>334.0</v>
      </c>
      <c r="F63" s="18">
        <v>0.0</v>
      </c>
      <c r="G63" s="18">
        <v>0.0</v>
      </c>
      <c r="H63" s="20">
        <v>1.0</v>
      </c>
      <c r="I63" s="20">
        <v>1.0</v>
      </c>
      <c r="J63" s="20">
        <v>1.0</v>
      </c>
      <c r="K63" s="20">
        <v>0.0</v>
      </c>
      <c r="L63" s="22">
        <v>46143.886967592596</v>
      </c>
      <c r="M63" s="22">
        <v>46157.96962962963</v>
      </c>
    </row>
    <row r="64" ht="15.75" customHeight="1">
      <c r="A64" s="18" t="s">
        <v>201</v>
      </c>
      <c r="B64" s="17" t="b">
        <v>1</v>
      </c>
      <c r="C64" s="18">
        <v>33.0</v>
      </c>
      <c r="D64" s="18">
        <v>982.0</v>
      </c>
      <c r="E64" s="18">
        <v>337.0</v>
      </c>
      <c r="F64" s="18">
        <v>0.0</v>
      </c>
      <c r="G64" s="18">
        <v>0.0</v>
      </c>
      <c r="H64" s="20">
        <v>1.0</v>
      </c>
      <c r="I64" s="20">
        <v>1.0</v>
      </c>
      <c r="J64" s="20">
        <v>1.0</v>
      </c>
      <c r="K64" s="20">
        <v>0.0</v>
      </c>
      <c r="L64" s="22">
        <v>46141.664131944446</v>
      </c>
      <c r="M64" s="22">
        <v>46164.65834490741</v>
      </c>
    </row>
    <row r="65" ht="15.75" customHeight="1">
      <c r="A65" s="18" t="s">
        <v>203</v>
      </c>
      <c r="B65" s="17" t="b">
        <v>1</v>
      </c>
      <c r="C65" s="18">
        <v>33.0</v>
      </c>
      <c r="D65" s="18">
        <v>987.0</v>
      </c>
      <c r="E65" s="18">
        <v>334.0</v>
      </c>
      <c r="F65" s="18">
        <v>0.0</v>
      </c>
      <c r="G65" s="18">
        <v>0.0</v>
      </c>
      <c r="H65" s="20">
        <v>1.0</v>
      </c>
      <c r="I65" s="20">
        <v>1.0</v>
      </c>
      <c r="J65" s="20">
        <v>1.0</v>
      </c>
      <c r="K65" s="20">
        <v>0.0</v>
      </c>
      <c r="L65" s="22">
        <v>46149.07748842592</v>
      </c>
      <c r="M65" s="22">
        <v>46172.78171296296</v>
      </c>
    </row>
    <row r="66" ht="15.75" customHeight="1">
      <c r="A66" s="18" t="s">
        <v>205</v>
      </c>
      <c r="B66" s="17" t="b">
        <v>1</v>
      </c>
      <c r="C66" s="18">
        <v>33.0</v>
      </c>
      <c r="D66" s="18">
        <v>996.0</v>
      </c>
      <c r="E66" s="18">
        <v>296.0</v>
      </c>
      <c r="F66" s="18">
        <v>0.0</v>
      </c>
      <c r="G66" s="18">
        <v>0.0</v>
      </c>
      <c r="H66" s="20">
        <v>1.0</v>
      </c>
      <c r="I66" s="20">
        <v>1.0</v>
      </c>
      <c r="J66" s="20">
        <v>1.0</v>
      </c>
      <c r="K66" s="20">
        <v>0.0</v>
      </c>
      <c r="L66" s="22">
        <v>46139.98616898148</v>
      </c>
      <c r="M66" s="22">
        <v>46157.66962962963</v>
      </c>
    </row>
    <row r="67" ht="15.75" customHeight="1">
      <c r="A67" s="18" t="s">
        <v>207</v>
      </c>
      <c r="B67" s="17" t="b">
        <v>1</v>
      </c>
      <c r="C67" s="18">
        <v>33.0</v>
      </c>
      <c r="D67" s="18">
        <v>979.0</v>
      </c>
      <c r="E67" s="18">
        <v>337.0</v>
      </c>
      <c r="F67" s="18">
        <v>0.0</v>
      </c>
      <c r="G67" s="18">
        <v>0.0</v>
      </c>
      <c r="H67" s="20">
        <v>1.0</v>
      </c>
      <c r="I67" s="20">
        <v>1.0</v>
      </c>
      <c r="J67" s="20">
        <v>1.0</v>
      </c>
      <c r="K67" s="20">
        <v>0.0</v>
      </c>
      <c r="L67" s="22">
        <v>46152.81364583333</v>
      </c>
      <c r="M67" s="22">
        <v>46173.449108796296</v>
      </c>
    </row>
    <row r="68" ht="15.75" customHeight="1">
      <c r="A68" s="18" t="s">
        <v>211</v>
      </c>
      <c r="B68" s="17" t="b">
        <v>1</v>
      </c>
      <c r="C68" s="18">
        <v>33.0</v>
      </c>
      <c r="D68" s="18">
        <v>1037.0</v>
      </c>
      <c r="E68" s="18">
        <v>303.0</v>
      </c>
      <c r="F68" s="18">
        <v>0.0</v>
      </c>
      <c r="G68" s="18">
        <v>0.0</v>
      </c>
      <c r="H68" s="20">
        <v>1.0</v>
      </c>
      <c r="I68" s="20">
        <v>1.0</v>
      </c>
      <c r="J68" s="20">
        <v>1.0</v>
      </c>
      <c r="K68" s="20">
        <v>0.0</v>
      </c>
      <c r="L68" s="22">
        <v>46146.91875</v>
      </c>
      <c r="M68" s="22">
        <v>46164.70111111111</v>
      </c>
    </row>
    <row r="69" ht="15.75" customHeight="1">
      <c r="A69" s="18" t="s">
        <v>212</v>
      </c>
      <c r="B69" s="17" t="b">
        <v>1</v>
      </c>
      <c r="C69" s="18">
        <v>33.0</v>
      </c>
      <c r="D69" s="18">
        <v>987.0</v>
      </c>
      <c r="E69" s="18">
        <v>281.0</v>
      </c>
      <c r="F69" s="18">
        <v>0.0</v>
      </c>
      <c r="G69" s="18">
        <v>0.0</v>
      </c>
      <c r="H69" s="20">
        <v>1.0</v>
      </c>
      <c r="I69" s="20">
        <v>1.0</v>
      </c>
      <c r="J69" s="20">
        <v>1.0</v>
      </c>
      <c r="K69" s="20">
        <v>0.0</v>
      </c>
      <c r="L69" s="22">
        <v>46141.331458333334</v>
      </c>
      <c r="M69" s="22">
        <v>46157.60170138889</v>
      </c>
    </row>
    <row r="70" ht="15.75" customHeight="1">
      <c r="A70" s="18" t="s">
        <v>214</v>
      </c>
      <c r="B70" s="17" t="b">
        <v>1</v>
      </c>
      <c r="C70" s="18">
        <v>33.0</v>
      </c>
      <c r="D70" s="18">
        <v>979.0</v>
      </c>
      <c r="E70" s="18">
        <v>319.0</v>
      </c>
      <c r="F70" s="18">
        <v>0.0</v>
      </c>
      <c r="G70" s="18">
        <v>0.0</v>
      </c>
      <c r="H70" s="20">
        <v>1.0</v>
      </c>
      <c r="I70" s="20">
        <v>1.0</v>
      </c>
      <c r="J70" s="20">
        <v>1.0</v>
      </c>
      <c r="K70" s="20">
        <v>0.0</v>
      </c>
      <c r="L70" s="22">
        <v>46145.30721064815</v>
      </c>
      <c r="M70" s="22">
        <v>46164.70306712963</v>
      </c>
    </row>
    <row r="71" ht="15.75" customHeight="1">
      <c r="A71" s="18" t="s">
        <v>217</v>
      </c>
      <c r="B71" s="17" t="b">
        <v>1</v>
      </c>
      <c r="C71" s="18">
        <v>33.0</v>
      </c>
      <c r="D71" s="18">
        <v>989.0</v>
      </c>
      <c r="E71" s="18">
        <v>335.0</v>
      </c>
      <c r="F71" s="18">
        <v>0.0</v>
      </c>
      <c r="G71" s="18">
        <v>0.0</v>
      </c>
      <c r="H71" s="20">
        <v>1.0</v>
      </c>
      <c r="I71" s="20">
        <v>1.0</v>
      </c>
      <c r="J71" s="20">
        <v>1.0</v>
      </c>
      <c r="K71" s="20">
        <v>0.0</v>
      </c>
      <c r="L71" s="22">
        <v>46150.24857638889</v>
      </c>
      <c r="M71" s="22">
        <v>46183.370405092595</v>
      </c>
    </row>
    <row r="72" ht="15.75" customHeight="1">
      <c r="A72" s="18" t="s">
        <v>218</v>
      </c>
      <c r="B72" s="17" t="b">
        <v>1</v>
      </c>
      <c r="C72" s="18">
        <v>33.0</v>
      </c>
      <c r="D72" s="18">
        <v>988.0</v>
      </c>
      <c r="E72" s="18">
        <v>337.0</v>
      </c>
      <c r="F72" s="18">
        <v>0.0</v>
      </c>
      <c r="G72" s="18">
        <v>0.0</v>
      </c>
      <c r="H72" s="20">
        <v>1.0</v>
      </c>
      <c r="I72" s="20">
        <v>1.0</v>
      </c>
      <c r="J72" s="20">
        <v>1.0</v>
      </c>
      <c r="K72" s="20">
        <v>0.0</v>
      </c>
      <c r="L72" s="22">
        <v>46144.361967592595</v>
      </c>
      <c r="M72" s="22">
        <v>46172.29362268518</v>
      </c>
    </row>
    <row r="73" ht="15.75" customHeight="1">
      <c r="A73" s="18" t="s">
        <v>221</v>
      </c>
      <c r="B73" s="17" t="b">
        <v>1</v>
      </c>
      <c r="C73" s="18">
        <v>33.0</v>
      </c>
      <c r="D73" s="18">
        <v>986.0</v>
      </c>
      <c r="E73" s="18">
        <v>337.0</v>
      </c>
      <c r="F73" s="18">
        <v>0.0</v>
      </c>
      <c r="G73" s="18">
        <v>0.0</v>
      </c>
      <c r="H73" s="20">
        <v>1.0</v>
      </c>
      <c r="I73" s="20">
        <v>1.0</v>
      </c>
      <c r="J73" s="20">
        <v>1.0</v>
      </c>
      <c r="K73" s="20">
        <v>0.0</v>
      </c>
      <c r="L73" s="22">
        <v>46151.49087962963</v>
      </c>
      <c r="M73" s="22">
        <v>46174.74638888889</v>
      </c>
    </row>
    <row r="74" ht="15.75" customHeight="1">
      <c r="A74" s="18" t="s">
        <v>223</v>
      </c>
      <c r="B74" s="17" t="b">
        <v>1</v>
      </c>
      <c r="C74" s="18">
        <v>33.0</v>
      </c>
      <c r="D74" s="18">
        <v>984.0</v>
      </c>
      <c r="E74" s="18">
        <v>340.0</v>
      </c>
      <c r="F74" s="18">
        <v>0.0</v>
      </c>
      <c r="G74" s="18">
        <v>0.0</v>
      </c>
      <c r="H74" s="20">
        <v>1.0</v>
      </c>
      <c r="I74" s="20">
        <v>1.0</v>
      </c>
      <c r="J74" s="20">
        <v>1.0</v>
      </c>
      <c r="K74" s="20">
        <v>0.0</v>
      </c>
      <c r="L74" s="22">
        <v>46151.84709490741</v>
      </c>
      <c r="M74" s="22">
        <v>46166.007418981484</v>
      </c>
    </row>
    <row r="75" ht="15.75" customHeight="1">
      <c r="A75" s="18" t="s">
        <v>224</v>
      </c>
      <c r="B75" s="17" t="b">
        <v>1</v>
      </c>
      <c r="C75" s="18">
        <v>33.0</v>
      </c>
      <c r="D75" s="18">
        <v>981.0</v>
      </c>
      <c r="E75" s="18">
        <v>337.0</v>
      </c>
      <c r="F75" s="18">
        <v>0.0</v>
      </c>
      <c r="G75" s="18">
        <v>0.0</v>
      </c>
      <c r="H75" s="20">
        <v>1.0</v>
      </c>
      <c r="I75" s="20">
        <v>1.0</v>
      </c>
      <c r="J75" s="20">
        <v>1.0</v>
      </c>
      <c r="K75" s="20">
        <v>0.0</v>
      </c>
      <c r="L75" s="22">
        <v>46144.996342592596</v>
      </c>
      <c r="M75" s="22">
        <v>46164.51020833333</v>
      </c>
    </row>
    <row r="76" ht="15.75" customHeight="1">
      <c r="A76" s="18" t="s">
        <v>226</v>
      </c>
      <c r="B76" s="17" t="b">
        <v>1</v>
      </c>
      <c r="C76" s="18">
        <v>33.0</v>
      </c>
      <c r="D76" s="18">
        <v>976.0</v>
      </c>
      <c r="E76" s="18">
        <v>347.0</v>
      </c>
      <c r="F76" s="18">
        <v>0.0</v>
      </c>
      <c r="G76" s="18">
        <v>0.0</v>
      </c>
      <c r="H76" s="20">
        <v>1.0</v>
      </c>
      <c r="I76" s="20">
        <v>1.0</v>
      </c>
      <c r="J76" s="20">
        <v>1.0</v>
      </c>
      <c r="K76" s="20">
        <v>0.0</v>
      </c>
      <c r="L76" s="22">
        <v>46149.12975694444</v>
      </c>
      <c r="M76" s="22">
        <v>46173.53414351852</v>
      </c>
    </row>
    <row r="77" ht="15.75" customHeight="1">
      <c r="A77" s="15" t="s">
        <v>228</v>
      </c>
      <c r="B77" s="17" t="b">
        <v>1</v>
      </c>
      <c r="C77" s="18">
        <v>32.0</v>
      </c>
      <c r="D77" s="18">
        <v>1338.0</v>
      </c>
      <c r="E77" s="18">
        <v>18516.0</v>
      </c>
      <c r="F77" s="18">
        <v>0.0</v>
      </c>
      <c r="G77" s="18">
        <v>0.0</v>
      </c>
      <c r="H77" s="20">
        <v>1.0</v>
      </c>
      <c r="I77" s="20">
        <v>0.0</v>
      </c>
      <c r="J77" s="20">
        <v>1.0</v>
      </c>
      <c r="K77" s="20">
        <v>1.0</v>
      </c>
      <c r="L77" s="22">
        <v>46014.03724537037</v>
      </c>
      <c r="M77" s="22">
        <v>46092.50466435185</v>
      </c>
    </row>
    <row r="78" ht="15.75" customHeight="1">
      <c r="A78" s="18" t="s">
        <v>78</v>
      </c>
      <c r="B78" s="17" t="b">
        <v>1</v>
      </c>
      <c r="C78" s="18">
        <v>30.0</v>
      </c>
      <c r="D78" s="18">
        <v>441.0</v>
      </c>
      <c r="E78" s="18">
        <v>0.0</v>
      </c>
      <c r="F78" s="18">
        <v>0.0</v>
      </c>
      <c r="G78" s="18">
        <v>0.0</v>
      </c>
      <c r="H78" s="20">
        <v>1.0</v>
      </c>
      <c r="I78" s="20">
        <v>0.0</v>
      </c>
      <c r="J78" s="20">
        <v>0.0</v>
      </c>
      <c r="K78" s="20">
        <v>0.0</v>
      </c>
      <c r="L78" s="22">
        <v>46012.55143518518</v>
      </c>
      <c r="M78" s="22"/>
    </row>
    <row r="79" ht="15.75" customHeight="1">
      <c r="A79" s="15" t="s">
        <v>80</v>
      </c>
      <c r="B79" s="17" t="b">
        <v>0</v>
      </c>
      <c r="C79" s="18">
        <v>29.0</v>
      </c>
      <c r="D79" s="18">
        <v>2543.0</v>
      </c>
      <c r="E79" s="18">
        <v>4373393.0</v>
      </c>
      <c r="F79" s="18">
        <v>7401.0</v>
      </c>
      <c r="G79" s="18">
        <v>838.0</v>
      </c>
      <c r="H79" s="20">
        <v>1.0</v>
      </c>
      <c r="I79" s="20">
        <v>1.0</v>
      </c>
      <c r="J79" s="20">
        <v>0.0</v>
      </c>
      <c r="K79" s="20">
        <v>1.0</v>
      </c>
      <c r="L79" s="22">
        <v>46196.23112268518</v>
      </c>
      <c r="M79" s="22"/>
    </row>
    <row r="80" ht="15.75" customHeight="1">
      <c r="A80" s="18" t="s">
        <v>82</v>
      </c>
      <c r="B80" s="17" t="b">
        <v>1</v>
      </c>
      <c r="C80" s="18">
        <v>29.0</v>
      </c>
      <c r="D80" s="18">
        <v>591.0</v>
      </c>
      <c r="E80" s="18">
        <v>0.0</v>
      </c>
      <c r="F80" s="18">
        <v>0.0</v>
      </c>
      <c r="G80" s="18">
        <v>0.0</v>
      </c>
      <c r="H80" s="20">
        <v>1.0</v>
      </c>
      <c r="I80" s="20">
        <v>1.0</v>
      </c>
      <c r="J80" s="20">
        <v>0.0</v>
      </c>
      <c r="K80" s="20">
        <v>0.0</v>
      </c>
      <c r="L80" s="22">
        <v>46154.71512731481</v>
      </c>
      <c r="M80" s="18"/>
    </row>
    <row r="81" ht="15.75" customHeight="1">
      <c r="A81" s="15" t="s">
        <v>83</v>
      </c>
      <c r="B81" s="17" t="b">
        <v>1</v>
      </c>
      <c r="C81" s="18">
        <v>28.0</v>
      </c>
      <c r="D81" s="18">
        <v>2153.0</v>
      </c>
      <c r="E81" s="18">
        <v>64554.0</v>
      </c>
      <c r="F81" s="18">
        <v>0.0</v>
      </c>
      <c r="G81" s="18">
        <v>0.0</v>
      </c>
      <c r="H81" s="20">
        <v>2.0</v>
      </c>
      <c r="I81" s="20">
        <v>2.0</v>
      </c>
      <c r="J81" s="20">
        <v>0.0</v>
      </c>
      <c r="K81" s="20">
        <v>0.0</v>
      </c>
      <c r="L81" s="22">
        <v>46158.39027777778</v>
      </c>
      <c r="M81" s="18"/>
    </row>
    <row r="82" ht="15.75" customHeight="1">
      <c r="A82" s="18" t="s">
        <v>237</v>
      </c>
      <c r="B82" s="17" t="b">
        <v>1</v>
      </c>
      <c r="C82" s="18">
        <v>27.0</v>
      </c>
      <c r="D82" s="18">
        <v>1992.0</v>
      </c>
      <c r="E82" s="18">
        <v>0.0</v>
      </c>
      <c r="F82" s="18">
        <v>0.0</v>
      </c>
      <c r="G82" s="18">
        <v>0.0</v>
      </c>
      <c r="H82" s="20">
        <v>1.0</v>
      </c>
      <c r="I82" s="20">
        <v>0.0</v>
      </c>
      <c r="J82" s="20">
        <v>1.0</v>
      </c>
      <c r="K82" s="20">
        <v>0.0</v>
      </c>
      <c r="L82" s="22">
        <v>45769.304756944446</v>
      </c>
      <c r="M82" s="22">
        <v>46110.090150462966</v>
      </c>
    </row>
    <row r="83" ht="15.75" customHeight="1">
      <c r="A83" s="15" t="s">
        <v>239</v>
      </c>
      <c r="B83" s="17" t="b">
        <v>1</v>
      </c>
      <c r="C83" s="18">
        <v>25.0</v>
      </c>
      <c r="D83" s="18">
        <v>775.0</v>
      </c>
      <c r="E83" s="18">
        <v>0.0</v>
      </c>
      <c r="F83" s="18">
        <v>0.0</v>
      </c>
      <c r="G83" s="18">
        <v>0.0</v>
      </c>
      <c r="H83" s="20">
        <v>1.0</v>
      </c>
      <c r="I83" s="20">
        <v>0.0</v>
      </c>
      <c r="J83" s="20">
        <v>1.0</v>
      </c>
      <c r="K83" s="20">
        <v>1.0</v>
      </c>
      <c r="L83" s="22">
        <v>45755.028229166666</v>
      </c>
      <c r="M83" s="22">
        <v>46099.694444444445</v>
      </c>
    </row>
    <row r="84" ht="15.75" customHeight="1">
      <c r="A84" s="15" t="s">
        <v>241</v>
      </c>
      <c r="B84" s="17" t="b">
        <v>0</v>
      </c>
      <c r="C84" s="18">
        <v>21.0</v>
      </c>
      <c r="D84" s="18">
        <v>412.0</v>
      </c>
      <c r="E84" s="18">
        <v>33.0</v>
      </c>
      <c r="F84" s="18">
        <v>0.0</v>
      </c>
      <c r="G84" s="18">
        <v>0.0</v>
      </c>
      <c r="H84" s="20">
        <v>1.0</v>
      </c>
      <c r="I84" s="20">
        <v>0.0</v>
      </c>
      <c r="J84" s="20">
        <v>1.0</v>
      </c>
      <c r="K84" s="20">
        <v>0.0</v>
      </c>
      <c r="L84" s="22">
        <v>45936.14304398148</v>
      </c>
      <c r="M84" s="22">
        <v>46114.02990740741</v>
      </c>
    </row>
    <row r="85" ht="15.75" customHeight="1">
      <c r="A85" s="18" t="s">
        <v>243</v>
      </c>
      <c r="B85" s="17" t="b">
        <v>1</v>
      </c>
      <c r="C85" s="18">
        <v>21.0</v>
      </c>
      <c r="D85" s="18">
        <v>468.0</v>
      </c>
      <c r="E85" s="18">
        <v>0.0</v>
      </c>
      <c r="F85" s="18">
        <v>0.0</v>
      </c>
      <c r="G85" s="18">
        <v>0.0</v>
      </c>
      <c r="H85" s="20">
        <v>1.0</v>
      </c>
      <c r="I85" s="20">
        <v>0.0</v>
      </c>
      <c r="J85" s="20">
        <v>1.0</v>
      </c>
      <c r="K85" s="20">
        <v>0.0</v>
      </c>
      <c r="L85" s="22">
        <v>45812.46876157408</v>
      </c>
      <c r="M85" s="22">
        <v>46056.57331018519</v>
      </c>
    </row>
    <row r="86" ht="15.75" customHeight="1">
      <c r="A86" s="18" t="s">
        <v>244</v>
      </c>
      <c r="B86" s="17" t="b">
        <v>1</v>
      </c>
      <c r="C86" s="18">
        <v>20.0</v>
      </c>
      <c r="D86" s="18">
        <v>645.0</v>
      </c>
      <c r="E86" s="18">
        <v>0.0</v>
      </c>
      <c r="F86" s="18">
        <v>0.0</v>
      </c>
      <c r="G86" s="18">
        <v>0.0</v>
      </c>
      <c r="H86" s="20">
        <v>1.0</v>
      </c>
      <c r="I86" s="20">
        <v>0.0</v>
      </c>
      <c r="J86" s="20">
        <v>1.0</v>
      </c>
      <c r="K86" s="20">
        <v>0.0</v>
      </c>
      <c r="L86" s="22">
        <v>45814.29001157408</v>
      </c>
      <c r="M86" s="22">
        <v>46066.31222222222</v>
      </c>
    </row>
    <row r="87" ht="15.75" customHeight="1">
      <c r="A87" s="15" t="s">
        <v>87</v>
      </c>
      <c r="B87" s="17" t="b">
        <v>1</v>
      </c>
      <c r="C87" s="18">
        <v>20.0</v>
      </c>
      <c r="D87" s="18">
        <v>2039.0</v>
      </c>
      <c r="E87" s="18">
        <v>28362.0</v>
      </c>
      <c r="F87" s="18">
        <v>0.0</v>
      </c>
      <c r="G87" s="18">
        <v>0.0</v>
      </c>
      <c r="H87" s="20">
        <v>2.0</v>
      </c>
      <c r="I87" s="20">
        <v>2.0</v>
      </c>
      <c r="J87" s="20">
        <v>1.0</v>
      </c>
      <c r="K87" s="20">
        <v>0.0</v>
      </c>
      <c r="L87" s="22">
        <v>46080.545648148145</v>
      </c>
      <c r="M87" s="22"/>
    </row>
    <row r="88" ht="15.75" customHeight="1">
      <c r="A88" s="15" t="s">
        <v>89</v>
      </c>
      <c r="B88" s="17" t="b">
        <v>1</v>
      </c>
      <c r="C88" s="18">
        <v>18.0</v>
      </c>
      <c r="D88" s="18">
        <v>365.0</v>
      </c>
      <c r="E88" s="18">
        <v>3.95713575E8</v>
      </c>
      <c r="F88" s="18">
        <v>0.0</v>
      </c>
      <c r="G88" s="18">
        <v>0.0</v>
      </c>
      <c r="H88" s="20">
        <v>2.0</v>
      </c>
      <c r="I88" s="20">
        <v>0.0</v>
      </c>
      <c r="J88" s="20">
        <v>0.0</v>
      </c>
      <c r="K88" s="20">
        <v>2.0</v>
      </c>
      <c r="L88" s="22">
        <v>46034.34081018518</v>
      </c>
      <c r="M88" s="18"/>
    </row>
    <row r="89" ht="15.75" customHeight="1">
      <c r="A89" s="15" t="s">
        <v>91</v>
      </c>
      <c r="B89" s="17" t="b">
        <v>1</v>
      </c>
      <c r="C89" s="18">
        <v>16.0</v>
      </c>
      <c r="D89" s="18">
        <v>918.0</v>
      </c>
      <c r="E89" s="18">
        <v>48863.0</v>
      </c>
      <c r="F89" s="18">
        <v>0.0</v>
      </c>
      <c r="G89" s="18">
        <v>0.0</v>
      </c>
      <c r="H89" s="20">
        <v>1.0</v>
      </c>
      <c r="I89" s="20">
        <v>1.0</v>
      </c>
      <c r="J89" s="20">
        <v>0.0</v>
      </c>
      <c r="K89" s="20">
        <v>0.0</v>
      </c>
      <c r="L89" s="22">
        <v>46173.410219907404</v>
      </c>
      <c r="M89" s="18"/>
    </row>
    <row r="90" ht="15.75" customHeight="1">
      <c r="A90" s="18" t="s">
        <v>95</v>
      </c>
      <c r="B90" s="17" t="b">
        <v>1</v>
      </c>
      <c r="C90" s="18">
        <v>15.0</v>
      </c>
      <c r="D90" s="18">
        <v>647.0</v>
      </c>
      <c r="E90" s="18">
        <v>38902.0</v>
      </c>
      <c r="F90" s="18">
        <v>6.0</v>
      </c>
      <c r="G90" s="18">
        <v>1.0</v>
      </c>
      <c r="H90" s="20">
        <v>3.0</v>
      </c>
      <c r="I90" s="20">
        <v>3.0</v>
      </c>
      <c r="J90" s="20">
        <v>0.0</v>
      </c>
      <c r="K90" s="20">
        <v>0.0</v>
      </c>
      <c r="L90" s="22">
        <v>46134.514131944445</v>
      </c>
      <c r="M90" s="18"/>
    </row>
    <row r="91" ht="15.75" customHeight="1">
      <c r="A91" s="15" t="s">
        <v>97</v>
      </c>
      <c r="B91" s="17" t="b">
        <v>1</v>
      </c>
      <c r="C91" s="18">
        <v>14.0</v>
      </c>
      <c r="D91" s="18">
        <v>743.0</v>
      </c>
      <c r="E91" s="18">
        <v>38948.0</v>
      </c>
      <c r="F91" s="18">
        <v>0.0</v>
      </c>
      <c r="G91" s="18">
        <v>0.0</v>
      </c>
      <c r="H91" s="20">
        <v>1.0</v>
      </c>
      <c r="I91" s="20">
        <v>1.0</v>
      </c>
      <c r="J91" s="20">
        <v>0.0</v>
      </c>
      <c r="K91" s="20">
        <v>0.0</v>
      </c>
      <c r="L91" s="22">
        <v>46197.300162037034</v>
      </c>
      <c r="M91" s="18"/>
    </row>
    <row r="92" ht="15.75" customHeight="1">
      <c r="A92" s="18" t="s">
        <v>245</v>
      </c>
      <c r="B92" s="17" t="b">
        <v>0</v>
      </c>
      <c r="C92" s="18">
        <v>13.0</v>
      </c>
      <c r="D92" s="18">
        <v>140.0</v>
      </c>
      <c r="E92" s="18">
        <v>1.0</v>
      </c>
      <c r="F92" s="18">
        <v>0.0</v>
      </c>
      <c r="G92" s="18">
        <v>0.0</v>
      </c>
      <c r="H92" s="20">
        <v>1.0</v>
      </c>
      <c r="I92" s="20">
        <v>1.0</v>
      </c>
      <c r="J92" s="20">
        <v>1.0</v>
      </c>
      <c r="K92" s="20">
        <v>0.0</v>
      </c>
      <c r="L92" s="22">
        <v>46056.420011574075</v>
      </c>
      <c r="M92" s="22">
        <v>46194.81344907408</v>
      </c>
    </row>
    <row r="93" ht="15.75" customHeight="1">
      <c r="A93" s="18" t="s">
        <v>100</v>
      </c>
      <c r="B93" s="17" t="b">
        <v>1</v>
      </c>
      <c r="C93" s="18">
        <v>13.0</v>
      </c>
      <c r="D93" s="18">
        <v>605.0</v>
      </c>
      <c r="E93" s="18">
        <v>0.0</v>
      </c>
      <c r="F93" s="18">
        <v>0.0</v>
      </c>
      <c r="G93" s="18">
        <v>0.0</v>
      </c>
      <c r="H93" s="20">
        <v>1.0</v>
      </c>
      <c r="I93" s="20">
        <v>0.0</v>
      </c>
      <c r="J93" s="20">
        <v>0.0</v>
      </c>
      <c r="K93" s="20">
        <v>0.0</v>
      </c>
      <c r="L93" s="22">
        <v>45928.487905092596</v>
      </c>
      <c r="M93" s="18"/>
    </row>
    <row r="94" ht="15.75" customHeight="1">
      <c r="A94" s="15" t="s">
        <v>102</v>
      </c>
      <c r="B94" s="17" t="b">
        <v>0</v>
      </c>
      <c r="C94" s="18">
        <v>12.0</v>
      </c>
      <c r="D94" s="18">
        <v>13.0</v>
      </c>
      <c r="E94" s="18">
        <v>371319.0</v>
      </c>
      <c r="F94" s="18">
        <v>16.0</v>
      </c>
      <c r="G94" s="18">
        <v>1.0</v>
      </c>
      <c r="H94" s="20">
        <v>1.0</v>
      </c>
      <c r="I94" s="20">
        <v>1.0</v>
      </c>
      <c r="J94" s="20">
        <v>0.0</v>
      </c>
      <c r="K94" s="20">
        <v>1.0</v>
      </c>
      <c r="L94" s="22">
        <v>46157.185949074075</v>
      </c>
      <c r="M94" s="18"/>
    </row>
    <row r="95" ht="15.75" customHeight="1">
      <c r="A95" s="15" t="s">
        <v>249</v>
      </c>
      <c r="B95" s="17" t="b">
        <v>0</v>
      </c>
      <c r="C95" s="18">
        <v>11.0</v>
      </c>
      <c r="D95" s="18">
        <v>1026.0</v>
      </c>
      <c r="E95" s="18">
        <v>714.0</v>
      </c>
      <c r="F95" s="18">
        <v>0.0</v>
      </c>
      <c r="G95" s="18">
        <v>0.0</v>
      </c>
      <c r="H95" s="20">
        <v>1.0</v>
      </c>
      <c r="I95" s="20">
        <v>1.0</v>
      </c>
      <c r="J95" s="20">
        <v>1.0</v>
      </c>
      <c r="K95" s="20">
        <v>0.0</v>
      </c>
      <c r="L95" s="22">
        <v>46099.24748842593</v>
      </c>
      <c r="M95" s="22">
        <v>46134.11483796296</v>
      </c>
    </row>
    <row r="96" ht="15.75" customHeight="1">
      <c r="A96" s="15" t="s">
        <v>250</v>
      </c>
      <c r="B96" s="17" t="b">
        <v>0</v>
      </c>
      <c r="C96" s="18">
        <v>11.0</v>
      </c>
      <c r="D96" s="18">
        <v>520.0</v>
      </c>
      <c r="E96" s="18">
        <v>28.0</v>
      </c>
      <c r="F96" s="18">
        <v>0.0</v>
      </c>
      <c r="G96" s="18">
        <v>0.0</v>
      </c>
      <c r="H96" s="20">
        <v>1.0</v>
      </c>
      <c r="I96" s="20">
        <v>1.0</v>
      </c>
      <c r="J96" s="20">
        <v>1.0</v>
      </c>
      <c r="K96" s="20">
        <v>0.0</v>
      </c>
      <c r="L96" s="22">
        <v>46085.47881944444</v>
      </c>
      <c r="M96" s="22">
        <v>46108.71474537037</v>
      </c>
    </row>
    <row r="97" ht="15.75" customHeight="1">
      <c r="A97" s="15" t="s">
        <v>104</v>
      </c>
      <c r="B97" s="17" t="b">
        <v>0</v>
      </c>
      <c r="C97" s="18">
        <v>11.0</v>
      </c>
      <c r="D97" s="18">
        <v>454.0</v>
      </c>
      <c r="E97" s="18">
        <v>21890.0</v>
      </c>
      <c r="F97" s="18">
        <v>0.0</v>
      </c>
      <c r="G97" s="18">
        <v>0.0</v>
      </c>
      <c r="H97" s="20">
        <v>1.0</v>
      </c>
      <c r="I97" s="20">
        <v>1.0</v>
      </c>
      <c r="J97" s="20">
        <v>0.0</v>
      </c>
      <c r="K97" s="20">
        <v>0.0</v>
      </c>
      <c r="L97" s="22">
        <v>46131.652650462966</v>
      </c>
      <c r="M97" s="18"/>
    </row>
    <row r="98" ht="15.75" customHeight="1">
      <c r="A98" s="15" t="s">
        <v>252</v>
      </c>
      <c r="B98" s="17" t="b">
        <v>1</v>
      </c>
      <c r="C98" s="18">
        <v>11.0</v>
      </c>
      <c r="D98" s="18">
        <v>681.0</v>
      </c>
      <c r="E98" s="18">
        <v>9126.0</v>
      </c>
      <c r="F98" s="18">
        <v>0.0</v>
      </c>
      <c r="G98" s="18">
        <v>0.0</v>
      </c>
      <c r="H98" s="20">
        <v>1.0</v>
      </c>
      <c r="I98" s="20">
        <v>0.0</v>
      </c>
      <c r="J98" s="20">
        <v>1.0</v>
      </c>
      <c r="K98" s="20">
        <v>1.0</v>
      </c>
      <c r="L98" s="22">
        <v>45747.947916666664</v>
      </c>
      <c r="M98" s="22">
        <v>46061.44732638889</v>
      </c>
    </row>
    <row r="99" ht="15.75" customHeight="1">
      <c r="A99" s="15" t="s">
        <v>108</v>
      </c>
      <c r="B99" s="17" t="b">
        <v>1</v>
      </c>
      <c r="C99" s="18">
        <v>11.0</v>
      </c>
      <c r="D99" s="18">
        <v>69.0</v>
      </c>
      <c r="E99" s="18">
        <v>1.0</v>
      </c>
      <c r="F99" s="18">
        <v>0.0</v>
      </c>
      <c r="G99" s="18">
        <v>0.0</v>
      </c>
      <c r="H99" s="20">
        <v>1.0</v>
      </c>
      <c r="I99" s="20">
        <v>1.0</v>
      </c>
      <c r="J99" s="20">
        <v>0.0</v>
      </c>
      <c r="K99" s="20">
        <v>0.0</v>
      </c>
      <c r="L99" s="22">
        <v>46164.845625</v>
      </c>
      <c r="M99" s="18"/>
    </row>
    <row r="100" ht="15.75" customHeight="1">
      <c r="A100" s="15" t="s">
        <v>253</v>
      </c>
      <c r="B100" s="17" t="b">
        <v>1</v>
      </c>
      <c r="C100" s="18">
        <v>10.0</v>
      </c>
      <c r="D100" s="18">
        <v>778.0</v>
      </c>
      <c r="E100" s="18">
        <v>0.0</v>
      </c>
      <c r="F100" s="18">
        <v>0.0</v>
      </c>
      <c r="G100" s="18">
        <v>0.0</v>
      </c>
      <c r="H100" s="20">
        <v>1.0</v>
      </c>
      <c r="I100" s="20">
        <v>0.0</v>
      </c>
      <c r="J100" s="20">
        <v>1.0</v>
      </c>
      <c r="K100" s="20">
        <v>1.0</v>
      </c>
      <c r="L100" s="22">
        <v>45846.97599537037</v>
      </c>
      <c r="M100" s="22">
        <v>46100.19096064815</v>
      </c>
    </row>
    <row r="101" ht="15.75" customHeight="1">
      <c r="A101" s="15" t="s">
        <v>254</v>
      </c>
      <c r="B101" s="17" t="b">
        <v>1</v>
      </c>
      <c r="C101" s="18">
        <v>10.0</v>
      </c>
      <c r="D101" s="18">
        <v>757.0</v>
      </c>
      <c r="E101" s="18">
        <v>25731.0</v>
      </c>
      <c r="F101" s="18">
        <v>0.0</v>
      </c>
      <c r="G101" s="18">
        <v>0.0</v>
      </c>
      <c r="H101" s="20">
        <v>1.0</v>
      </c>
      <c r="I101" s="20">
        <v>1.0</v>
      </c>
      <c r="J101" s="20">
        <v>1.0</v>
      </c>
      <c r="K101" s="20">
        <v>0.0</v>
      </c>
      <c r="L101" s="22">
        <v>46125.5775</v>
      </c>
      <c r="M101" s="22">
        <v>46155.57175925926</v>
      </c>
    </row>
    <row r="102" ht="15.75" customHeight="1">
      <c r="A102" s="15" t="s">
        <v>255</v>
      </c>
      <c r="B102" s="17" t="b">
        <v>1</v>
      </c>
      <c r="C102" s="18">
        <v>10.0</v>
      </c>
      <c r="D102" s="18">
        <v>653.0</v>
      </c>
      <c r="E102" s="18">
        <v>438.0</v>
      </c>
      <c r="F102" s="18">
        <v>0.0</v>
      </c>
      <c r="G102" s="18">
        <v>0.0</v>
      </c>
      <c r="H102" s="20">
        <v>1.0</v>
      </c>
      <c r="I102" s="20">
        <v>1.0</v>
      </c>
      <c r="J102" s="20">
        <v>1.0</v>
      </c>
      <c r="K102" s="20">
        <v>0.0</v>
      </c>
      <c r="L102" s="22">
        <v>46159.86702546296</v>
      </c>
      <c r="M102" s="22">
        <v>46190.96707175926</v>
      </c>
    </row>
    <row r="103" ht="15.75" customHeight="1">
      <c r="A103" s="15" t="s">
        <v>110</v>
      </c>
      <c r="B103" s="17" t="b">
        <v>1</v>
      </c>
      <c r="C103" s="18">
        <v>10.0</v>
      </c>
      <c r="D103" s="18">
        <v>108.0</v>
      </c>
      <c r="E103" s="18">
        <v>4.00635173E8</v>
      </c>
      <c r="F103" s="18">
        <v>0.0</v>
      </c>
      <c r="G103" s="18">
        <v>0.0</v>
      </c>
      <c r="H103" s="20">
        <v>2.0</v>
      </c>
      <c r="I103" s="20">
        <v>2.0</v>
      </c>
      <c r="J103" s="20">
        <v>0.0</v>
      </c>
      <c r="K103" s="20">
        <v>2.0</v>
      </c>
      <c r="L103" s="22">
        <v>46177.87238425926</v>
      </c>
      <c r="M103" s="18"/>
    </row>
    <row r="104" ht="15.75" customHeight="1">
      <c r="A104" s="15" t="s">
        <v>112</v>
      </c>
      <c r="B104" s="17" t="b">
        <v>1</v>
      </c>
      <c r="C104" s="18">
        <v>9.0</v>
      </c>
      <c r="D104" s="18">
        <v>188.0</v>
      </c>
      <c r="E104" s="18">
        <v>4.02344828E8</v>
      </c>
      <c r="F104" s="18">
        <v>0.0</v>
      </c>
      <c r="G104" s="18">
        <v>0.0</v>
      </c>
      <c r="H104" s="20">
        <v>2.0</v>
      </c>
      <c r="I104" s="20">
        <v>2.0</v>
      </c>
      <c r="J104" s="20">
        <v>0.0</v>
      </c>
      <c r="K104" s="20">
        <v>2.0</v>
      </c>
      <c r="L104" s="22">
        <v>46153.96396990741</v>
      </c>
      <c r="M104" s="18"/>
    </row>
    <row r="105" ht="15.75" customHeight="1">
      <c r="A105" s="15" t="s">
        <v>256</v>
      </c>
      <c r="B105" s="17" t="b">
        <v>1</v>
      </c>
      <c r="C105" s="18">
        <v>9.0</v>
      </c>
      <c r="D105" s="18">
        <v>167.0</v>
      </c>
      <c r="E105" s="18">
        <v>1496.0</v>
      </c>
      <c r="F105" s="18">
        <v>0.0</v>
      </c>
      <c r="G105" s="18">
        <v>0.0</v>
      </c>
      <c r="H105" s="20">
        <v>1.0</v>
      </c>
      <c r="I105" s="20">
        <v>0.0</v>
      </c>
      <c r="J105" s="20">
        <v>1.0</v>
      </c>
      <c r="K105" s="20">
        <v>0.0</v>
      </c>
      <c r="L105" s="22">
        <v>45930.996157407404</v>
      </c>
      <c r="M105" s="22">
        <v>46210.94744212963</v>
      </c>
    </row>
    <row r="106" ht="15.75" customHeight="1">
      <c r="A106" s="15" t="s">
        <v>114</v>
      </c>
      <c r="B106" s="17" t="b">
        <v>1</v>
      </c>
      <c r="C106" s="18">
        <v>8.0</v>
      </c>
      <c r="D106" s="18">
        <v>52.0</v>
      </c>
      <c r="E106" s="18">
        <v>2.0</v>
      </c>
      <c r="F106" s="18">
        <v>0.0</v>
      </c>
      <c r="G106" s="18">
        <v>0.0</v>
      </c>
      <c r="H106" s="20">
        <v>1.0</v>
      </c>
      <c r="I106" s="20">
        <v>1.0</v>
      </c>
      <c r="J106" s="20">
        <v>0.0</v>
      </c>
      <c r="K106" s="20">
        <v>0.0</v>
      </c>
      <c r="L106" s="22">
        <v>46170.28146990741</v>
      </c>
      <c r="M106" s="18"/>
    </row>
    <row r="107" ht="15.75" customHeight="1">
      <c r="A107" s="15" t="s">
        <v>117</v>
      </c>
      <c r="B107" s="17" t="b">
        <v>0</v>
      </c>
      <c r="C107" s="18">
        <v>8.0</v>
      </c>
      <c r="D107" s="18">
        <v>456.0</v>
      </c>
      <c r="E107" s="18">
        <v>16638.0</v>
      </c>
      <c r="F107" s="18">
        <v>0.0</v>
      </c>
      <c r="G107" s="18">
        <v>0.0</v>
      </c>
      <c r="H107" s="20">
        <v>1.0</v>
      </c>
      <c r="I107" s="20">
        <v>1.0</v>
      </c>
      <c r="J107" s="20">
        <v>0.0</v>
      </c>
      <c r="K107" s="20">
        <v>0.0</v>
      </c>
      <c r="L107" s="22">
        <v>46139.11170138889</v>
      </c>
      <c r="M107" s="18"/>
    </row>
    <row r="108" ht="15.75" customHeight="1">
      <c r="A108" s="15" t="s">
        <v>120</v>
      </c>
      <c r="B108" s="17" t="b">
        <v>1</v>
      </c>
      <c r="C108" s="18">
        <v>8.0</v>
      </c>
      <c r="D108" s="18">
        <v>274.0</v>
      </c>
      <c r="E108" s="18">
        <v>22266.0</v>
      </c>
      <c r="F108" s="18">
        <v>0.0</v>
      </c>
      <c r="G108" s="18">
        <v>0.0</v>
      </c>
      <c r="H108" s="20">
        <v>1.0</v>
      </c>
      <c r="I108" s="20">
        <v>1.0</v>
      </c>
      <c r="J108" s="20">
        <v>0.0</v>
      </c>
      <c r="K108" s="20">
        <v>0.0</v>
      </c>
      <c r="L108" s="22">
        <v>46154.76820601852</v>
      </c>
      <c r="M108" s="18"/>
    </row>
    <row r="109" ht="15.75" customHeight="1">
      <c r="A109" s="15" t="s">
        <v>257</v>
      </c>
      <c r="B109" s="17" t="b">
        <v>1</v>
      </c>
      <c r="C109" s="18">
        <v>7.0</v>
      </c>
      <c r="D109" s="18">
        <v>821.0</v>
      </c>
      <c r="E109" s="18">
        <v>0.0</v>
      </c>
      <c r="F109" s="18">
        <v>0.0</v>
      </c>
      <c r="G109" s="18">
        <v>0.0</v>
      </c>
      <c r="H109" s="20">
        <v>1.0</v>
      </c>
      <c r="I109" s="20">
        <v>0.0</v>
      </c>
      <c r="J109" s="20">
        <v>1.0</v>
      </c>
      <c r="K109" s="20">
        <v>1.0</v>
      </c>
      <c r="L109" s="22">
        <v>45860.1628125</v>
      </c>
      <c r="M109" s="22">
        <v>46072.25454861111</v>
      </c>
    </row>
    <row r="110" ht="15.75" customHeight="1">
      <c r="A110" s="15" t="s">
        <v>123</v>
      </c>
      <c r="B110" s="17" t="b">
        <v>1</v>
      </c>
      <c r="C110" s="18">
        <v>7.0</v>
      </c>
      <c r="D110" s="18">
        <v>67.0</v>
      </c>
      <c r="E110" s="18">
        <v>4.02361974E8</v>
      </c>
      <c r="F110" s="18">
        <v>0.0</v>
      </c>
      <c r="G110" s="18">
        <v>0.0</v>
      </c>
      <c r="H110" s="20">
        <v>2.0</v>
      </c>
      <c r="I110" s="20">
        <v>2.0</v>
      </c>
      <c r="J110" s="20">
        <v>0.0</v>
      </c>
      <c r="K110" s="20">
        <v>2.0</v>
      </c>
      <c r="L110" s="22">
        <v>46151.916608796295</v>
      </c>
      <c r="M110" s="18"/>
    </row>
    <row r="111" ht="15.75" customHeight="1">
      <c r="A111" s="15" t="s">
        <v>258</v>
      </c>
      <c r="B111" s="17" t="b">
        <v>0</v>
      </c>
      <c r="C111" s="18">
        <v>7.0</v>
      </c>
      <c r="D111" s="18">
        <v>535.0</v>
      </c>
      <c r="E111" s="18">
        <v>14.0</v>
      </c>
      <c r="F111" s="18">
        <v>0.0</v>
      </c>
      <c r="G111" s="18">
        <v>1.0</v>
      </c>
      <c r="H111" s="20">
        <v>1.0</v>
      </c>
      <c r="I111" s="20">
        <v>0.0</v>
      </c>
      <c r="J111" s="20">
        <v>1.0</v>
      </c>
      <c r="K111" s="20">
        <v>0.0</v>
      </c>
      <c r="L111" s="22">
        <v>45935.39837962963</v>
      </c>
      <c r="M111" s="22">
        <v>46119.400868055556</v>
      </c>
    </row>
    <row r="112" ht="15.75" customHeight="1">
      <c r="A112" s="15" t="s">
        <v>127</v>
      </c>
      <c r="B112" s="17" t="b">
        <v>0</v>
      </c>
      <c r="C112" s="18">
        <v>7.0</v>
      </c>
      <c r="D112" s="18">
        <v>79.0</v>
      </c>
      <c r="E112" s="18">
        <v>2.0</v>
      </c>
      <c r="F112" s="18">
        <v>1.0</v>
      </c>
      <c r="G112" s="18">
        <v>13.0</v>
      </c>
      <c r="H112" s="20">
        <v>1.0</v>
      </c>
      <c r="I112" s="20">
        <v>1.0</v>
      </c>
      <c r="J112" s="20">
        <v>0.0</v>
      </c>
      <c r="K112" s="20">
        <v>0.0</v>
      </c>
      <c r="L112" s="22">
        <v>46164.25313657407</v>
      </c>
      <c r="M112" s="18"/>
    </row>
    <row r="113" ht="15.75" customHeight="1">
      <c r="A113" s="15" t="s">
        <v>130</v>
      </c>
      <c r="B113" s="17" t="b">
        <v>1</v>
      </c>
      <c r="C113" s="18">
        <v>6.0</v>
      </c>
      <c r="D113" s="18">
        <v>663.0</v>
      </c>
      <c r="E113" s="18">
        <v>49017.0</v>
      </c>
      <c r="F113" s="18">
        <v>2.0</v>
      </c>
      <c r="G113" s="18">
        <v>2.0</v>
      </c>
      <c r="H113" s="20">
        <v>1.0</v>
      </c>
      <c r="I113" s="20">
        <v>1.0</v>
      </c>
      <c r="J113" s="20">
        <v>0.0</v>
      </c>
      <c r="K113" s="20">
        <v>0.0</v>
      </c>
      <c r="L113" s="22">
        <v>46157.17711805556</v>
      </c>
      <c r="M113" s="18"/>
    </row>
    <row r="114" ht="15.75" customHeight="1">
      <c r="A114" s="15" t="s">
        <v>134</v>
      </c>
      <c r="B114" s="17" t="b">
        <v>0</v>
      </c>
      <c r="C114" s="18">
        <v>6.0</v>
      </c>
      <c r="D114" s="18">
        <v>75.0</v>
      </c>
      <c r="E114" s="18">
        <v>2.0</v>
      </c>
      <c r="F114" s="18">
        <v>16.0</v>
      </c>
      <c r="G114" s="18">
        <v>3.0</v>
      </c>
      <c r="H114" s="20">
        <v>1.0</v>
      </c>
      <c r="I114" s="20">
        <v>1.0</v>
      </c>
      <c r="J114" s="20">
        <v>0.0</v>
      </c>
      <c r="K114" s="20">
        <v>0.0</v>
      </c>
      <c r="L114" s="22">
        <v>46169.02310185185</v>
      </c>
      <c r="M114" s="18"/>
    </row>
    <row r="115" ht="15.75" customHeight="1">
      <c r="A115" s="15" t="s">
        <v>259</v>
      </c>
      <c r="B115" s="17" t="b">
        <v>0</v>
      </c>
      <c r="C115" s="18">
        <v>6.0</v>
      </c>
      <c r="D115" s="18">
        <v>379.0</v>
      </c>
      <c r="E115" s="18">
        <v>260.0</v>
      </c>
      <c r="F115" s="18">
        <v>0.0</v>
      </c>
      <c r="G115" s="18">
        <v>0.0</v>
      </c>
      <c r="H115" s="20">
        <v>2.0</v>
      </c>
      <c r="I115" s="20">
        <v>2.0</v>
      </c>
      <c r="J115" s="20">
        <v>2.0</v>
      </c>
      <c r="K115" s="20">
        <v>0.0</v>
      </c>
      <c r="L115" s="22">
        <v>46088.438425925924</v>
      </c>
      <c r="M115" s="22">
        <v>46149.90912037037</v>
      </c>
    </row>
    <row r="116" ht="15.75" customHeight="1">
      <c r="A116" s="15" t="s">
        <v>137</v>
      </c>
      <c r="B116" s="17" t="b">
        <v>1</v>
      </c>
      <c r="C116" s="18">
        <v>6.0</v>
      </c>
      <c r="D116" s="18">
        <v>50.0</v>
      </c>
      <c r="E116" s="18">
        <v>3.85504611E8</v>
      </c>
      <c r="F116" s="18">
        <v>0.0</v>
      </c>
      <c r="G116" s="18">
        <v>0.0</v>
      </c>
      <c r="H116" s="20">
        <v>1.0</v>
      </c>
      <c r="I116" s="20">
        <v>1.0</v>
      </c>
      <c r="J116" s="20">
        <v>0.0</v>
      </c>
      <c r="K116" s="20">
        <v>1.0</v>
      </c>
      <c r="L116" s="22">
        <v>46189.054444444446</v>
      </c>
      <c r="M116" s="18"/>
    </row>
    <row r="117" ht="15.75" customHeight="1">
      <c r="A117" s="15" t="s">
        <v>139</v>
      </c>
      <c r="B117" s="17" t="b">
        <v>1</v>
      </c>
      <c r="C117" s="18">
        <v>4.3</v>
      </c>
      <c r="D117" s="18">
        <v>83.0</v>
      </c>
      <c r="E117" s="18">
        <v>3.99951731E8</v>
      </c>
      <c r="F117" s="18">
        <v>0.0</v>
      </c>
      <c r="G117" s="18">
        <v>0.0</v>
      </c>
      <c r="H117" s="20">
        <v>2.0</v>
      </c>
      <c r="I117" s="20">
        <v>2.0</v>
      </c>
      <c r="J117" s="20">
        <v>0.0</v>
      </c>
      <c r="K117" s="20">
        <v>2.0</v>
      </c>
      <c r="L117" s="22">
        <v>46068.123923611114</v>
      </c>
      <c r="M117" s="18"/>
    </row>
    <row r="118" ht="15.75" customHeight="1">
      <c r="A118" s="15" t="s">
        <v>142</v>
      </c>
      <c r="B118" s="17" t="b">
        <v>1</v>
      </c>
      <c r="C118" s="18">
        <v>4.1</v>
      </c>
      <c r="D118" s="18">
        <v>125.0</v>
      </c>
      <c r="E118" s="18">
        <v>3.99766817E8</v>
      </c>
      <c r="F118" s="18">
        <v>0.0</v>
      </c>
      <c r="G118" s="18">
        <v>0.0</v>
      </c>
      <c r="H118" s="20">
        <v>1.0</v>
      </c>
      <c r="I118" s="20">
        <v>1.0</v>
      </c>
      <c r="J118" s="20">
        <v>0.0</v>
      </c>
      <c r="K118" s="20">
        <v>1.0</v>
      </c>
      <c r="L118" s="22">
        <v>46155.79767361111</v>
      </c>
      <c r="M118" s="18"/>
    </row>
    <row r="119" ht="15.75" customHeight="1">
      <c r="A119" s="15" t="s">
        <v>260</v>
      </c>
      <c r="B119" s="17" t="b">
        <v>0</v>
      </c>
      <c r="C119" s="18">
        <v>3.3</v>
      </c>
      <c r="D119" s="18">
        <v>115.0</v>
      </c>
      <c r="E119" s="18">
        <v>2.0</v>
      </c>
      <c r="F119" s="18">
        <v>0.0</v>
      </c>
      <c r="G119" s="18">
        <v>0.0</v>
      </c>
      <c r="H119" s="20">
        <v>1.0</v>
      </c>
      <c r="I119" s="20">
        <v>0.0</v>
      </c>
      <c r="J119" s="20">
        <v>1.0</v>
      </c>
      <c r="K119" s="20">
        <v>0.0</v>
      </c>
      <c r="L119" s="22">
        <v>45927.80611111111</v>
      </c>
      <c r="M119" s="22">
        <v>46136.74340277778</v>
      </c>
    </row>
    <row r="120" ht="15.75" customHeight="1">
      <c r="A120" s="15" t="s">
        <v>146</v>
      </c>
      <c r="B120" s="17" t="b">
        <v>1</v>
      </c>
      <c r="C120" s="18">
        <v>2.2</v>
      </c>
      <c r="D120" s="18">
        <v>45.0</v>
      </c>
      <c r="E120" s="18">
        <v>4.02399436E8</v>
      </c>
      <c r="F120" s="18">
        <v>0.0</v>
      </c>
      <c r="G120" s="18">
        <v>0.0</v>
      </c>
      <c r="H120" s="20">
        <v>2.0</v>
      </c>
      <c r="I120" s="20">
        <v>2.0</v>
      </c>
      <c r="J120" s="20">
        <v>0.0</v>
      </c>
      <c r="K120" s="20">
        <v>2.0</v>
      </c>
      <c r="L120" s="22">
        <v>46072.974224537036</v>
      </c>
      <c r="M120" s="18"/>
    </row>
    <row r="121" ht="15.75" customHeight="1">
      <c r="A121" s="15" t="s">
        <v>149</v>
      </c>
      <c r="B121" s="17" t="b">
        <v>1</v>
      </c>
      <c r="C121" s="18">
        <v>1.4</v>
      </c>
      <c r="D121" s="18">
        <v>141.0</v>
      </c>
      <c r="E121" s="18">
        <v>6501.0</v>
      </c>
      <c r="F121" s="18">
        <v>0.0</v>
      </c>
      <c r="G121" s="18">
        <v>2.0</v>
      </c>
      <c r="H121" s="20">
        <v>1.0</v>
      </c>
      <c r="I121" s="20">
        <v>1.0</v>
      </c>
      <c r="J121" s="20">
        <v>0.0</v>
      </c>
      <c r="K121" s="20">
        <v>0.0</v>
      </c>
      <c r="L121" s="22">
        <v>46086.46258101852</v>
      </c>
      <c r="M121" s="18"/>
    </row>
    <row r="122" ht="15.75" customHeight="1">
      <c r="A122" s="15" t="s">
        <v>152</v>
      </c>
      <c r="B122" s="17" t="b">
        <v>1</v>
      </c>
      <c r="C122" s="18">
        <v>1.1</v>
      </c>
      <c r="D122" s="18">
        <v>60.0</v>
      </c>
      <c r="E122" s="18">
        <v>127979.0</v>
      </c>
      <c r="F122" s="18">
        <v>0.0</v>
      </c>
      <c r="G122" s="18">
        <v>1.0</v>
      </c>
      <c r="H122" s="20">
        <v>1.0</v>
      </c>
      <c r="I122" s="20">
        <v>0.0</v>
      </c>
      <c r="J122" s="20">
        <v>0.0</v>
      </c>
      <c r="K122" s="20">
        <v>1.0</v>
      </c>
      <c r="L122" s="22">
        <v>45886.687627314815</v>
      </c>
      <c r="M122" s="18"/>
    </row>
    <row r="123" ht="15.75" customHeight="1">
      <c r="A123" s="18" t="s">
        <v>156</v>
      </c>
      <c r="B123" s="17" t="b">
        <v>1</v>
      </c>
      <c r="C123" s="18">
        <v>1.1</v>
      </c>
      <c r="D123" s="18">
        <v>135.0</v>
      </c>
      <c r="E123" s="18">
        <v>997.0</v>
      </c>
      <c r="F123" s="18">
        <v>0.0</v>
      </c>
      <c r="G123" s="18">
        <v>0.0</v>
      </c>
      <c r="H123" s="20">
        <v>1.0</v>
      </c>
      <c r="I123" s="20">
        <v>1.0</v>
      </c>
      <c r="J123" s="20">
        <v>0.0</v>
      </c>
      <c r="K123" s="20">
        <v>0.0</v>
      </c>
      <c r="L123" s="22">
        <v>46150.49134259259</v>
      </c>
      <c r="M123" s="18"/>
    </row>
    <row r="124" ht="15.75" customHeight="1">
      <c r="A124" s="18" t="s">
        <v>26</v>
      </c>
      <c r="B124" s="17" t="b">
        <v>1</v>
      </c>
      <c r="C124" s="18">
        <v>0.8</v>
      </c>
      <c r="D124" s="18">
        <v>68.0</v>
      </c>
      <c r="E124" s="18">
        <v>0.0</v>
      </c>
      <c r="F124" s="18">
        <v>0.0</v>
      </c>
      <c r="G124" s="18">
        <v>0.0</v>
      </c>
      <c r="H124" s="20">
        <v>1.0</v>
      </c>
      <c r="I124" s="20">
        <v>1.0</v>
      </c>
      <c r="J124" s="20">
        <v>0.0</v>
      </c>
      <c r="K124" s="20">
        <v>0.0</v>
      </c>
      <c r="L124" s="22">
        <v>46204.35445601852</v>
      </c>
      <c r="M124" s="18"/>
    </row>
    <row r="125" ht="15.75" customHeight="1">
      <c r="A125" s="18" t="s">
        <v>27</v>
      </c>
      <c r="B125" s="17" t="b">
        <v>1</v>
      </c>
      <c r="C125" s="18">
        <v>0.8</v>
      </c>
      <c r="D125" s="18">
        <v>68.0</v>
      </c>
      <c r="E125" s="18">
        <v>0.0</v>
      </c>
      <c r="F125" s="18">
        <v>0.0</v>
      </c>
      <c r="G125" s="18">
        <v>0.0</v>
      </c>
      <c r="H125" s="20">
        <v>1.0</v>
      </c>
      <c r="I125" s="20">
        <v>1.0</v>
      </c>
      <c r="J125" s="20">
        <v>0.0</v>
      </c>
      <c r="K125" s="20">
        <v>0.0</v>
      </c>
      <c r="L125" s="22">
        <v>46206.348032407404</v>
      </c>
      <c r="M125" s="18"/>
    </row>
    <row r="126" ht="15.75" customHeight="1">
      <c r="A126" s="18" t="s">
        <v>160</v>
      </c>
      <c r="B126" s="17" t="b">
        <v>1</v>
      </c>
      <c r="C126" s="18">
        <v>0.8</v>
      </c>
      <c r="D126" s="18">
        <v>68.0</v>
      </c>
      <c r="E126" s="18">
        <v>0.0</v>
      </c>
      <c r="F126" s="18">
        <v>0.0</v>
      </c>
      <c r="G126" s="18">
        <v>0.0</v>
      </c>
      <c r="H126" s="20">
        <v>1.0</v>
      </c>
      <c r="I126" s="20">
        <v>1.0</v>
      </c>
      <c r="J126" s="20">
        <v>0.0</v>
      </c>
      <c r="K126" s="20">
        <v>0.0</v>
      </c>
      <c r="L126" s="22">
        <v>46195.809386574074</v>
      </c>
      <c r="M126" s="22"/>
    </row>
    <row r="127" ht="15.75" customHeight="1">
      <c r="A127" s="18" t="s">
        <v>162</v>
      </c>
      <c r="B127" s="17" t="b">
        <v>1</v>
      </c>
      <c r="C127" s="18">
        <v>0.8</v>
      </c>
      <c r="D127" s="18">
        <v>68.0</v>
      </c>
      <c r="E127" s="18">
        <v>0.0</v>
      </c>
      <c r="F127" s="18">
        <v>0.0</v>
      </c>
      <c r="G127" s="18">
        <v>0.0</v>
      </c>
      <c r="H127" s="20">
        <v>1.0</v>
      </c>
      <c r="I127" s="20">
        <v>1.0</v>
      </c>
      <c r="J127" s="20">
        <v>0.0</v>
      </c>
      <c r="K127" s="20">
        <v>0.0</v>
      </c>
      <c r="L127" s="22">
        <v>46195.46508101852</v>
      </c>
      <c r="M127" s="18"/>
    </row>
    <row r="128" ht="15.75" customHeight="1">
      <c r="A128" s="18" t="s">
        <v>164</v>
      </c>
      <c r="B128" s="17" t="b">
        <v>1</v>
      </c>
      <c r="C128" s="18">
        <v>0.8</v>
      </c>
      <c r="D128" s="18">
        <v>68.0</v>
      </c>
      <c r="E128" s="18">
        <v>0.0</v>
      </c>
      <c r="F128" s="18">
        <v>0.0</v>
      </c>
      <c r="G128" s="18">
        <v>0.0</v>
      </c>
      <c r="H128" s="20">
        <v>1.0</v>
      </c>
      <c r="I128" s="20">
        <v>1.0</v>
      </c>
      <c r="J128" s="20">
        <v>0.0</v>
      </c>
      <c r="K128" s="20">
        <v>0.0</v>
      </c>
      <c r="L128" s="22">
        <v>46184.453888888886</v>
      </c>
      <c r="M128" s="22"/>
    </row>
    <row r="129" ht="15.75" customHeight="1">
      <c r="A129" s="18" t="s">
        <v>166</v>
      </c>
      <c r="B129" s="17" t="b">
        <v>1</v>
      </c>
      <c r="C129" s="18">
        <v>0.8</v>
      </c>
      <c r="D129" s="18">
        <v>68.0</v>
      </c>
      <c r="E129" s="18">
        <v>996.0</v>
      </c>
      <c r="F129" s="18">
        <v>0.0</v>
      </c>
      <c r="G129" s="18">
        <v>0.0</v>
      </c>
      <c r="H129" s="20">
        <v>1.0</v>
      </c>
      <c r="I129" s="20">
        <v>1.0</v>
      </c>
      <c r="J129" s="20">
        <v>0.0</v>
      </c>
      <c r="K129" s="20">
        <v>0.0</v>
      </c>
      <c r="L129" s="22">
        <v>46184.44888888889</v>
      </c>
      <c r="M129" s="18"/>
    </row>
    <row r="130" ht="15.75" customHeight="1">
      <c r="A130" s="18" t="s">
        <v>168</v>
      </c>
      <c r="B130" s="17" t="b">
        <v>1</v>
      </c>
      <c r="C130" s="18">
        <v>0.8</v>
      </c>
      <c r="D130" s="18">
        <v>68.0</v>
      </c>
      <c r="E130" s="18">
        <v>996.0</v>
      </c>
      <c r="F130" s="18">
        <v>0.0</v>
      </c>
      <c r="G130" s="18">
        <v>0.0</v>
      </c>
      <c r="H130" s="20">
        <v>1.0</v>
      </c>
      <c r="I130" s="20">
        <v>1.0</v>
      </c>
      <c r="J130" s="20">
        <v>0.0</v>
      </c>
      <c r="K130" s="20">
        <v>0.0</v>
      </c>
      <c r="L130" s="22">
        <v>46194.2915162037</v>
      </c>
      <c r="M130" s="18"/>
    </row>
    <row r="131" ht="15.75" customHeight="1">
      <c r="A131" s="18" t="s">
        <v>169</v>
      </c>
      <c r="B131" s="17" t="b">
        <v>1</v>
      </c>
      <c r="C131" s="18">
        <v>0.8</v>
      </c>
      <c r="D131" s="18">
        <v>68.0</v>
      </c>
      <c r="E131" s="18">
        <v>996.0</v>
      </c>
      <c r="F131" s="18">
        <v>0.0</v>
      </c>
      <c r="G131" s="18">
        <v>0.0</v>
      </c>
      <c r="H131" s="20">
        <v>1.0</v>
      </c>
      <c r="I131" s="20">
        <v>1.0</v>
      </c>
      <c r="J131" s="20">
        <v>0.0</v>
      </c>
      <c r="K131" s="20">
        <v>0.0</v>
      </c>
      <c r="L131" s="22">
        <v>46194.71581018518</v>
      </c>
      <c r="M131" s="22"/>
    </row>
    <row r="132" ht="15.75" customHeight="1">
      <c r="A132" s="20" t="s">
        <v>172</v>
      </c>
      <c r="B132" s="16" t="b">
        <v>1</v>
      </c>
      <c r="C132" s="20">
        <v>0.8</v>
      </c>
      <c r="D132" s="20">
        <v>68.0</v>
      </c>
      <c r="E132" s="20">
        <v>996.0</v>
      </c>
      <c r="F132" s="20">
        <v>0.0</v>
      </c>
      <c r="G132" s="20">
        <v>0.0</v>
      </c>
      <c r="H132" s="20">
        <v>1.0</v>
      </c>
      <c r="I132" s="20">
        <v>1.0</v>
      </c>
      <c r="J132" s="20">
        <v>0.0</v>
      </c>
      <c r="K132" s="20">
        <v>0.0</v>
      </c>
      <c r="L132" s="23">
        <v>46186.31928240741</v>
      </c>
      <c r="M132" s="23"/>
    </row>
    <row r="133" ht="15.75" customHeight="1">
      <c r="A133" s="20" t="s">
        <v>174</v>
      </c>
      <c r="B133" s="16" t="b">
        <v>1</v>
      </c>
      <c r="C133" s="20">
        <v>0.8</v>
      </c>
      <c r="D133" s="20">
        <v>68.0</v>
      </c>
      <c r="E133" s="20">
        <v>0.0</v>
      </c>
      <c r="F133" s="20">
        <v>0.0</v>
      </c>
      <c r="G133" s="20">
        <v>0.0</v>
      </c>
      <c r="H133" s="20">
        <v>1.0</v>
      </c>
      <c r="I133" s="20">
        <v>1.0</v>
      </c>
      <c r="J133" s="20">
        <v>0.0</v>
      </c>
      <c r="K133" s="20">
        <v>0.0</v>
      </c>
      <c r="L133" s="23">
        <v>46194.61560185185</v>
      </c>
    </row>
    <row r="134" ht="15.75" customHeight="1">
      <c r="A134" s="20" t="s">
        <v>176</v>
      </c>
      <c r="B134" s="16" t="b">
        <v>1</v>
      </c>
      <c r="C134" s="20">
        <v>0.8</v>
      </c>
      <c r="D134" s="20">
        <v>68.0</v>
      </c>
      <c r="E134" s="20">
        <v>0.0</v>
      </c>
      <c r="F134" s="20">
        <v>0.0</v>
      </c>
      <c r="G134" s="20">
        <v>0.0</v>
      </c>
      <c r="H134" s="20">
        <v>1.0</v>
      </c>
      <c r="I134" s="20">
        <v>1.0</v>
      </c>
      <c r="J134" s="20">
        <v>0.0</v>
      </c>
      <c r="K134" s="20">
        <v>0.0</v>
      </c>
      <c r="L134" s="23">
        <v>46201.475949074076</v>
      </c>
    </row>
    <row r="135" ht="15.75" customHeight="1">
      <c r="A135" s="20" t="s">
        <v>28</v>
      </c>
      <c r="B135" s="16" t="b">
        <v>1</v>
      </c>
      <c r="C135" s="20">
        <v>0.8</v>
      </c>
      <c r="D135" s="20">
        <v>68.0</v>
      </c>
      <c r="E135" s="20">
        <v>0.0</v>
      </c>
      <c r="F135" s="20">
        <v>0.0</v>
      </c>
      <c r="G135" s="20">
        <v>0.0</v>
      </c>
      <c r="H135" s="20">
        <v>1.0</v>
      </c>
      <c r="I135" s="20">
        <v>1.0</v>
      </c>
      <c r="J135" s="20">
        <v>0.0</v>
      </c>
      <c r="K135" s="20">
        <v>0.0</v>
      </c>
      <c r="L135" s="23">
        <v>46204.92041666667</v>
      </c>
    </row>
    <row r="136" ht="15.75" customHeight="1">
      <c r="A136" s="20" t="s">
        <v>179</v>
      </c>
      <c r="B136" s="16" t="b">
        <v>1</v>
      </c>
      <c r="C136" s="20">
        <v>0.8</v>
      </c>
      <c r="D136" s="20">
        <v>68.0</v>
      </c>
      <c r="E136" s="20">
        <v>0.0</v>
      </c>
      <c r="F136" s="20">
        <v>0.0</v>
      </c>
      <c r="G136" s="20">
        <v>0.0</v>
      </c>
      <c r="H136" s="20">
        <v>1.0</v>
      </c>
      <c r="I136" s="20">
        <v>1.0</v>
      </c>
      <c r="J136" s="20">
        <v>0.0</v>
      </c>
      <c r="K136" s="20">
        <v>0.0</v>
      </c>
      <c r="L136" s="23">
        <v>46194.695706018516</v>
      </c>
    </row>
    <row r="137" ht="15.75" customHeight="1">
      <c r="A137" s="20" t="s">
        <v>181</v>
      </c>
      <c r="B137" s="16" t="b">
        <v>1</v>
      </c>
      <c r="C137" s="20">
        <v>0.8</v>
      </c>
      <c r="D137" s="20">
        <v>68.0</v>
      </c>
      <c r="E137" s="20">
        <v>997.0</v>
      </c>
      <c r="F137" s="20">
        <v>0.0</v>
      </c>
      <c r="G137" s="20">
        <v>0.0</v>
      </c>
      <c r="H137" s="20">
        <v>1.0</v>
      </c>
      <c r="I137" s="20">
        <v>1.0</v>
      </c>
      <c r="J137" s="20">
        <v>0.0</v>
      </c>
      <c r="K137" s="20">
        <v>0.0</v>
      </c>
      <c r="L137" s="23">
        <v>46193.766122685185</v>
      </c>
    </row>
    <row r="138" ht="15.75" customHeight="1">
      <c r="A138" s="31" t="s">
        <v>183</v>
      </c>
      <c r="B138" s="16" t="b">
        <v>1</v>
      </c>
      <c r="C138" s="20">
        <v>0.8</v>
      </c>
      <c r="D138" s="20">
        <v>119.0</v>
      </c>
      <c r="E138" s="20">
        <v>4.00791602E8</v>
      </c>
      <c r="F138" s="20">
        <v>0.0</v>
      </c>
      <c r="G138" s="20">
        <v>0.0</v>
      </c>
      <c r="H138" s="20">
        <v>2.0</v>
      </c>
      <c r="I138" s="20">
        <v>2.0</v>
      </c>
      <c r="J138" s="20">
        <v>0.0</v>
      </c>
      <c r="K138" s="20">
        <v>2.0</v>
      </c>
      <c r="L138" s="23">
        <v>46159.801400462966</v>
      </c>
    </row>
    <row r="139" ht="15.75" customHeight="1">
      <c r="A139" s="20" t="s">
        <v>186</v>
      </c>
      <c r="B139" s="16" t="b">
        <v>1</v>
      </c>
      <c r="C139" s="20">
        <v>0.7</v>
      </c>
      <c r="D139" s="20">
        <v>49.0</v>
      </c>
      <c r="E139" s="20">
        <v>0.0</v>
      </c>
      <c r="F139" s="20">
        <v>0.0</v>
      </c>
      <c r="G139" s="20">
        <v>0.0</v>
      </c>
      <c r="H139" s="20">
        <v>1.0</v>
      </c>
      <c r="I139" s="20">
        <v>1.0</v>
      </c>
      <c r="J139" s="20">
        <v>0.0</v>
      </c>
      <c r="K139" s="20">
        <v>0.0</v>
      </c>
      <c r="L139" s="23">
        <v>46201.89952546296</v>
      </c>
    </row>
    <row r="140" ht="15.75" customHeight="1">
      <c r="A140" s="20" t="s">
        <v>29</v>
      </c>
      <c r="B140" s="16" t="b">
        <v>1</v>
      </c>
      <c r="C140" s="20">
        <v>0.7</v>
      </c>
      <c r="D140" s="20">
        <v>49.0</v>
      </c>
      <c r="E140" s="20">
        <v>0.0</v>
      </c>
      <c r="F140" s="20">
        <v>0.0</v>
      </c>
      <c r="G140" s="20">
        <v>0.0</v>
      </c>
      <c r="H140" s="20">
        <v>1.0</v>
      </c>
      <c r="I140" s="20">
        <v>1.0</v>
      </c>
      <c r="J140" s="20">
        <v>0.0</v>
      </c>
      <c r="K140" s="20">
        <v>0.0</v>
      </c>
      <c r="L140" s="23">
        <v>46204.364270833335</v>
      </c>
    </row>
    <row r="141" ht="15.75" customHeight="1">
      <c r="A141" s="20" t="s">
        <v>31</v>
      </c>
      <c r="B141" s="16" t="b">
        <v>1</v>
      </c>
      <c r="C141" s="20">
        <v>0.7</v>
      </c>
      <c r="D141" s="20">
        <v>49.0</v>
      </c>
      <c r="E141" s="20">
        <v>0.0</v>
      </c>
      <c r="F141" s="20">
        <v>0.0</v>
      </c>
      <c r="G141" s="20">
        <v>0.0</v>
      </c>
      <c r="H141" s="20">
        <v>1.0</v>
      </c>
      <c r="I141" s="20">
        <v>1.0</v>
      </c>
      <c r="J141" s="20">
        <v>0.0</v>
      </c>
      <c r="K141" s="20">
        <v>0.0</v>
      </c>
      <c r="L141" s="23">
        <v>46213.32466435185</v>
      </c>
    </row>
    <row r="142" ht="15.75" customHeight="1">
      <c r="A142" s="20" t="s">
        <v>33</v>
      </c>
      <c r="B142" s="16" t="b">
        <v>1</v>
      </c>
      <c r="C142" s="20">
        <v>0.7</v>
      </c>
      <c r="D142" s="20">
        <v>49.0</v>
      </c>
      <c r="E142" s="20">
        <v>0.0</v>
      </c>
      <c r="F142" s="20">
        <v>0.0</v>
      </c>
      <c r="G142" s="20">
        <v>0.0</v>
      </c>
      <c r="H142" s="20">
        <v>1.0</v>
      </c>
      <c r="I142" s="20">
        <v>1.0</v>
      </c>
      <c r="J142" s="20">
        <v>0.0</v>
      </c>
      <c r="K142" s="20">
        <v>0.0</v>
      </c>
      <c r="L142" s="23">
        <v>46203.12553240741</v>
      </c>
    </row>
    <row r="143" ht="15.75" customHeight="1">
      <c r="A143" s="20" t="s">
        <v>35</v>
      </c>
      <c r="B143" s="16" t="b">
        <v>1</v>
      </c>
      <c r="C143" s="20">
        <v>0.7</v>
      </c>
      <c r="D143" s="20">
        <v>49.0</v>
      </c>
      <c r="E143" s="20">
        <v>0.0</v>
      </c>
      <c r="F143" s="20">
        <v>0.0</v>
      </c>
      <c r="G143" s="20">
        <v>0.0</v>
      </c>
      <c r="H143" s="20">
        <v>1.0</v>
      </c>
      <c r="I143" s="20">
        <v>1.0</v>
      </c>
      <c r="J143" s="20">
        <v>0.0</v>
      </c>
      <c r="K143" s="20">
        <v>0.0</v>
      </c>
      <c r="L143" s="23">
        <v>46206.507268518515</v>
      </c>
    </row>
    <row r="144" ht="15.75" customHeight="1">
      <c r="A144" s="20" t="s">
        <v>36</v>
      </c>
      <c r="B144" s="16" t="b">
        <v>1</v>
      </c>
      <c r="C144" s="20">
        <v>0.7</v>
      </c>
      <c r="D144" s="20">
        <v>49.0</v>
      </c>
      <c r="E144" s="20">
        <v>0.0</v>
      </c>
      <c r="F144" s="20">
        <v>0.0</v>
      </c>
      <c r="G144" s="20">
        <v>0.0</v>
      </c>
      <c r="H144" s="20">
        <v>1.0</v>
      </c>
      <c r="I144" s="20">
        <v>1.0</v>
      </c>
      <c r="J144" s="20">
        <v>0.0</v>
      </c>
      <c r="K144" s="20">
        <v>0.0</v>
      </c>
      <c r="L144" s="23">
        <v>46207.281493055554</v>
      </c>
    </row>
    <row r="145" ht="15.75" customHeight="1">
      <c r="A145" s="20" t="s">
        <v>39</v>
      </c>
      <c r="B145" s="16" t="b">
        <v>1</v>
      </c>
      <c r="C145" s="20">
        <v>0.7</v>
      </c>
      <c r="D145" s="20">
        <v>49.0</v>
      </c>
      <c r="E145" s="20">
        <v>0.0</v>
      </c>
      <c r="F145" s="20">
        <v>0.0</v>
      </c>
      <c r="G145" s="20">
        <v>0.0</v>
      </c>
      <c r="H145" s="20">
        <v>1.0</v>
      </c>
      <c r="I145" s="20">
        <v>1.0</v>
      </c>
      <c r="J145" s="20">
        <v>0.0</v>
      </c>
      <c r="K145" s="20">
        <v>0.0</v>
      </c>
      <c r="L145" s="23">
        <v>46205.8455787037</v>
      </c>
    </row>
    <row r="146" ht="15.75" customHeight="1">
      <c r="A146" s="20" t="s">
        <v>194</v>
      </c>
      <c r="B146" s="16" t="b">
        <v>1</v>
      </c>
      <c r="C146" s="20">
        <v>0.7</v>
      </c>
      <c r="D146" s="20">
        <v>49.0</v>
      </c>
      <c r="E146" s="20">
        <v>0.0</v>
      </c>
      <c r="F146" s="20">
        <v>0.0</v>
      </c>
      <c r="G146" s="20">
        <v>0.0</v>
      </c>
      <c r="H146" s="20">
        <v>1.0</v>
      </c>
      <c r="I146" s="20">
        <v>1.0</v>
      </c>
      <c r="J146" s="20">
        <v>0.0</v>
      </c>
      <c r="K146" s="20">
        <v>0.0</v>
      </c>
      <c r="L146" s="23">
        <v>46200.6334375</v>
      </c>
    </row>
    <row r="147" ht="15.75" customHeight="1">
      <c r="A147" s="20" t="s">
        <v>40</v>
      </c>
      <c r="B147" s="16" t="b">
        <v>1</v>
      </c>
      <c r="C147" s="20">
        <v>0.7</v>
      </c>
      <c r="D147" s="20">
        <v>49.0</v>
      </c>
      <c r="E147" s="20">
        <v>0.0</v>
      </c>
      <c r="F147" s="20">
        <v>0.0</v>
      </c>
      <c r="G147" s="20">
        <v>0.0</v>
      </c>
      <c r="H147" s="20">
        <v>1.0</v>
      </c>
      <c r="I147" s="20">
        <v>1.0</v>
      </c>
      <c r="J147" s="20">
        <v>0.0</v>
      </c>
      <c r="K147" s="20">
        <v>0.0</v>
      </c>
      <c r="L147" s="23">
        <v>46203.14407407407</v>
      </c>
    </row>
    <row r="148" ht="15.75" customHeight="1">
      <c r="A148" s="20" t="s">
        <v>42</v>
      </c>
      <c r="B148" s="16" t="b">
        <v>1</v>
      </c>
      <c r="C148" s="20">
        <v>0.7</v>
      </c>
      <c r="D148" s="20">
        <v>49.0</v>
      </c>
      <c r="E148" s="20">
        <v>0.0</v>
      </c>
      <c r="F148" s="20">
        <v>0.0</v>
      </c>
      <c r="G148" s="20">
        <v>0.0</v>
      </c>
      <c r="H148" s="20">
        <v>1.0</v>
      </c>
      <c r="I148" s="20">
        <v>1.0</v>
      </c>
      <c r="J148" s="20">
        <v>0.0</v>
      </c>
      <c r="K148" s="20">
        <v>0.0</v>
      </c>
      <c r="L148" s="23">
        <v>46206.30877314815</v>
      </c>
    </row>
    <row r="149" ht="15.75" customHeight="1">
      <c r="A149" s="20" t="s">
        <v>44</v>
      </c>
      <c r="B149" s="16" t="b">
        <v>1</v>
      </c>
      <c r="C149" s="20">
        <v>0.7</v>
      </c>
      <c r="D149" s="20">
        <v>49.0</v>
      </c>
      <c r="E149" s="20">
        <v>0.0</v>
      </c>
      <c r="F149" s="20">
        <v>0.0</v>
      </c>
      <c r="G149" s="20">
        <v>0.0</v>
      </c>
      <c r="H149" s="20">
        <v>1.0</v>
      </c>
      <c r="I149" s="20">
        <v>1.0</v>
      </c>
      <c r="J149" s="20">
        <v>0.0</v>
      </c>
      <c r="K149" s="20">
        <v>0.0</v>
      </c>
      <c r="L149" s="23">
        <v>46205.88732638889</v>
      </c>
    </row>
    <row r="150" ht="15.75" customHeight="1">
      <c r="A150" s="20" t="s">
        <v>202</v>
      </c>
      <c r="B150" s="16" t="b">
        <v>1</v>
      </c>
      <c r="C150" s="20">
        <v>0.7</v>
      </c>
      <c r="D150" s="20">
        <v>49.0</v>
      </c>
      <c r="E150" s="20">
        <v>0.0</v>
      </c>
      <c r="F150" s="20">
        <v>0.0</v>
      </c>
      <c r="G150" s="20">
        <v>0.0</v>
      </c>
      <c r="H150" s="20">
        <v>1.0</v>
      </c>
      <c r="I150" s="20">
        <v>1.0</v>
      </c>
      <c r="J150" s="20">
        <v>0.0</v>
      </c>
      <c r="K150" s="20">
        <v>0.0</v>
      </c>
      <c r="L150" s="23">
        <v>46202.679768518516</v>
      </c>
    </row>
    <row r="151" ht="15.75" customHeight="1">
      <c r="A151" s="20" t="s">
        <v>48</v>
      </c>
      <c r="B151" s="16" t="b">
        <v>1</v>
      </c>
      <c r="C151" s="20">
        <v>0.7</v>
      </c>
      <c r="D151" s="20">
        <v>49.0</v>
      </c>
      <c r="E151" s="20">
        <v>0.0</v>
      </c>
      <c r="F151" s="20">
        <v>0.0</v>
      </c>
      <c r="G151" s="20">
        <v>0.0</v>
      </c>
      <c r="H151" s="20">
        <v>1.0</v>
      </c>
      <c r="I151" s="20">
        <v>1.0</v>
      </c>
      <c r="J151" s="20">
        <v>0.0</v>
      </c>
      <c r="K151" s="20">
        <v>0.0</v>
      </c>
      <c r="L151" s="23">
        <v>46204.40244212963</v>
      </c>
    </row>
    <row r="152" ht="15.75" customHeight="1">
      <c r="A152" s="20" t="s">
        <v>206</v>
      </c>
      <c r="B152" s="16" t="b">
        <v>1</v>
      </c>
      <c r="C152" s="20">
        <v>0.7</v>
      </c>
      <c r="D152" s="20">
        <v>72.0</v>
      </c>
      <c r="E152" s="20">
        <v>0.0</v>
      </c>
      <c r="F152" s="20">
        <v>0.0</v>
      </c>
      <c r="G152" s="20">
        <v>0.0</v>
      </c>
      <c r="H152" s="20">
        <v>1.0</v>
      </c>
      <c r="I152" s="20">
        <v>1.0</v>
      </c>
      <c r="J152" s="20">
        <v>0.0</v>
      </c>
      <c r="K152" s="20">
        <v>0.0</v>
      </c>
      <c r="L152" s="23">
        <v>46202.53957175926</v>
      </c>
    </row>
    <row r="153" ht="15.75" customHeight="1">
      <c r="A153" s="20" t="s">
        <v>208</v>
      </c>
      <c r="B153" s="16" t="b">
        <v>1</v>
      </c>
      <c r="C153" s="20">
        <v>0.7</v>
      </c>
      <c r="D153" s="20">
        <v>49.0</v>
      </c>
      <c r="E153" s="20">
        <v>0.0</v>
      </c>
      <c r="F153" s="20">
        <v>0.0</v>
      </c>
      <c r="G153" s="20">
        <v>0.0</v>
      </c>
      <c r="H153" s="20">
        <v>1.0</v>
      </c>
      <c r="I153" s="20">
        <v>1.0</v>
      </c>
      <c r="J153" s="20">
        <v>0.0</v>
      </c>
      <c r="K153" s="20">
        <v>0.0</v>
      </c>
      <c r="L153" s="23">
        <v>46201.334085648145</v>
      </c>
    </row>
    <row r="154" ht="15.75" customHeight="1">
      <c r="A154" s="20" t="s">
        <v>210</v>
      </c>
      <c r="B154" s="16" t="b">
        <v>1</v>
      </c>
      <c r="C154" s="20">
        <v>0.7</v>
      </c>
      <c r="D154" s="20">
        <v>49.0</v>
      </c>
      <c r="E154" s="20">
        <v>996.0</v>
      </c>
      <c r="F154" s="20">
        <v>0.0</v>
      </c>
      <c r="G154" s="20">
        <v>0.0</v>
      </c>
      <c r="H154" s="20">
        <v>1.0</v>
      </c>
      <c r="I154" s="20">
        <v>1.0</v>
      </c>
      <c r="J154" s="20">
        <v>0.0</v>
      </c>
      <c r="K154" s="20">
        <v>0.0</v>
      </c>
      <c r="L154" s="23">
        <v>46194.114895833336</v>
      </c>
    </row>
    <row r="155" ht="15.75" customHeight="1">
      <c r="A155" s="20" t="s">
        <v>50</v>
      </c>
      <c r="B155" s="16" t="b">
        <v>1</v>
      </c>
      <c r="C155" s="20">
        <v>0.7</v>
      </c>
      <c r="D155" s="20">
        <v>49.0</v>
      </c>
      <c r="E155" s="20">
        <v>0.0</v>
      </c>
      <c r="F155" s="20">
        <v>0.0</v>
      </c>
      <c r="G155" s="20">
        <v>0.0</v>
      </c>
      <c r="H155" s="20">
        <v>1.0</v>
      </c>
      <c r="I155" s="20">
        <v>1.0</v>
      </c>
      <c r="J155" s="20">
        <v>0.0</v>
      </c>
      <c r="K155" s="20">
        <v>0.0</v>
      </c>
      <c r="L155" s="23">
        <v>46204.85400462963</v>
      </c>
    </row>
    <row r="156" ht="15.75" customHeight="1">
      <c r="A156" s="20" t="s">
        <v>53</v>
      </c>
      <c r="B156" s="16" t="b">
        <v>1</v>
      </c>
      <c r="C156" s="20">
        <v>0.7</v>
      </c>
      <c r="D156" s="20">
        <v>49.0</v>
      </c>
      <c r="E156" s="20">
        <v>0.0</v>
      </c>
      <c r="F156" s="20">
        <v>0.0</v>
      </c>
      <c r="G156" s="20">
        <v>0.0</v>
      </c>
      <c r="H156" s="20">
        <v>1.0</v>
      </c>
      <c r="I156" s="20">
        <v>1.0</v>
      </c>
      <c r="J156" s="20">
        <v>0.0</v>
      </c>
      <c r="K156" s="20">
        <v>0.0</v>
      </c>
      <c r="L156" s="23">
        <v>46206.2975</v>
      </c>
    </row>
    <row r="157" ht="15.75" customHeight="1">
      <c r="A157" s="20" t="s">
        <v>215</v>
      </c>
      <c r="B157" s="16" t="b">
        <v>1</v>
      </c>
      <c r="C157" s="20">
        <v>0.7</v>
      </c>
      <c r="D157" s="20">
        <v>49.0</v>
      </c>
      <c r="E157" s="20">
        <v>996.0</v>
      </c>
      <c r="F157" s="20">
        <v>0.0</v>
      </c>
      <c r="G157" s="20">
        <v>0.0</v>
      </c>
      <c r="H157" s="20">
        <v>1.0</v>
      </c>
      <c r="I157" s="20">
        <v>1.0</v>
      </c>
      <c r="J157" s="20">
        <v>0.0</v>
      </c>
      <c r="K157" s="20">
        <v>0.0</v>
      </c>
      <c r="L157" s="23">
        <v>46199.78989583333</v>
      </c>
    </row>
    <row r="158" ht="15.75" customHeight="1">
      <c r="A158" s="20" t="s">
        <v>55</v>
      </c>
      <c r="B158" s="16" t="b">
        <v>1</v>
      </c>
      <c r="C158" s="20">
        <v>0.7</v>
      </c>
      <c r="D158" s="20">
        <v>49.0</v>
      </c>
      <c r="E158" s="20">
        <v>0.0</v>
      </c>
      <c r="F158" s="20">
        <v>0.0</v>
      </c>
      <c r="G158" s="20">
        <v>0.0</v>
      </c>
      <c r="H158" s="20">
        <v>1.0</v>
      </c>
      <c r="I158" s="20">
        <v>1.0</v>
      </c>
      <c r="J158" s="20">
        <v>0.0</v>
      </c>
      <c r="K158" s="20">
        <v>0.0</v>
      </c>
      <c r="L158" s="23">
        <v>46213.33795138889</v>
      </c>
    </row>
    <row r="159" ht="15.75" customHeight="1">
      <c r="A159" s="20" t="s">
        <v>219</v>
      </c>
      <c r="B159" s="16" t="b">
        <v>1</v>
      </c>
      <c r="C159" s="20">
        <v>0.7</v>
      </c>
      <c r="D159" s="20">
        <v>49.0</v>
      </c>
      <c r="E159" s="20">
        <v>0.0</v>
      </c>
      <c r="F159" s="20">
        <v>0.0</v>
      </c>
      <c r="G159" s="20">
        <v>0.0</v>
      </c>
      <c r="H159" s="20">
        <v>1.0</v>
      </c>
      <c r="I159" s="20">
        <v>1.0</v>
      </c>
      <c r="J159" s="20">
        <v>0.0</v>
      </c>
      <c r="K159" s="20">
        <v>0.0</v>
      </c>
      <c r="L159" s="23">
        <v>46202.141331018516</v>
      </c>
    </row>
    <row r="160" ht="15.75" customHeight="1">
      <c r="A160" s="20" t="s">
        <v>222</v>
      </c>
      <c r="B160" s="16" t="b">
        <v>1</v>
      </c>
      <c r="C160" s="20">
        <v>0.7</v>
      </c>
      <c r="D160" s="20">
        <v>49.0</v>
      </c>
      <c r="E160" s="20">
        <v>0.0</v>
      </c>
      <c r="F160" s="20">
        <v>0.0</v>
      </c>
      <c r="G160" s="20">
        <v>0.0</v>
      </c>
      <c r="H160" s="20">
        <v>1.0</v>
      </c>
      <c r="I160" s="20">
        <v>1.0</v>
      </c>
      <c r="J160" s="20">
        <v>0.0</v>
      </c>
      <c r="K160" s="20">
        <v>0.0</v>
      </c>
      <c r="L160" s="23">
        <v>46201.99855324074</v>
      </c>
    </row>
    <row r="161" ht="15.75" customHeight="1">
      <c r="A161" s="20" t="s">
        <v>58</v>
      </c>
      <c r="B161" s="16" t="b">
        <v>1</v>
      </c>
      <c r="C161" s="20">
        <v>0.7</v>
      </c>
      <c r="D161" s="20">
        <v>49.0</v>
      </c>
      <c r="E161" s="20">
        <v>0.0</v>
      </c>
      <c r="F161" s="20">
        <v>0.0</v>
      </c>
      <c r="G161" s="20">
        <v>0.0</v>
      </c>
      <c r="H161" s="20">
        <v>1.0</v>
      </c>
      <c r="I161" s="20">
        <v>1.0</v>
      </c>
      <c r="J161" s="20">
        <v>0.0</v>
      </c>
      <c r="K161" s="20">
        <v>0.0</v>
      </c>
      <c r="L161" s="23">
        <v>46204.40226851852</v>
      </c>
    </row>
    <row r="162" ht="15.75" customHeight="1">
      <c r="A162" s="20" t="s">
        <v>225</v>
      </c>
      <c r="B162" s="16" t="b">
        <v>1</v>
      </c>
      <c r="C162" s="20">
        <v>0.7</v>
      </c>
      <c r="D162" s="20">
        <v>49.0</v>
      </c>
      <c r="E162" s="20">
        <v>0.0</v>
      </c>
      <c r="F162" s="20">
        <v>0.0</v>
      </c>
      <c r="G162" s="20">
        <v>0.0</v>
      </c>
      <c r="H162" s="20">
        <v>1.0</v>
      </c>
      <c r="I162" s="20">
        <v>1.0</v>
      </c>
      <c r="J162" s="20">
        <v>0.0</v>
      </c>
      <c r="K162" s="20">
        <v>0.0</v>
      </c>
      <c r="L162" s="23">
        <v>46201.656018518515</v>
      </c>
    </row>
    <row r="163" ht="15.75" customHeight="1">
      <c r="A163" s="20" t="s">
        <v>61</v>
      </c>
      <c r="B163" s="16" t="b">
        <v>1</v>
      </c>
      <c r="C163" s="20">
        <v>0.7</v>
      </c>
      <c r="D163" s="20">
        <v>49.0</v>
      </c>
      <c r="E163" s="20">
        <v>0.0</v>
      </c>
      <c r="F163" s="20">
        <v>0.0</v>
      </c>
      <c r="G163" s="20">
        <v>0.0</v>
      </c>
      <c r="H163" s="20">
        <v>1.0</v>
      </c>
      <c r="I163" s="20">
        <v>1.0</v>
      </c>
      <c r="J163" s="20">
        <v>0.0</v>
      </c>
      <c r="K163" s="20">
        <v>0.0</v>
      </c>
      <c r="L163" s="23">
        <v>46203.94648148148</v>
      </c>
    </row>
    <row r="164" ht="15.75" customHeight="1">
      <c r="A164" s="20" t="s">
        <v>227</v>
      </c>
      <c r="B164" s="16" t="b">
        <v>1</v>
      </c>
      <c r="C164" s="20">
        <v>0.7</v>
      </c>
      <c r="D164" s="20">
        <v>49.0</v>
      </c>
      <c r="E164" s="20">
        <v>0.0</v>
      </c>
      <c r="F164" s="20">
        <v>0.0</v>
      </c>
      <c r="G164" s="20">
        <v>0.0</v>
      </c>
      <c r="H164" s="20">
        <v>1.0</v>
      </c>
      <c r="I164" s="20">
        <v>1.0</v>
      </c>
      <c r="J164" s="20">
        <v>0.0</v>
      </c>
      <c r="K164" s="20">
        <v>0.0</v>
      </c>
      <c r="L164" s="23">
        <v>46201.976851851854</v>
      </c>
    </row>
    <row r="165" ht="15.75" customHeight="1">
      <c r="A165" s="20" t="s">
        <v>229</v>
      </c>
      <c r="B165" s="16" t="b">
        <v>1</v>
      </c>
      <c r="C165" s="20">
        <v>0.7</v>
      </c>
      <c r="D165" s="20">
        <v>49.0</v>
      </c>
      <c r="E165" s="20">
        <v>996.0</v>
      </c>
      <c r="F165" s="20">
        <v>0.0</v>
      </c>
      <c r="G165" s="20">
        <v>0.0</v>
      </c>
      <c r="H165" s="20">
        <v>1.0</v>
      </c>
      <c r="I165" s="20">
        <v>1.0</v>
      </c>
      <c r="J165" s="20">
        <v>0.0</v>
      </c>
      <c r="K165" s="20">
        <v>0.0</v>
      </c>
      <c r="L165" s="23">
        <v>46196.16269675926</v>
      </c>
    </row>
    <row r="166" ht="15.75" customHeight="1">
      <c r="A166" s="20" t="s">
        <v>63</v>
      </c>
      <c r="B166" s="16" t="b">
        <v>1</v>
      </c>
      <c r="C166" s="20">
        <v>0.7</v>
      </c>
      <c r="D166" s="20">
        <v>49.0</v>
      </c>
      <c r="E166" s="20">
        <v>0.0</v>
      </c>
      <c r="F166" s="20">
        <v>0.0</v>
      </c>
      <c r="G166" s="20">
        <v>0.0</v>
      </c>
      <c r="H166" s="20">
        <v>1.0</v>
      </c>
      <c r="I166" s="20">
        <v>1.0</v>
      </c>
      <c r="J166" s="20">
        <v>0.0</v>
      </c>
      <c r="K166" s="20">
        <v>0.0</v>
      </c>
      <c r="L166" s="23">
        <v>46204.10296296296</v>
      </c>
    </row>
    <row r="167" ht="15.75" customHeight="1">
      <c r="A167" s="20" t="s">
        <v>66</v>
      </c>
      <c r="B167" s="16" t="b">
        <v>1</v>
      </c>
      <c r="C167" s="20">
        <v>0.7</v>
      </c>
      <c r="D167" s="20">
        <v>49.0</v>
      </c>
      <c r="E167" s="20">
        <v>0.0</v>
      </c>
      <c r="F167" s="20">
        <v>0.0</v>
      </c>
      <c r="G167" s="20">
        <v>0.0</v>
      </c>
      <c r="H167" s="20">
        <v>1.0</v>
      </c>
      <c r="I167" s="20">
        <v>1.0</v>
      </c>
      <c r="J167" s="20">
        <v>0.0</v>
      </c>
      <c r="K167" s="20">
        <v>0.0</v>
      </c>
      <c r="L167" s="23">
        <v>46215.77513888889</v>
      </c>
    </row>
    <row r="168" ht="15.75" customHeight="1">
      <c r="A168" s="20" t="s">
        <v>230</v>
      </c>
      <c r="B168" s="16" t="b">
        <v>1</v>
      </c>
      <c r="C168" s="20">
        <v>0.7</v>
      </c>
      <c r="D168" s="20">
        <v>49.0</v>
      </c>
      <c r="E168" s="20">
        <v>0.0</v>
      </c>
      <c r="F168" s="20">
        <v>0.0</v>
      </c>
      <c r="G168" s="20">
        <v>0.0</v>
      </c>
      <c r="H168" s="20">
        <v>1.0</v>
      </c>
      <c r="I168" s="20">
        <v>1.0</v>
      </c>
      <c r="J168" s="20">
        <v>0.0</v>
      </c>
      <c r="K168" s="20">
        <v>0.0</v>
      </c>
      <c r="L168" s="23">
        <v>46202.722453703704</v>
      </c>
    </row>
    <row r="169" ht="15.75" customHeight="1">
      <c r="A169" s="20" t="s">
        <v>231</v>
      </c>
      <c r="B169" s="16" t="b">
        <v>1</v>
      </c>
      <c r="C169" s="20">
        <v>0.7</v>
      </c>
      <c r="D169" s="20">
        <v>49.0</v>
      </c>
      <c r="E169" s="20">
        <v>0.0</v>
      </c>
      <c r="F169" s="20">
        <v>0.0</v>
      </c>
      <c r="G169" s="20">
        <v>0.0</v>
      </c>
      <c r="H169" s="20">
        <v>1.0</v>
      </c>
      <c r="I169" s="20">
        <v>1.0</v>
      </c>
      <c r="J169" s="20">
        <v>0.0</v>
      </c>
      <c r="K169" s="20">
        <v>0.0</v>
      </c>
      <c r="L169" s="23">
        <v>46201.29332175926</v>
      </c>
    </row>
    <row r="170" ht="15.75" customHeight="1">
      <c r="A170" s="20" t="s">
        <v>68</v>
      </c>
      <c r="B170" s="16" t="b">
        <v>1</v>
      </c>
      <c r="C170" s="20">
        <v>0.7</v>
      </c>
      <c r="D170" s="20">
        <v>49.0</v>
      </c>
      <c r="E170" s="20">
        <v>0.0</v>
      </c>
      <c r="F170" s="20">
        <v>0.0</v>
      </c>
      <c r="G170" s="20">
        <v>0.0</v>
      </c>
      <c r="H170" s="20">
        <v>1.0</v>
      </c>
      <c r="I170" s="20">
        <v>1.0</v>
      </c>
      <c r="J170" s="20">
        <v>0.0</v>
      </c>
      <c r="K170" s="20">
        <v>0.0</v>
      </c>
      <c r="L170" s="23">
        <v>46205.287766203706</v>
      </c>
    </row>
    <row r="171" ht="15.75" customHeight="1">
      <c r="A171" s="20" t="s">
        <v>232</v>
      </c>
      <c r="B171" s="16" t="b">
        <v>1</v>
      </c>
      <c r="C171" s="20">
        <v>0.7</v>
      </c>
      <c r="D171" s="20">
        <v>49.0</v>
      </c>
      <c r="E171" s="20">
        <v>0.0</v>
      </c>
      <c r="F171" s="20">
        <v>0.0</v>
      </c>
      <c r="G171" s="20">
        <v>0.0</v>
      </c>
      <c r="H171" s="20">
        <v>1.0</v>
      </c>
      <c r="I171" s="20">
        <v>1.0</v>
      </c>
      <c r="J171" s="20">
        <v>0.0</v>
      </c>
      <c r="K171" s="20">
        <v>0.0</v>
      </c>
      <c r="L171" s="23">
        <v>46202.74832175926</v>
      </c>
    </row>
    <row r="172" ht="15.75" customHeight="1">
      <c r="A172" s="20" t="s">
        <v>70</v>
      </c>
      <c r="B172" s="16" t="b">
        <v>1</v>
      </c>
      <c r="C172" s="20">
        <v>0.7</v>
      </c>
      <c r="D172" s="20">
        <v>49.0</v>
      </c>
      <c r="E172" s="20">
        <v>0.0</v>
      </c>
      <c r="F172" s="20">
        <v>0.0</v>
      </c>
      <c r="G172" s="20">
        <v>0.0</v>
      </c>
      <c r="H172" s="20">
        <v>1.0</v>
      </c>
      <c r="I172" s="20">
        <v>1.0</v>
      </c>
      <c r="J172" s="20">
        <v>0.0</v>
      </c>
      <c r="K172" s="20">
        <v>0.0</v>
      </c>
      <c r="L172" s="23">
        <v>46204.14797453704</v>
      </c>
    </row>
    <row r="173" ht="15.75" customHeight="1">
      <c r="A173" s="20" t="s">
        <v>233</v>
      </c>
      <c r="B173" s="16" t="b">
        <v>1</v>
      </c>
      <c r="C173" s="20">
        <v>0.7</v>
      </c>
      <c r="D173" s="20">
        <v>49.0</v>
      </c>
      <c r="E173" s="20">
        <v>0.0</v>
      </c>
      <c r="F173" s="20">
        <v>0.0</v>
      </c>
      <c r="G173" s="20">
        <v>0.0</v>
      </c>
      <c r="H173" s="20">
        <v>1.0</v>
      </c>
      <c r="I173" s="20">
        <v>1.0</v>
      </c>
      <c r="J173" s="20">
        <v>0.0</v>
      </c>
      <c r="K173" s="20">
        <v>0.0</v>
      </c>
      <c r="L173" s="23">
        <v>46201.352002314816</v>
      </c>
    </row>
    <row r="174" ht="15.75" customHeight="1">
      <c r="A174" s="20" t="s">
        <v>234</v>
      </c>
      <c r="B174" s="16" t="b">
        <v>1</v>
      </c>
      <c r="C174" s="20">
        <v>0.7</v>
      </c>
      <c r="D174" s="20">
        <v>49.0</v>
      </c>
      <c r="E174" s="20">
        <v>0.0</v>
      </c>
      <c r="F174" s="20">
        <v>0.0</v>
      </c>
      <c r="G174" s="20">
        <v>0.0</v>
      </c>
      <c r="H174" s="20">
        <v>1.0</v>
      </c>
      <c r="I174" s="20">
        <v>1.0</v>
      </c>
      <c r="J174" s="20">
        <v>0.0</v>
      </c>
      <c r="K174" s="20">
        <v>0.0</v>
      </c>
      <c r="L174" s="23">
        <v>46202.482037037036</v>
      </c>
    </row>
    <row r="175" ht="15.75" customHeight="1">
      <c r="A175" s="20" t="s">
        <v>235</v>
      </c>
      <c r="B175" s="16" t="b">
        <v>1</v>
      </c>
      <c r="C175" s="20">
        <v>0.7</v>
      </c>
      <c r="D175" s="20">
        <v>49.0</v>
      </c>
      <c r="E175" s="20">
        <v>996.0</v>
      </c>
      <c r="F175" s="20">
        <v>0.0</v>
      </c>
      <c r="G175" s="20">
        <v>0.0</v>
      </c>
      <c r="H175" s="20">
        <v>1.0</v>
      </c>
      <c r="I175" s="20">
        <v>1.0</v>
      </c>
      <c r="J175" s="20">
        <v>0.0</v>
      </c>
      <c r="K175" s="20">
        <v>0.0</v>
      </c>
      <c r="L175" s="23">
        <v>46194.2256712963</v>
      </c>
    </row>
    <row r="176" ht="15.75" customHeight="1">
      <c r="A176" s="20" t="s">
        <v>236</v>
      </c>
      <c r="B176" s="16" t="b">
        <v>1</v>
      </c>
      <c r="C176" s="20">
        <v>0.7</v>
      </c>
      <c r="D176" s="20">
        <v>49.0</v>
      </c>
      <c r="E176" s="20">
        <v>0.0</v>
      </c>
      <c r="F176" s="20">
        <v>0.0</v>
      </c>
      <c r="G176" s="20">
        <v>0.0</v>
      </c>
      <c r="H176" s="20">
        <v>1.0</v>
      </c>
      <c r="I176" s="20">
        <v>1.0</v>
      </c>
      <c r="J176" s="20">
        <v>0.0</v>
      </c>
      <c r="K176" s="20">
        <v>0.0</v>
      </c>
      <c r="L176" s="23">
        <v>46192.32513888889</v>
      </c>
    </row>
    <row r="177" ht="15.75" customHeight="1">
      <c r="A177" s="20" t="s">
        <v>72</v>
      </c>
      <c r="B177" s="16" t="b">
        <v>1</v>
      </c>
      <c r="C177" s="20">
        <v>0.7</v>
      </c>
      <c r="D177" s="20">
        <v>49.0</v>
      </c>
      <c r="E177" s="20">
        <v>0.0</v>
      </c>
      <c r="F177" s="20">
        <v>0.0</v>
      </c>
      <c r="G177" s="20">
        <v>0.0</v>
      </c>
      <c r="H177" s="20">
        <v>1.0</v>
      </c>
      <c r="I177" s="20">
        <v>1.0</v>
      </c>
      <c r="J177" s="20">
        <v>0.0</v>
      </c>
      <c r="K177" s="20">
        <v>0.0</v>
      </c>
      <c r="L177" s="23">
        <v>46205.62298611111</v>
      </c>
    </row>
    <row r="178" ht="15.75" customHeight="1">
      <c r="A178" s="20" t="s">
        <v>238</v>
      </c>
      <c r="B178" s="16" t="b">
        <v>1</v>
      </c>
      <c r="C178" s="20">
        <v>0.7</v>
      </c>
      <c r="D178" s="20">
        <v>49.0</v>
      </c>
      <c r="E178" s="20">
        <v>0.0</v>
      </c>
      <c r="F178" s="20">
        <v>0.0</v>
      </c>
      <c r="G178" s="20">
        <v>0.0</v>
      </c>
      <c r="H178" s="20">
        <v>1.0</v>
      </c>
      <c r="I178" s="20">
        <v>1.0</v>
      </c>
      <c r="J178" s="20">
        <v>0.0</v>
      </c>
      <c r="K178" s="20">
        <v>0.0</v>
      </c>
      <c r="L178" s="23">
        <v>46201.06344907408</v>
      </c>
    </row>
    <row r="179" ht="15.75" customHeight="1">
      <c r="A179" s="20" t="s">
        <v>240</v>
      </c>
      <c r="B179" s="16" t="b">
        <v>1</v>
      </c>
      <c r="C179" s="20">
        <v>0.7</v>
      </c>
      <c r="D179" s="20">
        <v>49.0</v>
      </c>
      <c r="E179" s="20">
        <v>0.0</v>
      </c>
      <c r="F179" s="20">
        <v>0.0</v>
      </c>
      <c r="G179" s="20">
        <v>0.0</v>
      </c>
      <c r="H179" s="20">
        <v>1.0</v>
      </c>
      <c r="I179" s="20">
        <v>1.0</v>
      </c>
      <c r="J179" s="20">
        <v>0.0</v>
      </c>
      <c r="K179" s="20">
        <v>0.0</v>
      </c>
      <c r="L179" s="23">
        <v>46202.15023148148</v>
      </c>
    </row>
    <row r="180" ht="15.75" customHeight="1">
      <c r="A180" s="20" t="s">
        <v>75</v>
      </c>
      <c r="B180" s="16" t="b">
        <v>1</v>
      </c>
      <c r="C180" s="20">
        <v>0.7</v>
      </c>
      <c r="D180" s="20">
        <v>49.0</v>
      </c>
      <c r="E180" s="20">
        <v>0.0</v>
      </c>
      <c r="F180" s="20">
        <v>0.0</v>
      </c>
      <c r="G180" s="20">
        <v>0.0</v>
      </c>
      <c r="H180" s="20">
        <v>1.0</v>
      </c>
      <c r="I180" s="20">
        <v>1.0</v>
      </c>
      <c r="J180" s="20">
        <v>0.0</v>
      </c>
      <c r="K180" s="20">
        <v>0.0</v>
      </c>
      <c r="L180" s="23">
        <v>46205.86399305556</v>
      </c>
    </row>
    <row r="181" ht="15.75" customHeight="1">
      <c r="A181" s="20" t="s">
        <v>77</v>
      </c>
      <c r="B181" s="16" t="b">
        <v>1</v>
      </c>
      <c r="C181" s="20">
        <v>0.7</v>
      </c>
      <c r="D181" s="20">
        <v>49.0</v>
      </c>
      <c r="E181" s="20">
        <v>0.0</v>
      </c>
      <c r="F181" s="20">
        <v>0.0</v>
      </c>
      <c r="G181" s="20">
        <v>0.0</v>
      </c>
      <c r="H181" s="20">
        <v>1.0</v>
      </c>
      <c r="I181" s="20">
        <v>1.0</v>
      </c>
      <c r="J181" s="20">
        <v>0.0</v>
      </c>
      <c r="K181" s="20">
        <v>0.0</v>
      </c>
      <c r="L181" s="23">
        <v>46204.37480324074</v>
      </c>
    </row>
    <row r="182" ht="15.75" customHeight="1">
      <c r="A182" s="20" t="s">
        <v>79</v>
      </c>
      <c r="B182" s="16" t="b">
        <v>1</v>
      </c>
      <c r="C182" s="20">
        <v>0.7</v>
      </c>
      <c r="D182" s="20">
        <v>49.0</v>
      </c>
      <c r="E182" s="20">
        <v>0.0</v>
      </c>
      <c r="F182" s="20">
        <v>0.0</v>
      </c>
      <c r="G182" s="20">
        <v>0.0</v>
      </c>
      <c r="H182" s="20">
        <v>1.0</v>
      </c>
      <c r="I182" s="20">
        <v>1.0</v>
      </c>
      <c r="J182" s="20">
        <v>0.0</v>
      </c>
      <c r="K182" s="20">
        <v>0.0</v>
      </c>
      <c r="L182" s="23">
        <v>46203.13684027778</v>
      </c>
    </row>
    <row r="183" ht="15.75" customHeight="1">
      <c r="A183" s="31" t="s">
        <v>261</v>
      </c>
      <c r="B183" s="16" t="b">
        <v>0</v>
      </c>
      <c r="C183" s="20">
        <v>0.5</v>
      </c>
      <c r="D183" s="20">
        <v>106.0</v>
      </c>
      <c r="E183" s="20">
        <v>3.0</v>
      </c>
      <c r="F183" s="20">
        <v>0.0</v>
      </c>
      <c r="G183" s="20">
        <v>0.0</v>
      </c>
      <c r="H183" s="20">
        <v>1.0</v>
      </c>
      <c r="I183" s="20">
        <v>1.0</v>
      </c>
      <c r="J183" s="20">
        <v>1.0</v>
      </c>
      <c r="K183" s="20">
        <v>0.0</v>
      </c>
      <c r="L183" s="23">
        <v>46078.16328703704</v>
      </c>
      <c r="M183" s="23">
        <v>46093.682662037034</v>
      </c>
    </row>
    <row r="184" ht="15.75" customHeight="1">
      <c r="A184" s="31" t="s">
        <v>81</v>
      </c>
      <c r="B184" s="16" t="b">
        <v>1</v>
      </c>
      <c r="C184" s="20">
        <v>0.0</v>
      </c>
      <c r="D184" s="20">
        <v>34.0</v>
      </c>
      <c r="E184" s="20">
        <v>73577.0</v>
      </c>
      <c r="F184" s="20">
        <v>0.0</v>
      </c>
      <c r="G184" s="20">
        <v>0.0</v>
      </c>
      <c r="H184" s="20">
        <v>2.0</v>
      </c>
      <c r="I184" s="20">
        <v>2.0</v>
      </c>
      <c r="J184" s="20">
        <v>0.0</v>
      </c>
      <c r="K184" s="20">
        <v>1.0</v>
      </c>
      <c r="L184" s="23">
        <v>46211.65775462963</v>
      </c>
    </row>
    <row r="185" ht="15.75" customHeight="1">
      <c r="A185" s="20" t="s">
        <v>84</v>
      </c>
      <c r="B185" s="16" t="b">
        <v>1</v>
      </c>
      <c r="C185" s="20">
        <v>0.0</v>
      </c>
      <c r="D185" s="20">
        <v>0.0</v>
      </c>
      <c r="E185" s="20">
        <v>0.0</v>
      </c>
      <c r="F185" s="20">
        <v>0.0</v>
      </c>
      <c r="G185" s="20">
        <v>0.0</v>
      </c>
      <c r="H185" s="20">
        <v>1.0</v>
      </c>
      <c r="I185" s="20">
        <v>1.0</v>
      </c>
      <c r="J185" s="20">
        <v>0.0</v>
      </c>
      <c r="K185" s="20">
        <v>0.0</v>
      </c>
      <c r="L185" s="23">
        <v>46226.01215277778</v>
      </c>
    </row>
    <row r="186" ht="15.75" customHeight="1">
      <c r="A186" s="20" t="s">
        <v>88</v>
      </c>
      <c r="B186" s="16" t="b">
        <v>1</v>
      </c>
      <c r="C186" s="20">
        <v>0.0</v>
      </c>
      <c r="D186" s="20">
        <v>0.0</v>
      </c>
      <c r="E186" s="20">
        <v>0.0</v>
      </c>
      <c r="F186" s="20">
        <v>0.0</v>
      </c>
      <c r="G186" s="20">
        <v>0.0</v>
      </c>
      <c r="H186" s="20">
        <v>1.0</v>
      </c>
      <c r="I186" s="20">
        <v>1.0</v>
      </c>
      <c r="J186" s="20">
        <v>0.0</v>
      </c>
      <c r="K186" s="20">
        <v>0.0</v>
      </c>
      <c r="L186" s="23">
        <v>46232.70959490741</v>
      </c>
    </row>
    <row r="187" ht="15.75" customHeight="1">
      <c r="A187" s="20" t="s">
        <v>90</v>
      </c>
      <c r="B187" s="16" t="b">
        <v>1</v>
      </c>
      <c r="C187" s="20">
        <v>0.0</v>
      </c>
      <c r="D187" s="20">
        <v>0.0</v>
      </c>
      <c r="E187" s="20">
        <v>0.0</v>
      </c>
      <c r="F187" s="20">
        <v>0.0</v>
      </c>
      <c r="G187" s="20">
        <v>0.0</v>
      </c>
      <c r="H187" s="20">
        <v>1.0</v>
      </c>
      <c r="I187" s="20">
        <v>1.0</v>
      </c>
      <c r="J187" s="20">
        <v>0.0</v>
      </c>
      <c r="K187" s="20">
        <v>0.0</v>
      </c>
      <c r="L187" s="23">
        <v>46227.292233796295</v>
      </c>
    </row>
    <row r="188" ht="15.75" customHeight="1">
      <c r="A188" s="20" t="s">
        <v>92</v>
      </c>
      <c r="B188" s="16" t="b">
        <v>1</v>
      </c>
      <c r="C188" s="20">
        <v>0.0</v>
      </c>
      <c r="D188" s="20">
        <v>0.0</v>
      </c>
      <c r="E188" s="20">
        <v>0.0</v>
      </c>
      <c r="F188" s="20">
        <v>0.0</v>
      </c>
      <c r="G188" s="20">
        <v>0.0</v>
      </c>
      <c r="H188" s="20">
        <v>1.0</v>
      </c>
      <c r="I188" s="20">
        <v>1.0</v>
      </c>
      <c r="J188" s="20">
        <v>0.0</v>
      </c>
      <c r="K188" s="20">
        <v>0.0</v>
      </c>
      <c r="L188" s="23">
        <v>46228.600127314814</v>
      </c>
    </row>
    <row r="189" ht="15.75" customHeight="1">
      <c r="A189" s="20" t="s">
        <v>96</v>
      </c>
      <c r="B189" s="16" t="b">
        <v>1</v>
      </c>
      <c r="C189" s="20">
        <v>0.0</v>
      </c>
      <c r="D189" s="20">
        <v>0.0</v>
      </c>
      <c r="E189" s="20">
        <v>0.0</v>
      </c>
      <c r="F189" s="20">
        <v>0.0</v>
      </c>
      <c r="G189" s="20">
        <v>0.0</v>
      </c>
      <c r="H189" s="20">
        <v>1.0</v>
      </c>
      <c r="I189" s="20">
        <v>1.0</v>
      </c>
      <c r="J189" s="20">
        <v>0.0</v>
      </c>
      <c r="K189" s="20">
        <v>0.0</v>
      </c>
      <c r="L189" s="23">
        <v>46224.071388888886</v>
      </c>
    </row>
    <row r="190" ht="15.75" customHeight="1">
      <c r="A190" s="20" t="s">
        <v>99</v>
      </c>
      <c r="B190" s="16" t="b">
        <v>1</v>
      </c>
      <c r="C190" s="20">
        <v>0.0</v>
      </c>
      <c r="D190" s="20">
        <v>0.0</v>
      </c>
      <c r="E190" s="20">
        <v>0.0</v>
      </c>
      <c r="F190" s="20">
        <v>0.0</v>
      </c>
      <c r="G190" s="20">
        <v>0.0</v>
      </c>
      <c r="H190" s="20">
        <v>1.0</v>
      </c>
      <c r="I190" s="20">
        <v>1.0</v>
      </c>
      <c r="J190" s="20">
        <v>0.0</v>
      </c>
      <c r="K190" s="20">
        <v>0.0</v>
      </c>
      <c r="L190" s="23">
        <v>46227.2790625</v>
      </c>
    </row>
    <row r="191" ht="15.75" customHeight="1">
      <c r="A191" s="20" t="s">
        <v>103</v>
      </c>
      <c r="B191" s="16" t="b">
        <v>1</v>
      </c>
      <c r="C191" s="20">
        <v>0.0</v>
      </c>
      <c r="D191" s="20">
        <v>0.0</v>
      </c>
      <c r="E191" s="20">
        <v>0.0</v>
      </c>
      <c r="F191" s="20">
        <v>0.0</v>
      </c>
      <c r="G191" s="20">
        <v>0.0</v>
      </c>
      <c r="H191" s="20">
        <v>1.0</v>
      </c>
      <c r="I191" s="20">
        <v>1.0</v>
      </c>
      <c r="J191" s="20">
        <v>0.0</v>
      </c>
      <c r="K191" s="20">
        <v>0.0</v>
      </c>
      <c r="L191" s="23">
        <v>46227.660266203704</v>
      </c>
    </row>
    <row r="192" ht="15.75" customHeight="1">
      <c r="A192" s="20" t="s">
        <v>105</v>
      </c>
      <c r="B192" s="16" t="b">
        <v>1</v>
      </c>
      <c r="C192" s="20">
        <v>0.0</v>
      </c>
      <c r="D192" s="20">
        <v>0.0</v>
      </c>
      <c r="E192" s="20">
        <v>0.0</v>
      </c>
      <c r="F192" s="20">
        <v>0.0</v>
      </c>
      <c r="G192" s="20">
        <v>0.0</v>
      </c>
      <c r="H192" s="20">
        <v>1.0</v>
      </c>
      <c r="I192" s="20">
        <v>1.0</v>
      </c>
      <c r="J192" s="20">
        <v>0.0</v>
      </c>
      <c r="K192" s="20">
        <v>0.0</v>
      </c>
      <c r="L192" s="23">
        <v>46224.0678125</v>
      </c>
    </row>
    <row r="193" ht="15.75" customHeight="1">
      <c r="A193" s="20" t="s">
        <v>107</v>
      </c>
      <c r="B193" s="16" t="b">
        <v>1</v>
      </c>
      <c r="C193" s="20">
        <v>0.0</v>
      </c>
      <c r="D193" s="20">
        <v>0.0</v>
      </c>
      <c r="E193" s="20">
        <v>0.0</v>
      </c>
      <c r="F193" s="20">
        <v>0.0</v>
      </c>
      <c r="G193" s="20">
        <v>0.0</v>
      </c>
      <c r="H193" s="20">
        <v>1.0</v>
      </c>
      <c r="I193" s="20">
        <v>1.0</v>
      </c>
      <c r="J193" s="20">
        <v>0.0</v>
      </c>
      <c r="K193" s="20">
        <v>0.0</v>
      </c>
      <c r="L193" s="23">
        <v>46226.178298611114</v>
      </c>
    </row>
    <row r="194" ht="15.75" customHeight="1">
      <c r="A194" s="20" t="s">
        <v>109</v>
      </c>
      <c r="B194" s="16" t="b">
        <v>1</v>
      </c>
      <c r="C194" s="20">
        <v>0.0</v>
      </c>
      <c r="D194" s="20">
        <v>0.0</v>
      </c>
      <c r="E194" s="20">
        <v>0.0</v>
      </c>
      <c r="F194" s="20">
        <v>0.0</v>
      </c>
      <c r="G194" s="20">
        <v>0.0</v>
      </c>
      <c r="H194" s="20">
        <v>1.0</v>
      </c>
      <c r="I194" s="20">
        <v>1.0</v>
      </c>
      <c r="J194" s="20">
        <v>0.0</v>
      </c>
      <c r="K194" s="20">
        <v>0.0</v>
      </c>
      <c r="L194" s="23">
        <v>46224.297997685186</v>
      </c>
    </row>
    <row r="195" ht="15.75" customHeight="1">
      <c r="A195" s="20" t="s">
        <v>111</v>
      </c>
      <c r="B195" s="16" t="b">
        <v>1</v>
      </c>
      <c r="C195" s="20">
        <v>0.0</v>
      </c>
      <c r="D195" s="20">
        <v>0.0</v>
      </c>
      <c r="E195" s="20">
        <v>0.0</v>
      </c>
      <c r="F195" s="20">
        <v>0.0</v>
      </c>
      <c r="G195" s="20">
        <v>0.0</v>
      </c>
      <c r="H195" s="20">
        <v>1.0</v>
      </c>
      <c r="I195" s="20">
        <v>1.0</v>
      </c>
      <c r="J195" s="20">
        <v>0.0</v>
      </c>
      <c r="K195" s="20">
        <v>0.0</v>
      </c>
      <c r="L195" s="23">
        <v>46232.70209490741</v>
      </c>
    </row>
    <row r="196" ht="15.75" customHeight="1">
      <c r="A196" s="20" t="s">
        <v>113</v>
      </c>
      <c r="B196" s="16" t="b">
        <v>1</v>
      </c>
      <c r="C196" s="20">
        <v>0.0</v>
      </c>
      <c r="D196" s="20">
        <v>0.0</v>
      </c>
      <c r="E196" s="20">
        <v>0.0</v>
      </c>
      <c r="F196" s="20">
        <v>0.0</v>
      </c>
      <c r="G196" s="20">
        <v>0.0</v>
      </c>
      <c r="H196" s="20">
        <v>1.0</v>
      </c>
      <c r="I196" s="20">
        <v>1.0</v>
      </c>
      <c r="J196" s="20">
        <v>0.0</v>
      </c>
      <c r="K196" s="20">
        <v>0.0</v>
      </c>
      <c r="L196" s="23">
        <v>46227.167858796296</v>
      </c>
      <c r="M196" s="23"/>
    </row>
    <row r="197" ht="15.75" customHeight="1">
      <c r="A197" s="20" t="s">
        <v>116</v>
      </c>
      <c r="B197" s="16" t="b">
        <v>1</v>
      </c>
      <c r="C197" s="20">
        <v>0.0</v>
      </c>
      <c r="D197" s="20">
        <v>0.0</v>
      </c>
      <c r="E197" s="20">
        <v>0.0</v>
      </c>
      <c r="F197" s="20">
        <v>0.0</v>
      </c>
      <c r="G197" s="20">
        <v>0.0</v>
      </c>
      <c r="H197" s="20">
        <v>1.0</v>
      </c>
      <c r="I197" s="20">
        <v>1.0</v>
      </c>
      <c r="J197" s="20">
        <v>0.0</v>
      </c>
      <c r="K197" s="20">
        <v>0.0</v>
      </c>
      <c r="L197" s="23">
        <v>46227.00150462963</v>
      </c>
    </row>
    <row r="198" ht="15.75" customHeight="1">
      <c r="A198" s="20" t="s">
        <v>118</v>
      </c>
      <c r="B198" s="16" t="b">
        <v>1</v>
      </c>
      <c r="C198" s="20">
        <v>0.0</v>
      </c>
      <c r="D198" s="20">
        <v>0.0</v>
      </c>
      <c r="E198" s="20">
        <v>0.0</v>
      </c>
      <c r="F198" s="20">
        <v>0.0</v>
      </c>
      <c r="G198" s="20">
        <v>0.0</v>
      </c>
      <c r="H198" s="20">
        <v>1.0</v>
      </c>
      <c r="I198" s="20">
        <v>1.0</v>
      </c>
      <c r="J198" s="20">
        <v>0.0</v>
      </c>
      <c r="K198" s="20">
        <v>0.0</v>
      </c>
      <c r="L198" s="23">
        <v>46231.89050925926</v>
      </c>
    </row>
    <row r="199" ht="15.75" customHeight="1">
      <c r="A199" s="20" t="s">
        <v>121</v>
      </c>
      <c r="B199" s="16" t="b">
        <v>1</v>
      </c>
      <c r="C199" s="20">
        <v>0.0</v>
      </c>
      <c r="D199" s="20">
        <v>0.0</v>
      </c>
      <c r="E199" s="20">
        <v>0.0</v>
      </c>
      <c r="F199" s="20">
        <v>0.0</v>
      </c>
      <c r="G199" s="20">
        <v>0.0</v>
      </c>
      <c r="H199" s="20">
        <v>1.0</v>
      </c>
      <c r="I199" s="20">
        <v>1.0</v>
      </c>
      <c r="J199" s="20">
        <v>0.0</v>
      </c>
      <c r="K199" s="20">
        <v>0.0</v>
      </c>
      <c r="L199" s="23">
        <v>46227.43819444445</v>
      </c>
      <c r="M199" s="23"/>
    </row>
    <row r="200" ht="15.75" customHeight="1">
      <c r="A200" s="20" t="s">
        <v>122</v>
      </c>
      <c r="B200" s="16" t="b">
        <v>1</v>
      </c>
      <c r="C200" s="20">
        <v>0.0</v>
      </c>
      <c r="D200" s="20">
        <v>0.0</v>
      </c>
      <c r="E200" s="20">
        <v>0.0</v>
      </c>
      <c r="F200" s="20">
        <v>0.0</v>
      </c>
      <c r="G200" s="20">
        <v>0.0</v>
      </c>
      <c r="H200" s="20">
        <v>1.0</v>
      </c>
      <c r="I200" s="20">
        <v>1.0</v>
      </c>
      <c r="J200" s="20">
        <v>0.0</v>
      </c>
      <c r="K200" s="20">
        <v>0.0</v>
      </c>
      <c r="L200" s="23">
        <v>46226.393645833334</v>
      </c>
    </row>
    <row r="201" ht="15.75" customHeight="1">
      <c r="A201" s="20" t="s">
        <v>125</v>
      </c>
      <c r="B201" s="16" t="b">
        <v>1</v>
      </c>
      <c r="C201" s="20">
        <v>0.0</v>
      </c>
      <c r="D201" s="20">
        <v>0.0</v>
      </c>
      <c r="E201" s="20">
        <v>0.0</v>
      </c>
      <c r="F201" s="20">
        <v>0.0</v>
      </c>
      <c r="G201" s="20">
        <v>0.0</v>
      </c>
      <c r="H201" s="20">
        <v>1.0</v>
      </c>
      <c r="I201" s="20">
        <v>1.0</v>
      </c>
      <c r="J201" s="20">
        <v>0.0</v>
      </c>
      <c r="K201" s="20">
        <v>0.0</v>
      </c>
      <c r="L201" s="23">
        <v>46227.30243055556</v>
      </c>
    </row>
    <row r="202" ht="15.75" customHeight="1">
      <c r="A202" s="20" t="s">
        <v>128</v>
      </c>
      <c r="B202" s="16" t="b">
        <v>1</v>
      </c>
      <c r="C202" s="20">
        <v>0.0</v>
      </c>
      <c r="D202" s="20">
        <v>0.0</v>
      </c>
      <c r="E202" s="20">
        <v>0.0</v>
      </c>
      <c r="F202" s="20">
        <v>0.0</v>
      </c>
      <c r="G202" s="20">
        <v>0.0</v>
      </c>
      <c r="H202" s="20">
        <v>1.0</v>
      </c>
      <c r="I202" s="20">
        <v>1.0</v>
      </c>
      <c r="J202" s="20">
        <v>0.0</v>
      </c>
      <c r="K202" s="20">
        <v>0.0</v>
      </c>
      <c r="L202" s="23">
        <v>46222.396828703706</v>
      </c>
      <c r="M202" s="23"/>
    </row>
    <row r="203" ht="15.75" customHeight="1">
      <c r="A203" s="20" t="s">
        <v>131</v>
      </c>
      <c r="B203" s="16" t="b">
        <v>1</v>
      </c>
      <c r="C203" s="20">
        <v>0.0</v>
      </c>
      <c r="D203" s="20">
        <v>0.0</v>
      </c>
      <c r="E203" s="20">
        <v>0.0</v>
      </c>
      <c r="F203" s="20">
        <v>0.0</v>
      </c>
      <c r="G203" s="20">
        <v>0.0</v>
      </c>
      <c r="H203" s="20">
        <v>1.0</v>
      </c>
      <c r="I203" s="20">
        <v>1.0</v>
      </c>
      <c r="J203" s="20">
        <v>0.0</v>
      </c>
      <c r="K203" s="20">
        <v>0.0</v>
      </c>
      <c r="L203" s="23">
        <v>46227.296875</v>
      </c>
    </row>
    <row r="204" ht="15.75" customHeight="1">
      <c r="A204" s="20" t="s">
        <v>133</v>
      </c>
      <c r="B204" s="16" t="b">
        <v>1</v>
      </c>
      <c r="C204" s="20">
        <v>0.0</v>
      </c>
      <c r="D204" s="20">
        <v>0.0</v>
      </c>
      <c r="E204" s="20">
        <v>0.0</v>
      </c>
      <c r="F204" s="20">
        <v>0.0</v>
      </c>
      <c r="G204" s="20">
        <v>0.0</v>
      </c>
      <c r="H204" s="20">
        <v>1.0</v>
      </c>
      <c r="I204" s="20">
        <v>1.0</v>
      </c>
      <c r="J204" s="20">
        <v>0.0</v>
      </c>
      <c r="K204" s="20">
        <v>0.0</v>
      </c>
      <c r="L204" s="23">
        <v>46226.772835648146</v>
      </c>
      <c r="M204" s="23"/>
    </row>
    <row r="205" ht="15.75" customHeight="1">
      <c r="A205" s="20" t="s">
        <v>135</v>
      </c>
      <c r="B205" s="16" t="b">
        <v>1</v>
      </c>
      <c r="C205" s="20">
        <v>0.0</v>
      </c>
      <c r="D205" s="20">
        <v>0.0</v>
      </c>
      <c r="E205" s="20">
        <v>0.0</v>
      </c>
      <c r="F205" s="20">
        <v>0.0</v>
      </c>
      <c r="G205" s="20">
        <v>0.0</v>
      </c>
      <c r="H205" s="20">
        <v>1.0</v>
      </c>
      <c r="I205" s="20">
        <v>1.0</v>
      </c>
      <c r="J205" s="20">
        <v>0.0</v>
      </c>
      <c r="K205" s="20">
        <v>0.0</v>
      </c>
      <c r="L205" s="23">
        <v>46222.36907407407</v>
      </c>
      <c r="M205" s="23"/>
    </row>
    <row r="206" ht="15.75" customHeight="1">
      <c r="A206" s="20" t="s">
        <v>138</v>
      </c>
      <c r="B206" s="16" t="b">
        <v>1</v>
      </c>
      <c r="C206" s="20">
        <v>0.0</v>
      </c>
      <c r="D206" s="20">
        <v>0.0</v>
      </c>
      <c r="E206" s="20">
        <v>0.0</v>
      </c>
      <c r="F206" s="20">
        <v>0.0</v>
      </c>
      <c r="G206" s="20">
        <v>0.0</v>
      </c>
      <c r="H206" s="20">
        <v>1.0</v>
      </c>
      <c r="I206" s="20">
        <v>1.0</v>
      </c>
      <c r="J206" s="20">
        <v>0.0</v>
      </c>
      <c r="K206" s="20">
        <v>0.0</v>
      </c>
      <c r="L206" s="23">
        <v>46232.11646990741</v>
      </c>
    </row>
    <row r="207" ht="15.75" customHeight="1">
      <c r="A207" s="20" t="s">
        <v>140</v>
      </c>
      <c r="B207" s="16" t="b">
        <v>1</v>
      </c>
      <c r="C207" s="20">
        <v>0.0</v>
      </c>
      <c r="D207" s="20">
        <v>0.0</v>
      </c>
      <c r="E207" s="20">
        <v>0.0</v>
      </c>
      <c r="F207" s="20">
        <v>0.0</v>
      </c>
      <c r="G207" s="20">
        <v>0.0</v>
      </c>
      <c r="H207" s="20">
        <v>1.0</v>
      </c>
      <c r="I207" s="20">
        <v>1.0</v>
      </c>
      <c r="J207" s="20">
        <v>0.0</v>
      </c>
      <c r="K207" s="20">
        <v>0.0</v>
      </c>
      <c r="L207" s="23">
        <v>46226.70199074074</v>
      </c>
    </row>
    <row r="208" ht="15.75" customHeight="1">
      <c r="A208" s="20" t="s">
        <v>141</v>
      </c>
      <c r="B208" s="16" t="b">
        <v>1</v>
      </c>
      <c r="C208" s="20">
        <v>0.0</v>
      </c>
      <c r="D208" s="20">
        <v>0.0</v>
      </c>
      <c r="E208" s="20">
        <v>0.0</v>
      </c>
      <c r="F208" s="20">
        <v>0.0</v>
      </c>
      <c r="G208" s="20">
        <v>0.0</v>
      </c>
      <c r="H208" s="20">
        <v>1.0</v>
      </c>
      <c r="I208" s="20">
        <v>1.0</v>
      </c>
      <c r="J208" s="20">
        <v>0.0</v>
      </c>
      <c r="K208" s="20">
        <v>0.0</v>
      </c>
      <c r="L208" s="23">
        <v>46222.89733796296</v>
      </c>
      <c r="M208" s="23"/>
    </row>
    <row r="209" ht="15.75" customHeight="1">
      <c r="A209" s="20" t="s">
        <v>145</v>
      </c>
      <c r="B209" s="16" t="b">
        <v>1</v>
      </c>
      <c r="C209" s="20">
        <v>0.0</v>
      </c>
      <c r="D209" s="20">
        <v>0.0</v>
      </c>
      <c r="E209" s="20">
        <v>0.0</v>
      </c>
      <c r="F209" s="20">
        <v>0.0</v>
      </c>
      <c r="G209" s="20">
        <v>0.0</v>
      </c>
      <c r="H209" s="20">
        <v>1.0</v>
      </c>
      <c r="I209" s="20">
        <v>1.0</v>
      </c>
      <c r="J209" s="20">
        <v>0.0</v>
      </c>
      <c r="K209" s="20">
        <v>0.0</v>
      </c>
      <c r="L209" s="23">
        <v>46225.97039351852</v>
      </c>
      <c r="M209" s="23"/>
    </row>
    <row r="210" ht="15.75" customHeight="1">
      <c r="A210" s="20" t="s">
        <v>148</v>
      </c>
      <c r="B210" s="16" t="b">
        <v>1</v>
      </c>
      <c r="C210" s="20">
        <v>0.0</v>
      </c>
      <c r="D210" s="20">
        <v>0.0</v>
      </c>
      <c r="E210" s="20">
        <v>0.0</v>
      </c>
      <c r="F210" s="20">
        <v>0.0</v>
      </c>
      <c r="G210" s="20">
        <v>0.0</v>
      </c>
      <c r="H210" s="20">
        <v>1.0</v>
      </c>
      <c r="I210" s="20">
        <v>1.0</v>
      </c>
      <c r="J210" s="20">
        <v>0.0</v>
      </c>
      <c r="K210" s="20">
        <v>0.0</v>
      </c>
      <c r="L210" s="23">
        <v>46226.161678240744</v>
      </c>
    </row>
    <row r="211" ht="15.75" customHeight="1">
      <c r="A211" s="20" t="s">
        <v>150</v>
      </c>
      <c r="B211" s="16" t="b">
        <v>1</v>
      </c>
      <c r="C211" s="20">
        <v>0.0</v>
      </c>
      <c r="D211" s="20">
        <v>0.0</v>
      </c>
      <c r="E211" s="20">
        <v>0.0</v>
      </c>
      <c r="F211" s="20">
        <v>0.0</v>
      </c>
      <c r="G211" s="20">
        <v>0.0</v>
      </c>
      <c r="H211" s="20">
        <v>1.0</v>
      </c>
      <c r="I211" s="20">
        <v>1.0</v>
      </c>
      <c r="J211" s="20">
        <v>0.0</v>
      </c>
      <c r="K211" s="20">
        <v>0.0</v>
      </c>
      <c r="L211" s="23">
        <v>46230.301886574074</v>
      </c>
    </row>
    <row r="212" ht="15.75" customHeight="1">
      <c r="A212" s="20" t="s">
        <v>153</v>
      </c>
      <c r="B212" s="16" t="b">
        <v>1</v>
      </c>
      <c r="C212" s="20">
        <v>0.0</v>
      </c>
      <c r="D212" s="20">
        <v>0.0</v>
      </c>
      <c r="E212" s="20">
        <v>0.0</v>
      </c>
      <c r="F212" s="20">
        <v>0.0</v>
      </c>
      <c r="G212" s="20">
        <v>0.0</v>
      </c>
      <c r="H212" s="20">
        <v>1.0</v>
      </c>
      <c r="I212" s="20">
        <v>1.0</v>
      </c>
      <c r="J212" s="20">
        <v>0.0</v>
      </c>
      <c r="K212" s="20">
        <v>0.0</v>
      </c>
      <c r="L212" s="23">
        <v>46227.37583333333</v>
      </c>
      <c r="M212" s="23"/>
    </row>
    <row r="213" ht="15.75" customHeight="1">
      <c r="A213" s="20" t="s">
        <v>155</v>
      </c>
      <c r="B213" s="16" t="b">
        <v>1</v>
      </c>
      <c r="C213" s="20">
        <v>0.0</v>
      </c>
      <c r="D213" s="20">
        <v>0.0</v>
      </c>
      <c r="E213" s="20">
        <v>0.0</v>
      </c>
      <c r="F213" s="20">
        <v>0.0</v>
      </c>
      <c r="G213" s="20">
        <v>0.0</v>
      </c>
      <c r="H213" s="20">
        <v>1.0</v>
      </c>
      <c r="I213" s="20">
        <v>1.0</v>
      </c>
      <c r="J213" s="20">
        <v>0.0</v>
      </c>
      <c r="K213" s="20">
        <v>0.0</v>
      </c>
      <c r="L213" s="23">
        <v>46227.210914351854</v>
      </c>
      <c r="M213" s="23"/>
    </row>
    <row r="214" ht="15.75" customHeight="1">
      <c r="A214" s="20" t="s">
        <v>158</v>
      </c>
      <c r="B214" s="16" t="b">
        <v>1</v>
      </c>
      <c r="C214" s="20">
        <v>0.0</v>
      </c>
      <c r="D214" s="20">
        <v>0.0</v>
      </c>
      <c r="E214" s="20">
        <v>0.0</v>
      </c>
      <c r="F214" s="20">
        <v>0.0</v>
      </c>
      <c r="G214" s="20">
        <v>0.0</v>
      </c>
      <c r="H214" s="20">
        <v>1.0</v>
      </c>
      <c r="I214" s="20">
        <v>1.0</v>
      </c>
      <c r="J214" s="20">
        <v>0.0</v>
      </c>
      <c r="K214" s="20">
        <v>0.0</v>
      </c>
      <c r="L214" s="23">
        <v>46227.441412037035</v>
      </c>
      <c r="M214" s="23"/>
    </row>
    <row r="215" ht="15.75" customHeight="1">
      <c r="A215" s="20" t="s">
        <v>161</v>
      </c>
      <c r="B215" s="16" t="b">
        <v>1</v>
      </c>
      <c r="C215" s="20">
        <v>0.0</v>
      </c>
      <c r="D215" s="20">
        <v>0.0</v>
      </c>
      <c r="E215" s="20">
        <v>0.0</v>
      </c>
      <c r="F215" s="20">
        <v>0.0</v>
      </c>
      <c r="G215" s="20">
        <v>0.0</v>
      </c>
      <c r="H215" s="20">
        <v>1.0</v>
      </c>
      <c r="I215" s="20">
        <v>1.0</v>
      </c>
      <c r="J215" s="20">
        <v>0.0</v>
      </c>
      <c r="K215" s="20">
        <v>0.0</v>
      </c>
      <c r="L215" s="23">
        <v>46229.312627314815</v>
      </c>
      <c r="M215" s="23"/>
    </row>
    <row r="216" ht="15.75" customHeight="1">
      <c r="A216" s="20" t="s">
        <v>165</v>
      </c>
      <c r="B216" s="16" t="b">
        <v>1</v>
      </c>
      <c r="C216" s="20">
        <v>0.0</v>
      </c>
      <c r="D216" s="20">
        <v>0.0</v>
      </c>
      <c r="E216" s="20">
        <v>0.0</v>
      </c>
      <c r="F216" s="20">
        <v>0.0</v>
      </c>
      <c r="G216" s="20">
        <v>0.0</v>
      </c>
      <c r="H216" s="20">
        <v>1.0</v>
      </c>
      <c r="I216" s="20">
        <v>1.0</v>
      </c>
      <c r="J216" s="20">
        <v>0.0</v>
      </c>
      <c r="K216" s="20">
        <v>0.0</v>
      </c>
      <c r="L216" s="23">
        <v>46226.1565162037</v>
      </c>
    </row>
    <row r="217" ht="15.75" customHeight="1">
      <c r="A217" s="20" t="s">
        <v>170</v>
      </c>
      <c r="B217" s="16" t="b">
        <v>1</v>
      </c>
      <c r="C217" s="20">
        <v>0.0</v>
      </c>
      <c r="D217" s="20">
        <v>0.0</v>
      </c>
      <c r="E217" s="20">
        <v>0.0</v>
      </c>
      <c r="F217" s="20">
        <v>0.0</v>
      </c>
      <c r="G217" s="20">
        <v>0.0</v>
      </c>
      <c r="H217" s="20">
        <v>1.0</v>
      </c>
      <c r="I217" s="20">
        <v>1.0</v>
      </c>
      <c r="J217" s="20">
        <v>0.0</v>
      </c>
      <c r="K217" s="20">
        <v>0.0</v>
      </c>
      <c r="L217" s="23">
        <v>46224.582604166666</v>
      </c>
    </row>
    <row r="218" ht="15.75" customHeight="1">
      <c r="A218" s="20" t="s">
        <v>175</v>
      </c>
      <c r="B218" s="16" t="b">
        <v>1</v>
      </c>
      <c r="C218" s="20">
        <v>0.0</v>
      </c>
      <c r="D218" s="20">
        <v>0.0</v>
      </c>
      <c r="E218" s="20">
        <v>0.0</v>
      </c>
      <c r="F218" s="20">
        <v>0.0</v>
      </c>
      <c r="G218" s="20">
        <v>0.0</v>
      </c>
      <c r="H218" s="20">
        <v>1.0</v>
      </c>
      <c r="I218" s="20">
        <v>1.0</v>
      </c>
      <c r="J218" s="20">
        <v>0.0</v>
      </c>
      <c r="K218" s="20">
        <v>0.0</v>
      </c>
      <c r="L218" s="23">
        <v>46228.613912037035</v>
      </c>
    </row>
    <row r="219" ht="15.75" customHeight="1">
      <c r="A219" s="20" t="s">
        <v>178</v>
      </c>
      <c r="B219" s="16" t="b">
        <v>1</v>
      </c>
      <c r="C219" s="20">
        <v>0.0</v>
      </c>
      <c r="D219" s="20">
        <v>0.0</v>
      </c>
      <c r="E219" s="20">
        <v>0.0</v>
      </c>
      <c r="F219" s="20">
        <v>0.0</v>
      </c>
      <c r="G219" s="20">
        <v>0.0</v>
      </c>
      <c r="H219" s="20">
        <v>1.0</v>
      </c>
      <c r="I219" s="20">
        <v>1.0</v>
      </c>
      <c r="J219" s="20">
        <v>0.0</v>
      </c>
      <c r="K219" s="20">
        <v>0.0</v>
      </c>
      <c r="L219" s="23">
        <v>46231.624085648145</v>
      </c>
    </row>
    <row r="220" ht="15.75" customHeight="1">
      <c r="A220" s="20" t="s">
        <v>182</v>
      </c>
      <c r="B220" s="16" t="b">
        <v>1</v>
      </c>
      <c r="C220" s="20">
        <v>0.0</v>
      </c>
      <c r="D220" s="20">
        <v>0.0</v>
      </c>
      <c r="E220" s="20">
        <v>0.0</v>
      </c>
      <c r="F220" s="20">
        <v>0.0</v>
      </c>
      <c r="G220" s="20">
        <v>0.0</v>
      </c>
      <c r="H220" s="20">
        <v>1.0</v>
      </c>
      <c r="I220" s="20">
        <v>1.0</v>
      </c>
      <c r="J220" s="20">
        <v>0.0</v>
      </c>
      <c r="K220" s="20">
        <v>0.0</v>
      </c>
      <c r="L220" s="23">
        <v>46226.925150462965</v>
      </c>
      <c r="M220" s="23"/>
    </row>
    <row r="221" ht="15.75" customHeight="1">
      <c r="A221" s="20" t="s">
        <v>185</v>
      </c>
      <c r="B221" s="16" t="b">
        <v>1</v>
      </c>
      <c r="C221" s="20">
        <v>0.0</v>
      </c>
      <c r="D221" s="20">
        <v>0.0</v>
      </c>
      <c r="E221" s="20">
        <v>0.0</v>
      </c>
      <c r="F221" s="20">
        <v>0.0</v>
      </c>
      <c r="G221" s="20">
        <v>0.0</v>
      </c>
      <c r="H221" s="20">
        <v>1.0</v>
      </c>
      <c r="I221" s="20">
        <v>1.0</v>
      </c>
      <c r="J221" s="20">
        <v>0.0</v>
      </c>
      <c r="K221" s="20">
        <v>0.0</v>
      </c>
      <c r="L221" s="23">
        <v>46227.32642361111</v>
      </c>
    </row>
    <row r="222" ht="15.75" customHeight="1">
      <c r="A222" s="20" t="s">
        <v>188</v>
      </c>
      <c r="B222" s="16" t="b">
        <v>1</v>
      </c>
      <c r="C222" s="20">
        <v>0.0</v>
      </c>
      <c r="D222" s="20">
        <v>0.0</v>
      </c>
      <c r="E222" s="20">
        <v>0.0</v>
      </c>
      <c r="F222" s="20">
        <v>0.0</v>
      </c>
      <c r="G222" s="20">
        <v>0.0</v>
      </c>
      <c r="H222" s="20">
        <v>1.0</v>
      </c>
      <c r="I222" s="20">
        <v>1.0</v>
      </c>
      <c r="J222" s="20">
        <v>0.0</v>
      </c>
      <c r="K222" s="20">
        <v>0.0</v>
      </c>
      <c r="L222" s="23">
        <v>46231.52815972222</v>
      </c>
    </row>
    <row r="223" ht="15.75" customHeight="1">
      <c r="A223" s="20" t="s">
        <v>190</v>
      </c>
      <c r="B223" s="16" t="b">
        <v>1</v>
      </c>
      <c r="C223" s="20">
        <v>0.0</v>
      </c>
      <c r="D223" s="20">
        <v>0.0</v>
      </c>
      <c r="E223" s="20">
        <v>0.0</v>
      </c>
      <c r="F223" s="20">
        <v>0.0</v>
      </c>
      <c r="G223" s="20">
        <v>0.0</v>
      </c>
      <c r="H223" s="20">
        <v>1.0</v>
      </c>
      <c r="I223" s="20">
        <v>1.0</v>
      </c>
      <c r="J223" s="20">
        <v>0.0</v>
      </c>
      <c r="K223" s="20">
        <v>0.0</v>
      </c>
      <c r="L223" s="23">
        <v>46228.678622685184</v>
      </c>
      <c r="M223" s="23"/>
    </row>
    <row r="224" ht="15.75" customHeight="1">
      <c r="A224" s="20" t="s">
        <v>192</v>
      </c>
      <c r="B224" s="16" t="b">
        <v>1</v>
      </c>
      <c r="C224" s="20">
        <v>0.0</v>
      </c>
      <c r="D224" s="20">
        <v>0.0</v>
      </c>
      <c r="E224" s="20">
        <v>0.0</v>
      </c>
      <c r="F224" s="20">
        <v>0.0</v>
      </c>
      <c r="G224" s="20">
        <v>0.0</v>
      </c>
      <c r="H224" s="20">
        <v>1.0</v>
      </c>
      <c r="I224" s="20">
        <v>1.0</v>
      </c>
      <c r="J224" s="20">
        <v>0.0</v>
      </c>
      <c r="K224" s="20">
        <v>0.0</v>
      </c>
      <c r="L224" s="23">
        <v>46227.120474537034</v>
      </c>
    </row>
    <row r="225" ht="15.75" customHeight="1">
      <c r="A225" s="20" t="s">
        <v>196</v>
      </c>
      <c r="B225" s="16" t="b">
        <v>1</v>
      </c>
      <c r="C225" s="20">
        <v>0.0</v>
      </c>
      <c r="D225" s="20">
        <v>0.0</v>
      </c>
      <c r="E225" s="20">
        <v>0.0</v>
      </c>
      <c r="F225" s="20">
        <v>0.0</v>
      </c>
      <c r="G225" s="20">
        <v>0.0</v>
      </c>
      <c r="H225" s="20">
        <v>1.0</v>
      </c>
      <c r="I225" s="20">
        <v>1.0</v>
      </c>
      <c r="J225" s="20">
        <v>0.0</v>
      </c>
      <c r="K225" s="20">
        <v>0.0</v>
      </c>
      <c r="L225" s="23">
        <v>46227.93215277778</v>
      </c>
    </row>
    <row r="226" ht="15.75" customHeight="1">
      <c r="A226" s="20" t="s">
        <v>200</v>
      </c>
      <c r="B226" s="16" t="b">
        <v>1</v>
      </c>
      <c r="C226" s="20">
        <v>0.0</v>
      </c>
      <c r="D226" s="20">
        <v>0.0</v>
      </c>
      <c r="E226" s="20">
        <v>0.0</v>
      </c>
      <c r="F226" s="20">
        <v>0.0</v>
      </c>
      <c r="G226" s="20">
        <v>0.0</v>
      </c>
      <c r="H226" s="20">
        <v>1.0</v>
      </c>
      <c r="I226" s="20">
        <v>1.0</v>
      </c>
      <c r="J226" s="20">
        <v>0.0</v>
      </c>
      <c r="K226" s="20">
        <v>0.0</v>
      </c>
      <c r="L226" s="23">
        <v>46226.998761574076</v>
      </c>
    </row>
    <row r="227" ht="15.75" customHeight="1">
      <c r="A227" s="20" t="s">
        <v>204</v>
      </c>
      <c r="B227" s="16" t="b">
        <v>1</v>
      </c>
      <c r="C227" s="20">
        <v>0.0</v>
      </c>
      <c r="D227" s="20">
        <v>0.0</v>
      </c>
      <c r="E227" s="20">
        <v>0.0</v>
      </c>
      <c r="F227" s="20">
        <v>0.0</v>
      </c>
      <c r="G227" s="20">
        <v>0.0</v>
      </c>
      <c r="H227" s="20">
        <v>1.0</v>
      </c>
      <c r="I227" s="20">
        <v>1.0</v>
      </c>
      <c r="J227" s="20">
        <v>0.0</v>
      </c>
      <c r="K227" s="20">
        <v>0.0</v>
      </c>
      <c r="L227" s="23">
        <v>46231.859305555554</v>
      </c>
    </row>
    <row r="228" ht="15.75" customHeight="1">
      <c r="A228" s="20" t="s">
        <v>209</v>
      </c>
      <c r="B228" s="16" t="b">
        <v>1</v>
      </c>
      <c r="C228" s="20">
        <v>0.0</v>
      </c>
      <c r="D228" s="20">
        <v>0.0</v>
      </c>
      <c r="E228" s="20">
        <v>0.0</v>
      </c>
      <c r="F228" s="20">
        <v>0.0</v>
      </c>
      <c r="G228" s="20">
        <v>0.0</v>
      </c>
      <c r="H228" s="20">
        <v>1.0</v>
      </c>
      <c r="I228" s="20">
        <v>1.0</v>
      </c>
      <c r="J228" s="20">
        <v>0.0</v>
      </c>
      <c r="K228" s="20">
        <v>0.0</v>
      </c>
      <c r="L228" s="23">
        <v>46231.47872685185</v>
      </c>
    </row>
    <row r="229" ht="15.75" customHeight="1">
      <c r="A229" s="20" t="s">
        <v>213</v>
      </c>
      <c r="B229" s="16" t="b">
        <v>1</v>
      </c>
      <c r="C229" s="20">
        <v>0.0</v>
      </c>
      <c r="D229" s="20">
        <v>0.0</v>
      </c>
      <c r="E229" s="20">
        <v>0.0</v>
      </c>
      <c r="F229" s="20">
        <v>0.0</v>
      </c>
      <c r="G229" s="20">
        <v>0.0</v>
      </c>
      <c r="H229" s="20">
        <v>1.0</v>
      </c>
      <c r="I229" s="20">
        <v>1.0</v>
      </c>
      <c r="J229" s="20">
        <v>0.0</v>
      </c>
      <c r="K229" s="20">
        <v>0.0</v>
      </c>
      <c r="L229" s="23">
        <v>46226.90914351852</v>
      </c>
    </row>
    <row r="230" ht="15.75" customHeight="1">
      <c r="A230" s="20" t="s">
        <v>216</v>
      </c>
      <c r="B230" s="16" t="b">
        <v>1</v>
      </c>
      <c r="C230" s="20">
        <v>0.0</v>
      </c>
      <c r="D230" s="20">
        <v>0.0</v>
      </c>
      <c r="E230" s="20">
        <v>0.0</v>
      </c>
      <c r="F230" s="20">
        <v>0.0</v>
      </c>
      <c r="G230" s="20">
        <v>0.0</v>
      </c>
      <c r="H230" s="20">
        <v>1.0</v>
      </c>
      <c r="I230" s="20">
        <v>1.0</v>
      </c>
      <c r="J230" s="20">
        <v>0.0</v>
      </c>
      <c r="K230" s="20">
        <v>0.0</v>
      </c>
      <c r="L230" s="23">
        <v>46232.59171296296</v>
      </c>
    </row>
    <row r="231" ht="15.75" customHeight="1">
      <c r="A231" s="20" t="s">
        <v>220</v>
      </c>
      <c r="B231" s="16" t="b">
        <v>1</v>
      </c>
      <c r="C231" s="20">
        <v>0.0</v>
      </c>
      <c r="D231" s="20">
        <v>0.0</v>
      </c>
      <c r="E231" s="20">
        <v>0.0</v>
      </c>
      <c r="F231" s="20">
        <v>0.0</v>
      </c>
      <c r="G231" s="20">
        <v>0.0</v>
      </c>
      <c r="H231" s="20">
        <v>1.0</v>
      </c>
      <c r="I231" s="20">
        <v>1.0</v>
      </c>
      <c r="J231" s="20">
        <v>0.0</v>
      </c>
      <c r="K231" s="20">
        <v>0.0</v>
      </c>
      <c r="L231" s="23">
        <v>46227.746516203704</v>
      </c>
    </row>
    <row r="232" ht="15.75" customHeight="1">
      <c r="B232" s="16"/>
      <c r="L232" s="23"/>
      <c r="M232" s="23"/>
    </row>
    <row r="233" ht="15.75" customHeight="1">
      <c r="B233" s="16"/>
      <c r="L233" s="23"/>
    </row>
    <row r="234" ht="15.75" customHeight="1">
      <c r="B234" s="16"/>
      <c r="L234" s="23"/>
      <c r="M234" s="23"/>
    </row>
    <row r="235" ht="15.75" customHeight="1">
      <c r="B235" s="16"/>
      <c r="L235" s="23"/>
    </row>
    <row r="236" ht="15.75" customHeight="1">
      <c r="B236" s="16"/>
      <c r="L236" s="23"/>
      <c r="M236" s="23"/>
    </row>
    <row r="237" ht="15.75" customHeight="1">
      <c r="B237" s="16"/>
      <c r="L237" s="23"/>
      <c r="M237" s="23"/>
    </row>
    <row r="238" ht="15.75" customHeight="1">
      <c r="B238" s="16"/>
      <c r="L238" s="23"/>
    </row>
    <row r="239" ht="15.75" customHeight="1">
      <c r="B239" s="16"/>
      <c r="L239" s="23"/>
    </row>
    <row r="240" ht="15.75" customHeight="1">
      <c r="B240" s="16"/>
      <c r="L240" s="23"/>
      <c r="M240" s="23"/>
    </row>
    <row r="241" ht="15.75" customHeight="1">
      <c r="B241" s="16"/>
      <c r="L241" s="23"/>
      <c r="M241" s="23"/>
    </row>
    <row r="242" ht="15.75" customHeight="1">
      <c r="B242" s="16"/>
      <c r="L242" s="23"/>
    </row>
    <row r="243" ht="15.75" customHeight="1">
      <c r="B243" s="16"/>
      <c r="L243" s="23"/>
    </row>
    <row r="244" ht="15.75" customHeight="1">
      <c r="B244" s="16"/>
      <c r="L244" s="23"/>
    </row>
    <row r="245" ht="15.75" customHeight="1">
      <c r="B245" s="16"/>
      <c r="L245" s="23"/>
      <c r="M245" s="23"/>
    </row>
    <row r="246" ht="15.75" customHeight="1">
      <c r="B246" s="16"/>
      <c r="L246" s="23"/>
    </row>
    <row r="247" ht="15.75" customHeight="1">
      <c r="B247" s="16"/>
      <c r="L247" s="23"/>
    </row>
    <row r="248" ht="15.75" customHeight="1">
      <c r="B248" s="16"/>
      <c r="L248" s="23"/>
      <c r="M248" s="23"/>
    </row>
    <row r="249" ht="15.75" customHeight="1">
      <c r="B249" s="16"/>
      <c r="L249" s="23"/>
      <c r="M249" s="23"/>
    </row>
    <row r="250" ht="15.75" customHeight="1">
      <c r="B250" s="16"/>
      <c r="L250" s="23"/>
    </row>
    <row r="251" ht="15.75" customHeight="1">
      <c r="B251" s="16"/>
      <c r="L251" s="23"/>
    </row>
    <row r="252" ht="15.75" customHeight="1">
      <c r="B252" s="16"/>
      <c r="L252" s="23"/>
      <c r="M252" s="23"/>
    </row>
    <row r="253" ht="15.75" customHeight="1">
      <c r="B253" s="16"/>
      <c r="L253" s="23"/>
      <c r="M253" s="23"/>
    </row>
    <row r="254" ht="15.75" customHeight="1">
      <c r="B254" s="16"/>
      <c r="L254" s="23"/>
      <c r="M254" s="23"/>
    </row>
    <row r="255" ht="15.75" customHeight="1">
      <c r="B255" s="16"/>
      <c r="L255" s="23"/>
    </row>
    <row r="256" ht="15.75" customHeight="1">
      <c r="B256" s="16"/>
      <c r="L256" s="23"/>
    </row>
    <row r="257" ht="15.75" customHeight="1">
      <c r="B257" s="16"/>
      <c r="L257" s="23"/>
      <c r="M257" s="23"/>
    </row>
    <row r="258" ht="15.75" customHeight="1">
      <c r="B258" s="16"/>
      <c r="L258" s="23"/>
    </row>
    <row r="259" ht="15.75" customHeight="1">
      <c r="B259" s="16"/>
      <c r="L259" s="23"/>
      <c r="M259" s="23"/>
    </row>
    <row r="260" ht="15.75" customHeight="1">
      <c r="B260" s="16"/>
      <c r="L260" s="23"/>
    </row>
    <row r="261" ht="15.75" customHeight="1">
      <c r="B261" s="16"/>
      <c r="L261" s="23"/>
    </row>
    <row r="262" ht="15.75" customHeight="1">
      <c r="B262" s="16"/>
      <c r="L262" s="23"/>
      <c r="M262" s="23"/>
    </row>
    <row r="263" ht="15.75" customHeight="1">
      <c r="B263" s="16"/>
      <c r="L263" s="23"/>
      <c r="M263" s="23"/>
    </row>
    <row r="264" ht="15.75" customHeight="1">
      <c r="B264" s="16"/>
      <c r="L264" s="23"/>
    </row>
    <row r="265" ht="15.75" customHeight="1">
      <c r="B265" s="16"/>
      <c r="L265" s="23"/>
    </row>
    <row r="266" ht="15.75" customHeight="1">
      <c r="B266" s="16"/>
      <c r="L266" s="23"/>
    </row>
    <row r="267" ht="15.75" customHeight="1">
      <c r="B267" s="16"/>
      <c r="L267" s="23"/>
    </row>
    <row r="268" ht="15.75" customHeight="1">
      <c r="B268" s="16"/>
      <c r="L268" s="23"/>
    </row>
    <row r="269" ht="15.75" customHeight="1">
      <c r="B269" s="16"/>
      <c r="L269" s="23"/>
    </row>
    <row r="270" ht="15.75" customHeight="1">
      <c r="B270" s="16"/>
      <c r="L270" s="23"/>
    </row>
    <row r="271" ht="15.75" customHeight="1">
      <c r="B271" s="16"/>
      <c r="L271" s="23"/>
    </row>
    <row r="272" ht="15.75" customHeight="1">
      <c r="B272" s="16"/>
      <c r="L272" s="23"/>
    </row>
    <row r="273" ht="15.75" customHeight="1">
      <c r="B273" s="16"/>
      <c r="L273" s="23"/>
    </row>
    <row r="274" ht="15.75" customHeight="1">
      <c r="B274" s="16"/>
      <c r="L274" s="23"/>
      <c r="M274" s="23"/>
    </row>
    <row r="275" ht="15.75" customHeight="1">
      <c r="B275" s="16"/>
      <c r="L275" s="23"/>
    </row>
    <row r="276" ht="15.75" customHeight="1">
      <c r="B276" s="16"/>
      <c r="L276" s="23"/>
    </row>
    <row r="277" ht="15.75" customHeight="1">
      <c r="B277" s="16"/>
      <c r="L277" s="23"/>
      <c r="M277" s="23"/>
    </row>
    <row r="278" ht="15.75" customHeight="1">
      <c r="B278" s="16"/>
      <c r="L278" s="23"/>
    </row>
    <row r="279" ht="15.75" customHeight="1">
      <c r="B279" s="16"/>
      <c r="L279" s="23"/>
      <c r="M279" s="23"/>
    </row>
    <row r="280" ht="15.75" customHeight="1">
      <c r="B280" s="16"/>
      <c r="L280" s="23"/>
    </row>
    <row r="281" ht="15.75" customHeight="1">
      <c r="B281" s="16"/>
      <c r="L281" s="23"/>
      <c r="M281" s="23"/>
    </row>
    <row r="282" ht="15.75" customHeight="1">
      <c r="B282" s="16"/>
      <c r="L282" s="23"/>
      <c r="M282" s="23"/>
    </row>
    <row r="283" ht="15.75" customHeight="1">
      <c r="B283" s="16"/>
      <c r="L283" s="23"/>
    </row>
    <row r="284" ht="15.75" customHeight="1">
      <c r="B284" s="16"/>
      <c r="L284" s="23"/>
    </row>
    <row r="285" ht="15.75" customHeight="1">
      <c r="B285" s="16"/>
      <c r="L285" s="23"/>
      <c r="M285" s="23"/>
    </row>
    <row r="286" ht="15.75" customHeight="1">
      <c r="B286" s="16"/>
      <c r="L286" s="23"/>
      <c r="M286" s="23"/>
    </row>
    <row r="287" ht="15.75" customHeight="1">
      <c r="B287" s="16"/>
      <c r="L287" s="23"/>
      <c r="M287" s="23"/>
    </row>
    <row r="288" ht="15.75" customHeight="1">
      <c r="B288" s="16"/>
      <c r="L288" s="23"/>
    </row>
    <row r="289" ht="15.75" customHeight="1">
      <c r="B289" s="16"/>
      <c r="L289" s="23"/>
      <c r="M289" s="23"/>
    </row>
    <row r="290" ht="15.75" customHeight="1">
      <c r="B290" s="16"/>
      <c r="L290" s="23"/>
    </row>
    <row r="291" ht="15.75" customHeight="1">
      <c r="B291" s="16"/>
      <c r="L291" s="23"/>
    </row>
    <row r="292" ht="15.75" customHeight="1">
      <c r="B292" s="16"/>
      <c r="L292" s="23"/>
      <c r="M292" s="23"/>
    </row>
    <row r="293" ht="15.75" customHeight="1">
      <c r="B293" s="16"/>
      <c r="L293" s="23"/>
    </row>
    <row r="294" ht="15.75" customHeight="1">
      <c r="B294" s="16"/>
      <c r="L294" s="23"/>
    </row>
    <row r="295" ht="15.75" customHeight="1">
      <c r="B295" s="16"/>
      <c r="L295" s="23"/>
    </row>
    <row r="296" ht="15.75" customHeight="1">
      <c r="B296" s="16"/>
      <c r="L296" s="23"/>
      <c r="M296" s="23"/>
    </row>
    <row r="297" ht="15.75" customHeight="1">
      <c r="B297" s="16"/>
      <c r="L297" s="23"/>
    </row>
    <row r="298" ht="15.75" customHeight="1">
      <c r="B298" s="16"/>
      <c r="L298" s="23"/>
      <c r="M298" s="23"/>
    </row>
    <row r="299" ht="15.75" customHeight="1">
      <c r="B299" s="16"/>
      <c r="L299" s="23"/>
    </row>
    <row r="300" ht="15.75" customHeight="1">
      <c r="B300" s="16"/>
      <c r="L300" s="23"/>
    </row>
    <row r="301" ht="15.75" customHeight="1">
      <c r="B301" s="16"/>
      <c r="L301" s="23"/>
    </row>
    <row r="302" ht="15.75" customHeight="1">
      <c r="B302" s="16"/>
      <c r="L302" s="23"/>
      <c r="M302" s="23"/>
    </row>
    <row r="303" ht="15.75" customHeight="1">
      <c r="B303" s="16"/>
      <c r="L303" s="23"/>
    </row>
    <row r="304" ht="15.75" customHeight="1">
      <c r="B304" s="16"/>
      <c r="L304" s="23"/>
      <c r="M304" s="23"/>
    </row>
    <row r="305" ht="15.75" customHeight="1">
      <c r="B305" s="16"/>
      <c r="L305" s="23"/>
    </row>
    <row r="306" ht="15.75" customHeight="1">
      <c r="B306" s="16"/>
      <c r="L306" s="23"/>
    </row>
    <row r="307" ht="15.75" customHeight="1">
      <c r="B307" s="16"/>
      <c r="L307" s="23"/>
    </row>
    <row r="308" ht="15.75" customHeight="1">
      <c r="B308" s="16"/>
      <c r="L308" s="23"/>
      <c r="M308" s="23"/>
    </row>
    <row r="309" ht="15.75" customHeight="1">
      <c r="B309" s="16"/>
      <c r="L309" s="23"/>
      <c r="M309" s="23"/>
    </row>
    <row r="310" ht="15.75" customHeight="1">
      <c r="B310" s="16"/>
      <c r="L310" s="23"/>
    </row>
    <row r="311" ht="15.75" customHeight="1">
      <c r="B311" s="16"/>
      <c r="L311" s="23"/>
      <c r="M311" s="23"/>
    </row>
    <row r="312" ht="15.75" customHeight="1">
      <c r="B312" s="16"/>
      <c r="L312" s="23"/>
    </row>
    <row r="313" ht="15.75" customHeight="1">
      <c r="B313" s="16"/>
      <c r="L313" s="23"/>
      <c r="M313" s="23"/>
    </row>
    <row r="314" ht="15.75" customHeight="1">
      <c r="B314" s="16"/>
      <c r="L314" s="23"/>
      <c r="M314" s="23"/>
    </row>
    <row r="315" ht="15.75" customHeight="1">
      <c r="B315" s="16"/>
      <c r="L315" s="23"/>
    </row>
    <row r="316" ht="15.75" customHeight="1">
      <c r="B316" s="16"/>
      <c r="L316" s="23"/>
      <c r="M316" s="23"/>
    </row>
    <row r="317" ht="15.75" customHeight="1">
      <c r="B317" s="16"/>
      <c r="L317" s="23"/>
      <c r="M317" s="23"/>
    </row>
    <row r="318" ht="15.75" customHeight="1">
      <c r="B318" s="16"/>
      <c r="L318" s="23"/>
    </row>
    <row r="319" ht="15.75" customHeight="1">
      <c r="B319" s="16"/>
      <c r="L319" s="23"/>
    </row>
    <row r="320" ht="15.75" customHeight="1">
      <c r="B320" s="16"/>
      <c r="L320" s="23"/>
    </row>
    <row r="321" ht="15.75" customHeight="1">
      <c r="B321" s="16"/>
      <c r="L321" s="23"/>
    </row>
    <row r="322" ht="15.75" customHeight="1">
      <c r="B322" s="16"/>
      <c r="L322" s="23"/>
    </row>
    <row r="323" ht="15.75" customHeight="1">
      <c r="B323" s="16"/>
      <c r="L323" s="23"/>
      <c r="M323" s="23"/>
    </row>
    <row r="324" ht="15.75" customHeight="1">
      <c r="B324" s="16"/>
      <c r="L324" s="23"/>
    </row>
    <row r="325" ht="15.75" customHeight="1">
      <c r="B325" s="16"/>
      <c r="L325" s="23"/>
    </row>
    <row r="326" ht="15.75" customHeight="1">
      <c r="B326" s="16"/>
      <c r="L326" s="23"/>
      <c r="M326" s="23"/>
    </row>
    <row r="327" ht="15.75" customHeight="1">
      <c r="B327" s="16"/>
      <c r="L327" s="23"/>
      <c r="M327" s="23"/>
    </row>
    <row r="328" ht="15.75" customHeight="1">
      <c r="B328" s="16"/>
      <c r="L328" s="23"/>
    </row>
    <row r="329" ht="15.75" customHeight="1">
      <c r="B329" s="16"/>
      <c r="L329" s="23"/>
    </row>
    <row r="330" ht="15.75" customHeight="1">
      <c r="B330" s="16"/>
      <c r="L330" s="23"/>
      <c r="M330" s="23"/>
    </row>
    <row r="331" ht="15.75" customHeight="1">
      <c r="B331" s="16"/>
      <c r="L331" s="23"/>
      <c r="M331" s="23"/>
    </row>
    <row r="332" ht="15.75" customHeight="1">
      <c r="B332" s="16"/>
      <c r="L332" s="23"/>
      <c r="M332" s="23"/>
    </row>
    <row r="333" ht="15.75" customHeight="1">
      <c r="B333" s="16"/>
      <c r="L333" s="23"/>
    </row>
    <row r="334" ht="15.75" customHeight="1">
      <c r="B334" s="16"/>
      <c r="L334" s="23"/>
      <c r="M334" s="23"/>
    </row>
    <row r="335" ht="15.75" customHeight="1">
      <c r="B335" s="16"/>
      <c r="L335" s="23"/>
    </row>
    <row r="336" ht="15.75" customHeight="1">
      <c r="B336" s="16"/>
      <c r="L336" s="23"/>
      <c r="M336" s="23"/>
    </row>
    <row r="337" ht="15.75" customHeight="1">
      <c r="B337" s="16"/>
      <c r="L337" s="23"/>
    </row>
    <row r="338" ht="15.75" customHeight="1">
      <c r="B338" s="16"/>
      <c r="L338" s="23"/>
      <c r="M338" s="23"/>
    </row>
    <row r="339" ht="15.75" customHeight="1">
      <c r="B339" s="16"/>
      <c r="L339" s="23"/>
    </row>
    <row r="340" ht="15.75" customHeight="1">
      <c r="B340" s="16"/>
      <c r="L340" s="23"/>
      <c r="M340" s="23"/>
    </row>
    <row r="341" ht="15.75" customHeight="1">
      <c r="B341" s="16"/>
      <c r="L341" s="23"/>
    </row>
    <row r="342" ht="15.75" customHeight="1">
      <c r="B342" s="16"/>
      <c r="L342" s="23"/>
    </row>
    <row r="343" ht="15.75" customHeight="1">
      <c r="B343" s="16"/>
      <c r="L343" s="23"/>
      <c r="M343" s="23"/>
    </row>
    <row r="344" ht="15.75" customHeight="1">
      <c r="B344" s="16"/>
      <c r="L344" s="23"/>
    </row>
    <row r="345" ht="15.75" customHeight="1">
      <c r="B345" s="16"/>
      <c r="L345" s="23"/>
    </row>
    <row r="346" ht="15.75" customHeight="1">
      <c r="B346" s="16"/>
      <c r="L346" s="23"/>
    </row>
    <row r="347" ht="15.75" customHeight="1">
      <c r="B347" s="16"/>
      <c r="L347" s="23"/>
    </row>
    <row r="348" ht="15.75" customHeight="1">
      <c r="B348" s="16"/>
      <c r="L348" s="23"/>
      <c r="M348" s="23"/>
    </row>
    <row r="349" ht="15.75" customHeight="1">
      <c r="B349" s="16"/>
      <c r="L349" s="23"/>
    </row>
    <row r="350" ht="15.75" customHeight="1">
      <c r="B350" s="16"/>
      <c r="L350" s="23"/>
    </row>
    <row r="351" ht="15.75" customHeight="1">
      <c r="B351" s="16"/>
      <c r="L351" s="23"/>
      <c r="M351" s="23"/>
    </row>
    <row r="352" ht="15.75" customHeight="1">
      <c r="B352" s="16"/>
      <c r="L352" s="23"/>
      <c r="M352" s="23"/>
    </row>
    <row r="353" ht="15.75" customHeight="1">
      <c r="B353" s="16"/>
      <c r="L353" s="23"/>
    </row>
    <row r="354" ht="15.75" customHeight="1">
      <c r="B354" s="16"/>
      <c r="L354" s="23"/>
      <c r="M354" s="23"/>
    </row>
    <row r="355" ht="15.75" customHeight="1">
      <c r="B355" s="16"/>
      <c r="L355" s="23"/>
    </row>
    <row r="356" ht="15.75" customHeight="1">
      <c r="B356" s="16"/>
      <c r="L356" s="23"/>
    </row>
    <row r="357" ht="15.75" customHeight="1">
      <c r="B357" s="16"/>
      <c r="L357" s="23"/>
    </row>
    <row r="358" ht="15.75" customHeight="1">
      <c r="B358" s="16"/>
      <c r="L358" s="23"/>
      <c r="M358" s="23"/>
    </row>
    <row r="359" ht="15.75" customHeight="1">
      <c r="B359" s="16"/>
      <c r="L359" s="23"/>
      <c r="M359" s="23"/>
    </row>
    <row r="360" ht="15.75" customHeight="1">
      <c r="B360" s="16"/>
      <c r="L360" s="23"/>
    </row>
    <row r="361" ht="15.75" customHeight="1">
      <c r="B361" s="16"/>
      <c r="L361" s="23"/>
    </row>
    <row r="362" ht="15.75" customHeight="1">
      <c r="B362" s="16"/>
      <c r="L362" s="23"/>
      <c r="M362" s="23"/>
    </row>
    <row r="363" ht="15.75" customHeight="1">
      <c r="B363" s="16"/>
      <c r="L363" s="23"/>
    </row>
    <row r="364" ht="15.75" customHeight="1">
      <c r="B364" s="16"/>
      <c r="L364" s="23"/>
    </row>
    <row r="365" ht="15.75" customHeight="1">
      <c r="B365" s="16"/>
      <c r="L365" s="23"/>
      <c r="M365" s="23"/>
    </row>
    <row r="366" ht="15.75" customHeight="1">
      <c r="B366" s="16"/>
      <c r="L366" s="23"/>
      <c r="M366" s="23"/>
    </row>
    <row r="367" ht="15.75" customHeight="1">
      <c r="B367" s="16"/>
      <c r="L367" s="23"/>
    </row>
    <row r="368" ht="15.75" customHeight="1">
      <c r="B368" s="16"/>
      <c r="L368" s="23"/>
    </row>
    <row r="369" ht="15.75" customHeight="1">
      <c r="B369" s="16"/>
      <c r="L369" s="23"/>
    </row>
    <row r="370" ht="15.75" customHeight="1">
      <c r="B370" s="16"/>
      <c r="L370" s="23"/>
      <c r="M370" s="23"/>
    </row>
    <row r="371" ht="15.75" customHeight="1">
      <c r="B371" s="16"/>
      <c r="L371" s="23"/>
      <c r="M371" s="23"/>
    </row>
    <row r="372" ht="15.75" customHeight="1">
      <c r="B372" s="16"/>
      <c r="L372" s="23"/>
      <c r="M372" s="23"/>
    </row>
    <row r="373" ht="15.75" customHeight="1">
      <c r="B373" s="16"/>
      <c r="L373" s="23"/>
      <c r="M373" s="23"/>
    </row>
    <row r="374" ht="15.75" customHeight="1">
      <c r="B374" s="16"/>
      <c r="L374" s="23"/>
    </row>
    <row r="375" ht="15.75" customHeight="1">
      <c r="B375" s="16"/>
      <c r="L375" s="23"/>
      <c r="M375" s="23"/>
    </row>
    <row r="376" ht="15.75" customHeight="1">
      <c r="B376" s="16"/>
      <c r="L376" s="23"/>
      <c r="M376" s="23"/>
    </row>
    <row r="377" ht="15.75" customHeight="1">
      <c r="B377" s="16"/>
      <c r="L377" s="23"/>
    </row>
    <row r="378" ht="15.75" customHeight="1">
      <c r="B378" s="16"/>
      <c r="L378" s="23"/>
      <c r="M378" s="23"/>
    </row>
    <row r="379" ht="15.75" customHeight="1">
      <c r="B379" s="16"/>
      <c r="L379" s="23"/>
      <c r="M379" s="23"/>
    </row>
    <row r="380" ht="15.75" customHeight="1">
      <c r="B380" s="16"/>
      <c r="L380" s="23"/>
      <c r="M380" s="23"/>
    </row>
    <row r="381" ht="15.75" customHeight="1">
      <c r="B381" s="16"/>
      <c r="L381" s="23"/>
    </row>
    <row r="382" ht="15.75" customHeight="1">
      <c r="B382" s="16"/>
      <c r="L382" s="23"/>
    </row>
    <row r="383" ht="15.75" customHeight="1">
      <c r="B383" s="16"/>
      <c r="L383" s="23"/>
      <c r="M383" s="23"/>
    </row>
    <row r="384" ht="15.75" customHeight="1">
      <c r="B384" s="16"/>
      <c r="L384" s="23"/>
    </row>
    <row r="385" ht="15.75" customHeight="1">
      <c r="B385" s="16"/>
      <c r="L385" s="23"/>
    </row>
    <row r="386" ht="15.75" customHeight="1">
      <c r="B386" s="16"/>
      <c r="L386" s="23"/>
      <c r="M386" s="23"/>
    </row>
    <row r="387" ht="15.75" customHeight="1">
      <c r="B387" s="16"/>
      <c r="L387" s="23"/>
      <c r="M387" s="23"/>
    </row>
    <row r="388" ht="15.75" customHeight="1">
      <c r="B388" s="16"/>
      <c r="L388" s="23"/>
      <c r="M388" s="23"/>
    </row>
    <row r="389" ht="15.75" customHeight="1">
      <c r="B389" s="16"/>
      <c r="L389" s="23"/>
    </row>
    <row r="390" ht="15.75" customHeight="1">
      <c r="B390" s="16"/>
      <c r="L390" s="23"/>
    </row>
    <row r="391" ht="15.75" customHeight="1">
      <c r="B391" s="16"/>
      <c r="L391" s="23"/>
      <c r="M391" s="23"/>
    </row>
    <row r="392" ht="15.75" customHeight="1">
      <c r="B392" s="16"/>
      <c r="L392" s="23"/>
      <c r="M392" s="23"/>
    </row>
    <row r="393" ht="15.75" customHeight="1">
      <c r="B393" s="16"/>
      <c r="L393" s="23"/>
    </row>
    <row r="394" ht="15.75" customHeight="1">
      <c r="B394" s="16"/>
      <c r="L394" s="23"/>
    </row>
    <row r="395" ht="15.75" customHeight="1">
      <c r="B395" s="16"/>
      <c r="L395" s="23"/>
      <c r="M395" s="23"/>
    </row>
    <row r="396" ht="15.75" customHeight="1">
      <c r="B396" s="16"/>
      <c r="L396" s="23"/>
    </row>
    <row r="397" ht="15.75" customHeight="1">
      <c r="B397" s="16"/>
      <c r="L397" s="23"/>
    </row>
    <row r="398" ht="15.75" customHeight="1">
      <c r="B398" s="16"/>
      <c r="L398" s="23"/>
      <c r="M398" s="23"/>
    </row>
    <row r="399" ht="15.75" customHeight="1">
      <c r="B399" s="16"/>
      <c r="L399" s="23"/>
      <c r="M399" s="23"/>
    </row>
    <row r="400" ht="15.75" customHeight="1">
      <c r="B400" s="16"/>
      <c r="L400" s="23"/>
    </row>
    <row r="401" ht="15.75" customHeight="1">
      <c r="B401" s="16"/>
      <c r="L401" s="23"/>
    </row>
    <row r="402" ht="15.75" customHeight="1">
      <c r="B402" s="16"/>
      <c r="L402" s="23"/>
      <c r="M402" s="23"/>
    </row>
    <row r="403" ht="15.75" customHeight="1">
      <c r="B403" s="16"/>
      <c r="L403" s="23"/>
      <c r="M403" s="23"/>
    </row>
    <row r="404" ht="15.75" customHeight="1">
      <c r="B404" s="16"/>
      <c r="L404" s="23"/>
    </row>
    <row r="405" ht="15.75" customHeight="1">
      <c r="B405" s="16"/>
      <c r="L405" s="23"/>
    </row>
    <row r="406" ht="15.75" customHeight="1">
      <c r="B406" s="16"/>
      <c r="L406" s="23"/>
    </row>
    <row r="407" ht="15.75" customHeight="1">
      <c r="B407" s="16"/>
      <c r="L407" s="23"/>
    </row>
    <row r="408" ht="15.75" customHeight="1">
      <c r="B408" s="16"/>
      <c r="L408" s="23"/>
    </row>
    <row r="409" ht="15.75" customHeight="1">
      <c r="B409" s="16"/>
      <c r="L409" s="23"/>
    </row>
    <row r="410" ht="15.75" customHeight="1">
      <c r="B410" s="16"/>
      <c r="L410" s="23"/>
      <c r="M410" s="23"/>
    </row>
    <row r="411" ht="15.75" customHeight="1">
      <c r="B411" s="16"/>
      <c r="L411" s="23"/>
      <c r="M411" s="23"/>
    </row>
    <row r="412" ht="15.75" customHeight="1">
      <c r="B412" s="16"/>
      <c r="L412" s="23"/>
    </row>
    <row r="413" ht="15.75" customHeight="1">
      <c r="B413" s="16"/>
      <c r="L413" s="23"/>
    </row>
    <row r="414" ht="15.75" customHeight="1">
      <c r="B414" s="16"/>
      <c r="L414" s="23"/>
    </row>
    <row r="415" ht="15.75" customHeight="1">
      <c r="B415" s="16"/>
      <c r="L415" s="23"/>
    </row>
    <row r="416" ht="15.75" customHeight="1">
      <c r="B416" s="16"/>
      <c r="L416" s="23"/>
    </row>
    <row r="417" ht="15.75" customHeight="1">
      <c r="B417" s="16"/>
      <c r="L417" s="23"/>
    </row>
    <row r="418" ht="15.75" customHeight="1">
      <c r="B418" s="16"/>
      <c r="L418" s="23"/>
      <c r="M418" s="23"/>
    </row>
    <row r="419" ht="15.75" customHeight="1">
      <c r="B419" s="16"/>
      <c r="L419" s="23"/>
    </row>
    <row r="420" ht="15.75" customHeight="1">
      <c r="B420" s="16"/>
      <c r="L420" s="23"/>
    </row>
    <row r="421" ht="15.75" customHeight="1">
      <c r="B421" s="16"/>
      <c r="L421" s="23"/>
      <c r="M421" s="23"/>
    </row>
    <row r="422" ht="15.75" customHeight="1">
      <c r="B422" s="16"/>
      <c r="L422" s="23"/>
    </row>
    <row r="423" ht="15.75" customHeight="1">
      <c r="B423" s="16"/>
      <c r="L423" s="23"/>
    </row>
    <row r="424" ht="15.75" customHeight="1">
      <c r="B424" s="16"/>
      <c r="L424" s="23"/>
      <c r="M424" s="23"/>
    </row>
    <row r="425" ht="15.75" customHeight="1">
      <c r="B425" s="16"/>
      <c r="L425" s="23"/>
    </row>
    <row r="426" ht="15.75" customHeight="1">
      <c r="B426" s="16"/>
      <c r="L426" s="23"/>
    </row>
    <row r="427" ht="15.75" customHeight="1">
      <c r="B427" s="16"/>
      <c r="L427" s="23"/>
      <c r="M427" s="23"/>
    </row>
    <row r="428" ht="15.75" customHeight="1">
      <c r="B428" s="16"/>
      <c r="L428" s="23"/>
    </row>
    <row r="429" ht="15.75" customHeight="1">
      <c r="B429" s="16"/>
      <c r="L429" s="23"/>
    </row>
    <row r="430" ht="15.75" customHeight="1">
      <c r="B430" s="16"/>
      <c r="L430" s="23"/>
      <c r="M430" s="23"/>
    </row>
    <row r="431" ht="15.75" customHeight="1">
      <c r="B431" s="16"/>
      <c r="L431" s="23"/>
    </row>
    <row r="432" ht="15.75" customHeight="1">
      <c r="B432" s="16"/>
      <c r="L432" s="23"/>
    </row>
    <row r="433" ht="15.75" customHeight="1">
      <c r="B433" s="16"/>
      <c r="L433" s="23"/>
    </row>
    <row r="434" ht="15.75" customHeight="1">
      <c r="B434" s="16"/>
      <c r="L434" s="23"/>
    </row>
    <row r="435" ht="15.75" customHeight="1">
      <c r="B435" s="16"/>
      <c r="L435" s="23"/>
      <c r="M435" s="23"/>
    </row>
    <row r="436" ht="15.75" customHeight="1">
      <c r="B436" s="16"/>
      <c r="L436" s="23"/>
      <c r="M436" s="23"/>
    </row>
    <row r="437" ht="15.75" customHeight="1">
      <c r="B437" s="16"/>
      <c r="L437" s="23"/>
      <c r="M437" s="23"/>
    </row>
    <row r="438" ht="15.75" customHeight="1">
      <c r="B438" s="16"/>
      <c r="L438" s="23"/>
      <c r="M438" s="23"/>
    </row>
    <row r="439" ht="15.75" customHeight="1">
      <c r="B439" s="16"/>
      <c r="L439" s="23"/>
    </row>
    <row r="440" ht="15.75" customHeight="1">
      <c r="B440" s="16"/>
      <c r="L440" s="23"/>
    </row>
    <row r="441" ht="15.75" customHeight="1">
      <c r="B441" s="16"/>
      <c r="L441" s="23"/>
    </row>
    <row r="442" ht="15.75" customHeight="1">
      <c r="B442" s="16"/>
      <c r="L442" s="23"/>
    </row>
    <row r="443" ht="15.75" customHeight="1">
      <c r="B443" s="16"/>
      <c r="L443" s="23"/>
    </row>
    <row r="444" ht="15.75" customHeight="1">
      <c r="B444" s="16"/>
      <c r="L444" s="23"/>
      <c r="M444" s="23"/>
    </row>
    <row r="445" ht="15.75" customHeight="1">
      <c r="B445" s="16"/>
      <c r="L445" s="23"/>
    </row>
    <row r="446" ht="15.75" customHeight="1">
      <c r="B446" s="16"/>
      <c r="L446" s="23"/>
      <c r="M446" s="23"/>
    </row>
    <row r="447" ht="15.75" customHeight="1">
      <c r="B447" s="16"/>
      <c r="L447" s="23"/>
      <c r="M447" s="23"/>
    </row>
    <row r="448" ht="15.75" customHeight="1">
      <c r="B448" s="16"/>
      <c r="L448" s="23"/>
    </row>
    <row r="449" ht="15.75" customHeight="1">
      <c r="B449" s="16"/>
      <c r="L449" s="23"/>
      <c r="M449" s="23"/>
    </row>
    <row r="450" ht="15.75" customHeight="1">
      <c r="B450" s="16"/>
      <c r="L450" s="23"/>
    </row>
    <row r="451" ht="15.75" customHeight="1">
      <c r="B451" s="16"/>
      <c r="L451" s="23"/>
      <c r="M451" s="23"/>
    </row>
    <row r="452" ht="15.75" customHeight="1">
      <c r="B452" s="16"/>
      <c r="L452" s="23"/>
    </row>
    <row r="453" ht="15.75" customHeight="1">
      <c r="B453" s="16"/>
      <c r="L453" s="23"/>
      <c r="M453" s="23"/>
    </row>
    <row r="454" ht="15.75" customHeight="1">
      <c r="B454" s="16"/>
      <c r="L454" s="23"/>
    </row>
    <row r="455" ht="15.75" customHeight="1">
      <c r="B455" s="16"/>
      <c r="L455" s="23"/>
    </row>
    <row r="456" ht="15.75" customHeight="1">
      <c r="B456" s="16"/>
      <c r="L456" s="23"/>
    </row>
    <row r="457" ht="15.75" customHeight="1">
      <c r="B457" s="16"/>
      <c r="L457" s="23"/>
      <c r="M457" s="23"/>
    </row>
    <row r="458" ht="15.75" customHeight="1">
      <c r="B458" s="16"/>
      <c r="L458" s="23"/>
      <c r="M458" s="23"/>
    </row>
    <row r="459" ht="15.75" customHeight="1">
      <c r="B459" s="16"/>
      <c r="L459" s="23"/>
      <c r="M459" s="23"/>
    </row>
    <row r="460" ht="15.75" customHeight="1">
      <c r="B460" s="16"/>
      <c r="L460" s="23"/>
    </row>
    <row r="461" ht="15.75" customHeight="1">
      <c r="B461" s="16"/>
      <c r="L461" s="23"/>
      <c r="M461" s="23"/>
    </row>
    <row r="462" ht="15.75" customHeight="1">
      <c r="B462" s="16"/>
      <c r="L462" s="23"/>
      <c r="M462" s="23"/>
    </row>
    <row r="463" ht="15.75" customHeight="1">
      <c r="B463" s="16"/>
      <c r="L463" s="23"/>
      <c r="M463" s="23"/>
    </row>
    <row r="464" ht="15.75" customHeight="1">
      <c r="B464" s="16"/>
      <c r="L464" s="23"/>
      <c r="M464" s="23"/>
    </row>
    <row r="465" ht="15.75" customHeight="1">
      <c r="B465" s="16"/>
      <c r="L465" s="23"/>
      <c r="M465" s="23"/>
    </row>
    <row r="466" ht="15.75" customHeight="1">
      <c r="B466" s="16"/>
      <c r="L466" s="23"/>
      <c r="M466" s="23"/>
    </row>
    <row r="467" ht="15.75" customHeight="1">
      <c r="B467" s="16"/>
      <c r="L467" s="23"/>
      <c r="M467" s="23"/>
    </row>
    <row r="468" ht="15.75" customHeight="1">
      <c r="B468" s="16"/>
      <c r="L468" s="23"/>
      <c r="M468" s="23"/>
    </row>
    <row r="469" ht="15.75" customHeight="1">
      <c r="B469" s="16"/>
      <c r="L469" s="23"/>
      <c r="M469" s="23"/>
    </row>
    <row r="470" ht="15.75" customHeight="1">
      <c r="B470" s="16"/>
      <c r="L470" s="23"/>
      <c r="M470" s="23"/>
    </row>
    <row r="471" ht="15.75" customHeight="1">
      <c r="B471" s="16"/>
      <c r="L471" s="23"/>
      <c r="M471" s="23"/>
    </row>
    <row r="472" ht="15.75" customHeight="1">
      <c r="B472" s="16"/>
      <c r="L472" s="23"/>
      <c r="M472" s="23"/>
    </row>
    <row r="473" ht="15.75" customHeight="1">
      <c r="B473" s="16"/>
      <c r="L473" s="23"/>
    </row>
    <row r="474" ht="15.75" customHeight="1">
      <c r="B474" s="16"/>
      <c r="L474" s="23"/>
    </row>
    <row r="475" ht="15.75" customHeight="1">
      <c r="B475" s="16"/>
      <c r="L475" s="23"/>
    </row>
    <row r="476" ht="15.75" customHeight="1">
      <c r="B476" s="16"/>
      <c r="L476" s="23"/>
      <c r="M476" s="23"/>
    </row>
    <row r="477" ht="15.75" customHeight="1">
      <c r="B477" s="16"/>
      <c r="L477" s="23"/>
      <c r="M477" s="23"/>
    </row>
    <row r="478" ht="15.75" customHeight="1">
      <c r="B478" s="16"/>
      <c r="L478" s="23"/>
    </row>
    <row r="479" ht="15.75" customHeight="1">
      <c r="B479" s="16"/>
      <c r="L479" s="23"/>
      <c r="M479" s="23"/>
    </row>
    <row r="480" ht="15.75" customHeight="1">
      <c r="B480" s="16"/>
      <c r="L480" s="23"/>
      <c r="M480" s="23"/>
    </row>
    <row r="481" ht="15.75" customHeight="1">
      <c r="B481" s="16"/>
      <c r="L481" s="23"/>
    </row>
    <row r="482" ht="15.75" customHeight="1">
      <c r="B482" s="16"/>
      <c r="L482" s="23"/>
      <c r="M482" s="23"/>
    </row>
    <row r="483" ht="15.75" customHeight="1">
      <c r="B483" s="16"/>
      <c r="L483" s="23"/>
    </row>
    <row r="484" ht="15.75" customHeight="1">
      <c r="B484" s="16"/>
      <c r="L484" s="23"/>
      <c r="M484" s="23"/>
    </row>
    <row r="485" ht="15.75" customHeight="1">
      <c r="B485" s="16"/>
      <c r="L485" s="23"/>
    </row>
    <row r="486" ht="15.75" customHeight="1">
      <c r="B486" s="16"/>
      <c r="L486" s="23"/>
      <c r="M486" s="23"/>
    </row>
    <row r="487" ht="15.75" customHeight="1">
      <c r="B487" s="16"/>
      <c r="L487" s="23"/>
      <c r="M487" s="23"/>
    </row>
    <row r="488" ht="15.75" customHeight="1">
      <c r="B488" s="16"/>
      <c r="L488" s="23"/>
    </row>
    <row r="489" ht="15.75" customHeight="1">
      <c r="B489" s="16"/>
      <c r="L489" s="23"/>
      <c r="M489" s="23"/>
    </row>
    <row r="490" ht="15.75" customHeight="1">
      <c r="B490" s="16"/>
      <c r="L490" s="23"/>
    </row>
    <row r="491" ht="15.75" customHeight="1">
      <c r="B491" s="16"/>
      <c r="L491" s="23"/>
    </row>
    <row r="492" ht="15.75" customHeight="1">
      <c r="B492" s="16"/>
      <c r="L492" s="23"/>
      <c r="M492" s="23"/>
    </row>
    <row r="493" ht="15.75" customHeight="1">
      <c r="B493" s="16"/>
      <c r="L493" s="23"/>
      <c r="M493" s="23"/>
    </row>
    <row r="494" ht="15.75" customHeight="1">
      <c r="B494" s="16"/>
      <c r="L494" s="23"/>
      <c r="M494" s="23"/>
    </row>
    <row r="495" ht="15.75" customHeight="1">
      <c r="B495" s="16"/>
      <c r="L495" s="23"/>
      <c r="M495" s="23"/>
    </row>
    <row r="496" ht="15.75" customHeight="1">
      <c r="B496" s="16"/>
      <c r="L496" s="23"/>
    </row>
    <row r="497" ht="15.75" customHeight="1">
      <c r="B497" s="16"/>
      <c r="L497" s="23"/>
      <c r="M497" s="23"/>
    </row>
    <row r="498" ht="15.75" customHeight="1">
      <c r="B498" s="16"/>
      <c r="L498" s="23"/>
    </row>
    <row r="499" ht="15.75" customHeight="1">
      <c r="B499" s="16"/>
      <c r="L499" s="23"/>
      <c r="M499" s="23"/>
    </row>
    <row r="500" ht="15.75" customHeight="1">
      <c r="B500" s="16"/>
      <c r="L500" s="23"/>
    </row>
    <row r="501" ht="15.75" customHeight="1">
      <c r="B501" s="16"/>
      <c r="L501" s="23"/>
      <c r="M501" s="23"/>
    </row>
    <row r="502" ht="15.75" customHeight="1">
      <c r="B502" s="16"/>
      <c r="L502" s="23"/>
      <c r="M502" s="23"/>
    </row>
    <row r="503" ht="15.75" customHeight="1">
      <c r="B503" s="16"/>
      <c r="L503" s="23"/>
      <c r="M503" s="23"/>
    </row>
    <row r="504" ht="15.75" customHeight="1">
      <c r="B504" s="16"/>
      <c r="L504" s="23"/>
      <c r="M504" s="23"/>
    </row>
    <row r="505" ht="15.75" customHeight="1">
      <c r="B505" s="16"/>
      <c r="L505" s="23"/>
    </row>
    <row r="506" ht="15.75" customHeight="1">
      <c r="B506" s="16"/>
      <c r="L506" s="23"/>
      <c r="M506" s="23"/>
    </row>
    <row r="507" ht="15.75" customHeight="1">
      <c r="B507" s="16"/>
      <c r="L507" s="23"/>
      <c r="M507" s="23"/>
    </row>
    <row r="508" ht="15.75" customHeight="1">
      <c r="B508" s="16"/>
      <c r="L508" s="23"/>
      <c r="M508" s="23"/>
    </row>
    <row r="509" ht="15.75" customHeight="1">
      <c r="B509" s="16"/>
      <c r="L509" s="23"/>
      <c r="M509" s="23"/>
    </row>
    <row r="510" ht="15.75" customHeight="1">
      <c r="B510" s="16"/>
      <c r="L510" s="23"/>
    </row>
    <row r="511" ht="15.75" customHeight="1">
      <c r="B511" s="16"/>
      <c r="L511" s="23"/>
      <c r="M511" s="23"/>
    </row>
    <row r="512" ht="15.75" customHeight="1">
      <c r="B512" s="16"/>
      <c r="L512" s="23"/>
    </row>
    <row r="513" ht="15.75" customHeight="1">
      <c r="B513" s="16"/>
      <c r="L513" s="23"/>
      <c r="M513" s="23"/>
    </row>
    <row r="514" ht="15.75" customHeight="1">
      <c r="B514" s="16"/>
      <c r="L514" s="23"/>
      <c r="M514" s="23"/>
    </row>
    <row r="515" ht="15.75" customHeight="1">
      <c r="B515" s="16"/>
      <c r="L515" s="23"/>
    </row>
    <row r="516" ht="15.75" customHeight="1">
      <c r="B516" s="16"/>
      <c r="L516" s="23"/>
    </row>
    <row r="517" ht="15.75" customHeight="1">
      <c r="B517" s="16"/>
      <c r="L517" s="23"/>
      <c r="M517" s="23"/>
    </row>
    <row r="518" ht="15.75" customHeight="1">
      <c r="B518" s="16"/>
      <c r="L518" s="23"/>
      <c r="M518" s="23"/>
    </row>
    <row r="519" ht="15.75" customHeight="1">
      <c r="B519" s="16"/>
      <c r="L519" s="23"/>
    </row>
    <row r="520" ht="15.75" customHeight="1">
      <c r="B520" s="16"/>
      <c r="L520" s="23"/>
    </row>
    <row r="521" ht="15.75" customHeight="1">
      <c r="B521" s="16"/>
      <c r="L521" s="23"/>
      <c r="M521" s="23"/>
    </row>
    <row r="522" ht="15.75" customHeight="1">
      <c r="B522" s="16"/>
      <c r="L522" s="23"/>
    </row>
    <row r="523" ht="15.75" customHeight="1">
      <c r="B523" s="16"/>
      <c r="L523" s="23"/>
      <c r="M523" s="23"/>
    </row>
    <row r="524" ht="15.75" customHeight="1">
      <c r="B524" s="16"/>
      <c r="L524" s="23"/>
    </row>
    <row r="525" ht="15.75" customHeight="1">
      <c r="B525" s="16"/>
      <c r="L525" s="23"/>
      <c r="M525" s="23"/>
    </row>
    <row r="526" ht="15.75" customHeight="1">
      <c r="B526" s="16"/>
      <c r="L526" s="23"/>
    </row>
    <row r="527" ht="15.75" customHeight="1">
      <c r="B527" s="16"/>
      <c r="L527" s="23"/>
    </row>
    <row r="528" ht="15.75" customHeight="1">
      <c r="B528" s="16"/>
      <c r="L528" s="23"/>
      <c r="M528" s="23"/>
    </row>
    <row r="529" ht="15.75" customHeight="1">
      <c r="B529" s="16"/>
      <c r="L529" s="23"/>
    </row>
    <row r="530" ht="15.75" customHeight="1">
      <c r="B530" s="16"/>
      <c r="L530" s="23"/>
      <c r="M530" s="23"/>
    </row>
    <row r="531" ht="15.75" customHeight="1">
      <c r="B531" s="16"/>
      <c r="L531" s="23"/>
      <c r="M531" s="23"/>
    </row>
    <row r="532" ht="15.75" customHeight="1">
      <c r="B532" s="16"/>
      <c r="L532" s="23"/>
      <c r="M532" s="23"/>
    </row>
    <row r="533" ht="15.75" customHeight="1">
      <c r="B533" s="16"/>
      <c r="L533" s="23"/>
    </row>
    <row r="534" ht="15.75" customHeight="1">
      <c r="B534" s="16"/>
      <c r="L534" s="23"/>
    </row>
    <row r="535" ht="15.75" customHeight="1">
      <c r="B535" s="16"/>
      <c r="L535" s="23"/>
    </row>
    <row r="536" ht="15.75" customHeight="1">
      <c r="B536" s="16"/>
      <c r="L536" s="23"/>
      <c r="M536" s="23"/>
    </row>
    <row r="537" ht="15.75" customHeight="1">
      <c r="B537" s="16"/>
      <c r="L537" s="23"/>
      <c r="M537" s="23"/>
    </row>
    <row r="538" ht="15.75" customHeight="1">
      <c r="B538" s="16"/>
      <c r="L538" s="23"/>
      <c r="M538" s="23"/>
    </row>
    <row r="539" ht="15.75" customHeight="1">
      <c r="B539" s="16"/>
      <c r="L539" s="23"/>
    </row>
    <row r="540" ht="15.75" customHeight="1">
      <c r="B540" s="16"/>
      <c r="L540" s="23"/>
      <c r="M540" s="23"/>
    </row>
    <row r="541" ht="15.75" customHeight="1">
      <c r="B541" s="16"/>
      <c r="L541" s="23"/>
    </row>
    <row r="542" ht="15.75" customHeight="1">
      <c r="B542" s="16"/>
      <c r="L542" s="23"/>
      <c r="M542" s="23"/>
    </row>
    <row r="543" ht="15.75" customHeight="1">
      <c r="B543" s="16"/>
      <c r="L543" s="23"/>
      <c r="M543" s="23"/>
    </row>
    <row r="544" ht="15.75" customHeight="1">
      <c r="B544" s="16"/>
      <c r="L544" s="23"/>
      <c r="M544" s="23"/>
    </row>
    <row r="545" ht="15.75" customHeight="1">
      <c r="B545" s="16"/>
      <c r="L545" s="23"/>
      <c r="M545" s="23"/>
    </row>
    <row r="546" ht="15.75" customHeight="1">
      <c r="B546" s="16"/>
      <c r="L546" s="23"/>
      <c r="M546" s="23"/>
    </row>
    <row r="547" ht="15.75" customHeight="1">
      <c r="B547" s="16"/>
      <c r="L547" s="23"/>
      <c r="M547" s="23"/>
    </row>
    <row r="548" ht="15.75" customHeight="1">
      <c r="B548" s="16"/>
      <c r="L548" s="23"/>
      <c r="M548" s="23"/>
    </row>
    <row r="549" ht="15.75" customHeight="1">
      <c r="B549" s="16"/>
      <c r="L549" s="23"/>
      <c r="M549" s="23"/>
    </row>
    <row r="550" ht="15.75" customHeight="1">
      <c r="B550" s="16"/>
      <c r="L550" s="23"/>
      <c r="M550" s="23"/>
    </row>
    <row r="551" ht="15.75" customHeight="1">
      <c r="B551" s="16"/>
      <c r="L551" s="23"/>
      <c r="M551" s="23"/>
    </row>
    <row r="552" ht="15.75" customHeight="1">
      <c r="B552" s="16"/>
      <c r="L552" s="23"/>
      <c r="M552" s="23"/>
    </row>
    <row r="553" ht="15.75" customHeight="1">
      <c r="B553" s="16"/>
      <c r="L553" s="23"/>
      <c r="M553" s="23"/>
    </row>
    <row r="554" ht="15.75" customHeight="1">
      <c r="B554" s="16"/>
      <c r="L554" s="23"/>
    </row>
    <row r="555" ht="15.75" customHeight="1">
      <c r="B555" s="16"/>
      <c r="L555" s="23"/>
    </row>
    <row r="556" ht="15.75" customHeight="1">
      <c r="B556" s="16"/>
      <c r="L556" s="23"/>
      <c r="M556" s="23"/>
    </row>
    <row r="557" ht="15.75" customHeight="1">
      <c r="B557" s="16"/>
      <c r="L557" s="23"/>
      <c r="M557" s="23"/>
    </row>
    <row r="558" ht="15.75" customHeight="1">
      <c r="B558" s="16"/>
      <c r="L558" s="23"/>
      <c r="M558" s="23"/>
    </row>
    <row r="559" ht="15.75" customHeight="1">
      <c r="B559" s="16"/>
      <c r="L559" s="23"/>
      <c r="M559" s="23"/>
    </row>
    <row r="560" ht="15.75" customHeight="1">
      <c r="B560" s="16"/>
      <c r="L560" s="23"/>
      <c r="M560" s="23"/>
    </row>
    <row r="561" ht="15.75" customHeight="1">
      <c r="B561" s="16"/>
      <c r="L561" s="23"/>
      <c r="M561" s="23"/>
    </row>
    <row r="562" ht="15.75" customHeight="1">
      <c r="B562" s="16"/>
      <c r="L562" s="23"/>
    </row>
    <row r="563" ht="15.75" customHeight="1">
      <c r="B563" s="16"/>
      <c r="L563" s="23"/>
      <c r="M563" s="23"/>
    </row>
    <row r="564" ht="15.75" customHeight="1">
      <c r="B564" s="16"/>
      <c r="L564" s="23"/>
      <c r="M564" s="23"/>
    </row>
    <row r="565" ht="15.75" customHeight="1">
      <c r="B565" s="16"/>
      <c r="L565" s="23"/>
      <c r="M565" s="23"/>
    </row>
    <row r="566" ht="15.75" customHeight="1">
      <c r="B566" s="16"/>
      <c r="L566" s="23"/>
      <c r="M566" s="23"/>
    </row>
    <row r="567" ht="15.75" customHeight="1">
      <c r="B567" s="16"/>
      <c r="L567" s="23"/>
      <c r="M567" s="23"/>
    </row>
    <row r="568" ht="15.75" customHeight="1">
      <c r="B568" s="16"/>
      <c r="L568" s="23"/>
      <c r="M568" s="23"/>
    </row>
    <row r="569" ht="15.75" customHeight="1">
      <c r="B569" s="16"/>
      <c r="L569" s="23"/>
    </row>
    <row r="570" ht="15.75" customHeight="1">
      <c r="B570" s="16"/>
      <c r="L570" s="23"/>
      <c r="M570" s="23"/>
    </row>
    <row r="571" ht="15.75" customHeight="1">
      <c r="B571" s="16"/>
      <c r="L571" s="23"/>
      <c r="M571" s="23"/>
    </row>
    <row r="572" ht="15.75" customHeight="1">
      <c r="B572" s="16"/>
      <c r="L572" s="23"/>
    </row>
    <row r="573" ht="15.75" customHeight="1">
      <c r="B573" s="16"/>
      <c r="L573" s="23"/>
      <c r="M573" s="23"/>
    </row>
    <row r="574" ht="15.75" customHeight="1">
      <c r="B574" s="16"/>
      <c r="L574" s="23"/>
      <c r="M574" s="23"/>
    </row>
    <row r="575" ht="15.75" customHeight="1">
      <c r="B575" s="16"/>
      <c r="L575" s="23"/>
      <c r="M575" s="23"/>
    </row>
    <row r="576" ht="15.75" customHeight="1">
      <c r="B576" s="16"/>
      <c r="L576" s="23"/>
      <c r="M576" s="23"/>
    </row>
    <row r="577" ht="15.75" customHeight="1">
      <c r="B577" s="16"/>
      <c r="L577" s="23"/>
      <c r="M577" s="23"/>
    </row>
    <row r="578" ht="15.75" customHeight="1">
      <c r="B578" s="16"/>
      <c r="L578" s="23"/>
      <c r="M578" s="23"/>
    </row>
    <row r="579" ht="15.75" customHeight="1">
      <c r="B579" s="16"/>
      <c r="L579" s="23"/>
      <c r="M579" s="23"/>
    </row>
    <row r="580" ht="15.75" customHeight="1">
      <c r="B580" s="16"/>
      <c r="L580" s="23"/>
      <c r="M580" s="23"/>
    </row>
    <row r="581" ht="15.75" customHeight="1">
      <c r="B581" s="16"/>
      <c r="L581" s="23"/>
      <c r="M581" s="23"/>
    </row>
    <row r="582" ht="15.75" customHeight="1">
      <c r="B582" s="16"/>
      <c r="L582" s="23"/>
      <c r="M582" s="23"/>
    </row>
    <row r="583" ht="15.75" customHeight="1">
      <c r="B583" s="16"/>
      <c r="L583" s="23"/>
    </row>
    <row r="584" ht="15.75" customHeight="1">
      <c r="B584" s="16"/>
      <c r="L584" s="23"/>
      <c r="M584" s="23"/>
    </row>
    <row r="585" ht="15.75" customHeight="1">
      <c r="B585" s="16"/>
      <c r="L585" s="23"/>
      <c r="M585" s="23"/>
    </row>
    <row r="586" ht="15.75" customHeight="1">
      <c r="B586" s="16"/>
      <c r="L586" s="23"/>
      <c r="M586" s="23"/>
    </row>
    <row r="587" ht="15.75" customHeight="1">
      <c r="B587" s="16"/>
      <c r="L587" s="23"/>
      <c r="M587" s="23"/>
    </row>
    <row r="588" ht="15.75" customHeight="1">
      <c r="B588" s="16"/>
      <c r="L588" s="23"/>
      <c r="M588" s="23"/>
    </row>
    <row r="589" ht="15.75" customHeight="1">
      <c r="B589" s="16"/>
      <c r="L589" s="23"/>
    </row>
    <row r="590" ht="15.75" customHeight="1">
      <c r="B590" s="16"/>
      <c r="L590" s="23"/>
      <c r="M590" s="23"/>
    </row>
    <row r="591" ht="15.75" customHeight="1">
      <c r="B591" s="16"/>
      <c r="L591" s="23"/>
      <c r="M591" s="23"/>
    </row>
    <row r="592" ht="15.75" customHeight="1">
      <c r="B592" s="16"/>
      <c r="L592" s="23"/>
      <c r="M592" s="23"/>
    </row>
    <row r="593" ht="15.75" customHeight="1">
      <c r="B593" s="16"/>
      <c r="L593" s="23"/>
      <c r="M593" s="23"/>
    </row>
    <row r="594" ht="15.75" customHeight="1">
      <c r="B594" s="16"/>
      <c r="L594" s="23"/>
      <c r="M594" s="23"/>
    </row>
    <row r="595" ht="15.75" customHeight="1">
      <c r="B595" s="16"/>
      <c r="L595" s="23"/>
      <c r="M595" s="23"/>
    </row>
    <row r="596" ht="15.75" customHeight="1">
      <c r="B596" s="16"/>
      <c r="L596" s="23"/>
      <c r="M596" s="23"/>
    </row>
    <row r="597" ht="15.75" customHeight="1">
      <c r="B597" s="16"/>
      <c r="L597" s="23"/>
      <c r="M597" s="23"/>
    </row>
    <row r="598" ht="15.75" customHeight="1">
      <c r="B598" s="16"/>
      <c r="L598" s="23"/>
      <c r="M598" s="23"/>
    </row>
    <row r="599" ht="15.75" customHeight="1">
      <c r="B599" s="16"/>
      <c r="L599" s="23"/>
    </row>
    <row r="600" ht="15.75" customHeight="1">
      <c r="B600" s="16"/>
      <c r="L600" s="23"/>
      <c r="M600" s="23"/>
    </row>
    <row r="601" ht="15.75" customHeight="1">
      <c r="B601" s="16"/>
      <c r="L601" s="23"/>
      <c r="M601" s="23"/>
    </row>
    <row r="602" ht="15.75" customHeight="1">
      <c r="B602" s="16"/>
      <c r="L602" s="23"/>
      <c r="M602" s="23"/>
    </row>
    <row r="603" ht="15.75" customHeight="1">
      <c r="B603" s="16"/>
      <c r="L603" s="23"/>
      <c r="M603" s="23"/>
    </row>
    <row r="604" ht="15.75" customHeight="1">
      <c r="B604" s="16"/>
      <c r="L604" s="23"/>
    </row>
    <row r="605" ht="15.75" customHeight="1">
      <c r="B605" s="16"/>
      <c r="L605" s="23"/>
      <c r="M605" s="23"/>
    </row>
    <row r="606" ht="15.75" customHeight="1">
      <c r="B606" s="16"/>
      <c r="L606" s="23"/>
      <c r="M606" s="23"/>
    </row>
    <row r="607" ht="15.75" customHeight="1">
      <c r="B607" s="16"/>
      <c r="L607" s="23"/>
      <c r="M607" s="23"/>
    </row>
    <row r="608" ht="15.75" customHeight="1">
      <c r="B608" s="16"/>
      <c r="L608" s="23"/>
      <c r="M608" s="23"/>
    </row>
    <row r="609" ht="15.75" customHeight="1">
      <c r="B609" s="16"/>
      <c r="L609" s="23"/>
      <c r="M609" s="23"/>
    </row>
    <row r="610" ht="15.75" customHeight="1">
      <c r="B610" s="16"/>
      <c r="L610" s="23"/>
      <c r="M610" s="23"/>
    </row>
    <row r="611" ht="15.75" customHeight="1">
      <c r="B611" s="16"/>
      <c r="L611" s="23"/>
      <c r="M611" s="23"/>
    </row>
    <row r="612" ht="15.75" customHeight="1">
      <c r="B612" s="16"/>
      <c r="L612" s="23"/>
      <c r="M612" s="23"/>
    </row>
    <row r="613" ht="15.75" customHeight="1">
      <c r="B613" s="16"/>
      <c r="L613" s="23"/>
      <c r="M613" s="23"/>
    </row>
    <row r="614" ht="15.75" customHeight="1">
      <c r="B614" s="16"/>
      <c r="L614" s="23"/>
      <c r="M614" s="23"/>
    </row>
    <row r="615" ht="15.75" customHeight="1">
      <c r="B615" s="16"/>
      <c r="L615" s="23"/>
      <c r="M615" s="23"/>
    </row>
    <row r="616" ht="15.75" customHeight="1">
      <c r="B616" s="16"/>
      <c r="L616" s="23"/>
      <c r="M616" s="23"/>
    </row>
    <row r="617" ht="15.75" customHeight="1">
      <c r="B617" s="16"/>
      <c r="L617" s="23"/>
      <c r="M617" s="23"/>
    </row>
    <row r="618" ht="15.75" customHeight="1">
      <c r="B618" s="16"/>
      <c r="L618" s="23"/>
      <c r="M618" s="23"/>
    </row>
    <row r="619" ht="15.75" customHeight="1">
      <c r="B619" s="16"/>
      <c r="L619" s="23"/>
      <c r="M619" s="23"/>
    </row>
    <row r="620" ht="15.75" customHeight="1">
      <c r="B620" s="16"/>
      <c r="L620" s="23"/>
      <c r="M620" s="23"/>
    </row>
    <row r="621" ht="15.75" customHeight="1">
      <c r="B621" s="16"/>
      <c r="L621" s="23"/>
      <c r="M621" s="23"/>
    </row>
    <row r="622" ht="15.75" customHeight="1">
      <c r="B622" s="16"/>
      <c r="L622" s="23"/>
      <c r="M622" s="23"/>
    </row>
    <row r="623" ht="15.75" customHeight="1">
      <c r="B623" s="16"/>
      <c r="L623" s="23"/>
    </row>
    <row r="624" ht="15.75" customHeight="1">
      <c r="B624" s="16"/>
      <c r="L624" s="23"/>
    </row>
    <row r="625" ht="15.75" customHeight="1">
      <c r="B625" s="16"/>
      <c r="L625" s="23"/>
      <c r="M625" s="23"/>
    </row>
    <row r="626" ht="15.75" customHeight="1">
      <c r="B626" s="16"/>
      <c r="L626" s="23"/>
      <c r="M626" s="23"/>
    </row>
    <row r="627" ht="15.75" customHeight="1">
      <c r="B627" s="16"/>
      <c r="L627" s="23"/>
    </row>
    <row r="628" ht="15.75" customHeight="1">
      <c r="B628" s="16"/>
      <c r="L628" s="23"/>
      <c r="M628" s="23"/>
    </row>
    <row r="629" ht="15.75" customHeight="1">
      <c r="B629" s="16"/>
      <c r="L629" s="23"/>
    </row>
    <row r="630" ht="15.75" customHeight="1">
      <c r="B630" s="16"/>
      <c r="L630" s="23"/>
    </row>
    <row r="631" ht="15.75" customHeight="1">
      <c r="B631" s="16"/>
      <c r="L631" s="23"/>
      <c r="M631" s="23"/>
    </row>
    <row r="632" ht="15.75" customHeight="1">
      <c r="B632" s="16"/>
      <c r="L632" s="23"/>
    </row>
    <row r="633" ht="15.75" customHeight="1">
      <c r="B633" s="16"/>
      <c r="L633" s="23"/>
      <c r="M633" s="23"/>
    </row>
    <row r="634" ht="15.75" customHeight="1">
      <c r="B634" s="16"/>
      <c r="L634" s="23"/>
      <c r="M634" s="23"/>
    </row>
    <row r="635" ht="15.75" customHeight="1">
      <c r="B635" s="16"/>
      <c r="L635" s="23"/>
      <c r="M635" s="23"/>
    </row>
    <row r="636" ht="15.75" customHeight="1">
      <c r="B636" s="16"/>
      <c r="L636" s="23"/>
      <c r="M636" s="23"/>
    </row>
    <row r="637" ht="15.75" customHeight="1">
      <c r="B637" s="16"/>
      <c r="L637" s="23"/>
    </row>
    <row r="638" ht="15.75" customHeight="1">
      <c r="B638" s="16"/>
      <c r="L638" s="23"/>
    </row>
    <row r="639" ht="15.75" customHeight="1">
      <c r="B639" s="16"/>
      <c r="L639" s="23"/>
    </row>
    <row r="640" ht="15.75" customHeight="1">
      <c r="B640" s="16"/>
      <c r="L640" s="23"/>
    </row>
    <row r="641" ht="15.75" customHeight="1">
      <c r="B641" s="16"/>
      <c r="L641" s="23"/>
      <c r="M641" s="23"/>
    </row>
    <row r="642" ht="15.75" customHeight="1">
      <c r="B642" s="16"/>
      <c r="L642" s="23"/>
    </row>
    <row r="643" ht="15.75" customHeight="1">
      <c r="B643" s="16"/>
      <c r="L643" s="23"/>
      <c r="M643" s="23"/>
    </row>
    <row r="644" ht="15.75" customHeight="1">
      <c r="B644" s="16"/>
      <c r="L644" s="23"/>
    </row>
    <row r="645" ht="15.75" customHeight="1">
      <c r="B645" s="16"/>
      <c r="L645" s="23"/>
      <c r="M645" s="23"/>
    </row>
    <row r="646" ht="15.75" customHeight="1">
      <c r="B646" s="16"/>
      <c r="L646" s="23"/>
      <c r="M646" s="23"/>
    </row>
    <row r="647" ht="15.75" customHeight="1">
      <c r="B647" s="16"/>
      <c r="L647" s="23"/>
      <c r="M647" s="23"/>
    </row>
    <row r="648" ht="15.75" customHeight="1">
      <c r="B648" s="16"/>
      <c r="L648" s="23"/>
    </row>
    <row r="649" ht="15.75" customHeight="1">
      <c r="B649" s="16"/>
      <c r="L649" s="23"/>
    </row>
    <row r="650" ht="15.75" customHeight="1">
      <c r="B650" s="16"/>
      <c r="L650" s="23"/>
    </row>
    <row r="651" ht="15.75" customHeight="1">
      <c r="B651" s="16"/>
      <c r="L651" s="23"/>
      <c r="M651" s="23"/>
    </row>
    <row r="652" ht="15.75" customHeight="1">
      <c r="B652" s="16"/>
      <c r="L652" s="23"/>
    </row>
    <row r="653" ht="15.75" customHeight="1">
      <c r="B653" s="16"/>
      <c r="L653" s="23"/>
    </row>
    <row r="654" ht="15.75" customHeight="1">
      <c r="B654" s="16"/>
      <c r="L654" s="23"/>
      <c r="M654" s="23"/>
    </row>
    <row r="655" ht="15.75" customHeight="1">
      <c r="B655" s="16"/>
      <c r="L655" s="23"/>
      <c r="M655" s="23"/>
    </row>
    <row r="656" ht="15.75" customHeight="1">
      <c r="B656" s="16"/>
      <c r="L656" s="23"/>
    </row>
    <row r="657" ht="15.75" customHeight="1">
      <c r="B657" s="16"/>
      <c r="L657" s="23"/>
    </row>
    <row r="658" ht="15.75" customHeight="1">
      <c r="B658" s="16"/>
      <c r="L658" s="23"/>
      <c r="M658" s="23"/>
    </row>
    <row r="659" ht="15.75" customHeight="1">
      <c r="B659" s="16"/>
      <c r="L659" s="23"/>
    </row>
    <row r="660" ht="15.75" customHeight="1">
      <c r="B660" s="16"/>
      <c r="L660" s="23"/>
    </row>
    <row r="661" ht="15.75" customHeight="1">
      <c r="B661" s="16"/>
      <c r="L661" s="23"/>
    </row>
    <row r="662" ht="15.75" customHeight="1">
      <c r="B662" s="16"/>
      <c r="L662" s="23"/>
    </row>
    <row r="663" ht="15.75" customHeight="1">
      <c r="B663" s="16"/>
      <c r="L663" s="23"/>
    </row>
    <row r="664" ht="15.75" customHeight="1">
      <c r="B664" s="16"/>
      <c r="L664" s="23"/>
    </row>
    <row r="665" ht="15.75" customHeight="1">
      <c r="B665" s="16"/>
      <c r="L665" s="23"/>
      <c r="M665" s="23"/>
    </row>
    <row r="666" ht="15.75" customHeight="1">
      <c r="B666" s="16"/>
      <c r="L666" s="23"/>
    </row>
    <row r="667" ht="15.75" customHeight="1">
      <c r="B667" s="16"/>
      <c r="L667" s="23"/>
      <c r="M667" s="23"/>
    </row>
    <row r="668" ht="15.75" customHeight="1">
      <c r="B668" s="16"/>
      <c r="L668" s="23"/>
    </row>
    <row r="669" ht="15.75" customHeight="1">
      <c r="B669" s="16"/>
      <c r="L669" s="23"/>
    </row>
    <row r="670" ht="15.75" customHeight="1">
      <c r="B670" s="16"/>
      <c r="L670" s="23"/>
    </row>
    <row r="671" ht="15.75" customHeight="1">
      <c r="B671" s="16"/>
      <c r="L671" s="23"/>
    </row>
    <row r="672" ht="15.75" customHeight="1">
      <c r="B672" s="16"/>
      <c r="L672" s="23"/>
    </row>
    <row r="673" ht="15.75" customHeight="1">
      <c r="B673" s="16"/>
      <c r="L673" s="23"/>
    </row>
    <row r="674" ht="15.75" customHeight="1">
      <c r="B674" s="16"/>
      <c r="L674" s="23"/>
    </row>
    <row r="675" ht="15.75" customHeight="1">
      <c r="B675" s="16"/>
      <c r="L675" s="23"/>
      <c r="M675" s="23"/>
    </row>
    <row r="676" ht="15.75" customHeight="1">
      <c r="B676" s="16"/>
      <c r="L676" s="23"/>
    </row>
    <row r="677" ht="15.75" customHeight="1">
      <c r="B677" s="16"/>
      <c r="L677" s="23"/>
    </row>
    <row r="678" ht="15.75" customHeight="1">
      <c r="B678" s="16"/>
      <c r="L678" s="23"/>
    </row>
    <row r="679" ht="15.75" customHeight="1">
      <c r="B679" s="16"/>
      <c r="L679" s="23"/>
    </row>
    <row r="680" ht="15.75" customHeight="1">
      <c r="B680" s="16"/>
      <c r="L680" s="23"/>
      <c r="M680" s="23"/>
    </row>
    <row r="681" ht="15.75" customHeight="1">
      <c r="B681" s="16"/>
      <c r="L681" s="23"/>
    </row>
    <row r="682" ht="15.75" customHeight="1">
      <c r="B682" s="16"/>
      <c r="L682" s="23"/>
    </row>
    <row r="683" ht="15.75" customHeight="1">
      <c r="B683" s="16"/>
      <c r="L683" s="23"/>
      <c r="M683" s="23"/>
    </row>
    <row r="684" ht="15.75" customHeight="1">
      <c r="B684" s="16"/>
      <c r="L684" s="23"/>
    </row>
    <row r="685" ht="15.75" customHeight="1">
      <c r="B685" s="16"/>
      <c r="L685" s="23"/>
    </row>
    <row r="686" ht="15.75" customHeight="1">
      <c r="B686" s="16"/>
      <c r="L686" s="23"/>
    </row>
    <row r="687" ht="15.75" customHeight="1">
      <c r="B687" s="16"/>
      <c r="L687" s="23"/>
    </row>
    <row r="688" ht="15.75" customHeight="1">
      <c r="B688" s="16"/>
      <c r="L688" s="23"/>
    </row>
    <row r="689" ht="15.75" customHeight="1">
      <c r="B689" s="16"/>
      <c r="L689" s="23"/>
      <c r="M689" s="23"/>
    </row>
    <row r="690" ht="15.75" customHeight="1">
      <c r="B690" s="16"/>
      <c r="L690" s="23"/>
      <c r="M690" s="23"/>
    </row>
    <row r="691" ht="15.75" customHeight="1">
      <c r="B691" s="16"/>
      <c r="L691" s="23"/>
    </row>
    <row r="692" ht="15.75" customHeight="1">
      <c r="B692" s="16"/>
      <c r="L692" s="23"/>
    </row>
    <row r="693" ht="15.75" customHeight="1">
      <c r="B693" s="16"/>
      <c r="L693" s="23"/>
      <c r="M693" s="23"/>
    </row>
    <row r="694" ht="15.75" customHeight="1">
      <c r="B694" s="16"/>
      <c r="L694" s="23"/>
      <c r="M694" s="23"/>
    </row>
    <row r="695" ht="15.75" customHeight="1">
      <c r="B695" s="16"/>
      <c r="L695" s="23"/>
      <c r="M695" s="23"/>
    </row>
    <row r="696" ht="15.75" customHeight="1">
      <c r="B696" s="16"/>
      <c r="L696" s="23"/>
      <c r="M696" s="23"/>
    </row>
    <row r="697" ht="15.75" customHeight="1">
      <c r="B697" s="16"/>
      <c r="L697" s="23"/>
      <c r="M697" s="23"/>
    </row>
    <row r="698" ht="15.75" customHeight="1">
      <c r="B698" s="16"/>
      <c r="L698" s="23"/>
      <c r="M698" s="23"/>
    </row>
    <row r="699" ht="15.75" customHeight="1">
      <c r="B699" s="16"/>
      <c r="L699" s="23"/>
      <c r="M699" s="23"/>
    </row>
    <row r="700" ht="15.75" customHeight="1">
      <c r="B700" s="16"/>
      <c r="L700" s="23"/>
      <c r="M700" s="23"/>
    </row>
    <row r="701" ht="15.75" customHeight="1">
      <c r="B701" s="16"/>
      <c r="L701" s="23"/>
      <c r="M701" s="23"/>
    </row>
    <row r="702" ht="15.75" customHeight="1">
      <c r="B702" s="16"/>
      <c r="L702" s="23"/>
      <c r="M702" s="23"/>
    </row>
    <row r="703" ht="15.75" customHeight="1">
      <c r="B703" s="16"/>
      <c r="L703" s="23"/>
      <c r="M703" s="23"/>
    </row>
    <row r="704" ht="15.75" customHeight="1">
      <c r="B704" s="16"/>
      <c r="L704" s="23"/>
      <c r="M704" s="23"/>
    </row>
    <row r="705" ht="15.75" customHeight="1">
      <c r="B705" s="16"/>
      <c r="L705" s="23"/>
      <c r="M705" s="23"/>
    </row>
    <row r="706" ht="15.75" customHeight="1">
      <c r="B706" s="16"/>
      <c r="L706" s="23"/>
      <c r="M706" s="23"/>
    </row>
    <row r="707" ht="15.75" customHeight="1">
      <c r="B707" s="16"/>
      <c r="L707" s="23"/>
      <c r="M707" s="23"/>
    </row>
    <row r="708" ht="15.75" customHeight="1">
      <c r="B708" s="16"/>
      <c r="L708" s="23"/>
      <c r="M708" s="23"/>
    </row>
    <row r="709" ht="15.75" customHeight="1">
      <c r="B709" s="16"/>
      <c r="L709" s="23"/>
      <c r="M709" s="23"/>
    </row>
    <row r="710" ht="15.75" customHeight="1">
      <c r="B710" s="16"/>
      <c r="L710" s="23"/>
      <c r="M710" s="23"/>
    </row>
    <row r="711" ht="15.75" customHeight="1">
      <c r="B711" s="16"/>
      <c r="L711" s="23"/>
      <c r="M711" s="23"/>
    </row>
    <row r="712" ht="15.75" customHeight="1">
      <c r="B712" s="16"/>
      <c r="L712" s="23"/>
      <c r="M712" s="23"/>
    </row>
    <row r="713" ht="15.75" customHeight="1">
      <c r="B713" s="16"/>
      <c r="L713" s="23"/>
      <c r="M713" s="23"/>
    </row>
    <row r="714" ht="15.75" customHeight="1">
      <c r="B714" s="16"/>
      <c r="L714" s="23"/>
      <c r="M714" s="23"/>
    </row>
    <row r="715" ht="15.75" customHeight="1">
      <c r="B715" s="16"/>
      <c r="L715" s="23"/>
      <c r="M715" s="23"/>
    </row>
    <row r="716" ht="15.75" customHeight="1">
      <c r="B716" s="16"/>
      <c r="L716" s="23"/>
      <c r="M716" s="23"/>
    </row>
    <row r="717" ht="15.75" customHeight="1">
      <c r="B717" s="16"/>
      <c r="L717" s="23"/>
      <c r="M717" s="23"/>
    </row>
    <row r="718" ht="15.75" customHeight="1">
      <c r="B718" s="16"/>
      <c r="L718" s="23"/>
      <c r="M718" s="23"/>
    </row>
    <row r="719" ht="15.75" customHeight="1">
      <c r="B719" s="16"/>
      <c r="L719" s="23"/>
      <c r="M719" s="23"/>
    </row>
    <row r="720" ht="15.75" customHeight="1">
      <c r="B720" s="16"/>
      <c r="L720" s="23"/>
      <c r="M720" s="23"/>
    </row>
    <row r="721" ht="15.75" customHeight="1">
      <c r="B721" s="16"/>
      <c r="L721" s="23"/>
      <c r="M721" s="23"/>
    </row>
    <row r="722" ht="15.75" customHeight="1">
      <c r="B722" s="16"/>
      <c r="L722" s="23"/>
      <c r="M722" s="23"/>
    </row>
    <row r="723" ht="15.75" customHeight="1">
      <c r="B723" s="16"/>
      <c r="L723" s="23"/>
      <c r="M723" s="23"/>
    </row>
    <row r="724" ht="15.75" customHeight="1">
      <c r="B724" s="16"/>
      <c r="L724" s="23"/>
      <c r="M724" s="23"/>
    </row>
    <row r="725" ht="15.75" customHeight="1">
      <c r="B725" s="16"/>
      <c r="L725" s="23"/>
      <c r="M725" s="23"/>
    </row>
    <row r="726" ht="15.75" customHeight="1">
      <c r="B726" s="16"/>
      <c r="L726" s="23"/>
      <c r="M726" s="23"/>
    </row>
    <row r="727" ht="15.75" customHeight="1">
      <c r="B727" s="16"/>
      <c r="L727" s="23"/>
      <c r="M727" s="23"/>
    </row>
    <row r="728" ht="15.75" customHeight="1">
      <c r="B728" s="16"/>
      <c r="L728" s="23"/>
      <c r="M728" s="23"/>
    </row>
    <row r="729" ht="15.75" customHeight="1">
      <c r="B729" s="16"/>
      <c r="L729" s="23"/>
      <c r="M729" s="23"/>
    </row>
    <row r="730" ht="15.75" customHeight="1">
      <c r="B730" s="16"/>
      <c r="L730" s="23"/>
      <c r="M730" s="23"/>
    </row>
    <row r="731" ht="15.75" customHeight="1">
      <c r="B731" s="16"/>
      <c r="L731" s="23"/>
      <c r="M731" s="23"/>
    </row>
    <row r="732" ht="15.75" customHeight="1">
      <c r="B732" s="16"/>
      <c r="L732" s="23"/>
      <c r="M732" s="23"/>
    </row>
    <row r="733" ht="15.75" customHeight="1">
      <c r="B733" s="16"/>
      <c r="L733" s="23"/>
      <c r="M733" s="23"/>
    </row>
    <row r="734" ht="15.75" customHeight="1">
      <c r="B734" s="16"/>
      <c r="L734" s="23"/>
      <c r="M734" s="23"/>
    </row>
    <row r="735" ht="15.75" customHeight="1">
      <c r="B735" s="16"/>
      <c r="L735" s="23"/>
      <c r="M735" s="23"/>
    </row>
    <row r="736" ht="15.75" customHeight="1">
      <c r="B736" s="16"/>
      <c r="L736" s="23"/>
      <c r="M736" s="23"/>
    </row>
    <row r="737" ht="15.75" customHeight="1">
      <c r="B737" s="16"/>
      <c r="L737" s="23"/>
      <c r="M737" s="23"/>
    </row>
    <row r="738" ht="15.75" customHeight="1">
      <c r="B738" s="16"/>
      <c r="L738" s="23"/>
      <c r="M738" s="23"/>
    </row>
    <row r="739" ht="15.75" customHeight="1">
      <c r="B739" s="16"/>
      <c r="L739" s="23"/>
      <c r="M739" s="23"/>
    </row>
    <row r="740" ht="15.75" customHeight="1">
      <c r="B740" s="16"/>
      <c r="L740" s="23"/>
      <c r="M740" s="23"/>
    </row>
    <row r="741" ht="15.75" customHeight="1">
      <c r="B741" s="16"/>
      <c r="L741" s="23"/>
    </row>
    <row r="742" ht="15.75" customHeight="1">
      <c r="B742" s="16"/>
      <c r="L742" s="23"/>
      <c r="M742" s="23"/>
    </row>
    <row r="743" ht="15.75" customHeight="1">
      <c r="B743" s="16"/>
      <c r="L743" s="23"/>
    </row>
    <row r="744" ht="15.75" customHeight="1">
      <c r="B744" s="16"/>
      <c r="L744" s="23"/>
      <c r="M744" s="23"/>
    </row>
    <row r="745" ht="15.75" customHeight="1">
      <c r="B745" s="16"/>
      <c r="L745" s="23"/>
      <c r="M745" s="23"/>
    </row>
    <row r="746" ht="15.75" customHeight="1">
      <c r="B746" s="16"/>
      <c r="L746" s="23"/>
      <c r="M746" s="23"/>
    </row>
    <row r="747" ht="15.75" customHeight="1">
      <c r="B747" s="16"/>
      <c r="L747" s="23"/>
    </row>
    <row r="748" ht="15.75" customHeight="1">
      <c r="B748" s="16"/>
      <c r="L748" s="23"/>
    </row>
    <row r="749" ht="15.75" customHeight="1">
      <c r="B749" s="16"/>
      <c r="L749" s="23"/>
    </row>
    <row r="750" ht="15.75" customHeight="1">
      <c r="B750" s="16"/>
      <c r="L750" s="23"/>
      <c r="M750" s="23"/>
    </row>
    <row r="751" ht="15.75" customHeight="1">
      <c r="B751" s="16"/>
      <c r="L751" s="23"/>
    </row>
    <row r="752" ht="15.75" customHeight="1">
      <c r="B752" s="16"/>
      <c r="L752" s="23"/>
    </row>
    <row r="753" ht="15.75" customHeight="1">
      <c r="B753" s="16"/>
      <c r="L753" s="23"/>
      <c r="M753" s="23"/>
    </row>
    <row r="754" ht="15.75" customHeight="1">
      <c r="B754" s="16"/>
      <c r="L754" s="23"/>
    </row>
    <row r="755" ht="15.75" customHeight="1">
      <c r="B755" s="16"/>
      <c r="L755" s="23"/>
    </row>
    <row r="756" ht="15.75" customHeight="1">
      <c r="B756" s="16"/>
      <c r="L756" s="23"/>
    </row>
    <row r="757" ht="15.75" customHeight="1">
      <c r="B757" s="16"/>
      <c r="L757" s="23"/>
    </row>
    <row r="758" ht="15.75" customHeight="1">
      <c r="B758" s="16"/>
      <c r="L758" s="23"/>
    </row>
    <row r="759" ht="15.75" customHeight="1">
      <c r="B759" s="16"/>
      <c r="L759" s="23"/>
    </row>
    <row r="760" ht="15.75" customHeight="1">
      <c r="B760" s="16"/>
      <c r="L760" s="23"/>
    </row>
    <row r="761" ht="15.75" customHeight="1">
      <c r="B761" s="16"/>
      <c r="L761" s="23"/>
    </row>
    <row r="762" ht="15.75" customHeight="1">
      <c r="B762" s="16"/>
      <c r="L762" s="23"/>
      <c r="M762" s="23"/>
    </row>
    <row r="763" ht="15.75" customHeight="1">
      <c r="B763" s="16"/>
      <c r="L763" s="23"/>
    </row>
    <row r="764" ht="15.75" customHeight="1">
      <c r="B764" s="16"/>
      <c r="L764" s="23"/>
    </row>
    <row r="765" ht="15.75" customHeight="1">
      <c r="B765" s="16"/>
      <c r="L765" s="23"/>
    </row>
    <row r="766" ht="15.75" customHeight="1">
      <c r="B766" s="16"/>
      <c r="L766" s="23"/>
    </row>
    <row r="767" ht="15.75" customHeight="1">
      <c r="B767" s="16"/>
      <c r="L767" s="23"/>
    </row>
    <row r="768" ht="15.75" customHeight="1">
      <c r="B768" s="16"/>
      <c r="L768" s="23"/>
    </row>
    <row r="769" ht="15.75" customHeight="1">
      <c r="B769" s="16"/>
      <c r="L769" s="23"/>
      <c r="M769" s="23"/>
    </row>
    <row r="770" ht="15.75" customHeight="1">
      <c r="B770" s="16"/>
      <c r="L770" s="23"/>
    </row>
    <row r="771" ht="15.75" customHeight="1">
      <c r="B771" s="16"/>
      <c r="L771" s="23"/>
      <c r="M771" s="23"/>
    </row>
    <row r="772" ht="15.75" customHeight="1">
      <c r="B772" s="16"/>
      <c r="L772" s="23"/>
      <c r="M772" s="23"/>
    </row>
    <row r="773" ht="15.75" customHeight="1">
      <c r="B773" s="16"/>
      <c r="L773" s="23"/>
      <c r="M773" s="23"/>
    </row>
    <row r="774" ht="15.75" customHeight="1">
      <c r="B774" s="16"/>
      <c r="L774" s="23"/>
    </row>
    <row r="775" ht="15.75" customHeight="1">
      <c r="B775" s="16"/>
      <c r="L775" s="23"/>
    </row>
    <row r="776" ht="15.75" customHeight="1">
      <c r="B776" s="16"/>
      <c r="L776" s="23"/>
    </row>
    <row r="777" ht="15.75" customHeight="1">
      <c r="B777" s="16"/>
      <c r="L777" s="23"/>
    </row>
    <row r="778" ht="15.75" customHeight="1">
      <c r="B778" s="16"/>
      <c r="L778" s="23"/>
      <c r="M778" s="23"/>
    </row>
    <row r="779" ht="15.75" customHeight="1">
      <c r="B779" s="16"/>
      <c r="L779" s="23"/>
      <c r="M779" s="23"/>
    </row>
    <row r="780" ht="15.75" customHeight="1">
      <c r="B780" s="16"/>
      <c r="L780" s="23"/>
    </row>
    <row r="781" ht="15.75" customHeight="1">
      <c r="B781" s="16"/>
      <c r="L781" s="23"/>
    </row>
    <row r="782" ht="15.75" customHeight="1">
      <c r="B782" s="16"/>
      <c r="L782" s="23"/>
    </row>
    <row r="783" ht="15.75" customHeight="1">
      <c r="B783" s="16"/>
      <c r="L783" s="23"/>
    </row>
    <row r="784" ht="15.75" customHeight="1">
      <c r="B784" s="16"/>
      <c r="L784" s="23"/>
    </row>
    <row r="785" ht="15.75" customHeight="1">
      <c r="B785" s="16"/>
      <c r="L785" s="23"/>
    </row>
    <row r="786" ht="15.75" customHeight="1">
      <c r="B786" s="16"/>
      <c r="L786" s="23"/>
    </row>
    <row r="787" ht="15.75" customHeight="1">
      <c r="B787" s="16"/>
      <c r="L787" s="23"/>
    </row>
    <row r="788" ht="15.75" customHeight="1">
      <c r="B788" s="16"/>
      <c r="L788" s="23"/>
    </row>
    <row r="789" ht="15.75" customHeight="1">
      <c r="B789" s="16"/>
      <c r="L789" s="23"/>
    </row>
    <row r="790" ht="15.75" customHeight="1">
      <c r="B790" s="16"/>
      <c r="L790" s="23"/>
    </row>
    <row r="791">
      <c r="B791" s="16"/>
      <c r="L791" s="23"/>
      <c r="M791" s="23"/>
    </row>
    <row r="792">
      <c r="B792" s="16"/>
      <c r="L792" s="23"/>
    </row>
    <row r="793">
      <c r="B793" s="16"/>
      <c r="L793" s="23"/>
    </row>
    <row r="794">
      <c r="B794" s="16"/>
      <c r="L794" s="23"/>
      <c r="M794" s="23"/>
    </row>
    <row r="795">
      <c r="B795" s="16"/>
      <c r="L795" s="23"/>
    </row>
    <row r="796">
      <c r="B796" s="16"/>
      <c r="L796" s="23"/>
    </row>
    <row r="797">
      <c r="B797" s="16"/>
      <c r="L797" s="23"/>
    </row>
    <row r="798">
      <c r="B798" s="16"/>
      <c r="L798" s="23"/>
    </row>
    <row r="799">
      <c r="B799" s="16"/>
      <c r="L799" s="23"/>
      <c r="M799" s="23"/>
    </row>
    <row r="800">
      <c r="B800" s="16"/>
      <c r="L800" s="23"/>
    </row>
    <row r="801">
      <c r="B801" s="16"/>
      <c r="L801" s="23"/>
      <c r="M801" s="23"/>
    </row>
    <row r="802">
      <c r="B802" s="16"/>
      <c r="L802" s="23"/>
    </row>
    <row r="803">
      <c r="B803" s="16"/>
      <c r="L803" s="23"/>
    </row>
    <row r="804">
      <c r="B804" s="16"/>
      <c r="L804" s="23"/>
    </row>
    <row r="805">
      <c r="B805" s="16"/>
      <c r="L805" s="23"/>
    </row>
    <row r="806">
      <c r="B806" s="16"/>
      <c r="L806" s="23"/>
    </row>
    <row r="807">
      <c r="B807" s="16"/>
      <c r="L807" s="23"/>
    </row>
    <row r="808">
      <c r="B808" s="16"/>
      <c r="L808" s="23"/>
    </row>
    <row r="809">
      <c r="B809" s="16"/>
      <c r="L809" s="23"/>
      <c r="M809" s="23"/>
    </row>
    <row r="810">
      <c r="B810" s="16"/>
      <c r="L810" s="23"/>
      <c r="M810" s="23"/>
    </row>
    <row r="811">
      <c r="B811" s="16"/>
      <c r="L811" s="23"/>
    </row>
    <row r="812">
      <c r="B812" s="16"/>
      <c r="L812" s="23"/>
    </row>
    <row r="813">
      <c r="B813" s="16"/>
      <c r="L813" s="23"/>
    </row>
    <row r="814">
      <c r="B814" s="16"/>
      <c r="L814" s="23"/>
    </row>
    <row r="815">
      <c r="B815" s="16"/>
      <c r="L815" s="23"/>
      <c r="M815" s="23"/>
    </row>
    <row r="816">
      <c r="B816" s="16"/>
      <c r="L816" s="23"/>
    </row>
    <row r="817">
      <c r="B817" s="16"/>
      <c r="L817" s="23"/>
    </row>
    <row r="818">
      <c r="B818" s="16"/>
      <c r="L818" s="23"/>
    </row>
    <row r="819">
      <c r="B819" s="16"/>
      <c r="L819" s="23"/>
    </row>
    <row r="820">
      <c r="B820" s="16"/>
      <c r="L820" s="23"/>
      <c r="M820" s="23"/>
    </row>
    <row r="821">
      <c r="B821" s="16"/>
      <c r="L821" s="23"/>
    </row>
    <row r="822">
      <c r="B822" s="16"/>
      <c r="L822" s="23"/>
    </row>
    <row r="823">
      <c r="B823" s="16"/>
      <c r="L823" s="23"/>
      <c r="M823" s="23"/>
    </row>
    <row r="824">
      <c r="B824" s="16"/>
      <c r="L824" s="23"/>
      <c r="M824" s="23"/>
    </row>
    <row r="825">
      <c r="B825" s="16"/>
      <c r="L825" s="23"/>
      <c r="M825" s="23"/>
    </row>
    <row r="826">
      <c r="B826" s="16"/>
      <c r="L826" s="23"/>
      <c r="M826" s="23"/>
    </row>
    <row r="827">
      <c r="B827" s="16"/>
      <c r="L827" s="23"/>
    </row>
    <row r="828">
      <c r="B828" s="16"/>
      <c r="L828" s="23"/>
      <c r="M828" s="23"/>
    </row>
    <row r="829">
      <c r="B829" s="16"/>
      <c r="L829" s="23"/>
    </row>
    <row r="830">
      <c r="B830" s="16"/>
      <c r="L830" s="23"/>
    </row>
    <row r="831">
      <c r="B831" s="16"/>
      <c r="L831" s="23"/>
    </row>
    <row r="832">
      <c r="B832" s="16"/>
      <c r="L832" s="23"/>
    </row>
    <row r="833">
      <c r="B833" s="16"/>
      <c r="L833" s="23"/>
    </row>
    <row r="834">
      <c r="B834" s="16"/>
      <c r="L834" s="23"/>
    </row>
    <row r="835">
      <c r="B835" s="16"/>
      <c r="L835" s="23"/>
    </row>
    <row r="836">
      <c r="B836" s="16"/>
      <c r="L836" s="23"/>
      <c r="M836" s="23"/>
    </row>
    <row r="837">
      <c r="B837" s="16"/>
      <c r="L837" s="23"/>
    </row>
    <row r="838">
      <c r="B838" s="16"/>
      <c r="L838" s="23"/>
    </row>
    <row r="839">
      <c r="B839" s="16"/>
      <c r="L839" s="23"/>
      <c r="M839" s="23"/>
    </row>
    <row r="840">
      <c r="B840" s="16"/>
      <c r="L840" s="23"/>
    </row>
    <row r="841">
      <c r="B841" s="16"/>
      <c r="L841" s="23"/>
      <c r="M841" s="23"/>
    </row>
    <row r="842">
      <c r="B842" s="16"/>
      <c r="L842" s="23"/>
    </row>
    <row r="843">
      <c r="B843" s="16"/>
      <c r="L843" s="23"/>
      <c r="M843" s="23"/>
    </row>
    <row r="844">
      <c r="B844" s="16"/>
      <c r="L844" s="23"/>
    </row>
    <row r="845">
      <c r="B845" s="16"/>
      <c r="L845" s="23"/>
    </row>
    <row r="846">
      <c r="B846" s="16"/>
      <c r="L846" s="23"/>
    </row>
    <row r="847">
      <c r="B847" s="16"/>
      <c r="L847" s="23"/>
      <c r="M847" s="23"/>
    </row>
    <row r="848">
      <c r="B848" s="16"/>
      <c r="L848" s="23"/>
    </row>
    <row r="849">
      <c r="B849" s="16"/>
      <c r="L849" s="23"/>
    </row>
    <row r="850">
      <c r="B850" s="16"/>
      <c r="L850" s="23"/>
    </row>
    <row r="851">
      <c r="B851" s="16"/>
      <c r="L851" s="23"/>
    </row>
    <row r="852">
      <c r="B852" s="16"/>
      <c r="L852" s="23"/>
      <c r="M852" s="23"/>
    </row>
    <row r="853">
      <c r="B853" s="16"/>
      <c r="L853" s="23"/>
      <c r="M853" s="23"/>
    </row>
    <row r="854">
      <c r="B854" s="16"/>
      <c r="L854" s="23"/>
    </row>
    <row r="855">
      <c r="B855" s="16"/>
      <c r="L855" s="23"/>
    </row>
    <row r="856">
      <c r="B856" s="16"/>
      <c r="L856" s="23"/>
    </row>
    <row r="857">
      <c r="B857" s="16"/>
      <c r="L857" s="23"/>
      <c r="M857" s="23"/>
    </row>
    <row r="858">
      <c r="B858" s="16"/>
      <c r="L858" s="23"/>
      <c r="M858" s="23"/>
    </row>
    <row r="859">
      <c r="B859" s="16"/>
      <c r="L859" s="23"/>
      <c r="M859" s="23"/>
    </row>
    <row r="860">
      <c r="B860" s="16"/>
      <c r="L860" s="23"/>
      <c r="M860" s="23"/>
    </row>
    <row r="861">
      <c r="B861" s="16"/>
      <c r="L861" s="23"/>
      <c r="M861" s="23"/>
    </row>
    <row r="862">
      <c r="B862" s="16"/>
      <c r="L862" s="23"/>
    </row>
    <row r="863">
      <c r="B863" s="16"/>
      <c r="L863" s="23"/>
    </row>
    <row r="864">
      <c r="B864" s="16"/>
      <c r="L864" s="23"/>
    </row>
    <row r="865">
      <c r="B865" s="16"/>
      <c r="L865" s="23"/>
    </row>
    <row r="866">
      <c r="B866" s="16"/>
      <c r="L866" s="23"/>
    </row>
    <row r="867">
      <c r="B867" s="16"/>
      <c r="L867" s="23"/>
    </row>
    <row r="868">
      <c r="B868" s="16"/>
      <c r="L868" s="23"/>
    </row>
    <row r="869">
      <c r="B869" s="16"/>
      <c r="L869" s="23"/>
    </row>
    <row r="870">
      <c r="B870" s="16"/>
      <c r="L870" s="23"/>
    </row>
    <row r="871">
      <c r="B871" s="16"/>
      <c r="L871" s="23"/>
    </row>
    <row r="872">
      <c r="B872" s="16"/>
      <c r="L872" s="23"/>
      <c r="M872" s="23"/>
    </row>
    <row r="873">
      <c r="B873" s="16"/>
      <c r="L873" s="23"/>
    </row>
    <row r="874">
      <c r="B874" s="16"/>
      <c r="L874" s="23"/>
      <c r="M874" s="23"/>
    </row>
    <row r="875">
      <c r="B875" s="16"/>
      <c r="L875" s="23"/>
      <c r="M875" s="23"/>
    </row>
    <row r="876">
      <c r="B876" s="16"/>
      <c r="L876" s="23"/>
    </row>
    <row r="877">
      <c r="B877" s="16"/>
      <c r="L877" s="23"/>
    </row>
    <row r="878">
      <c r="B878" s="16"/>
      <c r="L878" s="23"/>
      <c r="M878" s="23"/>
    </row>
    <row r="879">
      <c r="B879" s="16"/>
      <c r="L879" s="23"/>
      <c r="M879" s="23"/>
    </row>
    <row r="880">
      <c r="B880" s="16"/>
      <c r="L880" s="23"/>
      <c r="M880" s="23"/>
    </row>
    <row r="881">
      <c r="B881" s="16"/>
      <c r="L881" s="23"/>
    </row>
    <row r="882">
      <c r="B882" s="16"/>
      <c r="L882" s="23"/>
      <c r="M882" s="23"/>
    </row>
    <row r="883">
      <c r="B883" s="16"/>
      <c r="L883" s="23"/>
      <c r="M883" s="23"/>
    </row>
    <row r="884">
      <c r="B884" s="16"/>
      <c r="L884" s="23"/>
    </row>
    <row r="885">
      <c r="B885" s="16"/>
      <c r="L885" s="23"/>
    </row>
    <row r="886">
      <c r="B886" s="16"/>
      <c r="L886" s="23"/>
      <c r="M886" s="23"/>
    </row>
    <row r="887">
      <c r="B887" s="16"/>
      <c r="L887" s="23"/>
    </row>
    <row r="888">
      <c r="B888" s="16"/>
      <c r="L888" s="23"/>
      <c r="M888" s="23"/>
    </row>
    <row r="889">
      <c r="B889" s="16"/>
      <c r="L889" s="23"/>
    </row>
    <row r="890">
      <c r="B890" s="16"/>
      <c r="L890" s="23"/>
    </row>
    <row r="891">
      <c r="B891" s="16"/>
      <c r="L891" s="23"/>
    </row>
    <row r="892">
      <c r="B892" s="16"/>
      <c r="L892" s="23"/>
    </row>
    <row r="893">
      <c r="B893" s="16"/>
      <c r="L893" s="23"/>
      <c r="M893" s="23"/>
    </row>
    <row r="894">
      <c r="B894" s="16"/>
      <c r="L894" s="23"/>
      <c r="M894" s="23"/>
    </row>
    <row r="895">
      <c r="B895" s="16"/>
      <c r="L895" s="23"/>
      <c r="M895" s="23"/>
    </row>
    <row r="896">
      <c r="B896" s="16"/>
      <c r="L896" s="23"/>
      <c r="M896" s="23"/>
    </row>
    <row r="897">
      <c r="B897" s="16"/>
      <c r="L897" s="23"/>
      <c r="M897" s="23"/>
    </row>
    <row r="898">
      <c r="B898" s="16"/>
      <c r="L898" s="23"/>
    </row>
    <row r="899">
      <c r="B899" s="16"/>
      <c r="L899" s="23"/>
      <c r="M899" s="23"/>
    </row>
    <row r="900">
      <c r="B900" s="16"/>
      <c r="L900" s="23"/>
    </row>
    <row r="901">
      <c r="B901" s="16"/>
      <c r="L901" s="23"/>
    </row>
    <row r="902">
      <c r="B902" s="16"/>
      <c r="L902" s="23"/>
    </row>
    <row r="903">
      <c r="B903" s="16"/>
      <c r="L903" s="23"/>
    </row>
    <row r="904">
      <c r="B904" s="16"/>
      <c r="L904" s="23"/>
    </row>
    <row r="905">
      <c r="B905" s="16"/>
      <c r="L905" s="23"/>
      <c r="M905" s="23"/>
    </row>
    <row r="906">
      <c r="B906" s="16"/>
      <c r="L906" s="23"/>
    </row>
    <row r="907">
      <c r="B907" s="16"/>
      <c r="L907" s="23"/>
    </row>
    <row r="908">
      <c r="B908" s="16"/>
      <c r="L908" s="23"/>
    </row>
    <row r="909">
      <c r="B909" s="16"/>
      <c r="L909" s="23"/>
    </row>
    <row r="910">
      <c r="B910" s="16"/>
      <c r="L910" s="23"/>
      <c r="M910" s="23"/>
    </row>
    <row r="911">
      <c r="B911" s="16"/>
      <c r="L911" s="23"/>
      <c r="M911" s="23"/>
    </row>
    <row r="912">
      <c r="B912" s="16"/>
      <c r="L912" s="23"/>
      <c r="M912" s="23"/>
    </row>
    <row r="913">
      <c r="B913" s="16"/>
      <c r="L913" s="23"/>
    </row>
    <row r="914">
      <c r="B914" s="16"/>
      <c r="L914" s="23"/>
      <c r="M914" s="23"/>
    </row>
    <row r="915">
      <c r="B915" s="16"/>
      <c r="L915" s="23"/>
    </row>
    <row r="916">
      <c r="B916" s="16"/>
      <c r="L916" s="23"/>
      <c r="M916" s="23"/>
    </row>
    <row r="917">
      <c r="B917" s="16"/>
      <c r="L917" s="23"/>
      <c r="M917" s="23"/>
    </row>
    <row r="918">
      <c r="B918" s="16"/>
      <c r="L918" s="23"/>
    </row>
    <row r="919">
      <c r="B919" s="16"/>
      <c r="L919" s="23"/>
    </row>
    <row r="920">
      <c r="B920" s="16"/>
      <c r="L920" s="23"/>
    </row>
    <row r="921">
      <c r="B921" s="16"/>
      <c r="L921" s="23"/>
      <c r="M921" s="23"/>
    </row>
    <row r="922">
      <c r="B922" s="16"/>
      <c r="L922" s="23"/>
      <c r="M922" s="23"/>
    </row>
    <row r="923">
      <c r="B923" s="16"/>
      <c r="L923" s="23"/>
      <c r="M923" s="23"/>
    </row>
    <row r="924">
      <c r="B924" s="16"/>
      <c r="L924" s="23"/>
    </row>
    <row r="925">
      <c r="B925" s="16"/>
      <c r="L925" s="23"/>
      <c r="M925" s="23"/>
    </row>
    <row r="926">
      <c r="B926" s="16"/>
      <c r="L926" s="23"/>
      <c r="M926" s="23"/>
    </row>
    <row r="927">
      <c r="B927" s="16"/>
      <c r="L927" s="23"/>
      <c r="M927" s="23"/>
    </row>
    <row r="928">
      <c r="B928" s="16"/>
      <c r="L928" s="23"/>
      <c r="M928" s="23"/>
    </row>
    <row r="929">
      <c r="B929" s="16"/>
      <c r="L929" s="23"/>
    </row>
    <row r="930">
      <c r="B930" s="16"/>
      <c r="L930" s="23"/>
      <c r="M930" s="23"/>
    </row>
    <row r="931">
      <c r="B931" s="16"/>
      <c r="L931" s="23"/>
      <c r="M931" s="23"/>
    </row>
    <row r="932">
      <c r="B932" s="16"/>
      <c r="L932" s="23"/>
    </row>
    <row r="933">
      <c r="B933" s="16"/>
      <c r="L933" s="23"/>
      <c r="M933" s="23"/>
    </row>
    <row r="934">
      <c r="B934" s="16"/>
      <c r="L934" s="23"/>
    </row>
    <row r="935">
      <c r="B935" s="16"/>
      <c r="L935" s="23"/>
    </row>
    <row r="936">
      <c r="B936" s="16"/>
      <c r="L936" s="23"/>
      <c r="M936" s="23"/>
    </row>
    <row r="937">
      <c r="B937" s="16"/>
      <c r="L937" s="23"/>
    </row>
    <row r="938">
      <c r="B938" s="16"/>
      <c r="L938" s="23"/>
      <c r="M938" s="23"/>
    </row>
    <row r="939">
      <c r="B939" s="16"/>
      <c r="L939" s="23"/>
    </row>
    <row r="940">
      <c r="B940" s="16"/>
      <c r="L940" s="23"/>
    </row>
    <row r="941">
      <c r="B941" s="16"/>
      <c r="L941" s="23"/>
      <c r="M941" s="23"/>
    </row>
    <row r="942">
      <c r="B942" s="16"/>
      <c r="L942" s="23"/>
    </row>
    <row r="943">
      <c r="B943" s="16"/>
      <c r="L943" s="23"/>
    </row>
    <row r="944">
      <c r="B944" s="16"/>
      <c r="L944" s="23"/>
    </row>
    <row r="945">
      <c r="B945" s="16"/>
      <c r="L945" s="23"/>
      <c r="M945" s="23"/>
    </row>
    <row r="946">
      <c r="B946" s="16"/>
      <c r="L946" s="23"/>
    </row>
    <row r="947">
      <c r="B947" s="16"/>
      <c r="L947" s="23"/>
    </row>
    <row r="948">
      <c r="B948" s="16"/>
      <c r="L948" s="23"/>
    </row>
    <row r="949">
      <c r="B949" s="16"/>
      <c r="L949" s="23"/>
    </row>
    <row r="950">
      <c r="B950" s="16"/>
      <c r="L950" s="23"/>
    </row>
    <row r="951">
      <c r="B951" s="16"/>
      <c r="L951" s="23"/>
    </row>
    <row r="952">
      <c r="B952" s="16"/>
      <c r="L952" s="23"/>
    </row>
    <row r="953">
      <c r="B953" s="16"/>
      <c r="L953" s="23"/>
      <c r="M953" s="23"/>
    </row>
    <row r="954">
      <c r="B954" s="16"/>
      <c r="L954" s="23"/>
    </row>
    <row r="955">
      <c r="B955" s="16"/>
      <c r="L955" s="23"/>
      <c r="M955" s="23"/>
    </row>
    <row r="956">
      <c r="B956" s="16"/>
      <c r="L956" s="23"/>
    </row>
    <row r="957">
      <c r="B957" s="16"/>
      <c r="L957" s="23"/>
      <c r="M957" s="23"/>
    </row>
    <row r="958">
      <c r="B958" s="16"/>
      <c r="L958" s="23"/>
    </row>
    <row r="959">
      <c r="B959" s="16"/>
      <c r="L959" s="23"/>
    </row>
    <row r="960">
      <c r="B960" s="16"/>
      <c r="L960" s="23"/>
    </row>
    <row r="961">
      <c r="B961" s="16"/>
      <c r="L961" s="23"/>
    </row>
    <row r="962">
      <c r="B962" s="16"/>
      <c r="L962" s="23"/>
    </row>
    <row r="963">
      <c r="B963" s="16"/>
      <c r="L963" s="23"/>
    </row>
    <row r="964">
      <c r="B964" s="16"/>
      <c r="L964" s="23"/>
    </row>
    <row r="965">
      <c r="B965" s="16"/>
      <c r="L965" s="23"/>
      <c r="M965" s="23"/>
    </row>
    <row r="966">
      <c r="B966" s="16"/>
      <c r="L966" s="23"/>
    </row>
    <row r="967">
      <c r="B967" s="16"/>
      <c r="L967" s="23"/>
      <c r="M967" s="23"/>
    </row>
    <row r="968">
      <c r="B968" s="16"/>
      <c r="L968" s="23"/>
      <c r="M968" s="23"/>
    </row>
    <row r="969">
      <c r="B969" s="16"/>
      <c r="L969" s="23"/>
    </row>
    <row r="970">
      <c r="B970" s="16"/>
      <c r="L970" s="23"/>
    </row>
    <row r="971">
      <c r="B971" s="16"/>
      <c r="L971" s="23"/>
    </row>
    <row r="972">
      <c r="B972" s="16"/>
      <c r="L972" s="23"/>
      <c r="M972" s="23"/>
    </row>
    <row r="973">
      <c r="B973" s="16"/>
      <c r="L973" s="23"/>
      <c r="M973" s="23"/>
    </row>
    <row r="974">
      <c r="B974" s="16"/>
      <c r="L974" s="23"/>
      <c r="M974" s="23"/>
    </row>
    <row r="975">
      <c r="B975" s="16"/>
      <c r="L975" s="23"/>
    </row>
    <row r="976">
      <c r="B976" s="16"/>
      <c r="L976" s="23"/>
    </row>
    <row r="977">
      <c r="B977" s="16"/>
      <c r="L977" s="23"/>
      <c r="M977" s="23"/>
    </row>
    <row r="978">
      <c r="B978" s="16"/>
      <c r="L978" s="23"/>
    </row>
    <row r="979">
      <c r="B979" s="16"/>
      <c r="L979" s="23"/>
      <c r="M979" s="23"/>
    </row>
    <row r="980">
      <c r="B980" s="16"/>
      <c r="L980" s="23"/>
      <c r="M980" s="23"/>
    </row>
    <row r="981">
      <c r="B981" s="16"/>
      <c r="L981" s="23"/>
    </row>
    <row r="982">
      <c r="B982" s="16"/>
      <c r="L982" s="23"/>
      <c r="M982" s="23"/>
    </row>
    <row r="983">
      <c r="B983" s="16"/>
      <c r="L983" s="23"/>
    </row>
    <row r="984">
      <c r="B984" s="16"/>
      <c r="L984" s="23"/>
    </row>
    <row r="985">
      <c r="B985" s="16"/>
      <c r="L985" s="23"/>
    </row>
    <row r="986">
      <c r="B986" s="16"/>
      <c r="L986" s="23"/>
      <c r="M986" s="23"/>
    </row>
    <row r="987">
      <c r="B987" s="16"/>
      <c r="L987" s="23"/>
      <c r="M987" s="23"/>
    </row>
    <row r="988">
      <c r="B988" s="16"/>
      <c r="L988" s="23"/>
    </row>
    <row r="989">
      <c r="B989" s="16"/>
      <c r="L989" s="23"/>
    </row>
    <row r="990">
      <c r="B990" s="16"/>
      <c r="L990" s="23"/>
    </row>
    <row r="991">
      <c r="B991" s="16"/>
      <c r="L991" s="23"/>
      <c r="M991" s="23"/>
    </row>
    <row r="992">
      <c r="B992" s="16"/>
      <c r="L992" s="23"/>
      <c r="M992" s="23"/>
    </row>
    <row r="993">
      <c r="B993" s="16"/>
      <c r="L993" s="23"/>
    </row>
    <row r="994">
      <c r="B994" s="16"/>
      <c r="L994" s="23"/>
      <c r="M994" s="23"/>
    </row>
    <row r="995">
      <c r="B995" s="16"/>
      <c r="L995" s="23"/>
      <c r="M995" s="23"/>
    </row>
    <row r="996">
      <c r="B996" s="16"/>
      <c r="L996" s="23"/>
    </row>
    <row r="997">
      <c r="B997" s="16"/>
      <c r="L997" s="23"/>
      <c r="M997" s="23"/>
    </row>
    <row r="998">
      <c r="B998" s="16"/>
      <c r="L998" s="23"/>
      <c r="M998" s="23"/>
    </row>
    <row r="999">
      <c r="B999" s="16"/>
      <c r="L999" s="23"/>
      <c r="M999" s="23"/>
    </row>
    <row r="1000">
      <c r="B1000" s="16"/>
      <c r="L1000" s="23"/>
    </row>
    <row r="1001">
      <c r="B1001" s="16"/>
      <c r="L1001" s="23"/>
      <c r="M1001" s="23"/>
    </row>
    <row r="1002">
      <c r="B1002" s="16"/>
      <c r="L1002" s="23"/>
    </row>
    <row r="1003">
      <c r="B1003" s="16"/>
      <c r="L1003" s="23"/>
      <c r="M1003" s="23"/>
    </row>
    <row r="1004">
      <c r="B1004" s="16"/>
      <c r="L1004" s="23"/>
      <c r="M1004" s="23"/>
    </row>
    <row r="1005">
      <c r="B1005" s="16"/>
      <c r="L1005" s="23"/>
      <c r="M1005" s="23"/>
    </row>
    <row r="1006">
      <c r="B1006" s="16"/>
      <c r="L1006" s="23"/>
      <c r="M1006" s="23"/>
    </row>
    <row r="1007">
      <c r="B1007" s="16"/>
      <c r="L1007" s="23"/>
      <c r="M1007" s="23"/>
    </row>
    <row r="1008">
      <c r="B1008" s="16"/>
      <c r="L1008" s="23"/>
      <c r="M1008" s="23"/>
    </row>
    <row r="1009">
      <c r="B1009" s="16"/>
      <c r="L1009" s="23"/>
    </row>
    <row r="1010">
      <c r="B1010" s="16"/>
      <c r="L1010" s="23"/>
      <c r="M1010" s="23"/>
    </row>
    <row r="1011">
      <c r="B1011" s="16"/>
      <c r="L1011" s="23"/>
      <c r="M1011" s="23"/>
    </row>
    <row r="1012">
      <c r="B1012" s="16"/>
      <c r="L1012" s="23"/>
      <c r="M1012" s="23"/>
    </row>
    <row r="1013">
      <c r="B1013" s="16"/>
      <c r="L1013" s="23"/>
      <c r="M1013" s="23"/>
    </row>
    <row r="1014">
      <c r="B1014" s="16"/>
      <c r="L1014" s="23"/>
      <c r="M1014" s="23"/>
    </row>
    <row r="1015">
      <c r="B1015" s="16"/>
      <c r="L1015" s="23"/>
      <c r="M1015" s="23"/>
    </row>
    <row r="1016">
      <c r="B1016" s="16"/>
      <c r="L1016" s="23"/>
      <c r="M1016" s="23"/>
    </row>
    <row r="1017">
      <c r="B1017" s="16"/>
      <c r="L1017" s="23"/>
    </row>
    <row r="1018">
      <c r="B1018" s="16"/>
      <c r="L1018" s="23"/>
      <c r="M1018" s="23"/>
    </row>
    <row r="1019">
      <c r="B1019" s="16"/>
      <c r="L1019" s="23"/>
      <c r="M1019" s="23"/>
    </row>
    <row r="1020">
      <c r="B1020" s="16"/>
      <c r="L1020" s="23"/>
      <c r="M1020" s="23"/>
    </row>
    <row r="1021">
      <c r="B1021" s="16"/>
      <c r="L1021" s="23"/>
      <c r="M1021" s="23"/>
    </row>
    <row r="1022">
      <c r="B1022" s="16"/>
      <c r="L1022" s="23"/>
    </row>
    <row r="1023">
      <c r="B1023" s="16"/>
      <c r="L1023" s="23"/>
      <c r="M1023" s="23"/>
    </row>
    <row r="1024">
      <c r="B1024" s="16"/>
      <c r="L1024" s="23"/>
      <c r="M1024" s="23"/>
    </row>
    <row r="1025">
      <c r="B1025" s="16"/>
      <c r="L1025" s="23"/>
      <c r="M1025" s="23"/>
    </row>
    <row r="1026">
      <c r="B1026" s="16"/>
      <c r="L1026" s="23"/>
    </row>
    <row r="1027">
      <c r="B1027" s="16"/>
      <c r="L1027" s="23"/>
      <c r="M1027" s="23"/>
    </row>
    <row r="1028">
      <c r="B1028" s="16"/>
      <c r="L1028" s="23"/>
      <c r="M1028" s="23"/>
    </row>
    <row r="1029">
      <c r="B1029" s="16"/>
      <c r="L1029" s="23"/>
      <c r="M1029" s="23"/>
    </row>
    <row r="1030">
      <c r="B1030" s="16"/>
      <c r="L1030" s="23"/>
      <c r="M1030" s="23"/>
    </row>
    <row r="1031">
      <c r="B1031" s="16"/>
      <c r="L1031" s="23"/>
    </row>
    <row r="1032">
      <c r="B1032" s="16"/>
      <c r="L1032" s="23"/>
      <c r="M1032" s="23"/>
    </row>
    <row r="1033">
      <c r="B1033" s="16"/>
      <c r="L1033" s="23"/>
      <c r="M1033" s="23"/>
    </row>
    <row r="1034">
      <c r="B1034" s="16"/>
      <c r="L1034" s="23"/>
      <c r="M1034" s="23"/>
    </row>
    <row r="1035">
      <c r="B1035" s="16"/>
      <c r="L1035" s="23"/>
      <c r="M1035" s="23"/>
    </row>
    <row r="1036">
      <c r="B1036" s="16"/>
      <c r="L1036" s="23"/>
      <c r="M1036" s="23"/>
    </row>
    <row r="1037">
      <c r="B1037" s="16"/>
      <c r="L1037" s="23"/>
      <c r="M1037" s="23"/>
    </row>
    <row r="1038">
      <c r="B1038" s="16"/>
      <c r="L1038" s="23"/>
      <c r="M1038" s="23"/>
    </row>
    <row r="1039">
      <c r="B1039" s="16"/>
      <c r="L1039" s="23"/>
    </row>
    <row r="1040">
      <c r="B1040" s="16"/>
      <c r="L1040" s="23"/>
      <c r="M1040" s="23"/>
    </row>
    <row r="1041">
      <c r="B1041" s="16"/>
      <c r="L1041" s="23"/>
      <c r="M1041" s="23"/>
    </row>
    <row r="1042">
      <c r="B1042" s="16"/>
      <c r="L1042" s="23"/>
      <c r="M1042" s="23"/>
    </row>
    <row r="1043">
      <c r="B1043" s="16"/>
      <c r="L1043" s="23"/>
      <c r="M1043" s="23"/>
    </row>
    <row r="1044">
      <c r="B1044" s="16"/>
      <c r="L1044" s="23"/>
      <c r="M1044" s="23"/>
    </row>
    <row r="1045">
      <c r="B1045" s="16"/>
      <c r="L1045" s="23"/>
      <c r="M1045" s="23"/>
    </row>
    <row r="1046">
      <c r="B1046" s="16"/>
      <c r="L1046" s="23"/>
      <c r="M1046" s="23"/>
    </row>
    <row r="1047">
      <c r="B1047" s="16"/>
      <c r="L1047" s="23"/>
      <c r="M1047" s="23"/>
    </row>
    <row r="1048">
      <c r="B1048" s="16"/>
      <c r="L1048" s="23"/>
      <c r="M1048" s="23"/>
    </row>
    <row r="1049">
      <c r="B1049" s="16"/>
      <c r="L1049" s="23"/>
      <c r="M1049" s="23"/>
    </row>
    <row r="1050">
      <c r="B1050" s="16"/>
      <c r="L1050" s="23"/>
      <c r="M1050" s="23"/>
    </row>
    <row r="1051">
      <c r="B1051" s="16"/>
      <c r="L1051" s="23"/>
      <c r="M1051" s="23"/>
    </row>
    <row r="1052">
      <c r="B1052" s="16"/>
      <c r="L1052" s="23"/>
      <c r="M1052" s="23"/>
    </row>
    <row r="1053">
      <c r="B1053" s="16"/>
      <c r="L1053" s="23"/>
      <c r="M1053" s="23"/>
    </row>
    <row r="1054">
      <c r="B1054" s="16"/>
      <c r="L1054" s="23"/>
    </row>
    <row r="1055">
      <c r="B1055" s="16"/>
      <c r="L1055" s="23"/>
    </row>
    <row r="1056">
      <c r="B1056" s="16"/>
      <c r="L1056" s="23"/>
      <c r="M1056" s="23"/>
    </row>
    <row r="1057">
      <c r="B1057" s="16"/>
      <c r="L1057" s="23"/>
      <c r="M1057" s="23"/>
    </row>
    <row r="1058">
      <c r="B1058" s="16"/>
      <c r="L1058" s="23"/>
      <c r="M1058" s="23"/>
    </row>
    <row r="1059">
      <c r="B1059" s="16"/>
      <c r="L1059" s="23"/>
      <c r="M1059" s="23"/>
    </row>
    <row r="1060">
      <c r="B1060" s="16"/>
      <c r="L1060" s="23"/>
      <c r="M1060" s="23"/>
    </row>
    <row r="1061">
      <c r="B1061" s="16"/>
      <c r="L1061" s="23"/>
      <c r="M1061" s="23"/>
    </row>
    <row r="1062">
      <c r="B1062" s="16"/>
      <c r="L1062" s="23"/>
      <c r="M1062" s="23"/>
    </row>
    <row r="1063">
      <c r="B1063" s="16"/>
      <c r="L1063" s="23"/>
      <c r="M1063" s="23"/>
    </row>
    <row r="1064">
      <c r="B1064" s="16"/>
      <c r="L1064" s="23"/>
      <c r="M1064" s="23"/>
    </row>
    <row r="1065">
      <c r="B1065" s="16"/>
      <c r="L1065" s="23"/>
      <c r="M1065" s="23"/>
    </row>
    <row r="1066">
      <c r="B1066" s="16"/>
      <c r="L1066" s="23"/>
    </row>
    <row r="1067">
      <c r="B1067" s="16"/>
      <c r="L1067" s="23"/>
    </row>
    <row r="1068">
      <c r="B1068" s="16"/>
      <c r="L1068" s="23"/>
      <c r="M1068" s="23"/>
    </row>
    <row r="1069">
      <c r="B1069" s="16"/>
      <c r="L1069" s="23"/>
      <c r="M1069" s="23"/>
    </row>
    <row r="1070">
      <c r="B1070" s="16"/>
      <c r="L1070" s="23"/>
      <c r="M1070" s="23"/>
    </row>
    <row r="1071">
      <c r="B1071" s="16"/>
      <c r="L1071" s="23"/>
      <c r="M1071" s="23"/>
    </row>
    <row r="1072">
      <c r="B1072" s="16"/>
      <c r="L1072" s="23"/>
      <c r="M1072" s="23"/>
    </row>
    <row r="1073">
      <c r="B1073" s="16"/>
      <c r="L1073" s="23"/>
      <c r="M1073" s="23"/>
    </row>
    <row r="1074">
      <c r="B1074" s="16"/>
      <c r="L1074" s="23"/>
      <c r="M1074" s="23"/>
    </row>
    <row r="1075">
      <c r="B1075" s="16"/>
      <c r="L1075" s="23"/>
      <c r="M1075" s="23"/>
    </row>
    <row r="1076">
      <c r="B1076" s="16"/>
      <c r="L1076" s="23"/>
      <c r="M1076" s="23"/>
    </row>
    <row r="1077">
      <c r="B1077" s="16"/>
      <c r="L1077" s="23"/>
      <c r="M1077" s="23"/>
    </row>
    <row r="1078">
      <c r="B1078" s="16"/>
      <c r="L1078" s="23"/>
      <c r="M1078" s="23"/>
    </row>
    <row r="1079">
      <c r="B1079" s="16"/>
      <c r="L1079" s="23"/>
      <c r="M1079" s="23"/>
    </row>
    <row r="1080">
      <c r="B1080" s="16"/>
      <c r="L1080" s="23"/>
      <c r="M1080" s="23"/>
    </row>
    <row r="1081">
      <c r="B1081" s="16"/>
      <c r="L1081" s="23"/>
      <c r="M1081" s="23"/>
    </row>
    <row r="1082">
      <c r="B1082" s="16"/>
      <c r="L1082" s="23"/>
      <c r="M1082" s="23"/>
    </row>
    <row r="1083">
      <c r="B1083" s="16"/>
      <c r="L1083" s="23"/>
      <c r="M1083" s="23"/>
    </row>
    <row r="1084">
      <c r="B1084" s="16"/>
      <c r="L1084" s="23"/>
      <c r="M1084" s="23"/>
    </row>
    <row r="1085">
      <c r="B1085" s="16"/>
      <c r="L1085" s="23"/>
      <c r="M1085" s="23"/>
    </row>
    <row r="1086">
      <c r="B1086" s="16"/>
      <c r="L1086" s="23"/>
      <c r="M1086" s="23"/>
    </row>
    <row r="1087">
      <c r="B1087" s="16"/>
      <c r="L1087" s="23"/>
      <c r="M1087" s="23"/>
    </row>
    <row r="1088">
      <c r="B1088" s="16"/>
      <c r="L1088" s="23"/>
      <c r="M1088" s="23"/>
    </row>
    <row r="1089">
      <c r="B1089" s="16"/>
      <c r="L1089" s="23"/>
      <c r="M1089" s="23"/>
    </row>
    <row r="1090">
      <c r="B1090" s="16"/>
      <c r="L1090" s="23"/>
    </row>
    <row r="1091">
      <c r="B1091" s="16"/>
      <c r="L1091" s="23"/>
      <c r="M1091" s="23"/>
    </row>
    <row r="1092">
      <c r="B1092" s="16"/>
      <c r="L1092" s="23"/>
      <c r="M1092" s="23"/>
    </row>
    <row r="1093">
      <c r="B1093" s="16"/>
      <c r="L1093" s="23"/>
      <c r="M1093" s="23"/>
    </row>
    <row r="1094">
      <c r="B1094" s="16"/>
      <c r="L1094" s="23"/>
      <c r="M1094" s="23"/>
    </row>
    <row r="1095">
      <c r="B1095" s="16"/>
      <c r="L1095" s="23"/>
      <c r="M1095" s="23"/>
    </row>
    <row r="1096">
      <c r="B1096" s="16"/>
      <c r="L1096" s="23"/>
    </row>
    <row r="1097">
      <c r="B1097" s="16"/>
      <c r="L1097" s="23"/>
    </row>
    <row r="1098">
      <c r="B1098" s="16"/>
      <c r="L1098" s="23"/>
      <c r="M1098" s="23"/>
    </row>
    <row r="1099">
      <c r="B1099" s="16"/>
      <c r="L1099" s="23"/>
      <c r="M1099" s="23"/>
    </row>
    <row r="1100">
      <c r="B1100" s="16"/>
      <c r="L1100" s="23"/>
      <c r="M1100" s="23"/>
    </row>
    <row r="1101">
      <c r="B1101" s="16"/>
      <c r="L1101" s="23"/>
    </row>
    <row r="1102">
      <c r="B1102" s="16"/>
      <c r="L1102" s="23"/>
      <c r="M1102" s="23"/>
    </row>
    <row r="1103">
      <c r="B1103" s="16"/>
      <c r="L1103" s="23"/>
      <c r="M1103" s="23"/>
    </row>
    <row r="1104">
      <c r="B1104" s="16"/>
      <c r="L1104" s="23"/>
      <c r="M1104" s="23"/>
    </row>
    <row r="1105">
      <c r="B1105" s="16"/>
      <c r="L1105" s="23"/>
      <c r="M1105" s="23"/>
    </row>
    <row r="1106">
      <c r="B1106" s="16"/>
      <c r="L1106" s="23"/>
      <c r="M1106" s="23"/>
    </row>
    <row r="1107">
      <c r="B1107" s="16"/>
      <c r="L1107" s="23"/>
      <c r="M1107" s="23"/>
    </row>
    <row r="1108">
      <c r="B1108" s="16"/>
      <c r="L1108" s="23"/>
      <c r="M1108" s="23"/>
    </row>
    <row r="1109">
      <c r="B1109" s="16"/>
      <c r="L1109" s="23"/>
      <c r="M1109" s="23"/>
    </row>
    <row r="1110">
      <c r="B1110" s="16"/>
      <c r="L1110" s="23"/>
      <c r="M1110" s="23"/>
    </row>
    <row r="1111">
      <c r="B1111" s="16"/>
      <c r="L1111" s="23"/>
    </row>
    <row r="1112">
      <c r="B1112" s="16"/>
      <c r="L1112" s="23"/>
    </row>
    <row r="1113">
      <c r="B1113" s="16"/>
      <c r="L1113" s="23"/>
      <c r="M1113" s="23"/>
    </row>
    <row r="1114">
      <c r="B1114" s="16"/>
      <c r="L1114" s="23"/>
    </row>
    <row r="1115">
      <c r="B1115" s="16"/>
      <c r="L1115" s="23"/>
      <c r="M1115" s="23"/>
    </row>
    <row r="1116">
      <c r="B1116" s="16"/>
      <c r="L1116" s="23"/>
    </row>
    <row r="1117">
      <c r="B1117" s="16"/>
      <c r="L1117" s="23"/>
      <c r="M1117" s="23"/>
    </row>
    <row r="1118">
      <c r="B1118" s="16"/>
      <c r="L1118" s="23"/>
      <c r="M1118" s="23"/>
    </row>
    <row r="1119">
      <c r="B1119" s="16"/>
      <c r="L1119" s="23"/>
    </row>
    <row r="1120">
      <c r="B1120" s="16"/>
      <c r="L1120" s="23"/>
      <c r="M1120" s="23"/>
    </row>
    <row r="1121">
      <c r="B1121" s="16"/>
      <c r="L1121" s="23"/>
    </row>
    <row r="1122">
      <c r="B1122" s="16"/>
      <c r="L1122" s="23"/>
    </row>
    <row r="1123">
      <c r="B1123" s="16"/>
      <c r="L1123" s="23"/>
    </row>
    <row r="1124">
      <c r="B1124" s="16"/>
      <c r="L1124" s="23"/>
    </row>
    <row r="1125">
      <c r="B1125" s="16"/>
      <c r="L1125" s="23"/>
      <c r="M1125" s="23"/>
    </row>
    <row r="1126">
      <c r="B1126" s="16"/>
      <c r="L1126" s="23"/>
    </row>
    <row r="1127">
      <c r="B1127" s="16"/>
      <c r="L1127" s="23"/>
    </row>
    <row r="1128">
      <c r="B1128" s="16"/>
      <c r="L1128" s="23"/>
      <c r="M1128" s="23"/>
    </row>
    <row r="1129">
      <c r="B1129" s="16"/>
      <c r="L1129" s="23"/>
    </row>
    <row r="1130">
      <c r="B1130" s="16"/>
      <c r="L1130" s="23"/>
    </row>
    <row r="1131">
      <c r="B1131" s="16"/>
      <c r="L1131" s="23"/>
    </row>
    <row r="1132">
      <c r="B1132" s="16"/>
      <c r="L1132" s="23"/>
    </row>
    <row r="1133">
      <c r="B1133" s="16"/>
      <c r="L1133" s="23"/>
      <c r="M1133" s="23"/>
    </row>
    <row r="1134">
      <c r="B1134" s="16"/>
      <c r="L1134" s="23"/>
    </row>
    <row r="1135">
      <c r="B1135" s="16"/>
      <c r="L1135" s="23"/>
    </row>
    <row r="1136">
      <c r="B1136" s="16"/>
      <c r="L1136" s="23"/>
    </row>
    <row r="1137">
      <c r="B1137" s="16"/>
      <c r="L1137" s="23"/>
    </row>
    <row r="1138">
      <c r="B1138" s="16"/>
      <c r="L1138" s="23"/>
      <c r="M1138" s="23"/>
    </row>
    <row r="1139">
      <c r="B1139" s="16"/>
      <c r="L1139" s="23"/>
      <c r="M1139" s="23"/>
    </row>
    <row r="1140">
      <c r="B1140" s="16"/>
      <c r="L1140" s="23"/>
    </row>
    <row r="1141">
      <c r="B1141" s="16"/>
      <c r="L1141" s="23"/>
    </row>
    <row r="1142">
      <c r="B1142" s="16"/>
      <c r="L1142" s="23"/>
    </row>
    <row r="1143">
      <c r="B1143" s="16"/>
      <c r="L1143" s="23"/>
      <c r="M1143" s="23"/>
    </row>
    <row r="1144">
      <c r="B1144" s="16"/>
      <c r="L1144" s="23"/>
    </row>
    <row r="1145">
      <c r="B1145" s="16"/>
      <c r="L1145" s="23"/>
    </row>
    <row r="1146">
      <c r="B1146" s="16"/>
      <c r="L1146" s="23"/>
    </row>
    <row r="1147">
      <c r="B1147" s="16"/>
      <c r="L1147" s="23"/>
      <c r="M1147" s="23"/>
    </row>
    <row r="1148">
      <c r="B1148" s="16"/>
      <c r="L1148" s="23"/>
    </row>
    <row r="1149">
      <c r="B1149" s="16"/>
      <c r="L1149" s="23"/>
    </row>
    <row r="1150">
      <c r="B1150" s="16"/>
      <c r="L1150" s="23"/>
    </row>
    <row r="1151">
      <c r="B1151" s="16"/>
      <c r="L1151" s="23"/>
    </row>
    <row r="1152">
      <c r="B1152" s="16"/>
      <c r="L1152" s="23"/>
    </row>
    <row r="1153">
      <c r="B1153" s="16"/>
      <c r="L1153" s="23"/>
    </row>
    <row r="1154">
      <c r="B1154" s="16"/>
      <c r="L1154" s="23"/>
    </row>
    <row r="1155">
      <c r="B1155" s="16"/>
      <c r="L1155" s="23"/>
      <c r="M1155" s="23"/>
    </row>
    <row r="1156">
      <c r="B1156" s="16"/>
      <c r="L1156" s="23"/>
    </row>
    <row r="1157">
      <c r="B1157" s="16"/>
      <c r="L1157" s="23"/>
    </row>
    <row r="1158">
      <c r="B1158" s="16"/>
      <c r="L1158" s="23"/>
    </row>
    <row r="1159">
      <c r="B1159" s="16"/>
      <c r="L1159" s="23"/>
    </row>
    <row r="1160">
      <c r="B1160" s="16"/>
      <c r="L1160" s="23"/>
    </row>
    <row r="1161">
      <c r="B1161" s="16"/>
      <c r="L1161" s="23"/>
    </row>
    <row r="1162">
      <c r="B1162" s="16"/>
      <c r="L1162" s="23"/>
    </row>
    <row r="1163">
      <c r="B1163" s="16"/>
      <c r="L1163" s="23"/>
    </row>
    <row r="1164">
      <c r="B1164" s="16"/>
      <c r="L1164" s="23"/>
    </row>
    <row r="1165">
      <c r="B1165" s="16"/>
      <c r="L1165" s="23"/>
    </row>
    <row r="1166">
      <c r="B1166" s="16"/>
      <c r="L1166" s="23"/>
    </row>
    <row r="1167">
      <c r="B1167" s="16"/>
      <c r="L1167" s="23"/>
    </row>
    <row r="1168">
      <c r="B1168" s="16"/>
      <c r="L1168" s="23"/>
    </row>
    <row r="1169">
      <c r="B1169" s="16"/>
      <c r="L1169" s="23"/>
      <c r="M1169" s="23"/>
    </row>
    <row r="1170">
      <c r="B1170" s="16"/>
      <c r="L1170" s="23"/>
    </row>
    <row r="1171">
      <c r="B1171" s="16"/>
      <c r="L1171" s="23"/>
    </row>
    <row r="1172">
      <c r="B1172" s="16"/>
      <c r="L1172" s="23"/>
    </row>
    <row r="1173">
      <c r="B1173" s="16"/>
      <c r="L1173" s="23"/>
    </row>
    <row r="1174">
      <c r="B1174" s="16"/>
      <c r="L1174" s="23"/>
    </row>
    <row r="1175">
      <c r="B1175" s="16"/>
      <c r="L1175" s="23"/>
    </row>
    <row r="1176">
      <c r="B1176" s="16"/>
      <c r="L1176" s="23"/>
      <c r="M1176" s="23"/>
    </row>
    <row r="1177">
      <c r="B1177" s="16"/>
      <c r="L1177" s="23"/>
    </row>
    <row r="1178">
      <c r="B1178" s="16"/>
      <c r="L1178" s="23"/>
    </row>
    <row r="1179">
      <c r="B1179" s="16"/>
      <c r="L1179" s="23"/>
    </row>
    <row r="1180">
      <c r="B1180" s="16"/>
      <c r="L1180" s="23"/>
      <c r="M1180" s="23"/>
    </row>
    <row r="1181">
      <c r="B1181" s="16"/>
      <c r="L1181" s="23"/>
      <c r="M1181" s="23"/>
    </row>
    <row r="1182">
      <c r="B1182" s="16"/>
      <c r="L1182" s="23"/>
    </row>
    <row r="1183">
      <c r="B1183" s="16"/>
      <c r="L1183" s="23"/>
    </row>
    <row r="1184">
      <c r="B1184" s="16"/>
      <c r="L1184" s="23"/>
    </row>
    <row r="1185">
      <c r="B1185" s="16"/>
      <c r="L1185" s="23"/>
    </row>
    <row r="1186">
      <c r="B1186" s="16"/>
      <c r="L1186" s="23"/>
    </row>
    <row r="1187">
      <c r="B1187" s="16"/>
      <c r="L1187" s="23"/>
    </row>
    <row r="1188">
      <c r="B1188" s="16"/>
      <c r="L1188" s="23"/>
      <c r="M1188" s="23"/>
    </row>
    <row r="1189">
      <c r="B1189" s="16"/>
      <c r="L1189" s="23"/>
    </row>
    <row r="1190">
      <c r="B1190" s="16"/>
      <c r="L1190" s="23"/>
    </row>
    <row r="1191">
      <c r="B1191" s="16"/>
      <c r="L1191" s="23"/>
    </row>
    <row r="1192">
      <c r="B1192" s="16"/>
      <c r="L1192" s="23"/>
    </row>
    <row r="1193">
      <c r="B1193" s="16"/>
      <c r="L1193" s="23"/>
    </row>
    <row r="1194">
      <c r="B1194" s="16"/>
      <c r="L1194" s="23"/>
      <c r="M1194" s="23"/>
    </row>
    <row r="1195">
      <c r="B1195" s="16"/>
      <c r="L1195" s="23"/>
    </row>
    <row r="1196">
      <c r="B1196" s="16"/>
      <c r="L1196" s="23"/>
      <c r="M1196" s="23"/>
    </row>
    <row r="1197">
      <c r="B1197" s="16"/>
      <c r="L1197" s="23"/>
    </row>
    <row r="1198">
      <c r="B1198" s="16"/>
      <c r="L1198" s="23"/>
    </row>
    <row r="1199">
      <c r="B1199" s="16"/>
      <c r="L1199" s="23"/>
    </row>
    <row r="1200">
      <c r="B1200" s="16"/>
      <c r="L1200" s="23"/>
    </row>
    <row r="1201">
      <c r="B1201" s="16"/>
      <c r="L1201" s="23"/>
    </row>
    <row r="1202">
      <c r="B1202" s="16"/>
      <c r="L1202" s="23"/>
    </row>
    <row r="1203">
      <c r="B1203" s="16"/>
      <c r="L1203" s="23"/>
    </row>
    <row r="1204">
      <c r="B1204" s="16"/>
      <c r="L1204" s="23"/>
    </row>
    <row r="1205">
      <c r="B1205" s="16"/>
      <c r="L1205" s="23"/>
      <c r="M1205" s="23"/>
    </row>
    <row r="1206">
      <c r="B1206" s="16"/>
      <c r="L1206" s="23"/>
    </row>
    <row r="1207">
      <c r="B1207" s="16"/>
      <c r="L1207" s="23"/>
    </row>
    <row r="1208">
      <c r="B1208" s="16"/>
      <c r="L1208" s="23"/>
      <c r="M1208" s="23"/>
    </row>
    <row r="1209">
      <c r="B1209" s="16"/>
      <c r="L1209" s="23"/>
    </row>
    <row r="1210">
      <c r="B1210" s="16"/>
      <c r="L1210" s="23"/>
    </row>
    <row r="1211">
      <c r="B1211" s="16"/>
      <c r="L1211" s="23"/>
    </row>
    <row r="1212">
      <c r="B1212" s="16"/>
      <c r="L1212" s="23"/>
    </row>
    <row r="1213">
      <c r="B1213" s="16"/>
      <c r="L1213" s="23"/>
    </row>
    <row r="1214">
      <c r="B1214" s="16"/>
      <c r="L1214" s="23"/>
    </row>
    <row r="1215">
      <c r="B1215" s="16"/>
      <c r="L1215" s="23"/>
    </row>
    <row r="1216">
      <c r="B1216" s="16"/>
      <c r="L1216" s="23"/>
    </row>
    <row r="1217">
      <c r="B1217" s="16"/>
      <c r="L1217" s="23"/>
    </row>
    <row r="1218">
      <c r="B1218" s="16"/>
      <c r="L1218" s="23"/>
      <c r="M1218" s="23"/>
    </row>
    <row r="1219">
      <c r="B1219" s="16"/>
      <c r="L1219" s="23"/>
    </row>
    <row r="1220">
      <c r="B1220" s="16"/>
      <c r="L1220" s="23"/>
    </row>
    <row r="1221">
      <c r="B1221" s="16"/>
      <c r="L1221" s="23"/>
    </row>
    <row r="1222">
      <c r="B1222" s="16"/>
      <c r="L1222" s="23"/>
      <c r="M1222" s="23"/>
    </row>
    <row r="1223">
      <c r="B1223" s="16"/>
      <c r="L1223" s="23"/>
    </row>
    <row r="1224">
      <c r="B1224" s="16"/>
      <c r="L1224" s="23"/>
    </row>
    <row r="1225">
      <c r="B1225" s="16"/>
      <c r="L1225" s="23"/>
    </row>
    <row r="1226">
      <c r="B1226" s="16"/>
      <c r="L1226" s="23"/>
    </row>
    <row r="1227">
      <c r="B1227" s="16"/>
      <c r="L1227" s="23"/>
    </row>
    <row r="1228">
      <c r="B1228" s="16"/>
      <c r="L1228" s="23"/>
    </row>
    <row r="1229">
      <c r="B1229" s="16"/>
      <c r="L1229" s="23"/>
      <c r="M1229" s="23"/>
    </row>
    <row r="1230">
      <c r="B1230" s="16"/>
      <c r="L1230" s="23"/>
    </row>
    <row r="1231">
      <c r="B1231" s="16"/>
      <c r="L1231" s="23"/>
    </row>
    <row r="1232">
      <c r="B1232" s="16"/>
      <c r="L1232" s="23"/>
    </row>
    <row r="1233">
      <c r="B1233" s="16"/>
      <c r="L1233" s="23"/>
    </row>
    <row r="1234">
      <c r="B1234" s="16"/>
      <c r="L1234" s="23"/>
    </row>
    <row r="1235">
      <c r="B1235" s="16"/>
      <c r="L1235" s="23"/>
    </row>
    <row r="1236">
      <c r="B1236" s="16"/>
      <c r="L1236" s="23"/>
    </row>
    <row r="1237">
      <c r="B1237" s="16"/>
      <c r="L1237" s="23"/>
    </row>
    <row r="1238">
      <c r="B1238" s="16"/>
      <c r="L1238" s="23"/>
    </row>
    <row r="1239">
      <c r="B1239" s="16"/>
      <c r="L1239" s="23"/>
      <c r="M1239" s="23"/>
    </row>
    <row r="1240">
      <c r="B1240" s="16"/>
      <c r="L1240" s="23"/>
    </row>
    <row r="1241">
      <c r="B1241" s="16"/>
      <c r="L1241" s="23"/>
    </row>
    <row r="1242">
      <c r="B1242" s="16"/>
      <c r="L1242" s="23"/>
      <c r="M1242" s="23"/>
    </row>
    <row r="1243">
      <c r="B1243" s="16"/>
      <c r="L1243" s="23"/>
    </row>
    <row r="1244">
      <c r="B1244" s="16"/>
      <c r="L1244" s="23"/>
    </row>
    <row r="1245">
      <c r="B1245" s="16"/>
      <c r="L1245" s="23"/>
    </row>
    <row r="1246">
      <c r="B1246" s="16"/>
      <c r="L1246" s="23"/>
    </row>
    <row r="1247">
      <c r="B1247" s="16"/>
      <c r="L1247" s="23"/>
      <c r="M1247" s="23"/>
    </row>
    <row r="1248">
      <c r="B1248" s="16"/>
      <c r="L1248" s="23"/>
    </row>
    <row r="1249">
      <c r="B1249" s="16"/>
      <c r="L1249" s="23"/>
    </row>
    <row r="1250">
      <c r="B1250" s="16"/>
      <c r="L1250" s="23"/>
    </row>
    <row r="1251">
      <c r="B1251" s="16"/>
      <c r="L1251" s="23"/>
    </row>
    <row r="1252">
      <c r="B1252" s="16"/>
      <c r="L1252" s="23"/>
    </row>
    <row r="1253">
      <c r="B1253" s="16"/>
      <c r="L1253" s="23"/>
    </row>
    <row r="1254">
      <c r="B1254" s="16"/>
      <c r="L1254" s="23"/>
    </row>
    <row r="1255">
      <c r="B1255" s="16"/>
      <c r="L1255" s="23"/>
    </row>
    <row r="1256">
      <c r="B1256" s="16"/>
      <c r="L1256" s="23"/>
    </row>
    <row r="1257">
      <c r="B1257" s="16"/>
      <c r="L1257" s="23"/>
    </row>
    <row r="1258">
      <c r="B1258" s="16"/>
      <c r="L1258" s="23"/>
    </row>
    <row r="1259">
      <c r="B1259" s="16"/>
      <c r="L1259" s="23"/>
    </row>
    <row r="1260">
      <c r="B1260" s="16"/>
      <c r="L1260" s="23"/>
    </row>
    <row r="1261">
      <c r="B1261" s="16"/>
      <c r="L1261" s="23"/>
    </row>
    <row r="1262">
      <c r="B1262" s="16"/>
      <c r="L1262" s="23"/>
    </row>
    <row r="1263">
      <c r="B1263" s="16"/>
      <c r="L1263" s="23"/>
    </row>
    <row r="1264">
      <c r="B1264" s="16"/>
      <c r="L1264" s="23"/>
    </row>
    <row r="1265">
      <c r="B1265" s="16"/>
      <c r="L1265" s="23"/>
    </row>
    <row r="1266">
      <c r="B1266" s="16"/>
      <c r="L1266" s="23"/>
      <c r="M1266" s="23"/>
    </row>
    <row r="1267">
      <c r="B1267" s="16"/>
      <c r="L1267" s="23"/>
    </row>
    <row r="1268">
      <c r="B1268" s="16"/>
      <c r="L1268" s="23"/>
    </row>
    <row r="1269">
      <c r="B1269" s="16"/>
      <c r="L1269" s="23"/>
    </row>
    <row r="1270">
      <c r="B1270" s="16"/>
      <c r="L1270" s="23"/>
    </row>
    <row r="1271">
      <c r="B1271" s="16"/>
      <c r="L1271" s="23"/>
    </row>
    <row r="1272">
      <c r="B1272" s="16"/>
      <c r="L1272" s="23"/>
      <c r="M1272" s="23"/>
    </row>
    <row r="1273">
      <c r="B1273" s="16"/>
      <c r="L1273" s="23"/>
    </row>
    <row r="1274">
      <c r="B1274" s="16"/>
      <c r="L1274" s="23"/>
    </row>
    <row r="1275">
      <c r="B1275" s="16"/>
      <c r="L1275" s="23"/>
    </row>
    <row r="1276">
      <c r="B1276" s="16"/>
      <c r="L1276" s="23"/>
    </row>
    <row r="1277">
      <c r="B1277" s="16"/>
      <c r="L1277" s="23"/>
    </row>
    <row r="1278">
      <c r="B1278" s="16"/>
      <c r="L1278" s="23"/>
    </row>
    <row r="1279">
      <c r="B1279" s="16"/>
      <c r="L1279" s="23"/>
    </row>
    <row r="1280">
      <c r="B1280" s="16"/>
      <c r="L1280" s="23"/>
    </row>
    <row r="1281">
      <c r="B1281" s="16"/>
      <c r="L1281" s="23"/>
    </row>
    <row r="1282">
      <c r="B1282" s="16"/>
      <c r="L1282" s="23"/>
    </row>
    <row r="1283">
      <c r="B1283" s="16"/>
      <c r="L1283" s="23"/>
    </row>
    <row r="1284">
      <c r="B1284" s="16"/>
      <c r="L1284" s="23"/>
    </row>
    <row r="1285">
      <c r="B1285" s="16"/>
      <c r="L1285" s="23"/>
      <c r="M1285" s="23"/>
    </row>
    <row r="1286">
      <c r="B1286" s="16"/>
      <c r="L1286" s="23"/>
    </row>
    <row r="1287">
      <c r="B1287" s="16"/>
      <c r="L1287" s="23"/>
    </row>
    <row r="1288">
      <c r="B1288" s="16"/>
      <c r="L1288" s="23"/>
    </row>
    <row r="1289">
      <c r="B1289" s="16"/>
      <c r="L1289" s="23"/>
    </row>
    <row r="1290">
      <c r="B1290" s="16"/>
      <c r="L1290" s="23"/>
      <c r="M1290" s="23"/>
    </row>
    <row r="1291">
      <c r="B1291" s="16"/>
      <c r="L1291" s="23"/>
    </row>
    <row r="1292">
      <c r="B1292" s="16"/>
      <c r="L1292" s="23"/>
    </row>
    <row r="1293">
      <c r="B1293" s="16"/>
      <c r="L1293" s="23"/>
    </row>
    <row r="1294">
      <c r="B1294" s="16"/>
      <c r="L1294" s="23"/>
    </row>
    <row r="1295">
      <c r="B1295" s="16"/>
      <c r="L1295" s="23"/>
      <c r="M1295" s="23"/>
    </row>
    <row r="1296">
      <c r="B1296" s="16"/>
      <c r="L1296" s="23"/>
    </row>
    <row r="1297">
      <c r="B1297" s="16"/>
      <c r="L1297" s="23"/>
    </row>
    <row r="1298">
      <c r="B1298" s="16"/>
      <c r="L1298" s="23"/>
    </row>
    <row r="1299">
      <c r="B1299" s="16"/>
      <c r="L1299" s="23"/>
      <c r="M1299" s="23"/>
    </row>
    <row r="1300">
      <c r="B1300" s="16"/>
      <c r="L1300" s="23"/>
    </row>
    <row r="1301">
      <c r="B1301" s="16"/>
      <c r="L1301" s="23"/>
    </row>
    <row r="1302">
      <c r="B1302" s="16"/>
      <c r="L1302" s="23"/>
    </row>
    <row r="1303">
      <c r="B1303" s="16"/>
      <c r="L1303" s="23"/>
    </row>
    <row r="1304">
      <c r="B1304" s="16"/>
      <c r="L1304" s="23"/>
      <c r="M1304" s="23"/>
    </row>
    <row r="1305">
      <c r="B1305" s="16"/>
      <c r="L1305" s="23"/>
    </row>
    <row r="1306">
      <c r="B1306" s="16"/>
      <c r="L1306" s="23"/>
    </row>
    <row r="1307">
      <c r="B1307" s="16"/>
      <c r="L1307" s="23"/>
    </row>
    <row r="1308">
      <c r="B1308" s="16"/>
      <c r="L1308" s="23"/>
    </row>
    <row r="1309">
      <c r="B1309" s="16"/>
      <c r="L1309" s="23"/>
      <c r="M1309" s="23"/>
    </row>
    <row r="1310">
      <c r="B1310" s="16"/>
      <c r="L1310" s="23"/>
      <c r="M1310" s="23"/>
    </row>
    <row r="1311">
      <c r="B1311" s="16"/>
      <c r="L1311" s="23"/>
    </row>
    <row r="1312">
      <c r="B1312" s="16"/>
      <c r="L1312" s="23"/>
      <c r="M1312" s="23"/>
    </row>
    <row r="1313">
      <c r="B1313" s="16"/>
      <c r="L1313" s="23"/>
    </row>
    <row r="1314">
      <c r="B1314" s="16"/>
      <c r="L1314" s="23"/>
      <c r="M1314" s="23"/>
    </row>
    <row r="1315">
      <c r="B1315" s="16"/>
      <c r="L1315" s="23"/>
    </row>
    <row r="1316">
      <c r="B1316" s="16"/>
      <c r="L1316" s="23"/>
    </row>
    <row r="1317">
      <c r="B1317" s="16"/>
      <c r="L1317" s="23"/>
    </row>
    <row r="1318">
      <c r="B1318" s="16"/>
      <c r="L1318" s="23"/>
      <c r="M1318" s="23"/>
    </row>
    <row r="1319">
      <c r="B1319" s="16"/>
      <c r="L1319" s="23"/>
    </row>
    <row r="1320">
      <c r="B1320" s="16"/>
      <c r="L1320" s="23"/>
    </row>
    <row r="1321">
      <c r="B1321" s="16"/>
      <c r="L1321" s="23"/>
    </row>
    <row r="1322">
      <c r="B1322" s="16"/>
      <c r="L1322" s="23"/>
    </row>
    <row r="1323">
      <c r="B1323" s="16"/>
      <c r="L1323" s="23"/>
    </row>
    <row r="1324">
      <c r="B1324" s="16"/>
      <c r="L1324" s="23"/>
    </row>
    <row r="1325">
      <c r="B1325" s="16"/>
      <c r="L1325" s="23"/>
    </row>
    <row r="1326">
      <c r="B1326" s="16"/>
      <c r="L1326" s="23"/>
    </row>
    <row r="1327">
      <c r="B1327" s="16"/>
      <c r="L1327" s="23"/>
    </row>
    <row r="1328">
      <c r="B1328" s="16"/>
      <c r="L1328" s="23"/>
    </row>
    <row r="1329">
      <c r="B1329" s="16"/>
      <c r="L1329" s="23"/>
    </row>
    <row r="1330">
      <c r="B1330" s="16"/>
      <c r="L1330" s="23"/>
    </row>
    <row r="1331">
      <c r="B1331" s="16"/>
      <c r="L1331" s="23"/>
    </row>
    <row r="1332">
      <c r="B1332" s="16"/>
      <c r="L1332" s="23"/>
      <c r="M1332" s="23"/>
    </row>
    <row r="1333">
      <c r="B1333" s="16"/>
      <c r="L1333" s="23"/>
    </row>
    <row r="1334">
      <c r="B1334" s="16"/>
      <c r="L1334" s="23"/>
    </row>
    <row r="1335">
      <c r="B1335" s="16"/>
      <c r="L1335" s="23"/>
    </row>
    <row r="1336">
      <c r="B1336" s="16"/>
      <c r="L1336" s="23"/>
    </row>
    <row r="1337">
      <c r="B1337" s="16"/>
      <c r="L1337" s="23"/>
      <c r="M1337" s="23"/>
    </row>
    <row r="1338">
      <c r="B1338" s="16"/>
      <c r="L1338" s="23"/>
    </row>
    <row r="1339">
      <c r="B1339" s="16"/>
      <c r="L1339" s="23"/>
    </row>
    <row r="1340">
      <c r="B1340" s="16"/>
      <c r="L1340" s="23"/>
      <c r="M1340" s="23"/>
    </row>
    <row r="1341">
      <c r="B1341" s="16"/>
      <c r="L1341" s="23"/>
    </row>
    <row r="1342">
      <c r="B1342" s="16"/>
      <c r="L1342" s="23"/>
    </row>
    <row r="1343">
      <c r="B1343" s="16"/>
      <c r="L1343" s="23"/>
    </row>
    <row r="1344">
      <c r="B1344" s="16"/>
      <c r="L1344" s="23"/>
      <c r="M1344" s="23"/>
    </row>
    <row r="1345">
      <c r="B1345" s="16"/>
      <c r="L1345" s="23"/>
    </row>
    <row r="1346">
      <c r="B1346" s="16"/>
      <c r="L1346" s="23"/>
    </row>
    <row r="1347">
      <c r="B1347" s="16"/>
      <c r="L1347" s="23"/>
    </row>
    <row r="1348">
      <c r="B1348" s="16"/>
      <c r="L1348" s="23"/>
    </row>
    <row r="1349">
      <c r="B1349" s="16"/>
      <c r="L1349" s="23"/>
    </row>
    <row r="1350">
      <c r="B1350" s="16"/>
      <c r="L1350" s="23"/>
    </row>
    <row r="1351">
      <c r="B1351" s="16"/>
      <c r="L1351" s="23"/>
    </row>
    <row r="1352">
      <c r="B1352" s="16"/>
      <c r="L1352" s="23"/>
    </row>
    <row r="1353">
      <c r="B1353" s="16"/>
      <c r="L1353" s="23"/>
    </row>
    <row r="1354">
      <c r="B1354" s="16"/>
      <c r="L1354" s="23"/>
      <c r="M1354" s="23"/>
    </row>
    <row r="1355">
      <c r="B1355" s="16"/>
      <c r="L1355" s="23"/>
    </row>
    <row r="1356">
      <c r="B1356" s="16"/>
      <c r="L1356" s="23"/>
    </row>
    <row r="1357">
      <c r="B1357" s="16"/>
      <c r="L1357" s="23"/>
    </row>
    <row r="1358">
      <c r="B1358" s="16"/>
      <c r="L1358" s="23"/>
    </row>
    <row r="1359">
      <c r="B1359" s="16"/>
      <c r="L1359" s="23"/>
    </row>
    <row r="1360">
      <c r="B1360" s="16"/>
      <c r="L1360" s="23"/>
      <c r="M1360" s="23"/>
    </row>
    <row r="1361">
      <c r="B1361" s="16"/>
      <c r="L1361" s="23"/>
    </row>
    <row r="1362">
      <c r="B1362" s="16"/>
      <c r="L1362" s="23"/>
    </row>
    <row r="1363">
      <c r="B1363" s="16"/>
      <c r="L1363" s="23"/>
    </row>
    <row r="1364">
      <c r="B1364" s="16"/>
      <c r="L1364" s="23"/>
    </row>
    <row r="1365">
      <c r="B1365" s="16"/>
      <c r="L1365" s="23"/>
    </row>
    <row r="1366">
      <c r="B1366" s="16"/>
      <c r="L1366" s="23"/>
    </row>
    <row r="1367">
      <c r="B1367" s="16"/>
      <c r="L1367" s="23"/>
    </row>
    <row r="1368">
      <c r="B1368" s="16"/>
      <c r="L1368" s="23"/>
    </row>
    <row r="1369">
      <c r="B1369" s="16"/>
      <c r="L1369" s="23"/>
      <c r="M1369" s="23"/>
    </row>
    <row r="1370">
      <c r="B1370" s="16"/>
      <c r="L1370" s="23"/>
    </row>
    <row r="1371">
      <c r="B1371" s="16"/>
      <c r="L1371" s="23"/>
    </row>
    <row r="1372">
      <c r="B1372" s="16"/>
      <c r="L1372" s="23"/>
    </row>
    <row r="1373">
      <c r="B1373" s="16"/>
      <c r="L1373" s="23"/>
    </row>
    <row r="1374">
      <c r="B1374" s="16"/>
      <c r="L1374" s="23"/>
    </row>
    <row r="1375">
      <c r="B1375" s="16"/>
      <c r="L1375" s="23"/>
    </row>
    <row r="1376">
      <c r="B1376" s="16"/>
      <c r="L1376" s="23"/>
    </row>
    <row r="1377">
      <c r="B1377" s="16"/>
      <c r="L1377" s="23"/>
    </row>
    <row r="1378">
      <c r="B1378" s="16"/>
      <c r="L1378" s="23"/>
    </row>
    <row r="1379">
      <c r="B1379" s="16"/>
      <c r="L1379" s="23"/>
    </row>
    <row r="1380">
      <c r="B1380" s="16"/>
      <c r="L1380" s="23"/>
    </row>
    <row r="1381">
      <c r="B1381" s="16"/>
      <c r="L1381" s="23"/>
    </row>
    <row r="1382">
      <c r="B1382" s="16"/>
      <c r="L1382" s="23"/>
    </row>
    <row r="1383">
      <c r="B1383" s="16"/>
      <c r="L1383" s="23"/>
      <c r="M1383" s="23"/>
    </row>
    <row r="1384">
      <c r="B1384" s="16"/>
      <c r="L1384" s="23"/>
    </row>
    <row r="1385">
      <c r="B1385" s="16"/>
      <c r="L1385" s="23"/>
    </row>
    <row r="1386">
      <c r="B1386" s="16"/>
      <c r="L1386" s="23"/>
    </row>
    <row r="1387">
      <c r="B1387" s="16"/>
      <c r="L1387" s="23"/>
    </row>
    <row r="1388">
      <c r="B1388" s="16"/>
      <c r="L1388" s="23"/>
    </row>
    <row r="1389">
      <c r="B1389" s="16"/>
      <c r="L1389" s="23"/>
      <c r="M1389" s="23"/>
    </row>
    <row r="1390">
      <c r="B1390" s="16"/>
      <c r="L1390" s="23"/>
    </row>
    <row r="1391">
      <c r="B1391" s="16"/>
      <c r="L1391" s="23"/>
    </row>
    <row r="1392">
      <c r="B1392" s="16"/>
      <c r="L1392" s="23"/>
    </row>
    <row r="1393">
      <c r="B1393" s="16"/>
      <c r="L1393" s="23"/>
    </row>
    <row r="1394">
      <c r="B1394" s="16"/>
      <c r="L1394" s="23"/>
    </row>
    <row r="1395">
      <c r="B1395" s="16"/>
      <c r="L1395" s="23"/>
    </row>
    <row r="1396">
      <c r="B1396" s="16"/>
      <c r="L1396" s="23"/>
    </row>
    <row r="1397">
      <c r="B1397" s="16"/>
      <c r="L1397" s="23"/>
    </row>
    <row r="1398">
      <c r="B1398" s="16"/>
      <c r="L1398" s="23"/>
    </row>
    <row r="1399">
      <c r="B1399" s="16"/>
      <c r="L1399" s="23"/>
    </row>
    <row r="1400">
      <c r="B1400" s="16"/>
      <c r="L1400" s="23"/>
    </row>
    <row r="1401">
      <c r="B1401" s="16"/>
      <c r="L1401" s="23"/>
    </row>
    <row r="1402">
      <c r="B1402" s="16"/>
      <c r="L1402" s="23"/>
    </row>
    <row r="1403">
      <c r="B1403" s="16"/>
      <c r="L1403" s="23"/>
      <c r="M1403" s="23"/>
    </row>
    <row r="1404">
      <c r="B1404" s="16"/>
      <c r="L1404" s="23"/>
    </row>
    <row r="1405">
      <c r="B1405" s="16"/>
      <c r="L1405" s="23"/>
    </row>
    <row r="1406">
      <c r="B1406" s="16"/>
      <c r="L1406" s="23"/>
    </row>
    <row r="1407">
      <c r="B1407" s="16"/>
      <c r="L1407" s="23"/>
    </row>
    <row r="1408">
      <c r="B1408" s="16"/>
      <c r="L1408" s="23"/>
    </row>
    <row r="1409">
      <c r="B1409" s="16"/>
      <c r="L1409" s="23"/>
    </row>
    <row r="1410">
      <c r="B1410" s="16"/>
      <c r="L1410" s="23"/>
    </row>
    <row r="1411">
      <c r="B1411" s="16"/>
      <c r="L1411" s="23"/>
    </row>
    <row r="1412">
      <c r="B1412" s="16"/>
      <c r="L1412" s="23"/>
    </row>
    <row r="1413">
      <c r="B1413" s="16"/>
      <c r="L1413" s="23"/>
    </row>
    <row r="1414">
      <c r="B1414" s="16"/>
      <c r="L1414" s="23"/>
    </row>
    <row r="1415">
      <c r="B1415" s="16"/>
      <c r="L1415" s="23"/>
      <c r="M1415" s="23"/>
    </row>
    <row r="1416">
      <c r="B1416" s="16"/>
      <c r="L1416" s="23"/>
    </row>
    <row r="1417">
      <c r="B1417" s="16"/>
      <c r="L1417" s="23"/>
    </row>
    <row r="1418">
      <c r="B1418" s="16"/>
      <c r="L1418" s="23"/>
    </row>
    <row r="1419">
      <c r="B1419" s="16"/>
      <c r="L1419" s="23"/>
    </row>
    <row r="1420">
      <c r="B1420" s="16"/>
      <c r="L1420" s="23"/>
    </row>
    <row r="1421">
      <c r="B1421" s="16"/>
      <c r="L1421" s="23"/>
    </row>
    <row r="1422">
      <c r="B1422" s="16"/>
      <c r="L1422" s="23"/>
    </row>
    <row r="1423">
      <c r="B1423" s="16"/>
      <c r="L1423" s="23"/>
    </row>
    <row r="1424">
      <c r="B1424" s="16"/>
      <c r="L1424" s="23"/>
    </row>
    <row r="1425">
      <c r="B1425" s="16"/>
      <c r="L1425" s="23"/>
    </row>
    <row r="1426">
      <c r="B1426" s="16"/>
      <c r="L1426" s="23"/>
    </row>
    <row r="1427">
      <c r="B1427" s="16"/>
      <c r="L1427" s="23"/>
    </row>
    <row r="1428">
      <c r="B1428" s="16"/>
      <c r="L1428" s="23"/>
    </row>
    <row r="1429">
      <c r="B1429" s="16"/>
      <c r="L1429" s="23"/>
    </row>
    <row r="1430">
      <c r="B1430" s="16"/>
      <c r="L1430" s="23"/>
    </row>
    <row r="1431">
      <c r="B1431" s="16"/>
      <c r="L1431" s="23"/>
      <c r="M1431" s="23"/>
    </row>
    <row r="1432">
      <c r="B1432" s="16"/>
      <c r="L1432" s="23"/>
    </row>
    <row r="1433">
      <c r="B1433" s="16"/>
      <c r="L1433" s="23"/>
    </row>
    <row r="1434">
      <c r="B1434" s="16"/>
      <c r="L1434" s="23"/>
    </row>
    <row r="1435">
      <c r="B1435" s="16"/>
      <c r="L1435" s="23"/>
      <c r="M1435" s="23"/>
    </row>
    <row r="1436">
      <c r="B1436" s="16"/>
      <c r="L1436" s="23"/>
    </row>
    <row r="1437">
      <c r="B1437" s="16"/>
      <c r="L1437" s="23"/>
    </row>
    <row r="1438">
      <c r="B1438" s="16"/>
      <c r="L1438" s="23"/>
      <c r="M1438" s="23"/>
    </row>
    <row r="1439">
      <c r="B1439" s="16"/>
      <c r="L1439" s="23"/>
      <c r="M1439" s="23"/>
    </row>
    <row r="1440">
      <c r="B1440" s="16"/>
      <c r="L1440" s="23"/>
      <c r="M1440" s="23"/>
    </row>
    <row r="1441">
      <c r="B1441" s="16"/>
      <c r="L1441" s="23"/>
    </row>
    <row r="1442">
      <c r="B1442" s="16"/>
      <c r="L1442" s="23"/>
    </row>
    <row r="1443">
      <c r="B1443" s="16"/>
      <c r="L1443" s="23"/>
    </row>
    <row r="1444">
      <c r="B1444" s="16"/>
      <c r="L1444" s="23"/>
    </row>
    <row r="1445">
      <c r="B1445" s="16"/>
      <c r="L1445" s="23"/>
    </row>
    <row r="1446">
      <c r="B1446" s="16"/>
      <c r="L1446" s="23"/>
    </row>
    <row r="1447">
      <c r="B1447" s="16"/>
      <c r="L1447" s="23"/>
    </row>
    <row r="1448">
      <c r="B1448" s="16"/>
      <c r="L1448" s="23"/>
    </row>
    <row r="1449">
      <c r="B1449" s="16"/>
      <c r="L1449" s="23"/>
    </row>
    <row r="1450">
      <c r="B1450" s="16"/>
      <c r="L1450" s="23"/>
      <c r="M1450" s="23"/>
    </row>
    <row r="1451">
      <c r="B1451" s="16"/>
      <c r="L1451" s="23"/>
    </row>
    <row r="1452">
      <c r="B1452" s="16"/>
      <c r="L1452" s="23"/>
    </row>
    <row r="1453">
      <c r="B1453" s="16"/>
      <c r="L1453" s="23"/>
      <c r="M1453" s="23"/>
    </row>
    <row r="1454">
      <c r="B1454" s="16"/>
      <c r="L1454" s="23"/>
    </row>
    <row r="1455">
      <c r="B1455" s="16"/>
      <c r="L1455" s="23"/>
    </row>
    <row r="1456">
      <c r="B1456" s="16"/>
      <c r="L1456" s="23"/>
    </row>
    <row r="1457">
      <c r="B1457" s="16"/>
      <c r="L1457" s="23"/>
    </row>
    <row r="1458">
      <c r="B1458" s="16"/>
      <c r="L1458" s="23"/>
    </row>
    <row r="1459">
      <c r="B1459" s="16"/>
      <c r="L1459" s="23"/>
    </row>
    <row r="1460">
      <c r="B1460" s="16"/>
      <c r="L1460" s="23"/>
    </row>
    <row r="1461">
      <c r="B1461" s="16"/>
      <c r="L1461" s="23"/>
    </row>
    <row r="1462">
      <c r="B1462" s="16"/>
      <c r="L1462" s="23"/>
    </row>
    <row r="1463">
      <c r="B1463" s="16"/>
      <c r="L1463" s="23"/>
    </row>
    <row r="1464">
      <c r="B1464" s="16"/>
      <c r="L1464" s="23"/>
    </row>
    <row r="1465">
      <c r="B1465" s="16"/>
      <c r="L1465" s="23"/>
    </row>
    <row r="1466">
      <c r="B1466" s="16"/>
      <c r="L1466" s="23"/>
      <c r="M1466" s="23"/>
    </row>
    <row r="1467">
      <c r="B1467" s="16"/>
      <c r="L1467" s="23"/>
    </row>
    <row r="1468">
      <c r="B1468" s="16"/>
      <c r="L1468" s="23"/>
    </row>
    <row r="1469">
      <c r="B1469" s="16"/>
      <c r="L1469" s="23"/>
      <c r="M1469" s="23"/>
    </row>
    <row r="1470">
      <c r="B1470" s="16"/>
      <c r="L1470" s="23"/>
    </row>
    <row r="1471">
      <c r="B1471" s="16"/>
      <c r="L1471" s="23"/>
    </row>
    <row r="1472">
      <c r="B1472" s="16"/>
      <c r="L1472" s="23"/>
      <c r="M1472" s="23"/>
    </row>
    <row r="1473">
      <c r="B1473" s="16"/>
      <c r="L1473" s="23"/>
    </row>
    <row r="1474">
      <c r="B1474" s="16"/>
      <c r="L1474" s="23"/>
    </row>
    <row r="1475">
      <c r="B1475" s="16"/>
      <c r="L1475" s="23"/>
    </row>
    <row r="1476">
      <c r="B1476" s="16"/>
      <c r="L1476" s="23"/>
    </row>
    <row r="1477">
      <c r="B1477" s="16"/>
      <c r="L1477" s="23"/>
    </row>
    <row r="1478">
      <c r="B1478" s="16"/>
      <c r="L1478" s="23"/>
    </row>
    <row r="1479">
      <c r="B1479" s="16"/>
      <c r="L1479" s="23"/>
    </row>
    <row r="1480">
      <c r="B1480" s="16"/>
      <c r="L1480" s="23"/>
      <c r="M1480" s="23"/>
    </row>
    <row r="1481">
      <c r="B1481" s="16"/>
      <c r="L1481" s="23"/>
      <c r="M1481" s="23"/>
    </row>
    <row r="1482">
      <c r="B1482" s="16"/>
      <c r="L1482" s="23"/>
    </row>
    <row r="1483">
      <c r="B1483" s="16"/>
      <c r="L1483" s="23"/>
    </row>
    <row r="1484">
      <c r="B1484" s="16"/>
      <c r="L1484" s="23"/>
    </row>
    <row r="1485">
      <c r="B1485" s="16"/>
      <c r="L1485" s="23"/>
    </row>
    <row r="1486">
      <c r="B1486" s="16"/>
      <c r="L1486" s="23"/>
    </row>
    <row r="1487">
      <c r="B1487" s="16"/>
      <c r="L1487" s="23"/>
    </row>
    <row r="1488">
      <c r="B1488" s="16"/>
      <c r="L1488" s="23"/>
    </row>
    <row r="1489">
      <c r="B1489" s="16"/>
      <c r="L1489" s="23"/>
    </row>
    <row r="1490">
      <c r="B1490" s="16"/>
      <c r="L1490" s="23"/>
    </row>
    <row r="1491">
      <c r="B1491" s="16"/>
      <c r="L1491" s="23"/>
    </row>
    <row r="1492">
      <c r="B1492" s="16"/>
      <c r="L1492" s="23"/>
    </row>
    <row r="1493">
      <c r="B1493" s="16"/>
      <c r="L1493" s="23"/>
    </row>
    <row r="1494">
      <c r="B1494" s="16"/>
      <c r="L1494" s="23"/>
    </row>
    <row r="1495">
      <c r="B1495" s="16"/>
      <c r="L1495" s="23"/>
    </row>
    <row r="1496">
      <c r="B1496" s="16"/>
      <c r="L1496" s="23"/>
    </row>
    <row r="1497">
      <c r="B1497" s="16"/>
      <c r="L1497" s="23"/>
      <c r="M1497" s="23"/>
    </row>
    <row r="1498">
      <c r="B1498" s="16"/>
      <c r="L1498" s="23"/>
      <c r="M1498" s="23"/>
    </row>
    <row r="1499">
      <c r="B1499" s="16"/>
      <c r="L1499" s="23"/>
    </row>
    <row r="1500">
      <c r="B1500" s="16"/>
      <c r="L1500" s="23"/>
    </row>
    <row r="1501">
      <c r="B1501" s="16"/>
      <c r="L1501" s="23"/>
    </row>
    <row r="1502">
      <c r="B1502" s="16"/>
      <c r="L1502" s="23"/>
    </row>
    <row r="1503">
      <c r="B1503" s="16"/>
      <c r="L1503" s="23"/>
    </row>
    <row r="1504">
      <c r="B1504" s="16"/>
      <c r="L1504" s="23"/>
    </row>
    <row r="1505">
      <c r="B1505" s="16"/>
      <c r="L1505" s="23"/>
    </row>
    <row r="1506">
      <c r="B1506" s="16"/>
      <c r="L1506" s="23"/>
    </row>
    <row r="1507">
      <c r="B1507" s="16"/>
      <c r="L1507" s="23"/>
    </row>
    <row r="1508">
      <c r="B1508" s="16"/>
      <c r="L1508" s="23"/>
      <c r="M1508" s="23"/>
    </row>
    <row r="1509">
      <c r="B1509" s="16"/>
      <c r="L1509" s="23"/>
    </row>
    <row r="1510">
      <c r="B1510" s="16"/>
      <c r="L1510" s="23"/>
    </row>
    <row r="1511">
      <c r="B1511" s="16"/>
      <c r="L1511" s="23"/>
    </row>
    <row r="1512">
      <c r="B1512" s="16"/>
      <c r="L1512" s="23"/>
    </row>
    <row r="1513">
      <c r="B1513" s="16"/>
      <c r="L1513" s="23"/>
    </row>
    <row r="1514">
      <c r="B1514" s="16"/>
      <c r="L1514" s="23"/>
    </row>
    <row r="1515">
      <c r="B1515" s="16"/>
      <c r="L1515" s="23"/>
    </row>
    <row r="1516">
      <c r="B1516" s="16"/>
      <c r="L1516" s="23"/>
    </row>
    <row r="1517">
      <c r="B1517" s="16"/>
      <c r="L1517" s="23"/>
    </row>
    <row r="1518">
      <c r="B1518" s="16"/>
      <c r="L1518" s="23"/>
    </row>
    <row r="1519">
      <c r="B1519" s="16"/>
      <c r="L1519" s="23"/>
    </row>
    <row r="1520">
      <c r="B1520" s="16"/>
      <c r="L1520" s="23"/>
    </row>
    <row r="1521">
      <c r="B1521" s="16"/>
      <c r="L1521" s="23"/>
    </row>
    <row r="1522">
      <c r="B1522" s="16"/>
      <c r="L1522" s="23"/>
    </row>
    <row r="1523">
      <c r="B1523" s="16"/>
      <c r="L1523" s="23"/>
    </row>
    <row r="1524">
      <c r="B1524" s="16"/>
      <c r="L1524" s="23"/>
    </row>
    <row r="1525">
      <c r="B1525" s="16"/>
      <c r="L1525" s="23"/>
      <c r="M1525" s="23"/>
    </row>
    <row r="1526">
      <c r="B1526" s="16"/>
      <c r="L1526" s="23"/>
    </row>
    <row r="1527">
      <c r="B1527" s="16"/>
      <c r="L1527" s="23"/>
      <c r="M1527" s="23"/>
    </row>
    <row r="1528">
      <c r="B1528" s="16"/>
      <c r="L1528" s="23"/>
    </row>
    <row r="1529">
      <c r="B1529" s="16"/>
      <c r="L1529" s="23"/>
    </row>
    <row r="1530">
      <c r="B1530" s="16"/>
      <c r="L1530" s="23"/>
    </row>
    <row r="1531">
      <c r="B1531" s="16"/>
      <c r="L1531" s="23"/>
    </row>
    <row r="1532">
      <c r="B1532" s="16"/>
      <c r="L1532" s="23"/>
    </row>
    <row r="1533">
      <c r="B1533" s="16"/>
      <c r="L1533" s="23"/>
    </row>
    <row r="1534">
      <c r="B1534" s="16"/>
      <c r="L1534" s="23"/>
    </row>
    <row r="1535">
      <c r="B1535" s="16"/>
      <c r="L1535" s="23"/>
    </row>
    <row r="1536">
      <c r="B1536" s="16"/>
      <c r="L1536" s="23"/>
    </row>
    <row r="1537">
      <c r="B1537" s="16"/>
      <c r="L1537" s="23"/>
    </row>
    <row r="1538">
      <c r="B1538" s="16"/>
      <c r="L1538" s="23"/>
    </row>
    <row r="1539">
      <c r="B1539" s="16"/>
      <c r="L1539" s="23"/>
    </row>
    <row r="1540">
      <c r="B1540" s="16"/>
      <c r="L1540" s="23"/>
    </row>
    <row r="1541">
      <c r="B1541" s="16"/>
      <c r="L1541" s="23"/>
    </row>
    <row r="1542">
      <c r="B1542" s="16"/>
      <c r="L1542" s="23"/>
    </row>
    <row r="1543">
      <c r="B1543" s="16"/>
      <c r="L1543" s="23"/>
    </row>
    <row r="1544">
      <c r="B1544" s="16"/>
      <c r="L1544" s="23"/>
    </row>
    <row r="1545">
      <c r="B1545" s="16"/>
      <c r="L1545" s="23"/>
    </row>
    <row r="1546">
      <c r="B1546" s="16"/>
      <c r="L1546" s="23"/>
    </row>
    <row r="1547">
      <c r="B1547" s="16"/>
      <c r="L1547" s="23"/>
    </row>
    <row r="1548">
      <c r="B1548" s="16"/>
      <c r="L1548" s="23"/>
    </row>
    <row r="1549">
      <c r="B1549" s="16"/>
      <c r="L1549" s="23"/>
    </row>
    <row r="1550">
      <c r="B1550" s="16"/>
      <c r="L1550" s="23"/>
    </row>
    <row r="1551">
      <c r="B1551" s="16"/>
      <c r="L1551" s="23"/>
    </row>
    <row r="1552">
      <c r="B1552" s="16"/>
      <c r="L1552" s="23"/>
    </row>
    <row r="1553">
      <c r="B1553" s="16"/>
      <c r="L1553" s="23"/>
    </row>
    <row r="1554">
      <c r="B1554" s="16"/>
      <c r="L1554" s="23"/>
    </row>
    <row r="1555">
      <c r="B1555" s="16"/>
      <c r="L1555" s="23"/>
    </row>
    <row r="1556">
      <c r="B1556" s="16"/>
      <c r="L1556" s="23"/>
    </row>
    <row r="1557">
      <c r="B1557" s="16"/>
      <c r="L1557" s="23"/>
    </row>
    <row r="1558">
      <c r="B1558" s="16"/>
      <c r="L1558" s="23"/>
    </row>
    <row r="1559">
      <c r="B1559" s="16"/>
      <c r="L1559" s="23"/>
      <c r="M1559" s="23"/>
    </row>
    <row r="1560">
      <c r="B1560" s="16"/>
      <c r="L1560" s="23"/>
    </row>
    <row r="1561">
      <c r="B1561" s="16"/>
      <c r="L1561" s="23"/>
    </row>
    <row r="1562">
      <c r="B1562" s="16"/>
      <c r="L1562" s="23"/>
    </row>
    <row r="1563">
      <c r="B1563" s="16"/>
      <c r="L1563" s="23"/>
    </row>
    <row r="1564">
      <c r="B1564" s="16"/>
      <c r="L1564" s="23"/>
    </row>
    <row r="1565">
      <c r="B1565" s="16"/>
      <c r="L1565" s="23"/>
    </row>
    <row r="1566">
      <c r="B1566" s="16"/>
      <c r="L1566" s="23"/>
    </row>
    <row r="1567">
      <c r="B1567" s="16"/>
      <c r="L1567" s="23"/>
      <c r="M1567" s="23"/>
    </row>
    <row r="1568">
      <c r="B1568" s="16"/>
      <c r="L1568" s="23"/>
    </row>
    <row r="1569">
      <c r="B1569" s="16"/>
      <c r="L1569" s="23"/>
    </row>
    <row r="1570">
      <c r="B1570" s="16"/>
      <c r="L1570" s="23"/>
    </row>
    <row r="1571">
      <c r="B1571" s="16"/>
      <c r="L1571" s="23"/>
    </row>
    <row r="1572">
      <c r="B1572" s="16"/>
      <c r="L1572" s="23"/>
    </row>
    <row r="1573">
      <c r="B1573" s="16"/>
      <c r="L1573" s="23"/>
    </row>
    <row r="1574">
      <c r="B1574" s="16"/>
      <c r="L1574" s="23"/>
    </row>
    <row r="1575">
      <c r="B1575" s="16"/>
      <c r="L1575" s="23"/>
    </row>
    <row r="1576">
      <c r="B1576" s="16"/>
      <c r="L1576" s="23"/>
    </row>
    <row r="1577">
      <c r="B1577" s="16"/>
      <c r="L1577" s="23"/>
    </row>
    <row r="1578">
      <c r="B1578" s="16"/>
      <c r="L1578" s="23"/>
    </row>
    <row r="1579">
      <c r="B1579" s="16"/>
      <c r="L1579" s="23"/>
    </row>
    <row r="1580">
      <c r="B1580" s="16"/>
      <c r="L1580" s="23"/>
    </row>
    <row r="1581">
      <c r="B1581" s="16"/>
      <c r="L1581" s="23"/>
    </row>
    <row r="1582">
      <c r="B1582" s="16"/>
      <c r="L1582" s="23"/>
      <c r="M1582" s="23"/>
    </row>
    <row r="1583">
      <c r="B1583" s="16"/>
      <c r="L1583" s="23"/>
    </row>
    <row r="1584">
      <c r="B1584" s="16"/>
      <c r="L1584" s="23"/>
    </row>
    <row r="1585">
      <c r="B1585" s="16"/>
      <c r="L1585" s="23"/>
    </row>
    <row r="1586">
      <c r="B1586" s="16"/>
      <c r="L1586" s="23"/>
    </row>
    <row r="1587">
      <c r="B1587" s="16"/>
      <c r="L1587" s="23"/>
      <c r="M1587" s="23"/>
    </row>
    <row r="1588">
      <c r="B1588" s="16"/>
      <c r="L1588" s="23"/>
    </row>
    <row r="1589">
      <c r="B1589" s="16"/>
      <c r="L1589" s="23"/>
    </row>
    <row r="1590">
      <c r="B1590" s="16"/>
      <c r="L1590" s="23"/>
    </row>
    <row r="1591">
      <c r="B1591" s="16"/>
      <c r="L1591" s="23"/>
    </row>
    <row r="1592">
      <c r="B1592" s="16"/>
      <c r="L1592" s="23"/>
    </row>
    <row r="1593">
      <c r="B1593" s="16"/>
      <c r="L1593" s="23"/>
    </row>
    <row r="1594">
      <c r="B1594" s="16"/>
      <c r="L1594" s="23"/>
    </row>
    <row r="1595">
      <c r="B1595" s="16"/>
      <c r="L1595" s="23"/>
    </row>
    <row r="1596">
      <c r="B1596" s="16"/>
      <c r="L1596" s="23"/>
      <c r="M1596" s="23"/>
    </row>
    <row r="1597">
      <c r="B1597" s="16"/>
      <c r="L1597" s="23"/>
    </row>
    <row r="1598">
      <c r="B1598" s="16"/>
      <c r="L1598" s="23"/>
    </row>
    <row r="1599">
      <c r="B1599" s="16"/>
      <c r="L1599" s="23"/>
    </row>
    <row r="1600">
      <c r="B1600" s="16"/>
      <c r="L1600" s="23"/>
    </row>
    <row r="1601">
      <c r="B1601" s="16"/>
      <c r="L1601" s="23"/>
    </row>
    <row r="1602">
      <c r="B1602" s="16"/>
      <c r="L1602" s="23"/>
    </row>
    <row r="1603">
      <c r="B1603" s="16"/>
      <c r="L1603" s="23"/>
    </row>
    <row r="1604">
      <c r="B1604" s="16"/>
      <c r="L1604" s="23"/>
    </row>
    <row r="1605">
      <c r="B1605" s="16"/>
      <c r="L1605" s="23"/>
    </row>
    <row r="1606">
      <c r="B1606" s="16"/>
      <c r="L1606" s="23"/>
    </row>
    <row r="1607">
      <c r="B1607" s="16"/>
      <c r="L1607" s="23"/>
    </row>
    <row r="1608">
      <c r="B1608" s="16"/>
      <c r="L1608" s="23"/>
    </row>
    <row r="1609">
      <c r="B1609" s="16"/>
      <c r="L1609" s="23"/>
    </row>
    <row r="1610">
      <c r="B1610" s="16"/>
      <c r="L1610" s="23"/>
    </row>
    <row r="1611">
      <c r="B1611" s="16"/>
      <c r="L1611" s="23"/>
    </row>
    <row r="1612">
      <c r="B1612" s="16"/>
      <c r="L1612" s="23"/>
    </row>
    <row r="1613">
      <c r="B1613" s="16"/>
      <c r="L1613" s="23"/>
    </row>
    <row r="1614">
      <c r="B1614" s="16"/>
      <c r="L1614" s="23"/>
    </row>
    <row r="1615">
      <c r="B1615" s="16"/>
      <c r="L1615" s="23"/>
    </row>
    <row r="1616">
      <c r="B1616" s="16"/>
      <c r="L1616" s="23"/>
    </row>
    <row r="1617">
      <c r="B1617" s="16"/>
      <c r="L1617" s="23"/>
    </row>
    <row r="1618">
      <c r="B1618" s="16"/>
      <c r="L1618" s="23"/>
    </row>
    <row r="1619">
      <c r="B1619" s="16"/>
      <c r="L1619" s="23"/>
    </row>
    <row r="1620">
      <c r="B1620" s="16"/>
      <c r="L1620" s="23"/>
      <c r="M1620" s="23"/>
    </row>
    <row r="1621">
      <c r="B1621" s="16"/>
      <c r="L1621" s="23"/>
      <c r="M1621" s="23"/>
    </row>
    <row r="1622">
      <c r="B1622" s="16"/>
      <c r="L1622" s="23"/>
    </row>
    <row r="1623">
      <c r="B1623" s="16"/>
      <c r="L1623" s="23"/>
    </row>
    <row r="1624">
      <c r="B1624" s="16"/>
      <c r="L1624" s="23"/>
    </row>
    <row r="1625">
      <c r="B1625" s="16"/>
      <c r="L1625" s="23"/>
    </row>
    <row r="1626">
      <c r="B1626" s="16"/>
      <c r="L1626" s="23"/>
    </row>
    <row r="1627">
      <c r="B1627" s="16"/>
      <c r="L1627" s="23"/>
    </row>
    <row r="1628">
      <c r="B1628" s="16"/>
      <c r="L1628" s="23"/>
    </row>
    <row r="1629">
      <c r="B1629" s="16"/>
      <c r="L1629" s="23"/>
    </row>
    <row r="1630">
      <c r="B1630" s="16"/>
      <c r="L1630" s="23"/>
    </row>
    <row r="1631">
      <c r="B1631" s="16"/>
      <c r="L1631" s="23"/>
    </row>
    <row r="1632">
      <c r="B1632" s="16"/>
      <c r="L1632" s="23"/>
    </row>
    <row r="1633">
      <c r="B1633" s="16"/>
      <c r="L1633" s="23"/>
    </row>
    <row r="1634">
      <c r="B1634" s="16"/>
      <c r="L1634" s="23"/>
    </row>
    <row r="1635">
      <c r="B1635" s="16"/>
      <c r="L1635" s="23"/>
    </row>
    <row r="1636">
      <c r="B1636" s="16"/>
      <c r="L1636" s="23"/>
    </row>
    <row r="1637">
      <c r="B1637" s="16"/>
      <c r="L1637" s="23"/>
    </row>
    <row r="1638">
      <c r="B1638" s="16"/>
      <c r="L1638" s="23"/>
    </row>
    <row r="1639">
      <c r="B1639" s="16"/>
      <c r="L1639" s="23"/>
    </row>
    <row r="1640">
      <c r="B1640" s="16"/>
      <c r="L1640" s="23"/>
    </row>
    <row r="1641">
      <c r="B1641" s="16"/>
      <c r="L1641" s="23"/>
    </row>
    <row r="1642">
      <c r="B1642" s="16"/>
      <c r="L1642" s="23"/>
      <c r="M1642" s="23"/>
    </row>
    <row r="1643">
      <c r="B1643" s="16"/>
      <c r="L1643" s="23"/>
    </row>
    <row r="1644">
      <c r="B1644" s="16"/>
      <c r="L1644" s="23"/>
    </row>
    <row r="1645">
      <c r="B1645" s="16"/>
      <c r="L1645" s="23"/>
    </row>
    <row r="1646">
      <c r="B1646" s="16"/>
      <c r="L1646" s="23"/>
    </row>
    <row r="1647">
      <c r="B1647" s="16"/>
      <c r="L1647" s="23"/>
    </row>
    <row r="1648">
      <c r="B1648" s="16"/>
      <c r="L1648" s="23"/>
    </row>
    <row r="1649">
      <c r="B1649" s="16"/>
      <c r="L1649" s="23"/>
    </row>
    <row r="1650">
      <c r="B1650" s="16"/>
      <c r="L1650" s="23"/>
    </row>
    <row r="1651">
      <c r="B1651" s="16"/>
      <c r="L1651" s="23"/>
    </row>
    <row r="1652">
      <c r="B1652" s="16"/>
      <c r="L1652" s="23"/>
    </row>
    <row r="1653">
      <c r="B1653" s="16"/>
      <c r="L1653" s="23"/>
    </row>
    <row r="1654">
      <c r="B1654" s="16"/>
      <c r="L1654" s="23"/>
    </row>
    <row r="1655">
      <c r="B1655" s="16"/>
      <c r="L1655" s="23"/>
      <c r="M1655" s="23"/>
    </row>
    <row r="1656">
      <c r="B1656" s="16"/>
      <c r="L1656" s="23"/>
    </row>
    <row r="1657">
      <c r="B1657" s="16"/>
      <c r="L1657" s="23"/>
    </row>
    <row r="1658">
      <c r="B1658" s="16"/>
      <c r="L1658" s="23"/>
      <c r="M1658" s="23"/>
    </row>
    <row r="1659">
      <c r="B1659" s="16"/>
      <c r="L1659" s="23"/>
    </row>
    <row r="1660">
      <c r="B1660" s="16"/>
      <c r="L1660" s="23"/>
    </row>
    <row r="1661">
      <c r="B1661" s="16"/>
      <c r="L1661" s="23"/>
    </row>
    <row r="1662">
      <c r="B1662" s="16"/>
      <c r="L1662" s="23"/>
    </row>
    <row r="1663">
      <c r="B1663" s="16"/>
      <c r="L1663" s="23"/>
      <c r="M1663" s="23"/>
    </row>
    <row r="1664">
      <c r="B1664" s="16"/>
      <c r="L1664" s="23"/>
    </row>
    <row r="1665">
      <c r="B1665" s="16"/>
      <c r="L1665" s="23"/>
    </row>
    <row r="1666">
      <c r="B1666" s="16"/>
      <c r="L1666" s="23"/>
    </row>
    <row r="1667">
      <c r="B1667" s="16"/>
      <c r="L1667" s="23"/>
    </row>
    <row r="1668">
      <c r="B1668" s="16"/>
      <c r="L1668" s="23"/>
    </row>
    <row r="1669">
      <c r="B1669" s="16"/>
      <c r="L1669" s="23"/>
    </row>
    <row r="1670">
      <c r="B1670" s="16"/>
      <c r="L1670" s="23"/>
      <c r="M1670" s="23"/>
    </row>
    <row r="1671">
      <c r="B1671" s="16"/>
      <c r="L1671" s="23"/>
    </row>
    <row r="1672">
      <c r="B1672" s="16"/>
      <c r="L1672" s="23"/>
      <c r="M1672" s="23"/>
    </row>
    <row r="1673">
      <c r="B1673" s="16"/>
      <c r="L1673" s="23"/>
    </row>
    <row r="1674">
      <c r="B1674" s="16"/>
      <c r="L1674" s="23"/>
    </row>
    <row r="1675">
      <c r="B1675" s="16"/>
      <c r="L1675" s="23"/>
    </row>
    <row r="1676">
      <c r="B1676" s="16"/>
      <c r="L1676" s="23"/>
    </row>
    <row r="1677">
      <c r="B1677" s="16"/>
      <c r="L1677" s="23"/>
    </row>
    <row r="1678">
      <c r="B1678" s="16"/>
      <c r="L1678" s="23"/>
    </row>
    <row r="1679">
      <c r="B1679" s="16"/>
      <c r="L1679" s="23"/>
    </row>
    <row r="1680">
      <c r="B1680" s="16"/>
      <c r="L1680" s="23"/>
    </row>
    <row r="1681">
      <c r="B1681" s="16"/>
      <c r="L1681" s="23"/>
    </row>
    <row r="1682">
      <c r="B1682" s="16"/>
      <c r="L1682" s="23"/>
      <c r="M1682" s="23"/>
    </row>
    <row r="1683">
      <c r="B1683" s="16"/>
      <c r="L1683" s="23"/>
      <c r="M1683" s="23"/>
    </row>
    <row r="1684">
      <c r="B1684" s="16"/>
      <c r="L1684" s="23"/>
      <c r="M1684" s="23"/>
    </row>
    <row r="1685">
      <c r="B1685" s="16"/>
      <c r="L1685" s="23"/>
      <c r="M1685" s="23"/>
    </row>
    <row r="1686">
      <c r="B1686" s="16"/>
      <c r="L1686" s="23"/>
    </row>
    <row r="1687">
      <c r="B1687" s="16"/>
      <c r="L1687" s="23"/>
    </row>
    <row r="1688">
      <c r="B1688" s="16"/>
      <c r="L1688" s="23"/>
    </row>
    <row r="1689">
      <c r="B1689" s="16"/>
      <c r="L1689" s="23"/>
    </row>
    <row r="1690">
      <c r="B1690" s="16"/>
      <c r="L1690" s="23"/>
    </row>
    <row r="1691">
      <c r="B1691" s="16"/>
      <c r="L1691" s="23"/>
      <c r="M1691" s="23"/>
    </row>
    <row r="1692">
      <c r="B1692" s="16"/>
      <c r="L1692" s="23"/>
    </row>
    <row r="1693">
      <c r="B1693" s="16"/>
      <c r="L1693" s="23"/>
    </row>
    <row r="1694">
      <c r="B1694" s="16"/>
      <c r="L1694" s="23"/>
    </row>
    <row r="1695">
      <c r="B1695" s="16"/>
      <c r="L1695" s="23"/>
      <c r="M1695" s="23"/>
    </row>
    <row r="1696">
      <c r="B1696" s="16"/>
      <c r="L1696" s="23"/>
      <c r="M1696" s="23"/>
    </row>
    <row r="1697">
      <c r="B1697" s="16"/>
      <c r="L1697" s="23"/>
    </row>
    <row r="1698">
      <c r="B1698" s="16"/>
      <c r="L1698" s="23"/>
    </row>
    <row r="1699">
      <c r="B1699" s="16"/>
      <c r="L1699" s="23"/>
      <c r="M1699" s="23"/>
    </row>
    <row r="1700">
      <c r="B1700" s="16"/>
      <c r="L1700" s="23"/>
    </row>
    <row r="1701">
      <c r="B1701" s="16"/>
      <c r="L1701" s="23"/>
    </row>
    <row r="1702">
      <c r="B1702" s="16"/>
      <c r="L1702" s="23"/>
    </row>
    <row r="1703">
      <c r="B1703" s="16"/>
      <c r="L1703" s="23"/>
      <c r="M1703" s="23"/>
    </row>
    <row r="1704">
      <c r="B1704" s="16"/>
      <c r="L1704" s="23"/>
    </row>
    <row r="1705">
      <c r="B1705" s="16"/>
      <c r="L1705" s="23"/>
      <c r="M1705" s="23"/>
    </row>
    <row r="1706">
      <c r="B1706" s="16"/>
      <c r="L1706" s="23"/>
      <c r="M1706" s="23"/>
    </row>
    <row r="1707">
      <c r="B1707" s="16"/>
      <c r="L1707" s="23"/>
    </row>
    <row r="1708">
      <c r="B1708" s="16"/>
      <c r="L1708" s="23"/>
    </row>
    <row r="1709">
      <c r="B1709" s="16"/>
      <c r="L1709" s="23"/>
    </row>
    <row r="1710">
      <c r="B1710" s="16"/>
      <c r="L1710" s="23"/>
    </row>
    <row r="1711">
      <c r="B1711" s="16"/>
      <c r="L1711" s="23"/>
    </row>
    <row r="1712">
      <c r="B1712" s="16"/>
      <c r="L1712" s="23"/>
      <c r="M1712" s="23"/>
    </row>
    <row r="1713">
      <c r="B1713" s="16"/>
      <c r="L1713" s="23"/>
    </row>
    <row r="1714">
      <c r="B1714" s="16"/>
      <c r="L1714" s="23"/>
      <c r="M1714" s="23"/>
    </row>
    <row r="1715">
      <c r="B1715" s="16"/>
      <c r="L1715" s="23"/>
    </row>
    <row r="1716">
      <c r="B1716" s="16"/>
      <c r="L1716" s="23"/>
      <c r="M1716" s="23"/>
    </row>
    <row r="1717">
      <c r="B1717" s="16"/>
      <c r="L1717" s="23"/>
    </row>
    <row r="1718">
      <c r="B1718" s="16"/>
      <c r="L1718" s="23"/>
    </row>
    <row r="1719">
      <c r="B1719" s="16"/>
      <c r="L1719" s="23"/>
    </row>
    <row r="1720">
      <c r="B1720" s="16"/>
      <c r="L1720" s="23"/>
    </row>
    <row r="1721">
      <c r="B1721" s="16"/>
      <c r="L1721" s="23"/>
      <c r="M1721" s="23"/>
    </row>
    <row r="1722">
      <c r="B1722" s="16"/>
      <c r="L1722" s="23"/>
      <c r="M1722" s="23"/>
    </row>
    <row r="1723">
      <c r="B1723" s="16"/>
      <c r="L1723" s="23"/>
    </row>
    <row r="1724">
      <c r="B1724" s="16"/>
      <c r="L1724" s="23"/>
    </row>
    <row r="1725">
      <c r="B1725" s="16"/>
      <c r="L1725" s="23"/>
    </row>
    <row r="1726">
      <c r="B1726" s="16"/>
      <c r="L1726" s="23"/>
      <c r="M1726" s="23"/>
    </row>
    <row r="1727">
      <c r="B1727" s="16"/>
      <c r="L1727" s="23"/>
    </row>
    <row r="1728">
      <c r="B1728" s="16"/>
      <c r="L1728" s="23"/>
    </row>
    <row r="1729">
      <c r="B1729" s="16"/>
      <c r="L1729" s="23"/>
    </row>
    <row r="1730">
      <c r="B1730" s="16"/>
      <c r="L1730" s="23"/>
      <c r="M1730" s="23"/>
    </row>
    <row r="1731">
      <c r="B1731" s="16"/>
      <c r="L1731" s="23"/>
    </row>
    <row r="1732">
      <c r="B1732" s="16"/>
      <c r="L1732" s="23"/>
    </row>
    <row r="1733">
      <c r="B1733" s="16"/>
      <c r="L1733" s="23"/>
    </row>
    <row r="1734">
      <c r="B1734" s="16"/>
      <c r="L1734" s="23"/>
      <c r="M1734" s="23"/>
    </row>
    <row r="1735">
      <c r="B1735" s="16"/>
      <c r="L1735" s="23"/>
    </row>
    <row r="1736">
      <c r="B1736" s="16"/>
      <c r="L1736" s="23"/>
    </row>
    <row r="1737">
      <c r="B1737" s="16"/>
      <c r="L1737" s="23"/>
    </row>
    <row r="1738">
      <c r="B1738" s="16"/>
      <c r="L1738" s="23"/>
      <c r="M1738" s="23"/>
    </row>
    <row r="1739">
      <c r="B1739" s="16"/>
      <c r="L1739" s="23"/>
    </row>
    <row r="1740">
      <c r="B1740" s="16"/>
      <c r="L1740" s="23"/>
      <c r="M1740" s="23"/>
    </row>
    <row r="1741">
      <c r="B1741" s="16"/>
      <c r="L1741" s="23"/>
    </row>
    <row r="1742">
      <c r="B1742" s="16"/>
      <c r="L1742" s="23"/>
      <c r="M1742" s="23"/>
    </row>
    <row r="1743">
      <c r="B1743" s="16"/>
      <c r="L1743" s="23"/>
    </row>
    <row r="1744">
      <c r="B1744" s="16"/>
      <c r="L1744" s="23"/>
    </row>
    <row r="1745">
      <c r="B1745" s="16"/>
      <c r="L1745" s="23"/>
    </row>
    <row r="1746">
      <c r="B1746" s="16"/>
      <c r="L1746" s="23"/>
    </row>
    <row r="1747">
      <c r="B1747" s="16"/>
      <c r="L1747" s="23"/>
    </row>
    <row r="1748">
      <c r="B1748" s="16"/>
      <c r="L1748" s="23"/>
    </row>
    <row r="1749">
      <c r="B1749" s="16"/>
      <c r="L1749" s="23"/>
    </row>
    <row r="1750">
      <c r="B1750" s="16"/>
      <c r="L1750" s="23"/>
      <c r="M1750" s="23"/>
    </row>
    <row r="1751">
      <c r="B1751" s="16"/>
      <c r="L1751" s="23"/>
    </row>
    <row r="1752">
      <c r="B1752" s="16"/>
      <c r="L1752" s="23"/>
    </row>
    <row r="1753">
      <c r="B1753" s="16"/>
      <c r="L1753" s="23"/>
    </row>
    <row r="1754">
      <c r="B1754" s="16"/>
      <c r="L1754" s="23"/>
    </row>
    <row r="1755">
      <c r="B1755" s="16"/>
      <c r="L1755" s="23"/>
    </row>
    <row r="1756">
      <c r="B1756" s="16"/>
      <c r="L1756" s="23"/>
    </row>
    <row r="1757">
      <c r="B1757" s="16"/>
      <c r="L1757" s="23"/>
    </row>
    <row r="1758">
      <c r="B1758" s="16"/>
      <c r="L1758" s="23"/>
      <c r="M1758" s="23"/>
    </row>
    <row r="1759">
      <c r="B1759" s="16"/>
      <c r="L1759" s="23"/>
    </row>
    <row r="1760">
      <c r="B1760" s="16"/>
      <c r="L1760" s="23"/>
    </row>
    <row r="1761">
      <c r="B1761" s="16"/>
      <c r="L1761" s="23"/>
      <c r="M1761" s="23"/>
    </row>
    <row r="1762">
      <c r="B1762" s="16"/>
      <c r="L1762" s="23"/>
    </row>
    <row r="1763">
      <c r="B1763" s="16"/>
      <c r="L1763" s="23"/>
      <c r="M1763" s="23"/>
    </row>
    <row r="1764">
      <c r="B1764" s="16"/>
      <c r="L1764" s="23"/>
    </row>
    <row r="1765">
      <c r="B1765" s="16"/>
      <c r="L1765" s="23"/>
      <c r="M1765" s="23"/>
    </row>
    <row r="1766">
      <c r="B1766" s="16"/>
      <c r="L1766" s="23"/>
    </row>
    <row r="1767">
      <c r="B1767" s="16"/>
      <c r="L1767" s="23"/>
      <c r="M1767" s="23"/>
    </row>
    <row r="1768">
      <c r="B1768" s="16"/>
      <c r="L1768" s="23"/>
    </row>
    <row r="1769">
      <c r="B1769" s="16"/>
      <c r="L1769" s="23"/>
    </row>
    <row r="1770">
      <c r="B1770" s="16"/>
      <c r="L1770" s="23"/>
    </row>
    <row r="1771">
      <c r="B1771" s="16"/>
      <c r="L1771" s="23"/>
    </row>
    <row r="1772">
      <c r="B1772" s="16"/>
      <c r="L1772" s="23"/>
    </row>
    <row r="1773">
      <c r="B1773" s="16"/>
      <c r="L1773" s="23"/>
    </row>
    <row r="1774">
      <c r="B1774" s="16"/>
      <c r="L1774" s="23"/>
      <c r="M1774" s="23"/>
    </row>
    <row r="1775">
      <c r="B1775" s="16"/>
      <c r="L1775" s="23"/>
    </row>
    <row r="1776">
      <c r="B1776" s="16"/>
      <c r="L1776" s="23"/>
      <c r="M1776" s="23"/>
    </row>
    <row r="1777">
      <c r="B1777" s="16"/>
      <c r="L1777" s="23"/>
      <c r="M1777" s="23"/>
    </row>
    <row r="1778">
      <c r="B1778" s="16"/>
      <c r="L1778" s="23"/>
      <c r="M1778" s="23"/>
    </row>
    <row r="1779">
      <c r="B1779" s="16"/>
      <c r="L1779" s="23"/>
    </row>
    <row r="1780">
      <c r="B1780" s="16"/>
      <c r="L1780" s="23"/>
      <c r="M1780" s="23"/>
    </row>
    <row r="1781">
      <c r="B1781" s="16"/>
      <c r="L1781" s="23"/>
    </row>
    <row r="1782">
      <c r="B1782" s="16"/>
      <c r="L1782" s="23"/>
    </row>
    <row r="1783">
      <c r="B1783" s="16"/>
      <c r="L1783" s="23"/>
    </row>
    <row r="1784">
      <c r="B1784" s="16"/>
      <c r="L1784" s="23"/>
    </row>
    <row r="1785">
      <c r="B1785" s="16"/>
      <c r="L1785" s="23"/>
      <c r="M1785" s="23"/>
    </row>
    <row r="1786">
      <c r="B1786" s="16"/>
      <c r="L1786" s="23"/>
      <c r="M1786" s="23"/>
    </row>
    <row r="1787">
      <c r="B1787" s="16"/>
      <c r="L1787" s="23"/>
    </row>
    <row r="1788">
      <c r="B1788" s="16"/>
      <c r="L1788" s="23"/>
    </row>
    <row r="1789">
      <c r="B1789" s="16"/>
      <c r="L1789" s="23"/>
    </row>
    <row r="1790">
      <c r="B1790" s="16"/>
      <c r="L1790" s="23"/>
    </row>
    <row r="1791">
      <c r="B1791" s="16"/>
      <c r="L1791" s="23"/>
    </row>
    <row r="1792">
      <c r="B1792" s="16"/>
      <c r="L1792" s="23"/>
    </row>
    <row r="1793">
      <c r="B1793" s="16"/>
      <c r="L1793" s="23"/>
    </row>
    <row r="1794">
      <c r="B1794" s="16"/>
      <c r="L1794" s="23"/>
    </row>
    <row r="1795">
      <c r="B1795" s="16"/>
      <c r="L1795" s="23"/>
    </row>
    <row r="1796">
      <c r="B1796" s="16"/>
      <c r="L1796" s="23"/>
    </row>
    <row r="1797">
      <c r="B1797" s="16"/>
      <c r="L1797" s="23"/>
    </row>
    <row r="1798">
      <c r="B1798" s="16"/>
      <c r="L1798" s="23"/>
      <c r="M1798" s="23"/>
    </row>
    <row r="1799">
      <c r="B1799" s="16"/>
      <c r="L1799" s="23"/>
      <c r="M1799" s="23"/>
    </row>
    <row r="1800">
      <c r="B1800" s="16"/>
      <c r="L1800" s="23"/>
      <c r="M1800" s="23"/>
    </row>
    <row r="1801">
      <c r="B1801" s="16"/>
      <c r="L1801" s="23"/>
    </row>
    <row r="1802">
      <c r="B1802" s="16"/>
      <c r="L1802" s="23"/>
    </row>
    <row r="1803">
      <c r="B1803" s="16"/>
      <c r="L1803" s="23"/>
    </row>
    <row r="1804">
      <c r="B1804" s="16"/>
      <c r="L1804" s="23"/>
    </row>
    <row r="1805">
      <c r="B1805" s="16"/>
      <c r="L1805" s="23"/>
      <c r="M1805" s="23"/>
    </row>
    <row r="1806">
      <c r="B1806" s="16"/>
      <c r="L1806" s="23"/>
      <c r="M1806" s="23"/>
    </row>
    <row r="1807">
      <c r="B1807" s="16"/>
      <c r="L1807" s="23"/>
      <c r="M1807" s="23"/>
    </row>
    <row r="1808">
      <c r="B1808" s="16"/>
      <c r="L1808" s="23"/>
    </row>
    <row r="1809">
      <c r="B1809" s="16"/>
      <c r="L1809" s="23"/>
    </row>
    <row r="1810">
      <c r="B1810" s="16"/>
      <c r="L1810" s="23"/>
      <c r="M1810" s="23"/>
    </row>
    <row r="1811">
      <c r="B1811" s="16"/>
      <c r="L1811" s="23"/>
      <c r="M1811" s="23"/>
    </row>
    <row r="1812">
      <c r="B1812" s="16"/>
      <c r="L1812" s="23"/>
    </row>
    <row r="1813">
      <c r="B1813" s="16"/>
      <c r="L1813" s="23"/>
    </row>
    <row r="1814">
      <c r="B1814" s="16"/>
      <c r="L1814" s="23"/>
    </row>
    <row r="1815">
      <c r="B1815" s="16"/>
      <c r="L1815" s="23"/>
      <c r="M1815" s="23"/>
    </row>
    <row r="1816">
      <c r="B1816" s="16"/>
      <c r="L1816" s="23"/>
    </row>
    <row r="1817">
      <c r="B1817" s="16"/>
      <c r="L1817" s="23"/>
    </row>
    <row r="1818">
      <c r="B1818" s="16"/>
      <c r="L1818" s="23"/>
    </row>
    <row r="1819">
      <c r="B1819" s="16"/>
      <c r="L1819" s="23"/>
    </row>
    <row r="1820">
      <c r="B1820" s="16"/>
      <c r="L1820" s="23"/>
    </row>
    <row r="1821">
      <c r="B1821" s="16"/>
      <c r="L1821" s="23"/>
    </row>
    <row r="1822">
      <c r="B1822" s="16"/>
      <c r="L1822" s="23"/>
      <c r="M1822" s="23"/>
    </row>
    <row r="1823">
      <c r="B1823" s="16"/>
      <c r="L1823" s="23"/>
      <c r="M1823" s="23"/>
    </row>
    <row r="1824">
      <c r="B1824" s="16"/>
      <c r="L1824" s="23"/>
    </row>
    <row r="1825">
      <c r="B1825" s="16"/>
      <c r="L1825" s="23"/>
    </row>
    <row r="1826">
      <c r="B1826" s="16"/>
      <c r="L1826" s="23"/>
      <c r="M1826" s="23"/>
    </row>
    <row r="1827">
      <c r="B1827" s="16"/>
      <c r="L1827" s="23"/>
    </row>
    <row r="1828">
      <c r="B1828" s="16"/>
      <c r="L1828" s="23"/>
    </row>
    <row r="1829">
      <c r="B1829" s="16"/>
      <c r="L1829" s="23"/>
    </row>
    <row r="1830">
      <c r="B1830" s="16"/>
      <c r="L1830" s="23"/>
    </row>
    <row r="1831">
      <c r="B1831" s="16"/>
      <c r="L1831" s="23"/>
    </row>
    <row r="1832">
      <c r="B1832" s="16"/>
      <c r="L1832" s="23"/>
      <c r="M1832" s="23"/>
    </row>
    <row r="1833">
      <c r="B1833" s="16"/>
      <c r="L1833" s="23"/>
    </row>
    <row r="1834">
      <c r="B1834" s="16"/>
      <c r="L1834" s="23"/>
    </row>
    <row r="1835">
      <c r="B1835" s="16"/>
      <c r="L1835" s="23"/>
    </row>
    <row r="1836">
      <c r="B1836" s="16"/>
      <c r="L1836" s="23"/>
    </row>
    <row r="1837">
      <c r="B1837" s="16"/>
      <c r="L1837" s="23"/>
      <c r="M1837" s="23"/>
    </row>
    <row r="1838">
      <c r="B1838" s="16"/>
      <c r="L1838" s="23"/>
    </row>
    <row r="1839">
      <c r="B1839" s="16"/>
      <c r="L1839" s="23"/>
    </row>
    <row r="1840">
      <c r="B1840" s="16"/>
      <c r="L1840" s="23"/>
    </row>
    <row r="1841">
      <c r="B1841" s="16"/>
      <c r="L1841" s="23"/>
    </row>
    <row r="1842">
      <c r="B1842" s="16"/>
      <c r="L1842" s="23"/>
      <c r="M1842" s="23"/>
    </row>
    <row r="1843">
      <c r="B1843" s="16"/>
      <c r="L1843" s="23"/>
    </row>
    <row r="1844">
      <c r="B1844" s="16"/>
      <c r="L1844" s="23"/>
    </row>
    <row r="1845">
      <c r="B1845" s="16"/>
      <c r="L1845" s="23"/>
    </row>
    <row r="1846">
      <c r="B1846" s="16"/>
      <c r="L1846" s="23"/>
    </row>
    <row r="1847">
      <c r="B1847" s="16"/>
      <c r="L1847" s="23"/>
    </row>
    <row r="1848">
      <c r="B1848" s="16"/>
      <c r="L1848" s="23"/>
    </row>
    <row r="1849">
      <c r="B1849" s="16"/>
      <c r="L1849" s="23"/>
    </row>
    <row r="1850">
      <c r="B1850" s="16"/>
      <c r="L1850" s="23"/>
    </row>
    <row r="1851">
      <c r="B1851" s="16"/>
      <c r="L1851" s="23"/>
    </row>
    <row r="1852">
      <c r="B1852" s="16"/>
      <c r="L1852" s="23"/>
      <c r="M1852" s="23"/>
    </row>
    <row r="1853">
      <c r="B1853" s="16"/>
      <c r="L1853" s="23"/>
    </row>
    <row r="1854">
      <c r="B1854" s="16"/>
      <c r="L1854" s="23"/>
    </row>
    <row r="1855">
      <c r="B1855" s="16"/>
      <c r="L1855" s="23"/>
      <c r="M1855" s="23"/>
    </row>
    <row r="1856">
      <c r="B1856" s="16"/>
      <c r="L1856" s="23"/>
    </row>
    <row r="1857">
      <c r="B1857" s="16"/>
      <c r="L1857" s="23"/>
      <c r="M1857" s="23"/>
    </row>
    <row r="1858">
      <c r="B1858" s="16"/>
      <c r="L1858" s="23"/>
    </row>
    <row r="1859">
      <c r="B1859" s="16"/>
      <c r="L1859" s="23"/>
    </row>
    <row r="1860">
      <c r="B1860" s="16"/>
      <c r="L1860" s="23"/>
    </row>
    <row r="1861">
      <c r="B1861" s="16"/>
      <c r="L1861" s="23"/>
      <c r="M1861" s="23"/>
    </row>
    <row r="1862">
      <c r="B1862" s="16"/>
      <c r="L1862" s="23"/>
    </row>
    <row r="1863">
      <c r="B1863" s="16"/>
      <c r="L1863" s="23"/>
      <c r="M1863" s="23"/>
    </row>
    <row r="1864">
      <c r="B1864" s="16"/>
      <c r="L1864" s="23"/>
    </row>
    <row r="1865">
      <c r="B1865" s="16"/>
      <c r="L1865" s="23"/>
    </row>
    <row r="1866">
      <c r="B1866" s="16"/>
      <c r="L1866" s="23"/>
    </row>
    <row r="1867">
      <c r="B1867" s="16"/>
      <c r="L1867" s="23"/>
    </row>
    <row r="1868">
      <c r="B1868" s="16"/>
      <c r="L1868" s="23"/>
      <c r="M1868" s="23"/>
    </row>
    <row r="1869">
      <c r="B1869" s="16"/>
      <c r="L1869" s="23"/>
    </row>
    <row r="1870">
      <c r="B1870" s="16"/>
      <c r="L1870" s="23"/>
    </row>
    <row r="1871">
      <c r="B1871" s="16"/>
      <c r="L1871" s="23"/>
    </row>
    <row r="1872">
      <c r="B1872" s="16"/>
      <c r="L1872" s="23"/>
    </row>
    <row r="1873">
      <c r="B1873" s="16"/>
      <c r="L1873" s="23"/>
      <c r="M1873" s="23"/>
    </row>
    <row r="1874">
      <c r="B1874" s="16"/>
      <c r="L1874" s="23"/>
    </row>
    <row r="1875">
      <c r="B1875" s="16"/>
      <c r="L1875" s="23"/>
      <c r="M1875" s="23"/>
    </row>
    <row r="1876">
      <c r="B1876" s="16"/>
      <c r="L1876" s="23"/>
    </row>
    <row r="1877">
      <c r="B1877" s="16"/>
      <c r="L1877" s="23"/>
    </row>
    <row r="1878">
      <c r="B1878" s="16"/>
      <c r="L1878" s="23"/>
      <c r="M1878" s="23"/>
    </row>
    <row r="1879">
      <c r="B1879" s="16"/>
      <c r="L1879" s="23"/>
      <c r="M1879" s="23"/>
    </row>
    <row r="1880">
      <c r="B1880" s="16"/>
      <c r="L1880" s="23"/>
    </row>
    <row r="1881">
      <c r="B1881" s="16"/>
      <c r="L1881" s="23"/>
      <c r="M1881" s="23"/>
    </row>
    <row r="1882">
      <c r="B1882" s="16"/>
      <c r="L1882" s="23"/>
    </row>
    <row r="1883">
      <c r="B1883" s="16"/>
      <c r="L1883" s="23"/>
    </row>
    <row r="1884">
      <c r="B1884" s="16"/>
      <c r="L1884" s="23"/>
    </row>
    <row r="1885">
      <c r="B1885" s="16"/>
      <c r="L1885" s="23"/>
    </row>
    <row r="1886">
      <c r="B1886" s="16"/>
      <c r="L1886" s="23"/>
    </row>
    <row r="1887">
      <c r="B1887" s="16"/>
      <c r="L1887" s="23"/>
    </row>
    <row r="1888">
      <c r="B1888" s="16"/>
      <c r="L1888" s="23"/>
      <c r="M1888" s="23"/>
    </row>
    <row r="1889">
      <c r="B1889" s="16"/>
      <c r="L1889" s="23"/>
    </row>
    <row r="1890">
      <c r="B1890" s="16"/>
      <c r="L1890" s="23"/>
    </row>
    <row r="1891">
      <c r="B1891" s="16"/>
      <c r="L1891" s="23"/>
    </row>
    <row r="1892">
      <c r="B1892" s="16"/>
      <c r="L1892" s="23"/>
    </row>
    <row r="1893">
      <c r="B1893" s="16"/>
      <c r="L1893" s="23"/>
    </row>
    <row r="1894">
      <c r="B1894" s="16"/>
      <c r="L1894" s="23"/>
    </row>
    <row r="1895">
      <c r="B1895" s="16"/>
      <c r="L1895" s="23"/>
    </row>
    <row r="1896">
      <c r="B1896" s="16"/>
      <c r="L1896" s="23"/>
    </row>
    <row r="1897">
      <c r="B1897" s="16"/>
      <c r="L1897" s="23"/>
      <c r="M1897" s="23"/>
    </row>
    <row r="1898">
      <c r="B1898" s="16"/>
      <c r="L1898" s="23"/>
    </row>
    <row r="1899">
      <c r="B1899" s="16"/>
      <c r="L1899" s="23"/>
    </row>
    <row r="1900">
      <c r="B1900" s="16"/>
      <c r="L1900" s="23"/>
      <c r="M1900" s="23"/>
    </row>
    <row r="1901">
      <c r="B1901" s="16"/>
      <c r="L1901" s="23"/>
    </row>
    <row r="1902">
      <c r="B1902" s="16"/>
      <c r="L1902" s="23"/>
    </row>
    <row r="1903">
      <c r="B1903" s="16"/>
      <c r="L1903" s="23"/>
    </row>
    <row r="1904">
      <c r="B1904" s="16"/>
      <c r="L1904" s="23"/>
    </row>
    <row r="1905">
      <c r="B1905" s="16"/>
      <c r="L1905" s="23"/>
      <c r="M1905" s="23"/>
    </row>
    <row r="1906">
      <c r="B1906" s="16"/>
      <c r="L1906" s="23"/>
    </row>
    <row r="1907">
      <c r="B1907" s="16"/>
      <c r="L1907" s="23"/>
    </row>
    <row r="1908">
      <c r="B1908" s="16"/>
      <c r="L1908" s="23"/>
    </row>
    <row r="1909">
      <c r="B1909" s="16"/>
      <c r="L1909" s="23"/>
    </row>
    <row r="1910">
      <c r="B1910" s="16"/>
      <c r="L1910" s="23"/>
    </row>
    <row r="1911">
      <c r="B1911" s="16"/>
      <c r="L1911" s="23"/>
    </row>
    <row r="1912">
      <c r="B1912" s="16"/>
      <c r="L1912" s="23"/>
      <c r="M1912" s="23"/>
    </row>
    <row r="1913">
      <c r="B1913" s="16"/>
      <c r="L1913" s="23"/>
      <c r="M1913" s="23"/>
    </row>
    <row r="1914">
      <c r="B1914" s="16"/>
      <c r="L1914" s="23"/>
      <c r="M1914" s="23"/>
    </row>
    <row r="1915">
      <c r="B1915" s="16"/>
      <c r="L1915" s="23"/>
    </row>
    <row r="1916">
      <c r="B1916" s="16"/>
      <c r="L1916" s="23"/>
      <c r="M1916" s="23"/>
    </row>
    <row r="1917">
      <c r="B1917" s="16"/>
      <c r="L1917" s="23"/>
    </row>
    <row r="1918">
      <c r="B1918" s="16"/>
      <c r="L1918" s="23"/>
    </row>
    <row r="1919">
      <c r="B1919" s="16"/>
      <c r="L1919" s="23"/>
      <c r="M1919" s="23"/>
    </row>
    <row r="1920">
      <c r="B1920" s="16"/>
      <c r="L1920" s="23"/>
    </row>
    <row r="1921">
      <c r="B1921" s="16"/>
      <c r="L1921" s="23"/>
      <c r="M1921" s="23"/>
    </row>
    <row r="1922">
      <c r="B1922" s="16"/>
      <c r="L1922" s="23"/>
      <c r="M1922" s="23"/>
    </row>
    <row r="1923">
      <c r="B1923" s="16"/>
      <c r="L1923" s="23"/>
    </row>
    <row r="1924">
      <c r="B1924" s="16"/>
      <c r="L1924" s="23"/>
      <c r="M1924" s="23"/>
    </row>
    <row r="1925">
      <c r="B1925" s="16"/>
      <c r="L1925" s="23"/>
    </row>
    <row r="1926">
      <c r="B1926" s="16"/>
      <c r="L1926" s="23"/>
    </row>
    <row r="1927">
      <c r="B1927" s="16"/>
      <c r="L1927" s="23"/>
    </row>
    <row r="1928">
      <c r="B1928" s="16"/>
      <c r="L1928" s="23"/>
      <c r="M1928" s="23"/>
    </row>
    <row r="1929">
      <c r="B1929" s="16"/>
      <c r="L1929" s="23"/>
    </row>
    <row r="1930">
      <c r="B1930" s="16"/>
      <c r="L1930" s="23"/>
      <c r="M1930" s="23"/>
    </row>
    <row r="1931">
      <c r="B1931" s="16"/>
      <c r="L1931" s="23"/>
      <c r="M1931" s="23"/>
    </row>
    <row r="1932">
      <c r="B1932" s="16"/>
      <c r="L1932" s="23"/>
    </row>
    <row r="1933">
      <c r="B1933" s="16"/>
      <c r="L1933" s="23"/>
      <c r="M1933" s="23"/>
    </row>
    <row r="1934">
      <c r="B1934" s="16"/>
      <c r="L1934" s="23"/>
      <c r="M1934" s="23"/>
    </row>
    <row r="1935">
      <c r="B1935" s="16"/>
      <c r="L1935" s="23"/>
      <c r="M1935" s="23"/>
    </row>
    <row r="1936">
      <c r="B1936" s="16"/>
      <c r="L1936" s="23"/>
      <c r="M1936" s="23"/>
    </row>
    <row r="1937">
      <c r="B1937" s="16"/>
      <c r="L1937" s="23"/>
    </row>
    <row r="1938">
      <c r="B1938" s="16"/>
      <c r="L1938" s="23"/>
    </row>
    <row r="1939">
      <c r="B1939" s="16"/>
      <c r="L1939" s="23"/>
    </row>
    <row r="1940">
      <c r="B1940" s="16"/>
      <c r="L1940" s="23"/>
    </row>
    <row r="1941">
      <c r="B1941" s="16"/>
      <c r="L1941" s="23"/>
      <c r="M1941" s="23"/>
    </row>
    <row r="1942">
      <c r="B1942" s="16"/>
      <c r="L1942" s="23"/>
      <c r="M1942" s="23"/>
    </row>
    <row r="1943">
      <c r="B1943" s="16"/>
      <c r="L1943" s="23"/>
      <c r="M1943" s="23"/>
    </row>
    <row r="1944">
      <c r="B1944" s="16"/>
      <c r="L1944" s="23"/>
    </row>
    <row r="1945">
      <c r="B1945" s="16"/>
      <c r="L1945" s="23"/>
    </row>
    <row r="1946">
      <c r="B1946" s="16"/>
      <c r="L1946" s="23"/>
    </row>
    <row r="1947">
      <c r="B1947" s="16"/>
      <c r="L1947" s="23"/>
    </row>
    <row r="1948">
      <c r="B1948" s="16"/>
      <c r="L1948" s="23"/>
    </row>
    <row r="1949">
      <c r="B1949" s="16"/>
      <c r="L1949" s="23"/>
      <c r="M1949" s="23"/>
    </row>
    <row r="1950">
      <c r="B1950" s="16"/>
      <c r="L1950" s="23"/>
      <c r="M1950" s="23"/>
    </row>
    <row r="1951">
      <c r="B1951" s="16"/>
      <c r="L1951" s="23"/>
    </row>
    <row r="1952">
      <c r="B1952" s="16"/>
      <c r="L1952" s="23"/>
    </row>
    <row r="1953">
      <c r="B1953" s="16"/>
      <c r="L1953" s="23"/>
    </row>
    <row r="1954">
      <c r="B1954" s="16"/>
      <c r="L1954" s="23"/>
    </row>
    <row r="1955">
      <c r="B1955" s="16"/>
      <c r="L1955" s="23"/>
    </row>
    <row r="1956">
      <c r="B1956" s="16"/>
      <c r="L1956" s="23"/>
    </row>
    <row r="1957">
      <c r="B1957" s="16"/>
      <c r="L1957" s="23"/>
    </row>
    <row r="1958">
      <c r="B1958" s="16"/>
      <c r="L1958" s="23"/>
    </row>
    <row r="1959">
      <c r="B1959" s="16"/>
      <c r="L1959" s="23"/>
    </row>
    <row r="1960">
      <c r="B1960" s="16"/>
      <c r="L1960" s="23"/>
      <c r="M1960" s="23"/>
    </row>
    <row r="1961">
      <c r="B1961" s="16"/>
      <c r="L1961" s="23"/>
      <c r="M1961" s="23"/>
    </row>
    <row r="1962">
      <c r="B1962" s="16"/>
      <c r="L1962" s="23"/>
    </row>
    <row r="1963">
      <c r="B1963" s="16"/>
      <c r="L1963" s="23"/>
      <c r="M1963" s="23"/>
    </row>
    <row r="1964">
      <c r="B1964" s="16"/>
      <c r="L1964" s="23"/>
      <c r="M1964" s="23"/>
    </row>
    <row r="1965">
      <c r="B1965" s="16"/>
      <c r="L1965" s="23"/>
      <c r="M1965" s="23"/>
    </row>
    <row r="1966">
      <c r="B1966" s="16"/>
      <c r="L1966" s="23"/>
    </row>
    <row r="1967">
      <c r="B1967" s="16"/>
      <c r="L1967" s="23"/>
    </row>
    <row r="1968">
      <c r="B1968" s="16"/>
      <c r="L1968" s="23"/>
      <c r="M1968" s="23"/>
    </row>
    <row r="1969">
      <c r="B1969" s="16"/>
      <c r="L1969" s="23"/>
      <c r="M1969" s="23"/>
    </row>
    <row r="1970">
      <c r="B1970" s="16"/>
      <c r="L1970" s="23"/>
      <c r="M1970" s="23"/>
    </row>
    <row r="1971">
      <c r="B1971" s="16"/>
      <c r="L1971" s="23"/>
      <c r="M1971" s="23"/>
    </row>
    <row r="1972">
      <c r="B1972" s="16"/>
      <c r="L1972" s="23"/>
      <c r="M1972" s="23"/>
    </row>
    <row r="1973">
      <c r="B1973" s="16"/>
      <c r="L1973" s="23"/>
    </row>
    <row r="1974">
      <c r="B1974" s="16"/>
      <c r="L1974" s="23"/>
      <c r="M1974" s="23"/>
    </row>
    <row r="1975">
      <c r="B1975" s="16"/>
      <c r="L1975" s="23"/>
      <c r="M1975" s="23"/>
    </row>
    <row r="1976">
      <c r="B1976" s="16"/>
      <c r="L1976" s="23"/>
    </row>
    <row r="1977">
      <c r="B1977" s="16"/>
      <c r="L1977" s="23"/>
      <c r="M1977" s="23"/>
    </row>
    <row r="1978">
      <c r="B1978" s="16"/>
      <c r="L1978" s="23"/>
      <c r="M1978" s="23"/>
    </row>
    <row r="1979">
      <c r="B1979" s="16"/>
      <c r="L1979" s="23"/>
      <c r="M1979" s="23"/>
    </row>
    <row r="1980">
      <c r="B1980" s="16"/>
      <c r="L1980" s="23"/>
      <c r="M1980" s="23"/>
    </row>
    <row r="1981">
      <c r="B1981" s="16"/>
      <c r="L1981" s="23"/>
    </row>
    <row r="1982">
      <c r="B1982" s="16"/>
      <c r="L1982" s="23"/>
      <c r="M1982" s="23"/>
    </row>
    <row r="1983">
      <c r="B1983" s="16"/>
      <c r="L1983" s="23"/>
      <c r="M1983" s="23"/>
    </row>
    <row r="1984">
      <c r="B1984" s="16"/>
      <c r="L1984" s="23"/>
    </row>
    <row r="1985">
      <c r="B1985" s="16"/>
      <c r="L1985" s="23"/>
    </row>
    <row r="1986">
      <c r="B1986" s="16"/>
      <c r="L1986" s="23"/>
      <c r="M1986" s="23"/>
    </row>
    <row r="1987">
      <c r="B1987" s="16"/>
      <c r="L1987" s="23"/>
    </row>
    <row r="1988">
      <c r="B1988" s="16"/>
      <c r="L1988" s="23"/>
      <c r="M1988" s="23"/>
    </row>
    <row r="1989">
      <c r="B1989" s="16"/>
      <c r="L1989" s="23"/>
    </row>
    <row r="1990">
      <c r="B1990" s="16"/>
      <c r="L1990" s="23"/>
    </row>
    <row r="1991">
      <c r="B1991" s="16"/>
      <c r="L1991" s="23"/>
    </row>
    <row r="1992">
      <c r="B1992" s="16"/>
      <c r="L1992" s="23"/>
    </row>
    <row r="1993">
      <c r="B1993" s="16"/>
      <c r="L1993" s="23"/>
    </row>
    <row r="1994">
      <c r="B1994" s="16"/>
      <c r="L1994" s="23"/>
      <c r="M1994" s="23"/>
    </row>
    <row r="1995">
      <c r="B1995" s="16"/>
      <c r="L1995" s="23"/>
    </row>
    <row r="1996">
      <c r="B1996" s="16"/>
      <c r="L1996" s="23"/>
    </row>
    <row r="1997">
      <c r="B1997" s="16"/>
      <c r="L1997" s="23"/>
    </row>
    <row r="1998">
      <c r="B1998" s="16"/>
      <c r="L1998" s="23"/>
    </row>
    <row r="1999">
      <c r="B1999" s="16"/>
      <c r="L1999" s="23"/>
    </row>
    <row r="2000">
      <c r="B2000" s="16"/>
      <c r="L2000" s="23"/>
    </row>
    <row r="2001">
      <c r="B2001" s="16"/>
      <c r="L2001" s="23"/>
      <c r="M2001" s="23"/>
    </row>
    <row r="2002">
      <c r="B2002" s="16"/>
      <c r="L2002" s="23"/>
    </row>
    <row r="2003">
      <c r="B2003" s="16"/>
      <c r="L2003" s="23"/>
    </row>
    <row r="2004">
      <c r="B2004" s="16"/>
      <c r="L2004" s="23"/>
    </row>
    <row r="2005">
      <c r="B2005" s="16"/>
      <c r="L2005" s="23"/>
      <c r="M2005" s="23"/>
    </row>
    <row r="2006">
      <c r="B2006" s="16"/>
      <c r="L2006" s="23"/>
    </row>
    <row r="2007">
      <c r="B2007" s="16"/>
      <c r="L2007" s="23"/>
      <c r="M2007" s="23"/>
    </row>
    <row r="2008">
      <c r="B2008" s="16"/>
      <c r="L2008" s="23"/>
      <c r="M2008" s="23"/>
    </row>
    <row r="2009">
      <c r="B2009" s="16"/>
      <c r="L2009" s="23"/>
    </row>
    <row r="2010">
      <c r="B2010" s="16"/>
      <c r="L2010" s="23"/>
    </row>
    <row r="2011">
      <c r="B2011" s="16"/>
      <c r="L2011" s="23"/>
      <c r="M2011" s="23"/>
    </row>
    <row r="2012">
      <c r="B2012" s="16"/>
      <c r="L2012" s="23"/>
    </row>
    <row r="2013">
      <c r="B2013" s="16"/>
      <c r="L2013" s="23"/>
    </row>
    <row r="2014">
      <c r="B2014" s="16"/>
      <c r="L2014" s="23"/>
    </row>
    <row r="2015">
      <c r="B2015" s="16"/>
      <c r="L2015" s="23"/>
    </row>
    <row r="2016">
      <c r="B2016" s="16"/>
      <c r="L2016" s="23"/>
    </row>
    <row r="2017">
      <c r="B2017" s="16"/>
      <c r="L2017" s="23"/>
    </row>
    <row r="2018">
      <c r="B2018" s="16"/>
      <c r="L2018" s="23"/>
      <c r="M2018" s="23"/>
    </row>
    <row r="2019">
      <c r="B2019" s="16"/>
      <c r="L2019" s="23"/>
    </row>
    <row r="2020">
      <c r="B2020" s="16"/>
      <c r="L2020" s="23"/>
    </row>
    <row r="2021">
      <c r="B2021" s="16"/>
      <c r="L2021" s="23"/>
      <c r="M2021" s="23"/>
    </row>
    <row r="2022">
      <c r="B2022" s="16"/>
      <c r="L2022" s="23"/>
      <c r="M2022" s="23"/>
    </row>
    <row r="2023">
      <c r="B2023" s="16"/>
      <c r="L2023" s="23"/>
      <c r="M2023" s="23"/>
    </row>
    <row r="2024">
      <c r="B2024" s="16"/>
      <c r="L2024" s="23"/>
    </row>
    <row r="2025">
      <c r="B2025" s="16"/>
      <c r="L2025" s="23"/>
    </row>
    <row r="2026">
      <c r="B2026" s="16"/>
      <c r="L2026" s="23"/>
    </row>
    <row r="2027">
      <c r="B2027" s="16"/>
      <c r="L2027" s="23"/>
    </row>
    <row r="2028">
      <c r="B2028" s="16"/>
      <c r="L2028" s="23"/>
      <c r="M2028" s="23"/>
    </row>
    <row r="2029">
      <c r="B2029" s="16"/>
      <c r="L2029" s="23"/>
      <c r="M2029" s="23"/>
    </row>
    <row r="2030">
      <c r="B2030" s="16"/>
      <c r="L2030" s="23"/>
      <c r="M2030" s="23"/>
    </row>
    <row r="2031">
      <c r="B2031" s="16"/>
      <c r="L2031" s="23"/>
    </row>
    <row r="2032">
      <c r="B2032" s="16"/>
      <c r="L2032" s="23"/>
      <c r="M2032" s="23"/>
    </row>
    <row r="2033">
      <c r="B2033" s="16"/>
      <c r="L2033" s="23"/>
    </row>
    <row r="2034">
      <c r="B2034" s="16"/>
      <c r="L2034" s="23"/>
    </row>
    <row r="2035">
      <c r="B2035" s="16"/>
      <c r="L2035" s="23"/>
    </row>
    <row r="2036">
      <c r="B2036" s="16"/>
      <c r="L2036" s="23"/>
      <c r="M2036" s="23"/>
    </row>
    <row r="2037">
      <c r="B2037" s="16"/>
      <c r="L2037" s="23"/>
      <c r="M2037" s="23"/>
    </row>
    <row r="2038">
      <c r="B2038" s="16"/>
      <c r="L2038" s="23"/>
    </row>
    <row r="2039">
      <c r="B2039" s="16"/>
      <c r="L2039" s="23"/>
    </row>
    <row r="2040">
      <c r="B2040" s="16"/>
      <c r="L2040" s="23"/>
    </row>
    <row r="2041">
      <c r="B2041" s="16"/>
      <c r="L2041" s="23"/>
    </row>
    <row r="2042">
      <c r="B2042" s="16"/>
      <c r="L2042" s="23"/>
    </row>
    <row r="2043">
      <c r="B2043" s="16"/>
      <c r="L2043" s="23"/>
    </row>
    <row r="2044">
      <c r="B2044" s="16"/>
      <c r="L2044" s="23"/>
    </row>
    <row r="2045">
      <c r="B2045" s="16"/>
      <c r="L2045" s="23"/>
    </row>
    <row r="2046">
      <c r="B2046" s="16"/>
      <c r="L2046" s="23"/>
      <c r="M2046" s="23"/>
    </row>
    <row r="2047">
      <c r="B2047" s="16"/>
      <c r="L2047" s="23"/>
      <c r="M2047" s="23"/>
    </row>
    <row r="2048">
      <c r="B2048" s="16"/>
      <c r="L2048" s="23"/>
    </row>
    <row r="2049">
      <c r="B2049" s="16"/>
      <c r="L2049" s="23"/>
      <c r="M2049" s="23"/>
    </row>
    <row r="2050">
      <c r="B2050" s="16"/>
      <c r="L2050" s="23"/>
      <c r="M2050" s="23"/>
    </row>
    <row r="2051">
      <c r="B2051" s="16"/>
      <c r="L2051" s="23"/>
    </row>
    <row r="2052">
      <c r="B2052" s="16"/>
      <c r="L2052" s="23"/>
    </row>
    <row r="2053">
      <c r="B2053" s="16"/>
      <c r="L2053" s="23"/>
      <c r="M2053" s="23"/>
    </row>
    <row r="2054">
      <c r="B2054" s="16"/>
      <c r="L2054" s="23"/>
      <c r="M2054" s="23"/>
    </row>
    <row r="2055">
      <c r="B2055" s="16"/>
      <c r="L2055" s="23"/>
    </row>
    <row r="2056">
      <c r="B2056" s="16"/>
      <c r="L2056" s="23"/>
    </row>
    <row r="2057">
      <c r="B2057" s="16"/>
      <c r="L2057" s="23"/>
      <c r="M2057" s="23"/>
    </row>
    <row r="2058">
      <c r="B2058" s="16"/>
      <c r="L2058" s="23"/>
    </row>
    <row r="2059">
      <c r="B2059" s="16"/>
      <c r="L2059" s="23"/>
      <c r="M2059" s="23"/>
    </row>
    <row r="2060">
      <c r="B2060" s="16"/>
      <c r="L2060" s="23"/>
    </row>
    <row r="2061">
      <c r="B2061" s="16"/>
      <c r="L2061" s="23"/>
      <c r="M2061" s="23"/>
    </row>
    <row r="2062">
      <c r="B2062" s="16"/>
      <c r="L2062" s="23"/>
    </row>
    <row r="2063">
      <c r="B2063" s="16"/>
      <c r="L2063" s="23"/>
      <c r="M2063" s="23"/>
    </row>
    <row r="2064">
      <c r="B2064" s="16"/>
      <c r="L2064" s="23"/>
      <c r="M2064" s="23"/>
    </row>
    <row r="2065">
      <c r="B2065" s="16"/>
      <c r="L2065" s="23"/>
    </row>
    <row r="2066">
      <c r="B2066" s="16"/>
      <c r="L2066" s="23"/>
      <c r="M2066" s="23"/>
    </row>
    <row r="2067">
      <c r="B2067" s="16"/>
      <c r="L2067" s="23"/>
      <c r="M2067" s="23"/>
    </row>
    <row r="2068">
      <c r="B2068" s="16"/>
      <c r="L2068" s="23"/>
      <c r="M2068" s="23"/>
    </row>
    <row r="2069">
      <c r="B2069" s="16"/>
      <c r="L2069" s="23"/>
      <c r="M2069" s="23"/>
    </row>
    <row r="2070">
      <c r="B2070" s="16"/>
      <c r="L2070" s="23"/>
      <c r="M2070" s="23"/>
    </row>
    <row r="2071">
      <c r="B2071" s="16"/>
      <c r="L2071" s="23"/>
    </row>
    <row r="2072">
      <c r="B2072" s="16"/>
      <c r="L2072" s="23"/>
      <c r="M2072" s="23"/>
    </row>
    <row r="2073">
      <c r="B2073" s="16"/>
      <c r="L2073" s="23"/>
    </row>
    <row r="2074">
      <c r="B2074" s="16"/>
      <c r="L2074" s="23"/>
      <c r="M2074" s="23"/>
    </row>
    <row r="2075">
      <c r="B2075" s="16"/>
      <c r="L2075" s="23"/>
    </row>
    <row r="2076">
      <c r="B2076" s="16"/>
      <c r="L2076" s="23"/>
      <c r="M2076" s="23"/>
    </row>
    <row r="2077">
      <c r="B2077" s="16"/>
      <c r="L2077" s="23"/>
      <c r="M2077" s="23"/>
    </row>
    <row r="2078">
      <c r="B2078" s="16"/>
      <c r="L2078" s="23"/>
    </row>
    <row r="2079">
      <c r="B2079" s="16"/>
      <c r="L2079" s="23"/>
    </row>
    <row r="2080">
      <c r="B2080" s="16"/>
      <c r="L2080" s="23"/>
      <c r="M2080" s="23"/>
    </row>
    <row r="2081">
      <c r="B2081" s="16"/>
      <c r="L2081" s="23"/>
    </row>
    <row r="2082">
      <c r="B2082" s="16"/>
      <c r="L2082" s="23"/>
      <c r="M2082" s="23"/>
    </row>
    <row r="2083">
      <c r="B2083" s="16"/>
      <c r="L2083" s="23"/>
    </row>
    <row r="2084">
      <c r="B2084" s="16"/>
      <c r="L2084" s="23"/>
      <c r="M2084" s="23"/>
    </row>
    <row r="2085">
      <c r="B2085" s="16"/>
      <c r="L2085" s="23"/>
    </row>
    <row r="2086">
      <c r="B2086" s="16"/>
      <c r="L2086" s="23"/>
    </row>
    <row r="2087">
      <c r="B2087" s="16"/>
      <c r="L2087" s="23"/>
    </row>
    <row r="2088">
      <c r="B2088" s="16"/>
      <c r="L2088" s="23"/>
    </row>
    <row r="2089">
      <c r="B2089" s="16"/>
      <c r="L2089" s="23"/>
    </row>
    <row r="2090">
      <c r="B2090" s="16"/>
      <c r="L2090" s="23"/>
    </row>
    <row r="2091">
      <c r="B2091" s="16"/>
      <c r="L2091" s="23"/>
    </row>
    <row r="2092">
      <c r="B2092" s="16"/>
      <c r="L2092" s="23"/>
    </row>
    <row r="2093">
      <c r="B2093" s="16"/>
      <c r="L2093" s="23"/>
    </row>
    <row r="2094">
      <c r="B2094" s="16"/>
      <c r="L2094" s="23"/>
    </row>
    <row r="2095">
      <c r="B2095" s="16"/>
      <c r="L2095" s="23"/>
    </row>
    <row r="2096">
      <c r="B2096" s="16"/>
      <c r="L2096" s="23"/>
      <c r="M2096" s="23"/>
    </row>
    <row r="2097">
      <c r="B2097" s="16"/>
      <c r="L2097" s="23"/>
    </row>
    <row r="2098">
      <c r="B2098" s="16"/>
      <c r="L2098" s="23"/>
    </row>
    <row r="2099">
      <c r="B2099" s="16"/>
      <c r="L2099" s="23"/>
      <c r="M2099" s="23"/>
    </row>
    <row r="2100">
      <c r="B2100" s="16"/>
      <c r="L2100" s="23"/>
      <c r="M2100" s="23"/>
    </row>
    <row r="2101">
      <c r="B2101" s="16"/>
      <c r="L2101" s="23"/>
    </row>
    <row r="2102">
      <c r="B2102" s="16"/>
      <c r="L2102" s="23"/>
    </row>
    <row r="2103">
      <c r="B2103" s="16"/>
      <c r="L2103" s="23"/>
    </row>
    <row r="2104">
      <c r="B2104" s="16"/>
      <c r="L2104" s="23"/>
      <c r="M2104" s="23"/>
    </row>
    <row r="2105">
      <c r="B2105" s="16"/>
      <c r="L2105" s="23"/>
    </row>
    <row r="2106">
      <c r="B2106" s="16"/>
      <c r="L2106" s="23"/>
      <c r="M2106" s="23"/>
    </row>
    <row r="2107">
      <c r="B2107" s="16"/>
      <c r="L2107" s="23"/>
      <c r="M2107" s="23"/>
    </row>
    <row r="2108">
      <c r="B2108" s="16"/>
      <c r="L2108" s="23"/>
      <c r="M2108" s="23"/>
    </row>
    <row r="2109">
      <c r="B2109" s="16"/>
      <c r="L2109" s="23"/>
    </row>
    <row r="2110">
      <c r="B2110" s="16"/>
      <c r="L2110" s="23"/>
      <c r="M2110" s="23"/>
    </row>
    <row r="2111">
      <c r="B2111" s="16"/>
      <c r="L2111" s="23"/>
      <c r="M2111" s="23"/>
    </row>
    <row r="2112">
      <c r="B2112" s="16"/>
      <c r="L2112" s="23"/>
    </row>
    <row r="2113">
      <c r="B2113" s="16"/>
      <c r="L2113" s="23"/>
    </row>
    <row r="2114">
      <c r="B2114" s="16"/>
      <c r="L2114" s="23"/>
    </row>
    <row r="2115">
      <c r="B2115" s="16"/>
      <c r="L2115" s="23"/>
    </row>
    <row r="2116">
      <c r="B2116" s="16"/>
      <c r="L2116" s="23"/>
    </row>
    <row r="2117">
      <c r="B2117" s="16"/>
      <c r="L2117" s="23"/>
    </row>
    <row r="2118">
      <c r="B2118" s="16"/>
      <c r="L2118" s="23"/>
    </row>
    <row r="2119">
      <c r="B2119" s="16"/>
      <c r="L2119" s="23"/>
    </row>
    <row r="2120">
      <c r="B2120" s="16"/>
      <c r="L2120" s="23"/>
    </row>
    <row r="2121">
      <c r="B2121" s="16"/>
      <c r="L2121" s="23"/>
    </row>
    <row r="2122">
      <c r="B2122" s="16"/>
      <c r="L2122" s="23"/>
    </row>
    <row r="2123">
      <c r="B2123" s="16"/>
      <c r="L2123" s="23"/>
    </row>
    <row r="2124">
      <c r="B2124" s="16"/>
      <c r="L2124" s="23"/>
    </row>
    <row r="2125">
      <c r="B2125" s="16"/>
      <c r="L2125" s="23"/>
    </row>
    <row r="2126">
      <c r="B2126" s="16"/>
      <c r="L2126" s="23"/>
    </row>
    <row r="2127">
      <c r="B2127" s="16"/>
      <c r="L2127" s="23"/>
    </row>
    <row r="2128">
      <c r="B2128" s="16"/>
      <c r="L2128" s="23"/>
    </row>
    <row r="2129">
      <c r="B2129" s="16"/>
      <c r="L2129" s="23"/>
    </row>
    <row r="2130">
      <c r="B2130" s="16"/>
      <c r="L2130" s="23"/>
    </row>
    <row r="2131">
      <c r="B2131" s="16"/>
      <c r="L2131" s="23"/>
    </row>
    <row r="2132">
      <c r="B2132" s="16"/>
      <c r="L2132" s="23"/>
    </row>
    <row r="2133">
      <c r="B2133" s="16"/>
      <c r="L2133" s="23"/>
    </row>
    <row r="2134">
      <c r="B2134" s="16"/>
      <c r="L2134" s="23"/>
    </row>
    <row r="2135">
      <c r="B2135" s="16"/>
      <c r="L2135" s="23"/>
    </row>
    <row r="2136">
      <c r="B2136" s="16"/>
      <c r="L2136" s="23"/>
      <c r="M2136" s="23"/>
    </row>
    <row r="2137">
      <c r="B2137" s="16"/>
      <c r="L2137" s="23"/>
    </row>
    <row r="2138">
      <c r="B2138" s="16"/>
      <c r="L2138" s="23"/>
    </row>
    <row r="2139">
      <c r="B2139" s="16"/>
      <c r="L2139" s="23"/>
    </row>
    <row r="2140">
      <c r="B2140" s="16"/>
      <c r="L2140" s="23"/>
      <c r="M2140" s="23"/>
    </row>
    <row r="2141">
      <c r="B2141" s="16"/>
      <c r="L2141" s="23"/>
    </row>
    <row r="2142">
      <c r="B2142" s="16"/>
      <c r="L2142" s="23"/>
      <c r="M2142" s="23"/>
    </row>
    <row r="2143">
      <c r="B2143" s="16"/>
      <c r="L2143" s="23"/>
      <c r="M2143" s="23"/>
    </row>
    <row r="2144">
      <c r="B2144" s="16"/>
      <c r="L2144" s="23"/>
      <c r="M2144" s="23"/>
    </row>
    <row r="2145">
      <c r="B2145" s="16"/>
      <c r="L2145" s="23"/>
      <c r="M2145" s="23"/>
    </row>
    <row r="2146">
      <c r="B2146" s="16"/>
      <c r="L2146" s="23"/>
      <c r="M2146" s="23"/>
    </row>
    <row r="2147">
      <c r="B2147" s="16"/>
      <c r="L2147" s="23"/>
    </row>
    <row r="2148">
      <c r="B2148" s="16"/>
      <c r="L2148" s="23"/>
    </row>
    <row r="2149">
      <c r="B2149" s="16"/>
      <c r="L2149" s="23"/>
    </row>
    <row r="2150">
      <c r="B2150" s="16"/>
      <c r="L2150" s="23"/>
    </row>
    <row r="2151">
      <c r="B2151" s="16"/>
      <c r="L2151" s="23"/>
    </row>
    <row r="2152">
      <c r="B2152" s="16"/>
      <c r="L2152" s="23"/>
    </row>
    <row r="2153">
      <c r="B2153" s="16"/>
      <c r="L2153" s="23"/>
    </row>
    <row r="2154">
      <c r="B2154" s="16"/>
      <c r="L2154" s="23"/>
      <c r="M2154" s="23"/>
    </row>
    <row r="2155">
      <c r="B2155" s="16"/>
      <c r="L2155" s="23"/>
      <c r="M2155" s="23"/>
    </row>
    <row r="2156">
      <c r="B2156" s="16"/>
      <c r="L2156" s="23"/>
      <c r="M2156" s="23"/>
    </row>
    <row r="2157">
      <c r="B2157" s="16"/>
      <c r="L2157" s="23"/>
    </row>
    <row r="2158">
      <c r="B2158" s="16"/>
      <c r="L2158" s="23"/>
    </row>
    <row r="2159">
      <c r="B2159" s="16"/>
      <c r="L2159" s="23"/>
    </row>
    <row r="2160">
      <c r="B2160" s="16"/>
      <c r="L2160" s="23"/>
    </row>
    <row r="2161">
      <c r="B2161" s="16"/>
      <c r="L2161" s="23"/>
    </row>
    <row r="2162">
      <c r="B2162" s="16"/>
      <c r="L2162" s="23"/>
    </row>
    <row r="2163">
      <c r="B2163" s="16"/>
      <c r="L2163" s="23"/>
    </row>
    <row r="2164">
      <c r="B2164" s="16"/>
      <c r="L2164" s="23"/>
    </row>
    <row r="2165">
      <c r="B2165" s="16"/>
      <c r="L2165" s="23"/>
    </row>
    <row r="2166">
      <c r="B2166" s="16"/>
      <c r="L2166" s="23"/>
    </row>
    <row r="2167">
      <c r="B2167" s="16"/>
      <c r="L2167" s="23"/>
      <c r="M2167" s="23"/>
    </row>
    <row r="2168">
      <c r="B2168" s="16"/>
      <c r="L2168" s="23"/>
    </row>
    <row r="2169">
      <c r="B2169" s="16"/>
      <c r="L2169" s="23"/>
    </row>
    <row r="2170">
      <c r="B2170" s="16"/>
      <c r="L2170" s="23"/>
      <c r="M2170" s="23"/>
    </row>
    <row r="2171">
      <c r="B2171" s="16"/>
      <c r="L2171" s="23"/>
    </row>
    <row r="2172">
      <c r="B2172" s="16"/>
      <c r="L2172" s="23"/>
    </row>
    <row r="2173">
      <c r="B2173" s="16"/>
      <c r="L2173" s="23"/>
    </row>
    <row r="2174">
      <c r="B2174" s="16"/>
      <c r="L2174" s="23"/>
    </row>
    <row r="2175">
      <c r="B2175" s="16"/>
      <c r="L2175" s="23"/>
    </row>
    <row r="2176">
      <c r="B2176" s="16"/>
      <c r="L2176" s="23"/>
      <c r="M2176" s="23"/>
    </row>
    <row r="2177">
      <c r="B2177" s="16"/>
      <c r="L2177" s="23"/>
      <c r="M2177" s="23"/>
    </row>
    <row r="2178">
      <c r="B2178" s="16"/>
      <c r="L2178" s="23"/>
    </row>
    <row r="2179">
      <c r="B2179" s="16"/>
      <c r="L2179" s="23"/>
    </row>
    <row r="2180">
      <c r="B2180" s="16"/>
      <c r="L2180" s="23"/>
      <c r="M2180" s="23"/>
    </row>
    <row r="2181">
      <c r="B2181" s="16"/>
      <c r="L2181" s="23"/>
    </row>
    <row r="2182">
      <c r="B2182" s="16"/>
      <c r="L2182" s="23"/>
      <c r="M2182" s="23"/>
    </row>
    <row r="2183">
      <c r="B2183" s="16"/>
      <c r="L2183" s="23"/>
    </row>
    <row r="2184">
      <c r="B2184" s="16"/>
      <c r="L2184" s="23"/>
    </row>
    <row r="2185">
      <c r="B2185" s="16"/>
      <c r="L2185" s="23"/>
      <c r="M2185" s="23"/>
    </row>
    <row r="2186">
      <c r="B2186" s="16"/>
      <c r="L2186" s="23"/>
    </row>
    <row r="2187">
      <c r="B2187" s="16"/>
      <c r="L2187" s="23"/>
    </row>
    <row r="2188">
      <c r="B2188" s="16"/>
      <c r="L2188" s="23"/>
    </row>
    <row r="2189">
      <c r="B2189" s="16"/>
      <c r="L2189" s="23"/>
    </row>
    <row r="2190">
      <c r="B2190" s="16"/>
      <c r="L2190" s="23"/>
    </row>
    <row r="2191">
      <c r="B2191" s="16"/>
      <c r="L2191" s="23"/>
    </row>
    <row r="2192">
      <c r="B2192" s="16"/>
      <c r="L2192" s="23"/>
    </row>
    <row r="2193">
      <c r="B2193" s="16"/>
      <c r="L2193" s="23"/>
    </row>
    <row r="2194">
      <c r="B2194" s="16"/>
      <c r="L2194" s="23"/>
    </row>
    <row r="2195">
      <c r="B2195" s="16"/>
      <c r="L2195" s="23"/>
    </row>
    <row r="2196">
      <c r="B2196" s="16"/>
      <c r="L2196" s="23"/>
    </row>
    <row r="2197">
      <c r="B2197" s="16"/>
      <c r="L2197" s="23"/>
    </row>
    <row r="2198">
      <c r="B2198" s="16"/>
      <c r="L2198" s="23"/>
    </row>
    <row r="2199">
      <c r="B2199" s="16"/>
      <c r="L2199" s="23"/>
    </row>
    <row r="2200">
      <c r="B2200" s="16"/>
      <c r="L2200" s="23"/>
    </row>
    <row r="2201">
      <c r="B2201" s="16"/>
      <c r="L2201" s="23"/>
    </row>
    <row r="2202">
      <c r="B2202" s="16"/>
      <c r="L2202" s="23"/>
    </row>
    <row r="2203">
      <c r="B2203" s="16"/>
      <c r="L2203" s="23"/>
    </row>
    <row r="2204">
      <c r="B2204" s="16"/>
      <c r="L2204" s="23"/>
    </row>
    <row r="2205">
      <c r="B2205" s="16"/>
      <c r="L2205" s="23"/>
    </row>
    <row r="2206">
      <c r="B2206" s="16"/>
      <c r="L2206" s="23"/>
    </row>
    <row r="2207">
      <c r="B2207" s="16"/>
      <c r="L2207" s="23"/>
    </row>
    <row r="2208">
      <c r="B2208" s="16"/>
      <c r="L2208" s="23"/>
    </row>
    <row r="2209">
      <c r="B2209" s="16"/>
      <c r="L2209" s="23"/>
    </row>
    <row r="2210">
      <c r="B2210" s="16"/>
      <c r="L2210" s="23"/>
    </row>
    <row r="2211">
      <c r="B2211" s="16"/>
      <c r="L2211" s="23"/>
    </row>
    <row r="2212">
      <c r="B2212" s="16"/>
      <c r="L2212" s="23"/>
    </row>
    <row r="2213">
      <c r="B2213" s="16"/>
      <c r="L2213" s="23"/>
    </row>
    <row r="2214">
      <c r="B2214" s="16"/>
      <c r="L2214" s="23"/>
    </row>
    <row r="2215">
      <c r="B2215" s="16"/>
      <c r="L2215" s="23"/>
    </row>
    <row r="2216">
      <c r="B2216" s="16"/>
      <c r="L2216" s="23"/>
    </row>
    <row r="2217">
      <c r="B2217" s="16"/>
      <c r="L2217" s="23"/>
    </row>
    <row r="2218">
      <c r="B2218" s="16"/>
      <c r="L2218" s="23"/>
    </row>
    <row r="2219">
      <c r="B2219" s="16"/>
      <c r="L2219" s="23"/>
    </row>
    <row r="2220">
      <c r="B2220" s="16"/>
      <c r="L2220" s="23"/>
      <c r="M2220" s="23"/>
    </row>
    <row r="2221">
      <c r="B2221" s="16"/>
      <c r="L2221" s="23"/>
    </row>
    <row r="2222">
      <c r="B2222" s="16"/>
      <c r="L2222" s="23"/>
    </row>
    <row r="2223">
      <c r="B2223" s="16"/>
      <c r="L2223" s="23"/>
    </row>
    <row r="2224">
      <c r="B2224" s="16"/>
      <c r="L2224" s="23"/>
    </row>
    <row r="2225">
      <c r="B2225" s="16"/>
      <c r="L2225" s="23"/>
    </row>
    <row r="2226">
      <c r="B2226" s="16"/>
      <c r="L2226" s="23"/>
      <c r="M2226" s="23"/>
    </row>
    <row r="2227">
      <c r="B2227" s="16"/>
      <c r="L2227" s="23"/>
    </row>
    <row r="2228">
      <c r="B2228" s="16"/>
      <c r="L2228" s="23"/>
    </row>
    <row r="2229">
      <c r="B2229" s="16"/>
      <c r="L2229" s="23"/>
    </row>
    <row r="2230">
      <c r="B2230" s="16"/>
      <c r="L2230" s="23"/>
    </row>
    <row r="2231">
      <c r="B2231" s="16"/>
      <c r="L2231" s="23"/>
    </row>
    <row r="2232">
      <c r="B2232" s="16"/>
      <c r="L2232" s="23"/>
    </row>
    <row r="2233">
      <c r="B2233" s="16"/>
      <c r="L2233" s="23"/>
    </row>
    <row r="2234">
      <c r="B2234" s="16"/>
      <c r="L2234" s="23"/>
    </row>
    <row r="2235">
      <c r="B2235" s="16"/>
      <c r="L2235" s="23"/>
    </row>
    <row r="2236">
      <c r="B2236" s="16"/>
      <c r="L2236" s="23"/>
    </row>
    <row r="2237">
      <c r="B2237" s="16"/>
      <c r="L2237" s="23"/>
      <c r="M2237" s="23"/>
    </row>
    <row r="2238">
      <c r="B2238" s="16"/>
      <c r="L2238" s="23"/>
      <c r="M2238" s="23"/>
    </row>
    <row r="2239">
      <c r="B2239" s="16"/>
      <c r="L2239" s="23"/>
      <c r="M2239" s="23"/>
    </row>
    <row r="2240">
      <c r="B2240" s="16"/>
      <c r="L2240" s="23"/>
      <c r="M2240" s="23"/>
    </row>
    <row r="2241">
      <c r="B2241" s="16"/>
      <c r="L2241" s="23"/>
      <c r="M2241" s="23"/>
    </row>
    <row r="2242">
      <c r="B2242" s="16"/>
      <c r="L2242" s="23"/>
      <c r="M2242" s="23"/>
    </row>
    <row r="2243">
      <c r="B2243" s="16"/>
      <c r="L2243" s="23"/>
    </row>
    <row r="2244">
      <c r="B2244" s="16"/>
      <c r="L2244" s="23"/>
    </row>
    <row r="2245">
      <c r="B2245" s="16"/>
      <c r="L2245" s="23"/>
      <c r="M2245" s="23"/>
    </row>
    <row r="2246">
      <c r="B2246" s="16"/>
      <c r="L2246" s="23"/>
    </row>
    <row r="2247">
      <c r="B2247" s="16"/>
      <c r="L2247" s="23"/>
    </row>
    <row r="2248">
      <c r="B2248" s="16"/>
      <c r="L2248" s="23"/>
    </row>
    <row r="2249">
      <c r="B2249" s="16"/>
      <c r="L2249" s="23"/>
    </row>
    <row r="2250">
      <c r="B2250" s="16"/>
      <c r="L2250" s="23"/>
    </row>
    <row r="2251">
      <c r="B2251" s="16"/>
      <c r="L2251" s="23"/>
    </row>
    <row r="2252">
      <c r="B2252" s="16"/>
      <c r="L2252" s="23"/>
    </row>
    <row r="2253">
      <c r="B2253" s="16"/>
      <c r="L2253" s="23"/>
    </row>
    <row r="2254">
      <c r="B2254" s="16"/>
      <c r="L2254" s="23"/>
      <c r="M2254" s="23"/>
    </row>
    <row r="2255">
      <c r="B2255" s="16"/>
      <c r="L2255" s="23"/>
    </row>
    <row r="2256">
      <c r="B2256" s="16"/>
      <c r="L2256" s="23"/>
      <c r="M2256" s="23"/>
    </row>
    <row r="2257">
      <c r="B2257" s="16"/>
      <c r="L2257" s="23"/>
    </row>
    <row r="2258">
      <c r="B2258" s="16"/>
      <c r="L2258" s="23"/>
    </row>
    <row r="2259">
      <c r="B2259" s="16"/>
      <c r="L2259" s="23"/>
      <c r="M2259" s="23"/>
    </row>
    <row r="2260">
      <c r="B2260" s="16"/>
      <c r="L2260" s="23"/>
    </row>
    <row r="2261">
      <c r="B2261" s="16"/>
      <c r="L2261" s="23"/>
    </row>
    <row r="2262">
      <c r="B2262" s="16"/>
      <c r="L2262" s="23"/>
      <c r="M2262" s="23"/>
    </row>
    <row r="2263">
      <c r="B2263" s="16"/>
      <c r="L2263" s="23"/>
    </row>
    <row r="2264">
      <c r="B2264" s="16"/>
      <c r="L2264" s="23"/>
    </row>
    <row r="2265">
      <c r="B2265" s="16"/>
      <c r="L2265" s="23"/>
      <c r="M2265" s="23"/>
    </row>
    <row r="2266">
      <c r="B2266" s="16"/>
      <c r="L2266" s="23"/>
      <c r="M2266" s="23"/>
    </row>
    <row r="2267">
      <c r="B2267" s="16"/>
      <c r="L2267" s="23"/>
    </row>
    <row r="2268">
      <c r="B2268" s="16"/>
      <c r="L2268" s="23"/>
      <c r="M2268" s="23"/>
    </row>
    <row r="2269">
      <c r="B2269" s="16"/>
      <c r="L2269" s="23"/>
    </row>
    <row r="2270">
      <c r="B2270" s="16"/>
      <c r="L2270" s="23"/>
      <c r="M2270" s="23"/>
    </row>
    <row r="2271">
      <c r="B2271" s="16"/>
      <c r="L2271" s="23"/>
      <c r="M2271" s="23"/>
    </row>
    <row r="2272">
      <c r="B2272" s="16"/>
      <c r="L2272" s="23"/>
    </row>
    <row r="2273">
      <c r="B2273" s="16"/>
      <c r="L2273" s="23"/>
    </row>
    <row r="2274">
      <c r="B2274" s="16"/>
      <c r="L2274" s="23"/>
      <c r="M2274" s="23"/>
    </row>
    <row r="2275">
      <c r="B2275" s="16"/>
      <c r="L2275" s="23"/>
      <c r="M2275" s="23"/>
    </row>
    <row r="2276">
      <c r="B2276" s="16"/>
      <c r="L2276" s="23"/>
      <c r="M2276" s="23"/>
    </row>
    <row r="2277">
      <c r="B2277" s="16"/>
      <c r="L2277" s="23"/>
    </row>
    <row r="2278">
      <c r="B2278" s="16"/>
      <c r="L2278" s="23"/>
    </row>
    <row r="2279">
      <c r="B2279" s="16"/>
      <c r="L2279" s="23"/>
    </row>
    <row r="2280">
      <c r="B2280" s="16"/>
      <c r="L2280" s="23"/>
    </row>
    <row r="2281">
      <c r="B2281" s="16"/>
      <c r="L2281" s="23"/>
    </row>
    <row r="2282">
      <c r="B2282" s="16"/>
      <c r="L2282" s="23"/>
    </row>
    <row r="2283">
      <c r="B2283" s="16"/>
      <c r="L2283" s="23"/>
    </row>
    <row r="2284">
      <c r="B2284" s="16"/>
      <c r="L2284" s="23"/>
    </row>
    <row r="2285">
      <c r="B2285" s="16"/>
      <c r="L2285" s="23"/>
    </row>
    <row r="2286">
      <c r="B2286" s="16"/>
      <c r="L2286" s="23"/>
    </row>
    <row r="2287">
      <c r="B2287" s="16"/>
      <c r="L2287" s="23"/>
    </row>
    <row r="2288">
      <c r="B2288" s="16"/>
      <c r="L2288" s="23"/>
    </row>
    <row r="2289">
      <c r="B2289" s="16"/>
      <c r="L2289" s="23"/>
    </row>
    <row r="2290">
      <c r="B2290" s="16"/>
      <c r="L2290" s="23"/>
    </row>
    <row r="2291">
      <c r="B2291" s="16"/>
      <c r="L2291" s="23"/>
    </row>
    <row r="2292">
      <c r="B2292" s="16"/>
      <c r="L2292" s="23"/>
    </row>
    <row r="2293">
      <c r="B2293" s="16"/>
      <c r="L2293" s="23"/>
    </row>
    <row r="2294">
      <c r="B2294" s="16"/>
      <c r="L2294" s="23"/>
      <c r="M2294" s="23"/>
    </row>
    <row r="2295">
      <c r="B2295" s="16"/>
      <c r="L2295" s="23"/>
    </row>
    <row r="2296">
      <c r="B2296" s="16"/>
      <c r="L2296" s="23"/>
    </row>
    <row r="2297">
      <c r="B2297" s="16"/>
      <c r="L2297" s="23"/>
    </row>
    <row r="2298">
      <c r="B2298" s="16"/>
      <c r="L2298" s="23"/>
    </row>
    <row r="2299">
      <c r="B2299" s="16"/>
      <c r="L2299" s="23"/>
    </row>
    <row r="2300">
      <c r="B2300" s="16"/>
      <c r="L2300" s="23"/>
    </row>
    <row r="2301">
      <c r="B2301" s="16"/>
      <c r="L2301" s="23"/>
    </row>
    <row r="2302">
      <c r="B2302" s="16"/>
      <c r="L2302" s="23"/>
    </row>
    <row r="2303">
      <c r="B2303" s="16"/>
      <c r="L2303" s="23"/>
    </row>
    <row r="2304">
      <c r="B2304" s="16"/>
      <c r="L2304" s="23"/>
    </row>
    <row r="2305">
      <c r="B2305" s="16"/>
      <c r="L2305" s="23"/>
    </row>
    <row r="2306">
      <c r="B2306" s="16"/>
      <c r="L2306" s="23"/>
    </row>
    <row r="2307">
      <c r="B2307" s="16"/>
      <c r="L2307" s="23"/>
    </row>
    <row r="2308">
      <c r="B2308" s="16"/>
      <c r="L2308" s="23"/>
    </row>
    <row r="2309">
      <c r="B2309" s="16"/>
      <c r="L2309" s="23"/>
    </row>
    <row r="2310">
      <c r="B2310" s="16"/>
      <c r="L2310" s="23"/>
    </row>
    <row r="2311">
      <c r="B2311" s="16"/>
      <c r="L2311" s="23"/>
    </row>
    <row r="2312">
      <c r="B2312" s="16"/>
      <c r="L2312" s="23"/>
    </row>
    <row r="2313">
      <c r="B2313" s="16"/>
      <c r="L2313" s="23"/>
    </row>
    <row r="2314">
      <c r="B2314" s="16"/>
      <c r="L2314" s="23"/>
    </row>
    <row r="2315">
      <c r="B2315" s="16"/>
      <c r="L2315" s="23"/>
    </row>
    <row r="2316">
      <c r="B2316" s="16"/>
      <c r="L2316" s="23"/>
    </row>
    <row r="2317">
      <c r="B2317" s="16"/>
      <c r="L2317" s="23"/>
      <c r="M2317" s="23"/>
    </row>
    <row r="2318">
      <c r="B2318" s="16"/>
      <c r="L2318" s="23"/>
    </row>
    <row r="2319">
      <c r="B2319" s="16"/>
      <c r="L2319" s="23"/>
    </row>
    <row r="2320">
      <c r="B2320" s="16"/>
      <c r="L2320" s="23"/>
    </row>
    <row r="2321">
      <c r="B2321" s="16"/>
      <c r="L2321" s="23"/>
    </row>
    <row r="2322">
      <c r="B2322" s="16"/>
      <c r="L2322" s="23"/>
    </row>
    <row r="2323">
      <c r="B2323" s="16"/>
      <c r="L2323" s="23"/>
      <c r="M2323" s="23"/>
    </row>
    <row r="2324">
      <c r="B2324" s="16"/>
      <c r="L2324" s="23"/>
      <c r="M2324" s="23"/>
    </row>
    <row r="2325">
      <c r="B2325" s="16"/>
      <c r="L2325" s="23"/>
      <c r="M2325" s="23"/>
    </row>
    <row r="2326">
      <c r="B2326" s="16"/>
      <c r="L2326" s="23"/>
      <c r="M2326" s="23"/>
    </row>
    <row r="2327">
      <c r="B2327" s="16"/>
      <c r="L2327" s="23"/>
      <c r="M2327" s="23"/>
    </row>
    <row r="2328">
      <c r="B2328" s="16"/>
      <c r="L2328" s="23"/>
      <c r="M2328" s="23"/>
    </row>
    <row r="2329">
      <c r="B2329" s="16"/>
      <c r="L2329" s="23"/>
    </row>
    <row r="2330">
      <c r="B2330" s="16"/>
      <c r="L2330" s="23"/>
    </row>
    <row r="2331">
      <c r="B2331" s="16"/>
      <c r="L2331" s="23"/>
      <c r="M2331" s="23"/>
    </row>
    <row r="2332">
      <c r="B2332" s="16"/>
      <c r="L2332" s="23"/>
      <c r="M2332" s="23"/>
    </row>
    <row r="2333">
      <c r="B2333" s="16"/>
      <c r="L2333" s="23"/>
      <c r="M2333" s="23"/>
    </row>
    <row r="2334">
      <c r="B2334" s="16"/>
      <c r="L2334" s="23"/>
      <c r="M2334" s="23"/>
    </row>
    <row r="2335">
      <c r="B2335" s="16"/>
      <c r="L2335" s="23"/>
      <c r="M2335" s="23"/>
    </row>
    <row r="2336">
      <c r="B2336" s="16"/>
      <c r="L2336" s="23"/>
    </row>
    <row r="2337">
      <c r="B2337" s="16"/>
      <c r="L2337" s="23"/>
      <c r="M2337" s="23"/>
    </row>
    <row r="2338">
      <c r="B2338" s="16"/>
      <c r="L2338" s="23"/>
      <c r="M2338" s="23"/>
    </row>
    <row r="2339">
      <c r="B2339" s="16"/>
      <c r="L2339" s="23"/>
      <c r="M2339" s="23"/>
    </row>
    <row r="2340">
      <c r="B2340" s="16"/>
      <c r="L2340" s="23"/>
      <c r="M2340" s="23"/>
    </row>
    <row r="2341">
      <c r="B2341" s="16"/>
      <c r="L2341" s="23"/>
      <c r="M2341" s="23"/>
    </row>
    <row r="2342">
      <c r="B2342" s="16"/>
      <c r="L2342" s="23"/>
      <c r="M2342" s="23"/>
    </row>
    <row r="2343">
      <c r="B2343" s="16"/>
      <c r="L2343" s="23"/>
      <c r="M2343" s="23"/>
    </row>
    <row r="2344">
      <c r="B2344" s="16"/>
      <c r="L2344" s="23"/>
    </row>
    <row r="2345">
      <c r="B2345" s="16"/>
      <c r="L2345" s="23"/>
      <c r="M2345" s="23"/>
    </row>
    <row r="2346">
      <c r="B2346" s="16"/>
      <c r="L2346" s="23"/>
      <c r="M2346" s="23"/>
    </row>
    <row r="2347">
      <c r="B2347" s="16"/>
      <c r="L2347" s="23"/>
    </row>
    <row r="2348">
      <c r="B2348" s="16"/>
      <c r="L2348" s="23"/>
      <c r="M2348" s="23"/>
    </row>
    <row r="2349">
      <c r="B2349" s="16"/>
      <c r="L2349" s="23"/>
      <c r="M2349" s="23"/>
    </row>
    <row r="2350">
      <c r="B2350" s="16"/>
      <c r="L2350" s="23"/>
      <c r="M2350" s="23"/>
    </row>
    <row r="2351">
      <c r="B2351" s="16"/>
      <c r="L2351" s="23"/>
      <c r="M2351" s="23"/>
    </row>
    <row r="2352">
      <c r="B2352" s="16"/>
      <c r="L2352" s="23"/>
      <c r="M2352" s="23"/>
    </row>
    <row r="2353">
      <c r="B2353" s="16"/>
      <c r="L2353" s="23"/>
      <c r="M2353" s="23"/>
    </row>
    <row r="2354">
      <c r="B2354" s="16"/>
      <c r="L2354" s="23"/>
      <c r="M2354" s="23"/>
    </row>
    <row r="2355">
      <c r="B2355" s="16"/>
      <c r="L2355" s="23"/>
      <c r="M2355" s="23"/>
    </row>
    <row r="2356">
      <c r="B2356" s="16"/>
      <c r="L2356" s="23"/>
      <c r="M2356" s="23"/>
    </row>
    <row r="2357">
      <c r="B2357" s="16"/>
      <c r="L2357" s="23"/>
    </row>
    <row r="2358">
      <c r="B2358" s="16"/>
      <c r="L2358" s="23"/>
      <c r="M2358" s="23"/>
    </row>
    <row r="2359">
      <c r="B2359" s="16"/>
      <c r="L2359" s="23"/>
      <c r="M2359" s="23"/>
    </row>
    <row r="2360">
      <c r="B2360" s="16"/>
      <c r="L2360" s="23"/>
      <c r="M2360" s="23"/>
    </row>
    <row r="2361">
      <c r="B2361" s="16"/>
      <c r="L2361" s="23"/>
      <c r="M2361" s="23"/>
    </row>
    <row r="2362">
      <c r="B2362" s="16"/>
      <c r="L2362" s="23"/>
    </row>
    <row r="2363">
      <c r="B2363" s="16"/>
      <c r="L2363" s="23"/>
    </row>
    <row r="2364">
      <c r="B2364" s="16"/>
      <c r="L2364" s="23"/>
    </row>
    <row r="2365">
      <c r="B2365" s="16"/>
      <c r="L2365" s="23"/>
      <c r="M2365" s="23"/>
    </row>
    <row r="2366">
      <c r="B2366" s="16"/>
      <c r="L2366" s="23"/>
      <c r="M2366" s="23"/>
    </row>
    <row r="2367">
      <c r="B2367" s="16"/>
      <c r="L2367" s="23"/>
    </row>
    <row r="2368">
      <c r="B2368" s="16"/>
      <c r="L2368" s="23"/>
    </row>
    <row r="2369">
      <c r="B2369" s="16"/>
      <c r="L2369" s="23"/>
    </row>
    <row r="2370">
      <c r="B2370" s="16"/>
      <c r="L2370" s="23"/>
    </row>
    <row r="2371">
      <c r="B2371" s="16"/>
      <c r="L2371" s="23"/>
    </row>
    <row r="2372">
      <c r="B2372" s="16"/>
      <c r="L2372" s="23"/>
    </row>
    <row r="2373">
      <c r="B2373" s="16"/>
      <c r="L2373" s="23"/>
    </row>
    <row r="2374">
      <c r="B2374" s="16"/>
      <c r="L2374" s="23"/>
    </row>
    <row r="2375">
      <c r="B2375" s="16"/>
      <c r="L2375" s="23"/>
    </row>
    <row r="2376">
      <c r="B2376" s="16"/>
      <c r="L2376" s="23"/>
    </row>
    <row r="2377">
      <c r="B2377" s="16"/>
      <c r="L2377" s="23"/>
      <c r="M2377" s="23"/>
    </row>
    <row r="2378">
      <c r="B2378" s="16"/>
      <c r="L2378" s="23"/>
    </row>
    <row r="2379">
      <c r="B2379" s="16"/>
      <c r="L2379" s="23"/>
    </row>
    <row r="2380">
      <c r="B2380" s="16"/>
      <c r="L2380" s="23"/>
    </row>
    <row r="2381">
      <c r="B2381" s="16"/>
      <c r="L2381" s="23"/>
    </row>
    <row r="2382">
      <c r="B2382" s="16"/>
      <c r="L2382" s="23"/>
    </row>
    <row r="2383">
      <c r="B2383" s="16"/>
      <c r="L2383" s="23"/>
    </row>
    <row r="2384">
      <c r="B2384" s="16"/>
      <c r="L2384" s="23"/>
    </row>
    <row r="2385">
      <c r="B2385" s="16"/>
      <c r="L2385" s="23"/>
    </row>
    <row r="2386">
      <c r="B2386" s="16"/>
      <c r="L2386" s="23"/>
      <c r="M2386" s="23"/>
    </row>
    <row r="2387">
      <c r="B2387" s="16"/>
      <c r="L2387" s="23"/>
      <c r="M2387" s="23"/>
    </row>
    <row r="2388">
      <c r="B2388" s="16"/>
      <c r="L2388" s="23"/>
    </row>
    <row r="2389">
      <c r="B2389" s="16"/>
      <c r="L2389" s="23"/>
    </row>
    <row r="2390">
      <c r="B2390" s="16"/>
      <c r="L2390" s="23"/>
    </row>
    <row r="2391">
      <c r="B2391" s="16"/>
      <c r="L2391" s="23"/>
    </row>
    <row r="2392">
      <c r="B2392" s="16"/>
      <c r="L2392" s="23"/>
    </row>
    <row r="2393">
      <c r="B2393" s="16"/>
      <c r="L2393" s="23"/>
    </row>
    <row r="2394">
      <c r="B2394" s="16"/>
      <c r="L2394" s="23"/>
      <c r="M2394" s="23"/>
    </row>
    <row r="2395">
      <c r="B2395" s="16"/>
      <c r="L2395" s="23"/>
      <c r="M2395" s="23"/>
    </row>
    <row r="2396">
      <c r="B2396" s="16"/>
      <c r="L2396" s="23"/>
    </row>
    <row r="2397">
      <c r="B2397" s="16"/>
      <c r="L2397" s="23"/>
      <c r="M2397" s="23"/>
    </row>
    <row r="2398">
      <c r="B2398" s="16"/>
      <c r="L2398" s="23"/>
    </row>
    <row r="2399">
      <c r="B2399" s="16"/>
      <c r="L2399" s="23"/>
    </row>
    <row r="2400">
      <c r="B2400" s="16"/>
      <c r="L2400" s="23"/>
      <c r="M2400" s="23"/>
    </row>
    <row r="2401">
      <c r="B2401" s="16"/>
      <c r="L2401" s="23"/>
      <c r="M2401" s="23"/>
    </row>
    <row r="2402">
      <c r="B2402" s="16"/>
      <c r="L2402" s="23"/>
      <c r="M2402" s="23"/>
    </row>
    <row r="2403">
      <c r="B2403" s="16"/>
      <c r="L2403" s="23"/>
    </row>
    <row r="2404">
      <c r="B2404" s="16"/>
      <c r="L2404" s="23"/>
    </row>
    <row r="2405">
      <c r="B2405" s="16"/>
      <c r="L2405" s="23"/>
    </row>
    <row r="2406">
      <c r="B2406" s="16"/>
      <c r="L2406" s="23"/>
      <c r="M2406" s="23"/>
    </row>
    <row r="2407">
      <c r="B2407" s="16"/>
      <c r="L2407" s="23"/>
    </row>
    <row r="2408">
      <c r="B2408" s="16"/>
      <c r="L2408" s="23"/>
      <c r="M2408" s="23"/>
    </row>
    <row r="2409">
      <c r="B2409" s="16"/>
      <c r="L2409" s="23"/>
      <c r="M2409" s="23"/>
    </row>
    <row r="2410">
      <c r="B2410" s="16"/>
      <c r="L2410" s="23"/>
      <c r="M2410" s="23"/>
    </row>
    <row r="2411">
      <c r="B2411" s="16"/>
      <c r="L2411" s="23"/>
    </row>
    <row r="2412">
      <c r="B2412" s="16"/>
      <c r="L2412" s="23"/>
    </row>
    <row r="2413">
      <c r="B2413" s="16"/>
      <c r="L2413" s="23"/>
    </row>
    <row r="2414">
      <c r="B2414" s="16"/>
      <c r="L2414" s="23"/>
      <c r="M2414" s="23"/>
    </row>
    <row r="2415">
      <c r="B2415" s="16"/>
      <c r="L2415" s="23"/>
      <c r="M2415" s="23"/>
    </row>
    <row r="2416">
      <c r="B2416" s="16"/>
      <c r="L2416" s="23"/>
    </row>
    <row r="2417">
      <c r="B2417" s="16"/>
      <c r="L2417" s="23"/>
    </row>
    <row r="2418">
      <c r="B2418" s="16"/>
      <c r="L2418" s="23"/>
      <c r="M2418" s="23"/>
    </row>
    <row r="2419">
      <c r="B2419" s="16"/>
      <c r="L2419" s="23"/>
    </row>
    <row r="2420">
      <c r="B2420" s="16"/>
      <c r="L2420" s="23"/>
      <c r="M2420" s="23"/>
    </row>
    <row r="2421">
      <c r="B2421" s="16"/>
      <c r="L2421" s="23"/>
    </row>
    <row r="2422">
      <c r="B2422" s="16"/>
      <c r="L2422" s="23"/>
    </row>
    <row r="2423">
      <c r="B2423" s="16"/>
      <c r="L2423" s="23"/>
    </row>
    <row r="2424">
      <c r="B2424" s="16"/>
      <c r="L2424" s="23"/>
    </row>
    <row r="2425">
      <c r="B2425" s="16"/>
      <c r="L2425" s="23"/>
      <c r="M2425" s="23"/>
    </row>
    <row r="2426">
      <c r="B2426" s="16"/>
      <c r="L2426" s="23"/>
    </row>
    <row r="2427">
      <c r="B2427" s="16"/>
      <c r="L2427" s="23"/>
      <c r="M2427" s="23"/>
    </row>
    <row r="2428">
      <c r="B2428" s="16"/>
      <c r="L2428" s="23"/>
    </row>
    <row r="2429">
      <c r="B2429" s="16"/>
      <c r="L2429" s="23"/>
    </row>
    <row r="2430">
      <c r="B2430" s="16"/>
      <c r="L2430" s="23"/>
    </row>
    <row r="2431">
      <c r="B2431" s="16"/>
      <c r="L2431" s="23"/>
    </row>
    <row r="2432">
      <c r="B2432" s="16"/>
      <c r="L2432" s="23"/>
    </row>
    <row r="2433">
      <c r="B2433" s="16"/>
      <c r="L2433" s="23"/>
    </row>
    <row r="2434">
      <c r="B2434" s="16"/>
      <c r="L2434" s="23"/>
    </row>
    <row r="2435">
      <c r="B2435" s="16"/>
      <c r="L2435" s="23"/>
    </row>
    <row r="2436">
      <c r="B2436" s="16"/>
      <c r="L2436" s="23"/>
      <c r="M2436" s="23"/>
    </row>
    <row r="2437">
      <c r="B2437" s="16"/>
      <c r="L2437" s="23"/>
    </row>
    <row r="2438">
      <c r="B2438" s="16"/>
      <c r="L2438" s="23"/>
    </row>
    <row r="2439">
      <c r="B2439" s="16"/>
      <c r="L2439" s="23"/>
    </row>
    <row r="2440">
      <c r="B2440" s="16"/>
      <c r="L2440" s="23"/>
    </row>
    <row r="2441">
      <c r="B2441" s="16"/>
      <c r="L2441" s="23"/>
    </row>
    <row r="2442">
      <c r="B2442" s="16"/>
      <c r="L2442" s="23"/>
    </row>
    <row r="2443">
      <c r="B2443" s="16"/>
      <c r="L2443" s="23"/>
    </row>
    <row r="2444">
      <c r="B2444" s="16"/>
      <c r="L2444" s="23"/>
      <c r="M2444" s="23"/>
    </row>
    <row r="2445">
      <c r="B2445" s="16"/>
      <c r="L2445" s="23"/>
    </row>
    <row r="2446">
      <c r="B2446" s="16"/>
      <c r="L2446" s="23"/>
    </row>
    <row r="2447">
      <c r="B2447" s="16"/>
      <c r="L2447" s="23"/>
    </row>
    <row r="2448">
      <c r="B2448" s="16"/>
      <c r="L2448" s="23"/>
    </row>
    <row r="2449">
      <c r="B2449" s="16"/>
      <c r="L2449" s="23"/>
    </row>
    <row r="2450">
      <c r="B2450" s="16"/>
      <c r="L2450" s="23"/>
    </row>
    <row r="2451">
      <c r="B2451" s="16"/>
      <c r="L2451" s="23"/>
    </row>
    <row r="2452">
      <c r="B2452" s="16"/>
      <c r="L2452" s="23"/>
    </row>
    <row r="2453">
      <c r="B2453" s="16"/>
      <c r="L2453" s="23"/>
    </row>
    <row r="2454">
      <c r="B2454" s="16"/>
      <c r="L2454" s="23"/>
      <c r="M2454" s="23"/>
    </row>
    <row r="2455">
      <c r="B2455" s="16"/>
      <c r="L2455" s="23"/>
    </row>
    <row r="2456">
      <c r="B2456" s="16"/>
      <c r="L2456" s="23"/>
    </row>
    <row r="2457">
      <c r="B2457" s="16"/>
      <c r="L2457" s="23"/>
      <c r="M2457" s="23"/>
    </row>
    <row r="2458">
      <c r="B2458" s="16"/>
      <c r="L2458" s="23"/>
    </row>
    <row r="2459">
      <c r="B2459" s="16"/>
      <c r="L2459" s="23"/>
    </row>
    <row r="2460">
      <c r="B2460" s="16"/>
      <c r="L2460" s="23"/>
    </row>
    <row r="2461">
      <c r="B2461" s="16"/>
      <c r="L2461" s="23"/>
      <c r="M2461" s="23"/>
    </row>
    <row r="2462">
      <c r="B2462" s="16"/>
      <c r="L2462" s="23"/>
    </row>
    <row r="2463">
      <c r="B2463" s="16"/>
      <c r="L2463" s="23"/>
    </row>
    <row r="2464">
      <c r="B2464" s="16"/>
      <c r="L2464" s="23"/>
    </row>
    <row r="2465">
      <c r="B2465" s="16"/>
      <c r="L2465" s="23"/>
      <c r="M2465" s="23"/>
    </row>
    <row r="2466">
      <c r="B2466" s="16"/>
      <c r="L2466" s="23"/>
    </row>
    <row r="2467">
      <c r="B2467" s="16"/>
      <c r="L2467" s="23"/>
    </row>
    <row r="2468">
      <c r="B2468" s="16"/>
      <c r="L2468" s="23"/>
    </row>
    <row r="2469">
      <c r="B2469" s="16"/>
      <c r="L2469" s="23"/>
    </row>
    <row r="2470">
      <c r="B2470" s="16"/>
      <c r="L2470" s="23"/>
      <c r="M2470" s="23"/>
    </row>
    <row r="2471">
      <c r="B2471" s="16"/>
      <c r="L2471" s="23"/>
      <c r="M2471" s="23"/>
    </row>
    <row r="2472">
      <c r="B2472" s="16"/>
      <c r="L2472" s="23"/>
      <c r="M2472" s="23"/>
    </row>
    <row r="2473">
      <c r="B2473" s="16"/>
      <c r="L2473" s="23"/>
      <c r="M2473" s="23"/>
    </row>
    <row r="2474">
      <c r="B2474" s="16"/>
      <c r="L2474" s="23"/>
      <c r="M2474" s="23"/>
    </row>
    <row r="2475">
      <c r="B2475" s="16"/>
      <c r="L2475" s="23"/>
      <c r="M2475" s="23"/>
    </row>
    <row r="2476">
      <c r="B2476" s="16"/>
      <c r="L2476" s="23"/>
      <c r="M2476" s="23"/>
    </row>
    <row r="2477">
      <c r="B2477" s="16"/>
      <c r="L2477" s="23"/>
      <c r="M2477" s="23"/>
    </row>
    <row r="2478">
      <c r="B2478" s="16"/>
      <c r="L2478" s="23"/>
      <c r="M2478" s="23"/>
    </row>
    <row r="2479">
      <c r="B2479" s="16"/>
      <c r="L2479" s="23"/>
    </row>
    <row r="2480">
      <c r="B2480" s="16"/>
      <c r="L2480" s="23"/>
    </row>
    <row r="2481">
      <c r="B2481" s="16"/>
      <c r="L2481" s="23"/>
    </row>
    <row r="2482">
      <c r="B2482" s="16"/>
      <c r="L2482" s="23"/>
    </row>
    <row r="2483">
      <c r="B2483" s="16"/>
      <c r="L2483" s="23"/>
    </row>
    <row r="2484">
      <c r="B2484" s="16"/>
      <c r="L2484" s="23"/>
    </row>
    <row r="2485">
      <c r="B2485" s="16"/>
      <c r="L2485" s="23"/>
    </row>
    <row r="2486">
      <c r="B2486" s="16"/>
      <c r="L2486" s="23"/>
    </row>
    <row r="2487">
      <c r="B2487" s="16"/>
      <c r="L2487" s="23"/>
    </row>
    <row r="2488">
      <c r="B2488" s="16"/>
      <c r="L2488" s="23"/>
    </row>
    <row r="2489">
      <c r="B2489" s="16"/>
      <c r="L2489" s="23"/>
    </row>
    <row r="2490">
      <c r="B2490" s="16"/>
      <c r="L2490" s="23"/>
      <c r="M2490" s="23"/>
    </row>
    <row r="2491">
      <c r="B2491" s="16"/>
      <c r="L2491" s="23"/>
    </row>
    <row r="2492">
      <c r="B2492" s="16"/>
      <c r="L2492" s="23"/>
    </row>
    <row r="2493">
      <c r="B2493" s="16"/>
      <c r="L2493" s="23"/>
    </row>
    <row r="2494">
      <c r="B2494" s="16"/>
      <c r="L2494" s="23"/>
    </row>
    <row r="2495">
      <c r="B2495" s="16"/>
      <c r="L2495" s="23"/>
    </row>
    <row r="2496">
      <c r="B2496" s="16"/>
      <c r="L2496" s="23"/>
    </row>
    <row r="2497">
      <c r="B2497" s="16"/>
      <c r="L2497" s="23"/>
    </row>
    <row r="2498">
      <c r="B2498" s="16"/>
      <c r="L2498" s="23"/>
    </row>
    <row r="2499">
      <c r="B2499" s="16"/>
      <c r="L2499" s="23"/>
    </row>
    <row r="2500">
      <c r="B2500" s="16"/>
      <c r="L2500" s="23"/>
    </row>
    <row r="2501">
      <c r="B2501" s="16"/>
      <c r="L2501" s="23"/>
    </row>
    <row r="2502">
      <c r="B2502" s="16"/>
      <c r="L2502" s="23"/>
    </row>
    <row r="2503">
      <c r="B2503" s="16"/>
      <c r="L2503" s="23"/>
    </row>
    <row r="2504">
      <c r="B2504" s="16"/>
      <c r="L2504" s="23"/>
      <c r="M2504" s="23"/>
    </row>
    <row r="2505">
      <c r="B2505" s="16"/>
      <c r="L2505" s="23"/>
    </row>
    <row r="2506">
      <c r="B2506" s="16"/>
      <c r="L2506" s="23"/>
    </row>
    <row r="2507">
      <c r="B2507" s="16"/>
      <c r="L2507" s="23"/>
    </row>
    <row r="2508">
      <c r="B2508" s="16"/>
      <c r="L2508" s="23"/>
    </row>
    <row r="2509">
      <c r="B2509" s="16"/>
      <c r="L2509" s="23"/>
    </row>
    <row r="2510">
      <c r="B2510" s="16"/>
      <c r="L2510" s="23"/>
    </row>
    <row r="2511">
      <c r="B2511" s="16"/>
      <c r="L2511" s="23"/>
    </row>
    <row r="2512">
      <c r="B2512" s="16"/>
      <c r="L2512" s="23"/>
    </row>
    <row r="2513">
      <c r="B2513" s="16"/>
      <c r="L2513" s="23"/>
    </row>
    <row r="2514">
      <c r="B2514" s="16"/>
      <c r="L2514" s="23"/>
    </row>
    <row r="2515">
      <c r="B2515" s="16"/>
      <c r="L2515" s="23"/>
    </row>
    <row r="2516">
      <c r="B2516" s="16"/>
      <c r="L2516" s="23"/>
      <c r="M2516" s="23"/>
    </row>
    <row r="2517">
      <c r="B2517" s="16"/>
      <c r="L2517" s="23"/>
    </row>
    <row r="2518">
      <c r="B2518" s="16"/>
      <c r="L2518" s="23"/>
    </row>
    <row r="2519">
      <c r="B2519" s="16"/>
      <c r="L2519" s="23"/>
    </row>
    <row r="2520">
      <c r="B2520" s="16"/>
      <c r="L2520" s="23"/>
    </row>
    <row r="2521">
      <c r="B2521" s="16"/>
      <c r="L2521" s="23"/>
    </row>
    <row r="2522">
      <c r="B2522" s="16"/>
      <c r="L2522" s="23"/>
    </row>
    <row r="2523">
      <c r="B2523" s="16"/>
      <c r="L2523" s="23"/>
    </row>
    <row r="2524">
      <c r="B2524" s="16"/>
      <c r="L2524" s="23"/>
      <c r="M2524" s="23"/>
    </row>
    <row r="2525">
      <c r="B2525" s="16"/>
      <c r="L2525" s="23"/>
    </row>
    <row r="2526">
      <c r="B2526" s="16"/>
      <c r="L2526" s="23"/>
      <c r="M2526" s="23"/>
    </row>
    <row r="2527">
      <c r="B2527" s="16"/>
      <c r="L2527" s="23"/>
      <c r="M2527" s="23"/>
    </row>
    <row r="2528">
      <c r="B2528" s="16"/>
      <c r="L2528" s="23"/>
      <c r="M2528" s="23"/>
    </row>
    <row r="2529">
      <c r="B2529" s="16"/>
      <c r="L2529" s="23"/>
      <c r="M2529" s="23"/>
    </row>
    <row r="2530">
      <c r="B2530" s="16"/>
      <c r="L2530" s="23"/>
      <c r="M2530" s="23"/>
    </row>
    <row r="2531">
      <c r="B2531" s="16"/>
      <c r="L2531" s="23"/>
      <c r="M2531" s="23"/>
    </row>
    <row r="2532">
      <c r="B2532" s="16"/>
      <c r="L2532" s="23"/>
      <c r="M2532" s="23"/>
    </row>
    <row r="2533">
      <c r="B2533" s="16"/>
      <c r="L2533" s="23"/>
      <c r="M2533" s="23"/>
    </row>
    <row r="2534">
      <c r="B2534" s="16"/>
      <c r="L2534" s="23"/>
      <c r="M2534" s="23"/>
    </row>
    <row r="2535">
      <c r="B2535" s="16"/>
      <c r="L2535" s="23"/>
      <c r="M2535" s="23"/>
    </row>
    <row r="2536">
      <c r="B2536" s="16"/>
      <c r="L2536" s="23"/>
      <c r="M2536" s="23"/>
    </row>
    <row r="2537">
      <c r="B2537" s="16"/>
      <c r="L2537" s="23"/>
      <c r="M2537" s="23"/>
    </row>
    <row r="2538">
      <c r="B2538" s="16"/>
      <c r="L2538" s="23"/>
      <c r="M2538" s="23"/>
    </row>
    <row r="2539">
      <c r="B2539" s="16"/>
      <c r="L2539" s="23"/>
    </row>
    <row r="2540">
      <c r="B2540" s="16"/>
      <c r="L2540" s="23"/>
      <c r="M2540" s="23"/>
    </row>
    <row r="2541">
      <c r="B2541" s="16"/>
      <c r="L2541" s="23"/>
    </row>
    <row r="2542">
      <c r="B2542" s="16"/>
      <c r="L2542" s="23"/>
      <c r="M2542" s="23"/>
    </row>
    <row r="2543">
      <c r="B2543" s="16"/>
      <c r="L2543" s="23"/>
    </row>
    <row r="2544">
      <c r="B2544" s="16"/>
      <c r="L2544" s="23"/>
      <c r="M2544" s="23"/>
    </row>
    <row r="2545">
      <c r="B2545" s="16"/>
      <c r="L2545" s="23"/>
      <c r="M2545" s="23"/>
    </row>
    <row r="2546">
      <c r="B2546" s="16"/>
      <c r="L2546" s="23"/>
    </row>
    <row r="2547">
      <c r="B2547" s="16"/>
      <c r="L2547" s="23"/>
    </row>
    <row r="2548">
      <c r="B2548" s="16"/>
      <c r="L2548" s="23"/>
    </row>
    <row r="2549">
      <c r="B2549" s="16"/>
      <c r="L2549" s="23"/>
    </row>
    <row r="2550">
      <c r="B2550" s="16"/>
      <c r="L2550" s="23"/>
    </row>
    <row r="2551">
      <c r="B2551" s="16"/>
      <c r="L2551" s="23"/>
      <c r="M2551" s="23"/>
    </row>
    <row r="2552">
      <c r="B2552" s="16"/>
      <c r="L2552" s="23"/>
    </row>
    <row r="2553">
      <c r="B2553" s="16"/>
      <c r="L2553" s="23"/>
      <c r="M2553" s="23"/>
    </row>
    <row r="2554">
      <c r="B2554" s="16"/>
      <c r="L2554" s="23"/>
    </row>
    <row r="2555">
      <c r="B2555" s="16"/>
      <c r="L2555" s="23"/>
    </row>
    <row r="2556">
      <c r="B2556" s="16"/>
      <c r="L2556" s="23"/>
      <c r="M2556" s="23"/>
    </row>
    <row r="2557">
      <c r="B2557" s="16"/>
      <c r="L2557" s="23"/>
    </row>
    <row r="2558">
      <c r="B2558" s="16"/>
      <c r="L2558" s="23"/>
    </row>
    <row r="2559">
      <c r="B2559" s="16"/>
      <c r="L2559" s="23"/>
    </row>
    <row r="2560">
      <c r="B2560" s="16"/>
      <c r="L2560" s="23"/>
    </row>
    <row r="2561">
      <c r="B2561" s="16"/>
      <c r="L2561" s="23"/>
    </row>
    <row r="2562">
      <c r="B2562" s="16"/>
      <c r="L2562" s="23"/>
    </row>
    <row r="2563">
      <c r="B2563" s="16"/>
      <c r="L2563" s="23"/>
    </row>
    <row r="2564">
      <c r="B2564" s="16"/>
      <c r="L2564" s="23"/>
    </row>
    <row r="2565">
      <c r="B2565" s="16"/>
      <c r="L2565" s="23"/>
    </row>
    <row r="2566">
      <c r="B2566" s="16"/>
      <c r="L2566" s="23"/>
    </row>
    <row r="2567">
      <c r="B2567" s="16"/>
      <c r="L2567" s="23"/>
      <c r="M2567" s="23"/>
    </row>
    <row r="2568">
      <c r="B2568" s="16"/>
      <c r="L2568" s="23"/>
      <c r="M2568" s="23"/>
    </row>
    <row r="2569">
      <c r="B2569" s="16"/>
      <c r="L2569" s="23"/>
    </row>
    <row r="2570">
      <c r="B2570" s="16"/>
      <c r="L2570" s="23"/>
    </row>
    <row r="2571">
      <c r="B2571" s="16"/>
      <c r="L2571" s="23"/>
      <c r="M2571" s="23"/>
    </row>
    <row r="2572">
      <c r="B2572" s="16"/>
      <c r="L2572" s="23"/>
      <c r="M2572" s="23"/>
    </row>
    <row r="2573">
      <c r="B2573" s="16"/>
      <c r="L2573" s="23"/>
      <c r="M2573" s="23"/>
    </row>
    <row r="2574">
      <c r="B2574" s="16"/>
      <c r="L2574" s="23"/>
      <c r="M2574" s="23"/>
    </row>
    <row r="2575">
      <c r="B2575" s="16"/>
      <c r="L2575" s="23"/>
      <c r="M2575" s="23"/>
    </row>
    <row r="2576">
      <c r="B2576" s="16"/>
      <c r="L2576" s="23"/>
    </row>
    <row r="2577">
      <c r="B2577" s="16"/>
      <c r="L2577" s="23"/>
      <c r="M2577" s="23"/>
    </row>
    <row r="2578">
      <c r="B2578" s="16"/>
      <c r="L2578" s="23"/>
    </row>
    <row r="2579">
      <c r="B2579" s="16"/>
      <c r="L2579" s="23"/>
    </row>
    <row r="2580">
      <c r="B2580" s="16"/>
      <c r="L2580" s="23"/>
      <c r="M2580" s="23"/>
    </row>
    <row r="2581">
      <c r="B2581" s="16"/>
      <c r="L2581" s="23"/>
      <c r="M2581" s="23"/>
    </row>
    <row r="2582">
      <c r="B2582" s="16"/>
      <c r="L2582" s="23"/>
      <c r="M2582" s="23"/>
    </row>
    <row r="2583">
      <c r="B2583" s="16"/>
      <c r="L2583" s="23"/>
      <c r="M2583" s="23"/>
    </row>
    <row r="2584">
      <c r="B2584" s="16"/>
      <c r="L2584" s="23"/>
      <c r="M2584" s="23"/>
    </row>
    <row r="2585">
      <c r="B2585" s="16"/>
      <c r="L2585" s="23"/>
    </row>
    <row r="2586">
      <c r="B2586" s="16"/>
      <c r="L2586" s="23"/>
    </row>
    <row r="2587">
      <c r="B2587" s="16"/>
      <c r="L2587" s="23"/>
    </row>
    <row r="2588">
      <c r="B2588" s="16"/>
      <c r="L2588" s="23"/>
    </row>
    <row r="2589">
      <c r="B2589" s="16"/>
      <c r="L2589" s="23"/>
    </row>
    <row r="2590">
      <c r="B2590" s="16"/>
      <c r="L2590" s="23"/>
    </row>
    <row r="2591">
      <c r="B2591" s="16"/>
      <c r="L2591" s="23"/>
      <c r="M2591" s="23"/>
    </row>
    <row r="2592">
      <c r="B2592" s="16"/>
      <c r="L2592" s="23"/>
    </row>
    <row r="2593">
      <c r="B2593" s="16"/>
      <c r="L2593" s="23"/>
    </row>
    <row r="2594">
      <c r="B2594" s="16"/>
      <c r="L2594" s="23"/>
    </row>
    <row r="2595">
      <c r="B2595" s="16"/>
      <c r="L2595" s="23"/>
    </row>
    <row r="2596">
      <c r="B2596" s="16"/>
      <c r="L2596" s="23"/>
    </row>
    <row r="2597">
      <c r="B2597" s="16"/>
      <c r="L2597" s="23"/>
    </row>
    <row r="2598">
      <c r="B2598" s="16"/>
      <c r="L2598" s="23"/>
    </row>
    <row r="2599">
      <c r="B2599" s="16"/>
      <c r="L2599" s="23"/>
      <c r="M2599" s="23"/>
    </row>
    <row r="2600">
      <c r="B2600" s="16"/>
      <c r="L2600" s="23"/>
    </row>
    <row r="2601">
      <c r="B2601" s="16"/>
      <c r="L2601" s="23"/>
    </row>
    <row r="2602">
      <c r="B2602" s="16"/>
      <c r="L2602" s="23"/>
    </row>
    <row r="2603">
      <c r="B2603" s="16"/>
      <c r="L2603" s="23"/>
    </row>
    <row r="2604">
      <c r="B2604" s="16"/>
      <c r="L2604" s="23"/>
    </row>
    <row r="2605">
      <c r="B2605" s="16"/>
      <c r="L2605" s="23"/>
    </row>
    <row r="2606">
      <c r="B2606" s="16"/>
      <c r="L2606" s="23"/>
    </row>
    <row r="2607">
      <c r="B2607" s="16"/>
      <c r="L2607" s="23"/>
    </row>
    <row r="2608">
      <c r="B2608" s="16"/>
      <c r="L2608" s="23"/>
      <c r="M2608" s="23"/>
    </row>
    <row r="2609">
      <c r="B2609" s="16"/>
      <c r="L2609" s="23"/>
    </row>
    <row r="2610">
      <c r="B2610" s="16"/>
      <c r="L2610" s="23"/>
      <c r="M2610" s="23"/>
    </row>
    <row r="2611">
      <c r="B2611" s="16"/>
      <c r="L2611" s="23"/>
    </row>
    <row r="2612">
      <c r="B2612" s="16"/>
      <c r="L2612" s="23"/>
    </row>
    <row r="2613">
      <c r="B2613" s="16"/>
      <c r="L2613" s="23"/>
    </row>
    <row r="2614">
      <c r="B2614" s="16"/>
      <c r="L2614" s="23"/>
    </row>
    <row r="2615">
      <c r="B2615" s="16"/>
      <c r="L2615" s="23"/>
    </row>
    <row r="2616">
      <c r="B2616" s="16"/>
      <c r="L2616" s="23"/>
    </row>
    <row r="2617">
      <c r="B2617" s="16"/>
      <c r="L2617" s="23"/>
    </row>
    <row r="2618">
      <c r="B2618" s="16"/>
      <c r="L2618" s="23"/>
    </row>
    <row r="2619">
      <c r="B2619" s="16"/>
      <c r="L2619" s="23"/>
      <c r="M2619" s="23"/>
    </row>
    <row r="2620">
      <c r="B2620" s="16"/>
      <c r="L2620" s="23"/>
    </row>
    <row r="2621">
      <c r="B2621" s="16"/>
      <c r="L2621" s="23"/>
    </row>
    <row r="2622">
      <c r="B2622" s="16"/>
      <c r="L2622" s="23"/>
      <c r="M2622" s="23"/>
    </row>
    <row r="2623">
      <c r="B2623" s="16"/>
      <c r="L2623" s="23"/>
    </row>
    <row r="2624">
      <c r="B2624" s="16"/>
      <c r="L2624" s="23"/>
    </row>
    <row r="2625">
      <c r="B2625" s="16"/>
      <c r="L2625" s="23"/>
    </row>
    <row r="2626">
      <c r="B2626" s="16"/>
      <c r="L2626" s="23"/>
      <c r="M2626" s="23"/>
    </row>
    <row r="2627">
      <c r="B2627" s="16"/>
      <c r="L2627" s="23"/>
    </row>
    <row r="2628">
      <c r="B2628" s="16"/>
      <c r="L2628" s="23"/>
    </row>
    <row r="2629">
      <c r="B2629" s="16"/>
      <c r="L2629" s="23"/>
    </row>
    <row r="2630">
      <c r="B2630" s="16"/>
      <c r="L2630" s="23"/>
    </row>
    <row r="2631">
      <c r="B2631" s="16"/>
      <c r="L2631" s="23"/>
    </row>
    <row r="2632">
      <c r="B2632" s="16"/>
      <c r="L2632" s="23"/>
      <c r="M2632" s="23"/>
    </row>
    <row r="2633">
      <c r="B2633" s="16"/>
      <c r="L2633" s="23"/>
    </row>
    <row r="2634">
      <c r="B2634" s="16"/>
      <c r="L2634" s="23"/>
      <c r="M2634" s="23"/>
    </row>
    <row r="2635">
      <c r="B2635" s="16"/>
      <c r="L2635" s="23"/>
      <c r="M2635" s="23"/>
    </row>
    <row r="2636">
      <c r="B2636" s="16"/>
      <c r="L2636" s="23"/>
    </row>
    <row r="2637">
      <c r="B2637" s="16"/>
      <c r="L2637" s="23"/>
      <c r="M2637" s="23"/>
    </row>
    <row r="2638">
      <c r="B2638" s="16"/>
      <c r="L2638" s="23"/>
    </row>
    <row r="2639">
      <c r="B2639" s="16"/>
      <c r="L2639" s="23"/>
    </row>
    <row r="2640">
      <c r="B2640" s="16"/>
      <c r="L2640" s="23"/>
    </row>
    <row r="2641">
      <c r="B2641" s="16"/>
      <c r="L2641" s="23"/>
      <c r="M2641" s="23"/>
    </row>
    <row r="2642">
      <c r="B2642" s="16"/>
      <c r="L2642" s="23"/>
      <c r="M2642" s="23"/>
    </row>
    <row r="2643">
      <c r="B2643" s="16"/>
      <c r="L2643" s="23"/>
      <c r="M2643" s="23"/>
    </row>
    <row r="2644">
      <c r="B2644" s="16"/>
      <c r="L2644" s="23"/>
      <c r="M2644" s="23"/>
    </row>
    <row r="2645">
      <c r="B2645" s="16"/>
      <c r="L2645" s="23"/>
      <c r="M2645" s="23"/>
    </row>
    <row r="2646">
      <c r="B2646" s="16"/>
      <c r="L2646" s="23"/>
      <c r="M2646" s="23"/>
    </row>
    <row r="2647">
      <c r="B2647" s="16"/>
      <c r="L2647" s="23"/>
      <c r="M2647" s="23"/>
    </row>
    <row r="2648">
      <c r="B2648" s="16"/>
      <c r="L2648" s="23"/>
      <c r="M2648" s="23"/>
    </row>
    <row r="2649">
      <c r="B2649" s="16"/>
      <c r="L2649" s="23"/>
      <c r="M2649" s="23"/>
    </row>
    <row r="2650">
      <c r="B2650" s="16"/>
      <c r="L2650" s="23"/>
      <c r="M2650" s="23"/>
    </row>
    <row r="2651">
      <c r="B2651" s="16"/>
      <c r="L2651" s="23"/>
      <c r="M2651" s="23"/>
    </row>
    <row r="2652">
      <c r="B2652" s="16"/>
      <c r="L2652" s="23"/>
      <c r="M2652" s="23"/>
    </row>
    <row r="2653">
      <c r="B2653" s="16"/>
      <c r="L2653" s="23"/>
    </row>
    <row r="2654">
      <c r="B2654" s="16"/>
      <c r="L2654" s="23"/>
    </row>
    <row r="2655">
      <c r="B2655" s="16"/>
      <c r="L2655" s="23"/>
      <c r="M2655" s="23"/>
    </row>
    <row r="2656">
      <c r="B2656" s="16"/>
      <c r="L2656" s="23"/>
    </row>
    <row r="2657">
      <c r="B2657" s="16"/>
      <c r="L2657" s="23"/>
    </row>
    <row r="2658">
      <c r="B2658" s="16"/>
      <c r="L2658" s="23"/>
      <c r="M2658" s="23"/>
    </row>
    <row r="2659">
      <c r="B2659" s="16"/>
      <c r="L2659" s="23"/>
      <c r="M2659" s="23"/>
    </row>
    <row r="2660">
      <c r="B2660" s="16"/>
      <c r="L2660" s="23"/>
      <c r="M2660" s="23"/>
    </row>
    <row r="2661">
      <c r="B2661" s="16"/>
      <c r="L2661" s="23"/>
      <c r="M2661" s="23"/>
    </row>
    <row r="2662">
      <c r="B2662" s="16"/>
      <c r="L2662" s="23"/>
    </row>
    <row r="2663">
      <c r="B2663" s="16"/>
      <c r="L2663" s="23"/>
      <c r="M2663" s="23"/>
    </row>
    <row r="2664">
      <c r="B2664" s="16"/>
      <c r="L2664" s="23"/>
      <c r="M2664" s="23"/>
    </row>
    <row r="2665">
      <c r="B2665" s="16"/>
      <c r="L2665" s="23"/>
      <c r="M2665" s="23"/>
    </row>
    <row r="2666">
      <c r="B2666" s="16"/>
      <c r="L2666" s="23"/>
    </row>
    <row r="2667">
      <c r="B2667" s="16"/>
      <c r="L2667" s="23"/>
    </row>
    <row r="2668">
      <c r="B2668" s="16"/>
      <c r="L2668" s="23"/>
    </row>
    <row r="2669">
      <c r="B2669" s="16"/>
      <c r="L2669" s="23"/>
      <c r="M2669" s="23"/>
    </row>
    <row r="2670">
      <c r="B2670" s="16"/>
      <c r="L2670" s="23"/>
      <c r="M2670" s="23"/>
    </row>
    <row r="2671">
      <c r="B2671" s="16"/>
      <c r="L2671" s="23"/>
    </row>
    <row r="2672">
      <c r="B2672" s="16"/>
      <c r="L2672" s="23"/>
    </row>
    <row r="2673">
      <c r="B2673" s="16"/>
      <c r="L2673" s="23"/>
    </row>
    <row r="2674">
      <c r="B2674" s="16"/>
      <c r="L2674" s="23"/>
    </row>
    <row r="2675">
      <c r="B2675" s="16"/>
      <c r="L2675" s="23"/>
    </row>
    <row r="2676">
      <c r="B2676" s="16"/>
      <c r="L2676" s="23"/>
      <c r="M2676" s="23"/>
    </row>
    <row r="2677">
      <c r="B2677" s="16"/>
      <c r="L2677" s="23"/>
    </row>
    <row r="2678">
      <c r="B2678" s="16"/>
      <c r="L2678" s="23"/>
      <c r="M2678" s="23"/>
    </row>
    <row r="2679">
      <c r="B2679" s="16"/>
      <c r="L2679" s="23"/>
    </row>
    <row r="2680">
      <c r="B2680" s="16"/>
      <c r="L2680" s="23"/>
    </row>
    <row r="2681">
      <c r="B2681" s="16"/>
      <c r="L2681" s="23"/>
    </row>
    <row r="2682">
      <c r="B2682" s="16"/>
      <c r="L2682" s="23"/>
    </row>
    <row r="2683">
      <c r="B2683" s="16"/>
      <c r="L2683" s="23"/>
    </row>
    <row r="2684">
      <c r="B2684" s="16"/>
      <c r="L2684" s="23"/>
    </row>
    <row r="2685">
      <c r="B2685" s="16"/>
      <c r="L2685" s="23"/>
    </row>
    <row r="2686">
      <c r="B2686" s="16"/>
      <c r="L2686" s="23"/>
    </row>
    <row r="2687">
      <c r="B2687" s="16"/>
      <c r="L2687" s="23"/>
    </row>
    <row r="2688">
      <c r="B2688" s="16"/>
      <c r="L2688" s="23"/>
    </row>
    <row r="2689">
      <c r="B2689" s="16"/>
      <c r="L2689" s="23"/>
    </row>
    <row r="2690">
      <c r="B2690" s="16"/>
      <c r="L2690" s="23"/>
    </row>
    <row r="2691">
      <c r="B2691" s="16"/>
      <c r="L2691" s="23"/>
    </row>
    <row r="2692">
      <c r="B2692" s="16"/>
      <c r="L2692" s="23"/>
    </row>
    <row r="2693">
      <c r="B2693" s="16"/>
      <c r="L2693" s="23"/>
    </row>
    <row r="2694">
      <c r="B2694" s="16"/>
      <c r="L2694" s="23"/>
    </row>
    <row r="2695">
      <c r="B2695" s="16"/>
      <c r="L2695" s="23"/>
    </row>
    <row r="2696">
      <c r="B2696" s="16"/>
      <c r="L2696" s="23"/>
    </row>
    <row r="2697">
      <c r="B2697" s="16"/>
      <c r="L2697" s="23"/>
    </row>
    <row r="2698">
      <c r="B2698" s="16"/>
      <c r="L2698" s="23"/>
    </row>
    <row r="2699">
      <c r="B2699" s="16"/>
      <c r="L2699" s="23"/>
    </row>
    <row r="2700">
      <c r="B2700" s="16"/>
      <c r="L2700" s="23"/>
    </row>
    <row r="2701">
      <c r="B2701" s="16"/>
      <c r="L2701" s="23"/>
      <c r="M2701" s="23"/>
    </row>
    <row r="2702">
      <c r="B2702" s="16"/>
      <c r="L2702" s="23"/>
    </row>
    <row r="2703">
      <c r="B2703" s="16"/>
      <c r="L2703" s="23"/>
    </row>
    <row r="2704">
      <c r="B2704" s="16"/>
      <c r="L2704" s="23"/>
    </row>
    <row r="2705">
      <c r="B2705" s="16"/>
      <c r="L2705" s="23"/>
    </row>
    <row r="2706">
      <c r="B2706" s="16"/>
      <c r="L2706" s="23"/>
    </row>
    <row r="2707">
      <c r="B2707" s="16"/>
      <c r="L2707" s="23"/>
    </row>
    <row r="2708">
      <c r="B2708" s="16"/>
      <c r="L2708" s="23"/>
    </row>
    <row r="2709">
      <c r="B2709" s="16"/>
      <c r="L2709" s="23"/>
    </row>
    <row r="2710">
      <c r="B2710" s="16"/>
      <c r="L2710" s="23"/>
    </row>
    <row r="2711">
      <c r="B2711" s="16"/>
      <c r="L2711" s="23"/>
      <c r="M2711" s="23"/>
    </row>
    <row r="2712">
      <c r="B2712" s="16"/>
      <c r="L2712" s="23"/>
    </row>
    <row r="2713">
      <c r="B2713" s="16"/>
      <c r="L2713" s="23"/>
    </row>
    <row r="2714">
      <c r="B2714" s="16"/>
      <c r="L2714" s="23"/>
    </row>
    <row r="2715">
      <c r="B2715" s="16"/>
      <c r="L2715" s="23"/>
    </row>
    <row r="2716">
      <c r="B2716" s="16"/>
      <c r="L2716" s="23"/>
      <c r="M2716" s="23"/>
    </row>
    <row r="2717">
      <c r="B2717" s="16"/>
      <c r="L2717" s="23"/>
    </row>
    <row r="2718">
      <c r="B2718" s="16"/>
      <c r="L2718" s="23"/>
      <c r="M2718" s="23"/>
    </row>
    <row r="2719">
      <c r="B2719" s="16"/>
      <c r="L2719" s="23"/>
      <c r="M2719" s="23"/>
    </row>
    <row r="2720">
      <c r="B2720" s="16"/>
      <c r="L2720" s="23"/>
    </row>
    <row r="2721">
      <c r="B2721" s="16"/>
      <c r="L2721" s="23"/>
      <c r="M2721" s="23"/>
    </row>
    <row r="2722">
      <c r="B2722" s="16"/>
      <c r="L2722" s="23"/>
      <c r="M2722" s="23"/>
    </row>
    <row r="2723">
      <c r="B2723" s="16"/>
      <c r="L2723" s="23"/>
      <c r="M2723" s="23"/>
    </row>
    <row r="2724">
      <c r="B2724" s="16"/>
      <c r="L2724" s="23"/>
    </row>
    <row r="2725">
      <c r="B2725" s="16"/>
      <c r="L2725" s="23"/>
    </row>
    <row r="2726">
      <c r="B2726" s="16"/>
      <c r="L2726" s="23"/>
    </row>
    <row r="2727">
      <c r="B2727" s="16"/>
      <c r="L2727" s="23"/>
      <c r="M2727" s="23"/>
    </row>
    <row r="2728">
      <c r="B2728" s="16"/>
      <c r="L2728" s="23"/>
      <c r="M2728" s="23"/>
    </row>
    <row r="2729">
      <c r="B2729" s="16"/>
      <c r="L2729" s="23"/>
      <c r="M2729" s="23"/>
    </row>
    <row r="2730">
      <c r="B2730" s="16"/>
      <c r="L2730" s="23"/>
      <c r="M2730" s="23"/>
    </row>
    <row r="2731">
      <c r="B2731" s="16"/>
      <c r="L2731" s="23"/>
      <c r="M2731" s="23"/>
    </row>
    <row r="2732">
      <c r="B2732" s="16"/>
      <c r="L2732" s="23"/>
      <c r="M2732" s="23"/>
    </row>
    <row r="2733">
      <c r="B2733" s="16"/>
      <c r="L2733" s="23"/>
    </row>
    <row r="2734">
      <c r="B2734" s="16"/>
      <c r="L2734" s="23"/>
    </row>
    <row r="2735">
      <c r="B2735" s="16"/>
      <c r="L2735" s="23"/>
    </row>
    <row r="2736">
      <c r="B2736" s="16"/>
      <c r="L2736" s="23"/>
    </row>
    <row r="2737">
      <c r="B2737" s="16"/>
      <c r="L2737" s="23"/>
    </row>
    <row r="2738">
      <c r="B2738" s="16"/>
      <c r="L2738" s="23"/>
    </row>
    <row r="2739">
      <c r="B2739" s="16"/>
      <c r="L2739" s="23"/>
    </row>
    <row r="2740">
      <c r="B2740" s="16"/>
      <c r="L2740" s="23"/>
    </row>
    <row r="2741">
      <c r="B2741" s="16"/>
      <c r="L2741" s="23"/>
      <c r="M2741" s="23"/>
    </row>
    <row r="2742">
      <c r="B2742" s="16"/>
      <c r="L2742" s="23"/>
    </row>
    <row r="2743">
      <c r="B2743" s="16"/>
      <c r="L2743" s="23"/>
    </row>
    <row r="2744">
      <c r="B2744" s="16"/>
      <c r="L2744" s="23"/>
    </row>
    <row r="2745">
      <c r="B2745" s="16"/>
      <c r="L2745" s="23"/>
    </row>
    <row r="2746">
      <c r="B2746" s="16"/>
      <c r="L2746" s="23"/>
    </row>
    <row r="2747">
      <c r="B2747" s="16"/>
      <c r="L2747" s="23"/>
    </row>
    <row r="2748">
      <c r="B2748" s="16"/>
      <c r="L2748" s="23"/>
    </row>
    <row r="2749">
      <c r="B2749" s="16"/>
      <c r="L2749" s="23"/>
    </row>
    <row r="2750">
      <c r="B2750" s="16"/>
      <c r="L2750" s="23"/>
    </row>
    <row r="2751">
      <c r="B2751" s="16"/>
      <c r="L2751" s="23"/>
    </row>
    <row r="2752">
      <c r="B2752" s="16"/>
      <c r="L2752" s="23"/>
    </row>
    <row r="2753">
      <c r="B2753" s="16"/>
      <c r="L2753" s="23"/>
    </row>
    <row r="2754">
      <c r="B2754" s="16"/>
      <c r="L2754" s="23"/>
    </row>
    <row r="2755">
      <c r="B2755" s="16"/>
      <c r="L2755" s="23"/>
    </row>
    <row r="2756">
      <c r="B2756" s="16"/>
      <c r="L2756" s="23"/>
    </row>
    <row r="2757">
      <c r="B2757" s="16"/>
      <c r="L2757" s="23"/>
      <c r="M2757" s="23"/>
    </row>
    <row r="2758">
      <c r="B2758" s="16"/>
      <c r="L2758" s="23"/>
    </row>
    <row r="2759">
      <c r="B2759" s="16"/>
      <c r="L2759" s="23"/>
    </row>
    <row r="2760">
      <c r="B2760" s="16"/>
      <c r="L2760" s="23"/>
    </row>
    <row r="2761">
      <c r="B2761" s="16"/>
      <c r="L2761" s="23"/>
    </row>
    <row r="2762">
      <c r="B2762" s="16"/>
      <c r="L2762" s="23"/>
    </row>
    <row r="2763">
      <c r="B2763" s="16"/>
      <c r="L2763" s="23"/>
    </row>
    <row r="2764">
      <c r="B2764" s="16"/>
      <c r="L2764" s="23"/>
    </row>
    <row r="2765">
      <c r="B2765" s="16"/>
      <c r="L2765" s="23"/>
    </row>
    <row r="2766">
      <c r="B2766" s="16"/>
      <c r="L2766" s="23"/>
    </row>
    <row r="2767">
      <c r="B2767" s="16"/>
      <c r="L2767" s="23"/>
    </row>
    <row r="2768">
      <c r="B2768" s="16"/>
      <c r="L2768" s="23"/>
    </row>
    <row r="2769">
      <c r="B2769" s="16"/>
      <c r="L2769" s="23"/>
    </row>
    <row r="2770">
      <c r="B2770" s="16"/>
      <c r="L2770" s="23"/>
    </row>
    <row r="2771">
      <c r="B2771" s="16"/>
      <c r="L2771" s="23"/>
    </row>
    <row r="2772">
      <c r="B2772" s="16"/>
      <c r="L2772" s="23"/>
    </row>
    <row r="2773">
      <c r="B2773" s="16"/>
      <c r="L2773" s="23"/>
    </row>
    <row r="2774">
      <c r="B2774" s="16"/>
      <c r="L2774" s="23"/>
    </row>
    <row r="2775">
      <c r="B2775" s="16"/>
      <c r="L2775" s="23"/>
    </row>
    <row r="2776">
      <c r="B2776" s="16"/>
      <c r="L2776" s="23"/>
    </row>
    <row r="2777">
      <c r="B2777" s="16"/>
      <c r="L2777" s="23"/>
    </row>
    <row r="2778">
      <c r="B2778" s="16"/>
      <c r="L2778" s="23"/>
    </row>
    <row r="2779">
      <c r="B2779" s="16"/>
      <c r="L2779" s="23"/>
    </row>
    <row r="2780">
      <c r="B2780" s="16"/>
      <c r="L2780" s="23"/>
    </row>
    <row r="2781">
      <c r="B2781" s="16"/>
      <c r="L2781" s="23"/>
    </row>
    <row r="2782">
      <c r="B2782" s="16"/>
      <c r="L2782" s="23"/>
    </row>
    <row r="2783">
      <c r="B2783" s="16"/>
      <c r="L2783" s="23"/>
    </row>
    <row r="2784">
      <c r="B2784" s="16"/>
      <c r="L2784" s="23"/>
    </row>
    <row r="2785">
      <c r="B2785" s="16"/>
      <c r="L2785" s="23"/>
    </row>
    <row r="2786">
      <c r="B2786" s="16"/>
      <c r="L2786" s="23"/>
    </row>
    <row r="2787">
      <c r="B2787" s="16"/>
      <c r="L2787" s="23"/>
    </row>
    <row r="2788">
      <c r="B2788" s="16"/>
      <c r="L2788" s="23"/>
    </row>
    <row r="2789">
      <c r="B2789" s="16"/>
      <c r="L2789" s="23"/>
    </row>
    <row r="2790">
      <c r="B2790" s="16"/>
      <c r="L2790" s="23"/>
    </row>
    <row r="2791">
      <c r="B2791" s="16"/>
      <c r="L2791" s="23"/>
    </row>
    <row r="2792">
      <c r="B2792" s="16"/>
      <c r="L2792" s="23"/>
    </row>
    <row r="2793">
      <c r="B2793" s="16"/>
      <c r="L2793" s="23"/>
    </row>
    <row r="2794">
      <c r="B2794" s="16"/>
      <c r="L2794" s="23"/>
    </row>
    <row r="2795">
      <c r="B2795" s="16"/>
      <c r="L2795" s="23"/>
    </row>
    <row r="2796">
      <c r="B2796" s="16"/>
      <c r="L2796" s="23"/>
    </row>
    <row r="2797">
      <c r="B2797" s="16"/>
      <c r="L2797" s="23"/>
    </row>
    <row r="2798">
      <c r="B2798" s="16"/>
      <c r="L2798" s="23"/>
    </row>
    <row r="2799">
      <c r="B2799" s="16"/>
      <c r="L2799" s="23"/>
    </row>
    <row r="2800">
      <c r="B2800" s="16"/>
      <c r="L2800" s="23"/>
    </row>
    <row r="2801">
      <c r="B2801" s="16"/>
      <c r="L2801" s="23"/>
    </row>
    <row r="2802">
      <c r="B2802" s="16"/>
      <c r="L2802" s="23"/>
    </row>
    <row r="2803">
      <c r="B2803" s="16"/>
      <c r="L2803" s="23"/>
    </row>
    <row r="2804">
      <c r="B2804" s="16"/>
      <c r="L2804" s="23"/>
      <c r="M2804" s="23"/>
    </row>
    <row r="2805">
      <c r="B2805" s="16"/>
      <c r="L2805" s="23"/>
    </row>
    <row r="2806">
      <c r="B2806" s="16"/>
      <c r="L2806" s="23"/>
    </row>
    <row r="2807">
      <c r="B2807" s="16"/>
      <c r="L2807" s="23"/>
    </row>
    <row r="2808">
      <c r="B2808" s="16"/>
      <c r="L2808" s="23"/>
    </row>
    <row r="2809">
      <c r="B2809" s="16"/>
      <c r="L2809" s="23"/>
    </row>
    <row r="2810">
      <c r="B2810" s="16"/>
      <c r="L2810" s="23"/>
    </row>
    <row r="2811">
      <c r="B2811" s="16"/>
      <c r="L2811" s="23"/>
    </row>
    <row r="2812">
      <c r="B2812" s="16"/>
      <c r="L2812" s="23"/>
    </row>
    <row r="2813">
      <c r="B2813" s="16"/>
      <c r="L2813" s="23"/>
      <c r="M2813" s="23"/>
    </row>
    <row r="2814">
      <c r="B2814" s="16"/>
      <c r="L2814" s="23"/>
    </row>
    <row r="2815">
      <c r="B2815" s="16"/>
      <c r="L2815" s="23"/>
    </row>
    <row r="2816">
      <c r="B2816" s="16"/>
      <c r="L2816" s="23"/>
    </row>
    <row r="2817">
      <c r="B2817" s="16"/>
      <c r="L2817" s="23"/>
    </row>
    <row r="2818">
      <c r="B2818" s="16"/>
      <c r="L2818" s="23"/>
      <c r="M2818" s="23"/>
    </row>
    <row r="2819">
      <c r="B2819" s="16"/>
      <c r="L2819" s="23"/>
      <c r="M2819" s="23"/>
    </row>
    <row r="2820">
      <c r="B2820" s="16"/>
      <c r="L2820" s="23"/>
    </row>
    <row r="2821">
      <c r="B2821" s="16"/>
      <c r="L2821" s="23"/>
    </row>
    <row r="2822">
      <c r="B2822" s="16"/>
      <c r="L2822" s="23"/>
    </row>
    <row r="2823">
      <c r="B2823" s="16"/>
      <c r="L2823" s="23"/>
      <c r="M2823" s="23"/>
    </row>
    <row r="2824">
      <c r="B2824" s="16"/>
      <c r="L2824" s="23"/>
      <c r="M2824" s="23"/>
    </row>
    <row r="2825">
      <c r="B2825" s="16"/>
      <c r="L2825" s="23"/>
      <c r="M2825" s="23"/>
    </row>
    <row r="2826">
      <c r="B2826" s="16"/>
      <c r="L2826" s="23"/>
      <c r="M2826" s="23"/>
    </row>
    <row r="2827">
      <c r="B2827" s="16"/>
      <c r="L2827" s="23"/>
    </row>
    <row r="2828">
      <c r="B2828" s="16"/>
      <c r="L2828" s="23"/>
    </row>
    <row r="2829">
      <c r="B2829" s="16"/>
      <c r="L2829" s="23"/>
    </row>
    <row r="2830">
      <c r="B2830" s="16"/>
      <c r="L2830" s="23"/>
    </row>
    <row r="2831">
      <c r="B2831" s="16"/>
      <c r="L2831" s="23"/>
    </row>
    <row r="2832">
      <c r="B2832" s="16"/>
      <c r="L2832" s="23"/>
    </row>
    <row r="2833">
      <c r="B2833" s="16"/>
      <c r="L2833" s="23"/>
      <c r="M2833" s="23"/>
    </row>
    <row r="2834">
      <c r="B2834" s="16"/>
      <c r="L2834" s="23"/>
    </row>
    <row r="2835">
      <c r="B2835" s="16"/>
      <c r="L2835" s="23"/>
    </row>
    <row r="2836">
      <c r="B2836" s="16"/>
      <c r="L2836" s="23"/>
      <c r="M2836" s="23"/>
    </row>
    <row r="2837">
      <c r="B2837" s="16"/>
      <c r="L2837" s="23"/>
    </row>
    <row r="2838">
      <c r="B2838" s="16"/>
      <c r="L2838" s="23"/>
      <c r="M2838" s="23"/>
    </row>
    <row r="2839">
      <c r="B2839" s="16"/>
      <c r="L2839" s="23"/>
    </row>
    <row r="2840">
      <c r="B2840" s="16"/>
      <c r="L2840" s="23"/>
      <c r="M2840" s="23"/>
    </row>
    <row r="2841">
      <c r="B2841" s="16"/>
      <c r="L2841" s="23"/>
    </row>
    <row r="2842">
      <c r="B2842" s="16"/>
      <c r="L2842" s="23"/>
    </row>
    <row r="2843">
      <c r="B2843" s="16"/>
      <c r="L2843" s="23"/>
    </row>
    <row r="2844">
      <c r="B2844" s="16"/>
      <c r="L2844" s="23"/>
    </row>
    <row r="2845">
      <c r="B2845" s="16"/>
      <c r="L2845" s="23"/>
    </row>
    <row r="2846">
      <c r="B2846" s="16"/>
      <c r="L2846" s="23"/>
    </row>
    <row r="2847">
      <c r="B2847" s="16"/>
      <c r="L2847" s="23"/>
    </row>
    <row r="2848">
      <c r="B2848" s="16"/>
      <c r="L2848" s="23"/>
    </row>
    <row r="2849">
      <c r="B2849" s="16"/>
      <c r="L2849" s="23"/>
      <c r="M2849" s="23"/>
    </row>
    <row r="2850">
      <c r="B2850" s="16"/>
      <c r="L2850" s="23"/>
      <c r="M2850" s="23"/>
    </row>
    <row r="2851">
      <c r="B2851" s="16"/>
      <c r="L2851" s="23"/>
    </row>
    <row r="2852">
      <c r="B2852" s="16"/>
      <c r="L2852" s="23"/>
    </row>
    <row r="2853">
      <c r="B2853" s="16"/>
      <c r="L2853" s="23"/>
    </row>
    <row r="2854">
      <c r="B2854" s="16"/>
      <c r="L2854" s="23"/>
    </row>
    <row r="2855">
      <c r="B2855" s="16"/>
      <c r="L2855" s="23"/>
    </row>
    <row r="2856">
      <c r="B2856" s="16"/>
      <c r="L2856" s="23"/>
      <c r="M2856" s="23"/>
    </row>
    <row r="2857">
      <c r="B2857" s="16"/>
      <c r="L2857" s="23"/>
    </row>
    <row r="2858">
      <c r="B2858" s="16"/>
      <c r="L2858" s="23"/>
    </row>
    <row r="2859">
      <c r="B2859" s="16"/>
      <c r="L2859" s="23"/>
    </row>
    <row r="2860">
      <c r="B2860" s="16"/>
      <c r="L2860" s="23"/>
    </row>
    <row r="2861">
      <c r="B2861" s="16"/>
      <c r="L2861" s="23"/>
    </row>
    <row r="2862">
      <c r="B2862" s="16"/>
      <c r="L2862" s="23"/>
    </row>
    <row r="2863">
      <c r="B2863" s="16"/>
      <c r="L2863" s="23"/>
    </row>
    <row r="2864">
      <c r="B2864" s="16"/>
      <c r="L2864" s="23"/>
    </row>
    <row r="2865">
      <c r="B2865" s="16"/>
      <c r="L2865" s="23"/>
    </row>
    <row r="2866">
      <c r="B2866" s="16"/>
      <c r="L2866" s="23"/>
      <c r="M2866" s="23"/>
    </row>
    <row r="2867">
      <c r="B2867" s="16"/>
      <c r="L2867" s="23"/>
    </row>
    <row r="2868">
      <c r="B2868" s="16"/>
      <c r="L2868" s="23"/>
    </row>
    <row r="2869">
      <c r="B2869" s="16"/>
      <c r="L2869" s="23"/>
    </row>
    <row r="2870">
      <c r="B2870" s="16"/>
      <c r="L2870" s="23"/>
    </row>
    <row r="2871">
      <c r="B2871" s="16"/>
      <c r="L2871" s="23"/>
    </row>
    <row r="2872">
      <c r="B2872" s="16"/>
      <c r="L2872" s="23"/>
    </row>
    <row r="2873">
      <c r="B2873" s="16"/>
      <c r="L2873" s="23"/>
      <c r="M2873" s="23"/>
    </row>
    <row r="2874">
      <c r="B2874" s="16"/>
      <c r="L2874" s="23"/>
    </row>
    <row r="2875">
      <c r="B2875" s="16"/>
      <c r="L2875" s="23"/>
    </row>
    <row r="2876">
      <c r="B2876" s="16"/>
      <c r="L2876" s="23"/>
      <c r="M2876" s="23"/>
    </row>
    <row r="2877">
      <c r="B2877" s="16"/>
      <c r="L2877" s="23"/>
    </row>
    <row r="2878">
      <c r="B2878" s="16"/>
      <c r="L2878" s="23"/>
      <c r="M2878" s="23"/>
    </row>
    <row r="2879">
      <c r="B2879" s="16"/>
      <c r="L2879" s="23"/>
    </row>
    <row r="2880">
      <c r="B2880" s="16"/>
      <c r="L2880" s="23"/>
    </row>
    <row r="2881">
      <c r="B2881" s="16"/>
      <c r="L2881" s="23"/>
    </row>
    <row r="2882">
      <c r="B2882" s="16"/>
      <c r="L2882" s="23"/>
      <c r="M2882" s="23"/>
    </row>
    <row r="2883">
      <c r="B2883" s="16"/>
      <c r="L2883" s="23"/>
      <c r="M2883" s="23"/>
    </row>
    <row r="2884">
      <c r="B2884" s="16"/>
      <c r="L2884" s="23"/>
    </row>
    <row r="2885">
      <c r="B2885" s="16"/>
      <c r="L2885" s="23"/>
      <c r="M2885" s="23"/>
    </row>
    <row r="2886">
      <c r="B2886" s="16"/>
      <c r="L2886" s="23"/>
      <c r="M2886" s="23"/>
    </row>
    <row r="2887">
      <c r="B2887" s="16"/>
      <c r="L2887" s="23"/>
      <c r="M2887" s="23"/>
    </row>
    <row r="2888">
      <c r="B2888" s="16"/>
      <c r="L2888" s="23"/>
    </row>
    <row r="2889">
      <c r="B2889" s="16"/>
      <c r="L2889" s="23"/>
    </row>
    <row r="2890">
      <c r="B2890" s="16"/>
      <c r="L2890" s="23"/>
    </row>
    <row r="2891">
      <c r="B2891" s="16"/>
      <c r="L2891" s="23"/>
      <c r="M2891" s="23"/>
    </row>
    <row r="2892">
      <c r="B2892" s="16"/>
      <c r="L2892" s="23"/>
      <c r="M2892" s="23"/>
    </row>
    <row r="2893">
      <c r="B2893" s="16"/>
      <c r="L2893" s="23"/>
      <c r="M2893" s="23"/>
    </row>
    <row r="2894">
      <c r="B2894" s="16"/>
      <c r="L2894" s="23"/>
    </row>
    <row r="2895">
      <c r="B2895" s="16"/>
      <c r="L2895" s="23"/>
    </row>
    <row r="2896">
      <c r="B2896" s="16"/>
      <c r="L2896" s="23"/>
    </row>
    <row r="2897">
      <c r="B2897" s="16"/>
      <c r="L2897" s="23"/>
    </row>
    <row r="2898">
      <c r="B2898" s="16"/>
      <c r="L2898" s="23"/>
    </row>
    <row r="2899">
      <c r="B2899" s="16"/>
      <c r="L2899" s="23"/>
    </row>
    <row r="2900">
      <c r="B2900" s="16"/>
      <c r="L2900" s="23"/>
    </row>
    <row r="2901">
      <c r="B2901" s="16"/>
      <c r="L2901" s="23"/>
    </row>
    <row r="2902">
      <c r="B2902" s="16"/>
      <c r="L2902" s="23"/>
    </row>
    <row r="2903">
      <c r="B2903" s="16"/>
      <c r="L2903" s="23"/>
    </row>
    <row r="2904">
      <c r="B2904" s="16"/>
      <c r="L2904" s="23"/>
    </row>
    <row r="2905">
      <c r="B2905" s="16"/>
      <c r="L2905" s="23"/>
    </row>
    <row r="2906">
      <c r="B2906" s="16"/>
      <c r="L2906" s="23"/>
    </row>
    <row r="2907">
      <c r="B2907" s="16"/>
      <c r="L2907" s="23"/>
    </row>
    <row r="2908">
      <c r="B2908" s="16"/>
      <c r="L2908" s="23"/>
      <c r="M2908" s="23"/>
    </row>
    <row r="2909">
      <c r="B2909" s="16"/>
      <c r="L2909" s="23"/>
    </row>
    <row r="2910">
      <c r="B2910" s="16"/>
      <c r="L2910" s="23"/>
    </row>
    <row r="2911">
      <c r="B2911" s="16"/>
      <c r="L2911" s="23"/>
    </row>
    <row r="2912">
      <c r="B2912" s="16"/>
      <c r="L2912" s="23"/>
    </row>
    <row r="2913">
      <c r="B2913" s="16"/>
      <c r="L2913" s="23"/>
    </row>
    <row r="2914">
      <c r="B2914" s="16"/>
      <c r="L2914" s="23"/>
    </row>
    <row r="2915">
      <c r="B2915" s="16"/>
      <c r="L2915" s="23"/>
    </row>
    <row r="2916">
      <c r="B2916" s="16"/>
      <c r="L2916" s="23"/>
    </row>
    <row r="2917">
      <c r="B2917" s="16"/>
      <c r="L2917" s="23"/>
    </row>
    <row r="2918">
      <c r="B2918" s="16"/>
      <c r="L2918" s="23"/>
    </row>
    <row r="2919">
      <c r="B2919" s="16"/>
      <c r="L2919" s="23"/>
    </row>
    <row r="2920">
      <c r="B2920" s="16"/>
      <c r="L2920" s="23"/>
    </row>
    <row r="2921">
      <c r="B2921" s="16"/>
      <c r="L2921" s="23"/>
    </row>
    <row r="2922">
      <c r="B2922" s="16"/>
      <c r="L2922" s="23"/>
    </row>
    <row r="2923">
      <c r="B2923" s="16"/>
      <c r="L2923" s="23"/>
    </row>
    <row r="2924">
      <c r="B2924" s="16"/>
      <c r="L2924" s="23"/>
    </row>
    <row r="2925">
      <c r="B2925" s="16"/>
      <c r="L2925" s="23"/>
      <c r="M2925" s="23"/>
    </row>
    <row r="2926">
      <c r="B2926" s="16"/>
      <c r="L2926" s="23"/>
    </row>
    <row r="2927">
      <c r="B2927" s="16"/>
      <c r="L2927" s="23"/>
      <c r="M2927" s="23"/>
    </row>
    <row r="2928">
      <c r="B2928" s="16"/>
      <c r="L2928" s="23"/>
    </row>
    <row r="2929">
      <c r="B2929" s="16"/>
      <c r="L2929" s="23"/>
    </row>
    <row r="2930">
      <c r="B2930" s="16"/>
      <c r="L2930" s="23"/>
    </row>
    <row r="2931">
      <c r="B2931" s="16"/>
      <c r="L2931" s="23"/>
    </row>
    <row r="2932">
      <c r="B2932" s="16"/>
      <c r="L2932" s="23"/>
    </row>
    <row r="2933">
      <c r="B2933" s="16"/>
      <c r="L2933" s="23"/>
    </row>
    <row r="2934">
      <c r="B2934" s="16"/>
      <c r="L2934" s="23"/>
    </row>
    <row r="2935">
      <c r="B2935" s="16"/>
      <c r="L2935" s="23"/>
    </row>
    <row r="2936">
      <c r="B2936" s="16"/>
      <c r="L2936" s="23"/>
    </row>
    <row r="2937">
      <c r="B2937" s="16"/>
      <c r="L2937" s="23"/>
    </row>
    <row r="2938">
      <c r="B2938" s="16"/>
      <c r="L2938" s="23"/>
    </row>
    <row r="2939">
      <c r="B2939" s="16"/>
      <c r="L2939" s="23"/>
    </row>
    <row r="2940">
      <c r="B2940" s="16"/>
      <c r="L2940" s="23"/>
    </row>
    <row r="2941">
      <c r="B2941" s="16"/>
      <c r="L2941" s="23"/>
    </row>
    <row r="2942">
      <c r="B2942" s="16"/>
      <c r="L2942" s="23"/>
    </row>
    <row r="2943">
      <c r="B2943" s="16"/>
      <c r="L2943" s="23"/>
    </row>
    <row r="2944">
      <c r="B2944" s="16"/>
      <c r="L2944" s="23"/>
    </row>
    <row r="2945">
      <c r="B2945" s="16"/>
      <c r="L2945" s="23"/>
    </row>
    <row r="2946">
      <c r="B2946" s="16"/>
      <c r="L2946" s="23"/>
    </row>
    <row r="2947">
      <c r="B2947" s="16"/>
      <c r="L2947" s="23"/>
    </row>
    <row r="2948">
      <c r="B2948" s="16"/>
      <c r="L2948" s="23"/>
    </row>
    <row r="2949">
      <c r="B2949" s="16"/>
      <c r="L2949" s="23"/>
    </row>
    <row r="2950">
      <c r="B2950" s="16"/>
      <c r="L2950" s="23"/>
    </row>
    <row r="2951">
      <c r="B2951" s="16"/>
      <c r="L2951" s="23"/>
    </row>
    <row r="2952">
      <c r="B2952" s="16"/>
      <c r="L2952" s="23"/>
    </row>
    <row r="2953">
      <c r="B2953" s="16"/>
      <c r="L2953" s="23"/>
    </row>
    <row r="2954">
      <c r="B2954" s="16"/>
      <c r="L2954" s="23"/>
    </row>
    <row r="2955">
      <c r="B2955" s="16"/>
      <c r="L2955" s="23"/>
    </row>
    <row r="2956">
      <c r="B2956" s="16"/>
      <c r="L2956" s="23"/>
    </row>
    <row r="2957">
      <c r="B2957" s="16"/>
      <c r="L2957" s="23"/>
    </row>
    <row r="2958">
      <c r="B2958" s="16"/>
      <c r="L2958" s="23"/>
    </row>
    <row r="2959">
      <c r="B2959" s="16"/>
      <c r="L2959" s="23"/>
    </row>
    <row r="2960">
      <c r="B2960" s="16"/>
      <c r="L2960" s="23"/>
    </row>
    <row r="2961">
      <c r="B2961" s="16"/>
      <c r="L2961" s="23"/>
    </row>
    <row r="2962">
      <c r="B2962" s="16"/>
      <c r="L2962" s="23"/>
    </row>
    <row r="2963">
      <c r="B2963" s="16"/>
      <c r="L2963" s="23"/>
    </row>
    <row r="2964">
      <c r="B2964" s="16"/>
      <c r="L2964" s="23"/>
    </row>
    <row r="2965">
      <c r="B2965" s="16"/>
      <c r="L2965" s="23"/>
    </row>
    <row r="2966">
      <c r="B2966" s="16"/>
      <c r="L2966" s="23"/>
    </row>
    <row r="2967">
      <c r="B2967" s="16"/>
      <c r="L2967" s="23"/>
    </row>
    <row r="2968">
      <c r="B2968" s="16"/>
      <c r="L2968" s="23"/>
    </row>
    <row r="2969">
      <c r="B2969" s="16"/>
      <c r="L2969" s="23"/>
    </row>
    <row r="2970">
      <c r="B2970" s="16"/>
      <c r="L2970" s="23"/>
    </row>
    <row r="2971">
      <c r="B2971" s="16"/>
      <c r="L2971" s="23"/>
    </row>
    <row r="2972">
      <c r="B2972" s="16"/>
      <c r="L2972" s="23"/>
    </row>
    <row r="2973">
      <c r="B2973" s="16"/>
      <c r="L2973" s="23"/>
    </row>
    <row r="2974">
      <c r="B2974" s="16"/>
      <c r="L2974" s="23"/>
    </row>
    <row r="2975">
      <c r="B2975" s="16"/>
      <c r="L2975" s="23"/>
    </row>
    <row r="2976">
      <c r="B2976" s="16"/>
      <c r="L2976" s="23"/>
    </row>
    <row r="2977">
      <c r="B2977" s="16"/>
      <c r="L2977" s="23"/>
    </row>
    <row r="2978">
      <c r="B2978" s="16"/>
      <c r="L2978" s="23"/>
    </row>
    <row r="2979">
      <c r="B2979" s="16"/>
      <c r="L2979" s="23"/>
    </row>
    <row r="2980">
      <c r="B2980" s="16"/>
      <c r="L2980" s="23"/>
    </row>
    <row r="2981">
      <c r="B2981" s="16"/>
      <c r="L2981" s="23"/>
    </row>
    <row r="2982">
      <c r="B2982" s="16"/>
      <c r="L2982" s="23"/>
    </row>
    <row r="2983">
      <c r="B2983" s="16"/>
      <c r="L2983" s="23"/>
    </row>
    <row r="2984">
      <c r="B2984" s="16"/>
      <c r="L2984" s="23"/>
    </row>
    <row r="2985">
      <c r="B2985" s="16"/>
      <c r="L2985" s="23"/>
    </row>
    <row r="2986">
      <c r="B2986" s="16"/>
      <c r="L2986" s="23"/>
    </row>
    <row r="2987">
      <c r="B2987" s="16"/>
      <c r="L2987" s="23"/>
    </row>
    <row r="2988">
      <c r="B2988" s="16"/>
      <c r="L2988" s="23"/>
    </row>
    <row r="2989">
      <c r="B2989" s="16"/>
      <c r="L2989" s="23"/>
    </row>
    <row r="2990">
      <c r="B2990" s="16"/>
      <c r="L2990" s="23"/>
    </row>
    <row r="2991">
      <c r="B2991" s="16"/>
      <c r="L2991" s="23"/>
    </row>
    <row r="2992">
      <c r="B2992" s="16"/>
      <c r="L2992" s="23"/>
    </row>
    <row r="2993">
      <c r="B2993" s="16"/>
      <c r="L2993" s="23"/>
    </row>
    <row r="2994">
      <c r="B2994" s="16"/>
      <c r="L2994" s="23"/>
    </row>
    <row r="2995">
      <c r="B2995" s="16"/>
      <c r="L2995" s="23"/>
    </row>
    <row r="2996">
      <c r="B2996" s="16"/>
      <c r="L2996" s="23"/>
    </row>
    <row r="2997">
      <c r="B2997" s="16"/>
      <c r="L2997" s="23"/>
    </row>
    <row r="2998">
      <c r="B2998" s="16"/>
      <c r="L2998" s="23"/>
    </row>
    <row r="2999">
      <c r="B2999" s="16"/>
      <c r="L2999" s="23"/>
    </row>
    <row r="3000">
      <c r="B3000" s="16"/>
      <c r="L3000" s="23"/>
    </row>
    <row r="3001">
      <c r="B3001" s="16"/>
      <c r="L3001" s="23"/>
    </row>
    <row r="3002">
      <c r="B3002" s="16"/>
      <c r="L3002" s="23"/>
    </row>
    <row r="3003">
      <c r="B3003" s="16"/>
      <c r="L3003" s="23"/>
    </row>
    <row r="3004">
      <c r="B3004" s="16"/>
      <c r="L3004" s="23"/>
    </row>
    <row r="3005">
      <c r="B3005" s="16"/>
      <c r="L3005" s="23"/>
    </row>
    <row r="3006">
      <c r="B3006" s="16"/>
      <c r="L3006" s="23"/>
    </row>
    <row r="3007">
      <c r="B3007" s="16"/>
      <c r="L3007" s="23"/>
    </row>
    <row r="3008">
      <c r="B3008" s="16"/>
      <c r="L3008" s="23"/>
    </row>
    <row r="3009">
      <c r="B3009" s="16"/>
      <c r="L3009" s="23"/>
    </row>
    <row r="3010">
      <c r="B3010" s="16"/>
      <c r="L3010" s="23"/>
    </row>
    <row r="3011">
      <c r="B3011" s="16"/>
      <c r="L3011" s="23"/>
    </row>
    <row r="3012">
      <c r="B3012" s="16"/>
      <c r="L3012" s="23"/>
    </row>
    <row r="3013">
      <c r="B3013" s="16"/>
      <c r="L3013" s="23"/>
    </row>
    <row r="3014">
      <c r="B3014" s="16"/>
      <c r="L3014" s="23"/>
    </row>
    <row r="3015">
      <c r="B3015" s="16"/>
      <c r="L3015" s="23"/>
    </row>
    <row r="3016">
      <c r="B3016" s="16"/>
      <c r="L3016" s="23"/>
    </row>
    <row r="3017">
      <c r="B3017" s="16"/>
      <c r="L3017" s="23"/>
    </row>
    <row r="3018">
      <c r="B3018" s="16"/>
      <c r="L3018" s="23"/>
    </row>
    <row r="3019">
      <c r="B3019" s="16"/>
      <c r="L3019" s="23"/>
    </row>
    <row r="3020">
      <c r="B3020" s="16"/>
      <c r="L3020" s="23"/>
    </row>
    <row r="3021">
      <c r="B3021" s="16"/>
      <c r="L3021" s="23"/>
    </row>
    <row r="3022">
      <c r="B3022" s="16"/>
      <c r="L3022" s="23"/>
    </row>
    <row r="3023">
      <c r="B3023" s="16"/>
      <c r="L3023" s="23"/>
    </row>
    <row r="3024">
      <c r="B3024" s="16"/>
      <c r="L3024" s="23"/>
    </row>
    <row r="3025">
      <c r="B3025" s="16"/>
      <c r="L3025" s="23"/>
    </row>
    <row r="3026">
      <c r="B3026" s="16"/>
      <c r="L3026" s="23"/>
    </row>
    <row r="3027">
      <c r="B3027" s="16"/>
      <c r="L3027" s="23"/>
    </row>
    <row r="3028">
      <c r="B3028" s="16"/>
      <c r="L3028" s="23"/>
    </row>
    <row r="3029">
      <c r="B3029" s="16"/>
      <c r="L3029" s="23"/>
    </row>
    <row r="3030">
      <c r="B3030" s="16"/>
      <c r="L3030" s="23"/>
    </row>
    <row r="3031">
      <c r="B3031" s="16"/>
      <c r="L3031" s="23"/>
    </row>
    <row r="3032">
      <c r="B3032" s="16"/>
      <c r="L3032" s="23"/>
    </row>
    <row r="3033">
      <c r="B3033" s="16"/>
      <c r="L3033" s="23"/>
    </row>
    <row r="3034">
      <c r="B3034" s="16"/>
      <c r="L3034" s="23"/>
    </row>
    <row r="3035">
      <c r="B3035" s="16"/>
      <c r="L3035" s="23"/>
    </row>
    <row r="3036">
      <c r="B3036" s="16"/>
      <c r="L3036" s="23"/>
    </row>
    <row r="3037">
      <c r="B3037" s="16"/>
      <c r="L3037" s="23"/>
    </row>
    <row r="3038">
      <c r="B3038" s="16"/>
      <c r="L3038" s="23"/>
    </row>
    <row r="3039">
      <c r="B3039" s="16"/>
      <c r="L3039" s="23"/>
    </row>
    <row r="3040">
      <c r="B3040" s="16"/>
      <c r="L3040" s="23"/>
    </row>
    <row r="3041">
      <c r="B3041" s="16"/>
      <c r="L3041" s="23"/>
    </row>
    <row r="3042">
      <c r="B3042" s="16"/>
      <c r="L3042" s="23"/>
    </row>
    <row r="3043">
      <c r="B3043" s="16"/>
      <c r="L3043" s="23"/>
    </row>
    <row r="3044">
      <c r="B3044" s="16"/>
      <c r="L3044" s="23"/>
    </row>
    <row r="3045">
      <c r="B3045" s="16"/>
      <c r="L3045" s="23"/>
    </row>
    <row r="3046">
      <c r="B3046" s="16"/>
      <c r="L3046" s="23"/>
    </row>
    <row r="3047">
      <c r="B3047" s="16"/>
      <c r="L3047" s="23"/>
    </row>
    <row r="3048">
      <c r="B3048" s="16"/>
      <c r="L3048" s="23"/>
    </row>
    <row r="3049">
      <c r="B3049" s="16"/>
      <c r="L3049" s="23"/>
    </row>
    <row r="3050">
      <c r="B3050" s="16"/>
      <c r="L3050" s="23"/>
    </row>
    <row r="3051">
      <c r="B3051" s="16"/>
      <c r="L3051" s="23"/>
    </row>
    <row r="3052">
      <c r="B3052" s="16"/>
      <c r="L3052" s="23"/>
    </row>
    <row r="3053">
      <c r="B3053" s="16"/>
      <c r="L3053" s="23"/>
    </row>
    <row r="3054">
      <c r="B3054" s="16"/>
      <c r="L3054" s="23"/>
    </row>
    <row r="3055">
      <c r="B3055" s="16"/>
      <c r="L3055" s="23"/>
    </row>
    <row r="3056">
      <c r="B3056" s="16"/>
      <c r="L3056" s="23"/>
    </row>
    <row r="3057">
      <c r="B3057" s="16"/>
      <c r="L3057" s="23"/>
    </row>
    <row r="3058">
      <c r="B3058" s="16"/>
      <c r="L3058" s="23"/>
    </row>
    <row r="3059">
      <c r="B3059" s="16"/>
      <c r="L3059" s="23"/>
    </row>
    <row r="3060">
      <c r="B3060" s="16"/>
      <c r="L3060" s="23"/>
    </row>
    <row r="3061">
      <c r="B3061" s="16"/>
      <c r="L3061" s="23"/>
    </row>
    <row r="3062">
      <c r="B3062" s="16"/>
      <c r="L3062" s="23"/>
    </row>
    <row r="3063">
      <c r="B3063" s="16"/>
      <c r="L3063" s="23"/>
    </row>
    <row r="3064">
      <c r="B3064" s="16"/>
      <c r="L3064" s="23"/>
    </row>
    <row r="3065">
      <c r="B3065" s="16"/>
      <c r="L3065" s="23"/>
    </row>
    <row r="3066">
      <c r="B3066" s="16"/>
      <c r="L3066" s="23"/>
    </row>
    <row r="3067">
      <c r="B3067" s="16"/>
      <c r="L3067" s="23"/>
    </row>
    <row r="3068">
      <c r="B3068" s="16"/>
      <c r="L3068" s="23"/>
    </row>
    <row r="3069">
      <c r="B3069" s="16"/>
      <c r="L3069" s="23"/>
    </row>
    <row r="3070">
      <c r="B3070" s="16"/>
      <c r="L3070" s="23"/>
    </row>
    <row r="3071">
      <c r="B3071" s="16"/>
      <c r="L3071" s="23"/>
    </row>
    <row r="3072">
      <c r="B3072" s="16"/>
      <c r="L3072" s="23"/>
    </row>
    <row r="3073">
      <c r="B3073" s="16"/>
      <c r="L3073" s="23"/>
    </row>
    <row r="3074">
      <c r="B3074" s="16"/>
      <c r="L3074" s="23"/>
    </row>
    <row r="3075">
      <c r="B3075" s="16"/>
      <c r="L3075" s="23"/>
    </row>
    <row r="3076">
      <c r="B3076" s="16"/>
      <c r="L3076" s="23"/>
    </row>
    <row r="3077">
      <c r="B3077" s="16"/>
      <c r="L3077" s="23"/>
    </row>
    <row r="3078">
      <c r="B3078" s="16"/>
      <c r="L3078" s="23"/>
    </row>
    <row r="3079">
      <c r="B3079" s="16"/>
      <c r="L3079" s="23"/>
    </row>
    <row r="3080">
      <c r="B3080" s="16"/>
      <c r="L3080" s="23"/>
    </row>
    <row r="3081">
      <c r="B3081" s="16"/>
      <c r="L3081" s="23"/>
    </row>
    <row r="3082">
      <c r="B3082" s="16"/>
      <c r="L3082" s="23"/>
    </row>
    <row r="3083">
      <c r="B3083" s="16"/>
      <c r="L3083" s="23"/>
    </row>
    <row r="3084">
      <c r="B3084" s="16"/>
      <c r="L3084" s="23"/>
    </row>
    <row r="3085">
      <c r="B3085" s="16"/>
      <c r="L3085" s="23"/>
    </row>
    <row r="3086">
      <c r="B3086" s="16"/>
      <c r="L3086" s="23"/>
    </row>
    <row r="3087">
      <c r="B3087" s="16"/>
      <c r="L3087" s="23"/>
    </row>
    <row r="3088">
      <c r="B3088" s="16"/>
      <c r="L3088" s="23"/>
    </row>
    <row r="3089">
      <c r="B3089" s="16"/>
      <c r="L3089" s="23"/>
    </row>
    <row r="3090">
      <c r="B3090" s="16"/>
      <c r="L3090" s="23"/>
      <c r="M3090" s="23"/>
    </row>
    <row r="3091">
      <c r="B3091" s="16"/>
      <c r="L3091" s="23"/>
    </row>
    <row r="3092">
      <c r="B3092" s="16"/>
      <c r="L3092" s="23"/>
    </row>
    <row r="3093">
      <c r="B3093" s="16"/>
      <c r="L3093" s="23"/>
    </row>
    <row r="3094">
      <c r="B3094" s="16"/>
      <c r="L3094" s="23"/>
    </row>
    <row r="3095">
      <c r="B3095" s="16"/>
      <c r="L3095" s="23"/>
    </row>
    <row r="3096">
      <c r="B3096" s="16"/>
      <c r="L3096" s="23"/>
    </row>
    <row r="3097">
      <c r="B3097" s="16"/>
      <c r="L3097" s="23"/>
    </row>
    <row r="3098">
      <c r="B3098" s="16"/>
      <c r="L3098" s="23"/>
    </row>
    <row r="3099">
      <c r="B3099" s="16"/>
      <c r="L3099" s="23"/>
    </row>
    <row r="3100">
      <c r="B3100" s="16"/>
      <c r="L3100" s="23"/>
    </row>
    <row r="3101">
      <c r="B3101" s="16"/>
      <c r="L3101" s="23"/>
    </row>
    <row r="3102">
      <c r="B3102" s="16"/>
      <c r="L3102" s="23"/>
    </row>
    <row r="3103">
      <c r="B3103" s="16"/>
      <c r="L3103" s="23"/>
    </row>
    <row r="3104">
      <c r="B3104" s="16"/>
      <c r="L3104" s="23"/>
    </row>
    <row r="3105">
      <c r="B3105" s="16"/>
      <c r="L3105" s="23"/>
    </row>
    <row r="3106">
      <c r="B3106" s="16"/>
      <c r="L3106" s="23"/>
    </row>
    <row r="3107">
      <c r="B3107" s="16"/>
      <c r="L3107" s="23"/>
    </row>
    <row r="3108">
      <c r="B3108" s="16"/>
      <c r="L3108" s="23"/>
    </row>
    <row r="3109">
      <c r="B3109" s="16"/>
      <c r="L3109" s="23"/>
    </row>
    <row r="3110">
      <c r="B3110" s="16"/>
      <c r="L3110" s="23"/>
    </row>
    <row r="3111">
      <c r="B3111" s="16"/>
      <c r="L3111" s="23"/>
    </row>
    <row r="3112">
      <c r="B3112" s="16"/>
      <c r="L3112" s="23"/>
    </row>
    <row r="3113">
      <c r="B3113" s="16"/>
      <c r="L3113" s="23"/>
    </row>
    <row r="3114">
      <c r="B3114" s="16"/>
      <c r="L3114" s="23"/>
    </row>
    <row r="3115">
      <c r="B3115" s="16"/>
      <c r="L3115" s="23"/>
    </row>
    <row r="3116">
      <c r="B3116" s="16"/>
      <c r="L3116" s="23"/>
    </row>
    <row r="3117">
      <c r="B3117" s="16"/>
      <c r="L3117" s="23"/>
    </row>
    <row r="3118">
      <c r="B3118" s="16"/>
      <c r="L3118" s="23"/>
    </row>
    <row r="3119">
      <c r="B3119" s="16"/>
      <c r="L3119" s="23"/>
    </row>
    <row r="3120">
      <c r="B3120" s="16"/>
      <c r="L3120" s="23"/>
    </row>
    <row r="3121">
      <c r="B3121" s="16"/>
      <c r="L3121" s="23"/>
    </row>
    <row r="3122">
      <c r="B3122" s="16"/>
      <c r="L3122" s="23"/>
    </row>
    <row r="3123">
      <c r="B3123" s="16"/>
      <c r="L3123" s="23"/>
    </row>
    <row r="3124">
      <c r="B3124" s="16"/>
      <c r="L3124" s="23"/>
    </row>
    <row r="3125">
      <c r="B3125" s="16"/>
      <c r="L3125" s="23"/>
    </row>
    <row r="3126">
      <c r="B3126" s="16"/>
      <c r="L3126" s="23"/>
    </row>
    <row r="3127">
      <c r="B3127" s="16"/>
      <c r="L3127" s="23"/>
    </row>
    <row r="3128">
      <c r="B3128" s="16"/>
      <c r="L3128" s="23"/>
    </row>
    <row r="3129">
      <c r="B3129" s="16"/>
      <c r="L3129" s="23"/>
    </row>
    <row r="3130">
      <c r="B3130" s="16"/>
      <c r="L3130" s="23"/>
    </row>
    <row r="3131">
      <c r="B3131" s="16"/>
      <c r="L3131" s="23"/>
    </row>
    <row r="3132">
      <c r="B3132" s="16"/>
      <c r="L3132" s="23"/>
    </row>
    <row r="3133">
      <c r="B3133" s="16"/>
      <c r="L3133" s="23"/>
    </row>
    <row r="3134">
      <c r="B3134" s="16"/>
      <c r="L3134" s="23"/>
    </row>
    <row r="3135">
      <c r="B3135" s="16"/>
      <c r="L3135" s="23"/>
    </row>
    <row r="3136">
      <c r="B3136" s="16"/>
      <c r="L3136" s="23"/>
    </row>
    <row r="3137">
      <c r="B3137" s="16"/>
      <c r="L3137" s="23"/>
    </row>
    <row r="3138">
      <c r="B3138" s="16"/>
      <c r="L3138" s="23"/>
    </row>
    <row r="3139">
      <c r="B3139" s="16"/>
      <c r="L3139" s="23"/>
    </row>
    <row r="3140">
      <c r="B3140" s="16"/>
      <c r="L3140" s="23"/>
      <c r="M3140" s="23"/>
    </row>
    <row r="3141">
      <c r="B3141" s="16"/>
      <c r="L3141" s="23"/>
    </row>
    <row r="3142">
      <c r="B3142" s="16"/>
      <c r="L3142" s="23"/>
    </row>
    <row r="3143">
      <c r="B3143" s="16"/>
      <c r="L3143" s="23"/>
    </row>
    <row r="3144">
      <c r="B3144" s="16"/>
      <c r="L3144" s="23"/>
    </row>
    <row r="3145">
      <c r="B3145" s="16"/>
      <c r="L3145" s="23"/>
    </row>
    <row r="3146">
      <c r="B3146" s="16"/>
      <c r="L3146" s="23"/>
    </row>
    <row r="3147">
      <c r="B3147" s="16"/>
      <c r="L3147" s="23"/>
    </row>
    <row r="3148">
      <c r="B3148" s="16"/>
      <c r="L3148" s="23"/>
    </row>
    <row r="3149">
      <c r="B3149" s="16"/>
      <c r="L3149" s="23"/>
    </row>
    <row r="3150">
      <c r="B3150" s="16"/>
      <c r="L3150" s="23"/>
    </row>
    <row r="3151">
      <c r="B3151" s="16"/>
      <c r="L3151" s="23"/>
    </row>
    <row r="3152">
      <c r="B3152" s="16"/>
      <c r="L3152" s="23"/>
    </row>
    <row r="3153">
      <c r="B3153" s="16"/>
      <c r="L3153" s="23"/>
    </row>
    <row r="3154">
      <c r="B3154" s="16"/>
      <c r="L3154" s="23"/>
    </row>
    <row r="3155">
      <c r="B3155" s="16"/>
      <c r="L3155" s="23"/>
    </row>
    <row r="3156">
      <c r="B3156" s="16"/>
      <c r="L3156" s="23"/>
    </row>
    <row r="3157">
      <c r="B3157" s="16"/>
      <c r="L3157" s="23"/>
    </row>
    <row r="3158">
      <c r="B3158" s="16"/>
      <c r="L3158" s="23"/>
    </row>
    <row r="3159">
      <c r="B3159" s="16"/>
      <c r="L3159" s="23"/>
    </row>
    <row r="3160">
      <c r="B3160" s="16"/>
      <c r="L3160" s="23"/>
    </row>
    <row r="3161">
      <c r="B3161" s="16"/>
      <c r="L3161" s="23"/>
    </row>
    <row r="3162">
      <c r="B3162" s="16"/>
      <c r="L3162" s="23"/>
    </row>
    <row r="3163">
      <c r="B3163" s="16"/>
      <c r="L3163" s="23"/>
    </row>
    <row r="3164">
      <c r="B3164" s="16"/>
      <c r="L3164" s="23"/>
    </row>
    <row r="3165">
      <c r="B3165" s="16"/>
      <c r="L3165" s="23"/>
      <c r="M3165" s="23"/>
    </row>
    <row r="3166">
      <c r="B3166" s="16"/>
      <c r="L3166" s="23"/>
    </row>
    <row r="3167">
      <c r="B3167" s="16"/>
      <c r="L3167" s="23"/>
    </row>
    <row r="3168">
      <c r="B3168" s="16"/>
      <c r="L3168" s="23"/>
    </row>
    <row r="3169">
      <c r="B3169" s="16"/>
      <c r="L3169" s="23"/>
    </row>
    <row r="3170">
      <c r="B3170" s="16"/>
      <c r="L3170" s="23"/>
      <c r="M3170" s="23"/>
    </row>
    <row r="3171">
      <c r="B3171" s="16"/>
      <c r="L3171" s="23"/>
    </row>
    <row r="3172">
      <c r="B3172" s="16"/>
      <c r="L3172" s="23"/>
    </row>
    <row r="3173">
      <c r="B3173" s="16"/>
      <c r="L3173" s="23"/>
      <c r="M3173" s="23"/>
    </row>
    <row r="3174">
      <c r="B3174" s="16"/>
      <c r="L3174" s="23"/>
    </row>
    <row r="3175">
      <c r="B3175" s="16"/>
      <c r="L3175" s="23"/>
    </row>
    <row r="3176">
      <c r="B3176" s="16"/>
      <c r="L3176" s="23"/>
    </row>
    <row r="3177">
      <c r="B3177" s="16"/>
      <c r="L3177" s="23"/>
    </row>
    <row r="3178">
      <c r="B3178" s="16"/>
      <c r="L3178" s="23"/>
    </row>
    <row r="3179">
      <c r="B3179" s="16"/>
      <c r="L3179" s="23"/>
    </row>
    <row r="3180">
      <c r="B3180" s="16"/>
      <c r="L3180" s="23"/>
    </row>
    <row r="3181">
      <c r="B3181" s="16"/>
      <c r="L3181" s="23"/>
    </row>
    <row r="3182">
      <c r="B3182" s="16"/>
      <c r="L3182" s="23"/>
    </row>
    <row r="3183">
      <c r="B3183" s="16"/>
      <c r="L3183" s="23"/>
      <c r="M3183" s="23"/>
    </row>
    <row r="3184">
      <c r="B3184" s="16"/>
      <c r="L3184" s="23"/>
      <c r="M3184" s="23"/>
    </row>
    <row r="3185">
      <c r="B3185" s="16"/>
      <c r="L3185" s="23"/>
      <c r="M3185" s="23"/>
    </row>
    <row r="3186">
      <c r="B3186" s="16"/>
      <c r="L3186" s="23"/>
    </row>
    <row r="3187">
      <c r="B3187" s="16"/>
      <c r="L3187" s="23"/>
    </row>
    <row r="3188">
      <c r="B3188" s="16"/>
      <c r="L3188" s="23"/>
      <c r="M3188" s="23"/>
    </row>
    <row r="3189">
      <c r="B3189" s="16"/>
      <c r="L3189" s="23"/>
      <c r="M3189" s="23"/>
    </row>
    <row r="3190">
      <c r="B3190" s="16"/>
      <c r="L3190" s="23"/>
    </row>
    <row r="3191">
      <c r="B3191" s="16"/>
      <c r="L3191" s="23"/>
    </row>
    <row r="3192">
      <c r="B3192" s="16"/>
      <c r="L3192" s="23"/>
      <c r="M3192" s="23"/>
    </row>
    <row r="3193">
      <c r="B3193" s="16"/>
      <c r="L3193" s="23"/>
    </row>
    <row r="3194">
      <c r="B3194" s="16"/>
      <c r="L3194" s="23"/>
    </row>
    <row r="3195">
      <c r="B3195" s="16"/>
      <c r="L3195" s="23"/>
      <c r="M3195" s="23"/>
    </row>
    <row r="3196">
      <c r="B3196" s="16"/>
      <c r="L3196" s="23"/>
    </row>
    <row r="3197">
      <c r="B3197" s="16"/>
      <c r="L3197" s="23"/>
    </row>
    <row r="3198">
      <c r="B3198" s="16"/>
      <c r="L3198" s="23"/>
      <c r="M3198" s="23"/>
    </row>
    <row r="3199">
      <c r="B3199" s="16"/>
      <c r="L3199" s="23"/>
      <c r="M3199" s="23"/>
    </row>
    <row r="3200">
      <c r="B3200" s="16"/>
      <c r="L3200" s="23"/>
    </row>
    <row r="3201">
      <c r="B3201" s="16"/>
      <c r="L3201" s="23"/>
    </row>
    <row r="3202">
      <c r="B3202" s="16"/>
      <c r="L3202" s="23"/>
      <c r="M3202" s="23"/>
    </row>
    <row r="3203">
      <c r="B3203" s="16"/>
      <c r="L3203" s="23"/>
    </row>
    <row r="3204">
      <c r="B3204" s="16"/>
      <c r="L3204" s="23"/>
    </row>
    <row r="3205">
      <c r="B3205" s="16"/>
      <c r="L3205" s="23"/>
    </row>
    <row r="3206">
      <c r="B3206" s="16"/>
      <c r="L3206" s="23"/>
    </row>
    <row r="3207">
      <c r="B3207" s="16"/>
      <c r="L3207" s="23"/>
      <c r="M3207" s="23"/>
    </row>
    <row r="3208">
      <c r="B3208" s="16"/>
      <c r="L3208" s="23"/>
    </row>
    <row r="3209">
      <c r="B3209" s="16"/>
      <c r="L3209" s="23"/>
    </row>
    <row r="3210">
      <c r="B3210" s="16"/>
      <c r="L3210" s="23"/>
    </row>
    <row r="3211">
      <c r="B3211" s="16"/>
      <c r="L3211" s="23"/>
    </row>
    <row r="3212">
      <c r="B3212" s="16"/>
      <c r="L3212" s="23"/>
      <c r="M3212" s="23"/>
    </row>
    <row r="3213">
      <c r="B3213" s="16"/>
      <c r="L3213" s="23"/>
    </row>
    <row r="3214">
      <c r="B3214" s="16"/>
      <c r="L3214" s="23"/>
    </row>
    <row r="3215">
      <c r="B3215" s="16"/>
      <c r="L3215" s="23"/>
    </row>
    <row r="3216">
      <c r="B3216" s="16"/>
      <c r="L3216" s="23"/>
    </row>
    <row r="3217">
      <c r="B3217" s="16"/>
      <c r="L3217" s="23"/>
    </row>
    <row r="3218">
      <c r="B3218" s="16"/>
      <c r="L3218" s="23"/>
    </row>
    <row r="3219">
      <c r="B3219" s="16"/>
      <c r="L3219" s="23"/>
    </row>
    <row r="3220">
      <c r="B3220" s="16"/>
      <c r="L3220" s="23"/>
    </row>
    <row r="3221">
      <c r="B3221" s="16"/>
      <c r="L3221" s="23"/>
    </row>
    <row r="3222">
      <c r="B3222" s="16"/>
      <c r="L3222" s="23"/>
    </row>
    <row r="3223">
      <c r="B3223" s="16"/>
      <c r="L3223" s="23"/>
    </row>
    <row r="3224">
      <c r="B3224" s="16"/>
      <c r="L3224" s="23"/>
    </row>
    <row r="3225">
      <c r="B3225" s="16"/>
      <c r="L3225" s="23"/>
    </row>
    <row r="3226">
      <c r="B3226" s="16"/>
      <c r="L3226" s="23"/>
    </row>
    <row r="3227">
      <c r="B3227" s="16"/>
      <c r="L3227" s="23"/>
    </row>
    <row r="3228">
      <c r="B3228" s="16"/>
      <c r="L3228" s="23"/>
    </row>
    <row r="3229">
      <c r="B3229" s="16"/>
      <c r="L3229" s="23"/>
    </row>
    <row r="3230">
      <c r="B3230" s="16"/>
      <c r="L3230" s="23"/>
      <c r="M3230" s="23"/>
    </row>
    <row r="3231">
      <c r="B3231" s="16"/>
      <c r="L3231" s="23"/>
    </row>
    <row r="3232">
      <c r="B3232" s="16"/>
      <c r="L3232" s="23"/>
    </row>
    <row r="3233">
      <c r="B3233" s="16"/>
      <c r="L3233" s="23"/>
    </row>
    <row r="3234">
      <c r="B3234" s="16"/>
      <c r="L3234" s="23"/>
    </row>
    <row r="3235">
      <c r="B3235" s="16"/>
      <c r="L3235" s="23"/>
    </row>
    <row r="3236">
      <c r="B3236" s="16"/>
      <c r="L3236" s="23"/>
    </row>
    <row r="3237">
      <c r="B3237" s="16"/>
      <c r="L3237" s="23"/>
    </row>
    <row r="3238">
      <c r="B3238" s="16"/>
      <c r="L3238" s="23"/>
    </row>
    <row r="3239">
      <c r="B3239" s="16"/>
      <c r="L3239" s="23"/>
    </row>
    <row r="3240">
      <c r="B3240" s="16"/>
      <c r="L3240" s="23"/>
    </row>
    <row r="3241">
      <c r="B3241" s="16"/>
      <c r="L3241" s="23"/>
    </row>
    <row r="3242">
      <c r="B3242" s="16"/>
      <c r="L3242" s="23"/>
    </row>
    <row r="3243">
      <c r="B3243" s="16"/>
      <c r="L3243" s="23"/>
    </row>
    <row r="3244">
      <c r="B3244" s="16"/>
      <c r="L3244" s="23"/>
    </row>
    <row r="3245">
      <c r="B3245" s="16"/>
      <c r="L3245" s="23"/>
    </row>
    <row r="3246">
      <c r="B3246" s="16"/>
      <c r="L3246" s="23"/>
    </row>
    <row r="3247">
      <c r="B3247" s="16"/>
      <c r="L3247" s="23"/>
      <c r="M3247" s="23"/>
    </row>
    <row r="3248">
      <c r="B3248" s="16"/>
      <c r="L3248" s="23"/>
    </row>
    <row r="3249">
      <c r="B3249" s="16"/>
      <c r="L3249" s="23"/>
      <c r="M3249" s="23"/>
    </row>
    <row r="3250">
      <c r="B3250" s="16"/>
      <c r="L3250" s="23"/>
    </row>
    <row r="3251">
      <c r="B3251" s="16"/>
      <c r="L3251" s="23"/>
    </row>
    <row r="3252">
      <c r="B3252" s="16"/>
      <c r="L3252" s="23"/>
    </row>
    <row r="3253">
      <c r="B3253" s="16"/>
      <c r="L3253" s="23"/>
    </row>
    <row r="3254">
      <c r="B3254" s="16"/>
      <c r="L3254" s="23"/>
    </row>
    <row r="3255">
      <c r="B3255" s="16"/>
      <c r="L3255" s="23"/>
    </row>
    <row r="3256">
      <c r="B3256" s="16"/>
      <c r="L3256" s="23"/>
    </row>
    <row r="3257">
      <c r="B3257" s="16"/>
      <c r="L3257" s="23"/>
    </row>
    <row r="3258">
      <c r="B3258" s="16"/>
      <c r="L3258" s="23"/>
    </row>
    <row r="3259">
      <c r="B3259" s="16"/>
      <c r="L3259" s="23"/>
    </row>
    <row r="3260">
      <c r="B3260" s="16"/>
      <c r="L3260" s="23"/>
    </row>
    <row r="3261">
      <c r="B3261" s="16"/>
      <c r="L3261" s="23"/>
    </row>
    <row r="3262">
      <c r="B3262" s="16"/>
      <c r="L3262" s="23"/>
    </row>
    <row r="3263">
      <c r="B3263" s="16"/>
      <c r="L3263" s="23"/>
    </row>
    <row r="3264">
      <c r="B3264" s="16"/>
      <c r="L3264" s="23"/>
    </row>
    <row r="3265">
      <c r="B3265" s="16"/>
      <c r="L3265" s="23"/>
    </row>
    <row r="3266">
      <c r="B3266" s="16"/>
      <c r="L3266" s="23"/>
    </row>
    <row r="3267">
      <c r="B3267" s="16"/>
      <c r="L3267" s="23"/>
    </row>
    <row r="3268">
      <c r="B3268" s="16"/>
      <c r="L3268" s="23"/>
    </row>
    <row r="3269">
      <c r="B3269" s="16"/>
      <c r="L3269" s="23"/>
    </row>
    <row r="3270">
      <c r="B3270" s="16"/>
      <c r="L3270" s="23"/>
    </row>
    <row r="3271">
      <c r="B3271" s="16"/>
      <c r="L3271" s="23"/>
    </row>
    <row r="3272">
      <c r="B3272" s="16"/>
      <c r="L3272" s="23"/>
    </row>
    <row r="3273">
      <c r="B3273" s="16"/>
      <c r="L3273" s="23"/>
    </row>
    <row r="3274">
      <c r="B3274" s="16"/>
      <c r="L3274" s="23"/>
    </row>
    <row r="3275">
      <c r="B3275" s="16"/>
      <c r="L3275" s="23"/>
    </row>
    <row r="3276">
      <c r="B3276" s="16"/>
      <c r="L3276" s="23"/>
    </row>
    <row r="3277">
      <c r="B3277" s="16"/>
      <c r="L3277" s="23"/>
    </row>
    <row r="3278">
      <c r="B3278" s="16"/>
      <c r="L3278" s="23"/>
    </row>
    <row r="3279">
      <c r="B3279" s="16"/>
      <c r="L3279" s="23"/>
    </row>
    <row r="3280">
      <c r="B3280" s="16"/>
      <c r="L3280" s="23"/>
    </row>
    <row r="3281">
      <c r="B3281" s="16"/>
      <c r="L3281" s="23"/>
      <c r="M3281" s="23"/>
    </row>
    <row r="3282">
      <c r="B3282" s="16"/>
      <c r="L3282" s="23"/>
    </row>
    <row r="3283">
      <c r="B3283" s="16"/>
      <c r="L3283" s="23"/>
    </row>
    <row r="3284">
      <c r="B3284" s="16"/>
      <c r="L3284" s="23"/>
    </row>
    <row r="3285">
      <c r="B3285" s="16"/>
      <c r="L3285" s="23"/>
    </row>
    <row r="3286">
      <c r="B3286" s="16"/>
      <c r="L3286" s="23"/>
    </row>
    <row r="3287">
      <c r="B3287" s="16"/>
      <c r="L3287" s="23"/>
    </row>
    <row r="3288">
      <c r="B3288" s="16"/>
      <c r="L3288" s="23"/>
    </row>
    <row r="3289">
      <c r="B3289" s="16"/>
      <c r="L3289" s="23"/>
    </row>
    <row r="3290">
      <c r="B3290" s="16"/>
      <c r="L3290" s="23"/>
    </row>
    <row r="3291">
      <c r="B3291" s="16"/>
      <c r="L3291" s="23"/>
    </row>
    <row r="3292">
      <c r="B3292" s="16"/>
      <c r="L3292" s="23"/>
    </row>
    <row r="3293">
      <c r="B3293" s="16"/>
      <c r="L3293" s="23"/>
    </row>
    <row r="3294">
      <c r="B3294" s="16"/>
      <c r="L3294" s="23"/>
    </row>
    <row r="3295">
      <c r="B3295" s="16"/>
      <c r="L3295" s="23"/>
    </row>
    <row r="3296">
      <c r="B3296" s="16"/>
      <c r="L3296" s="23"/>
    </row>
    <row r="3297">
      <c r="B3297" s="16"/>
      <c r="L3297" s="23"/>
    </row>
    <row r="3298">
      <c r="B3298" s="16"/>
      <c r="L3298" s="23"/>
    </row>
    <row r="3299">
      <c r="B3299" s="16"/>
      <c r="L3299" s="23"/>
    </row>
    <row r="3300">
      <c r="B3300" s="16"/>
      <c r="L3300" s="23"/>
    </row>
    <row r="3301">
      <c r="B3301" s="16"/>
      <c r="L3301" s="23"/>
    </row>
    <row r="3302">
      <c r="B3302" s="16"/>
      <c r="L3302" s="23"/>
    </row>
    <row r="3303">
      <c r="B3303" s="16"/>
      <c r="L3303" s="23"/>
      <c r="M3303" s="23"/>
    </row>
    <row r="3304">
      <c r="B3304" s="16"/>
      <c r="L3304" s="23"/>
      <c r="M3304" s="23"/>
    </row>
    <row r="3305">
      <c r="B3305" s="16"/>
      <c r="L3305" s="23"/>
    </row>
    <row r="3306">
      <c r="B3306" s="16"/>
      <c r="L3306" s="23"/>
      <c r="M3306" s="23"/>
    </row>
    <row r="3307">
      <c r="B3307" s="16"/>
      <c r="L3307" s="23"/>
    </row>
    <row r="3308">
      <c r="B3308" s="16"/>
      <c r="L3308" s="23"/>
      <c r="M3308" s="23"/>
    </row>
    <row r="3309">
      <c r="B3309" s="16"/>
      <c r="L3309" s="23"/>
      <c r="M3309" s="23"/>
    </row>
    <row r="3310">
      <c r="B3310" s="16"/>
      <c r="L3310" s="23"/>
      <c r="M3310" s="23"/>
    </row>
    <row r="3311">
      <c r="B3311" s="16"/>
      <c r="L3311" s="23"/>
    </row>
    <row r="3312">
      <c r="B3312" s="16"/>
      <c r="L3312" s="23"/>
      <c r="M3312" s="23"/>
    </row>
    <row r="3313">
      <c r="B3313" s="16"/>
      <c r="L3313" s="23"/>
      <c r="M3313" s="23"/>
    </row>
    <row r="3314">
      <c r="B3314" s="16"/>
      <c r="L3314" s="23"/>
      <c r="M3314" s="23"/>
    </row>
    <row r="3315">
      <c r="B3315" s="16"/>
      <c r="L3315" s="23"/>
      <c r="M3315" s="23"/>
    </row>
    <row r="3316">
      <c r="B3316" s="16"/>
      <c r="L3316" s="23"/>
      <c r="M3316" s="23"/>
    </row>
    <row r="3317">
      <c r="B3317" s="16"/>
      <c r="L3317" s="23"/>
      <c r="M3317" s="23"/>
    </row>
    <row r="3318">
      <c r="B3318" s="16"/>
      <c r="L3318" s="23"/>
      <c r="M3318" s="23"/>
    </row>
    <row r="3319">
      <c r="B3319" s="16"/>
      <c r="L3319" s="23"/>
      <c r="M3319" s="23"/>
    </row>
    <row r="3320">
      <c r="B3320" s="16"/>
      <c r="L3320" s="23"/>
      <c r="M3320" s="23"/>
    </row>
    <row r="3321">
      <c r="B3321" s="16"/>
      <c r="L3321" s="23"/>
      <c r="M3321" s="23"/>
    </row>
    <row r="3322">
      <c r="B3322" s="16"/>
      <c r="L3322" s="23"/>
      <c r="M3322" s="23"/>
    </row>
    <row r="3323">
      <c r="B3323" s="16"/>
      <c r="L3323" s="23"/>
      <c r="M3323" s="23"/>
    </row>
    <row r="3324">
      <c r="B3324" s="16"/>
      <c r="L3324" s="23"/>
      <c r="M3324" s="23"/>
    </row>
    <row r="3325">
      <c r="B3325" s="16"/>
      <c r="L3325" s="23"/>
      <c r="M3325" s="23"/>
    </row>
    <row r="3326">
      <c r="B3326" s="16"/>
      <c r="L3326" s="23"/>
      <c r="M3326" s="23"/>
    </row>
    <row r="3327">
      <c r="B3327" s="16"/>
      <c r="L3327" s="23"/>
      <c r="M3327" s="23"/>
    </row>
    <row r="3328">
      <c r="B3328" s="16"/>
      <c r="L3328" s="23"/>
      <c r="M3328" s="23"/>
    </row>
    <row r="3329">
      <c r="B3329" s="16"/>
      <c r="L3329" s="23"/>
      <c r="M3329" s="23"/>
    </row>
    <row r="3330">
      <c r="B3330" s="16"/>
      <c r="L3330" s="23"/>
    </row>
    <row r="3331">
      <c r="B3331" s="16"/>
      <c r="L3331" s="23"/>
    </row>
    <row r="3332">
      <c r="B3332" s="16"/>
      <c r="L3332" s="23"/>
      <c r="M3332" s="23"/>
    </row>
    <row r="3333">
      <c r="B3333" s="16"/>
      <c r="L3333" s="23"/>
      <c r="M3333" s="23"/>
    </row>
    <row r="3334">
      <c r="B3334" s="16"/>
      <c r="L3334" s="23"/>
      <c r="M3334" s="23"/>
    </row>
    <row r="3335">
      <c r="B3335" s="16"/>
      <c r="L3335" s="23"/>
    </row>
    <row r="3336">
      <c r="B3336" s="16"/>
      <c r="L3336" s="23"/>
    </row>
    <row r="3337">
      <c r="B3337" s="16"/>
      <c r="L3337" s="23"/>
      <c r="M3337" s="23"/>
    </row>
    <row r="3338">
      <c r="B3338" s="16"/>
      <c r="L3338" s="23"/>
    </row>
    <row r="3339">
      <c r="B3339" s="16"/>
      <c r="L3339" s="23"/>
      <c r="M3339" s="23"/>
    </row>
    <row r="3340">
      <c r="B3340" s="16"/>
      <c r="L3340" s="23"/>
      <c r="M3340" s="23"/>
    </row>
    <row r="3341">
      <c r="B3341" s="16"/>
      <c r="L3341" s="23"/>
      <c r="M3341" s="23"/>
    </row>
    <row r="3342">
      <c r="B3342" s="16"/>
      <c r="L3342" s="23"/>
      <c r="M3342" s="23"/>
    </row>
    <row r="3343">
      <c r="B3343" s="16"/>
      <c r="L3343" s="23"/>
      <c r="M3343" s="23"/>
    </row>
    <row r="3344">
      <c r="B3344" s="16"/>
      <c r="L3344" s="23"/>
      <c r="M3344" s="23"/>
    </row>
    <row r="3345">
      <c r="B3345" s="16"/>
      <c r="L3345" s="23"/>
    </row>
    <row r="3346">
      <c r="B3346" s="16"/>
      <c r="L3346" s="23"/>
    </row>
    <row r="3347">
      <c r="B3347" s="16"/>
      <c r="L3347" s="23"/>
    </row>
    <row r="3348">
      <c r="B3348" s="16"/>
      <c r="L3348" s="23"/>
    </row>
    <row r="3349">
      <c r="B3349" s="16"/>
      <c r="L3349" s="23"/>
    </row>
    <row r="3350">
      <c r="B3350" s="16"/>
      <c r="L3350" s="23"/>
    </row>
    <row r="3351">
      <c r="B3351" s="16"/>
      <c r="L3351" s="23"/>
    </row>
    <row r="3352">
      <c r="B3352" s="16"/>
      <c r="L3352" s="23"/>
    </row>
    <row r="3353">
      <c r="B3353" s="16"/>
      <c r="L3353" s="23"/>
    </row>
    <row r="3354">
      <c r="B3354" s="16"/>
      <c r="L3354" s="23"/>
    </row>
    <row r="3355">
      <c r="B3355" s="16"/>
      <c r="L3355" s="23"/>
    </row>
    <row r="3356">
      <c r="B3356" s="16"/>
      <c r="L3356" s="23"/>
    </row>
    <row r="3357">
      <c r="B3357" s="16"/>
      <c r="L3357" s="23"/>
    </row>
    <row r="3358">
      <c r="B3358" s="16"/>
      <c r="L3358" s="23"/>
    </row>
    <row r="3359">
      <c r="B3359" s="16"/>
      <c r="L3359" s="23"/>
    </row>
    <row r="3360">
      <c r="B3360" s="16"/>
      <c r="L3360" s="23"/>
    </row>
    <row r="3361">
      <c r="B3361" s="16"/>
      <c r="L3361" s="23"/>
      <c r="M3361" s="23"/>
    </row>
    <row r="3362">
      <c r="B3362" s="16"/>
      <c r="L3362" s="23"/>
    </row>
    <row r="3363">
      <c r="B3363" s="16"/>
      <c r="L3363" s="23"/>
    </row>
    <row r="3364">
      <c r="B3364" s="16"/>
      <c r="L3364" s="23"/>
    </row>
    <row r="3365">
      <c r="B3365" s="16"/>
      <c r="L3365" s="23"/>
    </row>
    <row r="3366">
      <c r="B3366" s="16"/>
      <c r="L3366" s="23"/>
      <c r="M3366" s="23"/>
    </row>
    <row r="3367">
      <c r="B3367" s="16"/>
      <c r="L3367" s="23"/>
    </row>
    <row r="3368">
      <c r="B3368" s="16"/>
      <c r="L3368" s="23"/>
    </row>
    <row r="3369">
      <c r="B3369" s="16"/>
      <c r="L3369" s="23"/>
    </row>
    <row r="3370">
      <c r="B3370" s="16"/>
      <c r="L3370" s="23"/>
    </row>
    <row r="3371">
      <c r="B3371" s="16"/>
      <c r="L3371" s="23"/>
    </row>
    <row r="3372">
      <c r="B3372" s="16"/>
      <c r="L3372" s="23"/>
    </row>
    <row r="3373">
      <c r="B3373" s="16"/>
      <c r="L3373" s="23"/>
    </row>
    <row r="3374">
      <c r="B3374" s="16"/>
      <c r="L3374" s="23"/>
      <c r="M3374" s="23"/>
    </row>
    <row r="3375">
      <c r="B3375" s="16"/>
      <c r="L3375" s="23"/>
    </row>
    <row r="3376">
      <c r="B3376" s="16"/>
      <c r="L3376" s="23"/>
    </row>
    <row r="3377">
      <c r="B3377" s="16"/>
      <c r="L3377" s="23"/>
    </row>
    <row r="3378">
      <c r="B3378" s="16"/>
      <c r="L3378" s="23"/>
    </row>
    <row r="3379">
      <c r="B3379" s="16"/>
      <c r="L3379" s="23"/>
    </row>
    <row r="3380">
      <c r="B3380" s="16"/>
      <c r="L3380" s="23"/>
    </row>
    <row r="3381">
      <c r="B3381" s="16"/>
      <c r="L3381" s="23"/>
      <c r="M3381" s="23"/>
    </row>
    <row r="3382">
      <c r="B3382" s="16"/>
      <c r="L3382" s="23"/>
    </row>
    <row r="3383">
      <c r="B3383" s="16"/>
      <c r="L3383" s="23"/>
    </row>
    <row r="3384">
      <c r="B3384" s="16"/>
      <c r="L3384" s="23"/>
      <c r="M3384" s="23"/>
    </row>
    <row r="3385">
      <c r="B3385" s="16"/>
      <c r="L3385" s="23"/>
      <c r="M3385" s="23"/>
    </row>
    <row r="3386">
      <c r="B3386" s="16"/>
      <c r="L3386" s="23"/>
    </row>
    <row r="3387">
      <c r="B3387" s="16"/>
      <c r="L3387" s="23"/>
      <c r="M3387" s="23"/>
    </row>
    <row r="3388">
      <c r="B3388" s="16"/>
      <c r="L3388" s="23"/>
      <c r="M3388" s="23"/>
    </row>
    <row r="3389">
      <c r="B3389" s="16"/>
      <c r="L3389" s="23"/>
    </row>
    <row r="3390">
      <c r="B3390" s="16"/>
      <c r="L3390" s="23"/>
    </row>
    <row r="3391">
      <c r="B3391" s="16"/>
      <c r="L3391" s="23"/>
    </row>
    <row r="3392">
      <c r="B3392" s="16"/>
      <c r="L3392" s="23"/>
      <c r="M3392" s="23"/>
    </row>
    <row r="3393">
      <c r="B3393" s="16"/>
      <c r="L3393" s="23"/>
    </row>
    <row r="3394">
      <c r="B3394" s="16"/>
      <c r="L3394" s="23"/>
      <c r="M3394" s="23"/>
    </row>
    <row r="3395">
      <c r="B3395" s="16"/>
      <c r="L3395" s="23"/>
    </row>
    <row r="3396">
      <c r="B3396" s="16"/>
      <c r="L3396" s="23"/>
    </row>
    <row r="3397">
      <c r="B3397" s="16"/>
      <c r="L3397" s="23"/>
    </row>
    <row r="3398">
      <c r="B3398" s="16"/>
      <c r="L3398" s="23"/>
      <c r="M3398" s="23"/>
    </row>
    <row r="3399">
      <c r="B3399" s="16"/>
      <c r="L3399" s="23"/>
    </row>
    <row r="3400">
      <c r="B3400" s="16"/>
      <c r="L3400" s="23"/>
    </row>
    <row r="3401">
      <c r="B3401" s="16"/>
      <c r="L3401" s="23"/>
    </row>
    <row r="3402">
      <c r="B3402" s="16"/>
      <c r="L3402" s="23"/>
      <c r="M3402" s="23"/>
    </row>
    <row r="3403">
      <c r="B3403" s="16"/>
      <c r="L3403" s="23"/>
    </row>
    <row r="3404">
      <c r="B3404" s="16"/>
      <c r="L3404" s="23"/>
      <c r="M3404" s="23"/>
    </row>
    <row r="3405">
      <c r="B3405" s="16"/>
      <c r="L3405" s="23"/>
    </row>
    <row r="3406">
      <c r="B3406" s="16"/>
      <c r="L3406" s="23"/>
    </row>
    <row r="3407">
      <c r="B3407" s="16"/>
      <c r="L3407" s="23"/>
    </row>
    <row r="3408">
      <c r="B3408" s="16"/>
      <c r="L3408" s="23"/>
    </row>
    <row r="3409">
      <c r="B3409" s="16"/>
      <c r="L3409" s="23"/>
    </row>
    <row r="3410">
      <c r="B3410" s="16"/>
      <c r="L3410" s="23"/>
    </row>
    <row r="3411">
      <c r="B3411" s="16"/>
      <c r="L3411" s="23"/>
    </row>
    <row r="3412">
      <c r="B3412" s="16"/>
      <c r="L3412" s="23"/>
      <c r="M3412" s="23"/>
    </row>
    <row r="3413">
      <c r="B3413" s="16"/>
      <c r="L3413" s="23"/>
    </row>
    <row r="3414">
      <c r="B3414" s="16"/>
      <c r="L3414" s="23"/>
    </row>
    <row r="3415">
      <c r="B3415" s="16"/>
      <c r="L3415" s="23"/>
    </row>
    <row r="3416">
      <c r="B3416" s="16"/>
      <c r="L3416" s="23"/>
    </row>
    <row r="3417">
      <c r="B3417" s="16"/>
      <c r="L3417" s="23"/>
    </row>
    <row r="3418">
      <c r="B3418" s="16"/>
      <c r="L3418" s="23"/>
      <c r="M3418" s="23"/>
    </row>
    <row r="3419">
      <c r="B3419" s="16"/>
      <c r="L3419" s="23"/>
      <c r="M3419" s="23"/>
    </row>
    <row r="3420">
      <c r="B3420" s="16"/>
      <c r="L3420" s="23"/>
      <c r="M3420" s="23"/>
    </row>
    <row r="3421">
      <c r="B3421" s="16"/>
      <c r="L3421" s="23"/>
      <c r="M3421" s="23"/>
    </row>
    <row r="3422">
      <c r="B3422" s="16"/>
      <c r="L3422" s="23"/>
      <c r="M3422" s="23"/>
    </row>
    <row r="3423">
      <c r="B3423" s="16"/>
      <c r="L3423" s="23"/>
      <c r="M3423" s="23"/>
    </row>
    <row r="3424">
      <c r="B3424" s="16"/>
      <c r="L3424" s="23"/>
      <c r="M3424" s="23"/>
    </row>
    <row r="3425">
      <c r="B3425" s="16"/>
      <c r="L3425" s="23"/>
    </row>
    <row r="3426">
      <c r="B3426" s="16"/>
      <c r="L3426" s="23"/>
      <c r="M3426" s="23"/>
    </row>
    <row r="3427">
      <c r="B3427" s="16"/>
      <c r="L3427" s="23"/>
      <c r="M3427" s="23"/>
    </row>
    <row r="3428">
      <c r="B3428" s="16"/>
      <c r="L3428" s="23"/>
      <c r="M3428" s="23"/>
    </row>
    <row r="3429">
      <c r="B3429" s="16"/>
      <c r="L3429" s="23"/>
      <c r="M3429" s="23"/>
    </row>
    <row r="3430">
      <c r="B3430" s="16"/>
      <c r="L3430" s="23"/>
      <c r="M3430" s="23"/>
    </row>
    <row r="3431">
      <c r="B3431" s="16"/>
      <c r="L3431" s="23"/>
      <c r="M3431" s="23"/>
    </row>
    <row r="3432">
      <c r="B3432" s="16"/>
      <c r="L3432" s="23"/>
      <c r="M3432" s="23"/>
    </row>
    <row r="3433">
      <c r="B3433" s="16"/>
      <c r="L3433" s="23"/>
      <c r="M3433" s="23"/>
    </row>
    <row r="3434">
      <c r="B3434" s="16"/>
      <c r="L3434" s="23"/>
      <c r="M3434" s="23"/>
    </row>
    <row r="3435">
      <c r="B3435" s="16"/>
      <c r="L3435" s="23"/>
      <c r="M3435" s="23"/>
    </row>
    <row r="3436">
      <c r="B3436" s="16"/>
      <c r="L3436" s="23"/>
      <c r="M3436" s="23"/>
    </row>
    <row r="3437">
      <c r="B3437" s="16"/>
      <c r="L3437" s="23"/>
    </row>
    <row r="3438">
      <c r="B3438" s="16"/>
      <c r="L3438" s="23"/>
      <c r="M3438" s="23"/>
    </row>
    <row r="3439">
      <c r="B3439" s="16"/>
      <c r="L3439" s="23"/>
      <c r="M3439" s="23"/>
    </row>
    <row r="3440">
      <c r="B3440" s="16"/>
      <c r="L3440" s="23"/>
    </row>
    <row r="3441">
      <c r="B3441" s="16"/>
      <c r="L3441" s="23"/>
    </row>
    <row r="3442">
      <c r="B3442" s="16"/>
      <c r="L3442" s="23"/>
    </row>
    <row r="3443">
      <c r="B3443" s="16"/>
      <c r="L3443" s="23"/>
    </row>
    <row r="3444">
      <c r="B3444" s="16"/>
      <c r="L3444" s="23"/>
    </row>
    <row r="3445">
      <c r="B3445" s="16"/>
      <c r="L3445" s="23"/>
    </row>
    <row r="3446">
      <c r="B3446" s="16"/>
      <c r="L3446" s="23"/>
    </row>
    <row r="3447">
      <c r="B3447" s="16"/>
      <c r="L3447" s="23"/>
    </row>
    <row r="3448">
      <c r="B3448" s="16"/>
      <c r="L3448" s="23"/>
    </row>
    <row r="3449">
      <c r="B3449" s="16"/>
      <c r="L3449" s="23"/>
    </row>
    <row r="3450">
      <c r="B3450" s="16"/>
      <c r="L3450" s="23"/>
    </row>
    <row r="3451">
      <c r="B3451" s="16"/>
      <c r="L3451" s="23"/>
      <c r="M3451" s="23"/>
    </row>
    <row r="3452">
      <c r="B3452" s="16"/>
      <c r="L3452" s="23"/>
    </row>
    <row r="3453">
      <c r="B3453" s="16"/>
      <c r="L3453" s="23"/>
    </row>
    <row r="3454">
      <c r="B3454" s="16"/>
      <c r="L3454" s="23"/>
    </row>
    <row r="3455">
      <c r="B3455" s="16"/>
      <c r="L3455" s="23"/>
    </row>
    <row r="3456">
      <c r="B3456" s="16"/>
      <c r="L3456" s="23"/>
    </row>
    <row r="3457">
      <c r="B3457" s="16"/>
      <c r="L3457" s="23"/>
    </row>
    <row r="3458">
      <c r="B3458" s="16"/>
      <c r="L3458" s="23"/>
      <c r="M3458" s="23"/>
    </row>
    <row r="3459">
      <c r="B3459" s="16"/>
      <c r="L3459" s="23"/>
    </row>
    <row r="3460">
      <c r="B3460" s="16"/>
      <c r="L3460" s="23"/>
    </row>
    <row r="3461">
      <c r="B3461" s="16"/>
      <c r="L3461" s="23"/>
      <c r="M3461" s="23"/>
    </row>
    <row r="3462">
      <c r="B3462" s="16"/>
      <c r="L3462" s="23"/>
      <c r="M3462" s="23"/>
    </row>
    <row r="3463">
      <c r="B3463" s="16"/>
      <c r="L3463" s="23"/>
      <c r="M3463" s="23"/>
    </row>
    <row r="3464">
      <c r="B3464" s="16"/>
      <c r="L3464" s="23"/>
      <c r="M3464" s="23"/>
    </row>
    <row r="3465">
      <c r="B3465" s="16"/>
      <c r="L3465" s="23"/>
      <c r="M3465" s="23"/>
    </row>
    <row r="3466">
      <c r="B3466" s="16"/>
      <c r="L3466" s="23"/>
    </row>
    <row r="3467">
      <c r="B3467" s="16"/>
      <c r="L3467" s="23"/>
      <c r="M3467" s="23"/>
    </row>
    <row r="3468">
      <c r="B3468" s="16"/>
      <c r="L3468" s="23"/>
    </row>
    <row r="3469">
      <c r="B3469" s="16"/>
      <c r="L3469" s="23"/>
      <c r="M3469" s="23"/>
    </row>
    <row r="3470">
      <c r="B3470" s="16"/>
      <c r="L3470" s="23"/>
      <c r="M3470" s="23"/>
    </row>
    <row r="3471">
      <c r="B3471" s="16"/>
      <c r="L3471" s="23"/>
      <c r="M3471" s="23"/>
    </row>
    <row r="3472">
      <c r="B3472" s="16"/>
      <c r="L3472" s="23"/>
    </row>
    <row r="3473">
      <c r="B3473" s="16"/>
      <c r="L3473" s="23"/>
      <c r="M3473" s="23"/>
    </row>
    <row r="3474">
      <c r="B3474" s="16"/>
      <c r="L3474" s="23"/>
      <c r="M3474" s="23"/>
    </row>
    <row r="3475">
      <c r="B3475" s="16"/>
      <c r="L3475" s="23"/>
      <c r="M3475" s="23"/>
    </row>
    <row r="3476">
      <c r="B3476" s="16"/>
      <c r="L3476" s="23"/>
      <c r="M3476" s="23"/>
    </row>
    <row r="3477">
      <c r="B3477" s="16"/>
      <c r="L3477" s="23"/>
      <c r="M3477" s="23"/>
    </row>
    <row r="3478">
      <c r="B3478" s="16"/>
      <c r="L3478" s="23"/>
      <c r="M3478" s="23"/>
    </row>
    <row r="3479">
      <c r="B3479" s="16"/>
      <c r="L3479" s="23"/>
      <c r="M3479" s="23"/>
    </row>
    <row r="3480">
      <c r="B3480" s="16"/>
      <c r="L3480" s="23"/>
      <c r="M3480" s="23"/>
    </row>
    <row r="3481">
      <c r="B3481" s="16"/>
      <c r="L3481" s="23"/>
      <c r="M3481" s="23"/>
    </row>
    <row r="3482">
      <c r="B3482" s="16"/>
      <c r="L3482" s="23"/>
      <c r="M3482" s="23"/>
    </row>
    <row r="3483">
      <c r="B3483" s="16"/>
      <c r="L3483" s="23"/>
      <c r="M3483" s="23"/>
    </row>
    <row r="3484">
      <c r="B3484" s="16"/>
      <c r="L3484" s="23"/>
      <c r="M3484" s="23"/>
    </row>
    <row r="3485">
      <c r="B3485" s="16"/>
      <c r="L3485" s="23"/>
      <c r="M3485" s="23"/>
    </row>
    <row r="3486">
      <c r="B3486" s="16"/>
      <c r="L3486" s="23"/>
      <c r="M3486" s="23"/>
    </row>
    <row r="3487">
      <c r="B3487" s="16"/>
      <c r="L3487" s="23"/>
      <c r="M3487" s="23"/>
    </row>
    <row r="3488">
      <c r="B3488" s="16"/>
      <c r="L3488" s="23"/>
      <c r="M3488" s="23"/>
    </row>
    <row r="3489">
      <c r="B3489" s="16"/>
      <c r="L3489" s="23"/>
    </row>
    <row r="3490">
      <c r="B3490" s="16"/>
      <c r="L3490" s="23"/>
      <c r="M3490" s="23"/>
    </row>
    <row r="3491">
      <c r="B3491" s="16"/>
      <c r="L3491" s="23"/>
    </row>
    <row r="3492">
      <c r="B3492" s="16"/>
      <c r="L3492" s="23"/>
      <c r="M3492" s="23"/>
    </row>
    <row r="3493">
      <c r="B3493" s="16"/>
      <c r="L3493" s="23"/>
      <c r="M3493" s="23"/>
    </row>
    <row r="3494">
      <c r="B3494" s="16"/>
      <c r="L3494" s="23"/>
      <c r="M3494" s="23"/>
    </row>
    <row r="3495">
      <c r="B3495" s="16"/>
      <c r="L3495" s="23"/>
      <c r="M3495" s="23"/>
    </row>
    <row r="3496">
      <c r="B3496" s="16"/>
      <c r="L3496" s="23"/>
      <c r="M3496" s="23"/>
    </row>
    <row r="3497">
      <c r="B3497" s="16"/>
      <c r="L3497" s="23"/>
      <c r="M3497" s="23"/>
    </row>
    <row r="3498">
      <c r="B3498" s="16"/>
      <c r="L3498" s="23"/>
      <c r="M3498" s="23"/>
    </row>
    <row r="3499">
      <c r="B3499" s="16"/>
      <c r="L3499" s="23"/>
      <c r="M3499" s="23"/>
    </row>
    <row r="3500">
      <c r="B3500" s="16"/>
      <c r="L3500" s="23"/>
      <c r="M3500" s="23"/>
    </row>
    <row r="3501">
      <c r="B3501" s="16"/>
      <c r="L3501" s="23"/>
      <c r="M3501" s="23"/>
    </row>
    <row r="3502">
      <c r="B3502" s="16"/>
      <c r="L3502" s="23"/>
      <c r="M3502" s="23"/>
    </row>
    <row r="3503">
      <c r="B3503" s="16"/>
      <c r="L3503" s="23"/>
      <c r="M3503" s="23"/>
    </row>
    <row r="3504">
      <c r="B3504" s="16"/>
      <c r="L3504" s="23"/>
      <c r="M3504" s="23"/>
    </row>
    <row r="3505">
      <c r="B3505" s="16"/>
      <c r="L3505" s="23"/>
      <c r="M3505" s="23"/>
    </row>
    <row r="3506">
      <c r="B3506" s="16"/>
      <c r="L3506" s="23"/>
      <c r="M3506" s="23"/>
    </row>
    <row r="3507">
      <c r="B3507" s="16"/>
      <c r="L3507" s="23"/>
      <c r="M3507" s="23"/>
    </row>
    <row r="3508">
      <c r="B3508" s="16"/>
      <c r="L3508" s="23"/>
      <c r="M3508" s="23"/>
    </row>
    <row r="3509">
      <c r="B3509" s="16"/>
      <c r="L3509" s="23"/>
    </row>
    <row r="3510">
      <c r="B3510" s="16"/>
      <c r="L3510" s="23"/>
      <c r="M3510" s="23"/>
    </row>
    <row r="3511">
      <c r="B3511" s="16"/>
      <c r="L3511" s="23"/>
    </row>
    <row r="3512">
      <c r="B3512" s="16"/>
      <c r="L3512" s="23"/>
      <c r="M3512" s="23"/>
    </row>
    <row r="3513">
      <c r="B3513" s="16"/>
      <c r="L3513" s="23"/>
      <c r="M3513" s="23"/>
    </row>
    <row r="3514">
      <c r="B3514" s="16"/>
      <c r="L3514" s="23"/>
      <c r="M3514" s="23"/>
    </row>
    <row r="3515">
      <c r="B3515" s="16"/>
      <c r="L3515" s="23"/>
    </row>
    <row r="3516">
      <c r="B3516" s="16"/>
      <c r="L3516" s="23"/>
    </row>
    <row r="3517">
      <c r="B3517" s="16"/>
      <c r="L3517" s="23"/>
    </row>
    <row r="3518">
      <c r="B3518" s="16"/>
      <c r="L3518" s="23"/>
    </row>
    <row r="3519">
      <c r="B3519" s="16"/>
      <c r="L3519" s="23"/>
    </row>
    <row r="3520">
      <c r="B3520" s="16"/>
      <c r="L3520" s="23"/>
    </row>
    <row r="3521">
      <c r="B3521" s="16"/>
      <c r="L3521" s="23"/>
    </row>
    <row r="3522">
      <c r="B3522" s="16"/>
      <c r="L3522" s="23"/>
    </row>
    <row r="3523">
      <c r="B3523" s="16"/>
      <c r="L3523" s="23"/>
    </row>
    <row r="3524">
      <c r="B3524" s="16"/>
      <c r="L3524" s="23"/>
    </row>
    <row r="3525">
      <c r="B3525" s="16"/>
      <c r="L3525" s="23"/>
    </row>
    <row r="3526">
      <c r="B3526" s="16"/>
      <c r="L3526" s="23"/>
    </row>
    <row r="3527">
      <c r="B3527" s="16"/>
      <c r="L3527" s="23"/>
    </row>
    <row r="3528">
      <c r="B3528" s="16"/>
      <c r="L3528" s="23"/>
    </row>
    <row r="3529">
      <c r="B3529" s="16"/>
      <c r="L3529" s="23"/>
    </row>
    <row r="3530">
      <c r="B3530" s="16"/>
      <c r="L3530" s="23"/>
      <c r="M3530" s="23"/>
    </row>
    <row r="3531">
      <c r="B3531" s="16"/>
      <c r="L3531" s="23"/>
    </row>
    <row r="3532">
      <c r="B3532" s="16"/>
      <c r="L3532" s="23"/>
    </row>
    <row r="3533">
      <c r="B3533" s="16"/>
      <c r="L3533" s="23"/>
    </row>
    <row r="3534">
      <c r="B3534" s="16"/>
      <c r="L3534" s="23"/>
    </row>
    <row r="3535">
      <c r="B3535" s="16"/>
      <c r="L3535" s="23"/>
    </row>
    <row r="3536">
      <c r="B3536" s="16"/>
      <c r="L3536" s="23"/>
    </row>
    <row r="3537">
      <c r="B3537" s="16"/>
      <c r="L3537" s="23"/>
      <c r="M3537" s="23"/>
    </row>
    <row r="3538">
      <c r="B3538" s="16"/>
      <c r="L3538" s="23"/>
    </row>
    <row r="3539">
      <c r="B3539" s="16"/>
      <c r="L3539" s="23"/>
    </row>
    <row r="3540">
      <c r="B3540" s="16"/>
      <c r="L3540" s="23"/>
    </row>
    <row r="3541">
      <c r="B3541" s="16"/>
      <c r="L3541" s="23"/>
      <c r="M3541" s="23"/>
    </row>
    <row r="3542">
      <c r="B3542" s="16"/>
      <c r="L3542" s="23"/>
      <c r="M3542" s="23"/>
    </row>
    <row r="3543">
      <c r="B3543" s="16"/>
      <c r="L3543" s="23"/>
      <c r="M3543" s="23"/>
    </row>
    <row r="3544">
      <c r="B3544" s="16"/>
      <c r="L3544" s="23"/>
    </row>
    <row r="3545">
      <c r="B3545" s="16"/>
      <c r="L3545" s="23"/>
      <c r="M3545" s="23"/>
    </row>
    <row r="3546">
      <c r="B3546" s="16"/>
      <c r="L3546" s="23"/>
      <c r="M3546" s="23"/>
    </row>
    <row r="3547">
      <c r="B3547" s="16"/>
      <c r="L3547" s="23"/>
      <c r="M3547" s="23"/>
    </row>
    <row r="3548">
      <c r="B3548" s="16"/>
      <c r="L3548" s="23"/>
      <c r="M3548" s="23"/>
    </row>
    <row r="3549">
      <c r="B3549" s="16"/>
      <c r="L3549" s="23"/>
    </row>
    <row r="3550">
      <c r="B3550" s="16"/>
      <c r="L3550" s="23"/>
      <c r="M3550" s="23"/>
    </row>
    <row r="3551">
      <c r="B3551" s="16"/>
      <c r="L3551" s="23"/>
    </row>
    <row r="3552">
      <c r="B3552" s="16"/>
      <c r="L3552" s="23"/>
      <c r="M3552" s="23"/>
    </row>
    <row r="3553">
      <c r="B3553" s="16"/>
      <c r="L3553" s="23"/>
      <c r="M3553" s="23"/>
    </row>
    <row r="3554">
      <c r="B3554" s="16"/>
      <c r="L3554" s="23"/>
      <c r="M3554" s="23"/>
    </row>
    <row r="3555">
      <c r="B3555" s="16"/>
      <c r="L3555" s="23"/>
      <c r="M3555" s="23"/>
    </row>
    <row r="3556">
      <c r="B3556" s="16"/>
      <c r="L3556" s="23"/>
      <c r="M3556" s="23"/>
    </row>
    <row r="3557">
      <c r="B3557" s="16"/>
      <c r="L3557" s="23"/>
      <c r="M3557" s="23"/>
    </row>
    <row r="3558">
      <c r="B3558" s="16"/>
      <c r="L3558" s="23"/>
      <c r="M3558" s="23"/>
    </row>
    <row r="3559">
      <c r="B3559" s="16"/>
      <c r="L3559" s="23"/>
      <c r="M3559" s="23"/>
    </row>
    <row r="3560">
      <c r="B3560" s="16"/>
      <c r="L3560" s="23"/>
      <c r="M3560" s="23"/>
    </row>
    <row r="3561">
      <c r="B3561" s="16"/>
      <c r="L3561" s="23"/>
      <c r="M3561" s="23"/>
    </row>
    <row r="3562">
      <c r="B3562" s="16"/>
      <c r="L3562" s="23"/>
      <c r="M3562" s="23"/>
    </row>
    <row r="3563">
      <c r="B3563" s="16"/>
      <c r="L3563" s="23"/>
      <c r="M3563" s="23"/>
    </row>
    <row r="3564">
      <c r="B3564" s="16"/>
      <c r="L3564" s="23"/>
      <c r="M3564" s="23"/>
    </row>
    <row r="3565">
      <c r="B3565" s="16"/>
      <c r="L3565" s="23"/>
      <c r="M3565" s="23"/>
    </row>
    <row r="3566">
      <c r="B3566" s="16"/>
      <c r="L3566" s="23"/>
      <c r="M3566" s="23"/>
    </row>
    <row r="3567">
      <c r="B3567" s="16"/>
      <c r="L3567" s="23"/>
      <c r="M3567" s="23"/>
    </row>
    <row r="3568">
      <c r="B3568" s="16"/>
      <c r="L3568" s="23"/>
      <c r="M3568" s="23"/>
    </row>
    <row r="3569">
      <c r="B3569" s="16"/>
      <c r="L3569" s="23"/>
      <c r="M3569" s="23"/>
    </row>
    <row r="3570">
      <c r="B3570" s="16"/>
      <c r="L3570" s="23"/>
      <c r="M3570" s="23"/>
    </row>
    <row r="3571">
      <c r="B3571" s="16"/>
      <c r="L3571" s="23"/>
      <c r="M3571" s="23"/>
    </row>
    <row r="3572">
      <c r="B3572" s="16"/>
      <c r="L3572" s="23"/>
      <c r="M3572" s="23"/>
    </row>
    <row r="3573">
      <c r="B3573" s="16"/>
      <c r="L3573" s="23"/>
      <c r="M3573" s="23"/>
    </row>
    <row r="3574">
      <c r="B3574" s="16"/>
      <c r="L3574" s="23"/>
      <c r="M3574" s="23"/>
    </row>
    <row r="3575">
      <c r="B3575" s="16"/>
      <c r="L3575" s="23"/>
      <c r="M3575" s="23"/>
    </row>
    <row r="3576">
      <c r="B3576" s="16"/>
      <c r="L3576" s="23"/>
      <c r="M3576" s="23"/>
    </row>
    <row r="3577">
      <c r="B3577" s="16"/>
      <c r="L3577" s="23"/>
      <c r="M3577" s="23"/>
    </row>
    <row r="3578">
      <c r="B3578" s="16"/>
      <c r="L3578" s="23"/>
      <c r="M3578" s="23"/>
    </row>
    <row r="3579">
      <c r="B3579" s="16"/>
      <c r="L3579" s="23"/>
      <c r="M3579" s="23"/>
    </row>
    <row r="3580">
      <c r="B3580" s="16"/>
      <c r="L3580" s="23"/>
      <c r="M3580" s="23"/>
    </row>
    <row r="3581">
      <c r="B3581" s="16"/>
      <c r="L3581" s="23"/>
      <c r="M3581" s="23"/>
    </row>
    <row r="3582">
      <c r="B3582" s="16"/>
      <c r="L3582" s="23"/>
    </row>
    <row r="3583">
      <c r="B3583" s="16"/>
      <c r="L3583" s="23"/>
      <c r="M3583" s="23"/>
    </row>
    <row r="3584">
      <c r="B3584" s="16"/>
      <c r="L3584" s="23"/>
      <c r="M3584" s="23"/>
    </row>
    <row r="3585">
      <c r="B3585" s="16"/>
      <c r="L3585" s="23"/>
      <c r="M3585" s="23"/>
    </row>
    <row r="3586">
      <c r="B3586" s="16"/>
      <c r="L3586" s="23"/>
    </row>
    <row r="3587">
      <c r="B3587" s="16"/>
      <c r="L3587" s="23"/>
    </row>
    <row r="3588">
      <c r="B3588" s="16"/>
      <c r="L3588" s="23"/>
    </row>
    <row r="3589">
      <c r="B3589" s="16"/>
      <c r="L3589" s="23"/>
      <c r="M3589" s="23"/>
    </row>
    <row r="3590">
      <c r="B3590" s="16"/>
      <c r="L3590" s="23"/>
    </row>
    <row r="3591">
      <c r="B3591" s="16"/>
      <c r="L3591" s="23"/>
    </row>
    <row r="3592">
      <c r="B3592" s="16"/>
      <c r="L3592" s="23"/>
    </row>
    <row r="3593">
      <c r="B3593" s="16"/>
      <c r="L3593" s="23"/>
    </row>
    <row r="3594">
      <c r="B3594" s="16"/>
      <c r="L3594" s="23"/>
      <c r="M3594" s="23"/>
    </row>
    <row r="3595">
      <c r="B3595" s="16"/>
      <c r="L3595" s="23"/>
      <c r="M3595" s="23"/>
    </row>
    <row r="3596">
      <c r="B3596" s="16"/>
      <c r="L3596" s="23"/>
    </row>
    <row r="3597">
      <c r="B3597" s="16"/>
      <c r="L3597" s="23"/>
    </row>
    <row r="3598">
      <c r="B3598" s="16"/>
      <c r="L3598" s="23"/>
    </row>
    <row r="3599">
      <c r="B3599" s="16"/>
      <c r="L3599" s="23"/>
    </row>
    <row r="3600">
      <c r="B3600" s="16"/>
      <c r="L3600" s="23"/>
      <c r="M3600" s="23"/>
    </row>
    <row r="3601">
      <c r="B3601" s="16"/>
      <c r="L3601" s="23"/>
      <c r="M3601" s="23"/>
    </row>
    <row r="3602">
      <c r="B3602" s="16"/>
      <c r="L3602" s="23"/>
    </row>
    <row r="3603">
      <c r="B3603" s="16"/>
      <c r="L3603" s="23"/>
    </row>
    <row r="3604">
      <c r="B3604" s="16"/>
      <c r="L3604" s="23"/>
    </row>
    <row r="3605">
      <c r="B3605" s="16"/>
      <c r="L3605" s="23"/>
    </row>
    <row r="3606">
      <c r="B3606" s="16"/>
      <c r="L3606" s="23"/>
    </row>
    <row r="3607">
      <c r="B3607" s="16"/>
      <c r="L3607" s="23"/>
    </row>
    <row r="3608">
      <c r="B3608" s="16"/>
      <c r="L3608" s="23"/>
    </row>
    <row r="3609">
      <c r="B3609" s="16"/>
      <c r="L3609" s="23"/>
    </row>
    <row r="3610">
      <c r="B3610" s="16"/>
      <c r="L3610" s="23"/>
      <c r="M3610" s="23"/>
    </row>
    <row r="3611">
      <c r="B3611" s="16"/>
      <c r="L3611" s="23"/>
    </row>
    <row r="3612">
      <c r="B3612" s="16"/>
      <c r="L3612" s="23"/>
    </row>
    <row r="3613">
      <c r="B3613" s="16"/>
      <c r="L3613" s="23"/>
      <c r="M3613" s="23"/>
    </row>
    <row r="3614">
      <c r="B3614" s="16"/>
      <c r="L3614" s="23"/>
      <c r="M3614" s="23"/>
    </row>
    <row r="3615">
      <c r="B3615" s="16"/>
      <c r="L3615" s="23"/>
      <c r="M3615" s="23"/>
    </row>
    <row r="3616">
      <c r="B3616" s="16"/>
      <c r="L3616" s="23"/>
      <c r="M3616" s="23"/>
    </row>
    <row r="3617">
      <c r="B3617" s="16"/>
      <c r="L3617" s="23"/>
      <c r="M3617" s="23"/>
    </row>
    <row r="3618">
      <c r="B3618" s="16"/>
      <c r="L3618" s="23"/>
    </row>
    <row r="3619">
      <c r="B3619" s="16"/>
      <c r="L3619" s="23"/>
    </row>
    <row r="3620">
      <c r="B3620" s="16"/>
      <c r="L3620" s="23"/>
    </row>
    <row r="3621">
      <c r="B3621" s="16"/>
      <c r="L3621" s="23"/>
      <c r="M3621" s="23"/>
    </row>
    <row r="3622">
      <c r="B3622" s="16"/>
      <c r="L3622" s="23"/>
    </row>
    <row r="3623">
      <c r="B3623" s="16"/>
      <c r="L3623" s="23"/>
    </row>
    <row r="3624">
      <c r="B3624" s="16"/>
      <c r="L3624" s="23"/>
    </row>
    <row r="3625">
      <c r="B3625" s="16"/>
      <c r="L3625" s="23"/>
    </row>
    <row r="3626">
      <c r="B3626" s="16"/>
      <c r="L3626" s="23"/>
    </row>
    <row r="3627">
      <c r="B3627" s="16"/>
      <c r="L3627" s="23"/>
    </row>
    <row r="3628">
      <c r="B3628" s="16"/>
      <c r="L3628" s="23"/>
    </row>
    <row r="3629">
      <c r="B3629" s="16"/>
      <c r="L3629" s="23"/>
    </row>
    <row r="3630">
      <c r="B3630" s="16"/>
      <c r="L3630" s="23"/>
    </row>
    <row r="3631">
      <c r="B3631" s="16"/>
      <c r="L3631" s="23"/>
      <c r="M3631" s="23"/>
    </row>
    <row r="3632">
      <c r="B3632" s="16"/>
      <c r="L3632" s="23"/>
    </row>
    <row r="3633">
      <c r="B3633" s="16"/>
      <c r="L3633" s="23"/>
    </row>
    <row r="3634">
      <c r="B3634" s="16"/>
      <c r="L3634" s="23"/>
    </row>
    <row r="3635">
      <c r="B3635" s="16"/>
      <c r="L3635" s="23"/>
    </row>
    <row r="3636">
      <c r="B3636" s="16"/>
      <c r="L3636" s="23"/>
    </row>
    <row r="3637">
      <c r="B3637" s="16"/>
      <c r="L3637" s="23"/>
    </row>
    <row r="3638">
      <c r="B3638" s="16"/>
      <c r="L3638" s="23"/>
    </row>
    <row r="3639">
      <c r="B3639" s="16"/>
      <c r="L3639" s="23"/>
      <c r="M3639" s="23"/>
    </row>
    <row r="3640">
      <c r="B3640" s="16"/>
      <c r="L3640" s="23"/>
    </row>
    <row r="3641">
      <c r="B3641" s="16"/>
      <c r="L3641" s="23"/>
    </row>
    <row r="3642">
      <c r="B3642" s="16"/>
      <c r="L3642" s="23"/>
    </row>
    <row r="3643">
      <c r="B3643" s="16"/>
      <c r="L3643" s="23"/>
    </row>
    <row r="3644">
      <c r="B3644" s="16"/>
      <c r="L3644" s="23"/>
      <c r="M3644" s="23"/>
    </row>
    <row r="3645">
      <c r="B3645" s="16"/>
      <c r="L3645" s="23"/>
    </row>
    <row r="3646">
      <c r="B3646" s="16"/>
      <c r="L3646" s="23"/>
      <c r="M3646" s="23"/>
    </row>
    <row r="3647">
      <c r="B3647" s="16"/>
      <c r="L3647" s="23"/>
      <c r="M3647" s="23"/>
    </row>
    <row r="3648">
      <c r="B3648" s="16"/>
      <c r="L3648" s="23"/>
      <c r="M3648" s="23"/>
    </row>
    <row r="3649">
      <c r="B3649" s="16"/>
      <c r="L3649" s="23"/>
      <c r="M3649" s="23"/>
    </row>
    <row r="3650">
      <c r="B3650" s="16"/>
      <c r="L3650" s="23"/>
    </row>
    <row r="3651">
      <c r="B3651" s="16"/>
      <c r="L3651" s="23"/>
    </row>
    <row r="3652">
      <c r="B3652" s="16"/>
      <c r="L3652" s="23"/>
    </row>
    <row r="3653">
      <c r="B3653" s="16"/>
      <c r="L3653" s="23"/>
      <c r="M3653" s="23"/>
    </row>
    <row r="3654">
      <c r="B3654" s="16"/>
      <c r="L3654" s="23"/>
    </row>
    <row r="3655">
      <c r="B3655" s="16"/>
      <c r="L3655" s="23"/>
      <c r="M3655" s="23"/>
    </row>
    <row r="3656">
      <c r="B3656" s="16"/>
      <c r="L3656" s="23"/>
    </row>
    <row r="3657">
      <c r="B3657" s="16"/>
      <c r="L3657" s="23"/>
      <c r="M3657" s="23"/>
    </row>
    <row r="3658">
      <c r="B3658" s="16"/>
      <c r="L3658" s="23"/>
      <c r="M3658" s="23"/>
    </row>
    <row r="3659">
      <c r="B3659" s="16"/>
      <c r="L3659" s="23"/>
    </row>
    <row r="3660">
      <c r="B3660" s="16"/>
      <c r="L3660" s="23"/>
    </row>
    <row r="3661">
      <c r="B3661" s="16"/>
      <c r="L3661" s="23"/>
    </row>
    <row r="3662">
      <c r="B3662" s="16"/>
      <c r="L3662" s="23"/>
    </row>
    <row r="3663">
      <c r="B3663" s="16"/>
      <c r="L3663" s="23"/>
    </row>
    <row r="3664">
      <c r="B3664" s="16"/>
      <c r="L3664" s="23"/>
    </row>
    <row r="3665">
      <c r="B3665" s="16"/>
      <c r="L3665" s="23"/>
    </row>
    <row r="3666">
      <c r="B3666" s="16"/>
      <c r="L3666" s="23"/>
    </row>
    <row r="3667">
      <c r="B3667" s="16"/>
      <c r="L3667" s="23"/>
    </row>
    <row r="3668">
      <c r="B3668" s="16"/>
      <c r="L3668" s="23"/>
    </row>
    <row r="3669">
      <c r="B3669" s="16"/>
      <c r="L3669" s="23"/>
    </row>
    <row r="3670">
      <c r="B3670" s="16"/>
      <c r="L3670" s="23"/>
    </row>
    <row r="3671">
      <c r="B3671" s="16"/>
      <c r="L3671" s="23"/>
      <c r="M3671" s="23"/>
    </row>
    <row r="3672">
      <c r="B3672" s="16"/>
      <c r="L3672" s="23"/>
    </row>
    <row r="3673">
      <c r="B3673" s="16"/>
      <c r="L3673" s="23"/>
    </row>
    <row r="3674">
      <c r="B3674" s="16"/>
      <c r="L3674" s="23"/>
    </row>
    <row r="3675">
      <c r="B3675" s="16"/>
      <c r="L3675" s="23"/>
    </row>
    <row r="3676">
      <c r="B3676" s="16"/>
      <c r="L3676" s="23"/>
    </row>
    <row r="3677">
      <c r="B3677" s="16"/>
      <c r="L3677" s="23"/>
      <c r="M3677" s="23"/>
    </row>
    <row r="3678">
      <c r="B3678" s="16"/>
      <c r="L3678" s="23"/>
    </row>
    <row r="3679">
      <c r="B3679" s="16"/>
      <c r="L3679" s="23"/>
    </row>
    <row r="3680">
      <c r="B3680" s="16"/>
      <c r="L3680" s="23"/>
    </row>
    <row r="3681">
      <c r="B3681" s="16"/>
      <c r="L3681" s="23"/>
    </row>
    <row r="3682">
      <c r="B3682" s="16"/>
      <c r="L3682" s="23"/>
      <c r="M3682" s="23"/>
    </row>
    <row r="3683">
      <c r="B3683" s="16"/>
      <c r="L3683" s="23"/>
    </row>
    <row r="3684">
      <c r="B3684" s="16"/>
      <c r="L3684" s="23"/>
    </row>
    <row r="3685">
      <c r="B3685" s="16"/>
      <c r="L3685" s="23"/>
    </row>
    <row r="3686">
      <c r="B3686" s="16"/>
      <c r="L3686" s="23"/>
    </row>
    <row r="3687">
      <c r="B3687" s="16"/>
      <c r="L3687" s="23"/>
    </row>
    <row r="3688">
      <c r="B3688" s="16"/>
      <c r="L3688" s="23"/>
      <c r="M3688" s="23"/>
    </row>
    <row r="3689">
      <c r="B3689" s="16"/>
      <c r="L3689" s="23"/>
    </row>
    <row r="3690">
      <c r="B3690" s="16"/>
      <c r="L3690" s="23"/>
      <c r="M3690" s="23"/>
    </row>
    <row r="3691">
      <c r="B3691" s="16"/>
      <c r="L3691" s="23"/>
    </row>
    <row r="3692">
      <c r="B3692" s="16"/>
      <c r="L3692" s="23"/>
    </row>
    <row r="3693">
      <c r="B3693" s="16"/>
      <c r="L3693" s="23"/>
    </row>
    <row r="3694">
      <c r="B3694" s="16"/>
      <c r="L3694" s="23"/>
    </row>
    <row r="3695">
      <c r="B3695" s="16"/>
      <c r="L3695" s="23"/>
    </row>
    <row r="3696">
      <c r="B3696" s="16"/>
      <c r="L3696" s="23"/>
    </row>
    <row r="3697">
      <c r="B3697" s="16"/>
      <c r="L3697" s="23"/>
    </row>
    <row r="3698">
      <c r="B3698" s="16"/>
      <c r="L3698" s="23"/>
    </row>
    <row r="3699">
      <c r="B3699" s="16"/>
      <c r="L3699" s="23"/>
    </row>
    <row r="3700">
      <c r="B3700" s="16"/>
      <c r="L3700" s="23"/>
    </row>
    <row r="3701">
      <c r="B3701" s="16"/>
      <c r="L3701" s="23"/>
    </row>
    <row r="3702">
      <c r="B3702" s="16"/>
      <c r="L3702" s="23"/>
    </row>
    <row r="3703">
      <c r="B3703" s="16"/>
      <c r="L3703" s="23"/>
    </row>
    <row r="3704">
      <c r="B3704" s="16"/>
      <c r="L3704" s="23"/>
    </row>
    <row r="3705">
      <c r="B3705" s="16"/>
      <c r="L3705" s="23"/>
    </row>
    <row r="3706">
      <c r="B3706" s="16"/>
      <c r="L3706" s="23"/>
    </row>
    <row r="3707">
      <c r="B3707" s="16"/>
      <c r="L3707" s="23"/>
    </row>
    <row r="3708">
      <c r="B3708" s="16"/>
      <c r="L3708" s="23"/>
    </row>
    <row r="3709">
      <c r="B3709" s="16"/>
      <c r="L3709" s="23"/>
    </row>
    <row r="3710">
      <c r="B3710" s="16"/>
      <c r="L3710" s="23"/>
    </row>
    <row r="3711">
      <c r="B3711" s="16"/>
      <c r="L3711" s="23"/>
      <c r="M3711" s="23"/>
    </row>
    <row r="3712">
      <c r="B3712" s="16"/>
      <c r="L3712" s="23"/>
    </row>
    <row r="3713">
      <c r="B3713" s="16"/>
      <c r="L3713" s="23"/>
    </row>
    <row r="3714">
      <c r="B3714" s="16"/>
      <c r="L3714" s="23"/>
    </row>
    <row r="3715">
      <c r="B3715" s="16"/>
      <c r="L3715" s="23"/>
    </row>
    <row r="3716">
      <c r="B3716" s="16"/>
      <c r="L3716" s="23"/>
    </row>
    <row r="3717">
      <c r="B3717" s="16"/>
      <c r="L3717" s="23"/>
      <c r="M3717" s="23"/>
    </row>
    <row r="3718">
      <c r="B3718" s="16"/>
      <c r="L3718" s="23"/>
      <c r="M3718" s="23"/>
    </row>
    <row r="3719">
      <c r="B3719" s="16"/>
      <c r="L3719" s="23"/>
      <c r="M3719" s="23"/>
    </row>
    <row r="3720">
      <c r="B3720" s="16"/>
      <c r="L3720" s="23"/>
    </row>
    <row r="3721">
      <c r="B3721" s="16"/>
      <c r="L3721" s="23"/>
    </row>
    <row r="3722">
      <c r="B3722" s="16"/>
      <c r="L3722" s="23"/>
    </row>
    <row r="3723">
      <c r="B3723" s="16"/>
      <c r="L3723" s="23"/>
    </row>
    <row r="3724">
      <c r="B3724" s="16"/>
      <c r="L3724" s="23"/>
    </row>
    <row r="3725">
      <c r="B3725" s="16"/>
      <c r="L3725" s="23"/>
    </row>
    <row r="3726">
      <c r="B3726" s="16"/>
      <c r="L3726" s="23"/>
      <c r="M3726" s="23"/>
    </row>
    <row r="3727">
      <c r="B3727" s="16"/>
      <c r="L3727" s="23"/>
      <c r="M3727" s="23"/>
    </row>
    <row r="3728">
      <c r="B3728" s="16"/>
      <c r="L3728" s="23"/>
    </row>
    <row r="3729">
      <c r="B3729" s="16"/>
      <c r="L3729" s="23"/>
      <c r="M3729" s="23"/>
    </row>
    <row r="3730">
      <c r="B3730" s="16"/>
      <c r="L3730" s="23"/>
      <c r="M3730" s="23"/>
    </row>
    <row r="3731">
      <c r="B3731" s="16"/>
      <c r="L3731" s="23"/>
      <c r="M3731" s="23"/>
    </row>
    <row r="3732">
      <c r="B3732" s="16"/>
      <c r="L3732" s="23"/>
    </row>
    <row r="3733">
      <c r="B3733" s="16"/>
      <c r="L3733" s="23"/>
    </row>
    <row r="3734">
      <c r="B3734" s="16"/>
      <c r="L3734" s="23"/>
    </row>
    <row r="3735">
      <c r="B3735" s="16"/>
      <c r="L3735" s="23"/>
    </row>
    <row r="3736">
      <c r="B3736" s="16"/>
      <c r="L3736" s="23"/>
    </row>
    <row r="3737">
      <c r="B3737" s="16"/>
      <c r="L3737" s="23"/>
    </row>
    <row r="3738">
      <c r="B3738" s="16"/>
      <c r="L3738" s="23"/>
    </row>
    <row r="3739">
      <c r="B3739" s="16"/>
      <c r="L3739" s="23"/>
      <c r="M3739" s="23"/>
    </row>
    <row r="3740">
      <c r="B3740" s="16"/>
      <c r="L3740" s="23"/>
    </row>
    <row r="3741">
      <c r="B3741" s="16"/>
      <c r="L3741" s="23"/>
    </row>
    <row r="3742">
      <c r="B3742" s="16"/>
      <c r="L3742" s="23"/>
    </row>
    <row r="3743">
      <c r="B3743" s="16"/>
      <c r="L3743" s="23"/>
    </row>
    <row r="3744">
      <c r="B3744" s="16"/>
      <c r="L3744" s="23"/>
      <c r="M3744" s="23"/>
    </row>
    <row r="3745">
      <c r="B3745" s="16"/>
      <c r="L3745" s="23"/>
    </row>
    <row r="3746">
      <c r="B3746" s="16"/>
      <c r="L3746" s="23"/>
    </row>
    <row r="3747">
      <c r="B3747" s="16"/>
      <c r="L3747" s="23"/>
    </row>
    <row r="3748">
      <c r="B3748" s="16"/>
      <c r="L3748" s="23"/>
      <c r="M3748" s="23"/>
    </row>
    <row r="3749">
      <c r="B3749" s="16"/>
      <c r="L3749" s="23"/>
    </row>
    <row r="3750">
      <c r="B3750" s="16"/>
      <c r="L3750" s="23"/>
      <c r="M3750" s="23"/>
    </row>
    <row r="3751">
      <c r="B3751" s="16"/>
      <c r="L3751" s="23"/>
    </row>
    <row r="3752">
      <c r="B3752" s="16"/>
      <c r="L3752" s="23"/>
    </row>
    <row r="3753">
      <c r="B3753" s="16"/>
      <c r="L3753" s="23"/>
    </row>
    <row r="3754">
      <c r="B3754" s="16"/>
      <c r="L3754" s="23"/>
    </row>
    <row r="3755">
      <c r="B3755" s="16"/>
      <c r="L3755" s="23"/>
    </row>
    <row r="3756">
      <c r="B3756" s="16"/>
      <c r="L3756" s="23"/>
    </row>
    <row r="3757">
      <c r="B3757" s="16"/>
      <c r="L3757" s="23"/>
      <c r="M3757" s="23"/>
    </row>
    <row r="3758">
      <c r="B3758" s="16"/>
      <c r="L3758" s="23"/>
      <c r="M3758" s="23"/>
    </row>
    <row r="3759">
      <c r="B3759" s="16"/>
      <c r="L3759" s="23"/>
      <c r="M3759" s="23"/>
    </row>
    <row r="3760">
      <c r="B3760" s="16"/>
      <c r="L3760" s="23"/>
      <c r="M3760" s="23"/>
    </row>
    <row r="3761">
      <c r="B3761" s="16"/>
      <c r="L3761" s="23"/>
    </row>
    <row r="3762">
      <c r="B3762" s="16"/>
      <c r="L3762" s="23"/>
      <c r="M3762" s="23"/>
    </row>
    <row r="3763">
      <c r="B3763" s="16"/>
      <c r="L3763" s="23"/>
      <c r="M3763" s="23"/>
    </row>
    <row r="3764">
      <c r="B3764" s="16"/>
      <c r="L3764" s="23"/>
      <c r="M3764" s="23"/>
    </row>
    <row r="3765">
      <c r="B3765" s="16"/>
      <c r="L3765" s="23"/>
    </row>
    <row r="3766">
      <c r="B3766" s="16"/>
      <c r="L3766" s="23"/>
    </row>
    <row r="3767">
      <c r="B3767" s="16"/>
      <c r="L3767" s="23"/>
    </row>
    <row r="3768">
      <c r="B3768" s="16"/>
      <c r="L3768" s="23"/>
    </row>
    <row r="3769">
      <c r="B3769" s="16"/>
      <c r="L3769" s="23"/>
      <c r="M3769" s="23"/>
    </row>
    <row r="3770">
      <c r="B3770" s="16"/>
      <c r="L3770" s="23"/>
      <c r="M3770" s="23"/>
    </row>
    <row r="3771">
      <c r="B3771" s="16"/>
      <c r="L3771" s="23"/>
    </row>
    <row r="3772">
      <c r="B3772" s="16"/>
      <c r="L3772" s="23"/>
    </row>
    <row r="3773">
      <c r="B3773" s="16"/>
      <c r="L3773" s="23"/>
    </row>
    <row r="3774">
      <c r="B3774" s="16"/>
      <c r="L3774" s="23"/>
    </row>
    <row r="3775">
      <c r="B3775" s="16"/>
      <c r="L3775" s="23"/>
    </row>
    <row r="3776">
      <c r="B3776" s="16"/>
      <c r="L3776" s="23"/>
    </row>
    <row r="3777">
      <c r="B3777" s="16"/>
      <c r="L3777" s="23"/>
    </row>
    <row r="3778">
      <c r="B3778" s="16"/>
      <c r="L3778" s="23"/>
      <c r="M3778" s="23"/>
    </row>
    <row r="3779">
      <c r="B3779" s="16"/>
      <c r="L3779" s="23"/>
      <c r="M3779" s="23"/>
    </row>
    <row r="3780">
      <c r="B3780" s="16"/>
      <c r="L3780" s="23"/>
      <c r="M3780" s="23"/>
    </row>
    <row r="3781">
      <c r="B3781" s="16"/>
      <c r="L3781" s="23"/>
      <c r="M3781" s="23"/>
    </row>
    <row r="3782">
      <c r="B3782" s="16"/>
      <c r="L3782" s="23"/>
    </row>
    <row r="3783">
      <c r="B3783" s="16"/>
      <c r="L3783" s="23"/>
    </row>
    <row r="3784">
      <c r="B3784" s="16"/>
      <c r="L3784" s="23"/>
    </row>
    <row r="3785">
      <c r="B3785" s="16"/>
      <c r="L3785" s="23"/>
    </row>
    <row r="3786">
      <c r="B3786" s="16"/>
      <c r="L3786" s="23"/>
    </row>
    <row r="3787">
      <c r="B3787" s="16"/>
      <c r="L3787" s="23"/>
    </row>
    <row r="3788">
      <c r="B3788" s="16"/>
      <c r="L3788" s="23"/>
    </row>
    <row r="3789">
      <c r="B3789" s="16"/>
      <c r="L3789" s="23"/>
      <c r="M3789" s="23"/>
    </row>
    <row r="3790">
      <c r="B3790" s="16"/>
      <c r="L3790" s="23"/>
    </row>
    <row r="3791">
      <c r="B3791" s="16"/>
      <c r="L3791" s="23"/>
    </row>
    <row r="3792">
      <c r="B3792" s="16"/>
      <c r="L3792" s="23"/>
    </row>
    <row r="3793">
      <c r="B3793" s="16"/>
      <c r="L3793" s="23"/>
    </row>
    <row r="3794">
      <c r="B3794" s="16"/>
      <c r="L3794" s="23"/>
      <c r="M3794" s="23"/>
    </row>
    <row r="3795">
      <c r="B3795" s="16"/>
      <c r="L3795" s="23"/>
    </row>
    <row r="3796">
      <c r="B3796" s="16"/>
      <c r="L3796" s="23"/>
      <c r="M3796" s="23"/>
    </row>
    <row r="3797">
      <c r="B3797" s="16"/>
      <c r="L3797" s="23"/>
    </row>
    <row r="3798">
      <c r="B3798" s="16"/>
      <c r="L3798" s="23"/>
      <c r="M3798" s="23"/>
    </row>
    <row r="3799">
      <c r="B3799" s="16"/>
      <c r="L3799" s="23"/>
    </row>
    <row r="3800">
      <c r="B3800" s="16"/>
      <c r="L3800" s="23"/>
    </row>
    <row r="3801">
      <c r="B3801" s="16"/>
      <c r="L3801" s="23"/>
      <c r="M3801" s="23"/>
    </row>
    <row r="3802">
      <c r="B3802" s="16"/>
      <c r="L3802" s="23"/>
      <c r="M3802" s="23"/>
    </row>
    <row r="3803">
      <c r="B3803" s="16"/>
      <c r="L3803" s="23"/>
    </row>
    <row r="3804">
      <c r="B3804" s="16"/>
      <c r="L3804" s="23"/>
    </row>
    <row r="3805">
      <c r="B3805" s="16"/>
      <c r="L3805" s="23"/>
    </row>
    <row r="3806">
      <c r="B3806" s="16"/>
      <c r="L3806" s="23"/>
    </row>
    <row r="3807">
      <c r="B3807" s="16"/>
      <c r="L3807" s="23"/>
    </row>
    <row r="3808">
      <c r="B3808" s="16"/>
      <c r="L3808" s="23"/>
    </row>
    <row r="3809">
      <c r="B3809" s="16"/>
      <c r="L3809" s="23"/>
    </row>
    <row r="3810">
      <c r="B3810" s="16"/>
      <c r="L3810" s="23"/>
    </row>
    <row r="3811">
      <c r="B3811" s="16"/>
      <c r="L3811" s="23"/>
    </row>
    <row r="3812">
      <c r="B3812" s="16"/>
      <c r="L3812" s="23"/>
    </row>
    <row r="3813">
      <c r="B3813" s="16"/>
      <c r="L3813" s="23"/>
    </row>
    <row r="3814">
      <c r="B3814" s="16"/>
      <c r="L3814" s="23"/>
    </row>
    <row r="3815">
      <c r="B3815" s="16"/>
      <c r="L3815" s="23"/>
      <c r="M3815" s="23"/>
    </row>
    <row r="3816">
      <c r="B3816" s="16"/>
      <c r="L3816" s="23"/>
    </row>
    <row r="3817">
      <c r="B3817" s="16"/>
      <c r="L3817" s="23"/>
    </row>
    <row r="3818">
      <c r="B3818" s="16"/>
      <c r="L3818" s="23"/>
    </row>
    <row r="3819">
      <c r="B3819" s="16"/>
      <c r="L3819" s="23"/>
    </row>
    <row r="3820">
      <c r="B3820" s="16"/>
      <c r="L3820" s="23"/>
      <c r="M3820" s="23"/>
    </row>
    <row r="3821">
      <c r="B3821" s="16"/>
      <c r="L3821" s="23"/>
    </row>
    <row r="3822">
      <c r="B3822" s="16"/>
      <c r="L3822" s="23"/>
    </row>
    <row r="3823">
      <c r="B3823" s="16"/>
      <c r="L3823" s="23"/>
    </row>
    <row r="3824">
      <c r="B3824" s="16"/>
      <c r="L3824" s="23"/>
      <c r="M3824" s="23"/>
    </row>
    <row r="3825">
      <c r="B3825" s="16"/>
      <c r="L3825" s="23"/>
    </row>
    <row r="3826">
      <c r="B3826" s="16"/>
      <c r="L3826" s="23"/>
    </row>
    <row r="3827">
      <c r="B3827" s="16"/>
      <c r="L3827" s="23"/>
    </row>
    <row r="3828">
      <c r="B3828" s="16"/>
      <c r="L3828" s="23"/>
    </row>
    <row r="3829">
      <c r="B3829" s="16"/>
      <c r="L3829" s="23"/>
    </row>
    <row r="3830">
      <c r="B3830" s="16"/>
      <c r="L3830" s="23"/>
      <c r="M3830" s="23"/>
    </row>
    <row r="3831">
      <c r="B3831" s="16"/>
      <c r="L3831" s="23"/>
    </row>
    <row r="3832">
      <c r="B3832" s="16"/>
      <c r="L3832" s="23"/>
    </row>
    <row r="3833">
      <c r="B3833" s="16"/>
      <c r="L3833" s="23"/>
    </row>
    <row r="3834">
      <c r="B3834" s="16"/>
      <c r="L3834" s="23"/>
    </row>
    <row r="3835">
      <c r="B3835" s="16"/>
      <c r="L3835" s="23"/>
    </row>
    <row r="3836">
      <c r="B3836" s="16"/>
      <c r="L3836" s="23"/>
      <c r="M3836" s="23"/>
    </row>
    <row r="3837">
      <c r="B3837" s="16"/>
      <c r="L3837" s="23"/>
    </row>
    <row r="3838">
      <c r="B3838" s="16"/>
      <c r="L3838" s="23"/>
    </row>
    <row r="3839">
      <c r="B3839" s="16"/>
      <c r="L3839" s="23"/>
    </row>
    <row r="3840">
      <c r="B3840" s="16"/>
      <c r="L3840" s="23"/>
    </row>
    <row r="3841">
      <c r="B3841" s="16"/>
      <c r="L3841" s="23"/>
    </row>
    <row r="3842">
      <c r="B3842" s="16"/>
      <c r="L3842" s="23"/>
    </row>
    <row r="3843">
      <c r="B3843" s="16"/>
      <c r="L3843" s="23"/>
    </row>
    <row r="3844">
      <c r="B3844" s="16"/>
      <c r="L3844" s="23"/>
    </row>
    <row r="3845">
      <c r="B3845" s="16"/>
      <c r="L3845" s="23"/>
      <c r="M3845" s="23"/>
    </row>
    <row r="3846">
      <c r="B3846" s="16"/>
      <c r="L3846" s="23"/>
    </row>
    <row r="3847">
      <c r="B3847" s="16"/>
      <c r="L3847" s="23"/>
    </row>
    <row r="3848">
      <c r="B3848" s="16"/>
      <c r="L3848" s="23"/>
    </row>
    <row r="3849">
      <c r="B3849" s="16"/>
      <c r="L3849" s="23"/>
    </row>
    <row r="3850">
      <c r="B3850" s="16"/>
      <c r="L3850" s="23"/>
      <c r="M3850" s="23"/>
    </row>
    <row r="3851">
      <c r="B3851" s="16"/>
      <c r="L3851" s="23"/>
    </row>
    <row r="3852">
      <c r="B3852" s="16"/>
      <c r="L3852" s="23"/>
    </row>
    <row r="3853">
      <c r="B3853" s="16"/>
      <c r="L3853" s="23"/>
    </row>
    <row r="3854">
      <c r="B3854" s="16"/>
      <c r="L3854" s="23"/>
    </row>
    <row r="3855">
      <c r="B3855" s="16"/>
      <c r="L3855" s="23"/>
    </row>
    <row r="3856">
      <c r="B3856" s="16"/>
      <c r="L3856" s="23"/>
      <c r="M3856" s="23"/>
    </row>
    <row r="3857">
      <c r="B3857" s="16"/>
      <c r="L3857" s="23"/>
      <c r="M3857" s="23"/>
    </row>
    <row r="3858">
      <c r="B3858" s="16"/>
      <c r="L3858" s="23"/>
      <c r="M3858" s="23"/>
    </row>
    <row r="3859">
      <c r="B3859" s="16"/>
      <c r="L3859" s="23"/>
    </row>
    <row r="3860">
      <c r="B3860" s="16"/>
      <c r="L3860" s="23"/>
    </row>
    <row r="3861">
      <c r="B3861" s="16"/>
      <c r="L3861" s="23"/>
    </row>
    <row r="3862">
      <c r="B3862" s="16"/>
      <c r="L3862" s="23"/>
    </row>
    <row r="3863">
      <c r="B3863" s="16"/>
      <c r="L3863" s="23"/>
      <c r="M3863" s="23"/>
    </row>
    <row r="3864">
      <c r="B3864" s="16"/>
      <c r="L3864" s="23"/>
      <c r="M3864" s="23"/>
    </row>
    <row r="3865">
      <c r="B3865" s="16"/>
      <c r="L3865" s="23"/>
    </row>
    <row r="3866">
      <c r="B3866" s="16"/>
      <c r="L3866" s="23"/>
    </row>
    <row r="3867">
      <c r="B3867" s="16"/>
      <c r="L3867" s="23"/>
    </row>
    <row r="3868">
      <c r="B3868" s="16"/>
      <c r="L3868" s="23"/>
    </row>
    <row r="3869">
      <c r="B3869" s="16"/>
      <c r="L3869" s="23"/>
    </row>
    <row r="3870">
      <c r="B3870" s="16"/>
      <c r="L3870" s="23"/>
    </row>
    <row r="3871">
      <c r="B3871" s="16"/>
      <c r="L3871" s="23"/>
    </row>
    <row r="3872">
      <c r="B3872" s="16"/>
      <c r="L3872" s="23"/>
      <c r="M3872" s="23"/>
    </row>
    <row r="3873">
      <c r="B3873" s="16"/>
      <c r="L3873" s="23"/>
    </row>
    <row r="3874">
      <c r="B3874" s="16"/>
      <c r="L3874" s="23"/>
      <c r="M3874" s="23"/>
    </row>
    <row r="3875">
      <c r="B3875" s="16"/>
      <c r="L3875" s="23"/>
    </row>
    <row r="3876">
      <c r="B3876" s="16"/>
      <c r="L3876" s="23"/>
    </row>
    <row r="3877">
      <c r="B3877" s="16"/>
      <c r="L3877" s="23"/>
      <c r="M3877" s="23"/>
    </row>
    <row r="3878">
      <c r="B3878" s="16"/>
      <c r="L3878" s="23"/>
    </row>
    <row r="3879">
      <c r="B3879" s="16"/>
      <c r="L3879" s="23"/>
    </row>
    <row r="3880">
      <c r="B3880" s="16"/>
      <c r="L3880" s="23"/>
    </row>
    <row r="3881">
      <c r="B3881" s="16"/>
      <c r="L3881" s="23"/>
    </row>
    <row r="3882">
      <c r="B3882" s="16"/>
      <c r="L3882" s="23"/>
    </row>
    <row r="3883">
      <c r="B3883" s="16"/>
      <c r="L3883" s="23"/>
    </row>
    <row r="3884">
      <c r="B3884" s="16"/>
      <c r="L3884" s="23"/>
    </row>
    <row r="3885">
      <c r="B3885" s="16"/>
      <c r="L3885" s="23"/>
      <c r="M3885" s="23"/>
    </row>
    <row r="3886">
      <c r="B3886" s="16"/>
      <c r="L3886" s="23"/>
    </row>
    <row r="3887">
      <c r="B3887" s="16"/>
      <c r="L3887" s="23"/>
    </row>
    <row r="3888">
      <c r="B3888" s="16"/>
      <c r="L3888" s="23"/>
      <c r="M3888" s="23"/>
    </row>
    <row r="3889">
      <c r="B3889" s="16"/>
      <c r="L3889" s="23"/>
    </row>
    <row r="3890">
      <c r="B3890" s="16"/>
      <c r="L3890" s="23"/>
    </row>
    <row r="3891">
      <c r="B3891" s="16"/>
      <c r="L3891" s="23"/>
    </row>
    <row r="3892">
      <c r="B3892" s="16"/>
      <c r="L3892" s="23"/>
    </row>
    <row r="3893">
      <c r="B3893" s="16"/>
      <c r="L3893" s="23"/>
    </row>
    <row r="3894">
      <c r="B3894" s="16"/>
      <c r="L3894" s="23"/>
    </row>
    <row r="3895">
      <c r="B3895" s="16"/>
      <c r="L3895" s="23"/>
    </row>
    <row r="3896">
      <c r="B3896" s="16"/>
      <c r="L3896" s="23"/>
    </row>
    <row r="3897">
      <c r="B3897" s="16"/>
      <c r="L3897" s="23"/>
    </row>
    <row r="3898">
      <c r="B3898" s="16"/>
      <c r="L3898" s="23"/>
    </row>
    <row r="3899">
      <c r="B3899" s="16"/>
      <c r="L3899" s="23"/>
    </row>
    <row r="3900">
      <c r="B3900" s="16"/>
      <c r="L3900" s="23"/>
    </row>
    <row r="3901">
      <c r="B3901" s="16"/>
      <c r="L3901" s="23"/>
      <c r="M3901" s="23"/>
    </row>
    <row r="3902">
      <c r="B3902" s="16"/>
      <c r="L3902" s="23"/>
    </row>
    <row r="3903">
      <c r="B3903" s="16"/>
      <c r="L3903" s="23"/>
    </row>
    <row r="3904">
      <c r="B3904" s="16"/>
      <c r="L3904" s="23"/>
    </row>
    <row r="3905">
      <c r="B3905" s="16"/>
      <c r="L3905" s="23"/>
    </row>
    <row r="3906">
      <c r="B3906" s="16"/>
      <c r="L3906" s="23"/>
    </row>
    <row r="3907">
      <c r="B3907" s="16"/>
      <c r="L3907" s="23"/>
    </row>
    <row r="3908">
      <c r="B3908" s="16"/>
      <c r="L3908" s="23"/>
    </row>
    <row r="3909">
      <c r="B3909" s="16"/>
      <c r="L3909" s="23"/>
    </row>
    <row r="3910">
      <c r="B3910" s="16"/>
      <c r="L3910" s="23"/>
      <c r="M3910" s="23"/>
    </row>
    <row r="3911">
      <c r="B3911" s="16"/>
      <c r="L3911" s="23"/>
    </row>
    <row r="3912">
      <c r="B3912" s="16"/>
      <c r="L3912" s="23"/>
    </row>
    <row r="3913">
      <c r="B3913" s="16"/>
      <c r="L3913" s="23"/>
    </row>
    <row r="3914">
      <c r="B3914" s="16"/>
      <c r="L3914" s="23"/>
    </row>
    <row r="3915">
      <c r="B3915" s="16"/>
      <c r="L3915" s="23"/>
    </row>
    <row r="3916">
      <c r="B3916" s="16"/>
      <c r="L3916" s="23"/>
      <c r="M3916" s="23"/>
    </row>
    <row r="3917">
      <c r="B3917" s="16"/>
      <c r="L3917" s="23"/>
    </row>
    <row r="3918">
      <c r="B3918" s="16"/>
      <c r="L3918" s="23"/>
    </row>
    <row r="3919">
      <c r="B3919" s="16"/>
      <c r="L3919" s="23"/>
    </row>
    <row r="3920">
      <c r="B3920" s="16"/>
      <c r="L3920" s="23"/>
    </row>
    <row r="3921">
      <c r="B3921" s="16"/>
      <c r="L3921" s="23"/>
    </row>
    <row r="3922">
      <c r="B3922" s="16"/>
      <c r="L3922" s="23"/>
    </row>
    <row r="3923">
      <c r="B3923" s="16"/>
      <c r="L3923" s="23"/>
    </row>
    <row r="3924">
      <c r="B3924" s="16"/>
      <c r="L3924" s="23"/>
    </row>
    <row r="3925">
      <c r="B3925" s="16"/>
      <c r="L3925" s="23"/>
    </row>
    <row r="3926">
      <c r="B3926" s="16"/>
      <c r="L3926" s="23"/>
    </row>
    <row r="3927">
      <c r="B3927" s="16"/>
      <c r="L3927" s="23"/>
      <c r="M3927" s="23"/>
    </row>
    <row r="3928">
      <c r="B3928" s="16"/>
      <c r="L3928" s="23"/>
      <c r="M3928" s="23"/>
    </row>
    <row r="3929">
      <c r="B3929" s="16"/>
      <c r="L3929" s="23"/>
    </row>
    <row r="3930">
      <c r="B3930" s="16"/>
      <c r="L3930" s="23"/>
    </row>
    <row r="3931">
      <c r="B3931" s="16"/>
      <c r="L3931" s="23"/>
    </row>
    <row r="3932">
      <c r="B3932" s="16"/>
      <c r="L3932" s="23"/>
    </row>
    <row r="3933">
      <c r="B3933" s="16"/>
      <c r="L3933" s="23"/>
    </row>
    <row r="3934">
      <c r="B3934" s="16"/>
      <c r="L3934" s="23"/>
    </row>
    <row r="3935">
      <c r="B3935" s="16"/>
      <c r="L3935" s="23"/>
    </row>
    <row r="3936">
      <c r="B3936" s="16"/>
      <c r="L3936" s="23"/>
    </row>
    <row r="3937">
      <c r="B3937" s="16"/>
      <c r="L3937" s="23"/>
    </row>
    <row r="3938">
      <c r="B3938" s="16"/>
      <c r="L3938" s="23"/>
    </row>
    <row r="3939">
      <c r="B3939" s="16"/>
      <c r="L3939" s="23"/>
    </row>
    <row r="3940">
      <c r="B3940" s="16"/>
      <c r="L3940" s="23"/>
    </row>
    <row r="3941">
      <c r="B3941" s="16"/>
      <c r="L3941" s="23"/>
    </row>
    <row r="3942">
      <c r="B3942" s="16"/>
      <c r="L3942" s="23"/>
    </row>
    <row r="3943">
      <c r="B3943" s="16"/>
      <c r="L3943" s="23"/>
    </row>
    <row r="3944">
      <c r="B3944" s="16"/>
      <c r="L3944" s="23"/>
    </row>
    <row r="3945">
      <c r="B3945" s="16"/>
      <c r="L3945" s="23"/>
    </row>
    <row r="3946">
      <c r="B3946" s="16"/>
      <c r="L3946" s="23"/>
    </row>
    <row r="3947">
      <c r="B3947" s="16"/>
      <c r="L3947" s="23"/>
    </row>
    <row r="3948">
      <c r="B3948" s="16"/>
      <c r="L3948" s="23"/>
    </row>
    <row r="3949">
      <c r="B3949" s="16"/>
      <c r="L3949" s="23"/>
    </row>
    <row r="3950">
      <c r="B3950" s="16"/>
      <c r="L3950" s="23"/>
    </row>
    <row r="3951">
      <c r="B3951" s="16"/>
      <c r="L3951" s="23"/>
    </row>
    <row r="3952">
      <c r="B3952" s="16"/>
      <c r="L3952" s="23"/>
    </row>
    <row r="3953">
      <c r="B3953" s="16"/>
      <c r="L3953" s="23"/>
    </row>
    <row r="3954">
      <c r="B3954" s="16"/>
      <c r="L3954" s="23"/>
    </row>
    <row r="3955">
      <c r="B3955" s="16"/>
      <c r="L3955" s="23"/>
    </row>
    <row r="3956">
      <c r="B3956" s="16"/>
      <c r="L3956" s="23"/>
    </row>
    <row r="3957">
      <c r="B3957" s="16"/>
      <c r="L3957" s="23"/>
    </row>
    <row r="3958">
      <c r="B3958" s="16"/>
      <c r="L3958" s="23"/>
    </row>
    <row r="3959">
      <c r="B3959" s="16"/>
      <c r="L3959" s="23"/>
    </row>
    <row r="3960">
      <c r="B3960" s="16"/>
      <c r="L3960" s="23"/>
    </row>
    <row r="3961">
      <c r="B3961" s="16"/>
      <c r="L3961" s="23"/>
    </row>
    <row r="3962">
      <c r="B3962" s="16"/>
      <c r="L3962" s="23"/>
    </row>
    <row r="3963">
      <c r="B3963" s="16"/>
      <c r="L3963" s="23"/>
    </row>
    <row r="3964">
      <c r="B3964" s="16"/>
      <c r="L3964" s="23"/>
    </row>
    <row r="3965">
      <c r="B3965" s="16"/>
      <c r="L3965" s="23"/>
    </row>
    <row r="3966">
      <c r="B3966" s="16"/>
      <c r="L3966" s="23"/>
    </row>
    <row r="3967">
      <c r="B3967" s="16"/>
      <c r="L3967" s="23"/>
    </row>
    <row r="3968">
      <c r="B3968" s="16"/>
      <c r="L3968" s="23"/>
    </row>
    <row r="3969">
      <c r="B3969" s="16"/>
      <c r="L3969" s="23"/>
    </row>
    <row r="3970">
      <c r="B3970" s="16"/>
      <c r="L3970" s="23"/>
    </row>
    <row r="3971">
      <c r="B3971" s="16"/>
      <c r="L3971" s="23"/>
    </row>
    <row r="3972">
      <c r="B3972" s="16"/>
      <c r="L3972" s="23"/>
    </row>
    <row r="3973">
      <c r="B3973" s="16"/>
      <c r="L3973" s="23"/>
    </row>
    <row r="3974">
      <c r="B3974" s="16"/>
      <c r="L3974" s="23"/>
    </row>
    <row r="3975">
      <c r="B3975" s="16"/>
      <c r="L3975" s="23"/>
    </row>
    <row r="3976">
      <c r="B3976" s="16"/>
      <c r="L3976" s="23"/>
    </row>
    <row r="3977">
      <c r="B3977" s="16"/>
      <c r="L3977" s="23"/>
    </row>
    <row r="3978">
      <c r="B3978" s="16"/>
      <c r="L3978" s="23"/>
    </row>
    <row r="3979">
      <c r="B3979" s="16"/>
      <c r="L3979" s="23"/>
    </row>
    <row r="3980">
      <c r="B3980" s="16"/>
      <c r="L3980" s="23"/>
    </row>
    <row r="3981">
      <c r="B3981" s="16"/>
      <c r="L3981" s="23"/>
    </row>
    <row r="3982">
      <c r="B3982" s="16"/>
      <c r="L3982" s="23"/>
    </row>
    <row r="3983">
      <c r="B3983" s="16"/>
      <c r="L3983" s="23"/>
    </row>
    <row r="3984">
      <c r="B3984" s="16"/>
      <c r="L3984" s="23"/>
    </row>
    <row r="3985">
      <c r="B3985" s="16"/>
      <c r="L3985" s="23"/>
    </row>
    <row r="3986">
      <c r="B3986" s="16"/>
      <c r="L3986" s="23"/>
    </row>
    <row r="3987">
      <c r="B3987" s="16"/>
      <c r="L3987" s="23"/>
    </row>
    <row r="3988">
      <c r="B3988" s="16"/>
      <c r="L3988" s="23"/>
    </row>
    <row r="3989">
      <c r="B3989" s="16"/>
      <c r="L3989" s="23"/>
    </row>
    <row r="3990">
      <c r="B3990" s="16"/>
      <c r="L3990" s="23"/>
    </row>
    <row r="3991">
      <c r="B3991" s="16"/>
      <c r="L3991" s="23"/>
    </row>
    <row r="3992">
      <c r="B3992" s="16"/>
      <c r="L3992" s="23"/>
    </row>
    <row r="3993">
      <c r="B3993" s="16"/>
      <c r="L3993" s="23"/>
    </row>
    <row r="3994">
      <c r="B3994" s="16"/>
      <c r="L3994" s="23"/>
    </row>
    <row r="3995">
      <c r="B3995" s="16"/>
      <c r="L3995" s="23"/>
    </row>
    <row r="3996">
      <c r="B3996" s="16"/>
      <c r="L3996" s="23"/>
    </row>
    <row r="3997">
      <c r="B3997" s="16"/>
      <c r="L3997" s="23"/>
    </row>
    <row r="3998">
      <c r="B3998" s="16"/>
      <c r="L3998" s="23"/>
    </row>
    <row r="3999">
      <c r="B3999" s="16"/>
      <c r="L3999" s="23"/>
    </row>
    <row r="4000">
      <c r="B4000" s="16"/>
      <c r="L4000" s="23"/>
    </row>
    <row r="4001">
      <c r="B4001" s="16"/>
      <c r="L4001" s="23"/>
    </row>
    <row r="4002">
      <c r="B4002" s="16"/>
      <c r="L4002" s="23"/>
    </row>
    <row r="4003">
      <c r="B4003" s="16"/>
      <c r="L4003" s="23"/>
    </row>
    <row r="4004">
      <c r="B4004" s="16"/>
      <c r="L4004" s="23"/>
    </row>
    <row r="4005">
      <c r="B4005" s="16"/>
      <c r="L4005" s="23"/>
    </row>
    <row r="4006">
      <c r="B4006" s="16"/>
      <c r="L4006" s="23"/>
    </row>
    <row r="4007">
      <c r="B4007" s="16"/>
      <c r="L4007" s="23"/>
    </row>
    <row r="4008">
      <c r="B4008" s="16"/>
      <c r="L4008" s="23"/>
    </row>
    <row r="4009">
      <c r="B4009" s="16"/>
      <c r="L4009" s="23"/>
    </row>
    <row r="4010">
      <c r="B4010" s="16"/>
      <c r="L4010" s="23"/>
    </row>
    <row r="4011">
      <c r="B4011" s="16"/>
      <c r="L4011" s="23"/>
    </row>
    <row r="4012">
      <c r="B4012" s="16"/>
      <c r="L4012" s="23"/>
    </row>
    <row r="4013">
      <c r="B4013" s="16"/>
      <c r="L4013" s="23"/>
    </row>
    <row r="4014">
      <c r="B4014" s="16"/>
      <c r="L4014" s="23"/>
    </row>
    <row r="4015">
      <c r="B4015" s="16"/>
      <c r="L4015" s="23"/>
    </row>
    <row r="4016">
      <c r="B4016" s="16"/>
      <c r="L4016" s="23"/>
    </row>
    <row r="4017">
      <c r="B4017" s="16"/>
      <c r="L4017" s="23"/>
    </row>
    <row r="4018">
      <c r="B4018" s="16"/>
      <c r="L4018" s="23"/>
    </row>
    <row r="4019">
      <c r="B4019" s="16"/>
      <c r="L4019" s="23"/>
    </row>
    <row r="4020">
      <c r="B4020" s="16"/>
      <c r="L4020" s="23"/>
    </row>
    <row r="4021">
      <c r="B4021" s="16"/>
      <c r="L4021" s="23"/>
    </row>
    <row r="4022">
      <c r="B4022" s="16"/>
      <c r="L4022" s="23"/>
    </row>
    <row r="4023">
      <c r="B4023" s="16"/>
      <c r="L4023" s="23"/>
    </row>
    <row r="4024">
      <c r="B4024" s="16"/>
      <c r="L4024" s="23"/>
    </row>
    <row r="4025">
      <c r="B4025" s="16"/>
      <c r="L4025" s="23"/>
    </row>
    <row r="4026">
      <c r="B4026" s="16"/>
      <c r="L4026" s="23"/>
    </row>
    <row r="4027">
      <c r="B4027" s="16"/>
      <c r="L4027" s="23"/>
    </row>
    <row r="4028">
      <c r="B4028" s="16"/>
      <c r="L4028" s="23"/>
    </row>
    <row r="4029">
      <c r="B4029" s="16"/>
      <c r="L4029" s="23"/>
    </row>
    <row r="4030">
      <c r="B4030" s="16"/>
      <c r="L4030" s="23"/>
    </row>
    <row r="4031">
      <c r="B4031" s="16"/>
      <c r="L4031" s="23"/>
    </row>
    <row r="4032">
      <c r="B4032" s="16"/>
      <c r="L4032" s="23"/>
    </row>
    <row r="4033">
      <c r="B4033" s="16"/>
      <c r="L4033" s="23"/>
    </row>
    <row r="4034">
      <c r="B4034" s="16"/>
      <c r="L4034" s="23"/>
    </row>
    <row r="4035">
      <c r="B4035" s="16"/>
      <c r="L4035" s="23"/>
    </row>
    <row r="4036">
      <c r="B4036" s="16"/>
      <c r="L4036" s="23"/>
    </row>
    <row r="4037">
      <c r="B4037" s="16"/>
      <c r="L4037" s="23"/>
    </row>
    <row r="4038">
      <c r="B4038" s="16"/>
      <c r="L4038" s="23"/>
    </row>
    <row r="4039">
      <c r="B4039" s="16"/>
      <c r="L4039" s="23"/>
    </row>
    <row r="4040">
      <c r="B4040" s="16"/>
      <c r="L4040" s="23"/>
    </row>
    <row r="4041">
      <c r="B4041" s="16"/>
      <c r="L4041" s="23"/>
    </row>
    <row r="4042">
      <c r="B4042" s="16"/>
      <c r="L4042" s="23"/>
    </row>
    <row r="4043">
      <c r="B4043" s="16"/>
      <c r="L4043" s="23"/>
    </row>
    <row r="4044">
      <c r="B4044" s="16"/>
      <c r="L4044" s="23"/>
    </row>
    <row r="4045">
      <c r="B4045" s="16"/>
      <c r="L4045" s="23"/>
    </row>
    <row r="4046">
      <c r="B4046" s="16"/>
      <c r="L4046" s="23"/>
    </row>
    <row r="4047">
      <c r="B4047" s="16"/>
      <c r="L4047" s="23"/>
    </row>
    <row r="4048">
      <c r="B4048" s="16"/>
      <c r="L4048" s="23"/>
    </row>
    <row r="4049">
      <c r="B4049" s="16"/>
      <c r="L4049" s="23"/>
    </row>
    <row r="4050">
      <c r="B4050" s="16"/>
      <c r="L4050" s="23"/>
    </row>
    <row r="4051">
      <c r="B4051" s="16"/>
      <c r="L4051" s="23"/>
    </row>
    <row r="4052">
      <c r="B4052" s="16"/>
      <c r="L4052" s="23"/>
    </row>
    <row r="4053">
      <c r="B4053" s="16"/>
      <c r="L4053" s="23"/>
    </row>
    <row r="4054">
      <c r="B4054" s="16"/>
      <c r="L4054" s="23"/>
    </row>
    <row r="4055">
      <c r="B4055" s="16"/>
      <c r="L4055" s="23"/>
    </row>
    <row r="4056">
      <c r="B4056" s="16"/>
      <c r="L4056" s="23"/>
    </row>
    <row r="4057">
      <c r="B4057" s="16"/>
      <c r="L4057" s="23"/>
    </row>
    <row r="4058">
      <c r="B4058" s="16"/>
      <c r="L4058" s="23"/>
    </row>
    <row r="4059">
      <c r="B4059" s="16"/>
      <c r="L4059" s="23"/>
    </row>
    <row r="4060">
      <c r="B4060" s="16"/>
      <c r="L4060" s="23"/>
    </row>
    <row r="4061">
      <c r="B4061" s="16"/>
      <c r="L4061" s="23"/>
    </row>
    <row r="4062">
      <c r="B4062" s="16"/>
      <c r="L4062" s="23"/>
    </row>
    <row r="4063">
      <c r="B4063" s="16"/>
      <c r="L4063" s="23"/>
    </row>
    <row r="4064">
      <c r="B4064" s="16"/>
      <c r="L4064" s="23"/>
    </row>
    <row r="4065">
      <c r="B4065" s="16"/>
      <c r="L4065" s="23"/>
    </row>
    <row r="4066">
      <c r="B4066" s="16"/>
      <c r="L4066" s="23"/>
    </row>
    <row r="4067">
      <c r="B4067" s="16"/>
      <c r="L4067" s="23"/>
    </row>
    <row r="4068">
      <c r="B4068" s="16"/>
      <c r="L4068" s="23"/>
    </row>
    <row r="4069">
      <c r="B4069" s="16"/>
      <c r="L4069" s="23"/>
    </row>
    <row r="4070">
      <c r="B4070" s="16"/>
      <c r="L4070" s="23"/>
    </row>
    <row r="4071">
      <c r="B4071" s="16"/>
      <c r="L4071" s="23"/>
    </row>
    <row r="4072">
      <c r="B4072" s="16"/>
      <c r="L4072" s="23"/>
    </row>
    <row r="4073">
      <c r="B4073" s="16"/>
      <c r="L4073" s="23"/>
    </row>
    <row r="4074">
      <c r="B4074" s="16"/>
      <c r="L4074" s="23"/>
    </row>
    <row r="4075">
      <c r="B4075" s="16"/>
      <c r="L4075" s="23"/>
    </row>
    <row r="4076">
      <c r="B4076" s="16"/>
      <c r="L4076" s="23"/>
    </row>
    <row r="4077">
      <c r="B4077" s="16"/>
      <c r="L4077" s="23"/>
    </row>
    <row r="4078">
      <c r="B4078" s="16"/>
      <c r="L4078" s="23"/>
    </row>
    <row r="4079">
      <c r="B4079" s="16"/>
      <c r="L4079" s="23"/>
    </row>
    <row r="4080">
      <c r="B4080" s="16"/>
      <c r="L4080" s="23"/>
    </row>
    <row r="4081">
      <c r="B4081" s="16"/>
      <c r="L4081" s="23"/>
    </row>
    <row r="4082">
      <c r="B4082" s="16"/>
      <c r="L4082" s="23"/>
    </row>
    <row r="4083">
      <c r="B4083" s="16"/>
      <c r="L4083" s="23"/>
    </row>
    <row r="4084">
      <c r="B4084" s="16"/>
      <c r="L4084" s="23"/>
    </row>
    <row r="4085">
      <c r="B4085" s="16"/>
      <c r="L4085" s="23"/>
    </row>
    <row r="4086">
      <c r="B4086" s="16"/>
      <c r="L4086" s="23"/>
    </row>
    <row r="4087">
      <c r="B4087" s="16"/>
      <c r="L4087" s="23"/>
    </row>
    <row r="4088">
      <c r="B4088" s="16"/>
      <c r="L4088" s="23"/>
    </row>
    <row r="4089">
      <c r="B4089" s="16"/>
      <c r="L4089" s="23"/>
    </row>
    <row r="4090">
      <c r="B4090" s="16"/>
      <c r="L4090" s="23"/>
    </row>
    <row r="4091">
      <c r="B4091" s="16"/>
      <c r="L4091" s="23"/>
    </row>
    <row r="4092">
      <c r="B4092" s="16"/>
      <c r="L4092" s="23"/>
      <c r="M4092" s="23"/>
    </row>
    <row r="4093">
      <c r="B4093" s="16"/>
      <c r="L4093" s="23"/>
    </row>
    <row r="4094">
      <c r="B4094" s="16"/>
      <c r="L4094" s="23"/>
    </row>
    <row r="4095">
      <c r="B4095" s="16"/>
      <c r="L4095" s="23"/>
    </row>
    <row r="4096">
      <c r="B4096" s="16"/>
      <c r="L4096" s="23"/>
    </row>
    <row r="4097">
      <c r="B4097" s="16"/>
      <c r="L4097" s="23"/>
    </row>
    <row r="4098">
      <c r="B4098" s="16"/>
      <c r="L4098" s="23"/>
    </row>
    <row r="4099">
      <c r="B4099" s="16"/>
      <c r="L4099" s="23"/>
      <c r="M4099" s="23"/>
    </row>
    <row r="4100">
      <c r="B4100" s="16"/>
      <c r="L4100" s="23"/>
    </row>
    <row r="4101">
      <c r="B4101" s="16"/>
      <c r="L4101" s="23"/>
    </row>
    <row r="4102">
      <c r="B4102" s="16"/>
      <c r="L4102" s="23"/>
    </row>
    <row r="4103">
      <c r="B4103" s="16"/>
      <c r="L4103" s="23"/>
    </row>
    <row r="4104">
      <c r="B4104" s="16"/>
      <c r="L4104" s="23"/>
    </row>
    <row r="4105">
      <c r="B4105" s="16"/>
      <c r="L4105" s="23"/>
    </row>
    <row r="4106">
      <c r="B4106" s="16"/>
      <c r="L4106" s="23"/>
    </row>
    <row r="4107">
      <c r="B4107" s="16"/>
      <c r="L4107" s="23"/>
    </row>
    <row r="4108">
      <c r="B4108" s="16"/>
      <c r="L4108" s="23"/>
    </row>
    <row r="4109">
      <c r="B4109" s="16"/>
      <c r="L4109" s="23"/>
    </row>
    <row r="4110">
      <c r="B4110" s="16"/>
      <c r="L4110" s="23"/>
    </row>
    <row r="4111">
      <c r="B4111" s="16"/>
      <c r="L4111" s="23"/>
    </row>
    <row r="4112">
      <c r="B4112" s="16"/>
      <c r="L4112" s="23"/>
    </row>
    <row r="4113">
      <c r="B4113" s="16"/>
      <c r="L4113" s="23"/>
    </row>
    <row r="4114">
      <c r="B4114" s="16"/>
      <c r="L4114" s="23"/>
    </row>
    <row r="4115">
      <c r="B4115" s="16"/>
      <c r="L4115" s="23"/>
    </row>
    <row r="4116">
      <c r="B4116" s="16"/>
      <c r="L4116" s="23"/>
      <c r="M4116" s="23"/>
    </row>
    <row r="4117">
      <c r="B4117" s="16"/>
      <c r="L4117" s="23"/>
    </row>
    <row r="4118">
      <c r="B4118" s="16"/>
      <c r="L4118" s="23"/>
    </row>
    <row r="4119">
      <c r="B4119" s="16"/>
      <c r="L4119" s="23"/>
    </row>
    <row r="4120">
      <c r="B4120" s="16"/>
      <c r="L4120" s="23"/>
    </row>
    <row r="4121">
      <c r="B4121" s="16"/>
      <c r="L4121" s="23"/>
    </row>
    <row r="4122">
      <c r="B4122" s="16"/>
      <c r="L4122" s="23"/>
    </row>
    <row r="4123">
      <c r="B4123" s="16"/>
      <c r="L4123" s="23"/>
    </row>
    <row r="4124">
      <c r="B4124" s="16"/>
      <c r="L4124" s="23"/>
    </row>
    <row r="4125">
      <c r="B4125" s="16"/>
      <c r="L4125" s="23"/>
    </row>
    <row r="4126">
      <c r="B4126" s="16"/>
      <c r="L4126" s="23"/>
    </row>
    <row r="4127">
      <c r="B4127" s="16"/>
      <c r="L4127" s="23"/>
    </row>
    <row r="4128">
      <c r="B4128" s="16"/>
      <c r="L4128" s="23"/>
    </row>
    <row r="4129">
      <c r="B4129" s="16"/>
      <c r="L4129" s="23"/>
    </row>
    <row r="4130">
      <c r="B4130" s="16"/>
      <c r="L4130" s="23"/>
    </row>
    <row r="4131">
      <c r="B4131" s="16"/>
      <c r="L4131" s="23"/>
    </row>
    <row r="4132">
      <c r="B4132" s="16"/>
      <c r="L4132" s="23"/>
    </row>
    <row r="4133">
      <c r="B4133" s="16"/>
      <c r="L4133" s="23"/>
    </row>
    <row r="4134">
      <c r="B4134" s="16"/>
      <c r="L4134" s="23"/>
    </row>
    <row r="4135">
      <c r="B4135" s="16"/>
      <c r="L4135" s="23"/>
    </row>
    <row r="4136">
      <c r="B4136" s="16"/>
      <c r="L4136" s="23"/>
    </row>
    <row r="4137">
      <c r="B4137" s="16"/>
      <c r="L4137" s="23"/>
    </row>
    <row r="4138">
      <c r="B4138" s="16"/>
      <c r="L4138" s="23"/>
    </row>
    <row r="4139">
      <c r="B4139" s="16"/>
      <c r="L4139" s="23"/>
    </row>
    <row r="4140">
      <c r="B4140" s="16"/>
      <c r="L4140" s="23"/>
    </row>
    <row r="4141">
      <c r="B4141" s="16"/>
      <c r="L4141" s="23"/>
    </row>
    <row r="4142">
      <c r="B4142" s="16"/>
      <c r="L4142" s="23"/>
    </row>
    <row r="4143">
      <c r="B4143" s="16"/>
      <c r="L4143" s="23"/>
    </row>
    <row r="4144">
      <c r="B4144" s="16"/>
      <c r="L4144" s="23"/>
    </row>
    <row r="4145">
      <c r="B4145" s="16"/>
      <c r="L4145" s="23"/>
    </row>
    <row r="4146">
      <c r="B4146" s="16"/>
      <c r="L4146" s="23"/>
    </row>
    <row r="4147">
      <c r="B4147" s="16"/>
      <c r="L4147" s="23"/>
    </row>
    <row r="4148">
      <c r="B4148" s="16"/>
      <c r="L4148" s="23"/>
    </row>
    <row r="4149">
      <c r="B4149" s="16"/>
      <c r="L4149" s="23"/>
    </row>
    <row r="4150">
      <c r="B4150" s="16"/>
      <c r="L4150" s="23"/>
    </row>
    <row r="4151">
      <c r="B4151" s="16"/>
      <c r="L4151" s="23"/>
    </row>
    <row r="4152">
      <c r="B4152" s="16"/>
      <c r="L4152" s="23"/>
    </row>
    <row r="4153">
      <c r="B4153" s="16"/>
      <c r="L4153" s="23"/>
    </row>
    <row r="4154">
      <c r="B4154" s="16"/>
      <c r="L4154" s="23"/>
    </row>
    <row r="4155">
      <c r="B4155" s="16"/>
      <c r="L4155" s="23"/>
      <c r="M4155" s="23"/>
    </row>
    <row r="4156">
      <c r="B4156" s="16"/>
      <c r="L4156" s="23"/>
      <c r="M4156" s="23"/>
    </row>
    <row r="4157">
      <c r="B4157" s="16"/>
      <c r="L4157" s="23"/>
    </row>
    <row r="4158">
      <c r="B4158" s="16"/>
      <c r="L4158" s="23"/>
    </row>
    <row r="4159">
      <c r="B4159" s="16"/>
      <c r="L4159" s="23"/>
    </row>
    <row r="4160">
      <c r="B4160" s="16"/>
      <c r="L4160" s="23"/>
    </row>
    <row r="4161">
      <c r="B4161" s="16"/>
      <c r="L4161" s="23"/>
    </row>
    <row r="4162">
      <c r="B4162" s="16"/>
      <c r="L4162" s="23"/>
    </row>
    <row r="4163">
      <c r="B4163" s="16"/>
      <c r="L4163" s="23"/>
    </row>
    <row r="4164">
      <c r="B4164" s="16"/>
      <c r="L4164" s="23"/>
    </row>
    <row r="4165">
      <c r="B4165" s="16"/>
      <c r="L4165" s="23"/>
    </row>
    <row r="4166">
      <c r="B4166" s="16"/>
      <c r="L4166" s="23"/>
    </row>
    <row r="4167">
      <c r="B4167" s="16"/>
      <c r="L4167" s="23"/>
    </row>
    <row r="4168">
      <c r="B4168" s="16"/>
      <c r="L4168" s="23"/>
    </row>
    <row r="4169">
      <c r="B4169" s="16"/>
      <c r="L4169" s="23"/>
    </row>
    <row r="4170">
      <c r="B4170" s="16"/>
      <c r="L4170" s="23"/>
    </row>
    <row r="4171">
      <c r="B4171" s="16"/>
      <c r="L4171" s="23"/>
    </row>
    <row r="4172">
      <c r="B4172" s="16"/>
      <c r="L4172" s="23"/>
    </row>
    <row r="4173">
      <c r="B4173" s="16"/>
      <c r="L4173" s="23"/>
    </row>
    <row r="4174">
      <c r="B4174" s="16"/>
      <c r="L4174" s="23"/>
    </row>
    <row r="4175">
      <c r="B4175" s="16"/>
      <c r="L4175" s="23"/>
    </row>
    <row r="4176">
      <c r="B4176" s="16"/>
      <c r="L4176" s="23"/>
    </row>
    <row r="4177">
      <c r="B4177" s="16"/>
      <c r="L4177" s="23"/>
    </row>
    <row r="4178">
      <c r="B4178" s="16"/>
      <c r="L4178" s="23"/>
    </row>
    <row r="4179">
      <c r="B4179" s="16"/>
      <c r="L4179" s="23"/>
    </row>
    <row r="4180">
      <c r="B4180" s="16"/>
      <c r="L4180" s="23"/>
    </row>
    <row r="4181">
      <c r="B4181" s="16"/>
      <c r="L4181" s="23"/>
    </row>
    <row r="4182">
      <c r="B4182" s="16"/>
      <c r="L4182" s="23"/>
    </row>
    <row r="4183">
      <c r="B4183" s="16"/>
      <c r="L4183" s="23"/>
    </row>
    <row r="4184">
      <c r="B4184" s="16"/>
      <c r="L4184" s="23"/>
    </row>
    <row r="4185">
      <c r="B4185" s="16"/>
      <c r="L4185" s="23"/>
    </row>
    <row r="4186">
      <c r="B4186" s="16"/>
      <c r="L4186" s="23"/>
    </row>
    <row r="4187">
      <c r="B4187" s="16"/>
      <c r="L4187" s="23"/>
    </row>
    <row r="4188">
      <c r="B4188" s="16"/>
      <c r="L4188" s="23"/>
    </row>
    <row r="4189">
      <c r="B4189" s="16"/>
      <c r="L4189" s="23"/>
    </row>
    <row r="4190">
      <c r="B4190" s="16"/>
      <c r="L4190" s="23"/>
    </row>
    <row r="4191">
      <c r="B4191" s="16"/>
      <c r="L4191" s="23"/>
    </row>
    <row r="4192">
      <c r="B4192" s="16"/>
      <c r="L4192" s="23"/>
    </row>
    <row r="4193">
      <c r="B4193" s="16"/>
      <c r="L4193" s="23"/>
    </row>
    <row r="4194">
      <c r="B4194" s="16"/>
      <c r="L4194" s="23"/>
    </row>
    <row r="4195">
      <c r="B4195" s="16"/>
      <c r="L4195" s="23"/>
    </row>
    <row r="4196">
      <c r="B4196" s="16"/>
      <c r="L4196" s="23"/>
    </row>
    <row r="4197">
      <c r="B4197" s="16"/>
      <c r="L4197" s="23"/>
    </row>
    <row r="4198">
      <c r="B4198" s="16"/>
      <c r="L4198" s="23"/>
    </row>
    <row r="4199">
      <c r="B4199" s="16"/>
      <c r="L4199" s="23"/>
    </row>
    <row r="4200">
      <c r="B4200" s="16"/>
      <c r="L4200" s="23"/>
    </row>
    <row r="4201">
      <c r="B4201" s="16"/>
      <c r="L4201" s="23"/>
    </row>
    <row r="4202">
      <c r="B4202" s="16"/>
      <c r="L4202" s="23"/>
    </row>
    <row r="4203">
      <c r="B4203" s="16"/>
      <c r="L4203" s="23"/>
    </row>
    <row r="4204">
      <c r="B4204" s="16"/>
      <c r="L4204" s="23"/>
    </row>
    <row r="4205">
      <c r="B4205" s="16"/>
      <c r="L4205" s="23"/>
    </row>
    <row r="4206">
      <c r="B4206" s="16"/>
      <c r="L4206" s="23"/>
    </row>
    <row r="4207">
      <c r="B4207" s="16"/>
      <c r="L4207" s="23"/>
    </row>
    <row r="4208">
      <c r="B4208" s="16"/>
      <c r="L4208" s="23"/>
    </row>
    <row r="4209">
      <c r="B4209" s="16"/>
      <c r="L4209" s="23"/>
    </row>
    <row r="4210">
      <c r="B4210" s="16"/>
      <c r="L4210" s="23"/>
    </row>
    <row r="4211">
      <c r="B4211" s="16"/>
      <c r="L4211" s="23"/>
    </row>
    <row r="4212">
      <c r="B4212" s="16"/>
      <c r="L4212" s="23"/>
    </row>
    <row r="4213">
      <c r="B4213" s="16"/>
      <c r="L4213" s="23"/>
    </row>
    <row r="4214">
      <c r="B4214" s="16"/>
      <c r="L4214" s="23"/>
    </row>
    <row r="4215">
      <c r="B4215" s="16"/>
      <c r="L4215" s="23"/>
    </row>
    <row r="4216">
      <c r="B4216" s="16"/>
      <c r="L4216" s="23"/>
    </row>
    <row r="4217">
      <c r="B4217" s="16"/>
      <c r="L4217" s="23"/>
    </row>
    <row r="4218">
      <c r="B4218" s="16"/>
      <c r="L4218" s="23"/>
    </row>
    <row r="4219">
      <c r="B4219" s="16"/>
      <c r="L4219" s="23"/>
    </row>
    <row r="4220">
      <c r="B4220" s="16"/>
      <c r="L4220" s="23"/>
    </row>
    <row r="4221">
      <c r="B4221" s="16"/>
      <c r="L4221" s="23"/>
    </row>
    <row r="4222">
      <c r="B4222" s="16"/>
      <c r="L4222" s="23"/>
    </row>
    <row r="4223">
      <c r="B4223" s="16"/>
      <c r="L4223" s="23"/>
    </row>
    <row r="4224">
      <c r="B4224" s="16"/>
      <c r="L4224" s="23"/>
    </row>
    <row r="4225">
      <c r="B4225" s="16"/>
      <c r="L4225" s="23"/>
    </row>
    <row r="4226">
      <c r="B4226" s="16"/>
      <c r="L4226" s="23"/>
    </row>
    <row r="4227">
      <c r="B4227" s="16"/>
      <c r="L4227" s="23"/>
    </row>
    <row r="4228">
      <c r="B4228" s="16"/>
      <c r="L4228" s="23"/>
    </row>
    <row r="4229">
      <c r="B4229" s="16"/>
      <c r="L4229" s="23"/>
    </row>
    <row r="4230">
      <c r="B4230" s="16"/>
      <c r="L4230" s="23"/>
    </row>
    <row r="4231">
      <c r="B4231" s="16"/>
      <c r="L4231" s="23"/>
    </row>
    <row r="4232">
      <c r="B4232" s="16"/>
      <c r="L4232" s="23"/>
    </row>
    <row r="4233">
      <c r="B4233" s="16"/>
      <c r="L4233" s="23"/>
      <c r="M4233" s="23"/>
    </row>
    <row r="4234">
      <c r="B4234" s="16"/>
      <c r="L4234" s="23"/>
    </row>
    <row r="4235">
      <c r="B4235" s="16"/>
      <c r="L4235" s="23"/>
    </row>
    <row r="4236">
      <c r="B4236" s="16"/>
      <c r="L4236" s="23"/>
    </row>
    <row r="4237">
      <c r="B4237" s="16"/>
      <c r="L4237" s="23"/>
    </row>
    <row r="4238">
      <c r="B4238" s="16"/>
      <c r="L4238" s="23"/>
    </row>
    <row r="4239">
      <c r="B4239" s="16"/>
      <c r="L4239" s="23"/>
    </row>
    <row r="4240">
      <c r="B4240" s="16"/>
      <c r="L4240" s="23"/>
    </row>
    <row r="4241">
      <c r="B4241" s="16"/>
      <c r="L4241" s="23"/>
    </row>
    <row r="4242">
      <c r="B4242" s="16"/>
      <c r="L4242" s="23"/>
    </row>
    <row r="4243">
      <c r="B4243" s="16"/>
      <c r="L4243" s="23"/>
    </row>
    <row r="4244">
      <c r="B4244" s="16"/>
      <c r="L4244" s="23"/>
    </row>
    <row r="4245">
      <c r="B4245" s="16"/>
      <c r="L4245" s="23"/>
    </row>
    <row r="4246">
      <c r="B4246" s="16"/>
      <c r="L4246" s="23"/>
    </row>
    <row r="4247">
      <c r="B4247" s="16"/>
      <c r="L4247" s="23"/>
    </row>
    <row r="4248">
      <c r="B4248" s="16"/>
      <c r="L4248" s="23"/>
    </row>
    <row r="4249">
      <c r="B4249" s="16"/>
      <c r="L4249" s="23"/>
    </row>
    <row r="4250">
      <c r="B4250" s="16"/>
      <c r="L4250" s="23"/>
    </row>
    <row r="4251">
      <c r="B4251" s="16"/>
      <c r="L4251" s="23"/>
    </row>
    <row r="4252">
      <c r="B4252" s="16"/>
      <c r="L4252" s="23"/>
    </row>
    <row r="4253">
      <c r="B4253" s="16"/>
      <c r="L4253" s="23"/>
    </row>
    <row r="4254">
      <c r="B4254" s="16"/>
      <c r="L4254" s="23"/>
    </row>
    <row r="4255">
      <c r="B4255" s="16"/>
      <c r="L4255" s="23"/>
    </row>
    <row r="4256">
      <c r="B4256" s="16"/>
      <c r="L4256" s="23"/>
    </row>
    <row r="4257">
      <c r="B4257" s="16"/>
      <c r="L4257" s="23"/>
    </row>
    <row r="4258">
      <c r="B4258" s="16"/>
      <c r="L4258" s="23"/>
    </row>
    <row r="4259">
      <c r="B4259" s="16"/>
      <c r="L4259" s="23"/>
    </row>
    <row r="4260">
      <c r="B4260" s="16"/>
      <c r="L4260" s="23"/>
    </row>
    <row r="4261">
      <c r="B4261" s="16"/>
      <c r="L4261" s="23"/>
    </row>
    <row r="4262">
      <c r="B4262" s="16"/>
      <c r="L4262" s="23"/>
    </row>
    <row r="4263">
      <c r="B4263" s="16"/>
      <c r="L4263" s="23"/>
    </row>
    <row r="4264">
      <c r="B4264" s="16"/>
      <c r="L4264" s="23"/>
    </row>
    <row r="4265">
      <c r="B4265" s="16"/>
      <c r="L4265" s="23"/>
    </row>
    <row r="4266">
      <c r="B4266" s="16"/>
      <c r="L4266" s="23"/>
    </row>
    <row r="4267">
      <c r="B4267" s="16"/>
      <c r="L4267" s="23"/>
    </row>
    <row r="4268">
      <c r="B4268" s="16"/>
      <c r="L4268" s="23"/>
    </row>
    <row r="4269">
      <c r="B4269" s="16"/>
      <c r="L4269" s="23"/>
    </row>
    <row r="4270">
      <c r="B4270" s="16"/>
      <c r="L4270" s="23"/>
    </row>
    <row r="4271">
      <c r="B4271" s="16"/>
      <c r="L4271" s="23"/>
    </row>
    <row r="4272">
      <c r="B4272" s="16"/>
      <c r="L4272" s="23"/>
    </row>
    <row r="4273">
      <c r="B4273" s="16"/>
      <c r="L4273" s="23"/>
    </row>
    <row r="4274">
      <c r="B4274" s="16"/>
      <c r="L4274" s="23"/>
    </row>
    <row r="4275">
      <c r="B4275" s="16"/>
      <c r="L4275" s="23"/>
    </row>
    <row r="4276">
      <c r="B4276" s="16"/>
      <c r="L4276" s="23"/>
    </row>
    <row r="4277">
      <c r="B4277" s="16"/>
      <c r="L4277" s="23"/>
    </row>
    <row r="4278">
      <c r="B4278" s="16"/>
      <c r="L4278" s="23"/>
    </row>
    <row r="4279">
      <c r="B4279" s="16"/>
      <c r="L4279" s="23"/>
    </row>
    <row r="4280">
      <c r="B4280" s="16"/>
      <c r="L4280" s="23"/>
    </row>
    <row r="4281">
      <c r="B4281" s="16"/>
      <c r="L4281" s="23"/>
    </row>
    <row r="4282">
      <c r="B4282" s="16"/>
      <c r="L4282" s="23"/>
    </row>
    <row r="4283">
      <c r="B4283" s="16"/>
      <c r="L4283" s="23"/>
    </row>
    <row r="4284">
      <c r="B4284" s="16"/>
      <c r="L4284" s="23"/>
    </row>
    <row r="4285">
      <c r="B4285" s="16"/>
      <c r="L4285" s="23"/>
    </row>
    <row r="4286">
      <c r="B4286" s="16"/>
      <c r="L4286" s="23"/>
    </row>
    <row r="4287">
      <c r="B4287" s="16"/>
      <c r="L4287" s="23"/>
    </row>
    <row r="4288">
      <c r="B4288" s="16"/>
      <c r="L4288" s="23"/>
    </row>
    <row r="4289">
      <c r="B4289" s="16"/>
      <c r="L4289" s="23"/>
    </row>
    <row r="4290">
      <c r="B4290" s="16"/>
      <c r="L4290" s="23"/>
    </row>
    <row r="4291">
      <c r="B4291" s="16"/>
      <c r="L4291" s="23"/>
    </row>
    <row r="4292">
      <c r="B4292" s="16"/>
      <c r="L4292" s="23"/>
    </row>
    <row r="4293">
      <c r="B4293" s="16"/>
      <c r="L4293" s="23"/>
    </row>
    <row r="4294">
      <c r="B4294" s="16"/>
      <c r="L4294" s="23"/>
    </row>
    <row r="4295">
      <c r="B4295" s="16"/>
      <c r="L4295" s="23"/>
    </row>
    <row r="4296">
      <c r="B4296" s="16"/>
      <c r="L4296" s="23"/>
    </row>
    <row r="4297">
      <c r="B4297" s="16"/>
      <c r="L4297" s="23"/>
    </row>
    <row r="4298">
      <c r="B4298" s="16"/>
      <c r="L4298" s="23"/>
    </row>
    <row r="4299">
      <c r="B4299" s="16"/>
      <c r="L4299" s="23"/>
    </row>
    <row r="4300">
      <c r="B4300" s="16"/>
      <c r="L4300" s="23"/>
    </row>
    <row r="4301">
      <c r="B4301" s="16"/>
      <c r="L4301" s="23"/>
    </row>
    <row r="4302">
      <c r="B4302" s="16"/>
      <c r="L4302" s="23"/>
    </row>
    <row r="4303">
      <c r="B4303" s="16"/>
      <c r="L4303" s="23"/>
    </row>
    <row r="4304">
      <c r="B4304" s="16"/>
      <c r="L4304" s="23"/>
    </row>
    <row r="4305">
      <c r="B4305" s="16"/>
      <c r="L4305" s="23"/>
    </row>
    <row r="4306">
      <c r="B4306" s="16"/>
      <c r="L4306" s="23"/>
    </row>
    <row r="4307">
      <c r="B4307" s="16"/>
      <c r="L4307" s="23"/>
    </row>
    <row r="4308">
      <c r="B4308" s="16"/>
      <c r="L4308" s="23"/>
    </row>
    <row r="4309">
      <c r="B4309" s="16"/>
      <c r="L4309" s="23"/>
    </row>
    <row r="4310">
      <c r="B4310" s="16"/>
      <c r="L4310" s="23"/>
    </row>
    <row r="4311">
      <c r="B4311" s="16"/>
      <c r="L4311" s="23"/>
    </row>
    <row r="4312">
      <c r="B4312" s="16"/>
      <c r="L4312" s="23"/>
    </row>
    <row r="4313">
      <c r="B4313" s="16"/>
      <c r="L4313" s="23"/>
    </row>
    <row r="4314">
      <c r="B4314" s="16"/>
      <c r="L4314" s="23"/>
    </row>
    <row r="4315">
      <c r="B4315" s="16"/>
      <c r="L4315" s="23"/>
    </row>
    <row r="4316">
      <c r="B4316" s="16"/>
      <c r="L4316" s="23"/>
    </row>
    <row r="4317">
      <c r="B4317" s="16"/>
      <c r="L4317" s="23"/>
    </row>
    <row r="4318">
      <c r="B4318" s="16"/>
      <c r="L4318" s="23"/>
    </row>
    <row r="4319">
      <c r="B4319" s="16"/>
      <c r="L4319" s="23"/>
    </row>
    <row r="4320">
      <c r="B4320" s="16"/>
      <c r="L4320" s="23"/>
    </row>
    <row r="4321">
      <c r="B4321" s="16"/>
      <c r="L4321" s="23"/>
    </row>
    <row r="4322">
      <c r="B4322" s="16"/>
      <c r="L4322" s="23"/>
    </row>
    <row r="4323">
      <c r="B4323" s="16"/>
      <c r="L4323" s="23"/>
    </row>
    <row r="4324">
      <c r="B4324" s="16"/>
      <c r="L4324" s="23"/>
    </row>
    <row r="4325">
      <c r="B4325" s="16"/>
      <c r="L4325" s="23"/>
    </row>
    <row r="4326">
      <c r="B4326" s="16"/>
      <c r="L4326" s="23"/>
    </row>
    <row r="4327">
      <c r="B4327" s="16"/>
      <c r="L4327" s="23"/>
    </row>
    <row r="4328">
      <c r="B4328" s="16"/>
      <c r="L4328" s="23"/>
    </row>
    <row r="4329">
      <c r="B4329" s="16"/>
      <c r="L4329" s="23"/>
    </row>
    <row r="4330">
      <c r="B4330" s="16"/>
      <c r="L4330" s="23"/>
    </row>
    <row r="4331">
      <c r="B4331" s="16"/>
      <c r="L4331" s="23"/>
    </row>
    <row r="4332">
      <c r="B4332" s="16"/>
      <c r="L4332" s="23"/>
    </row>
    <row r="4333">
      <c r="B4333" s="16"/>
      <c r="L4333" s="23"/>
    </row>
    <row r="4334">
      <c r="B4334" s="16"/>
      <c r="L4334" s="23"/>
    </row>
    <row r="4335">
      <c r="B4335" s="16"/>
      <c r="L4335" s="23"/>
    </row>
    <row r="4336">
      <c r="B4336" s="16"/>
      <c r="L4336" s="23"/>
    </row>
    <row r="4337">
      <c r="B4337" s="16"/>
      <c r="L4337" s="23"/>
    </row>
    <row r="4338">
      <c r="B4338" s="16"/>
      <c r="L4338" s="23"/>
    </row>
    <row r="4339">
      <c r="B4339" s="16"/>
      <c r="L4339" s="23"/>
    </row>
    <row r="4340">
      <c r="B4340" s="16"/>
      <c r="L4340" s="23"/>
    </row>
    <row r="4341">
      <c r="B4341" s="16"/>
      <c r="L4341" s="23"/>
    </row>
    <row r="4342">
      <c r="B4342" s="16"/>
      <c r="L4342" s="23"/>
    </row>
    <row r="4343">
      <c r="B4343" s="16"/>
      <c r="L4343" s="23"/>
    </row>
    <row r="4344">
      <c r="B4344" s="16"/>
      <c r="L4344" s="23"/>
    </row>
    <row r="4345">
      <c r="B4345" s="16"/>
      <c r="L4345" s="23"/>
    </row>
    <row r="4346">
      <c r="B4346" s="16"/>
      <c r="L4346" s="23"/>
    </row>
    <row r="4347">
      <c r="B4347" s="16"/>
      <c r="L4347" s="23"/>
    </row>
    <row r="4348">
      <c r="B4348" s="16"/>
      <c r="L4348" s="23"/>
    </row>
    <row r="4349">
      <c r="B4349" s="16"/>
      <c r="L4349" s="23"/>
    </row>
    <row r="4350">
      <c r="B4350" s="16"/>
      <c r="L4350" s="23"/>
      <c r="M4350" s="23"/>
    </row>
    <row r="4351">
      <c r="B4351" s="16"/>
      <c r="L4351" s="23"/>
      <c r="M4351" s="23"/>
    </row>
    <row r="4352">
      <c r="B4352" s="16"/>
      <c r="L4352" s="23"/>
    </row>
    <row r="4353">
      <c r="B4353" s="16"/>
      <c r="L4353" s="23"/>
    </row>
    <row r="4354">
      <c r="B4354" s="16"/>
      <c r="L4354" s="23"/>
      <c r="M4354" s="23"/>
    </row>
    <row r="4355">
      <c r="B4355" s="16"/>
      <c r="L4355" s="23"/>
      <c r="M4355" s="23"/>
    </row>
    <row r="4356">
      <c r="B4356" s="16"/>
      <c r="L4356" s="23"/>
    </row>
    <row r="4357">
      <c r="B4357" s="16"/>
      <c r="L4357" s="23"/>
      <c r="M4357" s="23"/>
    </row>
    <row r="4358">
      <c r="B4358" s="16"/>
      <c r="L4358" s="23"/>
    </row>
    <row r="4359">
      <c r="B4359" s="16"/>
      <c r="L4359" s="23"/>
      <c r="M4359" s="23"/>
    </row>
    <row r="4360">
      <c r="B4360" s="16"/>
      <c r="L4360" s="23"/>
    </row>
    <row r="4361">
      <c r="B4361" s="16"/>
      <c r="L4361" s="23"/>
    </row>
    <row r="4362">
      <c r="B4362" s="16"/>
      <c r="L4362" s="23"/>
    </row>
    <row r="4363">
      <c r="B4363" s="16"/>
      <c r="L4363" s="23"/>
    </row>
    <row r="4364">
      <c r="B4364" s="16"/>
      <c r="L4364" s="23"/>
    </row>
    <row r="4365">
      <c r="B4365" s="16"/>
      <c r="L4365" s="23"/>
      <c r="M4365" s="23"/>
    </row>
    <row r="4366">
      <c r="B4366" s="16"/>
      <c r="L4366" s="23"/>
    </row>
    <row r="4367">
      <c r="B4367" s="16"/>
      <c r="L4367" s="23"/>
    </row>
    <row r="4368">
      <c r="B4368" s="16"/>
      <c r="L4368" s="23"/>
    </row>
    <row r="4369">
      <c r="B4369" s="16"/>
      <c r="L4369" s="23"/>
    </row>
    <row r="4370">
      <c r="B4370" s="16"/>
      <c r="L4370" s="23"/>
    </row>
    <row r="4371">
      <c r="B4371" s="16"/>
      <c r="L4371" s="23"/>
    </row>
    <row r="4372">
      <c r="B4372" s="16"/>
      <c r="L4372" s="23"/>
    </row>
    <row r="4373">
      <c r="B4373" s="16"/>
      <c r="L4373" s="23"/>
    </row>
    <row r="4374">
      <c r="B4374" s="16"/>
      <c r="L4374" s="23"/>
    </row>
    <row r="4375">
      <c r="B4375" s="16"/>
      <c r="L4375" s="23"/>
    </row>
    <row r="4376">
      <c r="B4376" s="16"/>
      <c r="L4376" s="23"/>
    </row>
    <row r="4377">
      <c r="B4377" s="16"/>
      <c r="L4377" s="23"/>
    </row>
    <row r="4378">
      <c r="B4378" s="16"/>
      <c r="L4378" s="23"/>
    </row>
    <row r="4379">
      <c r="B4379" s="16"/>
      <c r="L4379" s="23"/>
    </row>
    <row r="4380">
      <c r="B4380" s="16"/>
      <c r="L4380" s="23"/>
    </row>
    <row r="4381">
      <c r="B4381" s="16"/>
      <c r="L4381" s="23"/>
    </row>
    <row r="4382">
      <c r="B4382" s="16"/>
      <c r="L4382" s="23"/>
    </row>
    <row r="4383">
      <c r="B4383" s="16"/>
      <c r="L4383" s="23"/>
    </row>
    <row r="4384">
      <c r="B4384" s="16"/>
      <c r="L4384" s="23"/>
    </row>
    <row r="4385">
      <c r="B4385" s="16"/>
      <c r="L4385" s="23"/>
    </row>
    <row r="4386">
      <c r="B4386" s="16"/>
      <c r="L4386" s="23"/>
    </row>
    <row r="4387">
      <c r="B4387" s="16"/>
      <c r="L4387" s="23"/>
    </row>
    <row r="4388">
      <c r="B4388" s="16"/>
      <c r="L4388" s="23"/>
    </row>
    <row r="4389">
      <c r="B4389" s="16"/>
      <c r="L4389" s="23"/>
    </row>
    <row r="4390">
      <c r="B4390" s="16"/>
      <c r="L4390" s="23"/>
    </row>
    <row r="4391">
      <c r="B4391" s="16"/>
      <c r="L4391" s="23"/>
    </row>
    <row r="4392">
      <c r="B4392" s="16"/>
      <c r="L4392" s="23"/>
    </row>
    <row r="4393">
      <c r="B4393" s="16"/>
      <c r="L4393" s="23"/>
    </row>
    <row r="4394">
      <c r="B4394" s="16"/>
      <c r="L4394" s="23"/>
    </row>
    <row r="4395">
      <c r="B4395" s="16"/>
      <c r="L4395" s="23"/>
    </row>
    <row r="4396">
      <c r="B4396" s="16"/>
      <c r="L4396" s="23"/>
    </row>
    <row r="4397">
      <c r="B4397" s="16"/>
      <c r="L4397" s="23"/>
    </row>
    <row r="4398">
      <c r="B4398" s="16"/>
      <c r="L4398" s="23"/>
    </row>
    <row r="4399">
      <c r="B4399" s="16"/>
      <c r="L4399" s="23"/>
    </row>
    <row r="4400">
      <c r="B4400" s="16"/>
      <c r="L4400" s="23"/>
    </row>
    <row r="4401">
      <c r="B4401" s="16"/>
      <c r="L4401" s="23"/>
    </row>
    <row r="4402">
      <c r="B4402" s="16"/>
      <c r="L4402" s="23"/>
    </row>
    <row r="4403">
      <c r="B4403" s="16"/>
      <c r="L4403" s="23"/>
    </row>
    <row r="4404">
      <c r="B4404" s="16"/>
      <c r="L4404" s="23"/>
    </row>
    <row r="4405">
      <c r="B4405" s="16"/>
      <c r="L4405" s="23"/>
    </row>
    <row r="4406">
      <c r="B4406" s="16"/>
      <c r="L4406" s="23"/>
    </row>
    <row r="4407">
      <c r="B4407" s="16"/>
      <c r="L4407" s="23"/>
    </row>
    <row r="4408">
      <c r="B4408" s="16"/>
      <c r="L4408" s="23"/>
    </row>
    <row r="4409">
      <c r="B4409" s="16"/>
      <c r="L4409" s="23"/>
    </row>
    <row r="4410">
      <c r="B4410" s="16"/>
      <c r="L4410" s="23"/>
    </row>
    <row r="4411">
      <c r="B4411" s="16"/>
      <c r="L4411" s="23"/>
    </row>
    <row r="4412">
      <c r="B4412" s="16"/>
      <c r="L4412" s="23"/>
    </row>
    <row r="4413">
      <c r="B4413" s="16"/>
      <c r="L4413" s="23"/>
    </row>
    <row r="4414">
      <c r="B4414" s="16"/>
      <c r="L4414" s="23"/>
    </row>
    <row r="4415">
      <c r="B4415" s="16"/>
      <c r="L4415" s="23"/>
    </row>
    <row r="4416">
      <c r="B4416" s="16"/>
      <c r="L4416" s="23"/>
    </row>
    <row r="4417">
      <c r="B4417" s="16"/>
      <c r="L4417" s="23"/>
    </row>
    <row r="4418">
      <c r="B4418" s="16"/>
      <c r="L4418" s="23"/>
    </row>
    <row r="4419">
      <c r="B4419" s="16"/>
      <c r="L4419" s="23"/>
    </row>
    <row r="4420">
      <c r="B4420" s="16"/>
      <c r="L4420" s="23"/>
    </row>
    <row r="4421">
      <c r="B4421" s="16"/>
      <c r="L4421" s="23"/>
      <c r="M4421" s="23"/>
    </row>
    <row r="4422">
      <c r="B4422" s="16"/>
      <c r="L4422" s="23"/>
      <c r="M4422" s="23"/>
    </row>
    <row r="4423">
      <c r="B4423" s="16"/>
      <c r="L4423" s="23"/>
    </row>
    <row r="4424">
      <c r="B4424" s="16"/>
      <c r="L4424" s="23"/>
    </row>
    <row r="4425">
      <c r="B4425" s="16"/>
      <c r="L4425" s="23"/>
    </row>
    <row r="4426">
      <c r="B4426" s="16"/>
      <c r="L4426" s="23"/>
    </row>
    <row r="4427">
      <c r="B4427" s="16"/>
      <c r="L4427" s="23"/>
    </row>
    <row r="4428">
      <c r="B4428" s="16"/>
      <c r="L4428" s="23"/>
    </row>
    <row r="4429">
      <c r="B4429" s="16"/>
      <c r="L4429" s="23"/>
    </row>
    <row r="4430">
      <c r="B4430" s="16"/>
      <c r="L4430" s="23"/>
    </row>
    <row r="4431">
      <c r="B4431" s="16"/>
      <c r="L4431" s="23"/>
    </row>
    <row r="4432">
      <c r="B4432" s="16"/>
      <c r="L4432" s="23"/>
    </row>
    <row r="4433">
      <c r="B4433" s="16"/>
      <c r="L4433" s="23"/>
    </row>
    <row r="4434">
      <c r="B4434" s="16"/>
      <c r="L4434" s="23"/>
    </row>
    <row r="4435">
      <c r="B4435" s="16"/>
      <c r="L4435" s="23"/>
    </row>
    <row r="4436">
      <c r="B4436" s="16"/>
      <c r="L4436" s="23"/>
    </row>
    <row r="4437">
      <c r="B4437" s="16"/>
      <c r="L4437" s="23"/>
    </row>
    <row r="4438">
      <c r="B4438" s="16"/>
      <c r="L4438" s="23"/>
    </row>
    <row r="4439">
      <c r="B4439" s="16"/>
      <c r="L4439" s="23"/>
    </row>
    <row r="4440">
      <c r="B4440" s="16"/>
      <c r="L4440" s="23"/>
    </row>
    <row r="4441">
      <c r="B4441" s="16"/>
      <c r="L4441" s="23"/>
    </row>
    <row r="4442">
      <c r="B4442" s="16"/>
      <c r="L4442" s="23"/>
    </row>
    <row r="4443">
      <c r="B4443" s="16"/>
      <c r="L4443" s="23"/>
    </row>
    <row r="4444">
      <c r="B4444" s="16"/>
      <c r="L4444" s="23"/>
    </row>
    <row r="4445">
      <c r="B4445" s="16"/>
      <c r="L4445" s="23"/>
    </row>
    <row r="4446">
      <c r="B4446" s="16"/>
      <c r="L4446" s="23"/>
    </row>
    <row r="4447">
      <c r="B4447" s="16"/>
      <c r="L4447" s="23"/>
    </row>
    <row r="4448">
      <c r="B4448" s="16"/>
      <c r="L4448" s="23"/>
    </row>
    <row r="4449">
      <c r="B4449" s="16"/>
      <c r="L4449" s="23"/>
      <c r="M4449" s="23"/>
    </row>
    <row r="4450">
      <c r="B4450" s="16"/>
      <c r="L4450" s="23"/>
    </row>
    <row r="4451">
      <c r="B4451" s="16"/>
      <c r="L4451" s="23"/>
    </row>
    <row r="4452">
      <c r="B4452" s="16"/>
      <c r="L4452" s="23"/>
    </row>
    <row r="4453">
      <c r="B4453" s="16"/>
      <c r="L4453" s="23"/>
    </row>
    <row r="4454">
      <c r="B4454" s="16"/>
      <c r="L4454" s="23"/>
    </row>
    <row r="4455">
      <c r="B4455" s="16"/>
      <c r="L4455" s="23"/>
      <c r="M4455" s="23"/>
    </row>
    <row r="4456">
      <c r="B4456" s="16"/>
      <c r="L4456" s="23"/>
    </row>
    <row r="4457">
      <c r="B4457" s="16"/>
      <c r="L4457" s="23"/>
    </row>
    <row r="4458">
      <c r="B4458" s="16"/>
      <c r="L4458" s="23"/>
    </row>
    <row r="4459">
      <c r="B4459" s="16"/>
      <c r="L4459" s="23"/>
      <c r="M4459" s="23"/>
    </row>
    <row r="4460">
      <c r="B4460" s="16"/>
      <c r="L4460" s="23"/>
    </row>
    <row r="4461">
      <c r="B4461" s="16"/>
      <c r="L4461" s="23"/>
    </row>
    <row r="4462">
      <c r="B4462" s="16"/>
      <c r="L4462" s="23"/>
    </row>
    <row r="4463">
      <c r="B4463" s="16"/>
      <c r="L4463" s="23"/>
    </row>
    <row r="4464">
      <c r="B4464" s="16"/>
      <c r="L4464" s="23"/>
    </row>
    <row r="4465">
      <c r="B4465" s="16"/>
      <c r="L4465" s="23"/>
    </row>
    <row r="4466">
      <c r="B4466" s="16"/>
      <c r="L4466" s="23"/>
    </row>
    <row r="4467">
      <c r="B4467" s="16"/>
      <c r="L4467" s="23"/>
    </row>
    <row r="4468">
      <c r="B4468" s="16"/>
      <c r="L4468" s="23"/>
    </row>
    <row r="4469">
      <c r="B4469" s="16"/>
      <c r="L4469" s="23"/>
    </row>
    <row r="4470">
      <c r="B4470" s="16"/>
      <c r="L4470" s="23"/>
    </row>
    <row r="4471">
      <c r="B4471" s="16"/>
      <c r="L4471" s="23"/>
    </row>
    <row r="4472">
      <c r="B4472" s="16"/>
      <c r="L4472" s="23"/>
    </row>
    <row r="4473">
      <c r="B4473" s="16"/>
      <c r="L4473" s="23"/>
    </row>
    <row r="4474">
      <c r="B4474" s="16"/>
      <c r="L4474" s="23"/>
    </row>
    <row r="4475">
      <c r="B4475" s="16"/>
      <c r="L4475" s="23"/>
    </row>
    <row r="4476">
      <c r="B4476" s="16"/>
      <c r="L4476" s="23"/>
    </row>
    <row r="4477">
      <c r="B4477" s="16"/>
      <c r="L4477" s="23"/>
    </row>
    <row r="4478">
      <c r="B4478" s="16"/>
      <c r="L4478" s="23"/>
    </row>
    <row r="4479">
      <c r="B4479" s="16"/>
      <c r="L4479" s="23"/>
    </row>
    <row r="4480">
      <c r="B4480" s="16"/>
      <c r="L4480" s="23"/>
    </row>
    <row r="4481">
      <c r="B4481" s="16"/>
      <c r="L4481" s="23"/>
    </row>
    <row r="4482">
      <c r="B4482" s="16"/>
      <c r="L4482" s="23"/>
    </row>
    <row r="4483">
      <c r="B4483" s="16"/>
      <c r="L4483" s="23"/>
    </row>
    <row r="4484">
      <c r="B4484" s="16"/>
      <c r="L4484" s="23"/>
    </row>
    <row r="4485">
      <c r="B4485" s="16"/>
      <c r="L4485" s="23"/>
    </row>
    <row r="4486">
      <c r="B4486" s="16"/>
      <c r="L4486" s="23"/>
    </row>
    <row r="4487">
      <c r="B4487" s="16"/>
      <c r="L4487" s="23"/>
    </row>
    <row r="4488">
      <c r="B4488" s="16"/>
      <c r="L4488" s="23"/>
    </row>
    <row r="4489">
      <c r="B4489" s="16"/>
      <c r="L4489" s="23"/>
    </row>
    <row r="4490">
      <c r="B4490" s="16"/>
      <c r="L4490" s="23"/>
    </row>
    <row r="4491">
      <c r="B4491" s="16"/>
      <c r="L4491" s="23"/>
    </row>
    <row r="4492">
      <c r="B4492" s="16"/>
      <c r="L4492" s="23"/>
    </row>
    <row r="4493">
      <c r="B4493" s="16"/>
      <c r="L4493" s="23"/>
    </row>
    <row r="4494">
      <c r="B4494" s="16"/>
      <c r="L4494" s="23"/>
    </row>
    <row r="4495">
      <c r="B4495" s="16"/>
      <c r="L4495" s="23"/>
    </row>
    <row r="4496">
      <c r="B4496" s="16"/>
      <c r="L4496" s="23"/>
      <c r="M4496" s="23"/>
    </row>
    <row r="4497">
      <c r="B4497" s="16"/>
      <c r="L4497" s="23"/>
      <c r="M4497" s="23"/>
    </row>
    <row r="4498">
      <c r="B4498" s="16"/>
      <c r="L4498" s="23"/>
      <c r="M4498" s="23"/>
    </row>
    <row r="4499">
      <c r="B4499" s="16"/>
      <c r="L4499" s="23"/>
      <c r="M4499" s="23"/>
    </row>
    <row r="4500">
      <c r="B4500" s="16"/>
      <c r="L4500" s="23"/>
      <c r="M4500" s="23"/>
    </row>
    <row r="4501">
      <c r="B4501" s="16"/>
      <c r="L4501" s="23"/>
      <c r="M4501" s="23"/>
    </row>
    <row r="4502">
      <c r="B4502" s="16"/>
      <c r="L4502" s="23"/>
    </row>
    <row r="4503">
      <c r="B4503" s="16"/>
      <c r="L4503" s="23"/>
    </row>
    <row r="4504">
      <c r="B4504" s="16"/>
      <c r="L4504" s="23"/>
    </row>
    <row r="4505">
      <c r="B4505" s="16"/>
      <c r="L4505" s="23"/>
    </row>
    <row r="4506">
      <c r="B4506" s="16"/>
      <c r="L4506" s="23"/>
    </row>
    <row r="4507">
      <c r="B4507" s="16"/>
      <c r="L4507" s="23"/>
    </row>
    <row r="4508">
      <c r="B4508" s="16"/>
      <c r="L4508" s="23"/>
    </row>
    <row r="4509">
      <c r="B4509" s="16"/>
      <c r="L4509" s="23"/>
    </row>
    <row r="4510">
      <c r="B4510" s="16"/>
      <c r="L4510" s="23"/>
    </row>
    <row r="4511">
      <c r="B4511" s="16"/>
      <c r="L4511" s="23"/>
    </row>
    <row r="4512">
      <c r="B4512" s="16"/>
      <c r="L4512" s="23"/>
    </row>
    <row r="4513">
      <c r="B4513" s="16"/>
      <c r="L4513" s="23"/>
      <c r="M4513" s="23"/>
    </row>
    <row r="4514">
      <c r="B4514" s="16"/>
      <c r="L4514" s="23"/>
    </row>
    <row r="4515">
      <c r="B4515" s="16"/>
      <c r="L4515" s="23"/>
    </row>
    <row r="4516">
      <c r="B4516" s="16"/>
      <c r="L4516" s="23"/>
    </row>
    <row r="4517">
      <c r="B4517" s="16"/>
      <c r="L4517" s="23"/>
    </row>
    <row r="4518">
      <c r="B4518" s="16"/>
      <c r="L4518" s="23"/>
    </row>
    <row r="4519">
      <c r="B4519" s="16"/>
      <c r="L4519" s="23"/>
    </row>
    <row r="4520">
      <c r="B4520" s="16"/>
      <c r="L4520" s="23"/>
    </row>
    <row r="4521">
      <c r="B4521" s="16"/>
      <c r="L4521" s="23"/>
    </row>
    <row r="4522">
      <c r="B4522" s="16"/>
      <c r="L4522" s="23"/>
    </row>
    <row r="4523">
      <c r="B4523" s="16"/>
      <c r="L4523" s="23"/>
    </row>
    <row r="4524">
      <c r="B4524" s="16"/>
      <c r="L4524" s="23"/>
    </row>
    <row r="4525">
      <c r="B4525" s="16"/>
      <c r="L4525" s="23"/>
    </row>
    <row r="4526">
      <c r="B4526" s="16"/>
      <c r="L4526" s="23"/>
    </row>
    <row r="4527">
      <c r="B4527" s="16"/>
      <c r="L4527" s="23"/>
    </row>
    <row r="4528">
      <c r="B4528" s="16"/>
      <c r="L4528" s="23"/>
    </row>
    <row r="4529">
      <c r="B4529" s="16"/>
      <c r="L4529" s="23"/>
    </row>
    <row r="4530">
      <c r="B4530" s="16"/>
      <c r="L4530" s="23"/>
    </row>
    <row r="4531">
      <c r="B4531" s="16"/>
      <c r="L4531" s="23"/>
    </row>
    <row r="4532">
      <c r="B4532" s="16"/>
      <c r="L4532" s="23"/>
    </row>
    <row r="4533">
      <c r="B4533" s="16"/>
      <c r="L4533" s="23"/>
    </row>
    <row r="4534">
      <c r="B4534" s="16"/>
      <c r="L4534" s="23"/>
      <c r="M4534" s="23"/>
    </row>
    <row r="4535">
      <c r="B4535" s="16"/>
      <c r="L4535" s="23"/>
    </row>
    <row r="4536">
      <c r="B4536" s="16"/>
      <c r="L4536" s="23"/>
    </row>
    <row r="4537">
      <c r="B4537" s="16"/>
      <c r="L4537" s="23"/>
    </row>
    <row r="4538">
      <c r="B4538" s="16"/>
      <c r="L4538" s="23"/>
    </row>
    <row r="4539">
      <c r="B4539" s="16"/>
      <c r="L4539" s="23"/>
    </row>
    <row r="4540">
      <c r="B4540" s="16"/>
      <c r="L4540" s="23"/>
    </row>
    <row r="4541">
      <c r="B4541" s="16"/>
      <c r="L4541" s="23"/>
    </row>
    <row r="4542">
      <c r="B4542" s="16"/>
      <c r="L4542" s="23"/>
    </row>
    <row r="4543">
      <c r="B4543" s="16"/>
      <c r="L4543" s="23"/>
    </row>
    <row r="4544">
      <c r="B4544" s="16"/>
      <c r="L4544" s="23"/>
    </row>
    <row r="4545">
      <c r="B4545" s="16"/>
      <c r="L4545" s="23"/>
    </row>
    <row r="4546">
      <c r="B4546" s="16"/>
      <c r="L4546" s="23"/>
    </row>
    <row r="4547">
      <c r="B4547" s="16"/>
      <c r="L4547" s="23"/>
    </row>
    <row r="4548">
      <c r="B4548" s="16"/>
      <c r="L4548" s="23"/>
      <c r="M4548" s="23"/>
    </row>
    <row r="4549">
      <c r="B4549" s="16"/>
      <c r="L4549" s="23"/>
    </row>
    <row r="4550">
      <c r="B4550" s="16"/>
      <c r="L4550" s="23"/>
    </row>
    <row r="4551">
      <c r="B4551" s="16"/>
      <c r="L4551" s="23"/>
    </row>
    <row r="4552">
      <c r="B4552" s="16"/>
      <c r="L4552" s="23"/>
    </row>
    <row r="4553">
      <c r="B4553" s="16"/>
      <c r="L4553" s="23"/>
    </row>
    <row r="4554">
      <c r="B4554" s="16"/>
      <c r="L4554" s="23"/>
    </row>
    <row r="4555">
      <c r="B4555" s="16"/>
      <c r="L4555" s="23"/>
      <c r="M4555" s="23"/>
    </row>
    <row r="4556">
      <c r="B4556" s="16"/>
      <c r="L4556" s="23"/>
    </row>
    <row r="4557">
      <c r="B4557" s="16"/>
      <c r="L4557" s="23"/>
    </row>
    <row r="4558">
      <c r="B4558" s="16"/>
      <c r="L4558" s="23"/>
    </row>
    <row r="4559">
      <c r="B4559" s="16"/>
      <c r="L4559" s="23"/>
    </row>
    <row r="4560">
      <c r="B4560" s="16"/>
      <c r="L4560" s="23"/>
    </row>
    <row r="4561">
      <c r="B4561" s="16"/>
      <c r="L4561" s="23"/>
    </row>
    <row r="4562">
      <c r="B4562" s="16"/>
      <c r="L4562" s="23"/>
    </row>
    <row r="4563">
      <c r="B4563" s="16"/>
      <c r="L4563" s="23"/>
    </row>
    <row r="4564">
      <c r="B4564" s="16"/>
      <c r="L4564" s="23"/>
    </row>
    <row r="4565">
      <c r="B4565" s="16"/>
      <c r="L4565" s="23"/>
    </row>
    <row r="4566">
      <c r="B4566" s="16"/>
      <c r="L4566" s="23"/>
    </row>
    <row r="4567">
      <c r="B4567" s="16"/>
      <c r="L4567" s="23"/>
    </row>
    <row r="4568">
      <c r="B4568" s="16"/>
      <c r="L4568" s="23"/>
    </row>
    <row r="4569">
      <c r="B4569" s="16"/>
      <c r="L4569" s="23"/>
      <c r="M4569" s="23"/>
    </row>
    <row r="4570">
      <c r="B4570" s="16"/>
      <c r="L4570" s="23"/>
    </row>
    <row r="4571">
      <c r="B4571" s="16"/>
      <c r="L4571" s="23"/>
    </row>
    <row r="4572">
      <c r="B4572" s="16"/>
      <c r="L4572" s="23"/>
    </row>
    <row r="4573">
      <c r="B4573" s="16"/>
      <c r="L4573" s="23"/>
    </row>
    <row r="4574">
      <c r="B4574" s="16"/>
      <c r="L4574" s="23"/>
    </row>
    <row r="4575">
      <c r="B4575" s="16"/>
      <c r="L4575" s="23"/>
    </row>
    <row r="4576">
      <c r="B4576" s="16"/>
      <c r="L4576" s="23"/>
    </row>
    <row r="4577">
      <c r="B4577" s="16"/>
      <c r="L4577" s="23"/>
      <c r="M4577" s="23"/>
    </row>
    <row r="4578">
      <c r="B4578" s="16"/>
      <c r="L4578" s="23"/>
    </row>
    <row r="4579">
      <c r="B4579" s="16"/>
      <c r="L4579" s="23"/>
    </row>
    <row r="4580">
      <c r="B4580" s="16"/>
      <c r="L4580" s="23"/>
    </row>
    <row r="4581">
      <c r="B4581" s="16"/>
      <c r="L4581" s="23"/>
    </row>
    <row r="4582">
      <c r="B4582" s="16"/>
      <c r="L4582" s="23"/>
    </row>
    <row r="4583">
      <c r="B4583" s="16"/>
      <c r="L4583" s="23"/>
    </row>
    <row r="4584">
      <c r="B4584" s="16"/>
      <c r="L4584" s="23"/>
    </row>
    <row r="4585">
      <c r="B4585" s="16"/>
      <c r="L4585" s="23"/>
    </row>
    <row r="4586">
      <c r="B4586" s="16"/>
      <c r="L4586" s="23"/>
    </row>
    <row r="4587">
      <c r="B4587" s="16"/>
      <c r="L4587" s="23"/>
    </row>
    <row r="4588">
      <c r="B4588" s="16"/>
      <c r="L4588" s="23"/>
    </row>
    <row r="4589">
      <c r="B4589" s="16"/>
      <c r="L4589" s="23"/>
    </row>
    <row r="4590">
      <c r="B4590" s="16"/>
      <c r="L4590" s="23"/>
    </row>
    <row r="4591">
      <c r="B4591" s="16"/>
      <c r="L4591" s="23"/>
    </row>
    <row r="4592">
      <c r="B4592" s="16"/>
      <c r="L4592" s="23"/>
    </row>
    <row r="4593">
      <c r="B4593" s="16"/>
      <c r="L4593" s="23"/>
    </row>
    <row r="4594">
      <c r="B4594" s="16"/>
      <c r="L4594" s="23"/>
    </row>
    <row r="4595">
      <c r="B4595" s="16"/>
      <c r="L4595" s="23"/>
    </row>
    <row r="4596">
      <c r="B4596" s="16"/>
      <c r="L4596" s="23"/>
    </row>
    <row r="4597">
      <c r="B4597" s="16"/>
      <c r="L4597" s="23"/>
    </row>
    <row r="4598">
      <c r="B4598" s="16"/>
      <c r="L4598" s="23"/>
    </row>
    <row r="4599">
      <c r="B4599" s="16"/>
      <c r="L4599" s="23"/>
    </row>
    <row r="4600">
      <c r="B4600" s="16"/>
      <c r="L4600" s="23"/>
    </row>
    <row r="4601">
      <c r="B4601" s="16"/>
      <c r="L4601" s="23"/>
    </row>
    <row r="4602">
      <c r="B4602" s="16"/>
      <c r="L4602" s="23"/>
    </row>
    <row r="4603">
      <c r="B4603" s="16"/>
      <c r="L4603" s="23"/>
    </row>
    <row r="4604">
      <c r="B4604" s="16"/>
      <c r="L4604" s="23"/>
    </row>
    <row r="4605">
      <c r="B4605" s="16"/>
      <c r="L4605" s="23"/>
    </row>
    <row r="4606">
      <c r="B4606" s="16"/>
      <c r="L4606" s="23"/>
    </row>
    <row r="4607">
      <c r="B4607" s="16"/>
      <c r="L4607" s="23"/>
    </row>
    <row r="4608">
      <c r="B4608" s="16"/>
      <c r="L4608" s="23"/>
    </row>
    <row r="4609">
      <c r="B4609" s="16"/>
      <c r="L4609" s="23"/>
    </row>
    <row r="4610">
      <c r="B4610" s="16"/>
      <c r="L4610" s="23"/>
    </row>
    <row r="4611">
      <c r="B4611" s="16"/>
      <c r="L4611" s="23"/>
    </row>
    <row r="4612">
      <c r="B4612" s="16"/>
      <c r="L4612" s="23"/>
    </row>
    <row r="4613">
      <c r="B4613" s="16"/>
      <c r="L4613" s="23"/>
    </row>
    <row r="4614">
      <c r="B4614" s="16"/>
      <c r="L4614" s="23"/>
    </row>
    <row r="4615">
      <c r="B4615" s="16"/>
      <c r="L4615" s="23"/>
    </row>
    <row r="4616">
      <c r="B4616" s="16"/>
      <c r="L4616" s="23"/>
    </row>
    <row r="4617">
      <c r="B4617" s="16"/>
      <c r="L4617" s="23"/>
    </row>
    <row r="4618">
      <c r="B4618" s="16"/>
      <c r="L4618" s="23"/>
    </row>
    <row r="4619">
      <c r="B4619" s="16"/>
      <c r="L4619" s="23"/>
    </row>
    <row r="4620">
      <c r="B4620" s="16"/>
      <c r="L4620" s="23"/>
    </row>
    <row r="4621">
      <c r="B4621" s="16"/>
      <c r="L4621" s="23"/>
    </row>
    <row r="4622">
      <c r="B4622" s="16"/>
      <c r="L4622" s="23"/>
    </row>
    <row r="4623">
      <c r="B4623" s="16"/>
      <c r="L4623" s="23"/>
    </row>
    <row r="4624">
      <c r="B4624" s="16"/>
      <c r="L4624" s="23"/>
    </row>
    <row r="4625">
      <c r="B4625" s="16"/>
      <c r="L4625" s="23"/>
    </row>
    <row r="4626">
      <c r="B4626" s="16"/>
      <c r="L4626" s="23"/>
    </row>
    <row r="4627">
      <c r="B4627" s="16"/>
      <c r="L4627" s="23"/>
    </row>
    <row r="4628">
      <c r="B4628" s="16"/>
      <c r="L4628" s="23"/>
    </row>
    <row r="4629">
      <c r="B4629" s="16"/>
      <c r="L4629" s="23"/>
    </row>
    <row r="4630">
      <c r="B4630" s="16"/>
      <c r="L4630" s="23"/>
    </row>
    <row r="4631">
      <c r="B4631" s="16"/>
      <c r="L4631" s="23"/>
    </row>
    <row r="4632">
      <c r="B4632" s="16"/>
      <c r="L4632" s="23"/>
    </row>
    <row r="4633">
      <c r="B4633" s="16"/>
      <c r="L4633" s="23"/>
    </row>
    <row r="4634">
      <c r="B4634" s="16"/>
      <c r="L4634" s="23"/>
    </row>
    <row r="4635">
      <c r="B4635" s="16"/>
      <c r="L4635" s="23"/>
    </row>
    <row r="4636">
      <c r="B4636" s="16"/>
      <c r="L4636" s="23"/>
    </row>
    <row r="4637">
      <c r="B4637" s="16"/>
      <c r="L4637" s="23"/>
    </row>
    <row r="4638">
      <c r="B4638" s="16"/>
      <c r="L4638" s="23"/>
    </row>
    <row r="4639">
      <c r="B4639" s="16"/>
      <c r="L4639" s="23"/>
    </row>
    <row r="4640">
      <c r="B4640" s="16"/>
      <c r="L4640" s="23"/>
    </row>
    <row r="4641">
      <c r="B4641" s="16"/>
      <c r="L4641" s="23"/>
    </row>
    <row r="4642">
      <c r="B4642" s="16"/>
      <c r="L4642" s="23"/>
    </row>
    <row r="4643">
      <c r="B4643" s="16"/>
      <c r="L4643" s="23"/>
    </row>
    <row r="4644">
      <c r="B4644" s="16"/>
      <c r="L4644" s="23"/>
    </row>
    <row r="4645">
      <c r="B4645" s="16"/>
      <c r="L4645" s="23"/>
    </row>
    <row r="4646">
      <c r="B4646" s="16"/>
      <c r="L4646" s="23"/>
    </row>
    <row r="4647">
      <c r="B4647" s="16"/>
      <c r="L4647" s="23"/>
    </row>
    <row r="4648">
      <c r="B4648" s="16"/>
      <c r="L4648" s="23"/>
    </row>
    <row r="4649">
      <c r="B4649" s="16"/>
      <c r="L4649" s="23"/>
    </row>
    <row r="4650">
      <c r="B4650" s="16"/>
      <c r="L4650" s="23"/>
    </row>
    <row r="4651">
      <c r="B4651" s="16"/>
      <c r="L4651" s="23"/>
    </row>
    <row r="4652">
      <c r="B4652" s="16"/>
      <c r="L4652" s="23"/>
    </row>
    <row r="4653">
      <c r="B4653" s="16"/>
      <c r="L4653" s="23"/>
    </row>
    <row r="4654">
      <c r="B4654" s="16"/>
      <c r="L4654" s="23"/>
    </row>
    <row r="4655">
      <c r="B4655" s="16"/>
      <c r="L4655" s="23"/>
    </row>
    <row r="4656">
      <c r="B4656" s="16"/>
      <c r="L4656" s="23"/>
      <c r="M4656" s="23"/>
    </row>
    <row r="4657">
      <c r="B4657" s="16"/>
      <c r="L4657" s="23"/>
    </row>
    <row r="4658">
      <c r="B4658" s="16"/>
      <c r="L4658" s="23"/>
    </row>
    <row r="4659">
      <c r="B4659" s="16"/>
      <c r="L4659" s="23"/>
    </row>
    <row r="4660">
      <c r="B4660" s="16"/>
      <c r="L4660" s="23"/>
    </row>
    <row r="4661">
      <c r="B4661" s="16"/>
      <c r="L4661" s="23"/>
    </row>
    <row r="4662">
      <c r="B4662" s="16"/>
      <c r="L4662" s="23"/>
    </row>
    <row r="4663">
      <c r="B4663" s="16"/>
      <c r="L4663" s="23"/>
    </row>
    <row r="4664">
      <c r="B4664" s="16"/>
      <c r="L4664" s="23"/>
    </row>
    <row r="4665">
      <c r="B4665" s="16"/>
      <c r="L4665" s="23"/>
    </row>
    <row r="4666">
      <c r="B4666" s="16"/>
      <c r="L4666" s="23"/>
    </row>
    <row r="4667">
      <c r="B4667" s="16"/>
      <c r="L4667" s="23"/>
      <c r="M4667" s="23"/>
    </row>
    <row r="4668">
      <c r="B4668" s="16"/>
      <c r="L4668" s="23"/>
    </row>
    <row r="4669">
      <c r="B4669" s="16"/>
      <c r="L4669" s="23"/>
    </row>
    <row r="4670">
      <c r="B4670" s="16"/>
      <c r="L4670" s="23"/>
    </row>
    <row r="4671">
      <c r="B4671" s="16"/>
      <c r="L4671" s="23"/>
    </row>
    <row r="4672">
      <c r="B4672" s="16"/>
      <c r="L4672" s="23"/>
    </row>
    <row r="4673">
      <c r="B4673" s="16"/>
      <c r="L4673" s="23"/>
    </row>
    <row r="4674">
      <c r="B4674" s="16"/>
      <c r="L4674" s="23"/>
    </row>
    <row r="4675">
      <c r="B4675" s="16"/>
      <c r="L4675" s="23"/>
    </row>
    <row r="4676">
      <c r="B4676" s="16"/>
      <c r="L4676" s="23"/>
      <c r="M4676" s="23"/>
    </row>
    <row r="4677">
      <c r="B4677" s="16"/>
      <c r="L4677" s="23"/>
    </row>
    <row r="4678">
      <c r="B4678" s="16"/>
      <c r="L4678" s="23"/>
    </row>
    <row r="4679">
      <c r="B4679" s="16"/>
      <c r="L4679" s="23"/>
    </row>
    <row r="4680">
      <c r="B4680" s="16"/>
      <c r="L4680" s="23"/>
    </row>
    <row r="4681">
      <c r="B4681" s="16"/>
      <c r="L4681" s="23"/>
    </row>
    <row r="4682">
      <c r="B4682" s="16"/>
      <c r="L4682" s="23"/>
    </row>
    <row r="4683">
      <c r="B4683" s="16"/>
      <c r="L4683" s="23"/>
    </row>
    <row r="4684">
      <c r="B4684" s="16"/>
      <c r="L4684" s="23"/>
    </row>
    <row r="4685">
      <c r="B4685" s="16"/>
      <c r="L4685" s="23"/>
    </row>
    <row r="4686">
      <c r="B4686" s="16"/>
      <c r="L4686" s="23"/>
    </row>
    <row r="4687">
      <c r="B4687" s="16"/>
      <c r="L4687" s="23"/>
    </row>
    <row r="4688">
      <c r="B4688" s="16"/>
      <c r="L4688" s="23"/>
    </row>
    <row r="4689">
      <c r="B4689" s="16"/>
      <c r="L4689" s="23"/>
    </row>
    <row r="4690">
      <c r="B4690" s="16"/>
      <c r="L4690" s="23"/>
    </row>
    <row r="4691">
      <c r="B4691" s="16"/>
      <c r="L4691" s="23"/>
    </row>
    <row r="4692">
      <c r="B4692" s="16"/>
      <c r="L4692" s="23"/>
    </row>
    <row r="4693">
      <c r="B4693" s="16"/>
      <c r="L4693" s="23"/>
    </row>
    <row r="4694">
      <c r="B4694" s="16"/>
      <c r="L4694" s="23"/>
    </row>
    <row r="4695">
      <c r="B4695" s="16"/>
      <c r="L4695" s="23"/>
    </row>
    <row r="4696">
      <c r="B4696" s="16"/>
      <c r="L4696" s="23"/>
    </row>
    <row r="4697">
      <c r="B4697" s="16"/>
      <c r="L4697" s="23"/>
    </row>
    <row r="4698">
      <c r="B4698" s="16"/>
      <c r="L4698" s="23"/>
    </row>
    <row r="4699">
      <c r="B4699" s="16"/>
      <c r="L4699" s="23"/>
    </row>
    <row r="4700">
      <c r="B4700" s="16"/>
      <c r="L4700" s="23"/>
    </row>
    <row r="4701">
      <c r="B4701" s="16"/>
      <c r="L4701" s="23"/>
    </row>
    <row r="4702">
      <c r="B4702" s="16"/>
      <c r="L4702" s="23"/>
    </row>
    <row r="4703">
      <c r="B4703" s="16"/>
      <c r="L4703" s="23"/>
    </row>
    <row r="4704">
      <c r="B4704" s="16"/>
      <c r="L4704" s="23"/>
    </row>
    <row r="4705">
      <c r="B4705" s="16"/>
      <c r="L4705" s="23"/>
    </row>
    <row r="4706">
      <c r="B4706" s="16"/>
      <c r="L4706" s="23"/>
    </row>
    <row r="4707">
      <c r="B4707" s="16"/>
      <c r="L4707" s="23"/>
    </row>
    <row r="4708">
      <c r="B4708" s="16"/>
      <c r="L4708" s="23"/>
    </row>
    <row r="4709">
      <c r="B4709" s="16"/>
      <c r="L4709" s="23"/>
    </row>
    <row r="4710">
      <c r="B4710" s="16"/>
      <c r="L4710" s="23"/>
    </row>
    <row r="4711">
      <c r="B4711" s="16"/>
      <c r="L4711" s="23"/>
    </row>
    <row r="4712">
      <c r="B4712" s="16"/>
      <c r="L4712" s="23"/>
    </row>
    <row r="4713">
      <c r="B4713" s="16"/>
      <c r="L4713" s="23"/>
    </row>
    <row r="4714">
      <c r="B4714" s="16"/>
      <c r="L4714" s="23"/>
    </row>
    <row r="4715">
      <c r="B4715" s="16"/>
      <c r="L4715" s="23"/>
    </row>
    <row r="4716">
      <c r="B4716" s="16"/>
      <c r="L4716" s="23"/>
    </row>
    <row r="4717">
      <c r="B4717" s="16"/>
      <c r="L4717" s="23"/>
    </row>
    <row r="4718">
      <c r="B4718" s="16"/>
      <c r="L4718" s="23"/>
    </row>
    <row r="4719">
      <c r="B4719" s="16"/>
      <c r="L4719" s="23"/>
    </row>
    <row r="4720">
      <c r="B4720" s="16"/>
      <c r="L4720" s="23"/>
    </row>
    <row r="4721">
      <c r="B4721" s="16"/>
      <c r="L4721" s="23"/>
    </row>
    <row r="4722">
      <c r="B4722" s="16"/>
      <c r="L4722" s="23"/>
    </row>
    <row r="4723">
      <c r="B4723" s="16"/>
      <c r="L4723" s="23"/>
    </row>
    <row r="4724">
      <c r="B4724" s="16"/>
      <c r="L4724" s="23"/>
      <c r="M4724" s="23"/>
    </row>
    <row r="4725">
      <c r="B4725" s="16"/>
      <c r="L4725" s="23"/>
    </row>
    <row r="4726">
      <c r="B4726" s="16"/>
      <c r="L4726" s="23"/>
    </row>
    <row r="4727">
      <c r="B4727" s="16"/>
      <c r="L4727" s="23"/>
    </row>
    <row r="4728">
      <c r="B4728" s="16"/>
      <c r="L4728" s="23"/>
    </row>
    <row r="4729">
      <c r="B4729" s="16"/>
      <c r="L4729" s="23"/>
    </row>
    <row r="4730">
      <c r="B4730" s="16"/>
      <c r="L4730" s="23"/>
    </row>
    <row r="4731">
      <c r="B4731" s="16"/>
      <c r="L4731" s="23"/>
    </row>
    <row r="4732">
      <c r="B4732" s="16"/>
      <c r="L4732" s="23"/>
    </row>
    <row r="4733">
      <c r="B4733" s="16"/>
      <c r="L4733" s="23"/>
    </row>
    <row r="4734">
      <c r="B4734" s="16"/>
      <c r="L4734" s="23"/>
    </row>
    <row r="4735">
      <c r="B4735" s="16"/>
      <c r="L4735" s="23"/>
    </row>
    <row r="4736">
      <c r="B4736" s="16"/>
      <c r="L4736" s="23"/>
    </row>
    <row r="4737">
      <c r="B4737" s="16"/>
      <c r="L4737" s="23"/>
    </row>
    <row r="4738">
      <c r="B4738" s="16"/>
      <c r="L4738" s="23"/>
    </row>
    <row r="4739">
      <c r="B4739" s="16"/>
      <c r="L4739" s="23"/>
    </row>
    <row r="4740">
      <c r="B4740" s="16"/>
      <c r="L4740" s="23"/>
      <c r="M4740" s="23"/>
    </row>
    <row r="4741">
      <c r="B4741" s="16"/>
      <c r="L4741" s="23"/>
    </row>
    <row r="4742">
      <c r="B4742" s="16"/>
      <c r="L4742" s="23"/>
    </row>
    <row r="4743">
      <c r="B4743" s="16"/>
      <c r="L4743" s="23"/>
    </row>
    <row r="4744">
      <c r="B4744" s="16"/>
      <c r="L4744" s="23"/>
    </row>
    <row r="4745">
      <c r="B4745" s="16"/>
      <c r="L4745" s="23"/>
    </row>
    <row r="4746">
      <c r="B4746" s="16"/>
      <c r="L4746" s="23"/>
    </row>
    <row r="4747">
      <c r="B4747" s="16"/>
      <c r="L4747" s="23"/>
    </row>
    <row r="4748">
      <c r="B4748" s="16"/>
      <c r="L4748" s="23"/>
    </row>
    <row r="4749">
      <c r="B4749" s="16"/>
      <c r="L4749" s="23"/>
    </row>
    <row r="4750">
      <c r="B4750" s="16"/>
      <c r="L4750" s="23"/>
    </row>
    <row r="4751">
      <c r="B4751" s="16"/>
      <c r="L4751" s="23"/>
    </row>
    <row r="4752">
      <c r="B4752" s="16"/>
      <c r="L4752" s="23"/>
    </row>
    <row r="4753">
      <c r="B4753" s="16"/>
      <c r="L4753" s="23"/>
    </row>
    <row r="4754">
      <c r="B4754" s="16"/>
      <c r="L4754" s="23"/>
    </row>
    <row r="4755">
      <c r="B4755" s="16"/>
      <c r="L4755" s="23"/>
    </row>
    <row r="4756">
      <c r="B4756" s="16"/>
      <c r="L4756" s="23"/>
    </row>
    <row r="4757">
      <c r="B4757" s="16"/>
      <c r="L4757" s="23"/>
    </row>
    <row r="4758">
      <c r="B4758" s="16"/>
      <c r="L4758" s="23"/>
    </row>
    <row r="4759">
      <c r="B4759" s="16"/>
      <c r="L4759" s="23"/>
    </row>
    <row r="4760">
      <c r="B4760" s="16"/>
      <c r="L4760" s="23"/>
    </row>
    <row r="4761">
      <c r="B4761" s="16"/>
      <c r="L4761" s="23"/>
    </row>
    <row r="4762">
      <c r="B4762" s="16"/>
      <c r="L4762" s="23"/>
    </row>
    <row r="4763">
      <c r="B4763" s="16"/>
      <c r="L4763" s="23"/>
    </row>
    <row r="4764">
      <c r="B4764" s="16"/>
      <c r="L4764" s="23"/>
    </row>
    <row r="4765">
      <c r="B4765" s="16"/>
      <c r="L4765" s="23"/>
    </row>
    <row r="4766">
      <c r="B4766" s="16"/>
      <c r="L4766" s="23"/>
    </row>
    <row r="4767">
      <c r="B4767" s="16"/>
      <c r="L4767" s="23"/>
    </row>
    <row r="4768">
      <c r="B4768" s="16"/>
      <c r="L4768" s="23"/>
    </row>
    <row r="4769">
      <c r="B4769" s="16"/>
      <c r="L4769" s="23"/>
    </row>
    <row r="4770">
      <c r="B4770" s="16"/>
      <c r="L4770" s="23"/>
    </row>
    <row r="4771">
      <c r="B4771" s="16"/>
      <c r="L4771" s="23"/>
    </row>
    <row r="4772">
      <c r="B4772" s="16"/>
      <c r="L4772" s="23"/>
    </row>
    <row r="4773">
      <c r="B4773" s="16"/>
      <c r="L4773" s="23"/>
    </row>
    <row r="4774">
      <c r="B4774" s="16"/>
      <c r="L4774" s="23"/>
    </row>
    <row r="4775">
      <c r="B4775" s="16"/>
      <c r="L4775" s="23"/>
    </row>
    <row r="4776">
      <c r="B4776" s="16"/>
      <c r="L4776" s="23"/>
      <c r="M4776" s="23"/>
    </row>
    <row r="4777">
      <c r="B4777" s="16"/>
      <c r="L4777" s="23"/>
      <c r="M4777" s="23"/>
    </row>
    <row r="4778">
      <c r="B4778" s="16"/>
      <c r="L4778" s="23"/>
      <c r="M4778" s="23"/>
    </row>
    <row r="4779">
      <c r="B4779" s="16"/>
      <c r="L4779" s="23"/>
    </row>
    <row r="4780">
      <c r="B4780" s="16"/>
      <c r="L4780" s="23"/>
    </row>
    <row r="4781">
      <c r="B4781" s="16"/>
      <c r="L4781" s="23"/>
    </row>
    <row r="4782">
      <c r="B4782" s="16"/>
      <c r="L4782" s="23"/>
    </row>
    <row r="4783">
      <c r="B4783" s="16"/>
      <c r="L4783" s="23"/>
    </row>
    <row r="4784">
      <c r="B4784" s="16"/>
      <c r="L4784" s="23"/>
      <c r="M4784" s="23"/>
    </row>
    <row r="4785">
      <c r="B4785" s="16"/>
      <c r="L4785" s="23"/>
      <c r="M4785" s="23"/>
    </row>
    <row r="4786">
      <c r="B4786" s="16"/>
      <c r="L4786" s="23"/>
      <c r="M4786" s="23"/>
    </row>
    <row r="4787">
      <c r="B4787" s="16"/>
      <c r="L4787" s="23"/>
    </row>
    <row r="4788">
      <c r="B4788" s="16"/>
      <c r="L4788" s="23"/>
    </row>
    <row r="4789">
      <c r="B4789" s="16"/>
      <c r="L4789" s="23"/>
      <c r="M4789" s="23"/>
    </row>
    <row r="4790">
      <c r="B4790" s="16"/>
      <c r="L4790" s="23"/>
    </row>
    <row r="4791">
      <c r="B4791" s="16"/>
      <c r="L4791" s="23"/>
    </row>
    <row r="4792">
      <c r="B4792" s="16"/>
      <c r="L4792" s="23"/>
    </row>
    <row r="4793">
      <c r="B4793" s="16"/>
      <c r="L4793" s="23"/>
      <c r="M4793" s="23"/>
    </row>
    <row r="4794">
      <c r="B4794" s="16"/>
      <c r="L4794" s="23"/>
      <c r="M4794" s="23"/>
    </row>
    <row r="4795">
      <c r="B4795" s="16"/>
      <c r="L4795" s="23"/>
    </row>
    <row r="4796">
      <c r="B4796" s="16"/>
      <c r="L4796" s="23"/>
    </row>
    <row r="4797">
      <c r="B4797" s="16"/>
      <c r="L4797" s="23"/>
    </row>
    <row r="4798">
      <c r="B4798" s="16"/>
      <c r="L4798" s="23"/>
    </row>
    <row r="4799">
      <c r="B4799" s="16"/>
      <c r="L4799" s="23"/>
    </row>
    <row r="4800">
      <c r="B4800" s="16"/>
      <c r="L4800" s="23"/>
    </row>
    <row r="4801">
      <c r="B4801" s="16"/>
      <c r="L4801" s="23"/>
      <c r="M4801" s="23"/>
    </row>
    <row r="4802">
      <c r="B4802" s="16"/>
      <c r="L4802" s="23"/>
    </row>
    <row r="4803">
      <c r="B4803" s="16"/>
      <c r="L4803" s="23"/>
      <c r="M4803" s="23"/>
    </row>
    <row r="4804">
      <c r="B4804" s="16"/>
      <c r="L4804" s="23"/>
    </row>
    <row r="4805">
      <c r="B4805" s="16"/>
      <c r="L4805" s="23"/>
      <c r="M4805" s="23"/>
    </row>
    <row r="4806">
      <c r="B4806" s="16"/>
      <c r="L4806" s="23"/>
    </row>
    <row r="4807">
      <c r="B4807" s="16"/>
      <c r="L4807" s="23"/>
    </row>
    <row r="4808">
      <c r="B4808" s="16"/>
      <c r="L4808" s="23"/>
    </row>
    <row r="4809">
      <c r="B4809" s="16"/>
      <c r="L4809" s="23"/>
    </row>
    <row r="4810">
      <c r="B4810" s="16"/>
      <c r="L4810" s="23"/>
    </row>
    <row r="4811">
      <c r="B4811" s="16"/>
      <c r="L4811" s="23"/>
    </row>
    <row r="4812">
      <c r="B4812" s="16"/>
      <c r="L4812" s="23"/>
    </row>
    <row r="4813">
      <c r="B4813" s="16"/>
      <c r="L4813" s="23"/>
    </row>
    <row r="4814">
      <c r="B4814" s="16"/>
      <c r="L4814" s="23"/>
    </row>
    <row r="4815">
      <c r="B4815" s="16"/>
      <c r="L4815" s="23"/>
    </row>
    <row r="4816">
      <c r="B4816" s="16"/>
      <c r="L4816" s="23"/>
      <c r="M4816" s="23"/>
    </row>
    <row r="4817">
      <c r="B4817" s="16"/>
      <c r="L4817" s="23"/>
    </row>
    <row r="4818">
      <c r="B4818" s="16"/>
      <c r="L4818" s="23"/>
    </row>
    <row r="4819">
      <c r="B4819" s="16"/>
      <c r="L4819" s="23"/>
    </row>
    <row r="4820">
      <c r="B4820" s="16"/>
      <c r="L4820" s="23"/>
    </row>
    <row r="4821">
      <c r="B4821" s="16"/>
      <c r="L4821" s="23"/>
    </row>
    <row r="4822">
      <c r="B4822" s="16"/>
      <c r="L4822" s="23"/>
    </row>
    <row r="4823">
      <c r="B4823" s="16"/>
      <c r="L4823" s="23"/>
    </row>
    <row r="4824">
      <c r="B4824" s="16"/>
      <c r="L4824" s="23"/>
    </row>
    <row r="4825">
      <c r="B4825" s="16"/>
      <c r="L4825" s="23"/>
      <c r="M4825" s="23"/>
    </row>
    <row r="4826">
      <c r="B4826" s="16"/>
      <c r="L4826" s="23"/>
    </row>
    <row r="4827">
      <c r="B4827" s="16"/>
      <c r="L4827" s="23"/>
    </row>
    <row r="4828">
      <c r="B4828" s="16"/>
      <c r="L4828" s="23"/>
    </row>
    <row r="4829">
      <c r="B4829" s="16"/>
      <c r="L4829" s="23"/>
      <c r="M4829" s="23"/>
    </row>
    <row r="4830">
      <c r="B4830" s="16"/>
      <c r="L4830" s="23"/>
    </row>
    <row r="4831">
      <c r="B4831" s="16"/>
      <c r="L4831" s="23"/>
    </row>
    <row r="4832">
      <c r="B4832" s="16"/>
      <c r="L4832" s="23"/>
    </row>
    <row r="4833">
      <c r="B4833" s="16"/>
      <c r="L4833" s="23"/>
    </row>
    <row r="4834">
      <c r="B4834" s="16"/>
      <c r="L4834" s="23"/>
      <c r="M4834" s="23"/>
    </row>
    <row r="4835">
      <c r="B4835" s="16"/>
      <c r="L4835" s="23"/>
    </row>
    <row r="4836">
      <c r="B4836" s="16"/>
      <c r="L4836" s="23"/>
    </row>
    <row r="4837">
      <c r="B4837" s="16"/>
      <c r="L4837" s="23"/>
    </row>
    <row r="4838">
      <c r="B4838" s="16"/>
      <c r="L4838" s="23"/>
    </row>
    <row r="4839">
      <c r="B4839" s="16"/>
      <c r="L4839" s="23"/>
    </row>
    <row r="4840">
      <c r="B4840" s="16"/>
      <c r="L4840" s="23"/>
    </row>
    <row r="4841">
      <c r="B4841" s="16"/>
      <c r="L4841" s="23"/>
    </row>
    <row r="4842">
      <c r="B4842" s="16"/>
      <c r="L4842" s="23"/>
    </row>
    <row r="4843">
      <c r="B4843" s="16"/>
      <c r="L4843" s="23"/>
    </row>
    <row r="4844">
      <c r="B4844" s="16"/>
      <c r="L4844" s="23"/>
    </row>
    <row r="4845">
      <c r="B4845" s="16"/>
      <c r="L4845" s="23"/>
    </row>
    <row r="4846">
      <c r="B4846" s="16"/>
      <c r="L4846" s="23"/>
    </row>
    <row r="4847">
      <c r="B4847" s="16"/>
      <c r="L4847" s="23"/>
    </row>
    <row r="4848">
      <c r="B4848" s="16"/>
      <c r="L4848" s="23"/>
    </row>
    <row r="4849">
      <c r="B4849" s="16"/>
      <c r="L4849" s="23"/>
    </row>
    <row r="4850">
      <c r="B4850" s="16"/>
      <c r="L4850" s="23"/>
    </row>
    <row r="4851">
      <c r="B4851" s="16"/>
      <c r="L4851" s="23"/>
    </row>
    <row r="4852">
      <c r="B4852" s="16"/>
      <c r="L4852" s="23"/>
    </row>
    <row r="4853">
      <c r="B4853" s="16"/>
      <c r="L4853" s="23"/>
    </row>
    <row r="4854">
      <c r="B4854" s="16"/>
      <c r="L4854" s="23"/>
    </row>
    <row r="4855">
      <c r="B4855" s="16"/>
      <c r="L4855" s="23"/>
    </row>
    <row r="4856">
      <c r="B4856" s="16"/>
      <c r="L4856" s="23"/>
    </row>
    <row r="4857">
      <c r="B4857" s="16"/>
      <c r="L4857" s="23"/>
    </row>
    <row r="4858">
      <c r="B4858" s="16"/>
      <c r="L4858" s="23"/>
    </row>
    <row r="4859">
      <c r="B4859" s="16"/>
      <c r="L4859" s="23"/>
    </row>
    <row r="4860">
      <c r="B4860" s="16"/>
      <c r="L4860" s="23"/>
    </row>
    <row r="4861">
      <c r="B4861" s="16"/>
      <c r="L4861" s="23"/>
    </row>
    <row r="4862">
      <c r="B4862" s="16"/>
      <c r="L4862" s="23"/>
      <c r="M4862" s="23"/>
    </row>
    <row r="4863">
      <c r="B4863" s="16"/>
      <c r="L4863" s="23"/>
    </row>
    <row r="4864">
      <c r="B4864" s="16"/>
      <c r="L4864" s="23"/>
    </row>
    <row r="4865">
      <c r="B4865" s="16"/>
      <c r="L4865" s="23"/>
      <c r="M4865" s="23"/>
    </row>
    <row r="4866">
      <c r="B4866" s="16"/>
      <c r="L4866" s="23"/>
    </row>
    <row r="4867">
      <c r="B4867" s="16"/>
      <c r="L4867" s="23"/>
    </row>
    <row r="4868">
      <c r="B4868" s="16"/>
      <c r="L4868" s="23"/>
    </row>
    <row r="4869">
      <c r="B4869" s="16"/>
      <c r="L4869" s="23"/>
      <c r="M4869" s="23"/>
    </row>
    <row r="4870">
      <c r="B4870" s="16"/>
      <c r="L4870" s="23"/>
      <c r="M4870" s="23"/>
    </row>
    <row r="4871">
      <c r="B4871" s="16"/>
      <c r="L4871" s="23"/>
    </row>
    <row r="4872">
      <c r="B4872" s="16"/>
      <c r="L4872" s="23"/>
      <c r="M4872" s="23"/>
    </row>
    <row r="4873">
      <c r="B4873" s="16"/>
      <c r="L4873" s="23"/>
    </row>
    <row r="4874">
      <c r="B4874" s="16"/>
      <c r="L4874" s="23"/>
    </row>
    <row r="4875">
      <c r="B4875" s="16"/>
      <c r="L4875" s="23"/>
    </row>
    <row r="4876">
      <c r="B4876" s="16"/>
      <c r="L4876" s="23"/>
    </row>
    <row r="4877">
      <c r="B4877" s="16"/>
      <c r="L4877" s="23"/>
      <c r="M4877" s="23"/>
    </row>
    <row r="4878">
      <c r="B4878" s="16"/>
      <c r="L4878" s="23"/>
      <c r="M4878" s="23"/>
    </row>
    <row r="4879">
      <c r="B4879" s="16"/>
      <c r="L4879" s="23"/>
      <c r="M4879" s="23"/>
    </row>
    <row r="4880">
      <c r="B4880" s="16"/>
      <c r="L4880" s="23"/>
      <c r="M4880" s="23"/>
    </row>
    <row r="4881">
      <c r="B4881" s="16"/>
      <c r="L4881" s="23"/>
    </row>
    <row r="4882">
      <c r="B4882" s="16"/>
      <c r="L4882" s="23"/>
    </row>
    <row r="4883">
      <c r="B4883" s="16"/>
      <c r="L4883" s="23"/>
    </row>
    <row r="4884">
      <c r="B4884" s="16"/>
      <c r="L4884" s="23"/>
    </row>
    <row r="4885">
      <c r="B4885" s="16"/>
      <c r="L4885" s="23"/>
    </row>
    <row r="4886">
      <c r="B4886" s="16"/>
      <c r="L4886" s="23"/>
      <c r="M4886" s="23"/>
    </row>
    <row r="4887">
      <c r="B4887" s="16"/>
      <c r="L4887" s="23"/>
    </row>
    <row r="4888">
      <c r="B4888" s="16"/>
      <c r="L4888" s="23"/>
    </row>
    <row r="4889">
      <c r="B4889" s="16"/>
      <c r="L4889" s="23"/>
    </row>
    <row r="4890">
      <c r="B4890" s="16"/>
      <c r="L4890" s="23"/>
    </row>
    <row r="4891">
      <c r="B4891" s="16"/>
      <c r="L4891" s="23"/>
    </row>
    <row r="4892">
      <c r="B4892" s="16"/>
      <c r="L4892" s="23"/>
      <c r="M4892" s="23"/>
    </row>
    <row r="4893">
      <c r="B4893" s="16"/>
      <c r="L4893" s="23"/>
    </row>
    <row r="4894">
      <c r="B4894" s="16"/>
      <c r="L4894" s="23"/>
      <c r="M4894" s="23"/>
    </row>
    <row r="4895">
      <c r="B4895" s="16"/>
      <c r="L4895" s="23"/>
    </row>
    <row r="4896">
      <c r="B4896" s="16"/>
      <c r="L4896" s="23"/>
    </row>
    <row r="4897">
      <c r="B4897" s="16"/>
      <c r="L4897" s="23"/>
    </row>
    <row r="4898">
      <c r="B4898" s="16"/>
      <c r="L4898" s="23"/>
    </row>
    <row r="4899">
      <c r="B4899" s="16"/>
      <c r="L4899" s="23"/>
    </row>
    <row r="4900">
      <c r="B4900" s="16"/>
      <c r="L4900" s="23"/>
    </row>
    <row r="4901">
      <c r="B4901" s="16"/>
      <c r="L4901" s="23"/>
    </row>
    <row r="4902">
      <c r="B4902" s="16"/>
      <c r="L4902" s="23"/>
    </row>
    <row r="4903">
      <c r="B4903" s="16"/>
      <c r="L4903" s="23"/>
    </row>
    <row r="4904">
      <c r="B4904" s="16"/>
      <c r="L4904" s="23"/>
    </row>
    <row r="4905">
      <c r="B4905" s="16"/>
      <c r="L4905" s="23"/>
    </row>
    <row r="4906">
      <c r="B4906" s="16"/>
      <c r="L4906" s="23"/>
    </row>
    <row r="4907">
      <c r="B4907" s="16"/>
      <c r="L4907" s="23"/>
    </row>
    <row r="4908">
      <c r="B4908" s="16"/>
      <c r="L4908" s="23"/>
    </row>
    <row r="4909">
      <c r="B4909" s="16"/>
      <c r="L4909" s="23"/>
    </row>
    <row r="4910">
      <c r="B4910" s="16"/>
      <c r="L4910" s="23"/>
      <c r="M4910" s="23"/>
    </row>
    <row r="4911">
      <c r="B4911" s="16"/>
      <c r="L4911" s="23"/>
      <c r="M4911" s="23"/>
    </row>
    <row r="4912">
      <c r="B4912" s="16"/>
      <c r="L4912" s="23"/>
      <c r="M4912" s="23"/>
    </row>
    <row r="4913">
      <c r="B4913" s="16"/>
      <c r="L4913" s="23"/>
    </row>
    <row r="4914">
      <c r="B4914" s="16"/>
      <c r="L4914" s="23"/>
    </row>
    <row r="4915">
      <c r="B4915" s="16"/>
      <c r="L4915" s="23"/>
      <c r="M4915" s="23"/>
    </row>
    <row r="4916">
      <c r="B4916" s="16"/>
      <c r="L4916" s="23"/>
    </row>
    <row r="4917">
      <c r="B4917" s="16"/>
      <c r="L4917" s="23"/>
      <c r="M4917" s="23"/>
    </row>
    <row r="4918">
      <c r="B4918" s="16"/>
      <c r="L4918" s="23"/>
      <c r="M4918" s="23"/>
    </row>
    <row r="4919">
      <c r="B4919" s="16"/>
      <c r="L4919" s="23"/>
    </row>
    <row r="4920">
      <c r="B4920" s="16"/>
      <c r="L4920" s="23"/>
    </row>
    <row r="4921">
      <c r="B4921" s="16"/>
      <c r="L4921" s="23"/>
      <c r="M4921" s="23"/>
    </row>
    <row r="4922">
      <c r="B4922" s="16"/>
      <c r="L4922" s="23"/>
    </row>
    <row r="4923">
      <c r="B4923" s="16"/>
      <c r="L4923" s="23"/>
      <c r="M4923" s="23"/>
    </row>
    <row r="4924">
      <c r="B4924" s="16"/>
      <c r="L4924" s="23"/>
      <c r="M4924" s="23"/>
    </row>
    <row r="4925">
      <c r="B4925" s="16"/>
      <c r="L4925" s="23"/>
    </row>
    <row r="4926">
      <c r="B4926" s="16"/>
      <c r="L4926" s="23"/>
    </row>
    <row r="4927">
      <c r="B4927" s="16"/>
      <c r="L4927" s="23"/>
    </row>
    <row r="4928">
      <c r="B4928" s="16"/>
      <c r="L4928" s="23"/>
    </row>
    <row r="4929">
      <c r="B4929" s="16"/>
      <c r="L4929" s="23"/>
    </row>
    <row r="4930">
      <c r="B4930" s="16"/>
      <c r="L4930" s="23"/>
      <c r="M4930" s="23"/>
    </row>
    <row r="4931">
      <c r="B4931" s="16"/>
      <c r="L4931" s="23"/>
    </row>
    <row r="4932">
      <c r="B4932" s="16"/>
      <c r="L4932" s="23"/>
    </row>
    <row r="4933">
      <c r="B4933" s="16"/>
      <c r="L4933" s="23"/>
      <c r="M4933" s="23"/>
    </row>
    <row r="4934">
      <c r="B4934" s="16"/>
      <c r="L4934" s="23"/>
    </row>
    <row r="4935">
      <c r="B4935" s="16"/>
      <c r="L4935" s="23"/>
      <c r="M4935" s="23"/>
    </row>
    <row r="4936">
      <c r="B4936" s="16"/>
      <c r="L4936" s="23"/>
      <c r="M4936" s="23"/>
    </row>
    <row r="4937">
      <c r="B4937" s="16"/>
      <c r="L4937" s="23"/>
    </row>
    <row r="4938">
      <c r="B4938" s="16"/>
      <c r="L4938" s="23"/>
      <c r="M4938" s="23"/>
    </row>
    <row r="4939">
      <c r="B4939" s="16"/>
      <c r="L4939" s="23"/>
      <c r="M4939" s="23"/>
    </row>
    <row r="4940">
      <c r="B4940" s="16"/>
      <c r="L4940" s="23"/>
      <c r="M4940" s="23"/>
    </row>
    <row r="4941">
      <c r="B4941" s="16"/>
      <c r="L4941" s="23"/>
      <c r="M4941" s="23"/>
    </row>
    <row r="4942">
      <c r="B4942" s="16"/>
      <c r="L4942" s="23"/>
      <c r="M4942" s="23"/>
    </row>
    <row r="4943">
      <c r="B4943" s="16"/>
      <c r="L4943" s="23"/>
      <c r="M4943" s="23"/>
    </row>
    <row r="4944">
      <c r="B4944" s="16"/>
      <c r="L4944" s="23"/>
      <c r="M4944" s="23"/>
    </row>
    <row r="4945">
      <c r="B4945" s="16"/>
      <c r="L4945" s="23"/>
    </row>
    <row r="4946">
      <c r="B4946" s="16"/>
      <c r="L4946" s="23"/>
    </row>
    <row r="4947">
      <c r="B4947" s="16"/>
      <c r="L4947" s="23"/>
      <c r="M4947" s="23"/>
    </row>
    <row r="4948">
      <c r="B4948" s="16"/>
      <c r="L4948" s="23"/>
      <c r="M4948" s="23"/>
    </row>
    <row r="4949">
      <c r="B4949" s="16"/>
      <c r="L4949" s="23"/>
      <c r="M4949" s="23"/>
    </row>
    <row r="4950">
      <c r="B4950" s="16"/>
      <c r="L4950" s="23"/>
      <c r="M4950" s="23"/>
    </row>
    <row r="4951">
      <c r="B4951" s="16"/>
      <c r="L4951" s="23"/>
      <c r="M4951" s="23"/>
    </row>
    <row r="4952">
      <c r="B4952" s="16"/>
      <c r="L4952" s="23"/>
      <c r="M4952" s="23"/>
    </row>
    <row r="4953">
      <c r="B4953" s="16"/>
      <c r="L4953" s="23"/>
      <c r="M4953" s="23"/>
    </row>
    <row r="4954">
      <c r="B4954" s="16"/>
      <c r="L4954" s="23"/>
      <c r="M4954" s="23"/>
    </row>
    <row r="4955">
      <c r="B4955" s="16"/>
      <c r="L4955" s="23"/>
      <c r="M4955" s="23"/>
    </row>
    <row r="4956">
      <c r="B4956" s="16"/>
      <c r="L4956" s="23"/>
      <c r="M4956" s="23"/>
    </row>
    <row r="4957">
      <c r="B4957" s="16"/>
      <c r="L4957" s="23"/>
      <c r="M4957" s="23"/>
    </row>
    <row r="4958">
      <c r="B4958" s="16"/>
      <c r="L4958" s="23"/>
      <c r="M4958" s="23"/>
    </row>
    <row r="4959">
      <c r="B4959" s="16"/>
      <c r="L4959" s="23"/>
      <c r="M4959" s="23"/>
    </row>
    <row r="4960">
      <c r="B4960" s="16"/>
      <c r="L4960" s="23"/>
      <c r="M4960" s="23"/>
    </row>
    <row r="4961">
      <c r="B4961" s="16"/>
      <c r="L4961" s="23"/>
      <c r="M4961" s="23"/>
    </row>
    <row r="4962">
      <c r="B4962" s="16"/>
      <c r="L4962" s="23"/>
      <c r="M4962" s="23"/>
    </row>
    <row r="4963">
      <c r="B4963" s="16"/>
      <c r="L4963" s="23"/>
      <c r="M4963" s="23"/>
    </row>
    <row r="4964">
      <c r="B4964" s="16"/>
      <c r="L4964" s="23"/>
      <c r="M4964" s="23"/>
    </row>
    <row r="4965">
      <c r="B4965" s="16"/>
      <c r="L4965" s="23"/>
      <c r="M4965" s="23"/>
    </row>
    <row r="4966">
      <c r="B4966" s="16"/>
      <c r="L4966" s="23"/>
      <c r="M4966" s="23"/>
    </row>
    <row r="4967">
      <c r="B4967" s="16"/>
      <c r="L4967" s="23"/>
      <c r="M4967" s="23"/>
    </row>
    <row r="4968">
      <c r="B4968" s="16"/>
      <c r="L4968" s="23"/>
      <c r="M4968" s="23"/>
    </row>
    <row r="4969">
      <c r="B4969" s="16"/>
      <c r="L4969" s="23"/>
      <c r="M4969" s="23"/>
    </row>
    <row r="4970">
      <c r="B4970" s="16"/>
      <c r="L4970" s="23"/>
      <c r="M4970" s="23"/>
    </row>
    <row r="4971">
      <c r="B4971" s="16"/>
      <c r="L4971" s="23"/>
      <c r="M4971" s="23"/>
    </row>
    <row r="4972">
      <c r="B4972" s="16"/>
      <c r="L4972" s="23"/>
      <c r="M4972" s="23"/>
    </row>
    <row r="4973">
      <c r="B4973" s="16"/>
      <c r="L4973" s="23"/>
      <c r="M4973" s="23"/>
    </row>
    <row r="4974">
      <c r="B4974" s="16"/>
      <c r="L4974" s="23"/>
      <c r="M4974" s="23"/>
    </row>
    <row r="4975">
      <c r="B4975" s="16"/>
      <c r="L4975" s="23"/>
      <c r="M4975" s="23"/>
    </row>
    <row r="4976">
      <c r="B4976" s="16"/>
      <c r="L4976" s="23"/>
      <c r="M4976" s="23"/>
    </row>
    <row r="4977">
      <c r="B4977" s="16"/>
      <c r="L4977" s="23"/>
      <c r="M4977" s="23"/>
    </row>
    <row r="4978">
      <c r="B4978" s="16"/>
      <c r="L4978" s="23"/>
      <c r="M4978" s="23"/>
    </row>
    <row r="4979">
      <c r="B4979" s="16"/>
      <c r="L4979" s="23"/>
      <c r="M4979" s="23"/>
    </row>
    <row r="4980">
      <c r="B4980" s="16"/>
      <c r="L4980" s="23"/>
      <c r="M4980" s="23"/>
    </row>
    <row r="4981">
      <c r="B4981" s="16"/>
      <c r="L4981" s="23"/>
      <c r="M4981" s="23"/>
    </row>
    <row r="4982">
      <c r="B4982" s="16"/>
      <c r="L4982" s="23"/>
      <c r="M4982" s="23"/>
    </row>
    <row r="4983">
      <c r="B4983" s="16"/>
      <c r="L4983" s="23"/>
      <c r="M4983" s="23"/>
    </row>
    <row r="4984">
      <c r="B4984" s="16"/>
      <c r="L4984" s="23"/>
      <c r="M4984" s="23"/>
    </row>
    <row r="4985">
      <c r="B4985" s="16"/>
      <c r="L4985" s="23"/>
      <c r="M4985" s="23"/>
    </row>
    <row r="4986">
      <c r="B4986" s="16"/>
      <c r="L4986" s="23"/>
      <c r="M4986" s="23"/>
    </row>
    <row r="4987">
      <c r="B4987" s="16"/>
      <c r="L4987" s="23"/>
      <c r="M4987" s="23"/>
    </row>
    <row r="4988">
      <c r="B4988" s="16"/>
      <c r="L4988" s="23"/>
      <c r="M4988" s="23"/>
    </row>
    <row r="4989">
      <c r="B4989" s="16"/>
      <c r="L4989" s="23"/>
      <c r="M4989" s="23"/>
    </row>
    <row r="4990">
      <c r="B4990" s="16"/>
      <c r="L4990" s="23"/>
      <c r="M4990" s="23"/>
    </row>
    <row r="4991">
      <c r="B4991" s="16"/>
      <c r="L4991" s="23"/>
      <c r="M4991" s="23"/>
    </row>
    <row r="4992">
      <c r="B4992" s="16"/>
      <c r="L4992" s="23"/>
      <c r="M4992" s="23"/>
    </row>
    <row r="4993">
      <c r="B4993" s="16"/>
      <c r="L4993" s="23"/>
      <c r="M4993" s="23"/>
    </row>
    <row r="4994">
      <c r="B4994" s="16"/>
      <c r="L4994" s="23"/>
      <c r="M4994" s="23"/>
    </row>
    <row r="4995">
      <c r="B4995" s="16"/>
      <c r="L4995" s="23"/>
      <c r="M4995" s="23"/>
    </row>
    <row r="4996">
      <c r="B4996" s="16"/>
      <c r="L4996" s="23"/>
      <c r="M4996" s="23"/>
    </row>
    <row r="4997">
      <c r="B4997" s="16"/>
      <c r="L4997" s="23"/>
      <c r="M4997" s="23"/>
    </row>
    <row r="4998">
      <c r="B4998" s="16"/>
      <c r="L4998" s="23"/>
      <c r="M4998" s="23"/>
    </row>
    <row r="4999">
      <c r="B4999" s="16"/>
      <c r="L4999" s="23"/>
      <c r="M4999" s="23"/>
    </row>
    <row r="5000">
      <c r="B5000" s="16"/>
      <c r="L5000" s="23"/>
      <c r="M5000" s="23"/>
    </row>
    <row r="5001">
      <c r="B5001" s="16"/>
      <c r="L5001" s="23"/>
      <c r="M5001" s="23"/>
    </row>
    <row r="5002">
      <c r="B5002" s="16"/>
      <c r="L5002" s="23"/>
      <c r="M5002" s="23"/>
    </row>
    <row r="5003">
      <c r="B5003" s="16"/>
      <c r="L5003" s="23"/>
      <c r="M5003" s="23"/>
    </row>
    <row r="5004">
      <c r="B5004" s="16"/>
      <c r="L5004" s="23"/>
      <c r="M5004" s="23"/>
    </row>
    <row r="5005">
      <c r="B5005" s="16"/>
      <c r="L5005" s="23"/>
      <c r="M5005" s="23"/>
    </row>
    <row r="5006">
      <c r="B5006" s="16"/>
      <c r="L5006" s="23"/>
      <c r="M5006" s="23"/>
    </row>
    <row r="5007">
      <c r="B5007" s="16"/>
      <c r="L5007" s="23"/>
      <c r="M5007" s="23"/>
    </row>
    <row r="5008">
      <c r="B5008" s="16"/>
      <c r="L5008" s="23"/>
      <c r="M5008" s="23"/>
    </row>
    <row r="5009">
      <c r="B5009" s="16"/>
      <c r="L5009" s="23"/>
      <c r="M5009" s="23"/>
    </row>
    <row r="5010">
      <c r="B5010" s="16"/>
      <c r="L5010" s="23"/>
      <c r="M5010" s="23"/>
    </row>
    <row r="5011">
      <c r="B5011" s="16"/>
      <c r="L5011" s="23"/>
    </row>
    <row r="5012">
      <c r="B5012" s="16"/>
      <c r="L5012" s="23"/>
    </row>
    <row r="5013">
      <c r="B5013" s="16"/>
      <c r="L5013" s="23"/>
    </row>
    <row r="5014">
      <c r="B5014" s="16"/>
      <c r="L5014" s="23"/>
    </row>
    <row r="5015">
      <c r="B5015" s="16"/>
      <c r="L5015" s="23"/>
    </row>
    <row r="5016">
      <c r="B5016" s="16"/>
      <c r="L5016" s="23"/>
    </row>
    <row r="5017">
      <c r="B5017" s="16"/>
      <c r="L5017" s="23"/>
    </row>
    <row r="5018">
      <c r="B5018" s="16"/>
      <c r="L5018" s="23"/>
    </row>
    <row r="5019">
      <c r="B5019" s="16"/>
      <c r="L5019" s="23"/>
    </row>
    <row r="5020">
      <c r="B5020" s="16"/>
      <c r="L5020" s="23"/>
    </row>
    <row r="5021">
      <c r="B5021" s="16"/>
      <c r="L5021" s="23"/>
    </row>
    <row r="5022">
      <c r="B5022" s="16"/>
      <c r="L5022" s="23"/>
    </row>
    <row r="5023">
      <c r="B5023" s="16"/>
      <c r="L5023" s="23"/>
    </row>
    <row r="5024">
      <c r="B5024" s="16"/>
      <c r="L5024" s="23"/>
    </row>
    <row r="5025">
      <c r="B5025" s="16"/>
      <c r="L5025" s="23"/>
    </row>
    <row r="5026">
      <c r="B5026" s="16"/>
      <c r="L5026" s="23"/>
    </row>
    <row r="5027">
      <c r="B5027" s="16"/>
      <c r="L5027" s="23"/>
    </row>
    <row r="5028">
      <c r="B5028" s="16"/>
      <c r="L5028" s="23"/>
    </row>
    <row r="5029">
      <c r="B5029" s="16"/>
      <c r="L5029" s="23"/>
    </row>
    <row r="5030">
      <c r="B5030" s="16"/>
      <c r="L5030" s="23"/>
    </row>
    <row r="5031">
      <c r="B5031" s="16"/>
      <c r="L5031" s="23"/>
    </row>
    <row r="5032">
      <c r="B5032" s="16"/>
      <c r="L5032" s="23"/>
    </row>
    <row r="5033">
      <c r="B5033" s="16"/>
      <c r="L5033" s="23"/>
    </row>
    <row r="5034">
      <c r="B5034" s="16"/>
      <c r="L5034" s="23"/>
    </row>
    <row r="5035">
      <c r="B5035" s="16"/>
      <c r="L5035" s="23"/>
    </row>
    <row r="5036">
      <c r="B5036" s="16"/>
      <c r="L5036" s="23"/>
    </row>
    <row r="5037">
      <c r="B5037" s="16"/>
      <c r="L5037" s="23"/>
    </row>
    <row r="5038">
      <c r="B5038" s="16"/>
      <c r="L5038" s="23"/>
    </row>
    <row r="5039">
      <c r="B5039" s="16"/>
      <c r="L5039" s="23"/>
    </row>
    <row r="5040">
      <c r="B5040" s="16"/>
      <c r="L5040" s="23"/>
    </row>
    <row r="5041">
      <c r="B5041" s="16"/>
      <c r="L5041" s="23"/>
    </row>
    <row r="5042">
      <c r="B5042" s="16"/>
      <c r="L5042" s="23"/>
    </row>
    <row r="5043">
      <c r="B5043" s="16"/>
      <c r="L5043" s="23"/>
    </row>
    <row r="5044">
      <c r="B5044" s="16"/>
      <c r="L5044" s="23"/>
    </row>
    <row r="5045">
      <c r="B5045" s="16"/>
      <c r="L5045" s="23"/>
    </row>
    <row r="5046">
      <c r="B5046" s="16"/>
      <c r="L5046" s="23"/>
    </row>
    <row r="5047">
      <c r="B5047" s="16"/>
      <c r="L5047" s="23"/>
    </row>
    <row r="5048">
      <c r="B5048" s="16"/>
      <c r="L5048" s="23"/>
    </row>
    <row r="5049">
      <c r="B5049" s="16"/>
      <c r="L5049" s="23"/>
    </row>
    <row r="5050">
      <c r="B5050" s="16"/>
      <c r="L5050" s="23"/>
    </row>
    <row r="5051">
      <c r="B5051" s="16"/>
      <c r="L5051" s="23"/>
    </row>
    <row r="5052">
      <c r="B5052" s="16"/>
      <c r="L5052" s="23"/>
    </row>
    <row r="5053">
      <c r="B5053" s="16"/>
      <c r="L5053" s="23"/>
    </row>
    <row r="5054">
      <c r="B5054" s="16"/>
      <c r="L5054" s="23"/>
    </row>
    <row r="5055">
      <c r="B5055" s="16"/>
      <c r="L5055" s="23"/>
    </row>
    <row r="5056">
      <c r="B5056" s="16"/>
      <c r="L5056" s="23"/>
    </row>
    <row r="5057">
      <c r="B5057" s="16"/>
      <c r="L5057" s="23"/>
    </row>
    <row r="5058">
      <c r="B5058" s="16"/>
      <c r="L5058" s="23"/>
    </row>
    <row r="5059">
      <c r="B5059" s="16"/>
      <c r="L5059" s="23"/>
    </row>
    <row r="5060">
      <c r="B5060" s="16"/>
      <c r="L5060" s="23"/>
    </row>
    <row r="5061">
      <c r="B5061" s="16"/>
      <c r="L5061" s="23"/>
      <c r="M5061" s="23"/>
    </row>
    <row r="5062">
      <c r="B5062" s="16"/>
      <c r="L5062" s="23"/>
      <c r="M5062" s="23"/>
    </row>
    <row r="5063">
      <c r="B5063" s="16"/>
      <c r="L5063" s="23"/>
      <c r="M5063" s="23"/>
    </row>
    <row r="5064">
      <c r="B5064" s="16"/>
      <c r="L5064" s="23"/>
      <c r="M5064" s="23"/>
    </row>
    <row r="5065">
      <c r="B5065" s="16"/>
      <c r="L5065" s="23"/>
      <c r="M5065" s="23"/>
    </row>
    <row r="5066">
      <c r="B5066" s="16"/>
      <c r="L5066" s="23"/>
      <c r="M5066" s="23"/>
    </row>
    <row r="5067">
      <c r="B5067" s="16"/>
      <c r="L5067" s="23"/>
      <c r="M5067" s="23"/>
    </row>
    <row r="5068">
      <c r="B5068" s="16"/>
      <c r="L5068" s="23"/>
      <c r="M5068" s="23"/>
    </row>
    <row r="5069">
      <c r="B5069" s="16"/>
      <c r="L5069" s="23"/>
      <c r="M5069" s="23"/>
    </row>
    <row r="5070">
      <c r="B5070" s="16"/>
      <c r="L5070" s="23"/>
      <c r="M5070" s="23"/>
    </row>
    <row r="5071">
      <c r="B5071" s="16"/>
      <c r="L5071" s="23"/>
      <c r="M5071" s="23"/>
    </row>
    <row r="5072">
      <c r="B5072" s="16"/>
      <c r="L5072" s="23"/>
      <c r="M5072" s="23"/>
    </row>
    <row r="5073">
      <c r="B5073" s="16"/>
      <c r="L5073" s="23"/>
      <c r="M5073" s="23"/>
    </row>
    <row r="5074">
      <c r="B5074" s="16"/>
      <c r="L5074" s="23"/>
      <c r="M5074" s="23"/>
    </row>
    <row r="5075">
      <c r="B5075" s="16"/>
      <c r="L5075" s="23"/>
      <c r="M5075" s="23"/>
    </row>
    <row r="5076">
      <c r="B5076" s="16"/>
      <c r="L5076" s="23"/>
      <c r="M5076" s="23"/>
    </row>
    <row r="5077">
      <c r="B5077" s="16"/>
      <c r="L5077" s="23"/>
      <c r="M5077" s="23"/>
    </row>
    <row r="5078">
      <c r="B5078" s="16"/>
      <c r="L5078" s="23"/>
      <c r="M5078" s="23"/>
    </row>
    <row r="5079">
      <c r="B5079" s="16"/>
      <c r="L5079" s="23"/>
      <c r="M5079" s="23"/>
    </row>
    <row r="5080">
      <c r="B5080" s="16"/>
      <c r="L5080" s="23"/>
      <c r="M5080" s="23"/>
    </row>
    <row r="5081">
      <c r="B5081" s="16"/>
      <c r="L5081" s="23"/>
      <c r="M5081" s="23"/>
    </row>
    <row r="5082">
      <c r="B5082" s="16"/>
      <c r="L5082" s="23"/>
      <c r="M5082" s="23"/>
    </row>
    <row r="5083">
      <c r="B5083" s="16"/>
      <c r="L5083" s="23"/>
      <c r="M5083" s="23"/>
    </row>
    <row r="5084">
      <c r="B5084" s="16"/>
      <c r="L5084" s="23"/>
      <c r="M5084" s="23"/>
    </row>
    <row r="5085">
      <c r="B5085" s="16"/>
      <c r="L5085" s="23"/>
      <c r="M5085" s="23"/>
    </row>
    <row r="5086">
      <c r="B5086" s="16"/>
      <c r="L5086" s="23"/>
      <c r="M5086" s="23"/>
    </row>
    <row r="5087">
      <c r="B5087" s="16"/>
      <c r="L5087" s="23"/>
      <c r="M5087" s="23"/>
    </row>
    <row r="5088">
      <c r="B5088" s="16"/>
      <c r="L5088" s="23"/>
      <c r="M5088" s="23"/>
    </row>
    <row r="5089">
      <c r="B5089" s="16"/>
      <c r="L5089" s="23"/>
      <c r="M5089" s="23"/>
    </row>
    <row r="5090">
      <c r="B5090" s="16"/>
      <c r="L5090" s="23"/>
      <c r="M5090" s="23"/>
    </row>
    <row r="5091">
      <c r="B5091" s="16"/>
      <c r="L5091" s="23"/>
      <c r="M5091" s="23"/>
    </row>
    <row r="5092">
      <c r="B5092" s="16"/>
      <c r="L5092" s="23"/>
      <c r="M5092" s="23"/>
    </row>
    <row r="5093">
      <c r="B5093" s="16"/>
      <c r="L5093" s="23"/>
      <c r="M5093" s="23"/>
    </row>
    <row r="5094">
      <c r="B5094" s="16"/>
      <c r="L5094" s="23"/>
      <c r="M5094" s="23"/>
    </row>
    <row r="5095">
      <c r="B5095" s="16"/>
      <c r="L5095" s="23"/>
      <c r="M5095" s="23"/>
    </row>
    <row r="5096">
      <c r="B5096" s="16"/>
      <c r="L5096" s="23"/>
      <c r="M5096" s="23"/>
    </row>
    <row r="5097">
      <c r="B5097" s="16"/>
      <c r="L5097" s="23"/>
      <c r="M5097" s="23"/>
    </row>
    <row r="5098">
      <c r="B5098" s="16"/>
      <c r="L5098" s="23"/>
      <c r="M5098" s="23"/>
    </row>
    <row r="5099">
      <c r="B5099" s="16"/>
      <c r="L5099" s="23"/>
      <c r="M5099" s="23"/>
    </row>
    <row r="5100">
      <c r="B5100" s="16"/>
      <c r="L5100" s="23"/>
      <c r="M5100" s="23"/>
    </row>
    <row r="5101">
      <c r="B5101" s="16"/>
      <c r="L5101" s="23"/>
      <c r="M5101" s="23"/>
    </row>
    <row r="5102">
      <c r="B5102" s="16"/>
      <c r="L5102" s="23"/>
      <c r="M5102" s="23"/>
    </row>
    <row r="5103">
      <c r="B5103" s="16"/>
      <c r="L5103" s="23"/>
      <c r="M5103" s="23"/>
    </row>
    <row r="5104">
      <c r="B5104" s="16"/>
      <c r="L5104" s="23"/>
      <c r="M5104" s="23"/>
    </row>
    <row r="5105">
      <c r="B5105" s="16"/>
      <c r="L5105" s="23"/>
      <c r="M5105" s="23"/>
    </row>
    <row r="5106">
      <c r="B5106" s="16"/>
      <c r="L5106" s="23"/>
      <c r="M5106" s="23"/>
    </row>
    <row r="5107">
      <c r="B5107" s="16"/>
      <c r="L5107" s="23"/>
      <c r="M5107" s="23"/>
    </row>
    <row r="5108">
      <c r="B5108" s="16"/>
      <c r="L5108" s="23"/>
      <c r="M5108" s="23"/>
    </row>
    <row r="5109">
      <c r="B5109" s="16"/>
      <c r="L5109" s="23"/>
      <c r="M5109" s="23"/>
    </row>
    <row r="5110">
      <c r="B5110" s="16"/>
      <c r="L5110" s="23"/>
      <c r="M5110" s="23"/>
    </row>
    <row r="5111">
      <c r="B5111" s="16"/>
      <c r="L5111" s="23"/>
      <c r="M5111" s="23"/>
    </row>
    <row r="5112">
      <c r="B5112" s="16"/>
      <c r="L5112" s="23"/>
      <c r="M5112" s="23"/>
    </row>
    <row r="5113">
      <c r="B5113" s="16"/>
      <c r="L5113" s="23"/>
      <c r="M5113" s="23"/>
    </row>
    <row r="5114">
      <c r="B5114" s="16"/>
      <c r="L5114" s="23"/>
      <c r="M5114" s="23"/>
    </row>
    <row r="5115">
      <c r="B5115" s="16"/>
      <c r="L5115" s="23"/>
      <c r="M5115" s="23"/>
    </row>
    <row r="5116">
      <c r="B5116" s="16"/>
      <c r="L5116" s="23"/>
      <c r="M5116" s="23"/>
    </row>
    <row r="5117">
      <c r="B5117" s="16"/>
      <c r="L5117" s="23"/>
      <c r="M5117" s="23"/>
    </row>
    <row r="5118">
      <c r="B5118" s="16"/>
      <c r="L5118" s="23"/>
      <c r="M5118" s="23"/>
    </row>
    <row r="5119">
      <c r="B5119" s="16"/>
      <c r="L5119" s="23"/>
      <c r="M5119" s="23"/>
    </row>
    <row r="5120">
      <c r="B5120" s="16"/>
      <c r="L5120" s="23"/>
      <c r="M5120" s="23"/>
    </row>
    <row r="5121">
      <c r="B5121" s="16"/>
      <c r="L5121" s="23"/>
      <c r="M5121" s="23"/>
    </row>
    <row r="5122">
      <c r="B5122" s="16"/>
      <c r="L5122" s="23"/>
      <c r="M5122" s="23"/>
    </row>
    <row r="5123">
      <c r="B5123" s="16"/>
      <c r="L5123" s="23"/>
      <c r="M5123" s="23"/>
    </row>
    <row r="5124">
      <c r="B5124" s="16"/>
      <c r="L5124" s="23"/>
      <c r="M5124" s="23"/>
    </row>
    <row r="5125">
      <c r="B5125" s="16"/>
      <c r="L5125" s="23"/>
      <c r="M5125" s="23"/>
    </row>
    <row r="5126">
      <c r="B5126" s="16"/>
      <c r="L5126" s="23"/>
    </row>
    <row r="5127">
      <c r="B5127" s="16"/>
      <c r="L5127" s="23"/>
    </row>
    <row r="5128">
      <c r="B5128" s="16"/>
      <c r="L5128" s="23"/>
    </row>
    <row r="5129">
      <c r="B5129" s="16"/>
      <c r="L5129" s="23"/>
      <c r="M5129" s="23"/>
    </row>
    <row r="5130">
      <c r="B5130" s="16"/>
      <c r="L5130" s="23"/>
    </row>
    <row r="5131">
      <c r="B5131" s="16"/>
      <c r="L5131" s="23"/>
    </row>
    <row r="5132">
      <c r="B5132" s="16"/>
      <c r="L5132" s="23"/>
      <c r="M5132" s="23"/>
    </row>
    <row r="5133">
      <c r="B5133" s="16"/>
      <c r="L5133" s="23"/>
      <c r="M5133" s="23"/>
    </row>
    <row r="5134">
      <c r="B5134" s="16"/>
      <c r="L5134" s="23"/>
      <c r="M5134" s="23"/>
    </row>
    <row r="5135">
      <c r="B5135" s="16"/>
      <c r="L5135" s="23"/>
      <c r="M5135" s="23"/>
    </row>
    <row r="5136">
      <c r="B5136" s="16"/>
      <c r="L5136" s="23"/>
    </row>
    <row r="5137">
      <c r="B5137" s="16"/>
      <c r="L5137" s="23"/>
    </row>
    <row r="5138">
      <c r="B5138" s="16"/>
      <c r="L5138" s="23"/>
    </row>
    <row r="5139">
      <c r="B5139" s="16"/>
      <c r="L5139" s="23"/>
      <c r="M5139" s="23"/>
    </row>
    <row r="5140">
      <c r="B5140" s="16"/>
      <c r="L5140" s="23"/>
    </row>
    <row r="5141">
      <c r="B5141" s="16"/>
      <c r="L5141" s="23"/>
      <c r="M5141" s="23"/>
    </row>
    <row r="5142">
      <c r="B5142" s="16"/>
      <c r="L5142" s="23"/>
    </row>
    <row r="5143">
      <c r="B5143" s="16"/>
      <c r="L5143" s="23"/>
      <c r="M5143" s="23"/>
    </row>
    <row r="5144">
      <c r="B5144" s="16"/>
      <c r="L5144" s="23"/>
      <c r="M5144" s="23"/>
    </row>
    <row r="5145">
      <c r="B5145" s="16"/>
      <c r="L5145" s="23"/>
    </row>
    <row r="5146">
      <c r="B5146" s="16"/>
      <c r="L5146" s="23"/>
    </row>
    <row r="5147">
      <c r="B5147" s="16"/>
      <c r="L5147" s="23"/>
    </row>
    <row r="5148">
      <c r="B5148" s="16"/>
      <c r="L5148" s="23"/>
      <c r="M5148" s="23"/>
    </row>
    <row r="5149">
      <c r="B5149" s="16"/>
      <c r="L5149" s="23"/>
      <c r="M5149" s="23"/>
    </row>
    <row r="5150">
      <c r="B5150" s="16"/>
      <c r="L5150" s="23"/>
      <c r="M5150" s="23"/>
    </row>
    <row r="5151">
      <c r="B5151" s="16"/>
      <c r="L5151" s="23"/>
    </row>
    <row r="5152">
      <c r="B5152" s="16"/>
      <c r="L5152" s="23"/>
      <c r="M5152" s="23"/>
    </row>
    <row r="5153">
      <c r="B5153" s="16"/>
      <c r="L5153" s="23"/>
      <c r="M5153" s="23"/>
    </row>
    <row r="5154">
      <c r="B5154" s="16"/>
      <c r="L5154" s="23"/>
    </row>
    <row r="5155">
      <c r="B5155" s="16"/>
      <c r="L5155" s="23"/>
      <c r="M5155" s="23"/>
    </row>
    <row r="5156">
      <c r="B5156" s="16"/>
      <c r="L5156" s="23"/>
      <c r="M5156" s="23"/>
    </row>
    <row r="5157">
      <c r="B5157" s="16"/>
      <c r="L5157" s="23"/>
      <c r="M5157" s="23"/>
    </row>
    <row r="5158">
      <c r="B5158" s="16"/>
      <c r="L5158" s="23"/>
    </row>
    <row r="5159">
      <c r="B5159" s="16"/>
      <c r="L5159" s="23"/>
    </row>
    <row r="5160">
      <c r="B5160" s="16"/>
      <c r="L5160" s="23"/>
    </row>
    <row r="5161">
      <c r="B5161" s="16"/>
      <c r="L5161" s="23"/>
      <c r="M5161" s="23"/>
    </row>
    <row r="5162">
      <c r="B5162" s="16"/>
      <c r="L5162" s="23"/>
    </row>
    <row r="5163">
      <c r="B5163" s="16"/>
      <c r="L5163" s="23"/>
    </row>
    <row r="5164">
      <c r="B5164" s="16"/>
      <c r="L5164" s="23"/>
      <c r="M5164" s="23"/>
    </row>
    <row r="5165">
      <c r="B5165" s="16"/>
      <c r="L5165" s="23"/>
    </row>
    <row r="5166">
      <c r="B5166" s="16"/>
      <c r="L5166" s="23"/>
    </row>
    <row r="5167">
      <c r="B5167" s="16"/>
      <c r="L5167" s="23"/>
    </row>
    <row r="5168">
      <c r="B5168" s="16"/>
      <c r="L5168" s="23"/>
    </row>
    <row r="5169">
      <c r="B5169" s="16"/>
      <c r="L5169" s="23"/>
      <c r="M5169" s="23"/>
    </row>
    <row r="5170">
      <c r="B5170" s="16"/>
      <c r="L5170" s="23"/>
    </row>
    <row r="5171">
      <c r="B5171" s="16"/>
      <c r="L5171" s="23"/>
    </row>
    <row r="5172">
      <c r="B5172" s="16"/>
      <c r="L5172" s="23"/>
    </row>
    <row r="5173">
      <c r="B5173" s="16"/>
      <c r="L5173" s="23"/>
    </row>
    <row r="5174">
      <c r="B5174" s="16"/>
      <c r="L5174" s="23"/>
    </row>
    <row r="5175">
      <c r="B5175" s="16"/>
      <c r="L5175" s="23"/>
    </row>
    <row r="5176">
      <c r="B5176" s="16"/>
      <c r="L5176" s="23"/>
    </row>
    <row r="5177">
      <c r="B5177" s="16"/>
      <c r="L5177" s="23"/>
    </row>
    <row r="5178">
      <c r="B5178" s="16"/>
      <c r="L5178" s="23"/>
    </row>
    <row r="5179">
      <c r="B5179" s="16"/>
      <c r="L5179" s="23"/>
    </row>
    <row r="5180">
      <c r="B5180" s="16"/>
      <c r="L5180" s="23"/>
    </row>
    <row r="5181">
      <c r="B5181" s="16"/>
      <c r="L5181" s="23"/>
    </row>
    <row r="5182">
      <c r="B5182" s="16"/>
      <c r="L5182" s="23"/>
    </row>
    <row r="5183">
      <c r="B5183" s="16"/>
      <c r="L5183" s="23"/>
    </row>
    <row r="5184">
      <c r="B5184" s="16"/>
      <c r="L5184" s="23"/>
    </row>
    <row r="5185">
      <c r="B5185" s="16"/>
      <c r="L5185" s="23"/>
    </row>
    <row r="5186">
      <c r="B5186" s="16"/>
      <c r="L5186" s="23"/>
    </row>
    <row r="5187">
      <c r="B5187" s="16"/>
      <c r="L5187" s="23"/>
    </row>
    <row r="5188">
      <c r="B5188" s="16"/>
      <c r="L5188" s="23"/>
    </row>
    <row r="5189">
      <c r="B5189" s="16"/>
      <c r="L5189" s="23"/>
    </row>
    <row r="5190">
      <c r="B5190" s="16"/>
      <c r="L5190" s="23"/>
    </row>
    <row r="5191">
      <c r="B5191" s="16"/>
      <c r="L5191" s="23"/>
    </row>
    <row r="5192">
      <c r="B5192" s="16"/>
      <c r="L5192" s="23"/>
    </row>
    <row r="5193">
      <c r="B5193" s="16"/>
      <c r="L5193" s="23"/>
    </row>
    <row r="5194">
      <c r="B5194" s="16"/>
      <c r="L5194" s="23"/>
    </row>
    <row r="5195">
      <c r="B5195" s="16"/>
      <c r="L5195" s="23"/>
    </row>
    <row r="5196">
      <c r="B5196" s="16"/>
      <c r="L5196" s="23"/>
    </row>
    <row r="5197">
      <c r="B5197" s="16"/>
      <c r="L5197" s="23"/>
    </row>
    <row r="5198">
      <c r="B5198" s="16"/>
      <c r="L5198" s="23"/>
    </row>
    <row r="5199">
      <c r="B5199" s="16"/>
      <c r="L5199" s="23"/>
    </row>
    <row r="5200">
      <c r="B5200" s="16"/>
      <c r="L5200" s="23"/>
    </row>
    <row r="5201">
      <c r="B5201" s="16"/>
      <c r="L5201" s="23"/>
    </row>
    <row r="5202">
      <c r="B5202" s="16"/>
      <c r="L5202" s="23"/>
    </row>
    <row r="5203">
      <c r="B5203" s="16"/>
      <c r="L5203" s="23"/>
    </row>
    <row r="5204">
      <c r="B5204" s="16"/>
      <c r="L5204" s="23"/>
    </row>
    <row r="5205">
      <c r="B5205" s="16"/>
      <c r="L5205" s="23"/>
    </row>
    <row r="5206">
      <c r="B5206" s="16"/>
      <c r="L5206" s="23"/>
    </row>
    <row r="5207">
      <c r="B5207" s="16"/>
      <c r="L5207" s="23"/>
    </row>
    <row r="5208">
      <c r="B5208" s="16"/>
      <c r="L5208" s="23"/>
    </row>
    <row r="5209">
      <c r="B5209" s="16"/>
      <c r="L5209" s="23"/>
    </row>
    <row r="5210">
      <c r="B5210" s="16"/>
      <c r="L5210" s="23"/>
    </row>
    <row r="5211">
      <c r="B5211" s="16"/>
      <c r="L5211" s="23"/>
    </row>
    <row r="5212">
      <c r="B5212" s="16"/>
      <c r="L5212" s="23"/>
    </row>
    <row r="5213">
      <c r="B5213" s="16"/>
      <c r="L5213" s="23"/>
    </row>
    <row r="5214">
      <c r="B5214" s="16"/>
      <c r="L5214" s="23"/>
    </row>
    <row r="5215">
      <c r="B5215" s="16"/>
      <c r="L5215" s="23"/>
    </row>
    <row r="5216">
      <c r="B5216" s="16"/>
      <c r="L5216" s="23"/>
    </row>
    <row r="5217">
      <c r="B5217" s="16"/>
      <c r="L5217" s="23"/>
    </row>
    <row r="5218">
      <c r="B5218" s="16"/>
      <c r="L5218" s="23"/>
    </row>
    <row r="5219">
      <c r="B5219" s="16"/>
      <c r="L5219" s="23"/>
    </row>
    <row r="5220">
      <c r="B5220" s="16"/>
      <c r="L5220" s="23"/>
    </row>
    <row r="5221">
      <c r="B5221" s="16"/>
      <c r="L5221" s="23"/>
    </row>
    <row r="5222">
      <c r="B5222" s="16"/>
      <c r="L5222" s="23"/>
    </row>
    <row r="5223">
      <c r="B5223" s="16"/>
      <c r="L5223" s="23"/>
    </row>
    <row r="5224">
      <c r="B5224" s="16"/>
      <c r="L5224" s="23"/>
    </row>
    <row r="5225">
      <c r="B5225" s="16"/>
      <c r="L5225" s="23"/>
    </row>
    <row r="5226">
      <c r="B5226" s="16"/>
      <c r="L5226" s="23"/>
    </row>
    <row r="5227">
      <c r="B5227" s="16"/>
      <c r="L5227" s="23"/>
    </row>
    <row r="5228">
      <c r="B5228" s="16"/>
      <c r="L5228" s="23"/>
    </row>
    <row r="5229">
      <c r="B5229" s="16"/>
      <c r="L5229" s="23"/>
      <c r="M5229" s="23"/>
    </row>
    <row r="5230">
      <c r="B5230" s="16"/>
      <c r="L5230" s="23"/>
    </row>
    <row r="5231">
      <c r="B5231" s="16"/>
      <c r="L5231" s="23"/>
    </row>
    <row r="5232">
      <c r="B5232" s="16"/>
      <c r="L5232" s="23"/>
    </row>
    <row r="5233">
      <c r="B5233" s="16"/>
      <c r="L5233" s="23"/>
    </row>
    <row r="5234">
      <c r="B5234" s="16"/>
      <c r="L5234" s="23"/>
    </row>
    <row r="5235">
      <c r="B5235" s="16"/>
      <c r="L5235" s="23"/>
    </row>
    <row r="5236">
      <c r="B5236" s="16"/>
      <c r="L5236" s="23"/>
    </row>
    <row r="5237">
      <c r="B5237" s="16"/>
      <c r="L5237" s="23"/>
    </row>
    <row r="5238">
      <c r="B5238" s="16"/>
      <c r="L5238" s="23"/>
    </row>
    <row r="5239">
      <c r="B5239" s="16"/>
      <c r="L5239" s="23"/>
    </row>
    <row r="5240">
      <c r="B5240" s="16"/>
      <c r="L5240" s="23"/>
    </row>
    <row r="5241">
      <c r="B5241" s="16"/>
      <c r="L5241" s="23"/>
    </row>
    <row r="5242">
      <c r="B5242" s="16"/>
      <c r="L5242" s="23"/>
    </row>
    <row r="5243">
      <c r="B5243" s="16"/>
      <c r="L5243" s="23"/>
    </row>
    <row r="5244">
      <c r="B5244" s="16"/>
      <c r="L5244" s="23"/>
    </row>
    <row r="5245">
      <c r="B5245" s="16"/>
      <c r="L5245" s="23"/>
    </row>
    <row r="5246">
      <c r="B5246" s="16"/>
      <c r="L5246" s="23"/>
    </row>
    <row r="5247">
      <c r="B5247" s="16"/>
      <c r="L5247" s="23"/>
    </row>
    <row r="5248">
      <c r="B5248" s="16"/>
      <c r="L5248" s="23"/>
    </row>
    <row r="5249">
      <c r="B5249" s="16"/>
      <c r="L5249" s="23"/>
    </row>
    <row r="5250">
      <c r="B5250" s="16"/>
      <c r="L5250" s="23"/>
    </row>
    <row r="5251">
      <c r="B5251" s="16"/>
      <c r="L5251" s="23"/>
    </row>
    <row r="5252">
      <c r="B5252" s="16"/>
      <c r="L5252" s="23"/>
    </row>
    <row r="5253">
      <c r="B5253" s="16"/>
      <c r="L5253" s="23"/>
    </row>
    <row r="5254">
      <c r="B5254" s="16"/>
      <c r="L5254" s="23"/>
    </row>
    <row r="5255">
      <c r="B5255" s="16"/>
      <c r="L5255" s="23"/>
    </row>
    <row r="5256">
      <c r="B5256" s="16"/>
      <c r="L5256" s="23"/>
    </row>
    <row r="5257">
      <c r="B5257" s="16"/>
      <c r="L5257" s="23"/>
    </row>
    <row r="5258">
      <c r="B5258" s="16"/>
      <c r="L5258" s="23"/>
    </row>
    <row r="5259">
      <c r="B5259" s="16"/>
      <c r="L5259" s="23"/>
    </row>
    <row r="5260">
      <c r="B5260" s="16"/>
      <c r="L5260" s="23"/>
    </row>
    <row r="5261">
      <c r="B5261" s="16"/>
      <c r="L5261" s="23"/>
    </row>
    <row r="5262">
      <c r="B5262" s="16"/>
      <c r="L5262" s="23"/>
    </row>
    <row r="5263">
      <c r="B5263" s="16"/>
      <c r="L5263" s="23"/>
    </row>
    <row r="5264">
      <c r="B5264" s="16"/>
      <c r="L5264" s="23"/>
    </row>
    <row r="5265">
      <c r="B5265" s="16"/>
      <c r="L5265" s="23"/>
    </row>
    <row r="5266">
      <c r="B5266" s="16"/>
      <c r="L5266" s="23"/>
    </row>
    <row r="5267">
      <c r="B5267" s="16"/>
      <c r="L5267" s="23"/>
    </row>
    <row r="5268">
      <c r="B5268" s="16"/>
      <c r="L5268" s="23"/>
    </row>
    <row r="5269">
      <c r="B5269" s="16"/>
      <c r="L5269" s="23"/>
    </row>
    <row r="5270">
      <c r="B5270" s="16"/>
      <c r="L5270" s="23"/>
    </row>
    <row r="5271">
      <c r="B5271" s="16"/>
      <c r="L5271" s="23"/>
    </row>
    <row r="5272">
      <c r="B5272" s="16"/>
      <c r="L5272" s="23"/>
    </row>
    <row r="5273">
      <c r="B5273" s="16"/>
      <c r="L5273" s="23"/>
    </row>
    <row r="5274">
      <c r="B5274" s="16"/>
      <c r="L5274" s="23"/>
    </row>
    <row r="5275">
      <c r="B5275" s="16"/>
      <c r="L5275" s="23"/>
    </row>
    <row r="5276">
      <c r="B5276" s="16"/>
      <c r="L5276" s="23"/>
      <c r="M5276" s="23"/>
    </row>
    <row r="5277">
      <c r="B5277" s="16"/>
      <c r="L5277" s="23"/>
    </row>
    <row r="5278">
      <c r="B5278" s="16"/>
      <c r="L5278" s="23"/>
      <c r="M5278" s="23"/>
    </row>
    <row r="5279">
      <c r="B5279" s="16"/>
      <c r="L5279" s="23"/>
    </row>
    <row r="5280">
      <c r="B5280" s="16"/>
      <c r="L5280" s="23"/>
    </row>
    <row r="5281">
      <c r="B5281" s="16"/>
      <c r="L5281" s="23"/>
    </row>
    <row r="5282">
      <c r="B5282" s="16"/>
      <c r="L5282" s="23"/>
    </row>
    <row r="5283">
      <c r="B5283" s="16"/>
      <c r="L5283" s="23"/>
    </row>
    <row r="5284">
      <c r="B5284" s="16"/>
      <c r="L5284" s="23"/>
    </row>
    <row r="5285">
      <c r="B5285" s="16"/>
      <c r="L5285" s="23"/>
    </row>
    <row r="5286">
      <c r="B5286" s="16"/>
      <c r="L5286" s="23"/>
    </row>
    <row r="5287">
      <c r="B5287" s="16"/>
      <c r="L5287" s="23"/>
      <c r="M5287" s="23"/>
    </row>
    <row r="5288">
      <c r="B5288" s="16"/>
      <c r="L5288" s="23"/>
      <c r="M5288" s="23"/>
    </row>
    <row r="5289">
      <c r="B5289" s="16"/>
      <c r="L5289" s="23"/>
      <c r="M5289" s="23"/>
    </row>
    <row r="5290">
      <c r="B5290" s="16"/>
      <c r="L5290" s="23"/>
      <c r="M5290" s="23"/>
    </row>
    <row r="5291">
      <c r="B5291" s="16"/>
      <c r="L5291" s="23"/>
    </row>
    <row r="5292">
      <c r="B5292" s="16"/>
      <c r="L5292" s="23"/>
    </row>
    <row r="5293">
      <c r="B5293" s="16"/>
      <c r="L5293" s="23"/>
    </row>
    <row r="5294">
      <c r="B5294" s="16"/>
      <c r="L5294" s="23"/>
    </row>
    <row r="5295">
      <c r="B5295" s="16"/>
      <c r="L5295" s="23"/>
    </row>
    <row r="5296">
      <c r="B5296" s="16"/>
      <c r="L5296" s="23"/>
    </row>
    <row r="5297">
      <c r="B5297" s="16"/>
      <c r="L5297" s="23"/>
      <c r="M5297" s="23"/>
    </row>
    <row r="5298">
      <c r="B5298" s="16"/>
      <c r="L5298" s="23"/>
    </row>
    <row r="5299">
      <c r="B5299" s="16"/>
      <c r="L5299" s="23"/>
      <c r="M5299" s="23"/>
    </row>
    <row r="5300">
      <c r="B5300" s="16"/>
      <c r="L5300" s="23"/>
    </row>
    <row r="5301">
      <c r="B5301" s="16"/>
      <c r="L5301" s="23"/>
    </row>
    <row r="5302">
      <c r="B5302" s="16"/>
      <c r="L5302" s="23"/>
    </row>
    <row r="5303">
      <c r="B5303" s="16"/>
      <c r="L5303" s="23"/>
    </row>
    <row r="5304">
      <c r="B5304" s="16"/>
      <c r="L5304" s="23"/>
    </row>
    <row r="5305">
      <c r="B5305" s="16"/>
      <c r="L5305" s="23"/>
    </row>
    <row r="5306">
      <c r="B5306" s="16"/>
      <c r="L5306" s="23"/>
    </row>
    <row r="5307">
      <c r="B5307" s="16"/>
      <c r="L5307" s="23"/>
    </row>
    <row r="5308">
      <c r="B5308" s="16"/>
      <c r="L5308" s="23"/>
    </row>
    <row r="5309">
      <c r="B5309" s="16"/>
      <c r="L5309" s="23"/>
    </row>
    <row r="5310">
      <c r="B5310" s="16"/>
      <c r="L5310" s="23"/>
    </row>
    <row r="5311">
      <c r="B5311" s="16"/>
      <c r="L5311" s="23"/>
    </row>
    <row r="5312">
      <c r="B5312" s="16"/>
      <c r="L5312" s="23"/>
    </row>
    <row r="5313">
      <c r="B5313" s="16"/>
      <c r="L5313" s="23"/>
      <c r="M5313" s="23"/>
    </row>
    <row r="5314">
      <c r="B5314" s="16"/>
      <c r="L5314" s="23"/>
    </row>
    <row r="5315">
      <c r="B5315" s="16"/>
      <c r="L5315" s="23"/>
    </row>
    <row r="5316">
      <c r="B5316" s="16"/>
      <c r="L5316" s="23"/>
    </row>
    <row r="5317">
      <c r="B5317" s="16"/>
      <c r="L5317" s="23"/>
    </row>
    <row r="5318">
      <c r="B5318" s="16"/>
      <c r="L5318" s="23"/>
    </row>
    <row r="5319">
      <c r="B5319" s="16"/>
      <c r="L5319" s="23"/>
    </row>
    <row r="5320">
      <c r="B5320" s="16"/>
      <c r="L5320" s="23"/>
      <c r="M5320" s="23"/>
    </row>
    <row r="5321">
      <c r="B5321" s="16"/>
      <c r="L5321" s="23"/>
    </row>
    <row r="5322">
      <c r="B5322" s="16"/>
      <c r="L5322" s="23"/>
    </row>
    <row r="5323">
      <c r="B5323" s="16"/>
      <c r="L5323" s="23"/>
      <c r="M5323" s="23"/>
    </row>
    <row r="5324">
      <c r="B5324" s="16"/>
      <c r="L5324" s="23"/>
    </row>
    <row r="5325">
      <c r="B5325" s="16"/>
      <c r="L5325" s="23"/>
    </row>
    <row r="5326">
      <c r="B5326" s="16"/>
      <c r="L5326" s="23"/>
    </row>
    <row r="5327">
      <c r="B5327" s="16"/>
      <c r="L5327" s="23"/>
    </row>
    <row r="5328">
      <c r="B5328" s="16"/>
      <c r="L5328" s="23"/>
    </row>
    <row r="5329">
      <c r="B5329" s="16"/>
      <c r="L5329" s="23"/>
    </row>
    <row r="5330">
      <c r="B5330" s="16"/>
      <c r="L5330" s="23"/>
    </row>
    <row r="5331">
      <c r="B5331" s="16"/>
      <c r="L5331" s="23"/>
    </row>
    <row r="5332">
      <c r="B5332" s="16"/>
      <c r="L5332" s="23"/>
      <c r="M5332" s="23"/>
    </row>
    <row r="5333">
      <c r="B5333" s="16"/>
      <c r="L5333" s="23"/>
    </row>
    <row r="5334">
      <c r="B5334" s="16"/>
      <c r="L5334" s="23"/>
    </row>
    <row r="5335">
      <c r="B5335" s="16"/>
      <c r="L5335" s="23"/>
    </row>
    <row r="5336">
      <c r="B5336" s="16"/>
      <c r="L5336" s="23"/>
      <c r="M5336" s="23"/>
    </row>
    <row r="5337">
      <c r="B5337" s="16"/>
      <c r="L5337" s="23"/>
      <c r="M5337" s="23"/>
    </row>
    <row r="5338">
      <c r="B5338" s="16"/>
      <c r="L5338" s="23"/>
    </row>
    <row r="5339">
      <c r="B5339" s="16"/>
      <c r="L5339" s="23"/>
    </row>
    <row r="5340">
      <c r="B5340" s="16"/>
      <c r="L5340" s="23"/>
    </row>
    <row r="5341">
      <c r="B5341" s="16"/>
      <c r="L5341" s="23"/>
    </row>
    <row r="5342">
      <c r="B5342" s="16"/>
      <c r="L5342" s="23"/>
    </row>
    <row r="5343">
      <c r="B5343" s="16"/>
      <c r="L5343" s="23"/>
    </row>
    <row r="5344">
      <c r="B5344" s="16"/>
      <c r="L5344" s="23"/>
    </row>
    <row r="5345">
      <c r="B5345" s="16"/>
      <c r="L5345" s="23"/>
    </row>
    <row r="5346">
      <c r="B5346" s="16"/>
      <c r="L5346" s="23"/>
      <c r="M5346" s="23"/>
    </row>
    <row r="5347">
      <c r="B5347" s="16"/>
      <c r="L5347" s="23"/>
    </row>
    <row r="5348">
      <c r="B5348" s="16"/>
      <c r="L5348" s="23"/>
    </row>
    <row r="5349">
      <c r="B5349" s="16"/>
      <c r="L5349" s="23"/>
    </row>
    <row r="5350">
      <c r="B5350" s="16"/>
      <c r="L5350" s="23"/>
    </row>
    <row r="5351">
      <c r="B5351" s="16"/>
      <c r="L5351" s="23"/>
    </row>
    <row r="5352">
      <c r="B5352" s="16"/>
      <c r="L5352" s="23"/>
    </row>
    <row r="5353">
      <c r="B5353" s="16"/>
      <c r="L5353" s="23"/>
    </row>
    <row r="5354">
      <c r="B5354" s="16"/>
      <c r="L5354" s="23"/>
    </row>
    <row r="5355">
      <c r="B5355" s="16"/>
      <c r="L5355" s="23"/>
    </row>
    <row r="5356">
      <c r="B5356" s="16"/>
      <c r="L5356" s="23"/>
      <c r="M5356" s="23"/>
    </row>
    <row r="5357">
      <c r="B5357" s="16"/>
      <c r="L5357" s="23"/>
    </row>
    <row r="5358">
      <c r="B5358" s="16"/>
      <c r="L5358" s="23"/>
    </row>
    <row r="5359">
      <c r="B5359" s="16"/>
      <c r="L5359" s="23"/>
      <c r="M5359" s="23"/>
    </row>
    <row r="5360">
      <c r="B5360" s="16"/>
      <c r="L5360" s="23"/>
    </row>
    <row r="5361">
      <c r="B5361" s="16"/>
      <c r="L5361" s="23"/>
    </row>
    <row r="5362">
      <c r="B5362" s="16"/>
      <c r="L5362" s="23"/>
    </row>
    <row r="5363">
      <c r="B5363" s="16"/>
      <c r="L5363" s="23"/>
      <c r="M5363" s="23"/>
    </row>
    <row r="5364">
      <c r="B5364" s="16"/>
      <c r="L5364" s="23"/>
    </row>
    <row r="5365">
      <c r="B5365" s="16"/>
      <c r="L5365" s="23"/>
    </row>
    <row r="5366">
      <c r="B5366" s="16"/>
      <c r="L5366" s="23"/>
      <c r="M5366" s="23"/>
    </row>
    <row r="5367">
      <c r="B5367" s="16"/>
      <c r="L5367" s="23"/>
    </row>
    <row r="5368">
      <c r="B5368" s="16"/>
      <c r="L5368" s="23"/>
    </row>
    <row r="5369">
      <c r="B5369" s="16"/>
      <c r="L5369" s="23"/>
    </row>
    <row r="5370">
      <c r="B5370" s="16"/>
      <c r="L5370" s="23"/>
    </row>
    <row r="5371">
      <c r="B5371" s="16"/>
      <c r="L5371" s="23"/>
      <c r="M5371" s="23"/>
    </row>
    <row r="5372">
      <c r="B5372" s="16"/>
      <c r="L5372" s="23"/>
      <c r="M5372" s="23"/>
    </row>
    <row r="5373">
      <c r="B5373" s="16"/>
      <c r="L5373" s="23"/>
    </row>
    <row r="5374">
      <c r="B5374" s="16"/>
      <c r="L5374" s="23"/>
      <c r="M5374" s="23"/>
    </row>
    <row r="5375">
      <c r="B5375" s="16"/>
      <c r="L5375" s="23"/>
    </row>
    <row r="5376">
      <c r="B5376" s="16"/>
      <c r="L5376" s="23"/>
      <c r="M5376" s="23"/>
    </row>
    <row r="5377">
      <c r="B5377" s="16"/>
      <c r="L5377" s="23"/>
    </row>
    <row r="5378">
      <c r="B5378" s="16"/>
      <c r="L5378" s="23"/>
      <c r="M5378" s="23"/>
    </row>
    <row r="5379">
      <c r="B5379" s="16"/>
      <c r="L5379" s="23"/>
      <c r="M5379" s="23"/>
    </row>
    <row r="5380">
      <c r="B5380" s="16"/>
      <c r="L5380" s="23"/>
      <c r="M5380" s="23"/>
    </row>
    <row r="5381">
      <c r="B5381" s="16"/>
      <c r="L5381" s="23"/>
      <c r="M5381" s="23"/>
    </row>
    <row r="5382">
      <c r="B5382" s="16"/>
      <c r="L5382" s="23"/>
      <c r="M5382" s="23"/>
    </row>
    <row r="5383">
      <c r="B5383" s="16"/>
      <c r="L5383" s="23"/>
      <c r="M5383" s="23"/>
    </row>
    <row r="5384">
      <c r="B5384" s="16"/>
      <c r="L5384" s="23"/>
      <c r="M5384" s="23"/>
    </row>
    <row r="5385">
      <c r="B5385" s="16"/>
      <c r="L5385" s="23"/>
      <c r="M5385" s="23"/>
    </row>
    <row r="5386">
      <c r="B5386" s="16"/>
      <c r="L5386" s="23"/>
      <c r="M5386" s="23"/>
    </row>
    <row r="5387">
      <c r="B5387" s="16"/>
      <c r="L5387" s="23"/>
      <c r="M5387" s="23"/>
    </row>
    <row r="5388">
      <c r="B5388" s="16"/>
      <c r="L5388" s="23"/>
      <c r="M5388" s="23"/>
    </row>
    <row r="5389">
      <c r="B5389" s="16"/>
      <c r="L5389" s="23"/>
      <c r="M5389" s="23"/>
    </row>
    <row r="5390">
      <c r="B5390" s="16"/>
      <c r="L5390" s="23"/>
      <c r="M5390" s="23"/>
    </row>
    <row r="5391">
      <c r="B5391" s="16"/>
      <c r="L5391" s="23"/>
      <c r="M5391" s="23"/>
    </row>
    <row r="5392">
      <c r="B5392" s="16"/>
      <c r="L5392" s="23"/>
      <c r="M5392" s="23"/>
    </row>
    <row r="5393">
      <c r="B5393" s="16"/>
      <c r="L5393" s="23"/>
      <c r="M5393" s="23"/>
    </row>
    <row r="5394">
      <c r="B5394" s="16"/>
      <c r="L5394" s="23"/>
      <c r="M5394" s="23"/>
    </row>
    <row r="5395">
      <c r="B5395" s="16"/>
      <c r="L5395" s="23"/>
      <c r="M5395" s="23"/>
    </row>
    <row r="5396">
      <c r="B5396" s="16"/>
      <c r="L5396" s="23"/>
      <c r="M5396" s="23"/>
    </row>
    <row r="5397">
      <c r="B5397" s="16"/>
      <c r="L5397" s="23"/>
      <c r="M5397" s="23"/>
    </row>
    <row r="5398">
      <c r="B5398" s="16"/>
      <c r="L5398" s="23"/>
      <c r="M5398" s="23"/>
    </row>
    <row r="5399">
      <c r="B5399" s="16"/>
      <c r="L5399" s="23"/>
      <c r="M5399" s="23"/>
    </row>
    <row r="5400">
      <c r="B5400" s="16"/>
      <c r="L5400" s="23"/>
      <c r="M5400" s="23"/>
    </row>
    <row r="5401">
      <c r="B5401" s="16"/>
      <c r="L5401" s="23"/>
      <c r="M5401" s="23"/>
    </row>
    <row r="5402">
      <c r="B5402" s="16"/>
      <c r="L5402" s="23"/>
      <c r="M5402" s="23"/>
    </row>
    <row r="5403">
      <c r="B5403" s="16"/>
      <c r="L5403" s="23"/>
      <c r="M5403" s="23"/>
    </row>
    <row r="5404">
      <c r="B5404" s="16"/>
      <c r="L5404" s="23"/>
      <c r="M5404" s="23"/>
    </row>
    <row r="5405">
      <c r="B5405" s="16"/>
      <c r="L5405" s="23"/>
      <c r="M5405" s="23"/>
    </row>
    <row r="5406">
      <c r="B5406" s="16"/>
      <c r="L5406" s="23"/>
      <c r="M5406" s="23"/>
    </row>
    <row r="5407">
      <c r="B5407" s="16"/>
      <c r="L5407" s="23"/>
      <c r="M5407" s="23"/>
    </row>
    <row r="5408">
      <c r="B5408" s="16"/>
      <c r="L5408" s="23"/>
      <c r="M5408" s="23"/>
    </row>
    <row r="5409">
      <c r="B5409" s="16"/>
      <c r="L5409" s="23"/>
      <c r="M5409" s="23"/>
    </row>
    <row r="5410">
      <c r="B5410" s="16"/>
      <c r="L5410" s="23"/>
      <c r="M5410" s="23"/>
    </row>
    <row r="5411">
      <c r="B5411" s="16"/>
      <c r="L5411" s="23"/>
      <c r="M5411" s="23"/>
    </row>
    <row r="5412">
      <c r="B5412" s="16"/>
      <c r="L5412" s="23"/>
      <c r="M5412" s="23"/>
    </row>
    <row r="5413">
      <c r="B5413" s="16"/>
      <c r="L5413" s="23"/>
      <c r="M5413" s="23"/>
    </row>
    <row r="5414">
      <c r="B5414" s="16"/>
      <c r="L5414" s="23"/>
      <c r="M5414" s="23"/>
    </row>
    <row r="5415">
      <c r="B5415" s="16"/>
      <c r="L5415" s="23"/>
      <c r="M5415" s="23"/>
    </row>
    <row r="5416">
      <c r="B5416" s="16"/>
      <c r="L5416" s="23"/>
      <c r="M5416" s="23"/>
    </row>
    <row r="5417">
      <c r="B5417" s="16"/>
      <c r="L5417" s="23"/>
      <c r="M5417" s="23"/>
    </row>
    <row r="5418">
      <c r="B5418" s="16"/>
      <c r="L5418" s="23"/>
      <c r="M5418" s="23"/>
    </row>
    <row r="5419">
      <c r="B5419" s="16"/>
      <c r="L5419" s="23"/>
      <c r="M5419" s="23"/>
    </row>
    <row r="5420">
      <c r="B5420" s="16"/>
      <c r="L5420" s="23"/>
      <c r="M5420" s="23"/>
    </row>
    <row r="5421">
      <c r="B5421" s="16"/>
      <c r="L5421" s="23"/>
      <c r="M5421" s="23"/>
    </row>
    <row r="5422">
      <c r="B5422" s="16"/>
      <c r="L5422" s="23"/>
      <c r="M5422" s="23"/>
    </row>
    <row r="5423">
      <c r="B5423" s="16"/>
      <c r="L5423" s="23"/>
    </row>
    <row r="5424">
      <c r="B5424" s="16"/>
      <c r="L5424" s="23"/>
      <c r="M5424" s="23"/>
    </row>
    <row r="5425">
      <c r="B5425" s="16"/>
      <c r="L5425" s="23"/>
      <c r="M5425" s="23"/>
    </row>
    <row r="5426">
      <c r="B5426" s="16"/>
      <c r="L5426" s="23"/>
      <c r="M5426" s="23"/>
    </row>
    <row r="5427">
      <c r="B5427" s="16"/>
      <c r="L5427" s="23"/>
      <c r="M5427" s="23"/>
    </row>
    <row r="5428">
      <c r="B5428" s="16"/>
      <c r="L5428" s="23"/>
    </row>
    <row r="5429">
      <c r="B5429" s="16"/>
      <c r="L5429" s="23"/>
      <c r="M5429" s="23"/>
    </row>
    <row r="5430">
      <c r="B5430" s="16"/>
      <c r="L5430" s="23"/>
    </row>
    <row r="5431">
      <c r="B5431" s="16"/>
      <c r="L5431" s="23"/>
    </row>
    <row r="5432">
      <c r="B5432" s="16"/>
      <c r="L5432" s="23"/>
      <c r="M5432" s="23"/>
    </row>
    <row r="5433">
      <c r="B5433" s="16"/>
      <c r="L5433" s="23"/>
    </row>
    <row r="5434">
      <c r="B5434" s="16"/>
      <c r="L5434" s="23"/>
      <c r="M5434" s="23"/>
    </row>
    <row r="5435">
      <c r="B5435" s="16"/>
      <c r="L5435" s="23"/>
      <c r="M5435" s="23"/>
    </row>
    <row r="5436">
      <c r="B5436" s="16"/>
      <c r="L5436" s="23"/>
      <c r="M5436" s="23"/>
    </row>
    <row r="5437">
      <c r="B5437" s="16"/>
      <c r="L5437" s="23"/>
    </row>
    <row r="5438">
      <c r="B5438" s="16"/>
      <c r="L5438" s="23"/>
      <c r="M5438" s="23"/>
    </row>
    <row r="5439">
      <c r="B5439" s="16"/>
      <c r="L5439" s="23"/>
      <c r="M5439" s="23"/>
    </row>
    <row r="5440">
      <c r="B5440" s="16"/>
      <c r="L5440" s="23"/>
      <c r="M5440" s="23"/>
    </row>
    <row r="5441">
      <c r="B5441" s="16"/>
      <c r="L5441" s="23"/>
      <c r="M5441" s="23"/>
    </row>
    <row r="5442">
      <c r="B5442" s="16"/>
      <c r="L5442" s="23"/>
    </row>
    <row r="5443">
      <c r="B5443" s="16"/>
      <c r="L5443" s="23"/>
      <c r="M5443" s="23"/>
    </row>
    <row r="5444">
      <c r="B5444" s="16"/>
      <c r="L5444" s="23"/>
      <c r="M5444" s="23"/>
    </row>
    <row r="5445">
      <c r="B5445" s="16"/>
      <c r="L5445" s="23"/>
    </row>
    <row r="5446">
      <c r="B5446" s="16"/>
      <c r="L5446" s="23"/>
      <c r="M5446" s="23"/>
    </row>
    <row r="5447">
      <c r="B5447" s="16"/>
      <c r="L5447" s="23"/>
      <c r="M5447" s="23"/>
    </row>
    <row r="5448">
      <c r="B5448" s="16"/>
      <c r="L5448" s="23"/>
      <c r="M5448" s="23"/>
    </row>
    <row r="5449">
      <c r="B5449" s="16"/>
      <c r="L5449" s="23"/>
      <c r="M5449" s="23"/>
    </row>
    <row r="5450">
      <c r="B5450" s="16"/>
      <c r="L5450" s="23"/>
      <c r="M5450" s="23"/>
    </row>
    <row r="5451">
      <c r="B5451" s="16"/>
      <c r="L5451" s="23"/>
      <c r="M5451" s="23"/>
    </row>
    <row r="5452">
      <c r="B5452" s="16"/>
      <c r="L5452" s="23"/>
    </row>
    <row r="5453">
      <c r="B5453" s="16"/>
      <c r="L5453" s="23"/>
    </row>
    <row r="5454">
      <c r="B5454" s="16"/>
      <c r="L5454" s="23"/>
    </row>
    <row r="5455">
      <c r="B5455" s="16"/>
      <c r="L5455" s="23"/>
    </row>
    <row r="5456">
      <c r="B5456" s="16"/>
      <c r="L5456" s="23"/>
      <c r="M5456" s="23"/>
    </row>
    <row r="5457">
      <c r="B5457" s="16"/>
      <c r="L5457" s="23"/>
      <c r="M5457" s="23"/>
    </row>
    <row r="5458">
      <c r="B5458" s="16"/>
      <c r="L5458" s="23"/>
      <c r="M5458" s="23"/>
    </row>
    <row r="5459">
      <c r="B5459" s="16"/>
      <c r="L5459" s="23"/>
      <c r="M5459" s="23"/>
    </row>
    <row r="5460">
      <c r="B5460" s="16"/>
      <c r="L5460" s="23"/>
      <c r="M5460" s="23"/>
    </row>
    <row r="5461">
      <c r="B5461" s="16"/>
      <c r="L5461" s="23"/>
      <c r="M5461" s="23"/>
    </row>
    <row r="5462">
      <c r="B5462" s="16"/>
      <c r="L5462" s="23"/>
    </row>
    <row r="5463">
      <c r="B5463" s="16"/>
      <c r="L5463" s="23"/>
      <c r="M5463" s="23"/>
    </row>
    <row r="5464">
      <c r="B5464" s="16"/>
      <c r="L5464" s="23"/>
    </row>
    <row r="5465">
      <c r="B5465" s="16"/>
      <c r="L5465" s="23"/>
      <c r="M5465" s="23"/>
    </row>
    <row r="5466">
      <c r="B5466" s="16"/>
      <c r="L5466" s="23"/>
      <c r="M5466" s="23"/>
    </row>
    <row r="5467">
      <c r="B5467" s="16"/>
      <c r="L5467" s="23"/>
      <c r="M5467" s="23"/>
    </row>
    <row r="5468">
      <c r="B5468" s="16"/>
      <c r="L5468" s="23"/>
      <c r="M5468" s="23"/>
    </row>
    <row r="5469">
      <c r="B5469" s="16"/>
      <c r="L5469" s="23"/>
      <c r="M5469" s="23"/>
    </row>
    <row r="5470">
      <c r="B5470" s="16"/>
      <c r="L5470" s="23"/>
      <c r="M5470" s="23"/>
    </row>
    <row r="5471">
      <c r="B5471" s="16"/>
      <c r="L5471" s="23"/>
    </row>
    <row r="5472">
      <c r="B5472" s="16"/>
      <c r="L5472" s="23"/>
      <c r="M5472" s="23"/>
    </row>
    <row r="5473">
      <c r="B5473" s="16"/>
      <c r="L5473" s="23"/>
      <c r="M5473" s="23"/>
    </row>
    <row r="5474">
      <c r="B5474" s="16"/>
      <c r="L5474" s="23"/>
    </row>
    <row r="5475">
      <c r="B5475" s="16"/>
      <c r="L5475" s="23"/>
    </row>
    <row r="5476">
      <c r="B5476" s="16"/>
      <c r="L5476" s="23"/>
      <c r="M5476" s="23"/>
    </row>
    <row r="5477">
      <c r="B5477" s="16"/>
      <c r="L5477" s="23"/>
    </row>
    <row r="5478">
      <c r="B5478" s="16"/>
      <c r="L5478" s="23"/>
      <c r="M5478" s="23"/>
    </row>
    <row r="5479">
      <c r="B5479" s="16"/>
      <c r="L5479" s="23"/>
    </row>
    <row r="5480">
      <c r="B5480" s="16"/>
      <c r="L5480" s="23"/>
      <c r="M5480" s="23"/>
    </row>
    <row r="5481">
      <c r="B5481" s="16"/>
      <c r="L5481" s="23"/>
      <c r="M5481" s="23"/>
    </row>
    <row r="5482">
      <c r="B5482" s="16"/>
      <c r="L5482" s="23"/>
    </row>
    <row r="5483">
      <c r="B5483" s="16"/>
      <c r="L5483" s="23"/>
      <c r="M5483" s="23"/>
    </row>
    <row r="5484">
      <c r="B5484" s="16"/>
      <c r="L5484" s="23"/>
    </row>
    <row r="5485">
      <c r="B5485" s="16"/>
      <c r="L5485" s="23"/>
    </row>
    <row r="5486">
      <c r="B5486" s="16"/>
      <c r="L5486" s="23"/>
      <c r="M5486" s="23"/>
    </row>
    <row r="5487">
      <c r="B5487" s="16"/>
      <c r="L5487" s="23"/>
      <c r="M5487" s="23"/>
    </row>
    <row r="5488">
      <c r="B5488" s="16"/>
      <c r="L5488" s="23"/>
      <c r="M5488" s="23"/>
    </row>
    <row r="5489">
      <c r="B5489" s="16"/>
      <c r="L5489" s="23"/>
      <c r="M5489" s="23"/>
    </row>
    <row r="5490">
      <c r="B5490" s="16"/>
      <c r="L5490" s="23"/>
      <c r="M5490" s="23"/>
    </row>
    <row r="5491">
      <c r="B5491" s="16"/>
      <c r="L5491" s="23"/>
      <c r="M5491" s="23"/>
    </row>
    <row r="5492">
      <c r="B5492" s="16"/>
      <c r="L5492" s="23"/>
      <c r="M5492" s="23"/>
    </row>
    <row r="5493">
      <c r="B5493" s="16"/>
      <c r="L5493" s="23"/>
      <c r="M5493" s="23"/>
    </row>
    <row r="5494">
      <c r="B5494" s="16"/>
      <c r="L5494" s="23"/>
      <c r="M5494" s="23"/>
    </row>
    <row r="5495">
      <c r="B5495" s="16"/>
      <c r="L5495" s="23"/>
    </row>
    <row r="5496">
      <c r="B5496" s="16"/>
      <c r="L5496" s="23"/>
      <c r="M5496" s="23"/>
    </row>
    <row r="5497">
      <c r="B5497" s="16"/>
      <c r="L5497" s="23"/>
      <c r="M5497" s="23"/>
    </row>
  </sheetData>
  <autoFilter ref="$A$1:$Y$787"/>
  <conditionalFormatting sqref="B1 L1:L196 B197:B787">
    <cfRule type="cellIs" dxfId="0" priority="1" stopIfTrue="1" operator="between">
      <formula>51</formula>
      <formula>1000</formula>
    </cfRule>
  </conditionalFormatting>
  <conditionalFormatting sqref="B1 L1:L196 B197:B787">
    <cfRule type="cellIs" dxfId="1" priority="2" stopIfTrue="1" operator="between">
      <formula>21</formula>
      <formula>50</formula>
    </cfRule>
  </conditionalFormatting>
  <conditionalFormatting sqref="B1 L1:L196 B197:B787">
    <cfRule type="cellIs" dxfId="2" priority="3" stopIfTrue="1" operator="between">
      <formula>0</formula>
      <formula>20</formula>
    </cfRule>
  </conditionalFormatting>
  <hyperlinks>
    <hyperlink r:id="rId1" ref="A2"/>
    <hyperlink r:id="rId2" ref="A3"/>
    <hyperlink r:id="rId3" ref="A4"/>
    <hyperlink r:id="rId4" ref="A6"/>
    <hyperlink r:id="rId5" ref="A8"/>
    <hyperlink r:id="rId6" ref="A23"/>
    <hyperlink r:id="rId7" ref="A28"/>
    <hyperlink r:id="rId8" ref="A31"/>
    <hyperlink r:id="rId9" ref="A40"/>
    <hyperlink r:id="rId10" ref="A41"/>
    <hyperlink r:id="rId11" ref="A42"/>
    <hyperlink r:id="rId12" ref="A43"/>
    <hyperlink r:id="rId13" ref="A44"/>
    <hyperlink r:id="rId14" ref="A45"/>
    <hyperlink r:id="rId15" ref="A46"/>
    <hyperlink r:id="rId16" ref="A77"/>
    <hyperlink r:id="rId17" ref="A79"/>
    <hyperlink r:id="rId18" ref="A81"/>
    <hyperlink r:id="rId19" ref="A83"/>
    <hyperlink r:id="rId20" ref="A84"/>
    <hyperlink r:id="rId21" ref="A87"/>
    <hyperlink r:id="rId22" ref="A88"/>
    <hyperlink r:id="rId23" ref="A89"/>
    <hyperlink r:id="rId24" ref="A91"/>
    <hyperlink r:id="rId25" ref="A94"/>
    <hyperlink r:id="rId26" ref="A95"/>
    <hyperlink r:id="rId27" ref="A96"/>
    <hyperlink r:id="rId28" ref="A97"/>
    <hyperlink r:id="rId29" ref="A98"/>
    <hyperlink r:id="rId30" ref="A99"/>
    <hyperlink r:id="rId31" ref="A100"/>
    <hyperlink r:id="rId32" ref="A101"/>
    <hyperlink r:id="rId33" ref="A102"/>
    <hyperlink r:id="rId34" ref="A103"/>
    <hyperlink r:id="rId35" ref="A104"/>
    <hyperlink r:id="rId36" ref="A105"/>
    <hyperlink r:id="rId37" ref="A106"/>
    <hyperlink r:id="rId38" ref="A107"/>
    <hyperlink r:id="rId39" ref="A108"/>
    <hyperlink r:id="rId40" ref="A109"/>
    <hyperlink r:id="rId41" ref="A110"/>
    <hyperlink r:id="rId42" ref="A111"/>
    <hyperlink r:id="rId43" ref="A112"/>
    <hyperlink r:id="rId44" ref="A113"/>
    <hyperlink r:id="rId45" ref="A114"/>
    <hyperlink r:id="rId46" ref="A115"/>
    <hyperlink r:id="rId47" ref="A116"/>
    <hyperlink r:id="rId48" ref="A117"/>
    <hyperlink r:id="rId49" ref="A118"/>
    <hyperlink r:id="rId50" ref="A119"/>
    <hyperlink r:id="rId51" ref="A120"/>
    <hyperlink r:id="rId52" ref="A121"/>
    <hyperlink r:id="rId53" ref="A122"/>
    <hyperlink r:id="rId54" ref="A138"/>
    <hyperlink r:id="rId55" ref="A183"/>
    <hyperlink r:id="rId56" ref="A184"/>
  </hyperlinks>
  <drawing r:id="rId5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9.63"/>
    <col customWidth="1" min="5" max="5" width="20.75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4" t="s">
        <v>11</v>
      </c>
      <c r="L1" s="4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8"/>
      <c r="Z1" s="8"/>
    </row>
    <row r="2">
      <c r="A2" s="14" t="s">
        <v>23</v>
      </c>
      <c r="B2" s="16" t="b">
        <v>0</v>
      </c>
      <c r="C2" s="16">
        <v>77.0</v>
      </c>
      <c r="D2" s="16">
        <v>10024.0</v>
      </c>
      <c r="E2" s="16">
        <v>501.0</v>
      </c>
      <c r="F2" s="16">
        <v>21143.0</v>
      </c>
      <c r="G2" s="16">
        <v>14707.0</v>
      </c>
      <c r="H2" s="16">
        <v>1.0</v>
      </c>
      <c r="I2" s="16">
        <v>0.0</v>
      </c>
      <c r="J2" s="19">
        <v>46226.39560185185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6" t="s">
        <v>26</v>
      </c>
      <c r="B3" s="16" t="b">
        <v>1</v>
      </c>
      <c r="C3" s="16">
        <v>0.8</v>
      </c>
      <c r="D3" s="16">
        <v>68.0</v>
      </c>
      <c r="E3" s="16">
        <v>0.0</v>
      </c>
      <c r="F3" s="16">
        <v>0.0</v>
      </c>
      <c r="G3" s="16">
        <v>0.0</v>
      </c>
      <c r="H3" s="16">
        <v>1.0</v>
      </c>
      <c r="I3" s="16">
        <v>0.0</v>
      </c>
      <c r="J3" s="19">
        <v>46204.35445601852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6" t="s">
        <v>27</v>
      </c>
      <c r="B4" s="16" t="b">
        <v>1</v>
      </c>
      <c r="C4" s="16">
        <v>0.8</v>
      </c>
      <c r="D4" s="16">
        <v>68.0</v>
      </c>
      <c r="E4" s="16">
        <v>0.0</v>
      </c>
      <c r="F4" s="16">
        <v>0.0</v>
      </c>
      <c r="G4" s="16">
        <v>0.0</v>
      </c>
      <c r="H4" s="16">
        <v>1.0</v>
      </c>
      <c r="I4" s="16">
        <v>0.0</v>
      </c>
      <c r="J4" s="19">
        <v>46206.348032407404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6" t="s">
        <v>28</v>
      </c>
      <c r="B5" s="16" t="b">
        <v>1</v>
      </c>
      <c r="C5" s="16">
        <v>0.8</v>
      </c>
      <c r="D5" s="16">
        <v>68.0</v>
      </c>
      <c r="E5" s="16">
        <v>0.0</v>
      </c>
      <c r="F5" s="16">
        <v>0.0</v>
      </c>
      <c r="G5" s="16">
        <v>0.0</v>
      </c>
      <c r="H5" s="16">
        <v>1.0</v>
      </c>
      <c r="I5" s="16">
        <v>0.0</v>
      </c>
      <c r="J5" s="19">
        <v>46204.92041666667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6" t="s">
        <v>29</v>
      </c>
      <c r="B6" s="16" t="b">
        <v>1</v>
      </c>
      <c r="C6" s="16">
        <v>0.7</v>
      </c>
      <c r="D6" s="16">
        <v>49.0</v>
      </c>
      <c r="E6" s="16">
        <v>0.0</v>
      </c>
      <c r="F6" s="16">
        <v>0.0</v>
      </c>
      <c r="G6" s="16">
        <v>0.0</v>
      </c>
      <c r="H6" s="16">
        <v>1.0</v>
      </c>
      <c r="I6" s="16">
        <v>0.0</v>
      </c>
      <c r="J6" s="19">
        <v>46204.364270833335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6" t="s">
        <v>31</v>
      </c>
      <c r="B7" s="16" t="b">
        <v>1</v>
      </c>
      <c r="C7" s="16">
        <v>0.7</v>
      </c>
      <c r="D7" s="16">
        <v>49.0</v>
      </c>
      <c r="E7" s="16">
        <v>0.0</v>
      </c>
      <c r="F7" s="16">
        <v>0.0</v>
      </c>
      <c r="G7" s="16">
        <v>0.0</v>
      </c>
      <c r="H7" s="16">
        <v>1.0</v>
      </c>
      <c r="I7" s="16">
        <v>0.0</v>
      </c>
      <c r="J7" s="19">
        <v>46213.32466435185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6" t="s">
        <v>33</v>
      </c>
      <c r="B8" s="16" t="b">
        <v>1</v>
      </c>
      <c r="C8" s="16">
        <v>0.7</v>
      </c>
      <c r="D8" s="16">
        <v>49.0</v>
      </c>
      <c r="E8" s="16">
        <v>0.0</v>
      </c>
      <c r="F8" s="16">
        <v>0.0</v>
      </c>
      <c r="G8" s="16">
        <v>0.0</v>
      </c>
      <c r="H8" s="16">
        <v>1.0</v>
      </c>
      <c r="I8" s="16">
        <v>0.0</v>
      </c>
      <c r="J8" s="19">
        <v>46203.12553240741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 t="s">
        <v>35</v>
      </c>
      <c r="B9" s="16" t="b">
        <v>1</v>
      </c>
      <c r="C9" s="16">
        <v>0.7</v>
      </c>
      <c r="D9" s="16">
        <v>49.0</v>
      </c>
      <c r="E9" s="16">
        <v>0.0</v>
      </c>
      <c r="F9" s="16">
        <v>0.0</v>
      </c>
      <c r="G9" s="16">
        <v>0.0</v>
      </c>
      <c r="H9" s="16">
        <v>1.0</v>
      </c>
      <c r="I9" s="16">
        <v>0.0</v>
      </c>
      <c r="J9" s="19">
        <v>46206.507268518515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6" t="s">
        <v>36</v>
      </c>
      <c r="B10" s="16" t="b">
        <v>1</v>
      </c>
      <c r="C10" s="16">
        <v>0.7</v>
      </c>
      <c r="D10" s="16">
        <v>49.0</v>
      </c>
      <c r="E10" s="16">
        <v>0.0</v>
      </c>
      <c r="F10" s="16">
        <v>0.0</v>
      </c>
      <c r="G10" s="16">
        <v>0.0</v>
      </c>
      <c r="H10" s="16">
        <v>1.0</v>
      </c>
      <c r="I10" s="16">
        <v>0.0</v>
      </c>
      <c r="J10" s="19">
        <v>46207.281493055554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6" t="s">
        <v>39</v>
      </c>
      <c r="B11" s="16" t="b">
        <v>1</v>
      </c>
      <c r="C11" s="16">
        <v>0.7</v>
      </c>
      <c r="D11" s="16">
        <v>49.0</v>
      </c>
      <c r="E11" s="16">
        <v>0.0</v>
      </c>
      <c r="F11" s="16">
        <v>0.0</v>
      </c>
      <c r="G11" s="16">
        <v>0.0</v>
      </c>
      <c r="H11" s="16">
        <v>1.0</v>
      </c>
      <c r="I11" s="16">
        <v>0.0</v>
      </c>
      <c r="J11" s="19">
        <v>46205.8455787037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6" t="s">
        <v>40</v>
      </c>
      <c r="B12" s="16" t="b">
        <v>1</v>
      </c>
      <c r="C12" s="16">
        <v>0.7</v>
      </c>
      <c r="D12" s="16">
        <v>49.0</v>
      </c>
      <c r="E12" s="16">
        <v>0.0</v>
      </c>
      <c r="F12" s="16">
        <v>0.0</v>
      </c>
      <c r="G12" s="16">
        <v>0.0</v>
      </c>
      <c r="H12" s="16">
        <v>1.0</v>
      </c>
      <c r="I12" s="16">
        <v>0.0</v>
      </c>
      <c r="J12" s="19">
        <v>46203.14407407407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6" t="s">
        <v>42</v>
      </c>
      <c r="B13" s="16" t="b">
        <v>1</v>
      </c>
      <c r="C13" s="16">
        <v>0.7</v>
      </c>
      <c r="D13" s="16">
        <v>49.0</v>
      </c>
      <c r="E13" s="16">
        <v>0.0</v>
      </c>
      <c r="F13" s="16">
        <v>0.0</v>
      </c>
      <c r="G13" s="16">
        <v>0.0</v>
      </c>
      <c r="H13" s="16">
        <v>1.0</v>
      </c>
      <c r="I13" s="16">
        <v>0.0</v>
      </c>
      <c r="J13" s="19">
        <v>46206.30877314815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6" t="s">
        <v>44</v>
      </c>
      <c r="B14" s="16" t="b">
        <v>1</v>
      </c>
      <c r="C14" s="16">
        <v>0.7</v>
      </c>
      <c r="D14" s="16">
        <v>49.0</v>
      </c>
      <c r="E14" s="16">
        <v>0.0</v>
      </c>
      <c r="F14" s="16">
        <v>0.0</v>
      </c>
      <c r="G14" s="16">
        <v>0.0</v>
      </c>
      <c r="H14" s="16">
        <v>1.0</v>
      </c>
      <c r="I14" s="16">
        <v>0.0</v>
      </c>
      <c r="J14" s="19">
        <v>46205.88732638889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6" t="s">
        <v>48</v>
      </c>
      <c r="B15" s="16" t="b">
        <v>1</v>
      </c>
      <c r="C15" s="16">
        <v>0.7</v>
      </c>
      <c r="D15" s="16">
        <v>49.0</v>
      </c>
      <c r="E15" s="16">
        <v>0.0</v>
      </c>
      <c r="F15" s="16">
        <v>0.0</v>
      </c>
      <c r="G15" s="16">
        <v>0.0</v>
      </c>
      <c r="H15" s="16">
        <v>1.0</v>
      </c>
      <c r="I15" s="16">
        <v>0.0</v>
      </c>
      <c r="J15" s="19">
        <v>46204.40244212963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6" t="s">
        <v>50</v>
      </c>
      <c r="B16" s="16" t="b">
        <v>1</v>
      </c>
      <c r="C16" s="16">
        <v>0.7</v>
      </c>
      <c r="D16" s="16">
        <v>49.0</v>
      </c>
      <c r="E16" s="16">
        <v>0.0</v>
      </c>
      <c r="F16" s="16">
        <v>0.0</v>
      </c>
      <c r="G16" s="16">
        <v>0.0</v>
      </c>
      <c r="H16" s="16">
        <v>1.0</v>
      </c>
      <c r="I16" s="16">
        <v>0.0</v>
      </c>
      <c r="J16" s="19">
        <v>46204.85400462963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6" t="s">
        <v>53</v>
      </c>
      <c r="B17" s="16" t="b">
        <v>1</v>
      </c>
      <c r="C17" s="16">
        <v>0.7</v>
      </c>
      <c r="D17" s="16">
        <v>49.0</v>
      </c>
      <c r="E17" s="16">
        <v>0.0</v>
      </c>
      <c r="F17" s="16">
        <v>0.0</v>
      </c>
      <c r="G17" s="16">
        <v>0.0</v>
      </c>
      <c r="H17" s="16">
        <v>1.0</v>
      </c>
      <c r="I17" s="16">
        <v>0.0</v>
      </c>
      <c r="J17" s="19">
        <v>46206.2975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6" t="s">
        <v>55</v>
      </c>
      <c r="B18" s="16" t="b">
        <v>1</v>
      </c>
      <c r="C18" s="16">
        <v>0.7</v>
      </c>
      <c r="D18" s="16">
        <v>49.0</v>
      </c>
      <c r="E18" s="16">
        <v>0.0</v>
      </c>
      <c r="F18" s="16">
        <v>0.0</v>
      </c>
      <c r="G18" s="16">
        <v>0.0</v>
      </c>
      <c r="H18" s="16">
        <v>1.0</v>
      </c>
      <c r="I18" s="16">
        <v>0.0</v>
      </c>
      <c r="J18" s="19">
        <v>46213.33795138889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6" t="s">
        <v>58</v>
      </c>
      <c r="B19" s="16" t="b">
        <v>1</v>
      </c>
      <c r="C19" s="16">
        <v>0.7</v>
      </c>
      <c r="D19" s="16">
        <v>49.0</v>
      </c>
      <c r="E19" s="16">
        <v>0.0</v>
      </c>
      <c r="F19" s="16">
        <v>0.0</v>
      </c>
      <c r="G19" s="16">
        <v>0.0</v>
      </c>
      <c r="H19" s="16">
        <v>1.0</v>
      </c>
      <c r="I19" s="16">
        <v>0.0</v>
      </c>
      <c r="J19" s="19">
        <v>46204.40226851852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6" t="s">
        <v>61</v>
      </c>
      <c r="B20" s="16" t="b">
        <v>1</v>
      </c>
      <c r="C20" s="16">
        <v>0.7</v>
      </c>
      <c r="D20" s="16">
        <v>49.0</v>
      </c>
      <c r="E20" s="16">
        <v>0.0</v>
      </c>
      <c r="F20" s="16">
        <v>0.0</v>
      </c>
      <c r="G20" s="16">
        <v>0.0</v>
      </c>
      <c r="H20" s="16">
        <v>1.0</v>
      </c>
      <c r="I20" s="16">
        <v>0.0</v>
      </c>
      <c r="J20" s="19">
        <v>46203.94648148148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6" t="s">
        <v>63</v>
      </c>
      <c r="B21" s="16" t="b">
        <v>1</v>
      </c>
      <c r="C21" s="16">
        <v>0.7</v>
      </c>
      <c r="D21" s="16">
        <v>49.0</v>
      </c>
      <c r="E21" s="16">
        <v>0.0</v>
      </c>
      <c r="F21" s="16">
        <v>0.0</v>
      </c>
      <c r="G21" s="16">
        <v>0.0</v>
      </c>
      <c r="H21" s="16">
        <v>1.0</v>
      </c>
      <c r="I21" s="16">
        <v>0.0</v>
      </c>
      <c r="J21" s="19">
        <v>46204.10296296296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6" t="s">
        <v>66</v>
      </c>
      <c r="B22" s="16" t="b">
        <v>1</v>
      </c>
      <c r="C22" s="16">
        <v>0.7</v>
      </c>
      <c r="D22" s="16">
        <v>49.0</v>
      </c>
      <c r="E22" s="16">
        <v>0.0</v>
      </c>
      <c r="F22" s="16">
        <v>0.0</v>
      </c>
      <c r="G22" s="16">
        <v>0.0</v>
      </c>
      <c r="H22" s="16">
        <v>1.0</v>
      </c>
      <c r="I22" s="16">
        <v>0.0</v>
      </c>
      <c r="J22" s="19">
        <v>46215.77513888889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6" t="s">
        <v>68</v>
      </c>
      <c r="B23" s="16" t="b">
        <v>1</v>
      </c>
      <c r="C23" s="16">
        <v>0.7</v>
      </c>
      <c r="D23" s="16">
        <v>49.0</v>
      </c>
      <c r="E23" s="16">
        <v>0.0</v>
      </c>
      <c r="F23" s="16">
        <v>0.0</v>
      </c>
      <c r="G23" s="16">
        <v>0.0</v>
      </c>
      <c r="H23" s="16">
        <v>1.0</v>
      </c>
      <c r="I23" s="16">
        <v>0.0</v>
      </c>
      <c r="J23" s="19">
        <v>46205.287766203706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6" t="s">
        <v>70</v>
      </c>
      <c r="B24" s="16" t="b">
        <v>1</v>
      </c>
      <c r="C24" s="16">
        <v>0.7</v>
      </c>
      <c r="D24" s="16">
        <v>49.0</v>
      </c>
      <c r="E24" s="16">
        <v>0.0</v>
      </c>
      <c r="F24" s="16">
        <v>0.0</v>
      </c>
      <c r="G24" s="16">
        <v>0.0</v>
      </c>
      <c r="H24" s="16">
        <v>1.0</v>
      </c>
      <c r="I24" s="16">
        <v>0.0</v>
      </c>
      <c r="J24" s="19">
        <v>46204.14797453704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6" t="s">
        <v>72</v>
      </c>
      <c r="B25" s="16" t="b">
        <v>1</v>
      </c>
      <c r="C25" s="16">
        <v>0.7</v>
      </c>
      <c r="D25" s="16">
        <v>49.0</v>
      </c>
      <c r="E25" s="16">
        <v>0.0</v>
      </c>
      <c r="F25" s="16">
        <v>0.0</v>
      </c>
      <c r="G25" s="16">
        <v>0.0</v>
      </c>
      <c r="H25" s="16">
        <v>1.0</v>
      </c>
      <c r="I25" s="16">
        <v>0.0</v>
      </c>
      <c r="J25" s="19">
        <v>46205.62298611111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6" t="s">
        <v>75</v>
      </c>
      <c r="B26" s="16" t="b">
        <v>1</v>
      </c>
      <c r="C26" s="16">
        <v>0.7</v>
      </c>
      <c r="D26" s="16">
        <v>49.0</v>
      </c>
      <c r="E26" s="16">
        <v>0.0</v>
      </c>
      <c r="F26" s="16">
        <v>0.0</v>
      </c>
      <c r="G26" s="16">
        <v>0.0</v>
      </c>
      <c r="H26" s="16">
        <v>1.0</v>
      </c>
      <c r="I26" s="16">
        <v>0.0</v>
      </c>
      <c r="J26" s="19">
        <v>46205.86399305556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6" t="s">
        <v>77</v>
      </c>
      <c r="B27" s="16" t="b">
        <v>1</v>
      </c>
      <c r="C27" s="16">
        <v>0.7</v>
      </c>
      <c r="D27" s="16">
        <v>49.0</v>
      </c>
      <c r="E27" s="16">
        <v>0.0</v>
      </c>
      <c r="F27" s="16">
        <v>0.0</v>
      </c>
      <c r="G27" s="16">
        <v>0.0</v>
      </c>
      <c r="H27" s="16">
        <v>1.0</v>
      </c>
      <c r="I27" s="16">
        <v>0.0</v>
      </c>
      <c r="J27" s="19">
        <v>46204.37480324074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6" t="s">
        <v>79</v>
      </c>
      <c r="B28" s="16" t="b">
        <v>1</v>
      </c>
      <c r="C28" s="16">
        <v>0.7</v>
      </c>
      <c r="D28" s="16">
        <v>49.0</v>
      </c>
      <c r="E28" s="16">
        <v>0.0</v>
      </c>
      <c r="F28" s="16">
        <v>0.0</v>
      </c>
      <c r="G28" s="16">
        <v>0.0</v>
      </c>
      <c r="H28" s="16">
        <v>1.0</v>
      </c>
      <c r="I28" s="16">
        <v>0.0</v>
      </c>
      <c r="J28" s="19">
        <v>46203.13684027778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4" t="s">
        <v>81</v>
      </c>
      <c r="B29" s="16" t="b">
        <v>1</v>
      </c>
      <c r="C29" s="16">
        <v>0.0</v>
      </c>
      <c r="D29" s="16">
        <v>34.0</v>
      </c>
      <c r="E29" s="16">
        <v>73577.0</v>
      </c>
      <c r="F29" s="16">
        <v>0.0</v>
      </c>
      <c r="G29" s="16">
        <v>0.0</v>
      </c>
      <c r="H29" s="16">
        <v>2.0</v>
      </c>
      <c r="I29" s="16">
        <v>1.0</v>
      </c>
      <c r="J29" s="19">
        <v>46211.65775462963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6" t="s">
        <v>84</v>
      </c>
      <c r="B30" s="16" t="b">
        <v>1</v>
      </c>
      <c r="C30" s="16">
        <v>0.0</v>
      </c>
      <c r="D30" s="16">
        <v>0.0</v>
      </c>
      <c r="E30" s="16">
        <v>0.0</v>
      </c>
      <c r="F30" s="16">
        <v>0.0</v>
      </c>
      <c r="G30" s="16">
        <v>0.0</v>
      </c>
      <c r="H30" s="16">
        <v>1.0</v>
      </c>
      <c r="I30" s="16">
        <v>0.0</v>
      </c>
      <c r="J30" s="19">
        <v>46226.01215277778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6" t="s">
        <v>88</v>
      </c>
      <c r="B31" s="16" t="b">
        <v>1</v>
      </c>
      <c r="C31" s="16">
        <v>0.0</v>
      </c>
      <c r="D31" s="16">
        <v>0.0</v>
      </c>
      <c r="E31" s="16">
        <v>0.0</v>
      </c>
      <c r="F31" s="16">
        <v>0.0</v>
      </c>
      <c r="G31" s="16">
        <v>0.0</v>
      </c>
      <c r="H31" s="16">
        <v>1.0</v>
      </c>
      <c r="I31" s="16">
        <v>0.0</v>
      </c>
      <c r="J31" s="19">
        <v>46232.70959490741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6" t="s">
        <v>90</v>
      </c>
      <c r="B32" s="16" t="b">
        <v>1</v>
      </c>
      <c r="C32" s="16">
        <v>0.0</v>
      </c>
      <c r="D32" s="16">
        <v>0.0</v>
      </c>
      <c r="E32" s="16">
        <v>0.0</v>
      </c>
      <c r="F32" s="16">
        <v>0.0</v>
      </c>
      <c r="G32" s="16">
        <v>0.0</v>
      </c>
      <c r="H32" s="16">
        <v>1.0</v>
      </c>
      <c r="I32" s="16">
        <v>0.0</v>
      </c>
      <c r="J32" s="19">
        <v>46227.292233796295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6" t="s">
        <v>92</v>
      </c>
      <c r="B33" s="16" t="b">
        <v>1</v>
      </c>
      <c r="C33" s="16">
        <v>0.0</v>
      </c>
      <c r="D33" s="16">
        <v>0.0</v>
      </c>
      <c r="E33" s="16">
        <v>0.0</v>
      </c>
      <c r="F33" s="16">
        <v>0.0</v>
      </c>
      <c r="G33" s="16">
        <v>0.0</v>
      </c>
      <c r="H33" s="16">
        <v>1.0</v>
      </c>
      <c r="I33" s="16">
        <v>0.0</v>
      </c>
      <c r="J33" s="19">
        <v>46228.600127314814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6" t="s">
        <v>96</v>
      </c>
      <c r="B34" s="16" t="b">
        <v>1</v>
      </c>
      <c r="C34" s="16">
        <v>0.0</v>
      </c>
      <c r="D34" s="16">
        <v>0.0</v>
      </c>
      <c r="E34" s="16">
        <v>0.0</v>
      </c>
      <c r="F34" s="16">
        <v>0.0</v>
      </c>
      <c r="G34" s="16">
        <v>0.0</v>
      </c>
      <c r="H34" s="16">
        <v>1.0</v>
      </c>
      <c r="I34" s="16">
        <v>0.0</v>
      </c>
      <c r="J34" s="19">
        <v>46224.071388888886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6" t="s">
        <v>99</v>
      </c>
      <c r="B35" s="16" t="b">
        <v>1</v>
      </c>
      <c r="C35" s="16">
        <v>0.0</v>
      </c>
      <c r="D35" s="16">
        <v>0.0</v>
      </c>
      <c r="E35" s="16">
        <v>0.0</v>
      </c>
      <c r="F35" s="16">
        <v>0.0</v>
      </c>
      <c r="G35" s="16">
        <v>0.0</v>
      </c>
      <c r="H35" s="16">
        <v>1.0</v>
      </c>
      <c r="I35" s="16">
        <v>0.0</v>
      </c>
      <c r="J35" s="19">
        <v>46227.2790625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6" t="s">
        <v>103</v>
      </c>
      <c r="B36" s="16" t="b">
        <v>1</v>
      </c>
      <c r="C36" s="16">
        <v>0.0</v>
      </c>
      <c r="D36" s="16">
        <v>0.0</v>
      </c>
      <c r="E36" s="16">
        <v>0.0</v>
      </c>
      <c r="F36" s="16">
        <v>0.0</v>
      </c>
      <c r="G36" s="16">
        <v>0.0</v>
      </c>
      <c r="H36" s="16">
        <v>1.0</v>
      </c>
      <c r="I36" s="16">
        <v>0.0</v>
      </c>
      <c r="J36" s="19">
        <v>46227.660266203704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6" t="s">
        <v>105</v>
      </c>
      <c r="B37" s="16" t="b">
        <v>1</v>
      </c>
      <c r="C37" s="16">
        <v>0.0</v>
      </c>
      <c r="D37" s="16">
        <v>0.0</v>
      </c>
      <c r="E37" s="16">
        <v>0.0</v>
      </c>
      <c r="F37" s="16">
        <v>0.0</v>
      </c>
      <c r="G37" s="16">
        <v>0.0</v>
      </c>
      <c r="H37" s="16">
        <v>1.0</v>
      </c>
      <c r="I37" s="16">
        <v>0.0</v>
      </c>
      <c r="J37" s="19">
        <v>46224.0678125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6" t="s">
        <v>107</v>
      </c>
      <c r="B38" s="16" t="b">
        <v>1</v>
      </c>
      <c r="C38" s="16">
        <v>0.0</v>
      </c>
      <c r="D38" s="16">
        <v>0.0</v>
      </c>
      <c r="E38" s="16">
        <v>0.0</v>
      </c>
      <c r="F38" s="16">
        <v>0.0</v>
      </c>
      <c r="G38" s="16">
        <v>0.0</v>
      </c>
      <c r="H38" s="16">
        <v>1.0</v>
      </c>
      <c r="I38" s="16">
        <v>0.0</v>
      </c>
      <c r="J38" s="19">
        <v>46226.178298611114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6" t="s">
        <v>109</v>
      </c>
      <c r="B39" s="16" t="b">
        <v>1</v>
      </c>
      <c r="C39" s="16">
        <v>0.0</v>
      </c>
      <c r="D39" s="16">
        <v>0.0</v>
      </c>
      <c r="E39" s="16">
        <v>0.0</v>
      </c>
      <c r="F39" s="16">
        <v>0.0</v>
      </c>
      <c r="G39" s="16">
        <v>0.0</v>
      </c>
      <c r="H39" s="16">
        <v>1.0</v>
      </c>
      <c r="I39" s="16">
        <v>0.0</v>
      </c>
      <c r="J39" s="19">
        <v>46224.297997685186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6" t="s">
        <v>111</v>
      </c>
      <c r="B40" s="16" t="b">
        <v>1</v>
      </c>
      <c r="C40" s="16">
        <v>0.0</v>
      </c>
      <c r="D40" s="16">
        <v>0.0</v>
      </c>
      <c r="E40" s="16">
        <v>0.0</v>
      </c>
      <c r="F40" s="16">
        <v>0.0</v>
      </c>
      <c r="G40" s="16">
        <v>0.0</v>
      </c>
      <c r="H40" s="16">
        <v>1.0</v>
      </c>
      <c r="I40" s="16">
        <v>0.0</v>
      </c>
      <c r="J40" s="19">
        <v>46232.70209490741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6" t="s">
        <v>113</v>
      </c>
      <c r="B41" s="16" t="b">
        <v>1</v>
      </c>
      <c r="C41" s="16">
        <v>0.0</v>
      </c>
      <c r="D41" s="16">
        <v>0.0</v>
      </c>
      <c r="E41" s="16">
        <v>0.0</v>
      </c>
      <c r="F41" s="16">
        <v>0.0</v>
      </c>
      <c r="G41" s="16">
        <v>0.0</v>
      </c>
      <c r="H41" s="16">
        <v>1.0</v>
      </c>
      <c r="I41" s="16">
        <v>0.0</v>
      </c>
      <c r="J41" s="19">
        <v>46227.167858796296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6" t="s">
        <v>116</v>
      </c>
      <c r="B42" s="16" t="b">
        <v>1</v>
      </c>
      <c r="C42" s="16">
        <v>0.0</v>
      </c>
      <c r="D42" s="16">
        <v>0.0</v>
      </c>
      <c r="E42" s="16">
        <v>0.0</v>
      </c>
      <c r="F42" s="16">
        <v>0.0</v>
      </c>
      <c r="G42" s="16">
        <v>0.0</v>
      </c>
      <c r="H42" s="16">
        <v>1.0</v>
      </c>
      <c r="I42" s="16">
        <v>0.0</v>
      </c>
      <c r="J42" s="19">
        <v>46227.00150462963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6" t="s">
        <v>118</v>
      </c>
      <c r="B43" s="16" t="b">
        <v>1</v>
      </c>
      <c r="C43" s="16">
        <v>0.0</v>
      </c>
      <c r="D43" s="16">
        <v>0.0</v>
      </c>
      <c r="E43" s="16">
        <v>0.0</v>
      </c>
      <c r="F43" s="16">
        <v>0.0</v>
      </c>
      <c r="G43" s="16">
        <v>0.0</v>
      </c>
      <c r="H43" s="16">
        <v>1.0</v>
      </c>
      <c r="I43" s="16">
        <v>0.0</v>
      </c>
      <c r="J43" s="19">
        <v>46231.89050925926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6" t="s">
        <v>121</v>
      </c>
      <c r="B44" s="16" t="b">
        <v>1</v>
      </c>
      <c r="C44" s="16">
        <v>0.0</v>
      </c>
      <c r="D44" s="16">
        <v>0.0</v>
      </c>
      <c r="E44" s="16">
        <v>0.0</v>
      </c>
      <c r="F44" s="16">
        <v>0.0</v>
      </c>
      <c r="G44" s="16">
        <v>0.0</v>
      </c>
      <c r="H44" s="16">
        <v>1.0</v>
      </c>
      <c r="I44" s="16">
        <v>0.0</v>
      </c>
      <c r="J44" s="19">
        <v>46227.43819444445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6" t="s">
        <v>122</v>
      </c>
      <c r="B45" s="16" t="b">
        <v>1</v>
      </c>
      <c r="C45" s="16">
        <v>0.0</v>
      </c>
      <c r="D45" s="16">
        <v>0.0</v>
      </c>
      <c r="E45" s="16">
        <v>0.0</v>
      </c>
      <c r="F45" s="16">
        <v>0.0</v>
      </c>
      <c r="G45" s="16">
        <v>0.0</v>
      </c>
      <c r="H45" s="16">
        <v>1.0</v>
      </c>
      <c r="I45" s="16">
        <v>0.0</v>
      </c>
      <c r="J45" s="19">
        <v>46226.393645833334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6" t="s">
        <v>125</v>
      </c>
      <c r="B46" s="16" t="b">
        <v>1</v>
      </c>
      <c r="C46" s="16">
        <v>0.0</v>
      </c>
      <c r="D46" s="16">
        <v>0.0</v>
      </c>
      <c r="E46" s="16">
        <v>0.0</v>
      </c>
      <c r="F46" s="16">
        <v>0.0</v>
      </c>
      <c r="G46" s="16">
        <v>0.0</v>
      </c>
      <c r="H46" s="16">
        <v>1.0</v>
      </c>
      <c r="I46" s="16">
        <v>0.0</v>
      </c>
      <c r="J46" s="19">
        <v>46227.30243055556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6" t="s">
        <v>128</v>
      </c>
      <c r="B47" s="16" t="b">
        <v>1</v>
      </c>
      <c r="C47" s="16">
        <v>0.0</v>
      </c>
      <c r="D47" s="16">
        <v>0.0</v>
      </c>
      <c r="E47" s="16">
        <v>0.0</v>
      </c>
      <c r="F47" s="16">
        <v>0.0</v>
      </c>
      <c r="G47" s="16">
        <v>0.0</v>
      </c>
      <c r="H47" s="16">
        <v>1.0</v>
      </c>
      <c r="I47" s="16">
        <v>0.0</v>
      </c>
      <c r="J47" s="19">
        <v>46222.396828703706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6" t="s">
        <v>131</v>
      </c>
      <c r="B48" s="16" t="b">
        <v>1</v>
      </c>
      <c r="C48" s="16">
        <v>0.0</v>
      </c>
      <c r="D48" s="16">
        <v>0.0</v>
      </c>
      <c r="E48" s="16">
        <v>0.0</v>
      </c>
      <c r="F48" s="16">
        <v>0.0</v>
      </c>
      <c r="G48" s="16">
        <v>0.0</v>
      </c>
      <c r="H48" s="16">
        <v>1.0</v>
      </c>
      <c r="I48" s="16">
        <v>0.0</v>
      </c>
      <c r="J48" s="19">
        <v>46227.296875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6" t="s">
        <v>133</v>
      </c>
      <c r="B49" s="16" t="b">
        <v>1</v>
      </c>
      <c r="C49" s="16">
        <v>0.0</v>
      </c>
      <c r="D49" s="16">
        <v>0.0</v>
      </c>
      <c r="E49" s="16">
        <v>0.0</v>
      </c>
      <c r="F49" s="16">
        <v>0.0</v>
      </c>
      <c r="G49" s="16">
        <v>0.0</v>
      </c>
      <c r="H49" s="16">
        <v>1.0</v>
      </c>
      <c r="I49" s="16">
        <v>0.0</v>
      </c>
      <c r="J49" s="19">
        <v>46226.772835648146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6" t="s">
        <v>135</v>
      </c>
      <c r="B50" s="16" t="b">
        <v>1</v>
      </c>
      <c r="C50" s="16">
        <v>0.0</v>
      </c>
      <c r="D50" s="16">
        <v>0.0</v>
      </c>
      <c r="E50" s="16">
        <v>0.0</v>
      </c>
      <c r="F50" s="16">
        <v>0.0</v>
      </c>
      <c r="G50" s="16">
        <v>0.0</v>
      </c>
      <c r="H50" s="16">
        <v>1.0</v>
      </c>
      <c r="I50" s="16">
        <v>0.0</v>
      </c>
      <c r="J50" s="19">
        <v>46222.36907407407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6" t="s">
        <v>138</v>
      </c>
      <c r="B51" s="16" t="b">
        <v>1</v>
      </c>
      <c r="C51" s="16">
        <v>0.0</v>
      </c>
      <c r="D51" s="16">
        <v>0.0</v>
      </c>
      <c r="E51" s="16">
        <v>0.0</v>
      </c>
      <c r="F51" s="16">
        <v>0.0</v>
      </c>
      <c r="G51" s="16">
        <v>0.0</v>
      </c>
      <c r="H51" s="16">
        <v>1.0</v>
      </c>
      <c r="I51" s="16">
        <v>0.0</v>
      </c>
      <c r="J51" s="19">
        <v>46232.11646990741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6" t="s">
        <v>140</v>
      </c>
      <c r="B52" s="16" t="b">
        <v>1</v>
      </c>
      <c r="C52" s="16">
        <v>0.0</v>
      </c>
      <c r="D52" s="16">
        <v>0.0</v>
      </c>
      <c r="E52" s="16">
        <v>0.0</v>
      </c>
      <c r="F52" s="16">
        <v>0.0</v>
      </c>
      <c r="G52" s="16">
        <v>0.0</v>
      </c>
      <c r="H52" s="16">
        <v>1.0</v>
      </c>
      <c r="I52" s="16">
        <v>0.0</v>
      </c>
      <c r="J52" s="19">
        <v>46226.70199074074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6" t="s">
        <v>141</v>
      </c>
      <c r="B53" s="16" t="b">
        <v>1</v>
      </c>
      <c r="C53" s="16">
        <v>0.0</v>
      </c>
      <c r="D53" s="16">
        <v>0.0</v>
      </c>
      <c r="E53" s="16">
        <v>0.0</v>
      </c>
      <c r="F53" s="16">
        <v>0.0</v>
      </c>
      <c r="G53" s="16">
        <v>0.0</v>
      </c>
      <c r="H53" s="16">
        <v>1.0</v>
      </c>
      <c r="I53" s="16">
        <v>0.0</v>
      </c>
      <c r="J53" s="19">
        <v>46222.89733796296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6" t="s">
        <v>145</v>
      </c>
      <c r="B54" s="16" t="b">
        <v>1</v>
      </c>
      <c r="C54" s="16">
        <v>0.0</v>
      </c>
      <c r="D54" s="16">
        <v>0.0</v>
      </c>
      <c r="E54" s="16">
        <v>0.0</v>
      </c>
      <c r="F54" s="16">
        <v>0.0</v>
      </c>
      <c r="G54" s="16">
        <v>0.0</v>
      </c>
      <c r="H54" s="16">
        <v>1.0</v>
      </c>
      <c r="I54" s="16">
        <v>0.0</v>
      </c>
      <c r="J54" s="19">
        <v>46225.97039351852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6" t="s">
        <v>148</v>
      </c>
      <c r="B55" s="16" t="b">
        <v>1</v>
      </c>
      <c r="C55" s="16">
        <v>0.0</v>
      </c>
      <c r="D55" s="16">
        <v>0.0</v>
      </c>
      <c r="E55" s="16">
        <v>0.0</v>
      </c>
      <c r="F55" s="16">
        <v>0.0</v>
      </c>
      <c r="G55" s="16">
        <v>0.0</v>
      </c>
      <c r="H55" s="16">
        <v>1.0</v>
      </c>
      <c r="I55" s="16">
        <v>0.0</v>
      </c>
      <c r="J55" s="19">
        <v>46226.161678240744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6" t="s">
        <v>150</v>
      </c>
      <c r="B56" s="16" t="b">
        <v>1</v>
      </c>
      <c r="C56" s="16">
        <v>0.0</v>
      </c>
      <c r="D56" s="16">
        <v>0.0</v>
      </c>
      <c r="E56" s="16">
        <v>0.0</v>
      </c>
      <c r="F56" s="16">
        <v>0.0</v>
      </c>
      <c r="G56" s="16">
        <v>0.0</v>
      </c>
      <c r="H56" s="16">
        <v>1.0</v>
      </c>
      <c r="I56" s="16">
        <v>0.0</v>
      </c>
      <c r="J56" s="19">
        <v>46230.301886574074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6" t="s">
        <v>153</v>
      </c>
      <c r="B57" s="16" t="b">
        <v>1</v>
      </c>
      <c r="C57" s="16">
        <v>0.0</v>
      </c>
      <c r="D57" s="16">
        <v>0.0</v>
      </c>
      <c r="E57" s="16">
        <v>0.0</v>
      </c>
      <c r="F57" s="16">
        <v>0.0</v>
      </c>
      <c r="G57" s="16">
        <v>0.0</v>
      </c>
      <c r="H57" s="16">
        <v>1.0</v>
      </c>
      <c r="I57" s="16">
        <v>0.0</v>
      </c>
      <c r="J57" s="19">
        <v>46227.37583333333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6" t="s">
        <v>155</v>
      </c>
      <c r="B58" s="16" t="b">
        <v>1</v>
      </c>
      <c r="C58" s="16">
        <v>0.0</v>
      </c>
      <c r="D58" s="16">
        <v>0.0</v>
      </c>
      <c r="E58" s="16">
        <v>0.0</v>
      </c>
      <c r="F58" s="16">
        <v>0.0</v>
      </c>
      <c r="G58" s="16">
        <v>0.0</v>
      </c>
      <c r="H58" s="16">
        <v>1.0</v>
      </c>
      <c r="I58" s="16">
        <v>0.0</v>
      </c>
      <c r="J58" s="19">
        <v>46227.210914351854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6" t="s">
        <v>158</v>
      </c>
      <c r="B59" s="16" t="b">
        <v>1</v>
      </c>
      <c r="C59" s="16">
        <v>0.0</v>
      </c>
      <c r="D59" s="16">
        <v>0.0</v>
      </c>
      <c r="E59" s="16">
        <v>0.0</v>
      </c>
      <c r="F59" s="16">
        <v>0.0</v>
      </c>
      <c r="G59" s="16">
        <v>0.0</v>
      </c>
      <c r="H59" s="16">
        <v>1.0</v>
      </c>
      <c r="I59" s="16">
        <v>0.0</v>
      </c>
      <c r="J59" s="19">
        <v>46227.441412037035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6" t="s">
        <v>161</v>
      </c>
      <c r="B60" s="16" t="b">
        <v>1</v>
      </c>
      <c r="C60" s="16">
        <v>0.0</v>
      </c>
      <c r="D60" s="16">
        <v>0.0</v>
      </c>
      <c r="E60" s="16">
        <v>0.0</v>
      </c>
      <c r="F60" s="16">
        <v>0.0</v>
      </c>
      <c r="G60" s="16">
        <v>0.0</v>
      </c>
      <c r="H60" s="16">
        <v>1.0</v>
      </c>
      <c r="I60" s="16">
        <v>0.0</v>
      </c>
      <c r="J60" s="19">
        <v>46229.312627314815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6" t="s">
        <v>165</v>
      </c>
      <c r="B61" s="16" t="b">
        <v>1</v>
      </c>
      <c r="C61" s="16">
        <v>0.0</v>
      </c>
      <c r="D61" s="16">
        <v>0.0</v>
      </c>
      <c r="E61" s="16">
        <v>0.0</v>
      </c>
      <c r="F61" s="16">
        <v>0.0</v>
      </c>
      <c r="G61" s="16">
        <v>0.0</v>
      </c>
      <c r="H61" s="16">
        <v>1.0</v>
      </c>
      <c r="I61" s="16">
        <v>0.0</v>
      </c>
      <c r="J61" s="19">
        <v>46226.1565162037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6" t="s">
        <v>170</v>
      </c>
      <c r="B62" s="16" t="b">
        <v>1</v>
      </c>
      <c r="C62" s="16">
        <v>0.0</v>
      </c>
      <c r="D62" s="16">
        <v>0.0</v>
      </c>
      <c r="E62" s="16">
        <v>0.0</v>
      </c>
      <c r="F62" s="16">
        <v>0.0</v>
      </c>
      <c r="G62" s="16">
        <v>0.0</v>
      </c>
      <c r="H62" s="16">
        <v>1.0</v>
      </c>
      <c r="I62" s="16">
        <v>0.0</v>
      </c>
      <c r="J62" s="19">
        <v>46224.582604166666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6" t="s">
        <v>175</v>
      </c>
      <c r="B63" s="16" t="b">
        <v>1</v>
      </c>
      <c r="C63" s="16">
        <v>0.0</v>
      </c>
      <c r="D63" s="16">
        <v>0.0</v>
      </c>
      <c r="E63" s="16">
        <v>0.0</v>
      </c>
      <c r="F63" s="16">
        <v>0.0</v>
      </c>
      <c r="G63" s="16">
        <v>0.0</v>
      </c>
      <c r="H63" s="16">
        <v>1.0</v>
      </c>
      <c r="I63" s="16">
        <v>0.0</v>
      </c>
      <c r="J63" s="19">
        <v>46228.613912037035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6" t="s">
        <v>178</v>
      </c>
      <c r="B64" s="16" t="b">
        <v>1</v>
      </c>
      <c r="C64" s="16">
        <v>0.0</v>
      </c>
      <c r="D64" s="16">
        <v>0.0</v>
      </c>
      <c r="E64" s="16">
        <v>0.0</v>
      </c>
      <c r="F64" s="16">
        <v>0.0</v>
      </c>
      <c r="G64" s="16">
        <v>0.0</v>
      </c>
      <c r="H64" s="16">
        <v>1.0</v>
      </c>
      <c r="I64" s="16">
        <v>0.0</v>
      </c>
      <c r="J64" s="19">
        <v>46231.624085648145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6" t="s">
        <v>182</v>
      </c>
      <c r="B65" s="16" t="b">
        <v>1</v>
      </c>
      <c r="C65" s="16">
        <v>0.0</v>
      </c>
      <c r="D65" s="16">
        <v>0.0</v>
      </c>
      <c r="E65" s="16">
        <v>0.0</v>
      </c>
      <c r="F65" s="16">
        <v>0.0</v>
      </c>
      <c r="G65" s="16">
        <v>0.0</v>
      </c>
      <c r="H65" s="16">
        <v>1.0</v>
      </c>
      <c r="I65" s="16">
        <v>0.0</v>
      </c>
      <c r="J65" s="19">
        <v>46226.925150462965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6" t="s">
        <v>185</v>
      </c>
      <c r="B66" s="16" t="b">
        <v>1</v>
      </c>
      <c r="C66" s="16">
        <v>0.0</v>
      </c>
      <c r="D66" s="16">
        <v>0.0</v>
      </c>
      <c r="E66" s="16">
        <v>0.0</v>
      </c>
      <c r="F66" s="16">
        <v>0.0</v>
      </c>
      <c r="G66" s="16">
        <v>0.0</v>
      </c>
      <c r="H66" s="16">
        <v>1.0</v>
      </c>
      <c r="I66" s="16">
        <v>0.0</v>
      </c>
      <c r="J66" s="19">
        <v>46227.32642361111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6" t="s">
        <v>188</v>
      </c>
      <c r="B67" s="16" t="b">
        <v>1</v>
      </c>
      <c r="C67" s="16">
        <v>0.0</v>
      </c>
      <c r="D67" s="16">
        <v>0.0</v>
      </c>
      <c r="E67" s="16">
        <v>0.0</v>
      </c>
      <c r="F67" s="16">
        <v>0.0</v>
      </c>
      <c r="G67" s="16">
        <v>0.0</v>
      </c>
      <c r="H67" s="16">
        <v>1.0</v>
      </c>
      <c r="I67" s="16">
        <v>0.0</v>
      </c>
      <c r="J67" s="19">
        <v>46231.52815972222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6" t="s">
        <v>190</v>
      </c>
      <c r="B68" s="16" t="b">
        <v>1</v>
      </c>
      <c r="C68" s="16">
        <v>0.0</v>
      </c>
      <c r="D68" s="16">
        <v>0.0</v>
      </c>
      <c r="E68" s="16">
        <v>0.0</v>
      </c>
      <c r="F68" s="16">
        <v>0.0</v>
      </c>
      <c r="G68" s="16">
        <v>0.0</v>
      </c>
      <c r="H68" s="16">
        <v>1.0</v>
      </c>
      <c r="I68" s="16">
        <v>0.0</v>
      </c>
      <c r="J68" s="19">
        <v>46228.678622685184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6" t="s">
        <v>192</v>
      </c>
      <c r="B69" s="16" t="b">
        <v>1</v>
      </c>
      <c r="C69" s="16">
        <v>0.0</v>
      </c>
      <c r="D69" s="16">
        <v>0.0</v>
      </c>
      <c r="E69" s="16">
        <v>0.0</v>
      </c>
      <c r="F69" s="16">
        <v>0.0</v>
      </c>
      <c r="G69" s="16">
        <v>0.0</v>
      </c>
      <c r="H69" s="16">
        <v>1.0</v>
      </c>
      <c r="I69" s="16">
        <v>0.0</v>
      </c>
      <c r="J69" s="19">
        <v>46227.120474537034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6" t="s">
        <v>196</v>
      </c>
      <c r="B70" s="16" t="b">
        <v>1</v>
      </c>
      <c r="C70" s="16">
        <v>0.0</v>
      </c>
      <c r="D70" s="16">
        <v>0.0</v>
      </c>
      <c r="E70" s="16">
        <v>0.0</v>
      </c>
      <c r="F70" s="16">
        <v>0.0</v>
      </c>
      <c r="G70" s="16">
        <v>0.0</v>
      </c>
      <c r="H70" s="16">
        <v>1.0</v>
      </c>
      <c r="I70" s="16">
        <v>0.0</v>
      </c>
      <c r="J70" s="19">
        <v>46227.93215277778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6" t="s">
        <v>200</v>
      </c>
      <c r="B71" s="16" t="b">
        <v>1</v>
      </c>
      <c r="C71" s="16">
        <v>0.0</v>
      </c>
      <c r="D71" s="16">
        <v>0.0</v>
      </c>
      <c r="E71" s="16">
        <v>0.0</v>
      </c>
      <c r="F71" s="16">
        <v>0.0</v>
      </c>
      <c r="G71" s="16">
        <v>0.0</v>
      </c>
      <c r="H71" s="16">
        <v>1.0</v>
      </c>
      <c r="I71" s="16">
        <v>0.0</v>
      </c>
      <c r="J71" s="19">
        <v>46226.998761574076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6" t="s">
        <v>204</v>
      </c>
      <c r="B72" s="16" t="b">
        <v>1</v>
      </c>
      <c r="C72" s="16">
        <v>0.0</v>
      </c>
      <c r="D72" s="16">
        <v>0.0</v>
      </c>
      <c r="E72" s="16">
        <v>0.0</v>
      </c>
      <c r="F72" s="16">
        <v>0.0</v>
      </c>
      <c r="G72" s="16">
        <v>0.0</v>
      </c>
      <c r="H72" s="16">
        <v>1.0</v>
      </c>
      <c r="I72" s="16">
        <v>0.0</v>
      </c>
      <c r="J72" s="19">
        <v>46231.859305555554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6" t="s">
        <v>209</v>
      </c>
      <c r="B73" s="16" t="b">
        <v>1</v>
      </c>
      <c r="C73" s="16">
        <v>0.0</v>
      </c>
      <c r="D73" s="16">
        <v>0.0</v>
      </c>
      <c r="E73" s="16">
        <v>0.0</v>
      </c>
      <c r="F73" s="16">
        <v>0.0</v>
      </c>
      <c r="G73" s="16">
        <v>0.0</v>
      </c>
      <c r="H73" s="16">
        <v>1.0</v>
      </c>
      <c r="I73" s="16">
        <v>0.0</v>
      </c>
      <c r="J73" s="19">
        <v>46231.47872685185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6" t="s">
        <v>213</v>
      </c>
      <c r="B74" s="16" t="b">
        <v>1</v>
      </c>
      <c r="C74" s="16">
        <v>0.0</v>
      </c>
      <c r="D74" s="16">
        <v>0.0</v>
      </c>
      <c r="E74" s="16">
        <v>0.0</v>
      </c>
      <c r="F74" s="16">
        <v>0.0</v>
      </c>
      <c r="G74" s="16">
        <v>0.0</v>
      </c>
      <c r="H74" s="16">
        <v>1.0</v>
      </c>
      <c r="I74" s="16">
        <v>0.0</v>
      </c>
      <c r="J74" s="19">
        <v>46226.90914351852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6" t="s">
        <v>216</v>
      </c>
      <c r="B75" s="16" t="b">
        <v>1</v>
      </c>
      <c r="C75" s="16">
        <v>0.0</v>
      </c>
      <c r="D75" s="16">
        <v>0.0</v>
      </c>
      <c r="E75" s="16">
        <v>0.0</v>
      </c>
      <c r="F75" s="16">
        <v>0.0</v>
      </c>
      <c r="G75" s="16">
        <v>0.0</v>
      </c>
      <c r="H75" s="16">
        <v>1.0</v>
      </c>
      <c r="I75" s="16">
        <v>0.0</v>
      </c>
      <c r="J75" s="19">
        <v>46232.59171296296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6" t="s">
        <v>220</v>
      </c>
      <c r="B76" s="16" t="b">
        <v>1</v>
      </c>
      <c r="C76" s="16">
        <v>0.0</v>
      </c>
      <c r="D76" s="16">
        <v>0.0</v>
      </c>
      <c r="E76" s="16">
        <v>0.0</v>
      </c>
      <c r="F76" s="16">
        <v>0.0</v>
      </c>
      <c r="G76" s="16">
        <v>0.0</v>
      </c>
      <c r="H76" s="16">
        <v>1.0</v>
      </c>
      <c r="I76" s="16">
        <v>0.0</v>
      </c>
      <c r="J76" s="19">
        <v>46227.746516203704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conditionalFormatting sqref="B1 L1">
    <cfRule type="cellIs" dxfId="0" priority="1" stopIfTrue="1" operator="between">
      <formula>51</formula>
      <formula>1000</formula>
    </cfRule>
  </conditionalFormatting>
  <conditionalFormatting sqref="B1 L1">
    <cfRule type="cellIs" dxfId="1" priority="2" stopIfTrue="1" operator="between">
      <formula>21</formula>
      <formula>50</formula>
    </cfRule>
  </conditionalFormatting>
  <conditionalFormatting sqref="B1 L1">
    <cfRule type="cellIs" dxfId="2" priority="3" stopIfTrue="1" operator="between">
      <formula>0</formula>
      <formula>20</formula>
    </cfRule>
  </conditionalFormatting>
  <hyperlinks>
    <hyperlink r:id="rId1" ref="A2"/>
    <hyperlink r:id="rId2" ref="A29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3.88"/>
    <col customWidth="1" hidden="1" min="3" max="6" width="13.25"/>
    <col customWidth="1" min="7" max="9" width="13.25"/>
    <col customWidth="1" hidden="1" min="10" max="13" width="13.25"/>
  </cols>
  <sheetData>
    <row r="1" ht="15.75" customHeight="1">
      <c r="A1" s="2" t="s">
        <v>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17</v>
      </c>
      <c r="L1" s="2" t="s">
        <v>18</v>
      </c>
      <c r="M1" s="2" t="s">
        <v>19</v>
      </c>
      <c r="N1" s="2"/>
      <c r="O1" s="2"/>
      <c r="P1" s="12" t="str">
        <f>A2</f>
        <v>70-100</v>
      </c>
      <c r="Q1" s="12" t="str">
        <f>A3</f>
        <v>40-70</v>
      </c>
      <c r="R1" s="12" t="str">
        <f>A4</f>
        <v>30-40</v>
      </c>
      <c r="S1" s="13" t="str">
        <f>A5</f>
        <v>10-30</v>
      </c>
      <c r="T1" s="12" t="str">
        <f>A6</f>
        <v>0-10</v>
      </c>
      <c r="U1" s="2"/>
      <c r="V1" s="2"/>
      <c r="W1" s="2"/>
      <c r="X1" s="2"/>
      <c r="Y1" s="2"/>
      <c r="Z1" s="2"/>
      <c r="AA1" s="2"/>
    </row>
    <row r="2" ht="15.75" customHeight="1">
      <c r="A2" s="21" t="s">
        <v>25</v>
      </c>
      <c r="B2" s="21">
        <v>750.0</v>
      </c>
      <c r="C2" s="24">
        <v>69.0</v>
      </c>
      <c r="D2" s="24">
        <v>101.0</v>
      </c>
      <c r="E2" s="24">
        <f>sumifs('Referring domains - no comparis'!$D:$D,
'Referring domains - no comparis'!B:B,"&lt;"&amp;D2,
'Referring domains - no comparis'!B:B,"&gt;"&amp;C2,
'Referring domains - no comparis'!K:K,"&gt;1000")</f>
        <v>0</v>
      </c>
      <c r="G2" s="24">
        <f t="array" ref="G2">COUNTIFS(
INDIRECT("'Referring domains'!"&amp;SUBSTITUTE(ADDRESS(1,MATCH("DR",'Referring domains - no comparis'!$A$1:$M$1,0),4),1,"")&amp;":"&amp;SUBSTITUTE(ADDRESS(1,MATCH("DR",'Referring domains - no comparis'!$A$1:$M$1,0),4),1,"")),"&lt;"&amp;D2,
INDIRECT("'Referring domains'!"&amp;SUBSTITUTE(ADDRESS(1,MATCH("DR",'Referring domains - no comparis'!$A$1:$M$1,0),4),1,"")&amp;":"&amp;SUBSTITUTE(ADDRESS(1,MATCH("DR",'Referring domains - no comparis'!$A$1:$M$1,0),4),1,"")),"&gt;"&amp;C2
)</f>
        <v>0</v>
      </c>
      <c r="H2" s="24" t="str">
        <f t="array" ref="H2">sumifs(INDIRECT("'Referring domains'!"&amp;SUBSTITUTE(ADDRESS(1,MATCH("Links to target",'Referring domains - no comparis'!$A$1:$M$1,0),4),1,"")&amp;":"&amp;SUBSTITUTE(ADDRESS(1,MATCH("Links to target",'Referring domains - no comparis'!$A$1:$M$1,0),4),1,"")),
INDIRECT("'Referring domains'!"&amp;SUBSTITUTE(ADDRESS(1,MATCH("DR",'Referring domains - no comparis'!$A$1:$M$1,0),4),1,"")&amp;":"&amp;SUBSTITUTE(ADDRESS(1,MATCH("DR",'Referring domains - no comparis'!$A$1:$M$1,0),4),1,"")),"&lt;"&amp;D2,
INDIRECT("'Referring domains'!"&amp;SUBSTITUTE(ADDRESS(1,MATCH("DR",'Referring domains - no comparis'!$A$1:$M$1,0),4),1,"")&amp;":"&amp;SUBSTITUTE(ADDRESS(1,MATCH("DR",'Referring domains - no comparis'!$A$1:$M$1,0),4),1,"")),"&gt;"&amp;C2)</f>
        <v>#N/A</v>
      </c>
      <c r="I2" s="21" t="str">
        <f t="shared" ref="I2:I6" si="1">H2*B2</f>
        <v>#N/A</v>
      </c>
      <c r="K2" s="24">
        <f t="array" ref="K2">COUNTIFS(
INDIRECT("'Referring domains'!"&amp;SUBSTITUTE(ADDRESS(1,MATCH("Domain Rating (desc)",'Referring domains - no comparis'!$A$1:$M$1,0),4),1,"")&amp;":"&amp;SUBSTITUTE(ADDRESS(1,MATCH("Domain Rating (desc)",'Referring domains - no comparis'!$A$1:$M$1,0),4),1,"")),"&lt;"&amp;D2,
INDIRECT("'Referring domains'!"&amp;SUBSTITUTE(ADDRESS(1,MATCH("Domain Rating (desc)",'Referring domains - no comparis'!$A$1:$M$1,0),4),1,"")&amp;":"&amp;SUBSTITUTE(ADDRESS(1,MATCH("Domain Rating (desc)",'Referring domains - no comparis'!$A$1:$M$1,0),4),1,"")),"&gt;"&amp;C2,
INDIRECT("'Referring domains'!"&amp;SUBSTITUTE(ADDRESS(1,MATCH("Organic Traffic",'Referring domains - no comparis'!$A$1:$M$1,0),4),1,"")&amp;":"&amp;SUBSTITUTE(ADDRESS(1,MATCH("Organic Traffic",'Referring domains - no comparis'!$A$1:$M$1,0),4),1,"")),"&gt;1000"
)</f>
        <v>0</v>
      </c>
      <c r="L2" s="24" t="str">
        <f t="array" ref="L2">sumifs(INDIRECT("'Referring domains'!"&amp;SUBSTITUTE(ADDRESS(1,MATCH("Total Backlinks",'Referring domains - no comparis'!$A$1:$M$1,0),4),1,"")&amp;":"&amp;SUBSTITUTE(ADDRESS(1,MATCH("Total Backlinks",'Referring domains - no comparis'!$A$1:$M$1,0),4),1,"")),
INDIRECT("'Referring domains'!"&amp;SUBSTITUTE(ADDRESS(1,MATCH("Domain Rating (desc)",'Referring domains - no comparis'!$A$1:$M$1,0),4),1,"")&amp;":"&amp;SUBSTITUTE(ADDRESS(1,MATCH("Domain Rating (desc)",'Referring domains - no comparis'!$A$1:$M$1,0),4),1,"")),"&lt;"&amp;D2,
INDIRECT("'Referring domains'!"&amp;SUBSTITUTE(ADDRESS(1,MATCH("Domain Rating (desc)",'Referring domains - no comparis'!$A$1:$M$1,0),4),1,"")&amp;":"&amp;SUBSTITUTE(ADDRESS(1,MATCH("Domain Rating (desc)",'Referring domains - no comparis'!$A$1:$M$1,0),4),1,"")),"&gt;"&amp;C2,
INDIRECT("'Referring domains'!"&amp;SUBSTITUTE(ADDRESS(1,MATCH("Organic Traffic",'Referring domains - no comparis'!$A$1:$M$1,0),4),1,"")&amp;":"&amp;SUBSTITUTE(ADDRESS(1,MATCH("Organic Traffic",'Referring domains - no comparis'!$A$1:$M$1,0),4),1,"")),"&gt;1000")</f>
        <v>#N/A</v>
      </c>
      <c r="M2" s="24" t="str">
        <f t="shared" ref="M2:M6" si="2">L2*B2</f>
        <v>#N/A</v>
      </c>
      <c r="P2" s="25" t="str">
        <f>IFERROR(__xludf.DUMMYFUNCTION("FILTER('Referring domains - no comparis'!$A$2:$A787,
'Referring domains - no comparis'!$B$2:$B787&lt;101,
'Referring domains - no comparis'!$B$2:$B787&gt;69,
'Referring domains - no comparis'!$K$1:$K787&gt;$G$13)"),"#N/A")</f>
        <v>#N/A</v>
      </c>
      <c r="Q2" s="25" t="str">
        <f>IFERROR(__xludf.DUMMYFUNCTION("FILTER('Referring domains - no comparis'!$A$2:$A787,
'Referring domains - no comparis'!$B$2:$B787&lt;70,
'Referring domains - no comparis'!$B$2:$B787&gt;39,
'Referring domains - no comparis'!$E$2:$E787&gt;$G$13)"),"#N/A")</f>
        <v>#N/A</v>
      </c>
      <c r="R2" s="26" t="str">
        <f>IFERROR(__xludf.DUMMYFUNCTION("FILTER('Referring domains - no comparis'!$A$2:$A787,
'Referring domains - no comparis'!$B$2:$B787&lt;40,
'Referring domains - no comparis'!$B$2:$B787&gt;29,
'Referring domains - no comparis'!$K$1:$K787&gt;$G$13)"),"#N/A")</f>
        <v>#N/A</v>
      </c>
      <c r="S2" s="25" t="str">
        <f>IFERROR(__xludf.DUMMYFUNCTION("FILTER('Referring domains - no comparis'!$A$2:$A787,
'Referring domains - no comparis'!$B$2:$B787&lt;30,
'Referring domains - no comparis'!$B$2:$B787&gt;9,
'Referring domains - no comparis'!$K$1:$K787&gt;$G$13)"),"#N/A")</f>
        <v>#N/A</v>
      </c>
      <c r="T2" s="27" t="str">
        <f>IFERROR(__xludf.DUMMYFUNCTION("FILTER('Referring domains - no comparis'!$A$2:$A787,
'Referring domains - no comparis'!$B$2:$B787&lt;10,
'Referring domains - no comparis'!$B$2:$B787&gt;-1,
'Referring domains - no comparis'!$K$1:$K787&gt;$G$13)"),"#N/A")</f>
        <v>#N/A</v>
      </c>
    </row>
    <row r="3" ht="15.75" customHeight="1">
      <c r="A3" s="21" t="s">
        <v>85</v>
      </c>
      <c r="B3" s="21">
        <v>300.0</v>
      </c>
      <c r="C3" s="24">
        <v>39.0</v>
      </c>
      <c r="D3" s="24">
        <v>70.0</v>
      </c>
      <c r="E3" s="24">
        <f>sumifs('Referring domains - no comparis'!$D:$D,'Referring domains - no comparis'!B:B,"&lt;"&amp;D3,'Referring domains - no comparis'!B:B,"&gt;"&amp;C3,'Referring domains - no comparis'!K:K,"&gt;1000")</f>
        <v>0</v>
      </c>
      <c r="G3" s="24">
        <f t="array" ref="G3">COUNTIFS(
INDIRECT("'Referring domains'!"&amp;SUBSTITUTE(ADDRESS(1,MATCH("DR",'Referring domains - no comparis'!$A$1:$M$1,0),4),1,"")&amp;":"&amp;SUBSTITUTE(ADDRESS(1,MATCH("DR",'Referring domains - no comparis'!$A$1:$M$1,0),4),1,"")),"&lt;"&amp;D3,
INDIRECT("'Referring domains'!"&amp;SUBSTITUTE(ADDRESS(1,MATCH("DR",'Referring domains - no comparis'!$A$1:$M$1,0),4),1,"")&amp;":"&amp;SUBSTITUTE(ADDRESS(1,MATCH("DR",'Referring domains - no comparis'!$A$1:$M$1,0),4),1,"")),"&gt;"&amp;C3
)</f>
        <v>0</v>
      </c>
      <c r="H3" s="24" t="str">
        <f t="array" ref="H3">sumifs(INDIRECT("'Referring domains'!"&amp;SUBSTITUTE(ADDRESS(1,MATCH("Links to target",'Referring domains - no comparis'!$A$1:$M$1,0),4),1,"")&amp;":"&amp;SUBSTITUTE(ADDRESS(1,MATCH("Links to target",'Referring domains - no comparis'!$A$1:$M$1,0),4),1,"")),
INDIRECT("'Referring domains'!"&amp;SUBSTITUTE(ADDRESS(1,MATCH("DR",'Referring domains - no comparis'!$A$1:$M$1,0),4),1,"")&amp;":"&amp;SUBSTITUTE(ADDRESS(1,MATCH("DR",'Referring domains - no comparis'!$A$1:$M$1,0),4),1,"")),"&lt;"&amp;D3,
INDIRECT("'Referring domains'!"&amp;SUBSTITUTE(ADDRESS(1,MATCH("DR",'Referring domains - no comparis'!$A$1:$M$1,0),4),1,"")&amp;":"&amp;SUBSTITUTE(ADDRESS(1,MATCH("DR",'Referring domains - no comparis'!$A$1:$M$1,0),4),1,"")),"&gt;"&amp;C3)</f>
        <v>#N/A</v>
      </c>
      <c r="I3" s="21" t="str">
        <f t="shared" si="1"/>
        <v>#N/A</v>
      </c>
      <c r="K3" s="24">
        <f t="array" ref="K3">COUNTIFS(
INDIRECT("'Referring domains'!"&amp;SUBSTITUTE(ADDRESS(1,MATCH("Domain Rating (desc)",'Referring domains - no comparis'!$A$1:$M$1,0),4),1,"")&amp;":"&amp;SUBSTITUTE(ADDRESS(1,MATCH("Domain Rating (desc)",'Referring domains - no comparis'!$A$1:$M$1,0),4),1,"")),"&lt;"&amp;D3,
INDIRECT("'Referring domains'!"&amp;SUBSTITUTE(ADDRESS(1,MATCH("Domain Rating (desc)",'Referring domains - no comparis'!$A$1:$M$1,0),4),1,"")&amp;":"&amp;SUBSTITUTE(ADDRESS(1,MATCH("Domain Rating (desc)",'Referring domains - no comparis'!$A$1:$M$1,0),4),1,"")),"&gt;"&amp;C3,
INDIRECT("'Referring domains'!"&amp;SUBSTITUTE(ADDRESS(1,MATCH("Organic Traffic",'Referring domains - no comparis'!$A$1:$M$1,0),4),1,"")&amp;":"&amp;SUBSTITUTE(ADDRESS(1,MATCH("Organic Traffic",'Referring domains - no comparis'!$A$1:$M$1,0),4),1,"")),"&gt;1000"
)</f>
        <v>0</v>
      </c>
      <c r="L3" s="24" t="str">
        <f t="array" ref="L3">sumifs(INDIRECT("'Referring domains'!"&amp;SUBSTITUTE(ADDRESS(1,MATCH("Total Backlinks",'Referring domains - no comparis'!$A$1:$M$1,0),4),1,"")&amp;":"&amp;SUBSTITUTE(ADDRESS(1,MATCH("Total Backlinks",'Referring domains - no comparis'!$A$1:$M$1,0),4),1,"")),
INDIRECT("'Referring domains'!"&amp;SUBSTITUTE(ADDRESS(1,MATCH("Domain Rating (desc)",'Referring domains - no comparis'!$A$1:$M$1,0),4),1,"")&amp;":"&amp;SUBSTITUTE(ADDRESS(1,MATCH("Domain Rating (desc)",'Referring domains - no comparis'!$A$1:$M$1,0),4),1,"")),"&lt;"&amp;D3,
INDIRECT("'Referring domains'!"&amp;SUBSTITUTE(ADDRESS(1,MATCH("Domain Rating (desc)",'Referring domains - no comparis'!$A$1:$M$1,0),4),1,"")&amp;":"&amp;SUBSTITUTE(ADDRESS(1,MATCH("Domain Rating (desc)",'Referring domains - no comparis'!$A$1:$M$1,0),4),1,"")),"&gt;"&amp;C3,
INDIRECT("'Referring domains'!"&amp;SUBSTITUTE(ADDRESS(1,MATCH("Organic Traffic",'Referring domains - no comparis'!$A$1:$M$1,0),4),1,"")&amp;":"&amp;SUBSTITUTE(ADDRESS(1,MATCH("Organic Traffic",'Referring domains - no comparis'!$A$1:$M$1,0),4),1,"")),"&gt;1000")</f>
        <v>#N/A</v>
      </c>
      <c r="M3" s="24" t="str">
        <f t="shared" si="2"/>
        <v>#N/A</v>
      </c>
      <c r="P3" s="28"/>
      <c r="Q3" s="29"/>
      <c r="R3" s="24"/>
      <c r="S3" s="28"/>
      <c r="T3" s="28"/>
    </row>
    <row r="4" ht="15.75" customHeight="1">
      <c r="A4" s="21" t="s">
        <v>143</v>
      </c>
      <c r="B4" s="21">
        <v>100.0</v>
      </c>
      <c r="C4" s="24">
        <v>29.0</v>
      </c>
      <c r="D4" s="24">
        <v>40.0</v>
      </c>
      <c r="E4" s="24">
        <f>sumifs('Referring domains - no comparis'!$D:$D,'Referring domains - no comparis'!B:B,"&lt;"&amp;D4,'Referring domains - no comparis'!B:B,"&gt;"&amp;C4,'Referring domains - no comparis'!K:K,"&gt;1000")</f>
        <v>0</v>
      </c>
      <c r="G4" s="24">
        <f t="array" ref="G4">COUNTIFS(
INDIRECT("'Referring domains'!"&amp;SUBSTITUTE(ADDRESS(1,MATCH("DR",'Referring domains - no comparis'!$A$1:$M$1,0),4),1,"")&amp;":"&amp;SUBSTITUTE(ADDRESS(1,MATCH("DR",'Referring domains - no comparis'!$A$1:$M$1,0),4),1,"")),"&lt;"&amp;D4,
INDIRECT("'Referring domains'!"&amp;SUBSTITUTE(ADDRESS(1,MATCH("DR",'Referring domains - no comparis'!$A$1:$M$1,0),4),1,"")&amp;":"&amp;SUBSTITUTE(ADDRESS(1,MATCH("DR",'Referring domains - no comparis'!$A$1:$M$1,0),4),1,"")),"&gt;"&amp;C4
)</f>
        <v>0</v>
      </c>
      <c r="H4" s="24" t="str">
        <f t="array" ref="H4">sumifs(INDIRECT("'Referring domains'!"&amp;SUBSTITUTE(ADDRESS(1,MATCH("Links to target",'Referring domains - no comparis'!$A$1:$M$1,0),4),1,"")&amp;":"&amp;SUBSTITUTE(ADDRESS(1,MATCH("Links to target",'Referring domains - no comparis'!$A$1:$M$1,0),4),1,"")),
INDIRECT("'Referring domains'!"&amp;SUBSTITUTE(ADDRESS(1,MATCH("DR",'Referring domains - no comparis'!$A$1:$M$1,0),4),1,"")&amp;":"&amp;SUBSTITUTE(ADDRESS(1,MATCH("DR",'Referring domains - no comparis'!$A$1:$M$1,0),4),1,"")),"&lt;"&amp;D4,
INDIRECT("'Referring domains'!"&amp;SUBSTITUTE(ADDRESS(1,MATCH("DR",'Referring domains - no comparis'!$A$1:$M$1,0),4),1,"")&amp;":"&amp;SUBSTITUTE(ADDRESS(1,MATCH("DR",'Referring domains - no comparis'!$A$1:$M$1,0),4),1,"")),"&gt;"&amp;C4)</f>
        <v>#N/A</v>
      </c>
      <c r="I4" s="21" t="str">
        <f t="shared" si="1"/>
        <v>#N/A</v>
      </c>
      <c r="K4" s="24">
        <f t="array" ref="K4">COUNTIFS(
INDIRECT("'Referring domains'!"&amp;SUBSTITUTE(ADDRESS(1,MATCH("Domain Rating (desc)",'Referring domains - no comparis'!$A$1:$M$1,0),4),1,"")&amp;":"&amp;SUBSTITUTE(ADDRESS(1,MATCH("Domain Rating (desc)",'Referring domains - no comparis'!$A$1:$M$1,0),4),1,"")),"&lt;"&amp;D4,
INDIRECT("'Referring domains'!"&amp;SUBSTITUTE(ADDRESS(1,MATCH("Domain Rating (desc)",'Referring domains - no comparis'!$A$1:$M$1,0),4),1,"")&amp;":"&amp;SUBSTITUTE(ADDRESS(1,MATCH("Domain Rating (desc)",'Referring domains - no comparis'!$A$1:$M$1,0),4),1,"")),"&gt;"&amp;C4,
INDIRECT("'Referring domains'!"&amp;SUBSTITUTE(ADDRESS(1,MATCH("Organic Traffic",'Referring domains - no comparis'!$A$1:$M$1,0),4),1,"")&amp;":"&amp;SUBSTITUTE(ADDRESS(1,MATCH("Organic Traffic",'Referring domains - no comparis'!$A$1:$M$1,0),4),1,"")),"&gt;1000"
)</f>
        <v>0</v>
      </c>
      <c r="L4" s="24" t="str">
        <f t="array" ref="L4">sumifs(INDIRECT("'Referring domains'!"&amp;SUBSTITUTE(ADDRESS(1,MATCH("Total Backlinks",'Referring domains - no comparis'!$A$1:$M$1,0),4),1,"")&amp;":"&amp;SUBSTITUTE(ADDRESS(1,MATCH("Total Backlinks",'Referring domains - no comparis'!$A$1:$M$1,0),4),1,"")),
INDIRECT("'Referring domains'!"&amp;SUBSTITUTE(ADDRESS(1,MATCH("Domain Rating (desc)",'Referring domains - no comparis'!$A$1:$M$1,0),4),1,"")&amp;":"&amp;SUBSTITUTE(ADDRESS(1,MATCH("Domain Rating (desc)",'Referring domains - no comparis'!$A$1:$M$1,0),4),1,"")),"&lt;"&amp;D4,
INDIRECT("'Referring domains'!"&amp;SUBSTITUTE(ADDRESS(1,MATCH("Domain Rating (desc)",'Referring domains - no comparis'!$A$1:$M$1,0),4),1,"")&amp;":"&amp;SUBSTITUTE(ADDRESS(1,MATCH("Domain Rating (desc)",'Referring domains - no comparis'!$A$1:$M$1,0),4),1,"")),"&gt;"&amp;C4,
INDIRECT("'Referring domains'!"&amp;SUBSTITUTE(ADDRESS(1,MATCH("Organic Traffic",'Referring domains - no comparis'!$A$1:$M$1,0),4),1,"")&amp;":"&amp;SUBSTITUTE(ADDRESS(1,MATCH("Organic Traffic",'Referring domains - no comparis'!$A$1:$M$1,0),4),1,"")),"&gt;1000")</f>
        <v>#N/A</v>
      </c>
      <c r="M4" s="24" t="str">
        <f t="shared" si="2"/>
        <v>#N/A</v>
      </c>
      <c r="P4" s="24"/>
      <c r="Q4" s="28"/>
      <c r="R4" s="28"/>
      <c r="S4" s="28"/>
      <c r="T4" s="28"/>
    </row>
    <row r="5" ht="15.75" customHeight="1">
      <c r="A5" s="30" t="s">
        <v>198</v>
      </c>
      <c r="B5" s="21">
        <v>50.0</v>
      </c>
      <c r="C5" s="24">
        <v>9.0</v>
      </c>
      <c r="D5" s="24">
        <v>30.0</v>
      </c>
      <c r="E5" s="24">
        <f>sumifs('Referring domains - no comparis'!$D:$D,'Referring domains - no comparis'!B:B,"&lt;"&amp;D5,'Referring domains - no comparis'!B:B,"&gt;"&amp;C5,'Referring domains - no comparis'!K:K,"&gt;1000")</f>
        <v>0</v>
      </c>
      <c r="G5" s="24">
        <f t="array" ref="G5">COUNTIFS(
INDIRECT("'Referring domains'!"&amp;SUBSTITUTE(ADDRESS(1,MATCH("DR",'Referring domains - no comparis'!$A$1:$M$1,0),4),1,"")&amp;":"&amp;SUBSTITUTE(ADDRESS(1,MATCH("DR",'Referring domains - no comparis'!$A$1:$M$1,0),4),1,"")),"&lt;"&amp;D5,
INDIRECT("'Referring domains'!"&amp;SUBSTITUTE(ADDRESS(1,MATCH("DR",'Referring domains - no comparis'!$A$1:$M$1,0),4),1,"")&amp;":"&amp;SUBSTITUTE(ADDRESS(1,MATCH("DR",'Referring domains - no comparis'!$A$1:$M$1,0),4),1,"")),"&gt;"&amp;C5
)</f>
        <v>0</v>
      </c>
      <c r="H5" s="24" t="str">
        <f t="array" ref="H5">sumifs(INDIRECT("'Referring domains'!"&amp;SUBSTITUTE(ADDRESS(1,MATCH("Links to target",'Referring domains - no comparis'!$A$1:$M$1,0),4),1,"")&amp;":"&amp;SUBSTITUTE(ADDRESS(1,MATCH("Links to target",'Referring domains - no comparis'!$A$1:$M$1,0),4),1,"")),
INDIRECT("'Referring domains'!"&amp;SUBSTITUTE(ADDRESS(1,MATCH("DR",'Referring domains - no comparis'!$A$1:$M$1,0),4),1,"")&amp;":"&amp;SUBSTITUTE(ADDRESS(1,MATCH("DR",'Referring domains - no comparis'!$A$1:$M$1,0),4),1,"")),"&lt;"&amp;D5,
INDIRECT("'Referring domains'!"&amp;SUBSTITUTE(ADDRESS(1,MATCH("DR",'Referring domains - no comparis'!$A$1:$M$1,0),4),1,"")&amp;":"&amp;SUBSTITUTE(ADDRESS(1,MATCH("DR",'Referring domains - no comparis'!$A$1:$M$1,0),4),1,"")),"&gt;"&amp;C5)</f>
        <v>#N/A</v>
      </c>
      <c r="I5" s="21" t="str">
        <f t="shared" si="1"/>
        <v>#N/A</v>
      </c>
      <c r="K5" s="24">
        <f t="array" ref="K5">COUNTIFS(
INDIRECT("'Referring domains'!"&amp;SUBSTITUTE(ADDRESS(1,MATCH("Domain Rating (desc)",'Referring domains - no comparis'!$A$1:$M$1,0),4),1,"")&amp;":"&amp;SUBSTITUTE(ADDRESS(1,MATCH("Domain Rating (desc)",'Referring domains - no comparis'!$A$1:$M$1,0),4),1,"")),"&lt;"&amp;D5,
INDIRECT("'Referring domains'!"&amp;SUBSTITUTE(ADDRESS(1,MATCH("Domain Rating (desc)",'Referring domains - no comparis'!$A$1:$M$1,0),4),1,"")&amp;":"&amp;SUBSTITUTE(ADDRESS(1,MATCH("Domain Rating (desc)",'Referring domains - no comparis'!$A$1:$M$1,0),4),1,"")),"&gt;"&amp;C5,
INDIRECT("'Referring domains'!"&amp;SUBSTITUTE(ADDRESS(1,MATCH("Organic Traffic",'Referring domains - no comparis'!$A$1:$M$1,0),4),1,"")&amp;":"&amp;SUBSTITUTE(ADDRESS(1,MATCH("Organic Traffic",'Referring domains - no comparis'!$A$1:$M$1,0),4),1,"")),"&gt;1000"
)</f>
        <v>0</v>
      </c>
      <c r="L5" s="24" t="str">
        <f t="array" ref="L5">sumifs(INDIRECT("'Referring domains'!"&amp;SUBSTITUTE(ADDRESS(1,MATCH("Total Backlinks",'Referring domains - no comparis'!$A$1:$M$1,0),4),1,"")&amp;":"&amp;SUBSTITUTE(ADDRESS(1,MATCH("Total Backlinks",'Referring domains - no comparis'!$A$1:$M$1,0),4),1,"")),
INDIRECT("'Referring domains'!"&amp;SUBSTITUTE(ADDRESS(1,MATCH("Domain Rating (desc)",'Referring domains - no comparis'!$A$1:$M$1,0),4),1,"")&amp;":"&amp;SUBSTITUTE(ADDRESS(1,MATCH("Domain Rating (desc)",'Referring domains - no comparis'!$A$1:$M$1,0),4),1,"")),"&lt;"&amp;D5,
INDIRECT("'Referring domains'!"&amp;SUBSTITUTE(ADDRESS(1,MATCH("Domain Rating (desc)",'Referring domains - no comparis'!$A$1:$M$1,0),4),1,"")&amp;":"&amp;SUBSTITUTE(ADDRESS(1,MATCH("Domain Rating (desc)",'Referring domains - no comparis'!$A$1:$M$1,0),4),1,"")),"&gt;"&amp;C5,
INDIRECT("'Referring domains'!"&amp;SUBSTITUTE(ADDRESS(1,MATCH("Organic Traffic",'Referring domains - no comparis'!$A$1:$M$1,0),4),1,"")&amp;":"&amp;SUBSTITUTE(ADDRESS(1,MATCH("Organic Traffic",'Referring domains - no comparis'!$A$1:$M$1,0),4),1,"")),"&gt;1000")</f>
        <v>#N/A</v>
      </c>
      <c r="M5" s="24" t="str">
        <f t="shared" si="2"/>
        <v>#N/A</v>
      </c>
      <c r="P5" s="24"/>
      <c r="Q5" s="28"/>
      <c r="R5" s="24"/>
      <c r="S5" s="24"/>
      <c r="T5" s="28"/>
    </row>
    <row r="6" ht="15.75" customHeight="1">
      <c r="A6" s="21" t="s">
        <v>242</v>
      </c>
      <c r="B6" s="21">
        <v>10.0</v>
      </c>
      <c r="C6" s="24">
        <v>-1.0</v>
      </c>
      <c r="D6" s="24">
        <v>10.0</v>
      </c>
      <c r="E6" s="24">
        <f>sumifs('Referring domains - no comparis'!$D:$D,'Referring domains - no comparis'!B:B,"&lt;"&amp;D6,'Referring domains - no comparis'!B:B,"&gt;"&amp;C6,'Referring domains - no comparis'!K:K,"&gt;1000")</f>
        <v>0</v>
      </c>
      <c r="G6" s="24">
        <f t="array" ref="G6">COUNTIFS(
INDIRECT("'Referring domains'!"&amp;SUBSTITUTE(ADDRESS(1,MATCH("DR",'Referring domains - no comparis'!$A$1:$M$1,0),4),1,"")&amp;":"&amp;SUBSTITUTE(ADDRESS(1,MATCH("DR",'Referring domains - no comparis'!$A$1:$M$1,0),4),1,"")),"&lt;"&amp;D6,
INDIRECT("'Referring domains'!"&amp;SUBSTITUTE(ADDRESS(1,MATCH("DR",'Referring domains - no comparis'!$A$1:$M$1,0),4),1,"")&amp;":"&amp;SUBSTITUTE(ADDRESS(1,MATCH("DR",'Referring domains - no comparis'!$A$1:$M$1,0),4),1,"")),"&gt;"&amp;C6
)</f>
        <v>0</v>
      </c>
      <c r="H6" s="24" t="str">
        <f t="array" ref="H6">sumifs(INDIRECT("'Referring domains'!"&amp;SUBSTITUTE(ADDRESS(1,MATCH("Links to target",'Referring domains - no comparis'!$A$1:$M$1,0),4),1,"")&amp;":"&amp;SUBSTITUTE(ADDRESS(1,MATCH("Links to target",'Referring domains - no comparis'!$A$1:$M$1,0),4),1,"")),
INDIRECT("'Referring domains'!"&amp;SUBSTITUTE(ADDRESS(1,MATCH("DR",'Referring domains - no comparis'!$A$1:$M$1,0),4),1,"")&amp;":"&amp;SUBSTITUTE(ADDRESS(1,MATCH("DR",'Referring domains - no comparis'!$A$1:$M$1,0),4),1,"")),"&lt;"&amp;D6,
INDIRECT("'Referring domains'!"&amp;SUBSTITUTE(ADDRESS(1,MATCH("DR",'Referring domains - no comparis'!$A$1:$M$1,0),4),1,"")&amp;":"&amp;SUBSTITUTE(ADDRESS(1,MATCH("DR",'Referring domains - no comparis'!$A$1:$M$1,0),4),1,"")),"&gt;"&amp;C6)</f>
        <v>#N/A</v>
      </c>
      <c r="I6" s="21" t="str">
        <f t="shared" si="1"/>
        <v>#N/A</v>
      </c>
      <c r="K6" s="24">
        <f t="array" ref="K6">COUNTIFS(
INDIRECT("'Referring domains'!"&amp;SUBSTITUTE(ADDRESS(1,MATCH("Domain Rating (desc)",'Referring domains - no comparis'!$A$1:$M$1,0),4),1,"")&amp;":"&amp;SUBSTITUTE(ADDRESS(1,MATCH("Domain Rating (desc)",'Referring domains - no comparis'!$A$1:$M$1,0),4),1,"")),"&lt;"&amp;D6,
INDIRECT("'Referring domains'!"&amp;SUBSTITUTE(ADDRESS(1,MATCH("Domain Rating (desc)",'Referring domains - no comparis'!$A$1:$M$1,0),4),1,"")&amp;":"&amp;SUBSTITUTE(ADDRESS(1,MATCH("Domain Rating (desc)",'Referring domains - no comparis'!$A$1:$M$1,0),4),1,"")),"&gt;"&amp;C6,
INDIRECT("'Referring domains'!"&amp;SUBSTITUTE(ADDRESS(1,MATCH("Organic Traffic",'Referring domains - no comparis'!$A$1:$M$1,0),4),1,"")&amp;":"&amp;SUBSTITUTE(ADDRESS(1,MATCH("Organic Traffic",'Referring domains - no comparis'!$A$1:$M$1,0),4),1,"")),"&gt;1000"
)</f>
        <v>0</v>
      </c>
      <c r="L6" s="24" t="str">
        <f t="array" ref="L6">sumifs(INDIRECT("'Referring domains'!"&amp;SUBSTITUTE(ADDRESS(1,MATCH("Total Backlinks",'Referring domains - no comparis'!$A$1:$M$1,0),4),1,"")&amp;":"&amp;SUBSTITUTE(ADDRESS(1,MATCH("Total Backlinks",'Referring domains - no comparis'!$A$1:$M$1,0),4),1,"")),
INDIRECT("'Referring domains'!"&amp;SUBSTITUTE(ADDRESS(1,MATCH("Domain Rating (desc)",'Referring domains - no comparis'!$A$1:$M$1,0),4),1,"")&amp;":"&amp;SUBSTITUTE(ADDRESS(1,MATCH("Domain Rating (desc)",'Referring domains - no comparis'!$A$1:$M$1,0),4),1,"")),"&lt;"&amp;D6,
INDIRECT("'Referring domains'!"&amp;SUBSTITUTE(ADDRESS(1,MATCH("Domain Rating (desc)",'Referring domains - no comparis'!$A$1:$M$1,0),4),1,"")&amp;":"&amp;SUBSTITUTE(ADDRESS(1,MATCH("Domain Rating (desc)",'Referring domains - no comparis'!$A$1:$M$1,0),4),1,"")),"&gt;"&amp;C6,
INDIRECT("'Referring domains'!"&amp;SUBSTITUTE(ADDRESS(1,MATCH("Organic Traffic",'Referring domains - no comparis'!$A$1:$M$1,0),4),1,"")&amp;":"&amp;SUBSTITUTE(ADDRESS(1,MATCH("Organic Traffic",'Referring domains - no comparis'!$A$1:$M$1,0),4),1,"")),"&gt;1000")</f>
        <v>#N/A</v>
      </c>
      <c r="M6" s="24" t="str">
        <f t="shared" si="2"/>
        <v>#N/A</v>
      </c>
      <c r="P6" s="24"/>
      <c r="Q6" s="24"/>
      <c r="R6" s="24"/>
      <c r="S6" s="28"/>
      <c r="T6" s="24"/>
    </row>
    <row r="7" ht="15.75" customHeight="1">
      <c r="P7" s="24"/>
      <c r="Q7" s="28"/>
      <c r="R7" s="24"/>
      <c r="S7" s="28"/>
      <c r="T7" s="28"/>
    </row>
    <row r="8" ht="15.75" customHeight="1">
      <c r="F8" s="24"/>
      <c r="G8" s="24" t="s">
        <v>246</v>
      </c>
      <c r="H8" s="24" t="s">
        <v>247</v>
      </c>
      <c r="I8" s="24" t="s">
        <v>248</v>
      </c>
      <c r="J8" s="24"/>
      <c r="K8" s="24"/>
      <c r="L8" s="24" t="s">
        <v>247</v>
      </c>
      <c r="M8" s="24" t="s">
        <v>248</v>
      </c>
      <c r="P8" s="24"/>
      <c r="Q8" s="24"/>
      <c r="R8" s="24"/>
      <c r="S8" s="28"/>
      <c r="T8" s="28"/>
    </row>
    <row r="9" ht="15.75" customHeight="1">
      <c r="G9" s="24">
        <f>SUM(G2:G6)</f>
        <v>0</v>
      </c>
      <c r="H9" s="24" t="str">
        <f>sum(H2:H6)</f>
        <v>#N/A</v>
      </c>
      <c r="I9" s="21" t="str">
        <f>SUM(I2:I6)</f>
        <v>#N/A</v>
      </c>
      <c r="L9" s="24" t="str">
        <f>sum(L2:L6)</f>
        <v>#N/A</v>
      </c>
      <c r="M9" s="24" t="str">
        <f>SUM(M2:M6)</f>
        <v>#N/A</v>
      </c>
      <c r="P9" s="24"/>
      <c r="Q9" s="28"/>
      <c r="R9" s="24"/>
      <c r="S9" s="24"/>
      <c r="T9" s="28"/>
    </row>
    <row r="10" ht="15.75" customHeight="1">
      <c r="P10" s="24"/>
      <c r="Q10" s="24"/>
      <c r="R10" s="24"/>
      <c r="S10" s="28"/>
      <c r="T10" s="28"/>
    </row>
    <row r="11" ht="15.75" customHeight="1">
      <c r="P11" s="24"/>
      <c r="Q11" s="24"/>
      <c r="R11" s="24"/>
      <c r="S11" s="28"/>
      <c r="T11" s="28"/>
    </row>
    <row r="12" ht="15.75" customHeight="1">
      <c r="G12" s="24" t="s">
        <v>251</v>
      </c>
      <c r="P12" s="24"/>
      <c r="Q12" s="24"/>
      <c r="R12" s="24"/>
      <c r="S12" s="24"/>
      <c r="T12" s="24"/>
    </row>
    <row r="13" ht="15.75" customHeight="1">
      <c r="G13" s="24">
        <v>-1.0</v>
      </c>
      <c r="P13" s="24"/>
      <c r="Q13" s="24"/>
      <c r="R13" s="24"/>
      <c r="S13" s="24"/>
      <c r="T13" s="24"/>
    </row>
    <row r="14" ht="15.75" customHeight="1">
      <c r="P14" s="24"/>
      <c r="Q14" s="24"/>
      <c r="R14" s="24"/>
      <c r="S14" s="24"/>
      <c r="T14" s="24"/>
    </row>
    <row r="15" ht="15.75" customHeight="1">
      <c r="P15" s="24"/>
      <c r="Q15" s="24"/>
      <c r="R15" s="24"/>
      <c r="S15" s="24"/>
      <c r="T15" s="24"/>
    </row>
    <row r="16" ht="15.75" customHeight="1">
      <c r="P16" s="24"/>
      <c r="Q16" s="24"/>
      <c r="R16" s="24"/>
      <c r="S16" s="24"/>
      <c r="T16" s="24"/>
    </row>
    <row r="17" ht="15.75" customHeight="1">
      <c r="P17" s="24"/>
      <c r="Q17" s="24"/>
      <c r="R17" s="24"/>
      <c r="S17" s="24"/>
      <c r="T17" s="24"/>
    </row>
    <row r="18" ht="15.75" customHeight="1">
      <c r="P18" s="24"/>
      <c r="Q18" s="24"/>
      <c r="R18" s="24"/>
      <c r="S18" s="24"/>
      <c r="T18" s="24"/>
    </row>
    <row r="19" ht="15.75" customHeight="1">
      <c r="P19" s="24"/>
      <c r="Q19" s="24"/>
      <c r="R19" s="24"/>
      <c r="S19" s="24"/>
      <c r="T19" s="24"/>
    </row>
    <row r="20" ht="15.75" customHeight="1">
      <c r="P20" s="24"/>
      <c r="Q20" s="24"/>
      <c r="R20" s="24"/>
      <c r="S20" s="24"/>
      <c r="T20" s="24"/>
    </row>
    <row r="21" ht="15.75" customHeight="1">
      <c r="P21" s="24"/>
      <c r="Q21" s="24"/>
      <c r="R21" s="24"/>
      <c r="S21" s="24"/>
      <c r="T21" s="24"/>
    </row>
    <row r="22" ht="15.75" customHeight="1">
      <c r="P22" s="24"/>
      <c r="Q22" s="24"/>
      <c r="R22" s="24"/>
      <c r="S22" s="24"/>
      <c r="T22" s="24"/>
    </row>
    <row r="23" ht="15.75" customHeight="1">
      <c r="P23" s="24"/>
      <c r="Q23" s="24"/>
      <c r="R23" s="24"/>
      <c r="S23" s="24"/>
      <c r="T23" s="24"/>
    </row>
    <row r="24" ht="15.75" customHeight="1">
      <c r="P24" s="24"/>
      <c r="Q24" s="24"/>
      <c r="R24" s="24"/>
      <c r="S24" s="24"/>
      <c r="T24" s="24"/>
    </row>
    <row r="25" ht="15.75" customHeight="1">
      <c r="P25" s="24"/>
      <c r="Q25" s="24"/>
      <c r="R25" s="24"/>
      <c r="S25" s="24"/>
      <c r="T25" s="24"/>
    </row>
    <row r="26" ht="15.75" customHeight="1">
      <c r="P26" s="24"/>
      <c r="Q26" s="24"/>
      <c r="R26" s="24"/>
      <c r="S26" s="24"/>
      <c r="T26" s="24"/>
    </row>
    <row r="27" ht="15.75" customHeight="1">
      <c r="P27" s="24"/>
      <c r="Q27" s="24"/>
      <c r="R27" s="24"/>
      <c r="S27" s="24"/>
      <c r="T27" s="24"/>
    </row>
    <row r="28" ht="15.75" customHeight="1">
      <c r="P28" s="24"/>
      <c r="Q28" s="24"/>
      <c r="R28" s="24"/>
      <c r="S28" s="24"/>
      <c r="T28" s="24"/>
    </row>
    <row r="29" ht="15.75" customHeight="1">
      <c r="P29" s="24"/>
      <c r="Q29" s="24"/>
      <c r="R29" s="24"/>
      <c r="S29" s="24"/>
      <c r="T29" s="24"/>
    </row>
    <row r="30" ht="15.75" customHeight="1">
      <c r="Q30" s="24"/>
      <c r="R30" s="24"/>
      <c r="S30" s="24"/>
      <c r="T30" s="24"/>
    </row>
    <row r="31" ht="15.75" customHeight="1">
      <c r="Q31" s="24"/>
      <c r="R31" s="24"/>
      <c r="S31" s="24"/>
      <c r="T31" s="24"/>
    </row>
    <row r="32" ht="15.75" customHeight="1">
      <c r="Q32" s="24"/>
      <c r="R32" s="24"/>
      <c r="S32" s="24"/>
      <c r="T32" s="24"/>
    </row>
    <row r="33" ht="15.75" customHeight="1">
      <c r="Q33" s="24"/>
      <c r="R33" s="24"/>
      <c r="S33" s="24"/>
      <c r="T33" s="24"/>
    </row>
    <row r="34" ht="15.75" customHeight="1">
      <c r="Q34" s="24"/>
      <c r="R34" s="24"/>
      <c r="S34" s="24"/>
      <c r="T34" s="24"/>
    </row>
    <row r="35" ht="15.75" customHeight="1">
      <c r="Q35" s="24"/>
      <c r="R35" s="24"/>
      <c r="S35" s="24"/>
      <c r="T35" s="24"/>
    </row>
    <row r="36" ht="15.75" customHeight="1">
      <c r="Q36" s="24"/>
      <c r="R36" s="24"/>
      <c r="S36" s="24"/>
      <c r="T36" s="24"/>
    </row>
    <row r="37" ht="15.75" customHeight="1">
      <c r="R37" s="24"/>
      <c r="S37" s="24"/>
      <c r="T37" s="24"/>
    </row>
    <row r="38" ht="15.75" customHeight="1">
      <c r="S38" s="24"/>
      <c r="T38" s="24"/>
    </row>
    <row r="39" ht="15.75" customHeight="1">
      <c r="S39" s="24"/>
      <c r="T39" s="24"/>
    </row>
    <row r="40" ht="15.75" customHeight="1">
      <c r="S40" s="24"/>
      <c r="T40" s="24"/>
    </row>
    <row r="41" ht="15.75" customHeight="1">
      <c r="S41" s="24"/>
      <c r="T41" s="24"/>
    </row>
    <row r="42" ht="15.75" customHeight="1">
      <c r="S42" s="24"/>
      <c r="T42" s="24"/>
    </row>
    <row r="43" ht="15.75" customHeight="1">
      <c r="S43" s="24"/>
      <c r="T43" s="24"/>
    </row>
    <row r="44" ht="15.75" customHeight="1">
      <c r="S44" s="24"/>
      <c r="T44" s="24"/>
    </row>
    <row r="45" ht="15.75" customHeight="1">
      <c r="S45" s="24"/>
      <c r="T45" s="24"/>
    </row>
    <row r="46" ht="15.75" customHeight="1">
      <c r="S46" s="24"/>
      <c r="T46" s="24"/>
    </row>
    <row r="47" ht="15.75" customHeight="1">
      <c r="S47" s="24"/>
      <c r="T47" s="24"/>
    </row>
    <row r="48" ht="15.75" customHeight="1">
      <c r="S48" s="24"/>
      <c r="T48" s="24"/>
    </row>
    <row r="49" ht="15.75" customHeight="1">
      <c r="S49" s="24"/>
      <c r="T49" s="24"/>
    </row>
    <row r="50" ht="15.75" customHeight="1">
      <c r="S50" s="24"/>
      <c r="T50" s="24"/>
    </row>
    <row r="51" ht="15.75" customHeight="1">
      <c r="S51" s="24"/>
      <c r="T51" s="24"/>
    </row>
    <row r="52" ht="15.75" customHeight="1">
      <c r="S52" s="24"/>
      <c r="T52" s="24"/>
    </row>
    <row r="53" ht="15.75" customHeight="1">
      <c r="S53" s="24"/>
      <c r="T53" s="24"/>
    </row>
    <row r="54" ht="15.75" customHeight="1">
      <c r="S54" s="24"/>
      <c r="T54" s="24"/>
    </row>
    <row r="55" ht="15.75" customHeight="1">
      <c r="S55" s="24"/>
      <c r="T55" s="24"/>
    </row>
    <row r="56" ht="15.75" customHeight="1">
      <c r="S56" s="24"/>
      <c r="T56" s="24"/>
    </row>
    <row r="57" ht="15.75" customHeight="1">
      <c r="S57" s="24"/>
      <c r="T57" s="24"/>
    </row>
    <row r="58" ht="15.75" customHeight="1">
      <c r="S58" s="24"/>
      <c r="T58" s="24"/>
    </row>
    <row r="59" ht="15.75" customHeight="1">
      <c r="S59" s="24"/>
      <c r="T59" s="24"/>
    </row>
    <row r="60" ht="15.75" customHeight="1">
      <c r="S60" s="24"/>
      <c r="T60" s="24"/>
    </row>
    <row r="61" ht="15.75" customHeight="1">
      <c r="S61" s="24"/>
      <c r="T61" s="24"/>
    </row>
    <row r="62" ht="15.75" customHeight="1">
      <c r="S62" s="24"/>
      <c r="T62" s="24"/>
    </row>
    <row r="63" ht="15.75" customHeight="1">
      <c r="S63" s="24"/>
      <c r="T63" s="24"/>
    </row>
    <row r="64" ht="15.75" customHeight="1">
      <c r="S64" s="24"/>
      <c r="T64" s="24"/>
    </row>
    <row r="65" ht="15.75" customHeight="1">
      <c r="S65" s="24"/>
      <c r="T65" s="24"/>
    </row>
    <row r="66" ht="15.75" customHeight="1">
      <c r="S66" s="24"/>
      <c r="T66" s="24"/>
    </row>
    <row r="67" ht="15.75" customHeight="1">
      <c r="S67" s="24"/>
      <c r="T67" s="24"/>
    </row>
    <row r="68" ht="15.75" customHeight="1">
      <c r="S68" s="24"/>
      <c r="T68" s="24"/>
    </row>
    <row r="69" ht="15.75" customHeight="1">
      <c r="S69" s="24"/>
      <c r="T69" s="24"/>
    </row>
    <row r="70" ht="15.75" customHeight="1">
      <c r="S70" s="24"/>
      <c r="T70" s="24"/>
    </row>
    <row r="71" ht="15.75" customHeight="1">
      <c r="S71" s="24"/>
      <c r="T71" s="24"/>
    </row>
    <row r="72" ht="15.75" customHeight="1">
      <c r="T72" s="24"/>
    </row>
    <row r="73" ht="15.75" customHeight="1">
      <c r="T73" s="24"/>
    </row>
    <row r="74" ht="15.75" customHeight="1">
      <c r="T74" s="24"/>
    </row>
    <row r="75" ht="15.75" customHeight="1">
      <c r="T75" s="24"/>
    </row>
    <row r="76" ht="15.75" customHeight="1">
      <c r="T76" s="24"/>
    </row>
    <row r="77" ht="15.75" customHeight="1">
      <c r="T77" s="24"/>
    </row>
    <row r="78" ht="15.75" customHeight="1">
      <c r="T78" s="24"/>
    </row>
    <row r="79" ht="15.75" customHeight="1">
      <c r="T79" s="24"/>
    </row>
    <row r="80" ht="15.75" customHeight="1">
      <c r="T80" s="24"/>
    </row>
    <row r="81" ht="15.75" customHeight="1">
      <c r="T81" s="24"/>
    </row>
    <row r="82" ht="15.75" customHeight="1">
      <c r="T82" s="24"/>
    </row>
    <row r="83" ht="15.75" customHeight="1">
      <c r="T83" s="24"/>
    </row>
    <row r="84" ht="15.75" customHeight="1">
      <c r="T84" s="24"/>
    </row>
    <row r="85" ht="15.75" customHeight="1">
      <c r="T85" s="24"/>
    </row>
    <row r="86" ht="15.75" customHeight="1">
      <c r="T86" s="24"/>
    </row>
    <row r="87" ht="15.75" customHeight="1">
      <c r="T87" s="24"/>
    </row>
    <row r="88" ht="15.75" customHeight="1">
      <c r="T88" s="24"/>
    </row>
    <row r="89" ht="15.75" customHeight="1">
      <c r="T89" s="24"/>
    </row>
    <row r="90" ht="15.75" customHeight="1">
      <c r="T90" s="24"/>
    </row>
    <row r="91" ht="15.75" customHeight="1">
      <c r="T91" s="24"/>
    </row>
    <row r="92" ht="15.75" customHeight="1">
      <c r="T92" s="24"/>
    </row>
    <row r="93" ht="15.75" customHeight="1">
      <c r="T93" s="24"/>
    </row>
    <row r="94" ht="15.75" customHeight="1">
      <c r="T94" s="24"/>
    </row>
    <row r="95" ht="15.75" customHeight="1">
      <c r="T95" s="24"/>
    </row>
    <row r="96" ht="15.75" customHeight="1">
      <c r="T96" s="24"/>
    </row>
    <row r="97" ht="15.75" customHeight="1">
      <c r="T97" s="24"/>
    </row>
    <row r="98" ht="15.75" customHeight="1">
      <c r="T98" s="24"/>
    </row>
    <row r="99" ht="15.75" customHeight="1">
      <c r="T99" s="24"/>
    </row>
    <row r="100" ht="15.75" customHeight="1">
      <c r="T100" s="24"/>
    </row>
    <row r="101" ht="15.75" customHeight="1">
      <c r="T101" s="24"/>
    </row>
    <row r="102" ht="15.75" customHeight="1">
      <c r="T102" s="24"/>
    </row>
    <row r="103" ht="15.75" customHeight="1">
      <c r="T103" s="24"/>
    </row>
    <row r="104" ht="15.75" customHeight="1">
      <c r="T104" s="24"/>
    </row>
    <row r="105" ht="15.75" customHeight="1">
      <c r="T105" s="24"/>
    </row>
    <row r="106" ht="15.75" customHeight="1">
      <c r="T106" s="24"/>
    </row>
    <row r="107" ht="15.75" customHeight="1">
      <c r="T107" s="24"/>
    </row>
    <row r="108" ht="15.75" customHeight="1">
      <c r="T108" s="24"/>
    </row>
    <row r="109" ht="15.75" customHeight="1">
      <c r="T109" s="24"/>
    </row>
    <row r="110" ht="15.75" customHeight="1">
      <c r="T110" s="24"/>
    </row>
    <row r="111" ht="15.75" customHeight="1">
      <c r="T111" s="24"/>
    </row>
    <row r="112" ht="15.75" customHeight="1">
      <c r="T112" s="24"/>
    </row>
    <row r="113" ht="15.75" customHeight="1">
      <c r="T113" s="24"/>
    </row>
    <row r="114" ht="15.75" customHeight="1">
      <c r="T114" s="24"/>
    </row>
    <row r="115" ht="15.75" customHeight="1">
      <c r="T115" s="24"/>
    </row>
    <row r="116" ht="15.75" customHeight="1">
      <c r="T116" s="24"/>
    </row>
    <row r="117" ht="15.75" customHeight="1">
      <c r="T117" s="24"/>
    </row>
    <row r="118" ht="15.75" customHeight="1">
      <c r="T118" s="24"/>
    </row>
    <row r="119" ht="15.75" customHeight="1">
      <c r="T119" s="24"/>
    </row>
    <row r="120" ht="15.75" customHeight="1">
      <c r="T120" s="24"/>
    </row>
    <row r="121" ht="15.75" customHeight="1">
      <c r="T121" s="24"/>
    </row>
    <row r="122" ht="15.75" customHeight="1">
      <c r="T122" s="24"/>
    </row>
    <row r="123" ht="15.75" customHeight="1">
      <c r="T123" s="24"/>
    </row>
    <row r="124" ht="15.75" customHeight="1">
      <c r="T124" s="24"/>
    </row>
    <row r="125" ht="15.75" customHeight="1">
      <c r="T125" s="24"/>
    </row>
    <row r="126" ht="15.75" customHeight="1">
      <c r="T126" s="24"/>
    </row>
    <row r="127" ht="15.75" customHeight="1">
      <c r="T127" s="24"/>
    </row>
    <row r="128" ht="15.75" customHeight="1">
      <c r="T128" s="24"/>
    </row>
    <row r="129" ht="15.75" customHeight="1">
      <c r="T129" s="24"/>
    </row>
    <row r="130" ht="15.75" customHeight="1">
      <c r="T130" s="24"/>
    </row>
    <row r="131" ht="15.75" customHeight="1">
      <c r="T131" s="24"/>
    </row>
    <row r="132" ht="15.75" customHeight="1">
      <c r="T132" s="24"/>
    </row>
    <row r="133" ht="15.75" customHeight="1">
      <c r="T133" s="24"/>
    </row>
    <row r="134" ht="15.75" customHeight="1">
      <c r="T134" s="24"/>
    </row>
    <row r="135" ht="15.75" customHeight="1">
      <c r="T135" s="24"/>
    </row>
    <row r="136" ht="15.75" customHeight="1">
      <c r="T136" s="24"/>
    </row>
    <row r="137" ht="15.75" customHeight="1">
      <c r="T137" s="24"/>
    </row>
    <row r="138" ht="15.75" customHeight="1">
      <c r="T138" s="24"/>
    </row>
    <row r="139" ht="15.75" customHeight="1">
      <c r="T139" s="24"/>
    </row>
    <row r="140" ht="15.75" customHeight="1">
      <c r="T140" s="24"/>
    </row>
    <row r="141" ht="15.75" customHeight="1">
      <c r="T141" s="24"/>
    </row>
    <row r="142" ht="15.75" customHeight="1">
      <c r="T142" s="24"/>
    </row>
    <row r="143" ht="15.75" customHeight="1">
      <c r="T143" s="24"/>
    </row>
    <row r="144" ht="15.75" customHeight="1">
      <c r="T144" s="24"/>
    </row>
    <row r="145" ht="15.75" customHeight="1">
      <c r="T145" s="24"/>
    </row>
    <row r="146" ht="15.75" customHeight="1">
      <c r="T146" s="24"/>
    </row>
    <row r="147" ht="15.75" customHeight="1">
      <c r="T147" s="24"/>
    </row>
    <row r="148" ht="15.75" customHeight="1">
      <c r="T148" s="24"/>
    </row>
    <row r="149" ht="15.75" customHeight="1">
      <c r="T149" s="24"/>
    </row>
    <row r="150" ht="15.75" customHeight="1">
      <c r="T150" s="24"/>
    </row>
    <row r="151" ht="15.75" customHeight="1">
      <c r="T151" s="24"/>
    </row>
    <row r="152" ht="15.75" customHeight="1">
      <c r="T152" s="24"/>
    </row>
    <row r="153" ht="15.75" customHeight="1">
      <c r="T153" s="24"/>
    </row>
    <row r="154" ht="15.75" customHeight="1">
      <c r="T154" s="24"/>
    </row>
    <row r="155" ht="15.75" customHeight="1">
      <c r="T155" s="24"/>
    </row>
    <row r="156" ht="15.75" customHeight="1">
      <c r="T156" s="24"/>
    </row>
    <row r="157" ht="15.75" customHeight="1">
      <c r="T157" s="24"/>
    </row>
    <row r="158" ht="15.75" customHeight="1">
      <c r="T158" s="24"/>
    </row>
    <row r="159" ht="15.75" customHeight="1">
      <c r="T159" s="24"/>
    </row>
    <row r="160" ht="15.75" customHeight="1">
      <c r="T160" s="24"/>
    </row>
    <row r="161" ht="15.75" customHeight="1">
      <c r="T161" s="24"/>
    </row>
    <row r="162" ht="15.75" customHeight="1">
      <c r="T162" s="24"/>
    </row>
    <row r="163" ht="15.75" customHeight="1">
      <c r="T163" s="24"/>
    </row>
    <row r="164" ht="15.75" customHeight="1">
      <c r="T164" s="24"/>
    </row>
    <row r="165" ht="15.75" customHeight="1">
      <c r="T165" s="24"/>
    </row>
    <row r="166" ht="15.75" customHeight="1">
      <c r="T166" s="24"/>
    </row>
    <row r="167" ht="15.75" customHeight="1">
      <c r="T167" s="24"/>
    </row>
    <row r="168" ht="15.75" customHeight="1">
      <c r="T168" s="24"/>
    </row>
    <row r="169" ht="15.75" customHeight="1">
      <c r="T169" s="24"/>
    </row>
    <row r="170" ht="15.75" customHeight="1">
      <c r="T170" s="24"/>
    </row>
    <row r="171" ht="15.75" customHeight="1">
      <c r="T171" s="24"/>
    </row>
    <row r="172" ht="15.75" customHeight="1">
      <c r="T172" s="24"/>
    </row>
    <row r="173" ht="15.75" customHeight="1">
      <c r="T173" s="24"/>
    </row>
    <row r="174" ht="15.75" customHeight="1">
      <c r="T174" s="24"/>
    </row>
    <row r="175" ht="15.75" customHeight="1">
      <c r="T175" s="24"/>
    </row>
    <row r="176" ht="15.75" customHeight="1">
      <c r="T176" s="24"/>
    </row>
    <row r="177" ht="15.75" customHeight="1">
      <c r="T177" s="24"/>
    </row>
    <row r="178" ht="15.75" customHeight="1">
      <c r="T178" s="24"/>
    </row>
    <row r="179" ht="15.75" customHeight="1">
      <c r="T179" s="24"/>
    </row>
    <row r="180" ht="15.75" customHeight="1">
      <c r="T180" s="24"/>
    </row>
    <row r="181" ht="15.75" customHeight="1">
      <c r="T181" s="24"/>
    </row>
    <row r="182" ht="15.75" customHeight="1">
      <c r="T182" s="24"/>
    </row>
    <row r="183" ht="15.75" customHeight="1">
      <c r="T183" s="24"/>
    </row>
    <row r="184" ht="15.75" customHeight="1">
      <c r="T184" s="24"/>
    </row>
    <row r="185" ht="15.75" customHeight="1">
      <c r="T185" s="24"/>
    </row>
    <row r="186" ht="15.75" customHeight="1">
      <c r="T186" s="24"/>
    </row>
    <row r="187" ht="15.75" customHeight="1">
      <c r="T187" s="24"/>
    </row>
    <row r="188" ht="15.75" customHeight="1">
      <c r="T188" s="24"/>
    </row>
    <row r="189" ht="15.75" customHeight="1">
      <c r="T189" s="24"/>
    </row>
    <row r="190" ht="15.75" customHeight="1">
      <c r="T190" s="24"/>
    </row>
    <row r="191" ht="15.75" customHeight="1">
      <c r="T191" s="24"/>
    </row>
    <row r="192" ht="15.75" customHeight="1">
      <c r="T192" s="24"/>
    </row>
    <row r="193" ht="15.75" customHeight="1">
      <c r="T193" s="24"/>
    </row>
    <row r="194" ht="15.75" customHeight="1">
      <c r="T194" s="24"/>
    </row>
    <row r="195" ht="15.75" customHeight="1">
      <c r="T195" s="24"/>
    </row>
    <row r="196" ht="15.75" customHeight="1">
      <c r="T196" s="24"/>
    </row>
    <row r="197" ht="15.75" customHeight="1">
      <c r="T197" s="24"/>
    </row>
    <row r="198" ht="15.75" customHeight="1">
      <c r="T198" s="24"/>
    </row>
    <row r="199" ht="15.75" customHeight="1">
      <c r="T199" s="24"/>
    </row>
    <row r="200" ht="15.75" customHeight="1">
      <c r="T200" s="24"/>
    </row>
    <row r="201" ht="15.75" customHeight="1">
      <c r="T201" s="24"/>
    </row>
    <row r="202" ht="15.75" customHeight="1">
      <c r="T202" s="24"/>
    </row>
    <row r="203" ht="15.75" customHeight="1">
      <c r="T203" s="24"/>
    </row>
    <row r="204" ht="15.75" customHeight="1">
      <c r="T204" s="24"/>
    </row>
    <row r="205" ht="15.75" customHeight="1">
      <c r="T205" s="24"/>
    </row>
    <row r="206" ht="15.75" customHeight="1">
      <c r="T206" s="24"/>
    </row>
    <row r="207" ht="15.75" customHeight="1">
      <c r="T207" s="24"/>
    </row>
    <row r="208" ht="15.75" customHeight="1">
      <c r="T208" s="24"/>
    </row>
    <row r="209" ht="15.75" customHeight="1">
      <c r="T209" s="24"/>
    </row>
    <row r="210" ht="15.75" customHeight="1">
      <c r="T210" s="24"/>
    </row>
    <row r="211" ht="15.75" customHeight="1">
      <c r="T211" s="24"/>
    </row>
    <row r="212" ht="15.75" customHeight="1">
      <c r="T212" s="24"/>
    </row>
    <row r="213" ht="15.75" customHeight="1">
      <c r="T213" s="24"/>
    </row>
    <row r="214" ht="15.75" customHeight="1">
      <c r="T214" s="24"/>
    </row>
    <row r="215" ht="15.75" customHeight="1">
      <c r="T215" s="24"/>
    </row>
    <row r="216" ht="15.75" customHeight="1">
      <c r="T216" s="24"/>
    </row>
    <row r="217" ht="15.75" customHeight="1">
      <c r="T217" s="24"/>
    </row>
    <row r="218" ht="15.75" customHeight="1">
      <c r="T218" s="24"/>
    </row>
    <row r="219" ht="15.75" customHeight="1">
      <c r="T219" s="24"/>
    </row>
    <row r="220" ht="15.75" customHeight="1">
      <c r="T220" s="24"/>
    </row>
    <row r="221" ht="15.75" customHeight="1">
      <c r="T221" s="24"/>
    </row>
    <row r="222" ht="15.75" customHeight="1">
      <c r="T222" s="24"/>
    </row>
    <row r="223" ht="15.75" customHeight="1">
      <c r="T223" s="24"/>
    </row>
    <row r="224" ht="15.75" customHeight="1">
      <c r="T224" s="24"/>
    </row>
    <row r="225" ht="15.75" customHeight="1">
      <c r="T225" s="24"/>
    </row>
    <row r="226" ht="15.75" customHeight="1">
      <c r="T226" s="24"/>
    </row>
    <row r="227" ht="15.75" customHeight="1">
      <c r="T227" s="24"/>
    </row>
    <row r="228" ht="15.75" customHeight="1">
      <c r="T228" s="24"/>
    </row>
    <row r="229" ht="15.75" customHeight="1">
      <c r="T229" s="24"/>
    </row>
    <row r="230" ht="15.75" customHeight="1">
      <c r="T230" s="24"/>
    </row>
    <row r="231" ht="15.75" customHeight="1">
      <c r="T231" s="24"/>
    </row>
    <row r="232" ht="15.75" customHeight="1">
      <c r="T232" s="24"/>
    </row>
    <row r="233" ht="15.75" customHeight="1">
      <c r="T233" s="24"/>
    </row>
    <row r="234" ht="15.75" customHeight="1">
      <c r="T234" s="24"/>
    </row>
    <row r="235" ht="15.75" customHeight="1">
      <c r="T235" s="24"/>
    </row>
    <row r="236" ht="15.75" customHeight="1">
      <c r="T236" s="24"/>
    </row>
    <row r="237" ht="15.75" customHeight="1">
      <c r="T237" s="24"/>
    </row>
    <row r="238" ht="15.75" customHeight="1">
      <c r="T238" s="24"/>
    </row>
    <row r="239" ht="15.75" customHeight="1">
      <c r="T239" s="24"/>
    </row>
    <row r="240" ht="15.75" customHeight="1">
      <c r="T240" s="24"/>
    </row>
    <row r="241" ht="15.75" customHeight="1">
      <c r="T241" s="24"/>
    </row>
    <row r="242" ht="15.75" customHeight="1">
      <c r="T242" s="24"/>
    </row>
    <row r="243" ht="15.75" customHeight="1">
      <c r="T243" s="24"/>
    </row>
    <row r="244" ht="15.75" customHeight="1">
      <c r="T244" s="24"/>
    </row>
    <row r="245" ht="15.75" customHeight="1">
      <c r="T245" s="24"/>
    </row>
    <row r="246" ht="15.75" customHeight="1">
      <c r="T246" s="24"/>
    </row>
    <row r="247" ht="15.75" customHeight="1">
      <c r="T247" s="24"/>
    </row>
    <row r="248" ht="15.75" customHeight="1">
      <c r="T248" s="24"/>
    </row>
    <row r="249" ht="15.75" customHeight="1">
      <c r="T249" s="24"/>
    </row>
    <row r="250" ht="15.75" customHeight="1">
      <c r="T250" s="24"/>
    </row>
    <row r="251" ht="15.75" customHeight="1">
      <c r="T251" s="24"/>
    </row>
    <row r="252" ht="15.75" customHeight="1">
      <c r="T252" s="24"/>
    </row>
    <row r="253" ht="15.75" customHeight="1">
      <c r="T253" s="24"/>
    </row>
    <row r="254" ht="15.75" customHeight="1">
      <c r="T254" s="24"/>
    </row>
    <row r="255" ht="15.75" customHeight="1">
      <c r="T255" s="24"/>
    </row>
    <row r="256" ht="15.75" customHeight="1">
      <c r="T256" s="24"/>
    </row>
    <row r="257" ht="15.75" customHeight="1">
      <c r="T257" s="24"/>
    </row>
    <row r="258" ht="15.75" customHeight="1">
      <c r="T258" s="24"/>
    </row>
    <row r="259" ht="15.75" customHeight="1">
      <c r="T259" s="24"/>
    </row>
    <row r="260" ht="15.75" customHeight="1">
      <c r="T260" s="24"/>
    </row>
    <row r="261" ht="15.75" customHeight="1">
      <c r="T261" s="24"/>
    </row>
    <row r="262" ht="15.75" customHeight="1">
      <c r="T262" s="24"/>
    </row>
    <row r="263" ht="15.75" customHeight="1">
      <c r="T263" s="24"/>
    </row>
    <row r="264" ht="15.75" customHeight="1">
      <c r="T264" s="24"/>
    </row>
    <row r="265" ht="15.75" customHeight="1">
      <c r="T265" s="24"/>
    </row>
    <row r="266" ht="15.75" customHeight="1">
      <c r="T266" s="24"/>
    </row>
    <row r="267" ht="15.75" customHeight="1">
      <c r="T267" s="24"/>
    </row>
    <row r="268" ht="15.75" customHeight="1">
      <c r="T268" s="24"/>
    </row>
    <row r="269" ht="15.75" customHeight="1">
      <c r="T269" s="24"/>
    </row>
    <row r="270" ht="15.75" customHeight="1">
      <c r="T270" s="24"/>
    </row>
    <row r="271" ht="15.75" customHeight="1">
      <c r="T271" s="24"/>
    </row>
    <row r="272" ht="15.75" customHeight="1">
      <c r="T272" s="24"/>
    </row>
    <row r="273" ht="15.75" customHeight="1">
      <c r="T273" s="24"/>
    </row>
    <row r="274" ht="15.75" customHeight="1">
      <c r="T274" s="24"/>
    </row>
    <row r="275" ht="15.75" customHeight="1">
      <c r="T275" s="24"/>
    </row>
    <row r="276" ht="15.75" customHeight="1">
      <c r="T276" s="24"/>
    </row>
    <row r="277" ht="15.75" customHeight="1">
      <c r="T277" s="24"/>
    </row>
    <row r="278" ht="15.75" customHeight="1">
      <c r="T278" s="2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3.88"/>
    <col customWidth="1" hidden="1" min="3" max="10" width="13.25"/>
    <col customWidth="1" min="11" max="13" width="13.25"/>
  </cols>
  <sheetData>
    <row r="1" ht="15.75" customHeight="1">
      <c r="A1" s="2" t="s">
        <v>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17</v>
      </c>
      <c r="L1" s="2" t="s">
        <v>18</v>
      </c>
      <c r="M1" s="2" t="s">
        <v>19</v>
      </c>
      <c r="N1" s="2"/>
      <c r="O1" s="2"/>
      <c r="P1" s="12" t="str">
        <f>A2</f>
        <v>70-100</v>
      </c>
      <c r="Q1" s="12" t="str">
        <f>A3</f>
        <v>40-70</v>
      </c>
      <c r="R1" s="12" t="str">
        <f>A4</f>
        <v>30-40</v>
      </c>
      <c r="S1" s="13" t="str">
        <f>A5</f>
        <v>10-30</v>
      </c>
      <c r="T1" s="12" t="str">
        <f>A6</f>
        <v>0-10</v>
      </c>
      <c r="U1" s="2"/>
      <c r="V1" s="2"/>
      <c r="W1" s="2"/>
      <c r="X1" s="2"/>
      <c r="Y1" s="2"/>
      <c r="Z1" s="2"/>
      <c r="AA1" s="2"/>
    </row>
    <row r="2" ht="15.75" customHeight="1">
      <c r="A2" s="21" t="s">
        <v>25</v>
      </c>
      <c r="B2" s="21">
        <v>750.0</v>
      </c>
      <c r="C2" s="24">
        <v>69.0</v>
      </c>
      <c r="D2" s="24">
        <v>101.0</v>
      </c>
      <c r="E2" s="24">
        <f>sumifs('Referring domains - no comparis'!$D:$D,
'Referring domains - no comparis'!B:B,"&lt;"&amp;D2,
'Referring domains - no comparis'!B:B,"&gt;"&amp;C2,
'Referring domains - no comparis'!K:K,"&gt;1000")</f>
        <v>0</v>
      </c>
      <c r="G2" s="24">
        <f t="array" ref="G2">COUNTIFS(
INDIRECT("'Referring domains'!"&amp;SUBSTITUTE(ADDRESS(1,MATCH("Domain Rating (desc)",'Referring domains - no comparis'!$A$1:$M$1,0),4),1,"")&amp;":"&amp;SUBSTITUTE(ADDRESS(1,MATCH("Domain Rating (desc)",'Referring domains - no comparis'!$A$1:$M$1,0),4),1,"")),"&lt;"&amp;D2,
INDIRECT("'Referring domains'!"&amp;SUBSTITUTE(ADDRESS(1,MATCH("Domain Rating (desc)",'Referring domains - no comparis'!$A$1:$M$1,0),4),1,"")&amp;":"&amp;SUBSTITUTE(ADDRESS(1,MATCH("Domain Rating (desc)",'Referring domains - no comparis'!$A$1:$M$1,0),4),1,"")),"&gt;"&amp;C2
)</f>
        <v>0</v>
      </c>
      <c r="H2" s="24" t="str">
        <f t="array" ref="H2">sumifs(INDIRECT("'Referring domains'!"&amp;SUBSTITUTE(ADDRESS(1,MATCH("Total Backlinks",'Referring domains - no comparis'!$A$1:$M$1,0),4),1,"")&amp;":"&amp;SUBSTITUTE(ADDRESS(1,MATCH("Total Backlinks",'Referring domains - no comparis'!$A$1:$M$1,0),4),1,"")),
INDIRECT("'Referring domains'!"&amp;SUBSTITUTE(ADDRESS(1,MATCH("Domain Rating (desc)",'Referring domains - no comparis'!$A$1:$M$1,0),4),1,"")&amp;":"&amp;SUBSTITUTE(ADDRESS(1,MATCH("Domain Rating (desc)",'Referring domains - no comparis'!$A$1:$M$1,0),4),1,"")),"&lt;"&amp;D2,
INDIRECT("'Referring domains'!"&amp;SUBSTITUTE(ADDRESS(1,MATCH("Domain Rating (desc)",'Referring domains - no comparis'!$A$1:$M$1,0),4),1,"")&amp;":"&amp;SUBSTITUTE(ADDRESS(1,MATCH("Domain Rating (desc)",'Referring domains - no comparis'!$A$1:$M$1,0),4),1,"")),"&gt;"&amp;C2)</f>
        <v>#N/A</v>
      </c>
      <c r="I2" s="24" t="str">
        <f t="shared" ref="I2:I6" si="1">H2*B2</f>
        <v>#N/A</v>
      </c>
      <c r="K2" s="24">
        <f>COUNTA(P:P) - 1</f>
        <v>1</v>
      </c>
      <c r="L2" s="24" t="str">
        <f>IFERROR(__xludf.DUMMYFUNCTION("sum(filter('Referring domains - no comparis'!G1:G787,isnumber(match('Referring domains - no comparis'!A1:A787,'Cost of backlinks (without low '!P:P,0))))
"),"#N/A")</f>
        <v>#N/A</v>
      </c>
      <c r="M2" s="21" t="str">
        <f t="shared" ref="M2:M6" si="2">L2*B2</f>
        <v>#N/A</v>
      </c>
      <c r="P2" s="25" t="str">
        <f>IFERROR(__xludf.DUMMYFUNCTION("FILTER('Referring domains - no comparis'!$A$2:$A787,
'Referring domains - no comparis'!$B$2:$B787&lt;101,
'Referring domains - no comparis'!$B$2:$B787&gt;69,
'Referring domains - no comparis'!$E$2:$E787&gt;$K$13)"),"#N/A")</f>
        <v>#N/A</v>
      </c>
      <c r="Q2" s="25" t="str">
        <f>IFERROR(__xludf.DUMMYFUNCTION("FILTER('Referring domains - no comparis'!$A$2:$A787,
'Referring domains - no comparis'!$B$2:$B787&lt;70,
'Referring domains - no comparis'!$B$2:$B787&gt;39,
'Referring domains - no comparis'!$E$2:$E787&gt;$K$13)"),"#N/A")</f>
        <v>#N/A</v>
      </c>
      <c r="R2" s="25" t="str">
        <f>IFERROR(__xludf.DUMMYFUNCTION("FILTER('Referring domains - no comparis'!$A$2:$A787,
'Referring domains - no comparis'!$B$2:$B787&lt;40,
'Referring domains - no comparis'!$B$2:$B787&gt;29,
'Referring domains - no comparis'!$E$2:$E787&gt;$K$13)"),"#N/A")</f>
        <v>#N/A</v>
      </c>
      <c r="S2" s="25" t="str">
        <f>IFERROR(__xludf.DUMMYFUNCTION("FILTER('Referring domains - no comparis'!$A$2:$A787,
'Referring domains - no comparis'!$B$2:$B787&lt;30,
'Referring domains - no comparis'!$B$2:$B787&gt;9,
'Referring domains - no comparis'!$E$2:$E787&gt;$K$13)"),"#N/A")</f>
        <v>#N/A</v>
      </c>
      <c r="T2" s="25" t="str">
        <f>IFERROR(__xludf.DUMMYFUNCTION("FILTER('Referring domains - no comparis'!$A$2:$A787,
'Referring domains - no comparis'!$B$2:$B787&lt;10,
'Referring domains - no comparis'!$B$2:$B787&gt;-1,
'Referring domains - no comparis'!$E$2:$E787&gt;$K$13)"),"#N/A")</f>
        <v>#N/A</v>
      </c>
    </row>
    <row r="3" ht="15.75" customHeight="1">
      <c r="A3" s="21" t="s">
        <v>85</v>
      </c>
      <c r="B3" s="21">
        <v>300.0</v>
      </c>
      <c r="C3" s="24">
        <v>39.0</v>
      </c>
      <c r="D3" s="24">
        <v>70.0</v>
      </c>
      <c r="E3" s="24">
        <f>sumifs('Referring domains - no comparis'!$D:$D,'Referring domains - no comparis'!B:B,"&lt;"&amp;D3,'Referring domains - no comparis'!B:B,"&gt;"&amp;C3,'Referring domains - no comparis'!K:K,"&gt;1000")</f>
        <v>0</v>
      </c>
      <c r="G3" s="24">
        <f t="array" ref="G3">COUNTIFS(
INDIRECT("'Referring domains'!"&amp;SUBSTITUTE(ADDRESS(1,MATCH("Domain Rating (desc)",'Referring domains - no comparis'!$A$1:$M$1,0),4),1,"")&amp;":"&amp;SUBSTITUTE(ADDRESS(1,MATCH("Domain Rating (desc)",'Referring domains - no comparis'!$A$1:$M$1,0),4),1,"")),"&lt;"&amp;D3,
INDIRECT("'Referring domains'!"&amp;SUBSTITUTE(ADDRESS(1,MATCH("Domain Rating (desc)",'Referring domains - no comparis'!$A$1:$M$1,0),4),1,"")&amp;":"&amp;SUBSTITUTE(ADDRESS(1,MATCH("Domain Rating (desc)",'Referring domains - no comparis'!$A$1:$M$1,0),4),1,"")),"&gt;"&amp;C3
)</f>
        <v>0</v>
      </c>
      <c r="H3" s="24" t="str">
        <f t="array" ref="H3">sumifs(INDIRECT("'Referring domains'!"&amp;SUBSTITUTE(ADDRESS(1,MATCH("Total Backlinks",'Referring domains - no comparis'!$A$1:$M$1,0),4),1,"")&amp;":"&amp;SUBSTITUTE(ADDRESS(1,MATCH("Total Backlinks",'Referring domains - no comparis'!$A$1:$M$1,0),4),1,"")),
INDIRECT("'Referring domains'!"&amp;SUBSTITUTE(ADDRESS(1,MATCH("Domain Rating (desc)",'Referring domains - no comparis'!$A$1:$M$1,0),4),1,"")&amp;":"&amp;SUBSTITUTE(ADDRESS(1,MATCH("Domain Rating (desc)",'Referring domains - no comparis'!$A$1:$M$1,0),4),1,"")),"&lt;"&amp;D3,
INDIRECT("'Referring domains'!"&amp;SUBSTITUTE(ADDRESS(1,MATCH("Domain Rating (desc)",'Referring domains - no comparis'!$A$1:$M$1,0),4),1,"")&amp;":"&amp;SUBSTITUTE(ADDRESS(1,MATCH("Domain Rating (desc)",'Referring domains - no comparis'!$A$1:$M$1,0),4),1,"")),"&gt;"&amp;C3)</f>
        <v>#N/A</v>
      </c>
      <c r="I3" s="24" t="str">
        <f t="shared" si="1"/>
        <v>#N/A</v>
      </c>
      <c r="K3" s="24">
        <f>COUNTA(Q:Q) - 1</f>
        <v>1</v>
      </c>
      <c r="L3" s="24" t="str">
        <f>IFERROR(__xludf.DUMMYFUNCTION("sum(filter('Referring domains - no comparis'!G:G,isnumber(match('Referring domains - no comparis'!A:A,'Cost of backlinks (without low '!Q:Q,0))))
"),"#N/A")</f>
        <v>#N/A</v>
      </c>
      <c r="M3" s="21" t="str">
        <f t="shared" si="2"/>
        <v>#N/A</v>
      </c>
      <c r="P3" s="28"/>
      <c r="Q3" s="29"/>
      <c r="R3" s="24"/>
      <c r="S3" s="24"/>
      <c r="T3" s="24"/>
    </row>
    <row r="4" ht="15.75" customHeight="1">
      <c r="A4" s="21" t="s">
        <v>143</v>
      </c>
      <c r="B4" s="21">
        <v>100.0</v>
      </c>
      <c r="C4" s="24">
        <v>29.0</v>
      </c>
      <c r="D4" s="24">
        <v>40.0</v>
      </c>
      <c r="E4" s="24">
        <f>sumifs('Referring domains - no comparis'!$D:$D,'Referring domains - no comparis'!B:B,"&lt;"&amp;D4,'Referring domains - no comparis'!B:B,"&gt;"&amp;C4,'Referring domains - no comparis'!K:K,"&gt;1000")</f>
        <v>0</v>
      </c>
      <c r="G4" s="24">
        <f t="array" ref="G4">COUNTIFS(
INDIRECT("'Referring domains'!"&amp;SUBSTITUTE(ADDRESS(1,MATCH("Domain Rating (desc)",'Referring domains - no comparis'!$A$1:$M$1,0),4),1,"")&amp;":"&amp;SUBSTITUTE(ADDRESS(1,MATCH("Domain Rating (desc)",'Referring domains - no comparis'!$A$1:$M$1,0),4),1,"")),"&lt;"&amp;D4,
INDIRECT("'Referring domains'!"&amp;SUBSTITUTE(ADDRESS(1,MATCH("Domain Rating (desc)",'Referring domains - no comparis'!$A$1:$M$1,0),4),1,"")&amp;":"&amp;SUBSTITUTE(ADDRESS(1,MATCH("Domain Rating (desc)",'Referring domains - no comparis'!$A$1:$M$1,0),4),1,"")),"&gt;"&amp;C4
)</f>
        <v>0</v>
      </c>
      <c r="H4" s="24" t="str">
        <f t="array" ref="H4">sumifs(INDIRECT("'Referring domains'!"&amp;SUBSTITUTE(ADDRESS(1,MATCH("Total Backlinks",'Referring domains - no comparis'!$A$1:$M$1,0),4),1,"")&amp;":"&amp;SUBSTITUTE(ADDRESS(1,MATCH("Total Backlinks",'Referring domains - no comparis'!$A$1:$M$1,0),4),1,"")),
INDIRECT("'Referring domains'!"&amp;SUBSTITUTE(ADDRESS(1,MATCH("Domain Rating (desc)",'Referring domains - no comparis'!$A$1:$M$1,0),4),1,"")&amp;":"&amp;SUBSTITUTE(ADDRESS(1,MATCH("Domain Rating (desc)",'Referring domains - no comparis'!$A$1:$M$1,0),4),1,"")),"&lt;"&amp;D4,
INDIRECT("'Referring domains'!"&amp;SUBSTITUTE(ADDRESS(1,MATCH("Domain Rating (desc)",'Referring domains - no comparis'!$A$1:$M$1,0),4),1,"")&amp;":"&amp;SUBSTITUTE(ADDRESS(1,MATCH("Domain Rating (desc)",'Referring domains - no comparis'!$A$1:$M$1,0),4),1,"")),"&gt;"&amp;C4)</f>
        <v>#N/A</v>
      </c>
      <c r="I4" s="24" t="str">
        <f t="shared" si="1"/>
        <v>#N/A</v>
      </c>
      <c r="K4" s="24">
        <f>COUNTA(R:R) - 1</f>
        <v>1</v>
      </c>
      <c r="L4" s="24" t="str">
        <f>IFERROR(__xludf.DUMMYFUNCTION("sum(filter('Referring domains - no comparis'!G:G,isnumber(match('Referring domains - no comparis'!A:A,'Cost of backlinks (without low '!R:R,0))))
"),"#N/A")</f>
        <v>#N/A</v>
      </c>
      <c r="M4" s="21" t="str">
        <f t="shared" si="2"/>
        <v>#N/A</v>
      </c>
      <c r="P4" s="24"/>
      <c r="Q4" s="28"/>
      <c r="R4" s="24"/>
      <c r="S4" s="24"/>
      <c r="T4" s="24"/>
    </row>
    <row r="5" ht="15.75" customHeight="1">
      <c r="A5" s="30" t="s">
        <v>198</v>
      </c>
      <c r="B5" s="21">
        <v>50.0</v>
      </c>
      <c r="C5" s="24">
        <v>9.0</v>
      </c>
      <c r="D5" s="24">
        <v>30.0</v>
      </c>
      <c r="E5" s="24">
        <f>sumifs('Referring domains - no comparis'!$D:$D,'Referring domains - no comparis'!B:B,"&lt;"&amp;D5,'Referring domains - no comparis'!B:B,"&gt;"&amp;C5,'Referring domains - no comparis'!K:K,"&gt;1000")</f>
        <v>0</v>
      </c>
      <c r="G5" s="24">
        <f t="array" ref="G5">COUNTIFS(
INDIRECT("'Referring domains'!"&amp;SUBSTITUTE(ADDRESS(1,MATCH("Domain Rating (desc)",'Referring domains - no comparis'!$A$1:$M$1,0),4),1,"")&amp;":"&amp;SUBSTITUTE(ADDRESS(1,MATCH("Domain Rating (desc)",'Referring domains - no comparis'!$A$1:$M$1,0),4),1,"")),"&lt;"&amp;D5,
INDIRECT("'Referring domains'!"&amp;SUBSTITUTE(ADDRESS(1,MATCH("Domain Rating (desc)",'Referring domains - no comparis'!$A$1:$M$1,0),4),1,"")&amp;":"&amp;SUBSTITUTE(ADDRESS(1,MATCH("Domain Rating (desc)",'Referring domains - no comparis'!$A$1:$M$1,0),4),1,"")),"&gt;"&amp;C5
)</f>
        <v>0</v>
      </c>
      <c r="H5" s="24" t="str">
        <f t="array" ref="H5">sumifs(INDIRECT("'Referring domains'!"&amp;SUBSTITUTE(ADDRESS(1,MATCH("Total Backlinks",'Referring domains - no comparis'!$A$1:$M$1,0),4),1,"")&amp;":"&amp;SUBSTITUTE(ADDRESS(1,MATCH("Total Backlinks",'Referring domains - no comparis'!$A$1:$M$1,0),4),1,"")),
INDIRECT("'Referring domains'!"&amp;SUBSTITUTE(ADDRESS(1,MATCH("Domain Rating (desc)",'Referring domains - no comparis'!$A$1:$M$1,0),4),1,"")&amp;":"&amp;SUBSTITUTE(ADDRESS(1,MATCH("Domain Rating (desc)",'Referring domains - no comparis'!$A$1:$M$1,0),4),1,"")),"&lt;"&amp;D5,
INDIRECT("'Referring domains'!"&amp;SUBSTITUTE(ADDRESS(1,MATCH("Domain Rating (desc)",'Referring domains - no comparis'!$A$1:$M$1,0),4),1,"")&amp;":"&amp;SUBSTITUTE(ADDRESS(1,MATCH("Domain Rating (desc)",'Referring domains - no comparis'!$A$1:$M$1,0),4),1,"")),"&gt;"&amp;C5)</f>
        <v>#N/A</v>
      </c>
      <c r="I5" s="24" t="str">
        <f t="shared" si="1"/>
        <v>#N/A</v>
      </c>
      <c r="K5" s="24">
        <f>COUNTA(S:S) - 1</f>
        <v>1</v>
      </c>
      <c r="L5" s="24" t="str">
        <f>IFERROR(__xludf.DUMMYFUNCTION("sum(filter('Referring domains - no comparis'!G:G,isnumber(match('Referring domains - no comparis'!A:A,'Cost of backlinks (without low '!S:S,0))))
"),"#N/A")</f>
        <v>#N/A</v>
      </c>
      <c r="M5" s="21" t="str">
        <f t="shared" si="2"/>
        <v>#N/A</v>
      </c>
      <c r="P5" s="24"/>
      <c r="Q5" s="24"/>
      <c r="R5" s="24"/>
      <c r="S5" s="24"/>
      <c r="T5" s="28"/>
    </row>
    <row r="6" ht="15.75" customHeight="1">
      <c r="A6" s="21" t="s">
        <v>242</v>
      </c>
      <c r="B6" s="21">
        <v>10.0</v>
      </c>
      <c r="C6" s="24">
        <v>-1.0</v>
      </c>
      <c r="D6" s="24">
        <v>10.0</v>
      </c>
      <c r="E6" s="24">
        <f>sumifs('Referring domains - no comparis'!$D:$D,'Referring domains - no comparis'!B:B,"&lt;"&amp;D6,'Referring domains - no comparis'!B:B,"&gt;"&amp;C6,'Referring domains - no comparis'!K:K,"&gt;1000")</f>
        <v>0</v>
      </c>
      <c r="G6" s="24">
        <f t="array" ref="G6">COUNTIFS(
INDIRECT("'Referring domains'!"&amp;SUBSTITUTE(ADDRESS(1,MATCH("Domain Rating (desc)",'Referring domains - no comparis'!$A$1:$M$1,0),4),1,"")&amp;":"&amp;SUBSTITUTE(ADDRESS(1,MATCH("Domain Rating (desc)",'Referring domains - no comparis'!$A$1:$M$1,0),4),1,"")),"&lt;"&amp;D6,
INDIRECT("'Referring domains'!"&amp;SUBSTITUTE(ADDRESS(1,MATCH("Domain Rating (desc)",'Referring domains - no comparis'!$A$1:$M$1,0),4),1,"")&amp;":"&amp;SUBSTITUTE(ADDRESS(1,MATCH("Domain Rating (desc)",'Referring domains - no comparis'!$A$1:$M$1,0),4),1,"")),"&gt;"&amp;C6
)</f>
        <v>0</v>
      </c>
      <c r="H6" s="24" t="str">
        <f t="array" ref="H6">sumifs(INDIRECT("'Referring domains'!"&amp;SUBSTITUTE(ADDRESS(1,MATCH("Total Backlinks",'Referring domains - no comparis'!$A$1:$M$1,0),4),1,"")&amp;":"&amp;SUBSTITUTE(ADDRESS(1,MATCH("Total Backlinks",'Referring domains - no comparis'!$A$1:$M$1,0),4),1,"")),
INDIRECT("'Referring domains'!"&amp;SUBSTITUTE(ADDRESS(1,MATCH("Domain Rating (desc)",'Referring domains - no comparis'!$A$1:$M$1,0),4),1,"")&amp;":"&amp;SUBSTITUTE(ADDRESS(1,MATCH("Domain Rating (desc)",'Referring domains - no comparis'!$A$1:$M$1,0),4),1,"")),"&lt;"&amp;D6,
INDIRECT("'Referring domains'!"&amp;SUBSTITUTE(ADDRESS(1,MATCH("Domain Rating (desc)",'Referring domains - no comparis'!$A$1:$M$1,0),4),1,"")&amp;":"&amp;SUBSTITUTE(ADDRESS(1,MATCH("Domain Rating (desc)",'Referring domains - no comparis'!$A$1:$M$1,0),4),1,"")),"&gt;"&amp;C6)</f>
        <v>#N/A</v>
      </c>
      <c r="I6" s="24" t="str">
        <f t="shared" si="1"/>
        <v>#N/A</v>
      </c>
      <c r="K6" s="24">
        <f>COUNTA(T:T) - 1</f>
        <v>1</v>
      </c>
      <c r="L6" s="24" t="str">
        <f>IFERROR(__xludf.DUMMYFUNCTION("sum(filter('Referring domains - no comparis'!G:G,isnumber(match('Referring domains - no comparis'!A:A,'Cost of backlinks (without low '!T:T,0))))
"),"#N/A")</f>
        <v>#N/A</v>
      </c>
      <c r="M6" s="21" t="str">
        <f t="shared" si="2"/>
        <v>#N/A</v>
      </c>
      <c r="P6" s="24"/>
      <c r="Q6" s="24"/>
      <c r="R6" s="24"/>
      <c r="S6" s="28"/>
      <c r="T6" s="28"/>
    </row>
    <row r="7" ht="15.75" customHeight="1">
      <c r="P7" s="24"/>
      <c r="Q7" s="24"/>
      <c r="R7" s="24"/>
      <c r="S7" s="28"/>
      <c r="T7" s="28"/>
    </row>
    <row r="8" ht="15.75" customHeight="1">
      <c r="F8" s="24"/>
      <c r="G8" s="24"/>
      <c r="H8" s="24" t="s">
        <v>247</v>
      </c>
      <c r="I8" s="24" t="s">
        <v>248</v>
      </c>
      <c r="J8" s="24"/>
      <c r="K8" s="24"/>
      <c r="L8" s="24" t="s">
        <v>247</v>
      </c>
      <c r="M8" s="24" t="s">
        <v>248</v>
      </c>
      <c r="P8" s="24"/>
      <c r="Q8" s="24"/>
      <c r="R8" s="24"/>
      <c r="S8" s="28"/>
      <c r="T8" s="24"/>
    </row>
    <row r="9" ht="15.75" customHeight="1">
      <c r="H9" s="24" t="str">
        <f>sum(H2:H6)</f>
        <v>#N/A</v>
      </c>
      <c r="I9" s="24" t="str">
        <f>SUM(I2:I6)</f>
        <v>#N/A</v>
      </c>
      <c r="L9" s="24" t="str">
        <f>sum(L2:L6)</f>
        <v>#N/A</v>
      </c>
      <c r="M9" s="21" t="str">
        <f>SUM(M2:M6)</f>
        <v>#N/A</v>
      </c>
      <c r="P9" s="24"/>
      <c r="Q9" s="24"/>
      <c r="R9" s="24"/>
      <c r="S9" s="28"/>
    </row>
    <row r="10" ht="15.75" customHeight="1">
      <c r="P10" s="24"/>
      <c r="Q10" s="24"/>
      <c r="R10" s="24"/>
      <c r="S10" s="28"/>
    </row>
    <row r="11" ht="15.75" customHeight="1">
      <c r="P11" s="24"/>
      <c r="Q11" s="24"/>
    </row>
    <row r="12" ht="15.75" customHeight="1">
      <c r="K12" s="24" t="s">
        <v>251</v>
      </c>
      <c r="P12" s="24"/>
      <c r="Q12" s="24"/>
    </row>
    <row r="13" ht="15.75" customHeight="1">
      <c r="K13" s="24">
        <v>1000.0</v>
      </c>
      <c r="P13" s="24"/>
      <c r="Q13" s="28"/>
    </row>
    <row r="14" ht="15.75" customHeight="1">
      <c r="P14" s="24"/>
      <c r="Q14" s="28"/>
    </row>
    <row r="15" ht="15.75" customHeight="1">
      <c r="P15" s="24"/>
      <c r="Q15" s="28"/>
    </row>
    <row r="16" ht="15.75" customHeight="1">
      <c r="P16" s="24"/>
    </row>
    <row r="17" ht="15.75" customHeight="1">
      <c r="P17" s="24"/>
    </row>
    <row r="18" ht="15.75" customHeight="1">
      <c r="P18" s="24"/>
    </row>
    <row r="19" ht="15.75" customHeight="1">
      <c r="P19" s="24"/>
    </row>
    <row r="20" ht="15.75" customHeight="1">
      <c r="P20" s="24"/>
    </row>
    <row r="21" ht="15.75" customHeight="1">
      <c r="P21" s="24"/>
    </row>
    <row r="22" ht="15.75" customHeight="1">
      <c r="P22" s="24"/>
    </row>
    <row r="23" ht="15.75" customHeight="1">
      <c r="P23" s="24"/>
    </row>
    <row r="24" ht="15.75" customHeight="1">
      <c r="P24" s="24"/>
    </row>
    <row r="25" ht="15.75" customHeight="1">
      <c r="P25" s="2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