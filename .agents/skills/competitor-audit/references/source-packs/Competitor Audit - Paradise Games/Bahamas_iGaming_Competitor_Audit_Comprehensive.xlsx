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How to Use" sheetId="1" r:id="rId4"/>
    <sheet state="visible" name="01 Competitor Profiles" sheetId="2" r:id="rId5"/>
    <sheet state="visible" name="02 Technical SEO" sheetId="3" r:id="rId6"/>
    <sheet state="visible" name="03 Casino Silo" sheetId="4" r:id="rId7"/>
    <sheet state="visible" name="04 Sports Silo" sheetId="5" r:id="rId8"/>
    <sheet state="visible" name="05 Content &amp; Guides" sheetId="6" r:id="rId9"/>
    <sheet state="visible" name="06 Off-Page &amp; Authority" sheetId="7" r:id="rId10"/>
    <sheet state="visible" name="07 Bahamas &amp; Compliance" sheetId="8" r:id="rId11"/>
    <sheet state="visible" name="08 Feature Matrix" sheetId="9" r:id="rId12"/>
    <sheet state="visible" name="09 Summary Dashboard" sheetId="10" r:id="rId13"/>
    <sheet state="visible" name="10 Action Plan" sheetId="11" r:id="rId14"/>
    <sheet state="visible" name="Screenshots" sheetId="12" r:id="rId15"/>
  </sheets>
  <definedNames>
    <definedName hidden="1" localSheetId="2" name="_xlnm._FilterDatabase">'02 Technical SEO'!$A$3:$P$22</definedName>
    <definedName hidden="1" localSheetId="3" name="_xlnm._FilterDatabase">'03 Casino Silo'!$A$3:$P$27</definedName>
    <definedName hidden="1" localSheetId="4" name="_xlnm._FilterDatabase">'04 Sports Silo'!$A$3:$P$25</definedName>
    <definedName hidden="1" localSheetId="5" name="_xlnm._FilterDatabase">'05 Content &amp; Guides'!$A$3:$P$24</definedName>
    <definedName hidden="1" localSheetId="6" name="_xlnm._FilterDatabase">'06 Off-Page &amp; Authority'!$A$3:$P$20</definedName>
    <definedName hidden="1" localSheetId="7" name="_xlnm._FilterDatabase">'07 Bahamas &amp; Compliance'!$A$3:$P$19</definedName>
    <definedName hidden="1" localSheetId="8" name="_xlnm._FilterDatabase">'08 Feature Matrix'!$A$3:$I$36</definedName>
  </definedNames>
  <calcPr/>
  <extLst>
    <ext uri="GoogleSheetsCustomDataVersion2">
      <go:sheetsCustomData xmlns:go="http://customooxmlschemas.google.com/" r:id="rId16" roundtripDataChecksum="i6VYRQ33MHW3OXPb981OZfEf2cnHDqUoTNkf361Fmx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ID#AAACEzq2tU4
Unknown Author    (2026-08-04 14:17:08)
0 = absent, 1 = poor, 2 = adequate, 3 = strong / best in market. Use N/A where the check does not apply.</t>
      </text>
    </comment>
  </commentList>
  <extLst>
    <ext uri="GoogleSheetsCustomDataVersion2">
      <go:sheetsCustomData xmlns:go="http://customooxmlschemas.google.com/" r:id="rId1" roundtripDataSignature="AMtx7mh80CJFj3/tlC7S9hPqeLM4zBxgt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ID#AAACEzq2tVM
Unknown Author    (2026-08-04 14:17:08)
0 = absent, 1 = poor, 2 = adequate, 3 = strong / best in market. Use N/A where the check does not apply.</t>
      </text>
    </comment>
  </commentList>
  <extLst>
    <ext uri="GoogleSheetsCustomDataVersion2">
      <go:sheetsCustomData xmlns:go="http://customooxmlschemas.google.com/" r:id="rId1" roundtripDataSignature="AMtx7mhQaYlE0BtkGjr9Nc96JpTh2HpMH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ID#AAACEzq2tU8
Unknown Author    (2026-08-04 14:17:08)
0 = absent, 1 = poor, 2 = adequate, 3 = strong / best in market. Use N/A where the check does not apply.</t>
      </text>
    </comment>
  </commentList>
  <extLst>
    <ext uri="GoogleSheetsCustomDataVersion2">
      <go:sheetsCustomData xmlns:go="http://customooxmlschemas.google.com/" r:id="rId1" roundtripDataSignature="AMtx7mjJ6VLzJogAokR2Ni8sTD3YWL6ZW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ID#AAACEzq2tVA
Unknown Author    (2026-08-04 14:17:08)
0 = absent, 1 = poor, 2 = adequate, 3 = strong / best in market. Use N/A where the check does not apply.</t>
      </text>
    </comment>
  </commentList>
  <extLst>
    <ext uri="GoogleSheetsCustomDataVersion2">
      <go:sheetsCustomData xmlns:go="http://customooxmlschemas.google.com/" r:id="rId1" roundtripDataSignature="AMtx7mhIIjBuXRMB6taNBe4XV2QSNyLu5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ID#AAACEzq2tVE
Unknown Author    (2026-08-04 14:17:08)
0 = absent, 1 = poor, 2 = adequate, 3 = strong / best in market. Use N/A where the check does not apply.</t>
      </text>
    </comment>
  </commentList>
  <extLst>
    <ext uri="GoogleSheetsCustomDataVersion2">
      <go:sheetsCustomData xmlns:go="http://customooxmlschemas.google.com/" r:id="rId1" roundtripDataSignature="AMtx7miR7DnQsMJxf47xyBgD7brN95EcU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ID#AAACEzq2tVI
Unknown Author    (2026-08-04 14:17:08)
0 = absent, 1 = poor, 2 = adequate, 3 = strong / best in market. Use N/A where the check does not apply.</t>
      </text>
    </comment>
  </commentList>
  <extLst>
    <ext uri="GoogleSheetsCustomDataVersion2">
      <go:sheetsCustomData xmlns:go="http://customooxmlschemas.google.com/" r:id="rId1" roundtripDataSignature="AMtx7mjuIBLkuZe9ymH0JRoLuz1L/X0mWQ=="/>
    </ext>
  </extLst>
</comments>
</file>

<file path=xl/sharedStrings.xml><?xml version="1.0" encoding="utf-8"?>
<sst xmlns="http://schemas.openxmlformats.org/spreadsheetml/2006/main" count="1071" uniqueCount="688">
  <si>
    <t>Bahamas iGaming Competitor Audit — Template &amp; Method</t>
  </si>
  <si>
    <t>Technical SEO</t>
  </si>
  <si>
    <t>Competitor Profiles &amp; Audit Log</t>
  </si>
  <si>
    <t>Casino, sportsbook and content audit across three domestic competitors, benchmarked against Paradise Games.</t>
  </si>
  <si>
    <t>Complete this first. It sets the scope, the dates and the baseline metrics every later tab is read against.</t>
  </si>
  <si>
    <t>Site-wide technical foundations. These determine whether anything built in the casino and sports silos can actually rank.</t>
  </si>
  <si>
    <t>Casino Silo</t>
  </si>
  <si>
    <t>Field</t>
  </si>
  <si>
    <t>Purpose</t>
  </si>
  <si>
    <t>Ref</t>
  </si>
  <si>
    <t>Section</t>
  </si>
  <si>
    <t>Why it is captured</t>
  </si>
  <si>
    <t>Audit point</t>
  </si>
  <si>
    <t>Island Luck</t>
  </si>
  <si>
    <t>Why this matters (rationale for the client)</t>
  </si>
  <si>
    <t>This workbook produces a defensible, evidence-based view of how the three largest domestic competitors structure, optimise and merchandise their casino and sportsbook offerings, and where Paradise Games can take share. Every audit point carries a written rationale so the finished document explains not only what was found, but why it matters commercially.</t>
  </si>
  <si>
    <t>What good looks like (benchmark)</t>
  </si>
  <si>
    <t>Chances Games</t>
  </si>
  <si>
    <t>Island Luck — finding</t>
  </si>
  <si>
    <t>A Sure Win</t>
  </si>
  <si>
    <t>Casino silo structure, content, product and SEO. The largest revenue silo and the deepest page inventory opportunity.</t>
  </si>
  <si>
    <t>Paradise Games (Client)</t>
  </si>
  <si>
    <t>Score</t>
  </si>
  <si>
    <t>Brand name</t>
  </si>
  <si>
    <t>Competitor set</t>
  </si>
  <si>
    <t>Chances Games — finding</t>
  </si>
  <si>
    <t>Trading name as presented on site.</t>
  </si>
  <si>
    <t>Island Luck, Chances Games and A Sure Win. All are Gaming Board for The Bahamas licensed Gaming House Operators. Paradise Games is audited on the same criteria in every tab so the output is a gap analysis, not just a competitor list.</t>
  </si>
  <si>
    <t>A Sure Win — finding</t>
  </si>
  <si>
    <t>Paradise Games (Client) — finding</t>
  </si>
  <si>
    <t>How to complete</t>
  </si>
  <si>
    <t>Paradise Games</t>
  </si>
  <si>
    <t>Work tab by tab, one competitor at a time rather than one row at a time. Auditing a single site end to end keeps context intact and is roughly twice as fast as switching between sites per row.</t>
  </si>
  <si>
    <t>Gap / opportunity</t>
  </si>
  <si>
    <t>Licensed entity</t>
  </si>
  <si>
    <t>Priority</t>
  </si>
  <si>
    <t>Registered company holding the Gaming House Operator licence.</t>
  </si>
  <si>
    <t>Recommended action</t>
  </si>
  <si>
    <t>T01</t>
  </si>
  <si>
    <t>Crawl &amp; Indexation</t>
  </si>
  <si>
    <t>Scoring scale</t>
  </si>
  <si>
    <t>Primary domain</t>
  </si>
  <si>
    <t>Indexed page count by silo (site: operator, GSC-style estimate, crawl of XML sitemaps)</t>
  </si>
  <si>
    <t>Root domain audited.</t>
  </si>
  <si>
    <t>0 = absent · 1 = present but poor · 2 = adequate / market standard · 3 = strong, best in market. Enter N/A where a check genuinely does not apply. Scores roll up automatically into the Summary Dashboard.</t>
  </si>
  <si>
    <t>islandluck.com</t>
  </si>
  <si>
    <t>Evidence rule</t>
  </si>
  <si>
    <t>Index footprint shows how much of the market a competitor is actually eligible to rank for. A rival with 400 indexed casino URLs versus our 40 is competing on breadth we cannot match without a content programme.</t>
  </si>
  <si>
    <t>Every score needs a finding written beside it. A score without a note is unusable three weeks later and indefensible in a client meeting.</t>
  </si>
  <si>
    <t>Indexed count broadly matches sitemap count. No large gap between submitted and indexed, which would signal quality or crawl budget problems.</t>
  </si>
  <si>
    <t>Cells you fill in</t>
  </si>
  <si>
    <t>C01</t>
  </si>
  <si>
    <t>All cream-shaded cells. Grey and white cells are the fixed framework and should not be edited unless you are adding audit points.</t>
  </si>
  <si>
    <t>paradisegames.com</t>
  </si>
  <si>
    <t>Silo Architecture</t>
  </si>
  <si>
    <t>Casino hub URL and whether it is a true silo parent (/casino/)</t>
  </si>
  <si>
    <t>The hub is where category authority consolidates. If a competitor has no genuine parent page, their category pages compete as orphans and are beatable with a properly structured silo.</t>
  </si>
  <si>
    <t>Adding rows</t>
  </si>
  <si>
    <t>A substantive /casino/ hub linking down to every category, not a bare lobby.</t>
  </si>
  <si>
    <t>Insert rows inside the existing block, not below the last row, so the Summary Dashboard formulas continue to cover them.</t>
  </si>
  <si>
    <t>Additional domains / subdomains</t>
  </si>
  <si>
    <t>Redirects, legacy domains, app landing pages.</t>
  </si>
  <si>
    <t>Tools assumed</t>
  </si>
  <si>
    <t>T02</t>
  </si>
  <si>
    <t>Ahrefs or Semrush (keywords, backlinks, share of voice), Screaming Frog (crawl, index, schema, internal links), PageSpeed Insights or CrUX (Core Web Vitals), Google Rich Results Test (schema validation), manual account registration for product and payment checks, and prompts to ChatGPT, Claude, Gemini and Perplexity for AI visibility.</t>
  </si>
  <si>
    <t>robots.txt directives and blocked paths</t>
  </si>
  <si>
    <t>Date audited</t>
  </si>
  <si>
    <t>Reveals what the competitor deliberately hides (staging, filtered game paths, affiliate parameters) and where they are wasting or protecting crawl budget. Their blocks tell us their known problem areas.</t>
  </si>
  <si>
    <t>Fixes the point-in-time context for all findings.</t>
  </si>
  <si>
    <t>Clean, minimal disallows. Sitemap declared. No blocking of CSS/JS. No accidental blocking of money pages.</t>
  </si>
  <si>
    <t>Auditor</t>
  </si>
  <si>
    <t>C02</t>
  </si>
  <si>
    <t>Who completed this pass.</t>
  </si>
  <si>
    <t>Jacques</t>
  </si>
  <si>
    <t>Bahamas context</t>
  </si>
  <si>
    <t>Category page inventory (slots, live casino, table games, jackpots, bingo, instant win, lotto/numbers)</t>
  </si>
  <si>
    <t>The category set is the map of their commercial coverage. Any category they lack is a gap we can own before they notice.</t>
  </si>
  <si>
    <t>Domestic online gaming operates under the Gaming Act 2014 through licensed Gaming House Operators. Casinos serve tourists; web shops serve residents. This means the addressable market is domestic, local trust and payment rails matter more than international brand strength, and geo-restriction will distort any competitive data gathered from outside the jurisdiction.</t>
  </si>
  <si>
    <t>T03</t>
  </si>
  <si>
    <t>One indexable, content-supported page per commercial category with genuine search demand.</t>
  </si>
  <si>
    <t>XML sitemap structure, segmentation and lastmod accuracy</t>
  </si>
  <si>
    <t>Positioning statement</t>
  </si>
  <si>
    <t>Sitemap segmentation (casino / sports / blog) is the fastest way to reverse-engineer a competitor's full URL inventory and content velocity. Accurate lastmod tells us how often they genuinely refresh pages.</t>
  </si>
  <si>
    <t>How the brand describes itself in its own words.</t>
  </si>
  <si>
    <t>Index sitemap plus child sitemaps per silo. Under 50k URLs each. Honest lastmod values that move when content changes.</t>
  </si>
  <si>
    <t>Google Sheets note</t>
  </si>
  <si>
    <t>The Leading Lottery Retailer &amp; Gaming Lounge In The Bahamas. Operating in over 60 Bahamas islands and cays</t>
  </si>
  <si>
    <t>Upload to Drive and open with Google Sheets. Dropdowns, filters, conditional formatting and formulas all carry across. Re-apply freeze panes if Sheets does not preserve them.</t>
  </si>
  <si>
    <t>An innovative and dynamic gaming organization in The Bahamas specializing in Lottery, Casino and Sports Betting.</t>
  </si>
  <si>
    <t>Target audience</t>
  </si>
  <si>
    <t>Who they appear to be built for: age, island, product bias.</t>
  </si>
  <si>
    <t>Bahamian Bettors; seasoned</t>
  </si>
  <si>
    <t>WORKED EXAMPLE — how a completed row should read (illustrative values only)</t>
  </si>
  <si>
    <t>C03</t>
  </si>
  <si>
    <t>Provider/studio page inventory (Pragmatic Play, Evolution, Hacksaw, Play'n GO etc.)</t>
  </si>
  <si>
    <t>T04</t>
  </si>
  <si>
    <t>Estimated organic traffic (monthly)</t>
  </si>
  <si>
    <t>Provider searches carry high commercial intent from players who already know what they want. Provider pages are also the easiest scalable content play in casino SEO.</t>
  </si>
  <si>
    <t>Faceted navigation, filter and sort URL handling</t>
  </si>
  <si>
    <t>A page per major provider, with the provider's game library, an accurate studio profile and internal links to top titles.</t>
  </si>
  <si>
    <t>Ahrefs or Semrush estimate. Note the tool and date.</t>
  </si>
  <si>
    <t>Casino lobbies generate huge parameter bloat. Whoever controls this ranks; whoever does not buries their money pages under thin duplicates. This is the single most common technical failure in iGaming.</t>
  </si>
  <si>
    <t>TBA</t>
  </si>
  <si>
    <t>Filters use JS state or canonicalised parameters. Only curated, demand-backed filter combinations get an indexable URL.</t>
  </si>
  <si>
    <t>Individual game page inventory and whether game pages are indexable</t>
  </si>
  <si>
    <t>Estimated organic keywords</t>
  </si>
  <si>
    <t>Total ranking keywords, all silos.</t>
  </si>
  <si>
    <t>Why this matters</t>
  </si>
  <si>
    <t>Game-name searches are the largest volume block in casino SEO and convert well. An unclaimed long tail is cheap share.</t>
  </si>
  <si>
    <t>Domain Rating / Authority Score</t>
  </si>
  <si>
    <t>C04</t>
  </si>
  <si>
    <t>Note which tool. Do not mix tools across competitors.</t>
  </si>
  <si>
    <t>T05</t>
  </si>
  <si>
    <t>Canonical tag logic across game, provider and league pages</t>
  </si>
  <si>
    <t>Island Luck — finding / score</t>
  </si>
  <si>
    <t>Canonical errors cause the wrong page to rank for the money term. Identifying a competitor's canonical mistakes exposes rankings we can take with a technically clean equivalent page.</t>
  </si>
  <si>
    <t>Game-name searches are the largest volume block in casino SEO and convert well. If a competitor has no indexable game pages, the entire long tail is unclaimed.</t>
  </si>
  <si>
    <t>Self-referencing canonicals on all indexable pages. Cross-domain canonicals only where intentional.</t>
  </si>
  <si>
    <t>Indexable page per game with RTP, volatility, paylines, provider, demo where permitted, and a written review.</t>
  </si>
  <si>
    <t>412 indexable game URLs, each with RTP, volatility and provider. Reachable in two clicks from the lobby. Score: 3</t>
  </si>
  <si>
    <t>Referring domains</t>
  </si>
  <si>
    <t>Total unique linking domains.</t>
  </si>
  <si>
    <t>Paradise Games (Client) — finding / score</t>
  </si>
  <si>
    <t>No individual game pages. Games render in a JS lobby with no crawlable URL. Score: 0</t>
  </si>
  <si>
    <t>Total indexed pages (estimate)</t>
  </si>
  <si>
    <t>Site: operator or crawl-derived.</t>
  </si>
  <si>
    <t>T06</t>
  </si>
  <si>
    <t>C05</t>
  </si>
  <si>
    <t>Pagination handling in game lobbies and sports archives</t>
  </si>
  <si>
    <t>Deep game libraries are often only reachable via infinite scroll, leaving most games uncrawlable. If a competitor's tail games are unindexed, long-tail game-name searches are open to us.</t>
  </si>
  <si>
    <t>Casino URLs indexed</t>
  </si>
  <si>
    <t>Roughly 400 long-tail game queries per month are uncontested by us. Competitor pages are thin on written review copy, so a data table plus a genuine 150-word review beats them on the same URL count.</t>
  </si>
  <si>
    <t>Depth and quality of internal linking between hub, category, provider and game pages</t>
  </si>
  <si>
    <t>Scale of the casino silo.</t>
  </si>
  <si>
    <t>Crawlable paginated links or a browse-all path. Games reachable within three clicks of the lobby.</t>
  </si>
  <si>
    <t>Internal linking is how authority reaches the tail. A competitor with a strong hub but no downward links is leaving their own inventory unranked.</t>
  </si>
  <si>
    <t>Contextual and modular links flowing hub to category to provider to game, and back up.</t>
  </si>
  <si>
    <t>Sports URLs indexed</t>
  </si>
  <si>
    <t>Scale of the sports silo.</t>
  </si>
  <si>
    <t>Blog / guide URLs indexed</t>
  </si>
  <si>
    <t>Scale of the content programme.</t>
  </si>
  <si>
    <t>T07</t>
  </si>
  <si>
    <t>Site Speed &amp; Core Web Vitals</t>
  </si>
  <si>
    <t>LCP, INP and CLS on mobile for homepage, casino lobby and a sports event page</t>
  </si>
  <si>
    <t>Priority / action</t>
  </si>
  <si>
    <t>C06</t>
  </si>
  <si>
    <t>Mobile speed is a ranking and revenue factor in a market where most traffic is mobile and connections are variable across the Family Islands. Slow lobbies also depress deposit conversion.</t>
  </si>
  <si>
    <t>Physical premises / agent locations</t>
  </si>
  <si>
    <t>Page Content</t>
  </si>
  <si>
    <t>LCP under 2.5s, INP under 200ms, CLS under 0.1 on mobile 4G throttling.</t>
  </si>
  <si>
    <t>High — build an indexable game page template with RTP, volatility, provider and review copy; launch with the top 100 titles by lobby popularity.</t>
  </si>
  <si>
    <t>Omnichannel footprint, including Family Islands.</t>
  </si>
  <si>
    <t>Word count, content placement (above/below the lobby) and genuine informational depth on category pages</t>
  </si>
  <si>
    <t>Multiple Locations</t>
  </si>
  <si>
    <t>Establishes the content bar we need to clear. Placement also shows how they balance SEO copy against player experience, which is the perennial tension in casino pages.</t>
  </si>
  <si>
    <t>500 to 1,200 words of useful, non-padded copy, placed below the game grid so it never delays play.</t>
  </si>
  <si>
    <t>Multiple locations</t>
  </si>
  <si>
    <t>Sportsbook / casino supplier (observed)</t>
  </si>
  <si>
    <t>Determines product ceiling and market depth.</t>
  </si>
  <si>
    <t>Headline strengths</t>
  </si>
  <si>
    <t>Three lines maximum. Written after the tabs are complete.</t>
  </si>
  <si>
    <t>T08</t>
  </si>
  <si>
    <t>C07</t>
  </si>
  <si>
    <t>Weight and loading strategy of game tiles, odds feeds and third-party scripts</t>
  </si>
  <si>
    <t>Odds widgets and game aggregator iframes are the heaviest assets in this vertical. How a competitor loads them shows whether their speed advantage is real engineering or just a lighter product.</t>
  </si>
  <si>
    <t>Headline weaknesses</t>
  </si>
  <si>
    <t>Lazy-loaded tiles, deferred non-critical scripts, image CDN with WebP or AVIF.</t>
  </si>
  <si>
    <t>Uniqueness of copy across categories and providers (templated vs bespoke)</t>
  </si>
  <si>
    <t>Three lines maximum. These become our attack points.</t>
  </si>
  <si>
    <t>Templated spun copy at scale is a visible weakness. Competitors relying on it are exposed to helpful-content style demotions and are beatable with genuinely differentiated pages.</t>
  </si>
  <si>
    <t>Each page written to its own angle, with specifics no template could produce.</t>
  </si>
  <si>
    <t>Overall threat level (High / Med / Low)</t>
  </si>
  <si>
    <t>Judgement call combining product, authority and content velocity.</t>
  </si>
  <si>
    <t>T09</t>
  </si>
  <si>
    <t>Hosting, CDN and edge presence relevant to Caribbean latency</t>
  </si>
  <si>
    <t>Latency from a US-East or European origin is felt in Nassau and Freeport. A competitor on a CDN with regional edge nodes has a structural speed advantage we would need to match at infrastructure level.</t>
  </si>
  <si>
    <t>C08</t>
  </si>
  <si>
    <t>CDN with Caribbean or US-East edge coverage. TTFB under 600ms from a Bahamian connection.</t>
  </si>
  <si>
    <t>Presence of game data: RTP, volatility, min/max stake, paylines, release date, demo mode</t>
  </si>
  <si>
    <t>Structured game facts are the substance behind game-page rankings and are exactly what AI assistants extract when answering 'what is the RTP of X'. Data completeness is a citation advantage.</t>
  </si>
  <si>
    <t>A consistent data table on every game page, kept accurate and updated.</t>
  </si>
  <si>
    <t>T10</t>
  </si>
  <si>
    <t>Rendering &amp; JS</t>
  </si>
  <si>
    <t>Client-side vs server-side rendering of game names, odds and category content</t>
  </si>
  <si>
    <t>If a competitor's content only exists after JS execution, Google may index an empty shell and AI crawlers almost certainly see nothing. This is a large, quiet opportunity.</t>
  </si>
  <si>
    <t>Critical content present in raw HTML. SSR or static generation for lobby and category pages.</t>
  </si>
  <si>
    <t>T11</t>
  </si>
  <si>
    <t>Whether AI crawlers (GPTBot, ClaudeBot, PerplexityBot, Google-Extended) are allowed and served content</t>
  </si>
  <si>
    <t>C09</t>
  </si>
  <si>
    <t>AI assistants are becoming a discovery channel for 'best casino in the Bahamas' type queries. A competitor blocking these bots is ceding that surface entirely.</t>
  </si>
  <si>
    <t>Bots allowed, served server-rendered content, with clean semantic HTML.</t>
  </si>
  <si>
    <t>Editorial signals: named authors, review methodology, last-updated dates, expertise statements</t>
  </si>
  <si>
    <t>Gambling is a trust-sensitive vertical. Named, credentialed authorship and a stated review process are the E-E-A-T levers most operators ignore and the cheapest differentiator available.</t>
  </si>
  <si>
    <t>Bylines with real bios, a published review methodology, visible update dates.</t>
  </si>
  <si>
    <t>T12</t>
  </si>
  <si>
    <t>Site Architecture</t>
  </si>
  <si>
    <t>Depth of click path from homepage to a game page, league page and guide</t>
  </si>
  <si>
    <t>Crawl depth correlates with indexation and ranking. A flat architecture pushes authority into the tail; a deep one strands it.</t>
  </si>
  <si>
    <t>No money page deeper than three clicks. Hub-and-spoke silos with clear parent-child links.</t>
  </si>
  <si>
    <t>C10</t>
  </si>
  <si>
    <t>Keywords &amp; Intent</t>
  </si>
  <si>
    <t>Top-ranking casino keywords, estimated traffic and which page types earn it</t>
  </si>
  <si>
    <t>Shows which page archetype actually drives their casino revenue, so we invest where returns are proven rather than where theory says.</t>
  </si>
  <si>
    <t>Clear picture of top 50 casino keywords per competitor mapped to landing page type.</t>
  </si>
  <si>
    <t>T13</t>
  </si>
  <si>
    <t>URL taxonomy and naming conventions per silo</t>
  </si>
  <si>
    <t>URL structure signals topical grouping to search engines and is the cheapest structural advantage to copy or beat. It also determines how cleanly future pages can scale.</t>
  </si>
  <si>
    <t>Readable, keyword-aligned, lowercase, hyphenated, stable. e.g. /casino/slots/, /sports/nba/.</t>
  </si>
  <si>
    <t>C11</t>
  </si>
  <si>
    <t>Keyword cannibalisation between lobby, category and game pages</t>
  </si>
  <si>
    <t>Cannibalisation splits their authority and creates unstable rankings we can displace with a single consolidated page.</t>
  </si>
  <si>
    <t>One page per intent. No two URLs ranking alternately for the same head term.</t>
  </si>
  <si>
    <t>T14</t>
  </si>
  <si>
    <t>Presence and consistency of breadcrumbs (visible and marked up)</t>
  </si>
  <si>
    <t>Breadcrumbs pass internal relevance signals and win SERP breadcrumb display, which improves CTR without a ranking change.</t>
  </si>
  <si>
    <t>Visible breadcrumbs on every page below the homepage, with matching BreadcrumbList schema.</t>
  </si>
  <si>
    <t>C12</t>
  </si>
  <si>
    <t>T15</t>
  </si>
  <si>
    <t>Coverage of Bahamian-modified terms (online slots Bahamas, casino games Nassau, play slots Bahamas)</t>
  </si>
  <si>
    <t>Mobile &amp; App</t>
  </si>
  <si>
    <t>Mobile responsiveness, tap targets and viewport behaviour on the lobby and bet slip</t>
  </si>
  <si>
    <t>Local modifiers are lower volume but far higher conversion in a domestic-only licensed market. If competitors ignore them, this is cheap ground.</t>
  </si>
  <si>
    <t>The bet slip and deposit flow are where mobile UX failures cost money. Competitor weaknesses here are conversion opportunities, not just SEO ones.</t>
  </si>
  <si>
    <t>Record in full and compare like-for-like across all four operators.</t>
  </si>
  <si>
    <t>No horizontal scroll, thumb-reachable bet slip, no interstitials blocking content.</t>
  </si>
  <si>
    <t>Sports Silo</t>
  </si>
  <si>
    <t>C13</t>
  </si>
  <si>
    <t>T16</t>
  </si>
  <si>
    <t>Bonuses &amp; Promotions</t>
  </si>
  <si>
    <t>Structure of the promotions hub and whether individual promos have their own indexable URLs</t>
  </si>
  <si>
    <t>Native app presence, store listings and ASO (title, subtitle, keywords, ratings)</t>
  </si>
  <si>
    <t>Promo searches are bottom-funnel. Individual promo URLs capture that intent and give internal linking targets; a single JS-driven promo page captures none of it.</t>
  </si>
  <si>
    <t>App store search is a parallel discovery channel in this market, and app install pages attract branded search volume. Their ASO tells us how much of demand they capture off-web.</t>
  </si>
  <si>
    <t>App listed on iOS and Android where permitted, keyword-optimised title and subtitle, active ratings volume.</t>
  </si>
  <si>
    <t>A /promotions/ hub plus persistent URLs for evergreen offers, with expired promos handled by redirect or archive.</t>
  </si>
  <si>
    <t>Sportsbook silo structure, content, betting product and SEO, weighted to the US-league demand that dominates Bahamian betting interest.</t>
  </si>
  <si>
    <t>T17</t>
  </si>
  <si>
    <t>Security &amp; Trust</t>
  </si>
  <si>
    <t>C14</t>
  </si>
  <si>
    <t>HTTPS, HSTS, certificate quality and mixed content</t>
  </si>
  <si>
    <t>Trust signals are table stakes for a gambling site handling deposits. Any lapse is both a ranking and a credibility liability.</t>
  </si>
  <si>
    <t>Bonus mechanics offered (welcome, deposit match, free spins, cashback, loyalty, VIP tiers)</t>
  </si>
  <si>
    <t>Full HTTPS, valid certificate, HSTS, no mixed content warnings.</t>
  </si>
  <si>
    <t>Offer competitiveness sets the commercial context for every SEO gain. Ranking first for a weaker offer loses the click at the point of comparison.</t>
  </si>
  <si>
    <t>Full picture of headline value, wagering requirements, expiry and eligibility for each competitor.</t>
  </si>
  <si>
    <t>T18</t>
  </si>
  <si>
    <t>Presence of trust markers in header/footer (licence badge, RG logos, payment logos)</t>
  </si>
  <si>
    <t>In a regulated domestic market, visible licensing is a conversion driver and an E-E-A-T signal that Google's quality raters explicitly look for on YMYL-adjacent sites.</t>
  </si>
  <si>
    <t>C15</t>
  </si>
  <si>
    <t>Gaming Board licence reference, 18+ mark, RG partner logos, payment provider marks, all above the fold in the footer.</t>
  </si>
  <si>
    <t>S01</t>
  </si>
  <si>
    <t>Clarity of terms and conditions, and whether T&amp;Cs are crawlable</t>
  </si>
  <si>
    <t>Transparent, indexable terms build trust and satisfy quality raters. They also let us benchmark real bonus value against headline claims.</t>
  </si>
  <si>
    <t>Content &amp; Guides</t>
  </si>
  <si>
    <t>Sportsbook hub URL and its role as silo parent (/sports/ or /sportsbook/)</t>
  </si>
  <si>
    <t>T&amp;Cs on an indexable page, plain language, linked from every offer.</t>
  </si>
  <si>
    <t>Same logic as casino: without a genuine parent, sport pages compete as orphans and their authority never compounds.</t>
  </si>
  <si>
    <t>A substantive hub linking to every sport, with copy explaining the offering.</t>
  </si>
  <si>
    <t>T19</t>
  </si>
  <si>
    <t>Migration &amp; History</t>
  </si>
  <si>
    <t>Historic domain changes, redirect chains and legacy URLs still live</t>
  </si>
  <si>
    <t>Blog, how-to and guide content: top-of-funnel capture, E-E-A-T, internal linking into money pages and AI citation readiness.</t>
  </si>
  <si>
    <t>Directly relevant to our own paradisegames.com migration. Seeing how a competitor handled or fumbled a migration tells us what to avoid and where their equity leaked.</t>
  </si>
  <si>
    <t>Single-hop 301s, no chains, no orphaned legacy URLs, consistent domain in all internal links.</t>
  </si>
  <si>
    <t>C16</t>
  </si>
  <si>
    <t>Schema &amp; SERP Features</t>
  </si>
  <si>
    <t>Schema types deployed on casino pages (Organisation, BreadcrumbList, FAQPage, Review, VideoGame, ItemList)</t>
  </si>
  <si>
    <t>Schema is how these pages become eligible for enhanced results and how AI systems parse the entity. In a vertical where most operators deploy none, it is a fast, defensible edge.</t>
  </si>
  <si>
    <t>Valid, non-spammy schema matched to page type and passing Rich Results testing.</t>
  </si>
  <si>
    <t>S02</t>
  </si>
  <si>
    <t>Sport-level page inventory (basketball, American football, football/soccer, baseball, boxing, MMA, cricket, athletics)</t>
  </si>
  <si>
    <t>The sport set reveals which audiences they are actually chasing. Given Bahamian demand skews to NBA, NFL, MLB and boxing, coverage gaps in those sports are serious commercial gaps.</t>
  </si>
  <si>
    <t>An indexable, content-supported page per sport with real betting demand locally.</t>
  </si>
  <si>
    <t>C17</t>
  </si>
  <si>
    <t>SERP appearance: title tag patterns, meta description quality, sitelinks, FAQ rich results</t>
  </si>
  <si>
    <t>Title and description patterns reveal their targeting logic and CTR strategy. Sitelinks reveal how Google understands their architecture.</t>
  </si>
  <si>
    <t>Distinct, benefit-led titles under 60 characters. Descriptions that sell the click. Sitelinks pointing at money pages.</t>
  </si>
  <si>
    <t>S03</t>
  </si>
  <si>
    <t>League and competition page inventory (NBA, NFL, MLB, NCAA, Premier League, Champions League, UFC)</t>
  </si>
  <si>
    <t>League terms carry the bulk of sports search volume and repeat seasonal demand. League pages are the workhorses of sportsbook SEO.</t>
  </si>
  <si>
    <t>A page per major league with markets, fixtures, odds and written context.</t>
  </si>
  <si>
    <t>B01</t>
  </si>
  <si>
    <t>Structure &amp; Taxonomy</t>
  </si>
  <si>
    <t>Location and URL pattern of the content section (/blog/, /guides/, /how-to/, /news/)</t>
  </si>
  <si>
    <t>Where the content sits determines whether its authority flows into the money silos or sits in a disconnected corner. A /guides/ folder nested under /casino/ passes relevance in a way a detached /blog/ does not.</t>
  </si>
  <si>
    <t>C18</t>
  </si>
  <si>
    <t>Content nested within or tightly linked to the relevant silo, with a clear parent hub.</t>
  </si>
  <si>
    <t>Product &amp; Features</t>
  </si>
  <si>
    <t>Game library size and aggregator/provider mix</t>
  </si>
  <si>
    <t>Library breadth is the primary product comparison players make and directly limits how many game pages can ever be built. It caps their SEO ceiling as well as their retention.</t>
  </si>
  <si>
    <t>Documented count by category and provider, with named aggregators where identifiable.</t>
  </si>
  <si>
    <t>S04</t>
  </si>
  <si>
    <t>Team, event and fixture page inventory and whether they are indexable</t>
  </si>
  <si>
    <t>Team and match pages capture enormous, spiky, low-competition demand around fixtures. Whoever automates these well owns the seasonal tail.</t>
  </si>
  <si>
    <t>Templated but data-rich team and fixture pages generated programmatically, with noindex on dead events handled deliberately.</t>
  </si>
  <si>
    <t>B02</t>
  </si>
  <si>
    <t>Category and tag architecture, and whether taxonomy pages are indexable</t>
  </si>
  <si>
    <t>C19</t>
  </si>
  <si>
    <t>Thin, auto-generated tag archives are a common source of index bloat. Conversely, well-built category hubs rank for topic-level terms in their own right.</t>
  </si>
  <si>
    <t>Curated category hubs indexed, tag archives noindexed unless deliberately built out.</t>
  </si>
  <si>
    <t>Live casino offering (tables, providers, native or localised dealers, streaming quality)</t>
  </si>
  <si>
    <t>Live casino is the highest-margin, highest-retention casino product. Weakness here is a commercial gap regardless of ranking position.</t>
  </si>
  <si>
    <t>S05</t>
  </si>
  <si>
    <t>Handling of expired events and seasonal pages after the fixture passes</t>
  </si>
  <si>
    <t>Poor expiry handling creates thousands of thin, dead URLs that drag on site quality. Good handling recycles authority season to season.</t>
  </si>
  <si>
    <t>Persistent evergreen URLs per fixture matchup or clean 301s, never mass 404s.</t>
  </si>
  <si>
    <t>B03</t>
  </si>
  <si>
    <t>Publishing volume and cadence over the last 12 months</t>
  </si>
  <si>
    <t>C20</t>
  </si>
  <si>
    <t>Cadence indicates resourcing and intent. A rival publishing weekly is compounding topical authority; one publishing quarterly is not defending the space.</t>
  </si>
  <si>
    <t>Demo/free-play availability and whether it is accessible pre-registration</t>
  </si>
  <si>
    <t>Documented post count by month, so we can size the effort needed to overtake them.</t>
  </si>
  <si>
    <t>Demo play is a large long-tail traffic driver ('free slots', 'play X free') and a low-friction acquisition route. Gating it behind registration forfeits that traffic.</t>
  </si>
  <si>
    <t>S06</t>
  </si>
  <si>
    <t>Depth and uniqueness of copy on sport and league pages</t>
  </si>
  <si>
    <t>Sets the content benchmark and exposes templating. Sports copy is usually thinner than casino copy, which makes it easier ground to win.</t>
  </si>
  <si>
    <t>B04</t>
  </si>
  <si>
    <t>Topic Coverage</t>
  </si>
  <si>
    <t>C21</t>
  </si>
  <si>
    <t>How-to and beginner content (how to bet, how to read odds, how slots work, how to deposit)</t>
  </si>
  <si>
    <t>Beginner content captures the top of the funnel in a market where a large share of players are newly converting from in-person web shops to online play. It is also the most AI-cited format.</t>
  </si>
  <si>
    <t>Search, filter and sort functionality within the lobby</t>
  </si>
  <si>
    <t>Lobby usability determines game discovery and session depth. It also determines whether their filter URLs create SEO value or SEO debt.</t>
  </si>
  <si>
    <t>S07</t>
  </si>
  <si>
    <t>Presence of odds, fixtures and live data directly on the landing page</t>
  </si>
  <si>
    <t>Live data is what the searcher actually wants. Static pages without odds satisfy nothing and rank poorly on engagement, whatever their word count.</t>
  </si>
  <si>
    <t>Live odds modules server-rendered or progressively enhanced so content is crawlable.</t>
  </si>
  <si>
    <t>B05</t>
  </si>
  <si>
    <t>C22</t>
  </si>
  <si>
    <t>Strategy and tips content (betting strategy, bankroll management, blackjack basic strategy)</t>
  </si>
  <si>
    <t>Strategy content earns links and repeat visits, and signals genuine expertise rather than pure commercial intent.</t>
  </si>
  <si>
    <t>S08</t>
  </si>
  <si>
    <t>Numbers, lotto and cash pot style games and how they are presented</t>
  </si>
  <si>
    <t>Domestic Bahamian demand for numbers and asue draw products is distinctive and high-frequency. How rivals structure and optimise these pages is directly transferable to our lottery content.</t>
  </si>
  <si>
    <t>Betting-market explanation content (spreads, moneyline, totals, parlays, props, futures)</t>
  </si>
  <si>
    <t>Market education captures informational demand and feeds AI answers, while internally linking straight to the relevant market page. It is the bridge between the blog and the sportsbook.</t>
  </si>
  <si>
    <t>B06</t>
  </si>
  <si>
    <t>Game and provider explainer content (RTP explained, volatility, progressive jackpots)</t>
  </si>
  <si>
    <t>C23</t>
  </si>
  <si>
    <t>These explainers are the definitional content AI assistants quote and are the natural internal-link feeders into game and provider pages.</t>
  </si>
  <si>
    <t>S09</t>
  </si>
  <si>
    <t>AI &amp; GEO Visibility</t>
  </si>
  <si>
    <t>Whether the brand is cited by AI assistants for casino queries about the Bahamas</t>
  </si>
  <si>
    <t>Editorial signals: named tipsters or analysts, credentials, update cadence</t>
  </si>
  <si>
    <t>AI answers increasingly mediate the discovery step. Being absent from them is a silent share loss that standard rank tracking will not show.</t>
  </si>
  <si>
    <t>Sports betting content lives or dies on perceived expertise. Named analysts with a track record are a durable trust asset competitors rarely build.</t>
  </si>
  <si>
    <t>Brand named with an accurate description in responses to category-level prompts.</t>
  </si>
  <si>
    <t>S10</t>
  </si>
  <si>
    <t>C24</t>
  </si>
  <si>
    <t>Betting Product</t>
  </si>
  <si>
    <t>Sports and market coverage breadth (number of sports, markets per major fixture)</t>
  </si>
  <si>
    <t>Content formatting for extraction: question headings, direct answers, tables, lists, definitions</t>
  </si>
  <si>
    <t>Market depth is the core sportsbook product comparison and determines how many pages can be legitimately built. It is also the top reason players switch operator.</t>
  </si>
  <si>
    <t>Extractable formatting is the mechanical requirement for AI citation. Most operator copy is written as marketing prose and cannot be quoted cleanly.</t>
  </si>
  <si>
    <t>B07</t>
  </si>
  <si>
    <t>Question-form H2s answered in the first two sentences, supported by tables and defined terms.</t>
  </si>
  <si>
    <t>Sports previews, predictions and match analysis, and their publishing lead time</t>
  </si>
  <si>
    <t>Preview content captures pre-event spikes but only if published before demand peaks. Their lead time is a directly copyable operational benchmark.</t>
  </si>
  <si>
    <t>S11</t>
  </si>
  <si>
    <t>B08</t>
  </si>
  <si>
    <t>Payments, withdrawals and account help content</t>
  </si>
  <si>
    <t>Payment queries are high-intent and high-anxiety. Whoever answers them clearly reduces support load and captures searchers at the point of deciding to deposit.</t>
  </si>
  <si>
    <t>In-play/live betting availability, latency and market count</t>
  </si>
  <si>
    <t>Live betting drives the majority of modern sportsbook turnover. Absence or weakness here is a structural commercial gap.</t>
  </si>
  <si>
    <t>B09</t>
  </si>
  <si>
    <t>Responsible gambling and player-protection content</t>
  </si>
  <si>
    <t>Beyond compliance, RG content is a strong trust and E-E-A-T signal that quality raters and AI systems weigh heavily in this vertical.</t>
  </si>
  <si>
    <t>S12</t>
  </si>
  <si>
    <t>Bet builder, same-game parlay, cash out, early payout and boosted odds features</t>
  </si>
  <si>
    <t>Feature parity determines whether ranking traffic converts. These features also generate their own search demand and dedicated landing pages.</t>
  </si>
  <si>
    <t>B10</t>
  </si>
  <si>
    <t>Bahamas-specific content (is online gambling legal in the Bahamas, Gaming Board, local payments, local sport)</t>
  </si>
  <si>
    <t>This is the most defensible content territory available. Global affiliate sites cannot match genuine local knowledge, and domestic searchers explicitly seek it.</t>
  </si>
  <si>
    <t>S13</t>
  </si>
  <si>
    <t>Live streaming, match trackers and statistics integration</t>
  </si>
  <si>
    <t>Streaming and stats increase session length and give a genuine reason to prefer one book over another on identical odds.</t>
  </si>
  <si>
    <t>B11</t>
  </si>
  <si>
    <t>Content Quality</t>
  </si>
  <si>
    <t>S14</t>
  </si>
  <si>
    <t>Average depth, originality and evidence of first-hand experience</t>
  </si>
  <si>
    <t>Odds format options, odds competitiveness on sample markets, and margin/overround</t>
  </si>
  <si>
    <t>Distinguishes rivals producing genuinely useful content from those producing volume. The latter are vulnerable to every quality-focused algorithm update.</t>
  </si>
  <si>
    <t>Overround comparison is the most objective competitive metric available and belongs in any serious audit. It explains ranking-to-revenue conversion differences.</t>
  </si>
  <si>
    <t>Sample five identical markets across all operators and compute the overround for each.</t>
  </si>
  <si>
    <t>S15</t>
  </si>
  <si>
    <t>B12</t>
  </si>
  <si>
    <t>Top-ranking sports keywords and the page types earning them</t>
  </si>
  <si>
    <t>Reveals whether their sports traffic comes from league pages, event pages or the blog, which tells us where to concentrate our own build.</t>
  </si>
  <si>
    <t>Author attribution, bios, credentials and editorial policy pages</t>
  </si>
  <si>
    <t>The clearest E-E-A-T gap in the domestic market. Most operators publish anonymously, so named expertise is a cheap and durable differentiator.</t>
  </si>
  <si>
    <t>S16</t>
  </si>
  <si>
    <t>Coverage of Bahamian and Caribbean sports demand (NBA, NFL, MLB, boxing, athletics, local leagues)</t>
  </si>
  <si>
    <t>B13</t>
  </si>
  <si>
    <t>Local sporting interest in the Bahamas is US-league dominated with strong athletics and boxing followings. Content aligned to that pattern converts far better than generic global coverage.</t>
  </si>
  <si>
    <t>Content freshness: publish dates, update dates and evidence of genuine refreshes</t>
  </si>
  <si>
    <t>Fake freshness (date changed, content identical) is common and detectable. Real refresh programmes are a resourcing signal worth benchmarking.</t>
  </si>
  <si>
    <t>S17</t>
  </si>
  <si>
    <t>Seasonality planning evidence (Super Bowl, March Madness, NBA Finals, World Cup, Carifta)</t>
  </si>
  <si>
    <t>Seasonal preparation lead time is visible in publish dates. It tells us how early we must publish to beat them to the peak.</t>
  </si>
  <si>
    <t>B14</t>
  </si>
  <si>
    <t>Use of original data, imagery, video and non-text media</t>
  </si>
  <si>
    <t>Original assets earn links and citations that text alone will not. Their absence is an opening for digital PR.</t>
  </si>
  <si>
    <t>S18</t>
  </si>
  <si>
    <t>Promotions</t>
  </si>
  <si>
    <t>Sports promo hub, individual offer URLs and offer types (free bets, odds boosts, acca insurance, deposit match)</t>
  </si>
  <si>
    <t>Same commercial logic as casino promos, with the added factor that sports offers are event-triggered and reward publishing speed.</t>
  </si>
  <si>
    <t>B15</t>
  </si>
  <si>
    <t>Internal Linking</t>
  </si>
  <si>
    <t>Whether guides link contextually into casino and sports money pages</t>
  </si>
  <si>
    <t>This is the entire commercial justification for a content programme. Content that does not link down is a cost centre, not an acquisition channel.</t>
  </si>
  <si>
    <t>S19</t>
  </si>
  <si>
    <t>Schema on sports pages (SportsEvent, SportsTeam, BreadcrumbList, FAQPage)</t>
  </si>
  <si>
    <t>Event schema supports enhanced results for fixture queries, which is where the spiky volume sits. Very few operators implement it correctly.</t>
  </si>
  <si>
    <t>B16</t>
  </si>
  <si>
    <t>Whether money pages link back into supporting guides</t>
  </si>
  <si>
    <t>Reciprocal linking builds topical clusters and keeps users on-site through the research phase instead of returning to the SERP.</t>
  </si>
  <si>
    <t>S20</t>
  </si>
  <si>
    <t>Title and meta patterns for league, team and fixture pages</t>
  </si>
  <si>
    <t>Programmatic title templates are where scaled sportsbook SEO succeeds or fails. Their template quality is directly copyable or beatable.</t>
  </si>
  <si>
    <t>B17</t>
  </si>
  <si>
    <t>Anchor text patterns and whether they are descriptive or generic</t>
  </si>
  <si>
    <t>Anchor text is a direct relevance signal and one of the few internal levers that is fully within our control.</t>
  </si>
  <si>
    <t>S21</t>
  </si>
  <si>
    <t>Citation presence in AI answers for sports betting queries about the Bahamas</t>
  </si>
  <si>
    <t>Same reasoning as the casino silo: an invisible channel with growing share of the discovery step.</t>
  </si>
  <si>
    <t>B18</t>
  </si>
  <si>
    <t>SERP &amp; AI Visibility</t>
  </si>
  <si>
    <t>Featured snippets, People Also Ask and other SERP features won by their content</t>
  </si>
  <si>
    <t>Snippet ownership is the closest proxy for how well their content answers questions, and each one is a specific, winnable target.</t>
  </si>
  <si>
    <t>S22</t>
  </si>
  <si>
    <t>Structured, extractable formatting on market explainer and how-to-bet content</t>
  </si>
  <si>
    <t>Explainer content is the most AI-extracted content type in this vertical, making it the highest-leverage format for citation share.</t>
  </si>
  <si>
    <t>B19</t>
  </si>
  <si>
    <t>Presence of FAQ sections and their schema implementation</t>
  </si>
  <si>
    <t>FAQ blocks serve both PAA capture and AI extraction, and are the lowest-effort structured content available.</t>
  </si>
  <si>
    <t>B20</t>
  </si>
  <si>
    <t>Citation frequency in AI assistant answers for informational gambling queries about the Bahamas</t>
  </si>
  <si>
    <t>Informational queries are where AI systems most often replace the click. Losing citation share here removes the top of our funnel.</t>
  </si>
  <si>
    <t>B21</t>
  </si>
  <si>
    <t>Formatting for extraction: summary boxes, direct answers under question headings, tables, defined terms</t>
  </si>
  <si>
    <t>Format determines extractability more than quality does. This is the concrete change list for our own content brief templates.</t>
  </si>
  <si>
    <t>Off-Page &amp; Authority</t>
  </si>
  <si>
    <t>Backlinks, brand demand, local presence and partnerships. Explains whether ranking gaps are content problems or authority problems.</t>
  </si>
  <si>
    <t>O01</t>
  </si>
  <si>
    <t>Backlink Profile</t>
  </si>
  <si>
    <t>Referring domains, total backlinks and Domain Rating / Authority Score</t>
  </si>
  <si>
    <t>Sets the authority gap we need to close and tells us whether a ranking gap is content-driven or link-driven. Those two problems need entirely different budgets.</t>
  </si>
  <si>
    <t>O02</t>
  </si>
  <si>
    <t>Referring domain growth trend over 24 months</t>
  </si>
  <si>
    <t>Trajectory matters more than the current total. Flat growth means their position is defensible by out-earning them; steep growth means an active PR budget we must match.</t>
  </si>
  <si>
    <t>O03</t>
  </si>
  <si>
    <t>Quality mix: local Bahamian media, Caribbean press, iGaming trade, affiliates, directories, spam</t>
  </si>
  <si>
    <t>Link quality composition reveals their actual strategy. Heavy directory and spam profiles are fragile; earned national press is not.</t>
  </si>
  <si>
    <t>O04</t>
  </si>
  <si>
    <t>Bahamian and Caribbean media links specifically (Tribune 242, Nassau Guardian, Eyewitness News, Our News)</t>
  </si>
  <si>
    <t>Local press links carry disproportionate relevance for a domestically licensed operator and are realistically obtainable, unlike global iGaming media.</t>
  </si>
  <si>
    <t>O05</t>
  </si>
  <si>
    <t>Top linked pages and what earned those links</t>
  </si>
  <si>
    <t>Shows which asset types earn links in this market, so our digital PR is aimed at proven formats rather than guesses.</t>
  </si>
  <si>
    <t>Bahamas &amp; Compliance</t>
  </si>
  <si>
    <t>O06</t>
  </si>
  <si>
    <t>Anchor text distribution and any evidence of manipulation</t>
  </si>
  <si>
    <t>Over-optimised anchor profiles signal paid link programmes and carry penalty risk. Useful for assessing how sustainable their position is.</t>
  </si>
  <si>
    <t>Jurisdiction-specific factors: Gaming Board licensing, responsible gambling, local payment rails, local relevance and geo signals.</t>
  </si>
  <si>
    <t>O07</t>
  </si>
  <si>
    <t>Brand &amp; Demand</t>
  </si>
  <si>
    <t>Branded search volume and its trend</t>
  </si>
  <si>
    <t>Branded volume is the truest measure of market share and the single best predictor of non-branded ranking strength in this vertical.</t>
  </si>
  <si>
    <t>O08</t>
  </si>
  <si>
    <t>Share of voice across tracked casino and sports keyword sets</t>
  </si>
  <si>
    <t>Converts individual rankings into a single comparable market position that can be reported to the client month on month.</t>
  </si>
  <si>
    <t>L01</t>
  </si>
  <si>
    <t>O09</t>
  </si>
  <si>
    <t>Licensing &amp; Compliance</t>
  </si>
  <si>
    <t>Unlinked brand mentions across Bahamian media and forums</t>
  </si>
  <si>
    <t>Gaming Board for The Bahamas licence details displayed, and where</t>
  </si>
  <si>
    <t>Unlinked mentions are the cheapest link acquisition route available and also feed AI entity understanding.</t>
  </si>
  <si>
    <t>Licensing display is both a legal expectation and the strongest trust signal available in a domestic market. Its prominence differs widely between operators and is easily beaten.</t>
  </si>
  <si>
    <t>O10</t>
  </si>
  <si>
    <t>Local Presence</t>
  </si>
  <si>
    <t>Google Business Profiles for physical locations and agent network</t>
  </si>
  <si>
    <t>With a licensed agent and premises network, local pack visibility is a real acquisition channel that pure-online SEO thinking tends to miss.</t>
  </si>
  <si>
    <t>L02</t>
  </si>
  <si>
    <t>Age verification and 18+ gating on entry and in advertising</t>
  </si>
  <si>
    <t>A compliance requirement that also affects crawlability. Hard age gates that block crawlers can suppress indexation entirely.</t>
  </si>
  <si>
    <t>O11</t>
  </si>
  <si>
    <t>NAP consistency across directories, social profiles and their own site</t>
  </si>
  <si>
    <t>Inconsistent NAP suppresses local visibility and confuses entity resolution for both Google and AI systems.</t>
  </si>
  <si>
    <t>L03</t>
  </si>
  <si>
    <t>Responsible gambling tools offered (deposit limits, self-exclusion, time-outs, reality checks)</t>
  </si>
  <si>
    <t>Tool depth is a genuine differentiator with regulators and increasingly with players. It is also content that ranks for its own queries.</t>
  </si>
  <si>
    <t>O12</t>
  </si>
  <si>
    <t>Local citation coverage (Bahamas Local, Yellow Pages Bahamas, chamber listings)</t>
  </si>
  <si>
    <t>Directory citations remain a functioning local ranking factor in smaller markets where they are still actively used.</t>
  </si>
  <si>
    <t>L04</t>
  </si>
  <si>
    <t>KYC and registration flow: documents required, steps, time to first deposit</t>
  </si>
  <si>
    <t>Registration friction is where ranked traffic is lost. Benchmarking step count gives the client a concrete conversion target.</t>
  </si>
  <si>
    <t>O13</t>
  </si>
  <si>
    <t>Social &amp; Community</t>
  </si>
  <si>
    <t>Platform presence, follower counts and posting cadence (Facebook, Instagram, TikTok, X, YouTube)</t>
  </si>
  <si>
    <t>Facebook and Instagram carry outsized weight in Bahamian consumer marketing. Social also feeds branded search, which feeds organic performance.</t>
  </si>
  <si>
    <t>L05</t>
  </si>
  <si>
    <t>Geo-restriction handling and messaging for non-Bahamian visitors</t>
  </si>
  <si>
    <t>Domestic licences do not permit international play. How rivals handle out-of-jurisdiction traffic affects their indexation and how tools crawl them, which distorts naive competitive data.</t>
  </si>
  <si>
    <t>O14</t>
  </si>
  <si>
    <t>Sponsorships, event activations and community programmes</t>
  </si>
  <si>
    <t>Sponsorships generate the press coverage and links that this market's media actually publishes, and they build the brand trust that converts SEO traffic.</t>
  </si>
  <si>
    <t>L06</t>
  </si>
  <si>
    <t>Payments</t>
  </si>
  <si>
    <t>Local payment methods supported (Sand Dollar, Kanoo, Omni, bank transfer, cash at agent locations, cards)</t>
  </si>
  <si>
    <t>Payment coverage is the most decisive product factor in this market. Cash-in at agent locations in particular has no online equivalent for competitors without a premises network.</t>
  </si>
  <si>
    <t>O15</t>
  </si>
  <si>
    <t>Review presence and sentiment (Google reviews, Facebook, Trustpilot)</t>
  </si>
  <si>
    <t>Review sentiment is an entity-level trust signal used by AI systems and a visible factor in the player's final comparison.</t>
  </si>
  <si>
    <t>L07</t>
  </si>
  <si>
    <t>O16</t>
  </si>
  <si>
    <t>Deposit and withdrawal limits, fees and processing times</t>
  </si>
  <si>
    <t>Affiliate &amp; Partnerships</t>
  </si>
  <si>
    <t>Withdrawal speed drives retention and complaint volume, and is a frequent search query in its own right.</t>
  </si>
  <si>
    <t>Presence on affiliate and comparison sites covering the Bahamas</t>
  </si>
  <si>
    <t>Affiliate placement is often where the highest-intent traffic is intercepted before it reaches any operator site.</t>
  </si>
  <si>
    <t>Product &amp; Feature Matrix</t>
  </si>
  <si>
    <t>Binary and quantitative product comparison. Use Yes / No / Partial, or a number where the feature is a count.</t>
  </si>
  <si>
    <t>L08</t>
  </si>
  <si>
    <t>O17</t>
  </si>
  <si>
    <t>Currency handling (BSD/USD) and clarity of presentation</t>
  </si>
  <si>
    <t>Whether they run a public affiliate programme and its terms</t>
  </si>
  <si>
    <t>Clear local currency handling removes a friction point and signals a genuinely local product rather than a ported international one.</t>
  </si>
  <si>
    <t>An affiliate programme is a parallel acquisition channel and a link source. Its absence or presence changes our channel recommendation.</t>
  </si>
  <si>
    <t>Category</t>
  </si>
  <si>
    <t>Feature</t>
  </si>
  <si>
    <t>Why it matters commercially</t>
  </si>
  <si>
    <t>Gap note</t>
  </si>
  <si>
    <t>F01</t>
  </si>
  <si>
    <t>L09</t>
  </si>
  <si>
    <t>Summary of Findings</t>
  </si>
  <si>
    <t>Casino Product</t>
  </si>
  <si>
    <t>Local Relevance</t>
  </si>
  <si>
    <t>Slots library size (count)</t>
  </si>
  <si>
    <t>Use of Bahamian references, imagery, place names and local voice in copy</t>
  </si>
  <si>
    <t>Primary breadth comparison and the ceiling on how many game pages can be built.</t>
  </si>
  <si>
    <t>Local authenticity is the one advantage a domestic operator holds over international affiliates and offshore books. Under-using it is a wasted structural asset.</t>
  </si>
  <si>
    <t>Calculates automatically from the audit tabs. Scores are averages on the 0-3 scale; blanks are ignored until you fill them in.</t>
  </si>
  <si>
    <t>F02</t>
  </si>
  <si>
    <t>Area</t>
  </si>
  <si>
    <t>Live dealer casino</t>
  </si>
  <si>
    <t>Highest-margin casino vertical and a major retention driver.</t>
  </si>
  <si>
    <t>L10</t>
  </si>
  <si>
    <t>Coverage of Bahamian numbers, cash pot and asue draw style games</t>
  </si>
  <si>
    <t>These games are culturally specific and drive daily-habit engagement. They also carry search demand no international competitor will ever target.</t>
  </si>
  <si>
    <t>Client gap vs best competitor</t>
  </si>
  <si>
    <t>F03</t>
  </si>
  <si>
    <t>Table games (blackjack, roulette, baccarat, poker)</t>
  </si>
  <si>
    <t>Core category demand with distinct search volume.</t>
  </si>
  <si>
    <t>F04</t>
  </si>
  <si>
    <t>Progressive jackpots</t>
  </si>
  <si>
    <t>Draws aspirational traffic and high-volume branded jackpot searches.</t>
  </si>
  <si>
    <t>L11</t>
  </si>
  <si>
    <t>Family Islands coverage in content, agent listings and service messaging</t>
  </si>
  <si>
    <t>Nassau-centric messaging leaves Grand Bahama, Abaco, Eleuthera and Exuma underserved. Local content for those islands is uncontested and reaches genuine demand.</t>
  </si>
  <si>
    <t>F05</t>
  </si>
  <si>
    <t>Instant win / scratch games</t>
  </si>
  <si>
    <t>Low-friction, high-frequency play that suits mobile-first local users.</t>
  </si>
  <si>
    <t>F06</t>
  </si>
  <si>
    <t>Bingo</t>
  </si>
  <si>
    <t>Category with its own demand pocket and community retention effect.</t>
  </si>
  <si>
    <t>L12</t>
  </si>
  <si>
    <t>Alignment with local sporting calendar and interests (NBA, NFL, MLB, boxing, athletics, regattas)</t>
  </si>
  <si>
    <t>F07</t>
  </si>
  <si>
    <t>Content matched to what Bahamians actually watch converts far better than generic global sports coverage.</t>
  </si>
  <si>
    <t>Numbers / cash pot / asue draw</t>
  </si>
  <si>
    <t>Culturally central to Bahamian domestic gaming and a daily-habit product.</t>
  </si>
  <si>
    <t>L13</t>
  </si>
  <si>
    <t>F08</t>
  </si>
  <si>
    <t>Physical premises and agent network, and how it is surfaced online</t>
  </si>
  <si>
    <t>Lottery and draw-based games</t>
  </si>
  <si>
    <t>The omnichannel link between web shop premises and online play is the defining feature of this market. Online presentation of that network is a measurable differentiator.</t>
  </si>
  <si>
    <t>Recurring engagement with predictable, schedulable search demand.</t>
  </si>
  <si>
    <t>F09</t>
  </si>
  <si>
    <t>Demo / free play without registration</t>
  </si>
  <si>
    <t>Drives free-play long-tail traffic and lowers acquisition friction.</t>
  </si>
  <si>
    <t>L14</t>
  </si>
  <si>
    <t>Advertising and promotional compliance with Bahamian norms and regulator expectations</t>
  </si>
  <si>
    <t>Determines what we can and cannot say in content and PR. Competitor practice is a useful, if imperfect, guide to the accepted line.</t>
  </si>
  <si>
    <t>F10</t>
  </si>
  <si>
    <t>Exclusive or branded in-house games</t>
  </si>
  <si>
    <t>Owned titles create branded search demand competitors cannot capture.</t>
  </si>
  <si>
    <t>F11</t>
  </si>
  <si>
    <t>Lobby search, filter and sort</t>
  </si>
  <si>
    <t>Determines game discovery, session depth and filter-URL SEO exposure.</t>
  </si>
  <si>
    <t>L15</t>
  </si>
  <si>
    <t>F12</t>
  </si>
  <si>
    <t>Local Technical</t>
  </si>
  <si>
    <t>Recently played / favourites</t>
  </si>
  <si>
    <t>ccTLD, hreflang, geo-targeting signals and local business schema</t>
  </si>
  <si>
    <t>Retention feature that increases return-visit frequency.</t>
  </si>
  <si>
    <t>Explicit geographic signalling helps a domestic operator rank locally against larger international domains. Most rivals set none of this.</t>
  </si>
  <si>
    <t>F13</t>
  </si>
  <si>
    <t>Sports Product</t>
  </si>
  <si>
    <t>Number of sports offered</t>
  </si>
  <si>
    <t>Breadth of addressable betting demand and page inventory.</t>
  </si>
  <si>
    <t>F14</t>
  </si>
  <si>
    <t>In-play / live betting</t>
  </si>
  <si>
    <t>L16</t>
  </si>
  <si>
    <t>Majority of modern sportsbook turnover; absence is a structural gap.</t>
  </si>
  <si>
    <t>Localised NAP, contact numbers and physical addresses in schema and footer</t>
  </si>
  <si>
    <t>Feeds local pack eligibility and entity confidence for both search engines and AI systems.</t>
  </si>
  <si>
    <t>F15</t>
  </si>
  <si>
    <t>Live streaming</t>
  </si>
  <si>
    <t>Increases session length and gives a reason to prefer one book at equal odds.</t>
  </si>
  <si>
    <t>F16</t>
  </si>
  <si>
    <t>Bet builder / same-game parlay</t>
  </si>
  <si>
    <t>High-margin, high-demand feature with its own search volume.</t>
  </si>
  <si>
    <t>F17</t>
  </si>
  <si>
    <t>Cash out (full and partial)</t>
  </si>
  <si>
    <t>Expected feature; its absence is a common reason for switching operator.</t>
  </si>
  <si>
    <t>F18</t>
  </si>
  <si>
    <t>Odds boosts / enhanced prices</t>
  </si>
  <si>
    <t>Acquisition lever and a recurring promotional content hook.</t>
  </si>
  <si>
    <t>F19</t>
  </si>
  <si>
    <t>Early payout / acca insurance</t>
  </si>
  <si>
    <t>Differentiating offer mechanics that generate their own landing pages.</t>
  </si>
  <si>
    <t>F20</t>
  </si>
  <si>
    <t>Statistics, form and match trackers</t>
  </si>
  <si>
    <t>Supports research intent on-site rather than sending users to third parties.</t>
  </si>
  <si>
    <t>F21</t>
  </si>
  <si>
    <t>Multiple odds formats (decimal, fractional, American)</t>
  </si>
  <si>
    <t>American format matters given US-league dominance in local betting interest.</t>
  </si>
  <si>
    <t>F22</t>
  </si>
  <si>
    <t>Bet slip usability on mobile</t>
  </si>
  <si>
    <t>Direct conversion factor on the majority traffic device.</t>
  </si>
  <si>
    <t>F23</t>
  </si>
  <si>
    <t>Futures and outright markets</t>
  </si>
  <si>
    <t>Long-cycle engagement and seasonal search demand.</t>
  </si>
  <si>
    <t>AREA AVERAGE — Technical SEO</t>
  </si>
  <si>
    <t>F24</t>
  </si>
  <si>
    <t>Platform &amp; Account</t>
  </si>
  <si>
    <t>Native iOS app</t>
  </si>
  <si>
    <t>Parallel discovery channel and retention surface.</t>
  </si>
  <si>
    <t>F25</t>
  </si>
  <si>
    <t>Native Android app</t>
  </si>
  <si>
    <t>F26</t>
  </si>
  <si>
    <t>Progressive web app / mobile web quality</t>
  </si>
  <si>
    <t>Serves users unwilling or unable to install an app.</t>
  </si>
  <si>
    <t>F27</t>
  </si>
  <si>
    <t>Loyalty or VIP programme</t>
  </si>
  <si>
    <t>Retention economics that underpin the value of every acquired player.</t>
  </si>
  <si>
    <t>F28</t>
  </si>
  <si>
    <t>Live chat support</t>
  </si>
  <si>
    <t>Trust and conversion factor at the deposit and withdrawal moment.</t>
  </si>
  <si>
    <t>F29</t>
  </si>
  <si>
    <t>Support hours and channels (phone, WhatsApp, email)</t>
  </si>
  <si>
    <t>WhatsApp and phone carry particular weight in Bahamian consumer service expectations.</t>
  </si>
  <si>
    <t>Prioritised Action Plan</t>
  </si>
  <si>
    <t>F30</t>
  </si>
  <si>
    <t>Registration steps to first deposit (count)</t>
  </si>
  <si>
    <t>Friction benchmark that converts SEO traffic into revenue.</t>
  </si>
  <si>
    <t>Populated after the audit tabs. Pull every High and Medium priority row through to here and sequence it.</t>
  </si>
  <si>
    <t>F31</t>
  </si>
  <si>
    <t>Source tab</t>
  </si>
  <si>
    <t>Opportunity</t>
  </si>
  <si>
    <t>Cash deposit at physical agent locations</t>
  </si>
  <si>
    <t>Why it matters (client rationale)</t>
  </si>
  <si>
    <t>Omnichannel advantage unavailable to purely online competitors.</t>
  </si>
  <si>
    <t>Competitor benchmark</t>
  </si>
  <si>
    <t>Silo</t>
  </si>
  <si>
    <t>Effort (H/M/L)</t>
  </si>
  <si>
    <t>F32</t>
  </si>
  <si>
    <t>Impact (H/M/L)</t>
  </si>
  <si>
    <t>Sand Dollar / Kanoo / Omni digital wallet support</t>
  </si>
  <si>
    <t>Local payment rails that materially widen the addressable player base.</t>
  </si>
  <si>
    <t>Owner / target date</t>
  </si>
  <si>
    <t>F33</t>
  </si>
  <si>
    <t>Responsible gambling tool suite</t>
  </si>
  <si>
    <t>Compliance expectation and a genuine trust differentiator.</t>
  </si>
  <si>
    <t>AREA AVERAGE — Casino Silo</t>
  </si>
  <si>
    <t>AREA AVERAGE — Sports Silo</t>
  </si>
  <si>
    <t>AREA AVERAGE — Content &amp; Guides</t>
  </si>
  <si>
    <t>AREA AVERAGE — Off-Page &amp; Authority</t>
  </si>
  <si>
    <t>AREA AVERAGE — Bahamas &amp; Compliance</t>
  </si>
  <si>
    <t>OVERALL WEIGHTED POSITION (all areas)</t>
  </si>
  <si>
    <t>Scale: 0 absent · 1 poor · 2 adequate · 3 strong. A negative client gap is ground to make up; positive is a defended advantage.</t>
  </si>
  <si>
    <t>PRIORITY WORKLOAD — count of flagged actions by area</t>
  </si>
  <si>
    <t>High priority</t>
  </si>
  <si>
    <t>Medium priority</t>
  </si>
  <si>
    <t>Low priority</t>
  </si>
  <si>
    <t>Total points audited</t>
  </si>
  <si>
    <t>% scored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</si>
</sst>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0.0"/>
    <numFmt numFmtId="166" formatCode="0.0;[RED]\-0.0"/>
  </numFmts>
  <fonts count="12">
    <font>
      <sz val="11.0"/>
      <color theme="1"/>
      <name val="Calibri"/>
      <scheme val="minor"/>
    </font>
    <font>
      <b/>
      <sz val="13.0"/>
      <color rgb="FFFFFFFF"/>
      <name val="Arial"/>
    </font>
    <font/>
    <font>
      <i/>
      <sz val="9.0"/>
      <color rgb="FF404040"/>
      <name val="Arial"/>
    </font>
    <font>
      <b/>
      <sz val="10.0"/>
      <color rgb="FFFFFFFF"/>
      <name val="Arial"/>
    </font>
    <font>
      <sz val="10.0"/>
      <color theme="1"/>
      <name val="Arial"/>
    </font>
    <font>
      <b/>
      <sz val="10.0"/>
      <color theme="1"/>
      <name val="Arial"/>
    </font>
    <font>
      <u/>
      <sz val="10.0"/>
      <color rgb="FF0000FF"/>
      <name val="Arial"/>
    </font>
    <font>
      <b/>
      <sz val="9.0"/>
      <color theme="1"/>
      <name val="Arial"/>
    </font>
    <font>
      <sz val="9.0"/>
      <color rgb="FF808080"/>
      <name val="Arial"/>
    </font>
    <font>
      <b/>
      <sz val="11.0"/>
      <color rgb="FFFFFFFF"/>
      <name val="Arial"/>
    </font>
    <font>
      <i/>
      <sz val="9.0"/>
      <color rgb="FF595959"/>
      <name val="Arial"/>
    </font>
  </fonts>
  <fills count="8">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2E5C8A"/>
        <bgColor rgb="FF2E5C8A"/>
      </patternFill>
    </fill>
    <fill>
      <patternFill patternType="solid">
        <fgColor rgb="FFFFF9E6"/>
        <bgColor rgb="FFFFF9E6"/>
      </patternFill>
    </fill>
    <fill>
      <patternFill patternType="solid">
        <fgColor rgb="FFFFFFFF"/>
        <bgColor rgb="FFFFFFFF"/>
      </patternFill>
    </fill>
    <fill>
      <patternFill patternType="solid">
        <fgColor rgb="FFDCE6F1"/>
        <bgColor rgb="FFDCE6F1"/>
      </patternFill>
    </fill>
  </fills>
  <borders count="7">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4" fillId="4" fontId="4" numFmtId="0" xfId="0" applyAlignment="1" applyBorder="1" applyFill="1" applyFont="1">
      <alignment horizontal="center" shrinkToFit="0" vertical="center" wrapText="1"/>
    </xf>
    <xf borderId="4" fillId="4" fontId="4" numFmtId="0" xfId="0" applyAlignment="1" applyBorder="1" applyFont="1">
      <alignment shrinkToFit="0" vertical="top" wrapText="1"/>
    </xf>
    <xf borderId="4" fillId="2" fontId="4" numFmtId="0" xfId="0" applyAlignment="1" applyBorder="1" applyFont="1">
      <alignment horizontal="center" shrinkToFit="0" vertical="center" wrapText="1"/>
    </xf>
    <xf borderId="5" fillId="0" fontId="5" numFmtId="0" xfId="0" applyAlignment="1" applyBorder="1" applyFont="1">
      <alignment shrinkToFit="0" vertical="top" wrapText="1"/>
    </xf>
    <xf borderId="6" fillId="0" fontId="2" numFmtId="0" xfId="0" applyBorder="1" applyFont="1"/>
    <xf borderId="4" fillId="3" fontId="6" numFmtId="0" xfId="0" applyAlignment="1" applyBorder="1" applyFont="1">
      <alignment shrinkToFit="0" vertical="top" wrapText="1"/>
    </xf>
    <xf borderId="4" fillId="3" fontId="5" numFmtId="0" xfId="0" applyAlignment="1" applyBorder="1" applyFont="1">
      <alignment shrinkToFit="0" vertical="top" wrapText="1"/>
    </xf>
    <xf borderId="4" fillId="5" fontId="5" numFmtId="0" xfId="0" applyAlignment="1" applyBorder="1" applyFill="1" applyFont="1">
      <alignment readingOrder="0" shrinkToFit="0" vertical="top" wrapText="1"/>
    </xf>
    <xf borderId="4" fillId="5" fontId="5" numFmtId="0" xfId="0" applyAlignment="1" applyBorder="1" applyFont="1">
      <alignment shrinkToFit="0" vertical="top" wrapText="1"/>
    </xf>
    <xf borderId="4" fillId="6" fontId="6" numFmtId="0" xfId="0" applyAlignment="1" applyBorder="1" applyFill="1" applyFont="1">
      <alignment shrinkToFit="0" vertical="top" wrapText="1"/>
    </xf>
    <xf borderId="4" fillId="6" fontId="5" numFmtId="0" xfId="0" applyAlignment="1" applyBorder="1" applyFont="1">
      <alignment shrinkToFit="0" vertical="top" wrapText="1"/>
    </xf>
    <xf borderId="4" fillId="5" fontId="7" numFmtId="0" xfId="0" applyAlignment="1" applyBorder="1" applyFont="1">
      <alignment readingOrder="0" shrinkToFit="0" vertical="top" wrapText="1"/>
    </xf>
    <xf borderId="4" fillId="5" fontId="5" numFmtId="0" xfId="0" applyAlignment="1" applyBorder="1" applyFont="1">
      <alignment horizontal="center" shrinkToFit="0" vertical="top" wrapText="1"/>
    </xf>
    <xf borderId="4" fillId="5" fontId="5" numFmtId="164" xfId="0" applyAlignment="1" applyBorder="1" applyFont="1" applyNumberFormat="1">
      <alignment readingOrder="0" shrinkToFit="0" vertical="top" wrapText="1"/>
    </xf>
    <xf borderId="1" fillId="2" fontId="4" numFmtId="0" xfId="0" applyAlignment="1" applyBorder="1" applyFont="1">
      <alignment shrinkToFit="0" vertical="bottom" wrapText="0"/>
    </xf>
    <xf borderId="4" fillId="7" fontId="8" numFmtId="0" xfId="0" applyAlignment="1" applyBorder="1" applyFill="1" applyFont="1">
      <alignment shrinkToFit="0" vertical="top" wrapText="1"/>
    </xf>
    <xf borderId="5" fillId="0" fontId="3" numFmtId="0" xfId="0" applyAlignment="1" applyBorder="1" applyFont="1">
      <alignment shrinkToFit="0" vertical="top" wrapText="1"/>
    </xf>
    <xf borderId="4" fillId="5" fontId="5" numFmtId="0" xfId="0" applyAlignment="1" applyBorder="1" applyFont="1">
      <alignment horizontal="center" readingOrder="0" shrinkToFit="0" vertical="top" wrapText="1"/>
    </xf>
    <xf borderId="4" fillId="0" fontId="9"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4" fillId="0" fontId="5" numFmtId="165" xfId="0" applyAlignment="1" applyBorder="1" applyFont="1" applyNumberFormat="1">
      <alignment horizontal="center" shrinkToFit="0" vertical="center" wrapText="1"/>
    </xf>
    <xf borderId="4" fillId="0" fontId="5" numFmtId="166" xfId="0" applyAlignment="1" applyBorder="1" applyFont="1" applyNumberFormat="1">
      <alignment horizontal="center" shrinkToFit="0" vertical="center" wrapText="1"/>
    </xf>
    <xf borderId="4" fillId="4" fontId="4" numFmtId="0" xfId="0" applyAlignment="1" applyBorder="1" applyFont="1">
      <alignment horizontal="left" shrinkToFit="0" vertical="center" wrapText="0"/>
    </xf>
    <xf borderId="4" fillId="4" fontId="4" numFmtId="165" xfId="0" applyAlignment="1" applyBorder="1" applyFont="1" applyNumberFormat="1">
      <alignment horizontal="center" shrinkToFit="0" vertical="center" wrapText="0"/>
    </xf>
    <xf borderId="4" fillId="4" fontId="4" numFmtId="166" xfId="0" applyAlignment="1" applyBorder="1" applyFont="1" applyNumberFormat="1">
      <alignment horizontal="center" shrinkToFit="0" vertical="center" wrapText="0"/>
    </xf>
    <xf borderId="4" fillId="2" fontId="10" numFmtId="0" xfId="0" applyAlignment="1" applyBorder="1" applyFont="1">
      <alignment horizontal="left" shrinkToFit="0" vertical="center" wrapText="0"/>
    </xf>
    <xf borderId="4" fillId="2" fontId="10" numFmtId="165" xfId="0" applyAlignment="1" applyBorder="1" applyFont="1" applyNumberFormat="1">
      <alignment horizontal="center" shrinkToFit="0" vertical="center" wrapText="0"/>
    </xf>
    <xf borderId="4" fillId="2" fontId="10" numFmtId="166" xfId="0" applyAlignment="1" applyBorder="1" applyFont="1" applyNumberFormat="1">
      <alignment horizontal="center" shrinkToFit="0" vertical="center" wrapText="0"/>
    </xf>
    <xf borderId="0" fillId="0" fontId="11" numFmtId="0" xfId="0" applyAlignment="1" applyFont="1">
      <alignment shrinkToFit="0" vertical="bottom" wrapText="0"/>
    </xf>
    <xf borderId="1" fillId="2" fontId="10" numFmtId="0" xfId="0" applyAlignment="1" applyBorder="1" applyFont="1">
      <alignment shrinkToFit="0" vertical="bottom" wrapText="0"/>
    </xf>
    <xf borderId="4" fillId="4" fontId="4" numFmtId="0" xfId="0" applyAlignment="1" applyBorder="1" applyFont="1">
      <alignment horizontal="center" shrinkToFit="0" vertical="bottom" wrapText="1"/>
    </xf>
    <xf borderId="4" fillId="0" fontId="5" numFmtId="0" xfId="0" applyAlignment="1" applyBorder="1" applyFont="1">
      <alignment horizontal="left" shrinkToFit="0" vertical="bottom" wrapText="0"/>
    </xf>
    <xf borderId="4" fillId="0" fontId="5" numFmtId="0" xfId="0" applyAlignment="1" applyBorder="1" applyFont="1">
      <alignment horizontal="center" shrinkToFit="0" vertical="bottom" wrapText="0"/>
    </xf>
    <xf borderId="4" fillId="0" fontId="5" numFmtId="9" xfId="0" applyAlignment="1" applyBorder="1" applyFont="1" applyNumberFormat="1">
      <alignment horizontal="center"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islandluck.com/" TargetMode="External"/><Relationship Id="rId2" Type="http://schemas.openxmlformats.org/officeDocument/2006/relationships/hyperlink" Target="http://paradisegames.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6" width="30.0"/>
    <col customWidth="1" min="7" max="26" width="8.71"/>
  </cols>
  <sheetData>
    <row r="1" ht="25.5" customHeight="1">
      <c r="A1" s="1" t="s">
        <v>0</v>
      </c>
      <c r="B1" s="2"/>
      <c r="C1" s="2"/>
      <c r="D1" s="2"/>
      <c r="E1" s="2"/>
      <c r="F1" s="3"/>
    </row>
    <row r="2" ht="18.0" customHeight="1">
      <c r="A2" s="4" t="s">
        <v>3</v>
      </c>
      <c r="B2" s="2"/>
      <c r="C2" s="2"/>
      <c r="D2" s="2"/>
      <c r="E2" s="2"/>
      <c r="F2" s="3"/>
    </row>
    <row r="3" ht="45.75" customHeight="1">
      <c r="A3" s="6" t="s">
        <v>8</v>
      </c>
      <c r="B3" s="8" t="s">
        <v>15</v>
      </c>
      <c r="C3" s="9"/>
      <c r="D3" s="9"/>
      <c r="E3" s="9"/>
      <c r="F3" s="9"/>
    </row>
    <row r="4" ht="45.75" customHeight="1">
      <c r="A4" s="6" t="s">
        <v>24</v>
      </c>
      <c r="B4" s="8" t="s">
        <v>27</v>
      </c>
      <c r="C4" s="9"/>
      <c r="D4" s="9"/>
      <c r="E4" s="9"/>
      <c r="F4" s="9"/>
    </row>
    <row r="5" ht="45.75" customHeight="1">
      <c r="A5" s="6" t="s">
        <v>30</v>
      </c>
      <c r="B5" s="8" t="s">
        <v>32</v>
      </c>
      <c r="C5" s="9"/>
      <c r="D5" s="9"/>
      <c r="E5" s="9"/>
      <c r="F5" s="9"/>
    </row>
    <row r="6" ht="45.75" customHeight="1">
      <c r="A6" s="6" t="s">
        <v>40</v>
      </c>
      <c r="B6" s="8" t="s">
        <v>44</v>
      </c>
      <c r="C6" s="9"/>
      <c r="D6" s="9"/>
      <c r="E6" s="9"/>
      <c r="F6" s="9"/>
    </row>
    <row r="7" ht="45.75" customHeight="1">
      <c r="A7" s="6" t="s">
        <v>46</v>
      </c>
      <c r="B7" s="8" t="s">
        <v>48</v>
      </c>
      <c r="C7" s="9"/>
      <c r="D7" s="9"/>
      <c r="E7" s="9"/>
      <c r="F7" s="9"/>
    </row>
    <row r="8" ht="45.75" customHeight="1">
      <c r="A8" s="6" t="s">
        <v>50</v>
      </c>
      <c r="B8" s="8" t="s">
        <v>52</v>
      </c>
      <c r="C8" s="9"/>
      <c r="D8" s="9"/>
      <c r="E8" s="9"/>
      <c r="F8" s="9"/>
    </row>
    <row r="9" ht="45.75" customHeight="1">
      <c r="A9" s="6" t="s">
        <v>57</v>
      </c>
      <c r="B9" s="8" t="s">
        <v>59</v>
      </c>
      <c r="C9" s="9"/>
      <c r="D9" s="9"/>
      <c r="E9" s="9"/>
      <c r="F9" s="9"/>
    </row>
    <row r="10" ht="45.75" customHeight="1">
      <c r="A10" s="6" t="s">
        <v>62</v>
      </c>
      <c r="B10" s="8" t="s">
        <v>64</v>
      </c>
      <c r="C10" s="9"/>
      <c r="D10" s="9"/>
      <c r="E10" s="9"/>
      <c r="F10" s="9"/>
    </row>
    <row r="11" ht="45.75" customHeight="1">
      <c r="A11" s="6" t="s">
        <v>74</v>
      </c>
      <c r="B11" s="8" t="s">
        <v>77</v>
      </c>
      <c r="C11" s="9"/>
      <c r="D11" s="9"/>
      <c r="E11" s="9"/>
      <c r="F11" s="9"/>
    </row>
    <row r="12" ht="45.75" customHeight="1">
      <c r="A12" s="6" t="s">
        <v>85</v>
      </c>
      <c r="B12" s="8" t="s">
        <v>87</v>
      </c>
      <c r="C12" s="9"/>
      <c r="D12" s="9"/>
      <c r="E12" s="9"/>
      <c r="F12" s="9"/>
    </row>
    <row r="14">
      <c r="A14" s="19" t="s">
        <v>92</v>
      </c>
      <c r="B14" s="2"/>
      <c r="C14" s="2"/>
      <c r="D14" s="2"/>
      <c r="E14" s="2"/>
      <c r="F14" s="3"/>
    </row>
    <row r="15" ht="31.5" customHeight="1">
      <c r="A15" s="20" t="s">
        <v>12</v>
      </c>
      <c r="B15" s="21" t="s">
        <v>104</v>
      </c>
      <c r="C15" s="9"/>
      <c r="D15" s="9"/>
      <c r="E15" s="9"/>
      <c r="F15" s="9"/>
    </row>
    <row r="16" ht="31.5" customHeight="1">
      <c r="A16" s="20" t="s">
        <v>107</v>
      </c>
      <c r="B16" s="21" t="s">
        <v>108</v>
      </c>
      <c r="C16" s="9"/>
      <c r="D16" s="9"/>
      <c r="E16" s="9"/>
      <c r="F16" s="9"/>
    </row>
    <row r="17" ht="31.5" customHeight="1">
      <c r="A17" s="20" t="s">
        <v>114</v>
      </c>
      <c r="B17" s="21" t="s">
        <v>119</v>
      </c>
      <c r="C17" s="9"/>
      <c r="D17" s="9"/>
      <c r="E17" s="9"/>
      <c r="F17" s="9"/>
    </row>
    <row r="18" ht="31.5" customHeight="1">
      <c r="A18" s="20" t="s">
        <v>122</v>
      </c>
      <c r="B18" s="21" t="s">
        <v>123</v>
      </c>
      <c r="C18" s="9"/>
      <c r="D18" s="9"/>
      <c r="E18" s="9"/>
      <c r="F18" s="9"/>
    </row>
    <row r="19" ht="31.5" customHeight="1">
      <c r="A19" s="20" t="s">
        <v>33</v>
      </c>
      <c r="B19" s="21" t="s">
        <v>131</v>
      </c>
      <c r="C19" s="9"/>
      <c r="D19" s="9"/>
      <c r="E19" s="9"/>
      <c r="F19" s="9"/>
    </row>
    <row r="20" ht="31.5" customHeight="1">
      <c r="A20" s="20" t="s">
        <v>144</v>
      </c>
      <c r="B20" s="21" t="s">
        <v>150</v>
      </c>
      <c r="C20" s="9"/>
      <c r="D20" s="9"/>
      <c r="E20" s="9"/>
      <c r="F20"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F1"/>
    <mergeCell ref="A2:F2"/>
    <mergeCell ref="B3:F3"/>
    <mergeCell ref="B4:F4"/>
    <mergeCell ref="B5:F5"/>
    <mergeCell ref="B6:F6"/>
    <mergeCell ref="B7:F7"/>
    <mergeCell ref="B16:F16"/>
    <mergeCell ref="B17:F17"/>
    <mergeCell ref="B18:F18"/>
    <mergeCell ref="B19:F19"/>
    <mergeCell ref="B20:F20"/>
    <mergeCell ref="B8:F8"/>
    <mergeCell ref="B9:F9"/>
    <mergeCell ref="B10:F10"/>
    <mergeCell ref="B11:F11"/>
    <mergeCell ref="B12:F12"/>
    <mergeCell ref="A14:F14"/>
    <mergeCell ref="B15:F1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34.0"/>
    <col customWidth="1" min="2" max="2" width="44.0"/>
    <col customWidth="1" min="3" max="3" width="32.0"/>
    <col customWidth="1" hidden="1" min="4" max="5" width="32.0"/>
    <col customWidth="1" min="6" max="6" width="32.0"/>
    <col customWidth="1" min="7" max="26" width="8.71"/>
  </cols>
  <sheetData>
    <row r="1" ht="25.5" customHeight="1">
      <c r="A1" s="1" t="s">
        <v>2</v>
      </c>
      <c r="B1" s="2"/>
      <c r="C1" s="2"/>
      <c r="D1" s="2"/>
      <c r="E1" s="2"/>
      <c r="F1" s="3"/>
    </row>
    <row r="2" ht="18.0" customHeight="1">
      <c r="A2" s="4" t="s">
        <v>4</v>
      </c>
      <c r="B2" s="2"/>
      <c r="C2" s="2"/>
      <c r="D2" s="2"/>
      <c r="E2" s="2"/>
      <c r="F2" s="3"/>
    </row>
    <row r="3" ht="30.0" customHeight="1">
      <c r="A3" s="5" t="s">
        <v>7</v>
      </c>
      <c r="B3" s="5" t="s">
        <v>11</v>
      </c>
      <c r="C3" s="7" t="s">
        <v>13</v>
      </c>
      <c r="D3" s="7" t="s">
        <v>17</v>
      </c>
      <c r="E3" s="7" t="s">
        <v>19</v>
      </c>
      <c r="F3" s="7" t="s">
        <v>21</v>
      </c>
    </row>
    <row r="4" ht="30.0" customHeight="1">
      <c r="A4" s="10" t="s">
        <v>23</v>
      </c>
      <c r="B4" s="11" t="s">
        <v>26</v>
      </c>
      <c r="C4" s="12" t="s">
        <v>13</v>
      </c>
      <c r="D4" s="13"/>
      <c r="E4" s="13"/>
      <c r="F4" s="12" t="s">
        <v>31</v>
      </c>
    </row>
    <row r="5" ht="30.0" customHeight="1">
      <c r="A5" s="10" t="s">
        <v>34</v>
      </c>
      <c r="B5" s="11" t="s">
        <v>36</v>
      </c>
      <c r="C5" s="13"/>
      <c r="D5" s="13"/>
      <c r="E5" s="13"/>
      <c r="F5" s="13"/>
    </row>
    <row r="6" ht="30.0" customHeight="1">
      <c r="A6" s="10" t="s">
        <v>41</v>
      </c>
      <c r="B6" s="11" t="s">
        <v>43</v>
      </c>
      <c r="C6" s="16" t="s">
        <v>45</v>
      </c>
      <c r="D6" s="13"/>
      <c r="E6" s="13"/>
      <c r="F6" s="16" t="s">
        <v>53</v>
      </c>
    </row>
    <row r="7" ht="30.0" customHeight="1">
      <c r="A7" s="10" t="s">
        <v>60</v>
      </c>
      <c r="B7" s="11" t="s">
        <v>61</v>
      </c>
      <c r="C7" s="13"/>
      <c r="D7" s="13"/>
      <c r="E7" s="13"/>
      <c r="F7" s="13"/>
    </row>
    <row r="8" ht="30.0" customHeight="1">
      <c r="A8" s="10" t="s">
        <v>66</v>
      </c>
      <c r="B8" s="11" t="s">
        <v>68</v>
      </c>
      <c r="C8" s="18">
        <v>46238.0</v>
      </c>
      <c r="D8" s="18">
        <v>46238.0</v>
      </c>
      <c r="E8" s="18">
        <v>46238.0</v>
      </c>
      <c r="F8" s="18">
        <v>46238.0</v>
      </c>
    </row>
    <row r="9" ht="30.0" customHeight="1">
      <c r="A9" s="10" t="s">
        <v>70</v>
      </c>
      <c r="B9" s="11" t="s">
        <v>72</v>
      </c>
      <c r="C9" s="12" t="s">
        <v>73</v>
      </c>
      <c r="D9" s="12" t="s">
        <v>73</v>
      </c>
      <c r="E9" s="12" t="s">
        <v>73</v>
      </c>
      <c r="F9" s="12" t="s">
        <v>73</v>
      </c>
    </row>
    <row r="10" ht="59.25" customHeight="1">
      <c r="A10" s="10" t="s">
        <v>81</v>
      </c>
      <c r="B10" s="11" t="s">
        <v>83</v>
      </c>
      <c r="C10" s="12" t="s">
        <v>86</v>
      </c>
      <c r="D10" s="13"/>
      <c r="E10" s="13"/>
      <c r="F10" s="12" t="s">
        <v>88</v>
      </c>
    </row>
    <row r="11" ht="30.0" customHeight="1">
      <c r="A11" s="10" t="s">
        <v>89</v>
      </c>
      <c r="B11" s="11" t="s">
        <v>90</v>
      </c>
      <c r="C11" s="12" t="s">
        <v>91</v>
      </c>
      <c r="D11" s="12" t="s">
        <v>91</v>
      </c>
      <c r="E11" s="12" t="s">
        <v>91</v>
      </c>
      <c r="F11" s="12" t="s">
        <v>91</v>
      </c>
    </row>
    <row r="12" ht="30.0" customHeight="1">
      <c r="A12" s="10" t="s">
        <v>96</v>
      </c>
      <c r="B12" s="11" t="s">
        <v>100</v>
      </c>
      <c r="C12" s="12" t="s">
        <v>102</v>
      </c>
      <c r="D12" s="13"/>
      <c r="E12" s="13"/>
      <c r="F12" s="12" t="s">
        <v>102</v>
      </c>
    </row>
    <row r="13" ht="30.0" customHeight="1">
      <c r="A13" s="10" t="s">
        <v>105</v>
      </c>
      <c r="B13" s="11" t="s">
        <v>106</v>
      </c>
      <c r="C13" s="12" t="s">
        <v>102</v>
      </c>
      <c r="D13" s="13"/>
      <c r="E13" s="13"/>
      <c r="F13" s="12" t="s">
        <v>102</v>
      </c>
    </row>
    <row r="14" ht="30.0" customHeight="1">
      <c r="A14" s="10" t="s">
        <v>109</v>
      </c>
      <c r="B14" s="11" t="s">
        <v>111</v>
      </c>
      <c r="C14" s="12" t="s">
        <v>102</v>
      </c>
      <c r="D14" s="13"/>
      <c r="E14" s="13"/>
      <c r="F14" s="12" t="s">
        <v>102</v>
      </c>
    </row>
    <row r="15" ht="30.0" customHeight="1">
      <c r="A15" s="10" t="s">
        <v>120</v>
      </c>
      <c r="B15" s="11" t="s">
        <v>121</v>
      </c>
      <c r="C15" s="22">
        <v>175156.0</v>
      </c>
      <c r="D15" s="17"/>
      <c r="E15" s="17"/>
      <c r="F15" s="22">
        <v>19098.0</v>
      </c>
    </row>
    <row r="16" ht="30.0" customHeight="1">
      <c r="A16" s="10" t="s">
        <v>124</v>
      </c>
      <c r="B16" s="11" t="s">
        <v>125</v>
      </c>
      <c r="C16" s="13"/>
      <c r="D16" s="13"/>
      <c r="E16" s="13"/>
      <c r="F16" s="13"/>
    </row>
    <row r="17" ht="30.0" customHeight="1">
      <c r="A17" s="10" t="s">
        <v>130</v>
      </c>
      <c r="B17" s="11" t="s">
        <v>133</v>
      </c>
      <c r="C17" s="13"/>
      <c r="D17" s="13"/>
      <c r="E17" s="13"/>
      <c r="F17" s="13"/>
    </row>
    <row r="18" ht="30.0" customHeight="1">
      <c r="A18" s="10" t="s">
        <v>137</v>
      </c>
      <c r="B18" s="11" t="s">
        <v>138</v>
      </c>
      <c r="C18" s="13"/>
      <c r="D18" s="13"/>
      <c r="E18" s="13"/>
      <c r="F18" s="13"/>
    </row>
    <row r="19" ht="30.0" customHeight="1">
      <c r="A19" s="10" t="s">
        <v>139</v>
      </c>
      <c r="B19" s="11" t="s">
        <v>140</v>
      </c>
      <c r="C19" s="13"/>
      <c r="D19" s="13"/>
      <c r="E19" s="13"/>
      <c r="F19" s="13"/>
    </row>
    <row r="20" ht="30.0" customHeight="1">
      <c r="A20" s="10" t="s">
        <v>147</v>
      </c>
      <c r="B20" s="11" t="s">
        <v>151</v>
      </c>
      <c r="C20" s="12" t="s">
        <v>153</v>
      </c>
      <c r="D20" s="13"/>
      <c r="E20" s="13"/>
      <c r="F20" s="12" t="s">
        <v>156</v>
      </c>
    </row>
    <row r="21" ht="30.0" customHeight="1">
      <c r="A21" s="10" t="s">
        <v>157</v>
      </c>
      <c r="B21" s="11" t="s">
        <v>158</v>
      </c>
      <c r="C21" s="13"/>
      <c r="D21" s="13"/>
      <c r="E21" s="13"/>
      <c r="F21" s="13"/>
    </row>
    <row r="22" ht="30.0" customHeight="1">
      <c r="A22" s="10" t="s">
        <v>159</v>
      </c>
      <c r="B22" s="11" t="s">
        <v>160</v>
      </c>
      <c r="C22" s="13"/>
      <c r="D22" s="13"/>
      <c r="E22" s="13"/>
      <c r="F22" s="13"/>
    </row>
    <row r="23" ht="30.0" customHeight="1">
      <c r="A23" s="10" t="s">
        <v>165</v>
      </c>
      <c r="B23" s="11" t="s">
        <v>168</v>
      </c>
      <c r="C23" s="13"/>
      <c r="D23" s="13"/>
      <c r="E23" s="13"/>
      <c r="F23" s="13"/>
    </row>
    <row r="24" ht="30.0" customHeight="1">
      <c r="A24" s="10" t="s">
        <v>171</v>
      </c>
      <c r="B24" s="11" t="s">
        <v>172</v>
      </c>
      <c r="C24" s="13"/>
      <c r="D24" s="13"/>
      <c r="E24" s="13"/>
      <c r="F24" s="1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F1"/>
    <mergeCell ref="A2:F2"/>
  </mergeCells>
  <hyperlinks>
    <hyperlink r:id="rId1" ref="C6"/>
    <hyperlink r:id="rId2" ref="F6"/>
  </hyperlinks>
  <printOptions/>
  <pageMargins bottom="1.0" footer="0.0" header="0.0" left="0.75" right="0.75" top="1.0"/>
  <pageSetup paperSize="9"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4.0"/>
    <col customWidth="1" min="3" max="3" width="44.0"/>
    <col customWidth="1" min="4" max="4" width="62.0"/>
    <col customWidth="1" min="5" max="5" width="52.0"/>
    <col customWidth="1" min="6" max="6" width="40.0"/>
    <col customWidth="1" min="7" max="7" width="16.86"/>
    <col customWidth="1" min="8" max="8" width="40.0"/>
    <col customWidth="1" min="9" max="9" width="7.0"/>
    <col customWidth="1" min="10" max="10" width="40.0"/>
    <col customWidth="1" min="11" max="11" width="7.0"/>
    <col customWidth="1" min="12" max="12" width="40.0"/>
    <col customWidth="1" min="13" max="13" width="7.0"/>
    <col customWidth="1" min="14" max="14" width="46.0"/>
    <col customWidth="1" min="15" max="15" width="10.0"/>
    <col customWidth="1" min="16" max="16" width="46.0"/>
    <col customWidth="1" min="17" max="26" width="8.71"/>
  </cols>
  <sheetData>
    <row r="1" ht="25.5" customHeight="1">
      <c r="A1" s="1" t="s">
        <v>1</v>
      </c>
      <c r="B1" s="2"/>
      <c r="C1" s="2"/>
      <c r="D1" s="2"/>
      <c r="E1" s="2"/>
      <c r="F1" s="2"/>
      <c r="G1" s="2"/>
      <c r="H1" s="2"/>
      <c r="I1" s="2"/>
      <c r="J1" s="2"/>
      <c r="K1" s="2"/>
      <c r="L1" s="2"/>
      <c r="M1" s="2"/>
      <c r="N1" s="2"/>
      <c r="O1" s="2"/>
      <c r="P1" s="3"/>
    </row>
    <row r="2" ht="18.0" customHeight="1">
      <c r="A2" s="4" t="s">
        <v>5</v>
      </c>
      <c r="B2" s="2"/>
      <c r="C2" s="2"/>
      <c r="D2" s="2"/>
      <c r="E2" s="2"/>
      <c r="F2" s="2"/>
      <c r="G2" s="2"/>
      <c r="H2" s="2"/>
      <c r="I2" s="2"/>
      <c r="J2" s="2"/>
      <c r="K2" s="2"/>
      <c r="L2" s="2"/>
      <c r="M2" s="2"/>
      <c r="N2" s="2"/>
      <c r="O2" s="2"/>
      <c r="P2" s="3"/>
    </row>
    <row r="3" ht="33.75" customHeight="1">
      <c r="A3" s="5" t="s">
        <v>9</v>
      </c>
      <c r="B3" s="5" t="s">
        <v>10</v>
      </c>
      <c r="C3" s="5" t="s">
        <v>12</v>
      </c>
      <c r="D3" s="5" t="s">
        <v>14</v>
      </c>
      <c r="E3" s="5" t="s">
        <v>16</v>
      </c>
      <c r="F3" s="7" t="s">
        <v>18</v>
      </c>
      <c r="G3" s="7" t="s">
        <v>22</v>
      </c>
      <c r="H3" s="7" t="s">
        <v>25</v>
      </c>
      <c r="I3" s="7" t="s">
        <v>22</v>
      </c>
      <c r="J3" s="7" t="s">
        <v>28</v>
      </c>
      <c r="K3" s="7" t="s">
        <v>22</v>
      </c>
      <c r="L3" s="7" t="s">
        <v>29</v>
      </c>
      <c r="M3" s="7" t="s">
        <v>22</v>
      </c>
      <c r="N3" s="7" t="s">
        <v>33</v>
      </c>
      <c r="O3" s="7" t="s">
        <v>35</v>
      </c>
      <c r="P3" s="7" t="s">
        <v>37</v>
      </c>
    </row>
    <row r="4">
      <c r="A4" s="11" t="s">
        <v>38</v>
      </c>
      <c r="B4" s="11" t="s">
        <v>39</v>
      </c>
      <c r="C4" s="14" t="s">
        <v>42</v>
      </c>
      <c r="D4" s="15" t="s">
        <v>47</v>
      </c>
      <c r="E4" s="15" t="s">
        <v>49</v>
      </c>
      <c r="F4" s="13"/>
      <c r="G4" s="17"/>
      <c r="H4" s="13"/>
      <c r="I4" s="17"/>
      <c r="J4" s="13"/>
      <c r="K4" s="17"/>
      <c r="L4" s="13"/>
      <c r="M4" s="17"/>
      <c r="N4" s="13"/>
      <c r="O4" s="17"/>
      <c r="P4" s="13"/>
    </row>
    <row r="5">
      <c r="A5" s="11" t="s">
        <v>63</v>
      </c>
      <c r="B5" s="11" t="s">
        <v>39</v>
      </c>
      <c r="C5" s="14" t="s">
        <v>65</v>
      </c>
      <c r="D5" s="15" t="s">
        <v>67</v>
      </c>
      <c r="E5" s="15" t="s">
        <v>69</v>
      </c>
      <c r="F5" s="13"/>
      <c r="G5" s="17"/>
      <c r="H5" s="13"/>
      <c r="I5" s="17"/>
      <c r="J5" s="13"/>
      <c r="K5" s="17"/>
      <c r="L5" s="13"/>
      <c r="M5" s="17"/>
      <c r="N5" s="13"/>
      <c r="O5" s="17"/>
      <c r="P5" s="13"/>
    </row>
    <row r="6">
      <c r="A6" s="11" t="s">
        <v>78</v>
      </c>
      <c r="B6" s="11" t="s">
        <v>39</v>
      </c>
      <c r="C6" s="14" t="s">
        <v>80</v>
      </c>
      <c r="D6" s="15" t="s">
        <v>82</v>
      </c>
      <c r="E6" s="15" t="s">
        <v>84</v>
      </c>
      <c r="F6" s="13"/>
      <c r="G6" s="17"/>
      <c r="H6" s="13"/>
      <c r="I6" s="17"/>
      <c r="J6" s="13"/>
      <c r="K6" s="17"/>
      <c r="L6" s="13"/>
      <c r="M6" s="17"/>
      <c r="N6" s="13"/>
      <c r="O6" s="17"/>
      <c r="P6" s="13"/>
    </row>
    <row r="7">
      <c r="A7" s="11" t="s">
        <v>95</v>
      </c>
      <c r="B7" s="11" t="s">
        <v>39</v>
      </c>
      <c r="C7" s="14" t="s">
        <v>98</v>
      </c>
      <c r="D7" s="15" t="s">
        <v>101</v>
      </c>
      <c r="E7" s="15" t="s">
        <v>103</v>
      </c>
      <c r="F7" s="13"/>
      <c r="G7" s="17"/>
      <c r="H7" s="13"/>
      <c r="I7" s="17"/>
      <c r="J7" s="13"/>
      <c r="K7" s="17"/>
      <c r="L7" s="13"/>
      <c r="M7" s="17"/>
      <c r="N7" s="13"/>
      <c r="O7" s="17"/>
      <c r="P7" s="13"/>
    </row>
    <row r="8">
      <c r="A8" s="11" t="s">
        <v>112</v>
      </c>
      <c r="B8" s="11" t="s">
        <v>39</v>
      </c>
      <c r="C8" s="14" t="s">
        <v>113</v>
      </c>
      <c r="D8" s="15" t="s">
        <v>115</v>
      </c>
      <c r="E8" s="15" t="s">
        <v>117</v>
      </c>
      <c r="F8" s="13"/>
      <c r="G8" s="17"/>
      <c r="H8" s="13"/>
      <c r="I8" s="17"/>
      <c r="J8" s="13"/>
      <c r="K8" s="17"/>
      <c r="L8" s="13"/>
      <c r="M8" s="17"/>
      <c r="N8" s="13"/>
      <c r="O8" s="17"/>
      <c r="P8" s="13"/>
    </row>
    <row r="9">
      <c r="A9" s="11" t="s">
        <v>126</v>
      </c>
      <c r="B9" s="11" t="s">
        <v>39</v>
      </c>
      <c r="C9" s="14" t="s">
        <v>128</v>
      </c>
      <c r="D9" s="15" t="s">
        <v>129</v>
      </c>
      <c r="E9" s="15" t="s">
        <v>134</v>
      </c>
      <c r="F9" s="13"/>
      <c r="G9" s="17"/>
      <c r="H9" s="13"/>
      <c r="I9" s="17"/>
      <c r="J9" s="13"/>
      <c r="K9" s="17"/>
      <c r="L9" s="13"/>
      <c r="M9" s="17"/>
      <c r="N9" s="13"/>
      <c r="O9" s="17"/>
      <c r="P9" s="13"/>
    </row>
    <row r="10">
      <c r="A10" s="11" t="s">
        <v>141</v>
      </c>
      <c r="B10" s="11" t="s">
        <v>142</v>
      </c>
      <c r="C10" s="14" t="s">
        <v>143</v>
      </c>
      <c r="D10" s="15" t="s">
        <v>146</v>
      </c>
      <c r="E10" s="15" t="s">
        <v>149</v>
      </c>
      <c r="F10" s="13"/>
      <c r="G10" s="17"/>
      <c r="H10" s="13"/>
      <c r="I10" s="17"/>
      <c r="J10" s="13"/>
      <c r="K10" s="17"/>
      <c r="L10" s="13"/>
      <c r="M10" s="17"/>
      <c r="N10" s="13"/>
      <c r="O10" s="17"/>
      <c r="P10" s="13"/>
    </row>
    <row r="11">
      <c r="A11" s="11" t="s">
        <v>161</v>
      </c>
      <c r="B11" s="11" t="s">
        <v>142</v>
      </c>
      <c r="C11" s="14" t="s">
        <v>163</v>
      </c>
      <c r="D11" s="15" t="s">
        <v>164</v>
      </c>
      <c r="E11" s="15" t="s">
        <v>166</v>
      </c>
      <c r="F11" s="13"/>
      <c r="G11" s="17"/>
      <c r="H11" s="13"/>
      <c r="I11" s="17"/>
      <c r="J11" s="13"/>
      <c r="K11" s="17"/>
      <c r="L11" s="13"/>
      <c r="M11" s="17"/>
      <c r="N11" s="13"/>
      <c r="O11" s="17"/>
      <c r="P11" s="13"/>
    </row>
    <row r="12">
      <c r="A12" s="11" t="s">
        <v>173</v>
      </c>
      <c r="B12" s="11" t="s">
        <v>142</v>
      </c>
      <c r="C12" s="14" t="s">
        <v>174</v>
      </c>
      <c r="D12" s="15" t="s">
        <v>175</v>
      </c>
      <c r="E12" s="15" t="s">
        <v>177</v>
      </c>
      <c r="F12" s="13"/>
      <c r="G12" s="17"/>
      <c r="H12" s="13"/>
      <c r="I12" s="17"/>
      <c r="J12" s="13"/>
      <c r="K12" s="17"/>
      <c r="L12" s="13"/>
      <c r="M12" s="17"/>
      <c r="N12" s="13"/>
      <c r="O12" s="17"/>
      <c r="P12" s="13"/>
    </row>
    <row r="13">
      <c r="A13" s="11" t="s">
        <v>181</v>
      </c>
      <c r="B13" s="11" t="s">
        <v>182</v>
      </c>
      <c r="C13" s="14" t="s">
        <v>183</v>
      </c>
      <c r="D13" s="15" t="s">
        <v>184</v>
      </c>
      <c r="E13" s="15" t="s">
        <v>185</v>
      </c>
      <c r="F13" s="13"/>
      <c r="G13" s="17"/>
      <c r="H13" s="13"/>
      <c r="I13" s="17"/>
      <c r="J13" s="13"/>
      <c r="K13" s="17"/>
      <c r="L13" s="13"/>
      <c r="M13" s="17"/>
      <c r="N13" s="13"/>
      <c r="O13" s="17"/>
      <c r="P13" s="13"/>
    </row>
    <row r="14">
      <c r="A14" s="11" t="s">
        <v>186</v>
      </c>
      <c r="B14" s="11" t="s">
        <v>182</v>
      </c>
      <c r="C14" s="14" t="s">
        <v>187</v>
      </c>
      <c r="D14" s="15" t="s">
        <v>189</v>
      </c>
      <c r="E14" s="15" t="s">
        <v>190</v>
      </c>
      <c r="F14" s="13"/>
      <c r="G14" s="17"/>
      <c r="H14" s="13"/>
      <c r="I14" s="17"/>
      <c r="J14" s="13"/>
      <c r="K14" s="17"/>
      <c r="L14" s="13"/>
      <c r="M14" s="17"/>
      <c r="N14" s="13"/>
      <c r="O14" s="17"/>
      <c r="P14" s="13"/>
    </row>
    <row r="15">
      <c r="A15" s="11" t="s">
        <v>194</v>
      </c>
      <c r="B15" s="11" t="s">
        <v>195</v>
      </c>
      <c r="C15" s="14" t="s">
        <v>196</v>
      </c>
      <c r="D15" s="15" t="s">
        <v>197</v>
      </c>
      <c r="E15" s="15" t="s">
        <v>198</v>
      </c>
      <c r="F15" s="13"/>
      <c r="G15" s="17"/>
      <c r="H15" s="13"/>
      <c r="I15" s="17"/>
      <c r="J15" s="13"/>
      <c r="K15" s="17"/>
      <c r="L15" s="13"/>
      <c r="M15" s="17"/>
      <c r="N15" s="13"/>
      <c r="O15" s="17"/>
      <c r="P15" s="13"/>
    </row>
    <row r="16">
      <c r="A16" s="11" t="s">
        <v>204</v>
      </c>
      <c r="B16" s="11" t="s">
        <v>195</v>
      </c>
      <c r="C16" s="14" t="s">
        <v>205</v>
      </c>
      <c r="D16" s="15" t="s">
        <v>206</v>
      </c>
      <c r="E16" s="15" t="s">
        <v>207</v>
      </c>
      <c r="F16" s="13"/>
      <c r="G16" s="17"/>
      <c r="H16" s="13"/>
      <c r="I16" s="17"/>
      <c r="J16" s="13"/>
      <c r="K16" s="17"/>
      <c r="L16" s="13"/>
      <c r="M16" s="17"/>
      <c r="N16" s="13"/>
      <c r="O16" s="17"/>
      <c r="P16" s="13"/>
    </row>
    <row r="17">
      <c r="A17" s="11" t="s">
        <v>212</v>
      </c>
      <c r="B17" s="11" t="s">
        <v>195</v>
      </c>
      <c r="C17" s="14" t="s">
        <v>213</v>
      </c>
      <c r="D17" s="15" t="s">
        <v>214</v>
      </c>
      <c r="E17" s="15" t="s">
        <v>215</v>
      </c>
      <c r="F17" s="13"/>
      <c r="G17" s="17"/>
      <c r="H17" s="13"/>
      <c r="I17" s="17"/>
      <c r="J17" s="13"/>
      <c r="K17" s="17"/>
      <c r="L17" s="13"/>
      <c r="M17" s="17"/>
      <c r="N17" s="13"/>
      <c r="O17" s="17"/>
      <c r="P17" s="13"/>
    </row>
    <row r="18">
      <c r="A18" s="11" t="s">
        <v>217</v>
      </c>
      <c r="B18" s="11" t="s">
        <v>219</v>
      </c>
      <c r="C18" s="14" t="s">
        <v>220</v>
      </c>
      <c r="D18" s="15" t="s">
        <v>222</v>
      </c>
      <c r="E18" s="15" t="s">
        <v>224</v>
      </c>
      <c r="F18" s="13"/>
      <c r="G18" s="17"/>
      <c r="H18" s="13"/>
      <c r="I18" s="17"/>
      <c r="J18" s="13"/>
      <c r="K18" s="17"/>
      <c r="L18" s="13"/>
      <c r="M18" s="17"/>
      <c r="N18" s="13"/>
      <c r="O18" s="17"/>
      <c r="P18" s="13"/>
    </row>
    <row r="19">
      <c r="A19" s="11" t="s">
        <v>227</v>
      </c>
      <c r="B19" s="11" t="s">
        <v>219</v>
      </c>
      <c r="C19" s="14" t="s">
        <v>230</v>
      </c>
      <c r="D19" s="15" t="s">
        <v>232</v>
      </c>
      <c r="E19" s="15" t="s">
        <v>233</v>
      </c>
      <c r="F19" s="13"/>
      <c r="G19" s="17"/>
      <c r="H19" s="13"/>
      <c r="I19" s="17"/>
      <c r="J19" s="13"/>
      <c r="K19" s="17"/>
      <c r="L19" s="13"/>
      <c r="M19" s="17"/>
      <c r="N19" s="13"/>
      <c r="O19" s="17"/>
      <c r="P19" s="13"/>
    </row>
    <row r="20">
      <c r="A20" s="11" t="s">
        <v>236</v>
      </c>
      <c r="B20" s="11" t="s">
        <v>237</v>
      </c>
      <c r="C20" s="14" t="s">
        <v>239</v>
      </c>
      <c r="D20" s="15" t="s">
        <v>240</v>
      </c>
      <c r="E20" s="15" t="s">
        <v>242</v>
      </c>
      <c r="F20" s="13"/>
      <c r="G20" s="17"/>
      <c r="H20" s="13"/>
      <c r="I20" s="17"/>
      <c r="J20" s="13"/>
      <c r="K20" s="17"/>
      <c r="L20" s="13"/>
      <c r="M20" s="17"/>
      <c r="N20" s="13"/>
      <c r="O20" s="17"/>
      <c r="P20" s="13"/>
    </row>
    <row r="21" ht="15.75" customHeight="1">
      <c r="A21" s="11" t="s">
        <v>245</v>
      </c>
      <c r="B21" s="11" t="s">
        <v>237</v>
      </c>
      <c r="C21" s="14" t="s">
        <v>246</v>
      </c>
      <c r="D21" s="15" t="s">
        <v>247</v>
      </c>
      <c r="E21" s="15" t="s">
        <v>249</v>
      </c>
      <c r="F21" s="13"/>
      <c r="G21" s="17"/>
      <c r="H21" s="13"/>
      <c r="I21" s="17"/>
      <c r="J21" s="13"/>
      <c r="K21" s="17"/>
      <c r="L21" s="13"/>
      <c r="M21" s="17"/>
      <c r="N21" s="13"/>
      <c r="O21" s="17"/>
      <c r="P21" s="13"/>
    </row>
    <row r="22" ht="15.75" customHeight="1">
      <c r="A22" s="11" t="s">
        <v>258</v>
      </c>
      <c r="B22" s="11" t="s">
        <v>259</v>
      </c>
      <c r="C22" s="14" t="s">
        <v>260</v>
      </c>
      <c r="D22" s="15" t="s">
        <v>262</v>
      </c>
      <c r="E22" s="15" t="s">
        <v>263</v>
      </c>
      <c r="F22" s="13"/>
      <c r="G22" s="17"/>
      <c r="H22" s="13"/>
      <c r="I22" s="17"/>
      <c r="J22" s="13"/>
      <c r="K22" s="17"/>
      <c r="L22" s="13"/>
      <c r="M22" s="17"/>
      <c r="N22" s="13"/>
      <c r="O22" s="17"/>
      <c r="P22" s="1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22"/>
  <mergeCells count="2">
    <mergeCell ref="A1:P1"/>
    <mergeCell ref="A2:P2"/>
  </mergeCells>
  <dataValidations>
    <dataValidation type="list" allowBlank="1" sqref="G4:G22 I4:I22 K4:K22 M4:M22">
      <formula1>"0,1,2,3,N/A"</formula1>
    </dataValidation>
    <dataValidation type="list" allowBlank="1" sqref="O4:O22">
      <formula1>"High,Medium,Low"</formula1>
    </dataValidation>
  </dataValidation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0"/>
    <col customWidth="1" min="2" max="2" width="24.0"/>
    <col customWidth="1" min="3" max="3" width="44.0"/>
    <col customWidth="1" min="4" max="4" width="62.0"/>
    <col customWidth="1" min="5" max="5" width="52.0"/>
    <col customWidth="1" min="6" max="6" width="40.0"/>
    <col customWidth="1" min="7" max="7" width="16.71"/>
    <col customWidth="1" hidden="1" min="8" max="8" width="40.0"/>
    <col customWidth="1" hidden="1" min="9" max="9" width="15.71"/>
    <col customWidth="1" hidden="1" min="10" max="10" width="40.0"/>
    <col customWidth="1" hidden="1" min="11" max="11" width="12.57"/>
    <col customWidth="1" min="12" max="12" width="40.0"/>
    <col customWidth="1" min="13" max="13" width="7.0"/>
    <col customWidth="1" min="14" max="14" width="46.0"/>
    <col customWidth="1" min="15" max="15" width="10.0"/>
    <col customWidth="1" min="16" max="16" width="46.0"/>
    <col customWidth="1" min="17" max="26" width="8.71"/>
  </cols>
  <sheetData>
    <row r="1" ht="25.5" customHeight="1">
      <c r="A1" s="1" t="s">
        <v>6</v>
      </c>
      <c r="B1" s="2"/>
      <c r="C1" s="2"/>
      <c r="D1" s="2"/>
      <c r="E1" s="2"/>
      <c r="F1" s="2"/>
      <c r="G1" s="2"/>
      <c r="H1" s="2"/>
      <c r="I1" s="2"/>
      <c r="J1" s="2"/>
      <c r="K1" s="2"/>
      <c r="L1" s="2"/>
      <c r="M1" s="2"/>
      <c r="N1" s="2"/>
      <c r="O1" s="2"/>
      <c r="P1" s="3"/>
    </row>
    <row r="2" ht="18.0" customHeight="1">
      <c r="A2" s="4" t="s">
        <v>20</v>
      </c>
      <c r="B2" s="2"/>
      <c r="C2" s="2"/>
      <c r="D2" s="2"/>
      <c r="E2" s="2"/>
      <c r="F2" s="2"/>
      <c r="G2" s="2"/>
      <c r="H2" s="2"/>
      <c r="I2" s="2"/>
      <c r="J2" s="2"/>
      <c r="K2" s="2"/>
      <c r="L2" s="2"/>
      <c r="M2" s="2"/>
      <c r="N2" s="2"/>
      <c r="O2" s="2"/>
      <c r="P2" s="3"/>
    </row>
    <row r="3" ht="33.75" customHeight="1">
      <c r="A3" s="5" t="s">
        <v>9</v>
      </c>
      <c r="B3" s="5" t="s">
        <v>10</v>
      </c>
      <c r="C3" s="5" t="s">
        <v>12</v>
      </c>
      <c r="D3" s="5" t="s">
        <v>14</v>
      </c>
      <c r="E3" s="5" t="s">
        <v>16</v>
      </c>
      <c r="F3" s="7" t="s">
        <v>18</v>
      </c>
      <c r="G3" s="7" t="s">
        <v>22</v>
      </c>
      <c r="H3" s="7" t="s">
        <v>25</v>
      </c>
      <c r="I3" s="7" t="s">
        <v>22</v>
      </c>
      <c r="J3" s="7" t="s">
        <v>28</v>
      </c>
      <c r="K3" s="7" t="s">
        <v>22</v>
      </c>
      <c r="L3" s="7" t="s">
        <v>29</v>
      </c>
      <c r="M3" s="7" t="s">
        <v>22</v>
      </c>
      <c r="N3" s="7" t="s">
        <v>33</v>
      </c>
      <c r="O3" s="7" t="s">
        <v>35</v>
      </c>
      <c r="P3" s="7" t="s">
        <v>37</v>
      </c>
    </row>
    <row r="4">
      <c r="A4" s="11" t="s">
        <v>51</v>
      </c>
      <c r="B4" s="11" t="s">
        <v>54</v>
      </c>
      <c r="C4" s="14" t="s">
        <v>55</v>
      </c>
      <c r="D4" s="15" t="s">
        <v>56</v>
      </c>
      <c r="E4" s="15" t="s">
        <v>58</v>
      </c>
      <c r="F4" s="13"/>
      <c r="G4" s="17"/>
      <c r="H4" s="13"/>
      <c r="I4" s="17"/>
      <c r="J4" s="13"/>
      <c r="K4" s="17"/>
      <c r="L4" s="13"/>
      <c r="M4" s="17"/>
      <c r="N4" s="13"/>
      <c r="O4" s="17"/>
      <c r="P4" s="13"/>
    </row>
    <row r="5">
      <c r="A5" s="11" t="s">
        <v>71</v>
      </c>
      <c r="B5" s="11" t="s">
        <v>54</v>
      </c>
      <c r="C5" s="14" t="s">
        <v>75</v>
      </c>
      <c r="D5" s="15" t="s">
        <v>76</v>
      </c>
      <c r="E5" s="15" t="s">
        <v>79</v>
      </c>
      <c r="F5" s="13"/>
      <c r="G5" s="17"/>
      <c r="H5" s="13"/>
      <c r="I5" s="17"/>
      <c r="J5" s="13"/>
      <c r="K5" s="17"/>
      <c r="L5" s="13"/>
      <c r="M5" s="17"/>
      <c r="N5" s="13"/>
      <c r="O5" s="17"/>
      <c r="P5" s="13"/>
    </row>
    <row r="6">
      <c r="A6" s="11" t="s">
        <v>93</v>
      </c>
      <c r="B6" s="11" t="s">
        <v>54</v>
      </c>
      <c r="C6" s="14" t="s">
        <v>94</v>
      </c>
      <c r="D6" s="15" t="s">
        <v>97</v>
      </c>
      <c r="E6" s="15" t="s">
        <v>99</v>
      </c>
      <c r="F6" s="13"/>
      <c r="G6" s="17"/>
      <c r="H6" s="13"/>
      <c r="I6" s="17"/>
      <c r="J6" s="13"/>
      <c r="K6" s="17"/>
      <c r="L6" s="13"/>
      <c r="M6" s="17"/>
      <c r="N6" s="13"/>
      <c r="O6" s="17"/>
      <c r="P6" s="13"/>
    </row>
    <row r="7">
      <c r="A7" s="11" t="s">
        <v>110</v>
      </c>
      <c r="B7" s="11" t="s">
        <v>54</v>
      </c>
      <c r="C7" s="14" t="s">
        <v>104</v>
      </c>
      <c r="D7" s="15" t="s">
        <v>116</v>
      </c>
      <c r="E7" s="15" t="s">
        <v>118</v>
      </c>
      <c r="F7" s="13"/>
      <c r="G7" s="17"/>
      <c r="H7" s="13"/>
      <c r="I7" s="17"/>
      <c r="J7" s="13"/>
      <c r="K7" s="17"/>
      <c r="L7" s="13"/>
      <c r="M7" s="17"/>
      <c r="N7" s="13"/>
      <c r="O7" s="17"/>
      <c r="P7" s="13"/>
    </row>
    <row r="8">
      <c r="A8" s="11" t="s">
        <v>127</v>
      </c>
      <c r="B8" s="11" t="s">
        <v>54</v>
      </c>
      <c r="C8" s="14" t="s">
        <v>132</v>
      </c>
      <c r="D8" s="15" t="s">
        <v>135</v>
      </c>
      <c r="E8" s="15" t="s">
        <v>136</v>
      </c>
      <c r="F8" s="13"/>
      <c r="G8" s="17"/>
      <c r="H8" s="13"/>
      <c r="I8" s="17"/>
      <c r="J8" s="13"/>
      <c r="K8" s="17"/>
      <c r="L8" s="13"/>
      <c r="M8" s="17"/>
      <c r="N8" s="13"/>
      <c r="O8" s="17"/>
      <c r="P8" s="13"/>
    </row>
    <row r="9">
      <c r="A9" s="11" t="s">
        <v>145</v>
      </c>
      <c r="B9" s="11" t="s">
        <v>148</v>
      </c>
      <c r="C9" s="14" t="s">
        <v>152</v>
      </c>
      <c r="D9" s="15" t="s">
        <v>154</v>
      </c>
      <c r="E9" s="15" t="s">
        <v>155</v>
      </c>
      <c r="F9" s="13"/>
      <c r="G9" s="17"/>
      <c r="H9" s="13"/>
      <c r="I9" s="17"/>
      <c r="J9" s="13"/>
      <c r="K9" s="17"/>
      <c r="L9" s="13"/>
      <c r="M9" s="17"/>
      <c r="N9" s="13"/>
      <c r="O9" s="17"/>
      <c r="P9" s="13"/>
    </row>
    <row r="10">
      <c r="A10" s="11" t="s">
        <v>162</v>
      </c>
      <c r="B10" s="11" t="s">
        <v>148</v>
      </c>
      <c r="C10" s="14" t="s">
        <v>167</v>
      </c>
      <c r="D10" s="15" t="s">
        <v>169</v>
      </c>
      <c r="E10" s="15" t="s">
        <v>170</v>
      </c>
      <c r="F10" s="13"/>
      <c r="G10" s="17"/>
      <c r="H10" s="13"/>
      <c r="I10" s="17"/>
      <c r="J10" s="13"/>
      <c r="K10" s="17"/>
      <c r="L10" s="13"/>
      <c r="M10" s="17"/>
      <c r="N10" s="13"/>
      <c r="O10" s="17"/>
      <c r="P10" s="13"/>
    </row>
    <row r="11">
      <c r="A11" s="11" t="s">
        <v>176</v>
      </c>
      <c r="B11" s="11" t="s">
        <v>148</v>
      </c>
      <c r="C11" s="14" t="s">
        <v>178</v>
      </c>
      <c r="D11" s="15" t="s">
        <v>179</v>
      </c>
      <c r="E11" s="15" t="s">
        <v>180</v>
      </c>
      <c r="F11" s="13"/>
      <c r="G11" s="17"/>
      <c r="H11" s="13"/>
      <c r="I11" s="17"/>
      <c r="J11" s="13"/>
      <c r="K11" s="17"/>
      <c r="L11" s="13"/>
      <c r="M11" s="17"/>
      <c r="N11" s="13"/>
      <c r="O11" s="17"/>
      <c r="P11" s="13"/>
    </row>
    <row r="12">
      <c r="A12" s="11" t="s">
        <v>188</v>
      </c>
      <c r="B12" s="11" t="s">
        <v>148</v>
      </c>
      <c r="C12" s="14" t="s">
        <v>191</v>
      </c>
      <c r="D12" s="15" t="s">
        <v>192</v>
      </c>
      <c r="E12" s="15" t="s">
        <v>193</v>
      </c>
      <c r="F12" s="13"/>
      <c r="G12" s="17"/>
      <c r="H12" s="13"/>
      <c r="I12" s="17"/>
      <c r="J12" s="13"/>
      <c r="K12" s="17"/>
      <c r="L12" s="13"/>
      <c r="M12" s="17"/>
      <c r="N12" s="13"/>
      <c r="O12" s="17"/>
      <c r="P12" s="13"/>
    </row>
    <row r="13">
      <c r="A13" s="11" t="s">
        <v>199</v>
      </c>
      <c r="B13" s="11" t="s">
        <v>200</v>
      </c>
      <c r="C13" s="14" t="s">
        <v>201</v>
      </c>
      <c r="D13" s="15" t="s">
        <v>202</v>
      </c>
      <c r="E13" s="15" t="s">
        <v>203</v>
      </c>
      <c r="F13" s="13"/>
      <c r="G13" s="17"/>
      <c r="H13" s="13"/>
      <c r="I13" s="17"/>
      <c r="J13" s="13"/>
      <c r="K13" s="17"/>
      <c r="L13" s="13"/>
      <c r="M13" s="17"/>
      <c r="N13" s="13"/>
      <c r="O13" s="17"/>
      <c r="P13" s="13"/>
    </row>
    <row r="14">
      <c r="A14" s="11" t="s">
        <v>208</v>
      </c>
      <c r="B14" s="11" t="s">
        <v>200</v>
      </c>
      <c r="C14" s="14" t="s">
        <v>209</v>
      </c>
      <c r="D14" s="15" t="s">
        <v>210</v>
      </c>
      <c r="E14" s="15" t="s">
        <v>211</v>
      </c>
      <c r="F14" s="13"/>
      <c r="G14" s="17"/>
      <c r="H14" s="13"/>
      <c r="I14" s="17"/>
      <c r="J14" s="13"/>
      <c r="K14" s="17"/>
      <c r="L14" s="13"/>
      <c r="M14" s="17"/>
      <c r="N14" s="13"/>
      <c r="O14" s="17"/>
      <c r="P14" s="13"/>
    </row>
    <row r="15">
      <c r="A15" s="11" t="s">
        <v>216</v>
      </c>
      <c r="B15" s="11" t="s">
        <v>200</v>
      </c>
      <c r="C15" s="14" t="s">
        <v>218</v>
      </c>
      <c r="D15" s="15" t="s">
        <v>221</v>
      </c>
      <c r="E15" s="15" t="s">
        <v>223</v>
      </c>
      <c r="F15" s="13"/>
      <c r="G15" s="17"/>
      <c r="H15" s="13"/>
      <c r="I15" s="17"/>
      <c r="J15" s="13"/>
      <c r="K15" s="17"/>
      <c r="L15" s="13"/>
      <c r="M15" s="17"/>
      <c r="N15" s="13"/>
      <c r="O15" s="17"/>
      <c r="P15" s="13"/>
    </row>
    <row r="16">
      <c r="A16" s="11" t="s">
        <v>226</v>
      </c>
      <c r="B16" s="11" t="s">
        <v>228</v>
      </c>
      <c r="C16" s="14" t="s">
        <v>229</v>
      </c>
      <c r="D16" s="15" t="s">
        <v>231</v>
      </c>
      <c r="E16" s="15" t="s">
        <v>234</v>
      </c>
      <c r="F16" s="13"/>
      <c r="G16" s="17"/>
      <c r="H16" s="13"/>
      <c r="I16" s="17"/>
      <c r="J16" s="13"/>
      <c r="K16" s="17"/>
      <c r="L16" s="13"/>
      <c r="M16" s="17"/>
      <c r="N16" s="13"/>
      <c r="O16" s="17"/>
      <c r="P16" s="13"/>
    </row>
    <row r="17">
      <c r="A17" s="11" t="s">
        <v>238</v>
      </c>
      <c r="B17" s="11" t="s">
        <v>228</v>
      </c>
      <c r="C17" s="14" t="s">
        <v>241</v>
      </c>
      <c r="D17" s="15" t="s">
        <v>243</v>
      </c>
      <c r="E17" s="15" t="s">
        <v>244</v>
      </c>
      <c r="F17" s="13"/>
      <c r="G17" s="17"/>
      <c r="H17" s="13"/>
      <c r="I17" s="17"/>
      <c r="J17" s="13"/>
      <c r="K17" s="17"/>
      <c r="L17" s="13"/>
      <c r="M17" s="17"/>
      <c r="N17" s="13"/>
      <c r="O17" s="17"/>
      <c r="P17" s="13"/>
    </row>
    <row r="18">
      <c r="A18" s="11" t="s">
        <v>248</v>
      </c>
      <c r="B18" s="11" t="s">
        <v>228</v>
      </c>
      <c r="C18" s="14" t="s">
        <v>251</v>
      </c>
      <c r="D18" s="15" t="s">
        <v>252</v>
      </c>
      <c r="E18" s="15" t="s">
        <v>255</v>
      </c>
      <c r="F18" s="13"/>
      <c r="G18" s="17"/>
      <c r="H18" s="13"/>
      <c r="I18" s="17"/>
      <c r="J18" s="13"/>
      <c r="K18" s="17"/>
      <c r="L18" s="13"/>
      <c r="M18" s="17"/>
      <c r="N18" s="13"/>
      <c r="O18" s="17"/>
      <c r="P18" s="13"/>
    </row>
    <row r="19">
      <c r="A19" s="11" t="s">
        <v>264</v>
      </c>
      <c r="B19" s="11" t="s">
        <v>265</v>
      </c>
      <c r="C19" s="14" t="s">
        <v>266</v>
      </c>
      <c r="D19" s="15" t="s">
        <v>267</v>
      </c>
      <c r="E19" s="15" t="s">
        <v>268</v>
      </c>
      <c r="F19" s="13"/>
      <c r="G19" s="17"/>
      <c r="H19" s="13"/>
      <c r="I19" s="17"/>
      <c r="J19" s="13"/>
      <c r="K19" s="17"/>
      <c r="L19" s="13"/>
      <c r="M19" s="17"/>
      <c r="N19" s="13"/>
      <c r="O19" s="17"/>
      <c r="P19" s="13"/>
    </row>
    <row r="20">
      <c r="A20" s="11" t="s">
        <v>273</v>
      </c>
      <c r="B20" s="11" t="s">
        <v>265</v>
      </c>
      <c r="C20" s="14" t="s">
        <v>274</v>
      </c>
      <c r="D20" s="15" t="s">
        <v>275</v>
      </c>
      <c r="E20" s="15" t="s">
        <v>276</v>
      </c>
      <c r="F20" s="13"/>
      <c r="G20" s="17"/>
      <c r="H20" s="13"/>
      <c r="I20" s="17"/>
      <c r="J20" s="13"/>
      <c r="K20" s="17"/>
      <c r="L20" s="13"/>
      <c r="M20" s="17"/>
      <c r="N20" s="13"/>
      <c r="O20" s="17"/>
      <c r="P20" s="13"/>
    </row>
    <row r="21" ht="15.75" customHeight="1">
      <c r="A21" s="11" t="s">
        <v>285</v>
      </c>
      <c r="B21" s="11" t="s">
        <v>287</v>
      </c>
      <c r="C21" s="14" t="s">
        <v>288</v>
      </c>
      <c r="D21" s="15" t="s">
        <v>289</v>
      </c>
      <c r="E21" s="15" t="s">
        <v>290</v>
      </c>
      <c r="F21" s="13"/>
      <c r="G21" s="17"/>
      <c r="H21" s="13"/>
      <c r="I21" s="17"/>
      <c r="J21" s="13"/>
      <c r="K21" s="17"/>
      <c r="L21" s="13"/>
      <c r="M21" s="17"/>
      <c r="N21" s="13"/>
      <c r="O21" s="17"/>
      <c r="P21" s="13"/>
    </row>
    <row r="22" ht="15.75" customHeight="1">
      <c r="A22" s="11" t="s">
        <v>297</v>
      </c>
      <c r="B22" s="11" t="s">
        <v>287</v>
      </c>
      <c r="C22" s="14" t="s">
        <v>300</v>
      </c>
      <c r="D22" s="15" t="s">
        <v>301</v>
      </c>
      <c r="E22" s="15" t="s">
        <v>223</v>
      </c>
      <c r="F22" s="13"/>
      <c r="G22" s="17"/>
      <c r="H22" s="13"/>
      <c r="I22" s="17"/>
      <c r="J22" s="13"/>
      <c r="K22" s="17"/>
      <c r="L22" s="13"/>
      <c r="M22" s="17"/>
      <c r="N22" s="13"/>
      <c r="O22" s="17"/>
      <c r="P22" s="13"/>
    </row>
    <row r="23" ht="15.75" customHeight="1">
      <c r="A23" s="11" t="s">
        <v>308</v>
      </c>
      <c r="B23" s="11" t="s">
        <v>287</v>
      </c>
      <c r="C23" s="14" t="s">
        <v>310</v>
      </c>
      <c r="D23" s="15" t="s">
        <v>312</v>
      </c>
      <c r="E23" s="15" t="s">
        <v>223</v>
      </c>
      <c r="F23" s="13"/>
      <c r="G23" s="17"/>
      <c r="H23" s="13"/>
      <c r="I23" s="17"/>
      <c r="J23" s="13"/>
      <c r="K23" s="17"/>
      <c r="L23" s="13"/>
      <c r="M23" s="17"/>
      <c r="N23" s="13"/>
      <c r="O23" s="17"/>
      <c r="P23" s="13"/>
    </row>
    <row r="24" ht="15.75" customHeight="1">
      <c r="A24" s="11" t="s">
        <v>318</v>
      </c>
      <c r="B24" s="11" t="s">
        <v>287</v>
      </c>
      <c r="C24" s="14" t="s">
        <v>321</v>
      </c>
      <c r="D24" s="15" t="s">
        <v>322</v>
      </c>
      <c r="E24" s="15" t="s">
        <v>223</v>
      </c>
      <c r="F24" s="13"/>
      <c r="G24" s="17"/>
      <c r="H24" s="13"/>
      <c r="I24" s="17"/>
      <c r="J24" s="13"/>
      <c r="K24" s="17"/>
      <c r="L24" s="13"/>
      <c r="M24" s="17"/>
      <c r="N24" s="13"/>
      <c r="O24" s="17"/>
      <c r="P24" s="13"/>
    </row>
    <row r="25" ht="15.75" customHeight="1">
      <c r="A25" s="11" t="s">
        <v>328</v>
      </c>
      <c r="B25" s="11" t="s">
        <v>287</v>
      </c>
      <c r="C25" s="14" t="s">
        <v>332</v>
      </c>
      <c r="D25" s="15" t="s">
        <v>333</v>
      </c>
      <c r="E25" s="15" t="s">
        <v>223</v>
      </c>
      <c r="F25" s="13"/>
      <c r="G25" s="17"/>
      <c r="H25" s="13"/>
      <c r="I25" s="17"/>
      <c r="J25" s="13"/>
      <c r="K25" s="17"/>
      <c r="L25" s="13"/>
      <c r="M25" s="17"/>
      <c r="N25" s="13"/>
      <c r="O25" s="17"/>
      <c r="P25" s="13"/>
    </row>
    <row r="26" ht="15.75" customHeight="1">
      <c r="A26" s="11" t="s">
        <v>338</v>
      </c>
      <c r="B26" s="11" t="s">
        <v>341</v>
      </c>
      <c r="C26" s="14" t="s">
        <v>342</v>
      </c>
      <c r="D26" s="15" t="s">
        <v>344</v>
      </c>
      <c r="E26" s="15" t="s">
        <v>346</v>
      </c>
      <c r="F26" s="13"/>
      <c r="G26" s="17"/>
      <c r="H26" s="13"/>
      <c r="I26" s="17"/>
      <c r="J26" s="13"/>
      <c r="K26" s="17"/>
      <c r="L26" s="13"/>
      <c r="M26" s="17"/>
      <c r="N26" s="13"/>
      <c r="O26" s="17"/>
      <c r="P26" s="13"/>
    </row>
    <row r="27" ht="15.75" customHeight="1">
      <c r="A27" s="11" t="s">
        <v>348</v>
      </c>
      <c r="B27" s="11" t="s">
        <v>341</v>
      </c>
      <c r="C27" s="14" t="s">
        <v>351</v>
      </c>
      <c r="D27" s="15" t="s">
        <v>353</v>
      </c>
      <c r="E27" s="15" t="s">
        <v>355</v>
      </c>
      <c r="F27" s="13"/>
      <c r="G27" s="17"/>
      <c r="H27" s="13"/>
      <c r="I27" s="17"/>
      <c r="J27" s="13"/>
      <c r="K27" s="17"/>
      <c r="L27" s="13"/>
      <c r="M27" s="17"/>
      <c r="N27" s="13"/>
      <c r="O27" s="17"/>
      <c r="P27" s="1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27"/>
  <mergeCells count="2">
    <mergeCell ref="A1:P1"/>
    <mergeCell ref="A2:P2"/>
  </mergeCells>
  <dataValidations>
    <dataValidation type="list" allowBlank="1" sqref="G4:G27 I4:I27 K4:K27 M4:M27">
      <formula1>"0,1,2,3,N/A"</formula1>
    </dataValidation>
    <dataValidation type="list" allowBlank="1" sqref="O4:O27">
      <formula1>"High,Medium,Low"</formula1>
    </dataValidation>
  </dataValidation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4.0"/>
    <col customWidth="1" min="3" max="3" width="44.0"/>
    <col customWidth="1" min="4" max="4" width="62.0"/>
    <col customWidth="1" min="5" max="5" width="52.0"/>
    <col customWidth="1" min="6" max="6" width="40.0"/>
    <col customWidth="1" min="7" max="7" width="7.0"/>
    <col customWidth="1" min="8" max="8" width="40.0"/>
    <col customWidth="1" min="9" max="9" width="7.0"/>
    <col customWidth="1" min="10" max="10" width="40.0"/>
    <col customWidth="1" min="11" max="11" width="7.0"/>
    <col customWidth="1" min="12" max="12" width="40.0"/>
    <col customWidth="1" min="13" max="13" width="7.0"/>
    <col customWidth="1" min="14" max="14" width="46.0"/>
    <col customWidth="1" min="15" max="15" width="10.0"/>
    <col customWidth="1" min="16" max="16" width="46.0"/>
    <col customWidth="1" min="17" max="26" width="8.71"/>
  </cols>
  <sheetData>
    <row r="1" ht="25.5" customHeight="1">
      <c r="A1" s="1" t="s">
        <v>225</v>
      </c>
      <c r="B1" s="2"/>
      <c r="C1" s="2"/>
      <c r="D1" s="2"/>
      <c r="E1" s="2"/>
      <c r="F1" s="2"/>
      <c r="G1" s="2"/>
      <c r="H1" s="2"/>
      <c r="I1" s="2"/>
      <c r="J1" s="2"/>
      <c r="K1" s="2"/>
      <c r="L1" s="2"/>
      <c r="M1" s="2"/>
      <c r="N1" s="2"/>
      <c r="O1" s="2"/>
      <c r="P1" s="3"/>
    </row>
    <row r="2" ht="18.0" customHeight="1">
      <c r="A2" s="4" t="s">
        <v>235</v>
      </c>
      <c r="B2" s="2"/>
      <c r="C2" s="2"/>
      <c r="D2" s="2"/>
      <c r="E2" s="2"/>
      <c r="F2" s="2"/>
      <c r="G2" s="2"/>
      <c r="H2" s="2"/>
      <c r="I2" s="2"/>
      <c r="J2" s="2"/>
      <c r="K2" s="2"/>
      <c r="L2" s="2"/>
      <c r="M2" s="2"/>
      <c r="N2" s="2"/>
      <c r="O2" s="2"/>
      <c r="P2" s="3"/>
    </row>
    <row r="3" ht="33.75" customHeight="1">
      <c r="A3" s="5" t="s">
        <v>9</v>
      </c>
      <c r="B3" s="5" t="s">
        <v>10</v>
      </c>
      <c r="C3" s="5" t="s">
        <v>12</v>
      </c>
      <c r="D3" s="5" t="s">
        <v>14</v>
      </c>
      <c r="E3" s="5" t="s">
        <v>16</v>
      </c>
      <c r="F3" s="7" t="s">
        <v>18</v>
      </c>
      <c r="G3" s="7" t="s">
        <v>22</v>
      </c>
      <c r="H3" s="7" t="s">
        <v>25</v>
      </c>
      <c r="I3" s="7" t="s">
        <v>22</v>
      </c>
      <c r="J3" s="7" t="s">
        <v>28</v>
      </c>
      <c r="K3" s="7" t="s">
        <v>22</v>
      </c>
      <c r="L3" s="7" t="s">
        <v>29</v>
      </c>
      <c r="M3" s="7" t="s">
        <v>22</v>
      </c>
      <c r="N3" s="7" t="s">
        <v>33</v>
      </c>
      <c r="O3" s="7" t="s">
        <v>35</v>
      </c>
      <c r="P3" s="7" t="s">
        <v>37</v>
      </c>
    </row>
    <row r="4">
      <c r="A4" s="11" t="s">
        <v>250</v>
      </c>
      <c r="B4" s="11" t="s">
        <v>54</v>
      </c>
      <c r="C4" s="14" t="s">
        <v>254</v>
      </c>
      <c r="D4" s="15" t="s">
        <v>256</v>
      </c>
      <c r="E4" s="15" t="s">
        <v>257</v>
      </c>
      <c r="F4" s="13"/>
      <c r="G4" s="17"/>
      <c r="H4" s="13"/>
      <c r="I4" s="17"/>
      <c r="J4" s="13"/>
      <c r="K4" s="17"/>
      <c r="L4" s="13"/>
      <c r="M4" s="17"/>
      <c r="N4" s="13"/>
      <c r="O4" s="17"/>
      <c r="P4" s="13"/>
    </row>
    <row r="5">
      <c r="A5" s="11" t="s">
        <v>269</v>
      </c>
      <c r="B5" s="11" t="s">
        <v>54</v>
      </c>
      <c r="C5" s="14" t="s">
        <v>270</v>
      </c>
      <c r="D5" s="15" t="s">
        <v>271</v>
      </c>
      <c r="E5" s="15" t="s">
        <v>272</v>
      </c>
      <c r="F5" s="13"/>
      <c r="G5" s="17"/>
      <c r="H5" s="13"/>
      <c r="I5" s="17"/>
      <c r="J5" s="13"/>
      <c r="K5" s="17"/>
      <c r="L5" s="13"/>
      <c r="M5" s="17"/>
      <c r="N5" s="13"/>
      <c r="O5" s="17"/>
      <c r="P5" s="13"/>
    </row>
    <row r="6">
      <c r="A6" s="11" t="s">
        <v>277</v>
      </c>
      <c r="B6" s="11" t="s">
        <v>54</v>
      </c>
      <c r="C6" s="14" t="s">
        <v>278</v>
      </c>
      <c r="D6" s="15" t="s">
        <v>279</v>
      </c>
      <c r="E6" s="15" t="s">
        <v>280</v>
      </c>
      <c r="F6" s="13"/>
      <c r="G6" s="17"/>
      <c r="H6" s="13"/>
      <c r="I6" s="17"/>
      <c r="J6" s="13"/>
      <c r="K6" s="17"/>
      <c r="L6" s="13"/>
      <c r="M6" s="17"/>
      <c r="N6" s="13"/>
      <c r="O6" s="17"/>
      <c r="P6" s="13"/>
    </row>
    <row r="7">
      <c r="A7" s="11" t="s">
        <v>291</v>
      </c>
      <c r="B7" s="11" t="s">
        <v>54</v>
      </c>
      <c r="C7" s="14" t="s">
        <v>292</v>
      </c>
      <c r="D7" s="15" t="s">
        <v>293</v>
      </c>
      <c r="E7" s="15" t="s">
        <v>294</v>
      </c>
      <c r="F7" s="13"/>
      <c r="G7" s="17"/>
      <c r="H7" s="13"/>
      <c r="I7" s="17"/>
      <c r="J7" s="13"/>
      <c r="K7" s="17"/>
      <c r="L7" s="13"/>
      <c r="M7" s="17"/>
      <c r="N7" s="13"/>
      <c r="O7" s="17"/>
      <c r="P7" s="13"/>
    </row>
    <row r="8">
      <c r="A8" s="11" t="s">
        <v>302</v>
      </c>
      <c r="B8" s="11" t="s">
        <v>54</v>
      </c>
      <c r="C8" s="14" t="s">
        <v>303</v>
      </c>
      <c r="D8" s="15" t="s">
        <v>304</v>
      </c>
      <c r="E8" s="15" t="s">
        <v>305</v>
      </c>
      <c r="F8" s="13"/>
      <c r="G8" s="17"/>
      <c r="H8" s="13"/>
      <c r="I8" s="17"/>
      <c r="J8" s="13"/>
      <c r="K8" s="17"/>
      <c r="L8" s="13"/>
      <c r="M8" s="17"/>
      <c r="N8" s="13"/>
      <c r="O8" s="17"/>
      <c r="P8" s="13"/>
    </row>
    <row r="9">
      <c r="A9" s="11" t="s">
        <v>313</v>
      </c>
      <c r="B9" s="11" t="s">
        <v>148</v>
      </c>
      <c r="C9" s="14" t="s">
        <v>314</v>
      </c>
      <c r="D9" s="15" t="s">
        <v>315</v>
      </c>
      <c r="E9" s="15" t="s">
        <v>223</v>
      </c>
      <c r="F9" s="13"/>
      <c r="G9" s="17"/>
      <c r="H9" s="13"/>
      <c r="I9" s="17"/>
      <c r="J9" s="13"/>
      <c r="K9" s="17"/>
      <c r="L9" s="13"/>
      <c r="M9" s="17"/>
      <c r="N9" s="13"/>
      <c r="O9" s="17"/>
      <c r="P9" s="13"/>
    </row>
    <row r="10">
      <c r="A10" s="11" t="s">
        <v>323</v>
      </c>
      <c r="B10" s="11" t="s">
        <v>148</v>
      </c>
      <c r="C10" s="14" t="s">
        <v>324</v>
      </c>
      <c r="D10" s="15" t="s">
        <v>325</v>
      </c>
      <c r="E10" s="15" t="s">
        <v>326</v>
      </c>
      <c r="F10" s="13"/>
      <c r="G10" s="17"/>
      <c r="H10" s="13"/>
      <c r="I10" s="17"/>
      <c r="J10" s="13"/>
      <c r="K10" s="17"/>
      <c r="L10" s="13"/>
      <c r="M10" s="17"/>
      <c r="N10" s="13"/>
      <c r="O10" s="17"/>
      <c r="P10" s="13"/>
    </row>
    <row r="11">
      <c r="A11" s="11" t="s">
        <v>331</v>
      </c>
      <c r="B11" s="11" t="s">
        <v>148</v>
      </c>
      <c r="C11" s="14" t="s">
        <v>334</v>
      </c>
      <c r="D11" s="15" t="s">
        <v>335</v>
      </c>
      <c r="E11" s="15" t="s">
        <v>223</v>
      </c>
      <c r="F11" s="13"/>
      <c r="G11" s="17"/>
      <c r="H11" s="13"/>
      <c r="I11" s="17"/>
      <c r="J11" s="13"/>
      <c r="K11" s="17"/>
      <c r="L11" s="13"/>
      <c r="M11" s="17"/>
      <c r="N11" s="13"/>
      <c r="O11" s="17"/>
      <c r="P11" s="13"/>
    </row>
    <row r="12">
      <c r="A12" s="11" t="s">
        <v>340</v>
      </c>
      <c r="B12" s="11" t="s">
        <v>148</v>
      </c>
      <c r="C12" s="14" t="s">
        <v>343</v>
      </c>
      <c r="D12" s="15" t="s">
        <v>345</v>
      </c>
      <c r="E12" s="15" t="s">
        <v>223</v>
      </c>
      <c r="F12" s="13"/>
      <c r="G12" s="17"/>
      <c r="H12" s="13"/>
      <c r="I12" s="17"/>
      <c r="J12" s="13"/>
      <c r="K12" s="17"/>
      <c r="L12" s="13"/>
      <c r="M12" s="17"/>
      <c r="N12" s="13"/>
      <c r="O12" s="17"/>
      <c r="P12" s="13"/>
    </row>
    <row r="13">
      <c r="A13" s="11" t="s">
        <v>347</v>
      </c>
      <c r="B13" s="11" t="s">
        <v>349</v>
      </c>
      <c r="C13" s="14" t="s">
        <v>350</v>
      </c>
      <c r="D13" s="15" t="s">
        <v>352</v>
      </c>
      <c r="E13" s="15" t="s">
        <v>223</v>
      </c>
      <c r="F13" s="13"/>
      <c r="G13" s="17"/>
      <c r="H13" s="13"/>
      <c r="I13" s="17"/>
      <c r="J13" s="13"/>
      <c r="K13" s="17"/>
      <c r="L13" s="13"/>
      <c r="M13" s="17"/>
      <c r="N13" s="13"/>
      <c r="O13" s="17"/>
      <c r="P13" s="13"/>
    </row>
    <row r="14">
      <c r="A14" s="11" t="s">
        <v>358</v>
      </c>
      <c r="B14" s="11" t="s">
        <v>349</v>
      </c>
      <c r="C14" s="14" t="s">
        <v>362</v>
      </c>
      <c r="D14" s="15" t="s">
        <v>363</v>
      </c>
      <c r="E14" s="15" t="s">
        <v>223</v>
      </c>
      <c r="F14" s="13"/>
      <c r="G14" s="17"/>
      <c r="H14" s="13"/>
      <c r="I14" s="17"/>
      <c r="J14" s="13"/>
      <c r="K14" s="17"/>
      <c r="L14" s="13"/>
      <c r="M14" s="17"/>
      <c r="N14" s="13"/>
      <c r="O14" s="17"/>
      <c r="P14" s="13"/>
    </row>
    <row r="15">
      <c r="A15" s="11" t="s">
        <v>367</v>
      </c>
      <c r="B15" s="11" t="s">
        <v>349</v>
      </c>
      <c r="C15" s="14" t="s">
        <v>368</v>
      </c>
      <c r="D15" s="15" t="s">
        <v>369</v>
      </c>
      <c r="E15" s="15" t="s">
        <v>223</v>
      </c>
      <c r="F15" s="13"/>
      <c r="G15" s="17"/>
      <c r="H15" s="13"/>
      <c r="I15" s="17"/>
      <c r="J15" s="13"/>
      <c r="K15" s="17"/>
      <c r="L15" s="13"/>
      <c r="M15" s="17"/>
      <c r="N15" s="13"/>
      <c r="O15" s="17"/>
      <c r="P15" s="13"/>
    </row>
    <row r="16">
      <c r="A16" s="11" t="s">
        <v>373</v>
      </c>
      <c r="B16" s="11" t="s">
        <v>349</v>
      </c>
      <c r="C16" s="14" t="s">
        <v>374</v>
      </c>
      <c r="D16" s="15" t="s">
        <v>375</v>
      </c>
      <c r="E16" s="15" t="s">
        <v>223</v>
      </c>
      <c r="F16" s="13"/>
      <c r="G16" s="17"/>
      <c r="H16" s="13"/>
      <c r="I16" s="17"/>
      <c r="J16" s="13"/>
      <c r="K16" s="17"/>
      <c r="L16" s="13"/>
      <c r="M16" s="17"/>
      <c r="N16" s="13"/>
      <c r="O16" s="17"/>
      <c r="P16" s="13"/>
    </row>
    <row r="17">
      <c r="A17" s="11" t="s">
        <v>378</v>
      </c>
      <c r="B17" s="11" t="s">
        <v>349</v>
      </c>
      <c r="C17" s="14" t="s">
        <v>380</v>
      </c>
      <c r="D17" s="15" t="s">
        <v>382</v>
      </c>
      <c r="E17" s="15" t="s">
        <v>383</v>
      </c>
      <c r="F17" s="13"/>
      <c r="G17" s="17"/>
      <c r="H17" s="13"/>
      <c r="I17" s="17"/>
      <c r="J17" s="13"/>
      <c r="K17" s="17"/>
      <c r="L17" s="13"/>
      <c r="M17" s="17"/>
      <c r="N17" s="13"/>
      <c r="O17" s="17"/>
      <c r="P17" s="13"/>
    </row>
    <row r="18">
      <c r="A18" s="11" t="s">
        <v>384</v>
      </c>
      <c r="B18" s="11" t="s">
        <v>200</v>
      </c>
      <c r="C18" s="14" t="s">
        <v>386</v>
      </c>
      <c r="D18" s="15" t="s">
        <v>387</v>
      </c>
      <c r="E18" s="15" t="s">
        <v>223</v>
      </c>
      <c r="F18" s="13"/>
      <c r="G18" s="17"/>
      <c r="H18" s="13"/>
      <c r="I18" s="17"/>
      <c r="J18" s="13"/>
      <c r="K18" s="17"/>
      <c r="L18" s="13"/>
      <c r="M18" s="17"/>
      <c r="N18" s="13"/>
      <c r="O18" s="17"/>
      <c r="P18" s="13"/>
    </row>
    <row r="19">
      <c r="A19" s="11" t="s">
        <v>390</v>
      </c>
      <c r="B19" s="11" t="s">
        <v>200</v>
      </c>
      <c r="C19" s="14" t="s">
        <v>391</v>
      </c>
      <c r="D19" s="15" t="s">
        <v>393</v>
      </c>
      <c r="E19" s="15" t="s">
        <v>223</v>
      </c>
      <c r="F19" s="13"/>
      <c r="G19" s="17"/>
      <c r="H19" s="13"/>
      <c r="I19" s="17"/>
      <c r="J19" s="13"/>
      <c r="K19" s="17"/>
      <c r="L19" s="13"/>
      <c r="M19" s="17"/>
      <c r="N19" s="13"/>
      <c r="O19" s="17"/>
      <c r="P19" s="13"/>
    </row>
    <row r="20">
      <c r="A20" s="11" t="s">
        <v>396</v>
      </c>
      <c r="B20" s="11" t="s">
        <v>200</v>
      </c>
      <c r="C20" s="14" t="s">
        <v>397</v>
      </c>
      <c r="D20" s="15" t="s">
        <v>398</v>
      </c>
      <c r="E20" s="15" t="s">
        <v>223</v>
      </c>
      <c r="F20" s="13"/>
      <c r="G20" s="17"/>
      <c r="H20" s="13"/>
      <c r="I20" s="17"/>
      <c r="J20" s="13"/>
      <c r="K20" s="17"/>
      <c r="L20" s="13"/>
      <c r="M20" s="17"/>
      <c r="N20" s="13"/>
      <c r="O20" s="17"/>
      <c r="P20" s="13"/>
    </row>
    <row r="21" ht="15.75" customHeight="1">
      <c r="A21" s="11" t="s">
        <v>402</v>
      </c>
      <c r="B21" s="11" t="s">
        <v>403</v>
      </c>
      <c r="C21" s="14" t="s">
        <v>404</v>
      </c>
      <c r="D21" s="15" t="s">
        <v>405</v>
      </c>
      <c r="E21" s="15" t="s">
        <v>223</v>
      </c>
      <c r="F21" s="13"/>
      <c r="G21" s="17"/>
      <c r="H21" s="13"/>
      <c r="I21" s="17"/>
      <c r="J21" s="13"/>
      <c r="K21" s="17"/>
      <c r="L21" s="13"/>
      <c r="M21" s="17"/>
      <c r="N21" s="13"/>
      <c r="O21" s="17"/>
      <c r="P21" s="13"/>
    </row>
    <row r="22" ht="15.75" customHeight="1">
      <c r="A22" s="11" t="s">
        <v>410</v>
      </c>
      <c r="B22" s="11" t="s">
        <v>265</v>
      </c>
      <c r="C22" s="14" t="s">
        <v>411</v>
      </c>
      <c r="D22" s="15" t="s">
        <v>412</v>
      </c>
      <c r="E22" s="15" t="s">
        <v>223</v>
      </c>
      <c r="F22" s="13"/>
      <c r="G22" s="17"/>
      <c r="H22" s="13"/>
      <c r="I22" s="17"/>
      <c r="J22" s="13"/>
      <c r="K22" s="17"/>
      <c r="L22" s="13"/>
      <c r="M22" s="17"/>
      <c r="N22" s="13"/>
      <c r="O22" s="17"/>
      <c r="P22" s="13"/>
    </row>
    <row r="23" ht="15.75" customHeight="1">
      <c r="A23" s="11" t="s">
        <v>416</v>
      </c>
      <c r="B23" s="11" t="s">
        <v>265</v>
      </c>
      <c r="C23" s="14" t="s">
        <v>417</v>
      </c>
      <c r="D23" s="15" t="s">
        <v>418</v>
      </c>
      <c r="E23" s="15" t="s">
        <v>223</v>
      </c>
      <c r="F23" s="13"/>
      <c r="G23" s="17"/>
      <c r="H23" s="13"/>
      <c r="I23" s="17"/>
      <c r="J23" s="13"/>
      <c r="K23" s="17"/>
      <c r="L23" s="13"/>
      <c r="M23" s="17"/>
      <c r="N23" s="13"/>
      <c r="O23" s="17"/>
      <c r="P23" s="13"/>
    </row>
    <row r="24" ht="15.75" customHeight="1">
      <c r="A24" s="11" t="s">
        <v>422</v>
      </c>
      <c r="B24" s="11" t="s">
        <v>341</v>
      </c>
      <c r="C24" s="14" t="s">
        <v>423</v>
      </c>
      <c r="D24" s="15" t="s">
        <v>424</v>
      </c>
      <c r="E24" s="15" t="s">
        <v>223</v>
      </c>
      <c r="F24" s="13"/>
      <c r="G24" s="17"/>
      <c r="H24" s="13"/>
      <c r="I24" s="17"/>
      <c r="J24" s="13"/>
      <c r="K24" s="17"/>
      <c r="L24" s="13"/>
      <c r="M24" s="17"/>
      <c r="N24" s="13"/>
      <c r="O24" s="17"/>
      <c r="P24" s="13"/>
    </row>
    <row r="25" ht="15.75" customHeight="1">
      <c r="A25" s="11" t="s">
        <v>429</v>
      </c>
      <c r="B25" s="11" t="s">
        <v>341</v>
      </c>
      <c r="C25" s="14" t="s">
        <v>430</v>
      </c>
      <c r="D25" s="15" t="s">
        <v>431</v>
      </c>
      <c r="E25" s="15" t="s">
        <v>223</v>
      </c>
      <c r="F25" s="13"/>
      <c r="G25" s="17"/>
      <c r="H25" s="13"/>
      <c r="I25" s="17"/>
      <c r="J25" s="13"/>
      <c r="K25" s="17"/>
      <c r="L25" s="13"/>
      <c r="M25" s="17"/>
      <c r="N25" s="13"/>
      <c r="O25" s="17"/>
      <c r="P25" s="1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25"/>
  <mergeCells count="2">
    <mergeCell ref="A1:P1"/>
    <mergeCell ref="A2:P2"/>
  </mergeCells>
  <dataValidations>
    <dataValidation type="list" allowBlank="1" sqref="G4:G25 I4:I25 K4:K25 M4:M25">
      <formula1>"0,1,2,3,N/A"</formula1>
    </dataValidation>
    <dataValidation type="list" allowBlank="1" sqref="O4:O25">
      <formula1>"High,Medium,Low"</formula1>
    </dataValidation>
  </dataValidations>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4.0"/>
    <col customWidth="1" min="3" max="3" width="44.0"/>
    <col customWidth="1" min="4" max="4" width="62.0"/>
    <col customWidth="1" min="5" max="5" width="52.0"/>
    <col customWidth="1" min="6" max="6" width="40.0"/>
    <col customWidth="1" min="7" max="7" width="7.0"/>
    <col customWidth="1" min="8" max="8" width="40.0"/>
    <col customWidth="1" min="9" max="9" width="7.0"/>
    <col customWidth="1" min="10" max="10" width="40.0"/>
    <col customWidth="1" min="11" max="11" width="7.0"/>
    <col customWidth="1" min="12" max="12" width="40.0"/>
    <col customWidth="1" min="13" max="13" width="7.0"/>
    <col customWidth="1" min="14" max="14" width="46.0"/>
    <col customWidth="1" min="15" max="15" width="10.0"/>
    <col customWidth="1" min="16" max="16" width="46.0"/>
    <col customWidth="1" min="17" max="26" width="8.71"/>
  </cols>
  <sheetData>
    <row r="1" ht="25.5" customHeight="1">
      <c r="A1" s="1" t="s">
        <v>253</v>
      </c>
      <c r="B1" s="2"/>
      <c r="C1" s="2"/>
      <c r="D1" s="2"/>
      <c r="E1" s="2"/>
      <c r="F1" s="2"/>
      <c r="G1" s="2"/>
      <c r="H1" s="2"/>
      <c r="I1" s="2"/>
      <c r="J1" s="2"/>
      <c r="K1" s="2"/>
      <c r="L1" s="2"/>
      <c r="M1" s="2"/>
      <c r="N1" s="2"/>
      <c r="O1" s="2"/>
      <c r="P1" s="3"/>
    </row>
    <row r="2" ht="18.0" customHeight="1">
      <c r="A2" s="4" t="s">
        <v>261</v>
      </c>
      <c r="B2" s="2"/>
      <c r="C2" s="2"/>
      <c r="D2" s="2"/>
      <c r="E2" s="2"/>
      <c r="F2" s="2"/>
      <c r="G2" s="2"/>
      <c r="H2" s="2"/>
      <c r="I2" s="2"/>
      <c r="J2" s="2"/>
      <c r="K2" s="2"/>
      <c r="L2" s="2"/>
      <c r="M2" s="2"/>
      <c r="N2" s="2"/>
      <c r="O2" s="2"/>
      <c r="P2" s="3"/>
    </row>
    <row r="3" ht="33.75" customHeight="1">
      <c r="A3" s="5" t="s">
        <v>9</v>
      </c>
      <c r="B3" s="5" t="s">
        <v>10</v>
      </c>
      <c r="C3" s="5" t="s">
        <v>12</v>
      </c>
      <c r="D3" s="5" t="s">
        <v>14</v>
      </c>
      <c r="E3" s="5" t="s">
        <v>16</v>
      </c>
      <c r="F3" s="7" t="s">
        <v>18</v>
      </c>
      <c r="G3" s="7" t="s">
        <v>22</v>
      </c>
      <c r="H3" s="7" t="s">
        <v>25</v>
      </c>
      <c r="I3" s="7" t="s">
        <v>22</v>
      </c>
      <c r="J3" s="7" t="s">
        <v>28</v>
      </c>
      <c r="K3" s="7" t="s">
        <v>22</v>
      </c>
      <c r="L3" s="7" t="s">
        <v>29</v>
      </c>
      <c r="M3" s="7" t="s">
        <v>22</v>
      </c>
      <c r="N3" s="7" t="s">
        <v>33</v>
      </c>
      <c r="O3" s="7" t="s">
        <v>35</v>
      </c>
      <c r="P3" s="7" t="s">
        <v>37</v>
      </c>
    </row>
    <row r="4">
      <c r="A4" s="11" t="s">
        <v>281</v>
      </c>
      <c r="B4" s="11" t="s">
        <v>282</v>
      </c>
      <c r="C4" s="14" t="s">
        <v>283</v>
      </c>
      <c r="D4" s="15" t="s">
        <v>284</v>
      </c>
      <c r="E4" s="15" t="s">
        <v>286</v>
      </c>
      <c r="F4" s="13"/>
      <c r="G4" s="17"/>
      <c r="H4" s="13"/>
      <c r="I4" s="17"/>
      <c r="J4" s="13"/>
      <c r="K4" s="17"/>
      <c r="L4" s="13"/>
      <c r="M4" s="17"/>
      <c r="N4" s="13"/>
      <c r="O4" s="17"/>
      <c r="P4" s="13"/>
    </row>
    <row r="5">
      <c r="A5" s="11" t="s">
        <v>295</v>
      </c>
      <c r="B5" s="11" t="s">
        <v>282</v>
      </c>
      <c r="C5" s="14" t="s">
        <v>296</v>
      </c>
      <c r="D5" s="15" t="s">
        <v>298</v>
      </c>
      <c r="E5" s="15" t="s">
        <v>299</v>
      </c>
      <c r="F5" s="13"/>
      <c r="G5" s="17"/>
      <c r="H5" s="13"/>
      <c r="I5" s="17"/>
      <c r="J5" s="13"/>
      <c r="K5" s="17"/>
      <c r="L5" s="13"/>
      <c r="M5" s="17"/>
      <c r="N5" s="13"/>
      <c r="O5" s="17"/>
      <c r="P5" s="13"/>
    </row>
    <row r="6">
      <c r="A6" s="11" t="s">
        <v>306</v>
      </c>
      <c r="B6" s="11" t="s">
        <v>282</v>
      </c>
      <c r="C6" s="14" t="s">
        <v>307</v>
      </c>
      <c r="D6" s="15" t="s">
        <v>309</v>
      </c>
      <c r="E6" s="15" t="s">
        <v>311</v>
      </c>
      <c r="F6" s="13"/>
      <c r="G6" s="17"/>
      <c r="H6" s="13"/>
      <c r="I6" s="17"/>
      <c r="J6" s="13"/>
      <c r="K6" s="17"/>
      <c r="L6" s="13"/>
      <c r="M6" s="17"/>
      <c r="N6" s="13"/>
      <c r="O6" s="17"/>
      <c r="P6" s="13"/>
    </row>
    <row r="7">
      <c r="A7" s="11" t="s">
        <v>316</v>
      </c>
      <c r="B7" s="11" t="s">
        <v>317</v>
      </c>
      <c r="C7" s="14" t="s">
        <v>319</v>
      </c>
      <c r="D7" s="15" t="s">
        <v>320</v>
      </c>
      <c r="E7" s="15" t="s">
        <v>223</v>
      </c>
      <c r="F7" s="13"/>
      <c r="G7" s="17"/>
      <c r="H7" s="13"/>
      <c r="I7" s="17"/>
      <c r="J7" s="13"/>
      <c r="K7" s="17"/>
      <c r="L7" s="13"/>
      <c r="M7" s="17"/>
      <c r="N7" s="13"/>
      <c r="O7" s="17"/>
      <c r="P7" s="13"/>
    </row>
    <row r="8">
      <c r="A8" s="11" t="s">
        <v>327</v>
      </c>
      <c r="B8" s="11" t="s">
        <v>317</v>
      </c>
      <c r="C8" s="14" t="s">
        <v>329</v>
      </c>
      <c r="D8" s="15" t="s">
        <v>330</v>
      </c>
      <c r="E8" s="15" t="s">
        <v>223</v>
      </c>
      <c r="F8" s="13"/>
      <c r="G8" s="17"/>
      <c r="H8" s="13"/>
      <c r="I8" s="17"/>
      <c r="J8" s="13"/>
      <c r="K8" s="17"/>
      <c r="L8" s="13"/>
      <c r="M8" s="17"/>
      <c r="N8" s="13"/>
      <c r="O8" s="17"/>
      <c r="P8" s="13"/>
    </row>
    <row r="9">
      <c r="A9" s="11" t="s">
        <v>336</v>
      </c>
      <c r="B9" s="11" t="s">
        <v>317</v>
      </c>
      <c r="C9" s="14" t="s">
        <v>337</v>
      </c>
      <c r="D9" s="15" t="s">
        <v>339</v>
      </c>
      <c r="E9" s="15" t="s">
        <v>223</v>
      </c>
      <c r="F9" s="13"/>
      <c r="G9" s="17"/>
      <c r="H9" s="13"/>
      <c r="I9" s="17"/>
      <c r="J9" s="13"/>
      <c r="K9" s="17"/>
      <c r="L9" s="13"/>
      <c r="M9" s="17"/>
      <c r="N9" s="13"/>
      <c r="O9" s="17"/>
      <c r="P9" s="13"/>
    </row>
    <row r="10">
      <c r="A10" s="11" t="s">
        <v>354</v>
      </c>
      <c r="B10" s="11" t="s">
        <v>317</v>
      </c>
      <c r="C10" s="14" t="s">
        <v>356</v>
      </c>
      <c r="D10" s="15" t="s">
        <v>357</v>
      </c>
      <c r="E10" s="15" t="s">
        <v>223</v>
      </c>
      <c r="F10" s="13"/>
      <c r="G10" s="17"/>
      <c r="H10" s="13"/>
      <c r="I10" s="17"/>
      <c r="J10" s="13"/>
      <c r="K10" s="17"/>
      <c r="L10" s="13"/>
      <c r="M10" s="17"/>
      <c r="N10" s="13"/>
      <c r="O10" s="17"/>
      <c r="P10" s="13"/>
    </row>
    <row r="11">
      <c r="A11" s="11" t="s">
        <v>359</v>
      </c>
      <c r="B11" s="11" t="s">
        <v>317</v>
      </c>
      <c r="C11" s="14" t="s">
        <v>360</v>
      </c>
      <c r="D11" s="15" t="s">
        <v>361</v>
      </c>
      <c r="E11" s="15" t="s">
        <v>223</v>
      </c>
      <c r="F11" s="13"/>
      <c r="G11" s="17"/>
      <c r="H11" s="13"/>
      <c r="I11" s="17"/>
      <c r="J11" s="13"/>
      <c r="K11" s="17"/>
      <c r="L11" s="13"/>
      <c r="M11" s="17"/>
      <c r="N11" s="13"/>
      <c r="O11" s="17"/>
      <c r="P11" s="13"/>
    </row>
    <row r="12">
      <c r="A12" s="11" t="s">
        <v>364</v>
      </c>
      <c r="B12" s="11" t="s">
        <v>317</v>
      </c>
      <c r="C12" s="14" t="s">
        <v>365</v>
      </c>
      <c r="D12" s="15" t="s">
        <v>366</v>
      </c>
      <c r="E12" s="15" t="s">
        <v>223</v>
      </c>
      <c r="F12" s="13"/>
      <c r="G12" s="17"/>
      <c r="H12" s="13"/>
      <c r="I12" s="17"/>
      <c r="J12" s="13"/>
      <c r="K12" s="17"/>
      <c r="L12" s="13"/>
      <c r="M12" s="17"/>
      <c r="N12" s="13"/>
      <c r="O12" s="17"/>
      <c r="P12" s="13"/>
    </row>
    <row r="13">
      <c r="A13" s="11" t="s">
        <v>370</v>
      </c>
      <c r="B13" s="11" t="s">
        <v>317</v>
      </c>
      <c r="C13" s="14" t="s">
        <v>371</v>
      </c>
      <c r="D13" s="15" t="s">
        <v>372</v>
      </c>
      <c r="E13" s="15" t="s">
        <v>223</v>
      </c>
      <c r="F13" s="13"/>
      <c r="G13" s="17"/>
      <c r="H13" s="13"/>
      <c r="I13" s="17"/>
      <c r="J13" s="13"/>
      <c r="K13" s="17"/>
      <c r="L13" s="13"/>
      <c r="M13" s="17"/>
      <c r="N13" s="13"/>
      <c r="O13" s="17"/>
      <c r="P13" s="13"/>
    </row>
    <row r="14">
      <c r="A14" s="11" t="s">
        <v>376</v>
      </c>
      <c r="B14" s="11" t="s">
        <v>377</v>
      </c>
      <c r="C14" s="14" t="s">
        <v>379</v>
      </c>
      <c r="D14" s="15" t="s">
        <v>381</v>
      </c>
      <c r="E14" s="15" t="s">
        <v>223</v>
      </c>
      <c r="F14" s="13"/>
      <c r="G14" s="17"/>
      <c r="H14" s="13"/>
      <c r="I14" s="17"/>
      <c r="J14" s="13"/>
      <c r="K14" s="17"/>
      <c r="L14" s="13"/>
      <c r="M14" s="17"/>
      <c r="N14" s="13"/>
      <c r="O14" s="17"/>
      <c r="P14" s="13"/>
    </row>
    <row r="15">
      <c r="A15" s="11" t="s">
        <v>385</v>
      </c>
      <c r="B15" s="11" t="s">
        <v>377</v>
      </c>
      <c r="C15" s="14" t="s">
        <v>388</v>
      </c>
      <c r="D15" s="15" t="s">
        <v>389</v>
      </c>
      <c r="E15" s="15" t="s">
        <v>223</v>
      </c>
      <c r="F15" s="13"/>
      <c r="G15" s="17"/>
      <c r="H15" s="13"/>
      <c r="I15" s="17"/>
      <c r="J15" s="13"/>
      <c r="K15" s="17"/>
      <c r="L15" s="13"/>
      <c r="M15" s="17"/>
      <c r="N15" s="13"/>
      <c r="O15" s="17"/>
      <c r="P15" s="13"/>
    </row>
    <row r="16">
      <c r="A16" s="11" t="s">
        <v>392</v>
      </c>
      <c r="B16" s="11" t="s">
        <v>377</v>
      </c>
      <c r="C16" s="14" t="s">
        <v>394</v>
      </c>
      <c r="D16" s="15" t="s">
        <v>395</v>
      </c>
      <c r="E16" s="15" t="s">
        <v>223</v>
      </c>
      <c r="F16" s="13"/>
      <c r="G16" s="17"/>
      <c r="H16" s="13"/>
      <c r="I16" s="17"/>
      <c r="J16" s="13"/>
      <c r="K16" s="17"/>
      <c r="L16" s="13"/>
      <c r="M16" s="17"/>
      <c r="N16" s="13"/>
      <c r="O16" s="17"/>
      <c r="P16" s="13"/>
    </row>
    <row r="17">
      <c r="A17" s="11" t="s">
        <v>399</v>
      </c>
      <c r="B17" s="11" t="s">
        <v>377</v>
      </c>
      <c r="C17" s="14" t="s">
        <v>400</v>
      </c>
      <c r="D17" s="15" t="s">
        <v>401</v>
      </c>
      <c r="E17" s="15" t="s">
        <v>223</v>
      </c>
      <c r="F17" s="13"/>
      <c r="G17" s="17"/>
      <c r="H17" s="13"/>
      <c r="I17" s="17"/>
      <c r="J17" s="13"/>
      <c r="K17" s="17"/>
      <c r="L17" s="13"/>
      <c r="M17" s="17"/>
      <c r="N17" s="13"/>
      <c r="O17" s="17"/>
      <c r="P17" s="13"/>
    </row>
    <row r="18">
      <c r="A18" s="11" t="s">
        <v>406</v>
      </c>
      <c r="B18" s="11" t="s">
        <v>407</v>
      </c>
      <c r="C18" s="14" t="s">
        <v>408</v>
      </c>
      <c r="D18" s="15" t="s">
        <v>409</v>
      </c>
      <c r="E18" s="15" t="s">
        <v>223</v>
      </c>
      <c r="F18" s="13"/>
      <c r="G18" s="17"/>
      <c r="H18" s="13"/>
      <c r="I18" s="17"/>
      <c r="J18" s="13"/>
      <c r="K18" s="17"/>
      <c r="L18" s="13"/>
      <c r="M18" s="17"/>
      <c r="N18" s="13"/>
      <c r="O18" s="17"/>
      <c r="P18" s="13"/>
    </row>
    <row r="19">
      <c r="A19" s="11" t="s">
        <v>413</v>
      </c>
      <c r="B19" s="11" t="s">
        <v>407</v>
      </c>
      <c r="C19" s="14" t="s">
        <v>414</v>
      </c>
      <c r="D19" s="15" t="s">
        <v>415</v>
      </c>
      <c r="E19" s="15" t="s">
        <v>223</v>
      </c>
      <c r="F19" s="13"/>
      <c r="G19" s="17"/>
      <c r="H19" s="13"/>
      <c r="I19" s="17"/>
      <c r="J19" s="13"/>
      <c r="K19" s="17"/>
      <c r="L19" s="13"/>
      <c r="M19" s="17"/>
      <c r="N19" s="13"/>
      <c r="O19" s="17"/>
      <c r="P19" s="13"/>
    </row>
    <row r="20">
      <c r="A20" s="11" t="s">
        <v>419</v>
      </c>
      <c r="B20" s="11" t="s">
        <v>407</v>
      </c>
      <c r="C20" s="14" t="s">
        <v>420</v>
      </c>
      <c r="D20" s="15" t="s">
        <v>421</v>
      </c>
      <c r="E20" s="15" t="s">
        <v>223</v>
      </c>
      <c r="F20" s="13"/>
      <c r="G20" s="17"/>
      <c r="H20" s="13"/>
      <c r="I20" s="17"/>
      <c r="J20" s="13"/>
      <c r="K20" s="17"/>
      <c r="L20" s="13"/>
      <c r="M20" s="17"/>
      <c r="N20" s="13"/>
      <c r="O20" s="17"/>
      <c r="P20" s="13"/>
    </row>
    <row r="21" ht="15.75" customHeight="1">
      <c r="A21" s="11" t="s">
        <v>425</v>
      </c>
      <c r="B21" s="11" t="s">
        <v>426</v>
      </c>
      <c r="C21" s="14" t="s">
        <v>427</v>
      </c>
      <c r="D21" s="15" t="s">
        <v>428</v>
      </c>
      <c r="E21" s="15" t="s">
        <v>223</v>
      </c>
      <c r="F21" s="13"/>
      <c r="G21" s="17"/>
      <c r="H21" s="13"/>
      <c r="I21" s="17"/>
      <c r="J21" s="13"/>
      <c r="K21" s="17"/>
      <c r="L21" s="13"/>
      <c r="M21" s="17"/>
      <c r="N21" s="13"/>
      <c r="O21" s="17"/>
      <c r="P21" s="13"/>
    </row>
    <row r="22" ht="15.75" customHeight="1">
      <c r="A22" s="11" t="s">
        <v>432</v>
      </c>
      <c r="B22" s="11" t="s">
        <v>426</v>
      </c>
      <c r="C22" s="14" t="s">
        <v>433</v>
      </c>
      <c r="D22" s="15" t="s">
        <v>434</v>
      </c>
      <c r="E22" s="15" t="s">
        <v>223</v>
      </c>
      <c r="F22" s="13"/>
      <c r="G22" s="17"/>
      <c r="H22" s="13"/>
      <c r="I22" s="17"/>
      <c r="J22" s="13"/>
      <c r="K22" s="17"/>
      <c r="L22" s="13"/>
      <c r="M22" s="17"/>
      <c r="N22" s="13"/>
      <c r="O22" s="17"/>
      <c r="P22" s="13"/>
    </row>
    <row r="23" ht="15.75" customHeight="1">
      <c r="A23" s="11" t="s">
        <v>435</v>
      </c>
      <c r="B23" s="11" t="s">
        <v>426</v>
      </c>
      <c r="C23" s="14" t="s">
        <v>436</v>
      </c>
      <c r="D23" s="15" t="s">
        <v>437</v>
      </c>
      <c r="E23" s="15" t="s">
        <v>223</v>
      </c>
      <c r="F23" s="13"/>
      <c r="G23" s="17"/>
      <c r="H23" s="13"/>
      <c r="I23" s="17"/>
      <c r="J23" s="13"/>
      <c r="K23" s="17"/>
      <c r="L23" s="13"/>
      <c r="M23" s="17"/>
      <c r="N23" s="13"/>
      <c r="O23" s="17"/>
      <c r="P23" s="13"/>
    </row>
    <row r="24" ht="15.75" customHeight="1">
      <c r="A24" s="11" t="s">
        <v>438</v>
      </c>
      <c r="B24" s="11" t="s">
        <v>426</v>
      </c>
      <c r="C24" s="14" t="s">
        <v>439</v>
      </c>
      <c r="D24" s="15" t="s">
        <v>440</v>
      </c>
      <c r="E24" s="15" t="s">
        <v>223</v>
      </c>
      <c r="F24" s="13"/>
      <c r="G24" s="17"/>
      <c r="H24" s="13"/>
      <c r="I24" s="17"/>
      <c r="J24" s="13"/>
      <c r="K24" s="17"/>
      <c r="L24" s="13"/>
      <c r="M24" s="17"/>
      <c r="N24" s="13"/>
      <c r="O24" s="17"/>
      <c r="P24" s="1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24"/>
  <mergeCells count="2">
    <mergeCell ref="A1:P1"/>
    <mergeCell ref="A2:P2"/>
  </mergeCells>
  <dataValidations>
    <dataValidation type="list" allowBlank="1" sqref="G4:G24 I4:I24 K4:K24 M4:M24">
      <formula1>"0,1,2,3,N/A"</formula1>
    </dataValidation>
    <dataValidation type="list" allowBlank="1" sqref="O4:O24">
      <formula1>"High,Medium,Low"</formula1>
    </dataValidation>
  </dataValidations>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4.0"/>
    <col customWidth="1" min="3" max="3" width="44.0"/>
    <col customWidth="1" min="4" max="4" width="62.0"/>
    <col customWidth="1" min="5" max="5" width="52.0"/>
    <col customWidth="1" min="6" max="6" width="40.0"/>
    <col customWidth="1" min="7" max="7" width="7.0"/>
    <col customWidth="1" min="8" max="8" width="40.0"/>
    <col customWidth="1" min="9" max="9" width="7.0"/>
    <col customWidth="1" min="10" max="10" width="40.0"/>
    <col customWidth="1" min="11" max="11" width="7.0"/>
    <col customWidth="1" min="12" max="12" width="40.0"/>
    <col customWidth="1" min="13" max="13" width="7.0"/>
    <col customWidth="1" min="14" max="14" width="46.0"/>
    <col customWidth="1" min="15" max="15" width="10.0"/>
    <col customWidth="1" min="16" max="16" width="46.0"/>
    <col customWidth="1" min="17" max="26" width="8.71"/>
  </cols>
  <sheetData>
    <row r="1" ht="25.5" customHeight="1">
      <c r="A1" s="1" t="s">
        <v>441</v>
      </c>
      <c r="B1" s="2"/>
      <c r="C1" s="2"/>
      <c r="D1" s="2"/>
      <c r="E1" s="2"/>
      <c r="F1" s="2"/>
      <c r="G1" s="2"/>
      <c r="H1" s="2"/>
      <c r="I1" s="2"/>
      <c r="J1" s="2"/>
      <c r="K1" s="2"/>
      <c r="L1" s="2"/>
      <c r="M1" s="2"/>
      <c r="N1" s="2"/>
      <c r="O1" s="2"/>
      <c r="P1" s="3"/>
    </row>
    <row r="2" ht="18.0" customHeight="1">
      <c r="A2" s="4" t="s">
        <v>442</v>
      </c>
      <c r="B2" s="2"/>
      <c r="C2" s="2"/>
      <c r="D2" s="2"/>
      <c r="E2" s="2"/>
      <c r="F2" s="2"/>
      <c r="G2" s="2"/>
      <c r="H2" s="2"/>
      <c r="I2" s="2"/>
      <c r="J2" s="2"/>
      <c r="K2" s="2"/>
      <c r="L2" s="2"/>
      <c r="M2" s="2"/>
      <c r="N2" s="2"/>
      <c r="O2" s="2"/>
      <c r="P2" s="3"/>
    </row>
    <row r="3" ht="33.75" customHeight="1">
      <c r="A3" s="5" t="s">
        <v>9</v>
      </c>
      <c r="B3" s="5" t="s">
        <v>10</v>
      </c>
      <c r="C3" s="5" t="s">
        <v>12</v>
      </c>
      <c r="D3" s="5" t="s">
        <v>14</v>
      </c>
      <c r="E3" s="5" t="s">
        <v>16</v>
      </c>
      <c r="F3" s="7" t="s">
        <v>18</v>
      </c>
      <c r="G3" s="7" t="s">
        <v>22</v>
      </c>
      <c r="H3" s="7" t="s">
        <v>25</v>
      </c>
      <c r="I3" s="7" t="s">
        <v>22</v>
      </c>
      <c r="J3" s="7" t="s">
        <v>28</v>
      </c>
      <c r="K3" s="7" t="s">
        <v>22</v>
      </c>
      <c r="L3" s="7" t="s">
        <v>29</v>
      </c>
      <c r="M3" s="7" t="s">
        <v>22</v>
      </c>
      <c r="N3" s="7" t="s">
        <v>33</v>
      </c>
      <c r="O3" s="7" t="s">
        <v>35</v>
      </c>
      <c r="P3" s="7" t="s">
        <v>37</v>
      </c>
    </row>
    <row r="4">
      <c r="A4" s="11" t="s">
        <v>443</v>
      </c>
      <c r="B4" s="11" t="s">
        <v>444</v>
      </c>
      <c r="C4" s="14" t="s">
        <v>445</v>
      </c>
      <c r="D4" s="15" t="s">
        <v>446</v>
      </c>
      <c r="E4" s="15" t="s">
        <v>223</v>
      </c>
      <c r="F4" s="13"/>
      <c r="G4" s="17"/>
      <c r="H4" s="13"/>
      <c r="I4" s="17"/>
      <c r="J4" s="13"/>
      <c r="K4" s="17"/>
      <c r="L4" s="13"/>
      <c r="M4" s="17"/>
      <c r="N4" s="13"/>
      <c r="O4" s="17"/>
      <c r="P4" s="13"/>
    </row>
    <row r="5">
      <c r="A5" s="11" t="s">
        <v>447</v>
      </c>
      <c r="B5" s="11" t="s">
        <v>444</v>
      </c>
      <c r="C5" s="14" t="s">
        <v>448</v>
      </c>
      <c r="D5" s="15" t="s">
        <v>449</v>
      </c>
      <c r="E5" s="15" t="s">
        <v>223</v>
      </c>
      <c r="F5" s="13"/>
      <c r="G5" s="17"/>
      <c r="H5" s="13"/>
      <c r="I5" s="17"/>
      <c r="J5" s="13"/>
      <c r="K5" s="17"/>
      <c r="L5" s="13"/>
      <c r="M5" s="17"/>
      <c r="N5" s="13"/>
      <c r="O5" s="17"/>
      <c r="P5" s="13"/>
    </row>
    <row r="6">
      <c r="A6" s="11" t="s">
        <v>450</v>
      </c>
      <c r="B6" s="11" t="s">
        <v>444</v>
      </c>
      <c r="C6" s="14" t="s">
        <v>451</v>
      </c>
      <c r="D6" s="15" t="s">
        <v>452</v>
      </c>
      <c r="E6" s="15" t="s">
        <v>223</v>
      </c>
      <c r="F6" s="13"/>
      <c r="G6" s="17"/>
      <c r="H6" s="13"/>
      <c r="I6" s="17"/>
      <c r="J6" s="13"/>
      <c r="K6" s="17"/>
      <c r="L6" s="13"/>
      <c r="M6" s="17"/>
      <c r="N6" s="13"/>
      <c r="O6" s="17"/>
      <c r="P6" s="13"/>
    </row>
    <row r="7">
      <c r="A7" s="11" t="s">
        <v>453</v>
      </c>
      <c r="B7" s="11" t="s">
        <v>444</v>
      </c>
      <c r="C7" s="14" t="s">
        <v>454</v>
      </c>
      <c r="D7" s="15" t="s">
        <v>455</v>
      </c>
      <c r="E7" s="15" t="s">
        <v>223</v>
      </c>
      <c r="F7" s="13"/>
      <c r="G7" s="17"/>
      <c r="H7" s="13"/>
      <c r="I7" s="17"/>
      <c r="J7" s="13"/>
      <c r="K7" s="17"/>
      <c r="L7" s="13"/>
      <c r="M7" s="17"/>
      <c r="N7" s="13"/>
      <c r="O7" s="17"/>
      <c r="P7" s="13"/>
    </row>
    <row r="8">
      <c r="A8" s="11" t="s">
        <v>456</v>
      </c>
      <c r="B8" s="11" t="s">
        <v>444</v>
      </c>
      <c r="C8" s="14" t="s">
        <v>457</v>
      </c>
      <c r="D8" s="15" t="s">
        <v>458</v>
      </c>
      <c r="E8" s="15" t="s">
        <v>223</v>
      </c>
      <c r="F8" s="13"/>
      <c r="G8" s="17"/>
      <c r="H8" s="13"/>
      <c r="I8" s="17"/>
      <c r="J8" s="13"/>
      <c r="K8" s="17"/>
      <c r="L8" s="13"/>
      <c r="M8" s="17"/>
      <c r="N8" s="13"/>
      <c r="O8" s="17"/>
      <c r="P8" s="13"/>
    </row>
    <row r="9">
      <c r="A9" s="11" t="s">
        <v>460</v>
      </c>
      <c r="B9" s="11" t="s">
        <v>444</v>
      </c>
      <c r="C9" s="14" t="s">
        <v>461</v>
      </c>
      <c r="D9" s="15" t="s">
        <v>462</v>
      </c>
      <c r="E9" s="15" t="s">
        <v>223</v>
      </c>
      <c r="F9" s="13"/>
      <c r="G9" s="17"/>
      <c r="H9" s="13"/>
      <c r="I9" s="17"/>
      <c r="J9" s="13"/>
      <c r="K9" s="17"/>
      <c r="L9" s="13"/>
      <c r="M9" s="17"/>
      <c r="N9" s="13"/>
      <c r="O9" s="17"/>
      <c r="P9" s="13"/>
    </row>
    <row r="10">
      <c r="A10" s="11" t="s">
        <v>464</v>
      </c>
      <c r="B10" s="11" t="s">
        <v>465</v>
      </c>
      <c r="C10" s="14" t="s">
        <v>466</v>
      </c>
      <c r="D10" s="15" t="s">
        <v>467</v>
      </c>
      <c r="E10" s="15" t="s">
        <v>223</v>
      </c>
      <c r="F10" s="13"/>
      <c r="G10" s="17"/>
      <c r="H10" s="13"/>
      <c r="I10" s="17"/>
      <c r="J10" s="13"/>
      <c r="K10" s="17"/>
      <c r="L10" s="13"/>
      <c r="M10" s="17"/>
      <c r="N10" s="13"/>
      <c r="O10" s="17"/>
      <c r="P10" s="13"/>
    </row>
    <row r="11">
      <c r="A11" s="11" t="s">
        <v>468</v>
      </c>
      <c r="B11" s="11" t="s">
        <v>465</v>
      </c>
      <c r="C11" s="14" t="s">
        <v>469</v>
      </c>
      <c r="D11" s="15" t="s">
        <v>470</v>
      </c>
      <c r="E11" s="15" t="s">
        <v>223</v>
      </c>
      <c r="F11" s="13"/>
      <c r="G11" s="17"/>
      <c r="H11" s="13"/>
      <c r="I11" s="17"/>
      <c r="J11" s="13"/>
      <c r="K11" s="17"/>
      <c r="L11" s="13"/>
      <c r="M11" s="17"/>
      <c r="N11" s="13"/>
      <c r="O11" s="17"/>
      <c r="P11" s="13"/>
    </row>
    <row r="12">
      <c r="A12" s="11" t="s">
        <v>472</v>
      </c>
      <c r="B12" s="11" t="s">
        <v>465</v>
      </c>
      <c r="C12" s="14" t="s">
        <v>474</v>
      </c>
      <c r="D12" s="15" t="s">
        <v>476</v>
      </c>
      <c r="E12" s="15" t="s">
        <v>223</v>
      </c>
      <c r="F12" s="13"/>
      <c r="G12" s="17"/>
      <c r="H12" s="13"/>
      <c r="I12" s="17"/>
      <c r="J12" s="13"/>
      <c r="K12" s="17"/>
      <c r="L12" s="13"/>
      <c r="M12" s="17"/>
      <c r="N12" s="13"/>
      <c r="O12" s="17"/>
      <c r="P12" s="13"/>
    </row>
    <row r="13">
      <c r="A13" s="11" t="s">
        <v>478</v>
      </c>
      <c r="B13" s="11" t="s">
        <v>479</v>
      </c>
      <c r="C13" s="14" t="s">
        <v>480</v>
      </c>
      <c r="D13" s="15" t="s">
        <v>481</v>
      </c>
      <c r="E13" s="15" t="s">
        <v>223</v>
      </c>
      <c r="F13" s="13"/>
      <c r="G13" s="17"/>
      <c r="H13" s="13"/>
      <c r="I13" s="17"/>
      <c r="J13" s="13"/>
      <c r="K13" s="17"/>
      <c r="L13" s="13"/>
      <c r="M13" s="17"/>
      <c r="N13" s="13"/>
      <c r="O13" s="17"/>
      <c r="P13" s="13"/>
    </row>
    <row r="14">
      <c r="A14" s="11" t="s">
        <v>485</v>
      </c>
      <c r="B14" s="11" t="s">
        <v>479</v>
      </c>
      <c r="C14" s="14" t="s">
        <v>486</v>
      </c>
      <c r="D14" s="15" t="s">
        <v>487</v>
      </c>
      <c r="E14" s="15" t="s">
        <v>223</v>
      </c>
      <c r="F14" s="13"/>
      <c r="G14" s="17"/>
      <c r="H14" s="13"/>
      <c r="I14" s="17"/>
      <c r="J14" s="13"/>
      <c r="K14" s="17"/>
      <c r="L14" s="13"/>
      <c r="M14" s="17"/>
      <c r="N14" s="13"/>
      <c r="O14" s="17"/>
      <c r="P14" s="13"/>
    </row>
    <row r="15">
      <c r="A15" s="11" t="s">
        <v>491</v>
      </c>
      <c r="B15" s="11" t="s">
        <v>479</v>
      </c>
      <c r="C15" s="14" t="s">
        <v>492</v>
      </c>
      <c r="D15" s="15" t="s">
        <v>493</v>
      </c>
      <c r="E15" s="15" t="s">
        <v>223</v>
      </c>
      <c r="F15" s="13"/>
      <c r="G15" s="17"/>
      <c r="H15" s="13"/>
      <c r="I15" s="17"/>
      <c r="J15" s="13"/>
      <c r="K15" s="17"/>
      <c r="L15" s="13"/>
      <c r="M15" s="17"/>
      <c r="N15" s="13"/>
      <c r="O15" s="17"/>
      <c r="P15" s="13"/>
    </row>
    <row r="16">
      <c r="A16" s="11" t="s">
        <v>497</v>
      </c>
      <c r="B16" s="11" t="s">
        <v>498</v>
      </c>
      <c r="C16" s="14" t="s">
        <v>499</v>
      </c>
      <c r="D16" s="15" t="s">
        <v>500</v>
      </c>
      <c r="E16" s="15" t="s">
        <v>223</v>
      </c>
      <c r="F16" s="13"/>
      <c r="G16" s="17"/>
      <c r="H16" s="13"/>
      <c r="I16" s="17"/>
      <c r="J16" s="13"/>
      <c r="K16" s="17"/>
      <c r="L16" s="13"/>
      <c r="M16" s="17"/>
      <c r="N16" s="13"/>
      <c r="O16" s="17"/>
      <c r="P16" s="13"/>
    </row>
    <row r="17">
      <c r="A17" s="11" t="s">
        <v>504</v>
      </c>
      <c r="B17" s="11" t="s">
        <v>498</v>
      </c>
      <c r="C17" s="14" t="s">
        <v>505</v>
      </c>
      <c r="D17" s="15" t="s">
        <v>506</v>
      </c>
      <c r="E17" s="15" t="s">
        <v>223</v>
      </c>
      <c r="F17" s="13"/>
      <c r="G17" s="17"/>
      <c r="H17" s="13"/>
      <c r="I17" s="17"/>
      <c r="J17" s="13"/>
      <c r="K17" s="17"/>
      <c r="L17" s="13"/>
      <c r="M17" s="17"/>
      <c r="N17" s="13"/>
      <c r="O17" s="17"/>
      <c r="P17" s="13"/>
    </row>
    <row r="18">
      <c r="A18" s="11" t="s">
        <v>511</v>
      </c>
      <c r="B18" s="11" t="s">
        <v>498</v>
      </c>
      <c r="C18" s="14" t="s">
        <v>512</v>
      </c>
      <c r="D18" s="15" t="s">
        <v>513</v>
      </c>
      <c r="E18" s="15" t="s">
        <v>223</v>
      </c>
      <c r="F18" s="13"/>
      <c r="G18" s="17"/>
      <c r="H18" s="13"/>
      <c r="I18" s="17"/>
      <c r="J18" s="13"/>
      <c r="K18" s="17"/>
      <c r="L18" s="13"/>
      <c r="M18" s="17"/>
      <c r="N18" s="13"/>
      <c r="O18" s="17"/>
      <c r="P18" s="13"/>
    </row>
    <row r="19">
      <c r="A19" s="11" t="s">
        <v>515</v>
      </c>
      <c r="B19" s="11" t="s">
        <v>517</v>
      </c>
      <c r="C19" s="14" t="s">
        <v>519</v>
      </c>
      <c r="D19" s="15" t="s">
        <v>520</v>
      </c>
      <c r="E19" s="15" t="s">
        <v>223</v>
      </c>
      <c r="F19" s="13"/>
      <c r="G19" s="17"/>
      <c r="H19" s="13"/>
      <c r="I19" s="17"/>
      <c r="J19" s="13"/>
      <c r="K19" s="17"/>
      <c r="L19" s="13"/>
      <c r="M19" s="17"/>
      <c r="N19" s="13"/>
      <c r="O19" s="17"/>
      <c r="P19" s="13"/>
    </row>
    <row r="20">
      <c r="A20" s="11" t="s">
        <v>524</v>
      </c>
      <c r="B20" s="11" t="s">
        <v>517</v>
      </c>
      <c r="C20" s="14" t="s">
        <v>526</v>
      </c>
      <c r="D20" s="15" t="s">
        <v>528</v>
      </c>
      <c r="E20" s="15" t="s">
        <v>223</v>
      </c>
      <c r="F20" s="13"/>
      <c r="G20" s="17"/>
      <c r="H20" s="13"/>
      <c r="I20" s="17"/>
      <c r="J20" s="13"/>
      <c r="K20" s="17"/>
      <c r="L20" s="13"/>
      <c r="M20" s="17"/>
      <c r="N20" s="13"/>
      <c r="O20" s="17"/>
      <c r="P20"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20"/>
  <mergeCells count="2">
    <mergeCell ref="A1:P1"/>
    <mergeCell ref="A2:P2"/>
  </mergeCells>
  <dataValidations>
    <dataValidation type="list" allowBlank="1" sqref="G4:G20 I4:I20 K4:K20 M4:M20">
      <formula1>"0,1,2,3,N/A"</formula1>
    </dataValidation>
    <dataValidation type="list" allowBlank="1" sqref="O4:O20">
      <formula1>"High,Medium,Low"</formula1>
    </dataValidation>
  </dataValidations>
  <printOptions/>
  <pageMargins bottom="1.0" footer="0.0" header="0.0" left="0.75" right="0.75" top="1.0"/>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4.0"/>
    <col customWidth="1" min="3" max="3" width="44.0"/>
    <col customWidth="1" min="4" max="4" width="62.0"/>
    <col customWidth="1" min="5" max="5" width="52.0"/>
    <col customWidth="1" min="6" max="6" width="40.0"/>
    <col customWidth="1" min="7" max="7" width="7.0"/>
    <col customWidth="1" min="8" max="8" width="40.0"/>
    <col customWidth="1" min="9" max="9" width="7.0"/>
    <col customWidth="1" min="10" max="10" width="40.0"/>
    <col customWidth="1" min="11" max="11" width="7.0"/>
    <col customWidth="1" min="12" max="12" width="40.0"/>
    <col customWidth="1" min="13" max="13" width="7.0"/>
    <col customWidth="1" min="14" max="14" width="46.0"/>
    <col customWidth="1" min="15" max="15" width="10.0"/>
    <col customWidth="1" min="16" max="16" width="46.0"/>
    <col customWidth="1" min="17" max="26" width="8.71"/>
  </cols>
  <sheetData>
    <row r="1" ht="25.5" customHeight="1">
      <c r="A1" s="1" t="s">
        <v>459</v>
      </c>
      <c r="B1" s="2"/>
      <c r="C1" s="2"/>
      <c r="D1" s="2"/>
      <c r="E1" s="2"/>
      <c r="F1" s="2"/>
      <c r="G1" s="2"/>
      <c r="H1" s="2"/>
      <c r="I1" s="2"/>
      <c r="J1" s="2"/>
      <c r="K1" s="2"/>
      <c r="L1" s="2"/>
      <c r="M1" s="2"/>
      <c r="N1" s="2"/>
      <c r="O1" s="2"/>
      <c r="P1" s="3"/>
    </row>
    <row r="2" ht="18.0" customHeight="1">
      <c r="A2" s="4" t="s">
        <v>463</v>
      </c>
      <c r="B2" s="2"/>
      <c r="C2" s="2"/>
      <c r="D2" s="2"/>
      <c r="E2" s="2"/>
      <c r="F2" s="2"/>
      <c r="G2" s="2"/>
      <c r="H2" s="2"/>
      <c r="I2" s="2"/>
      <c r="J2" s="2"/>
      <c r="K2" s="2"/>
      <c r="L2" s="2"/>
      <c r="M2" s="2"/>
      <c r="N2" s="2"/>
      <c r="O2" s="2"/>
      <c r="P2" s="3"/>
    </row>
    <row r="3" ht="33.75" customHeight="1">
      <c r="A3" s="5" t="s">
        <v>9</v>
      </c>
      <c r="B3" s="5" t="s">
        <v>10</v>
      </c>
      <c r="C3" s="5" t="s">
        <v>12</v>
      </c>
      <c r="D3" s="5" t="s">
        <v>14</v>
      </c>
      <c r="E3" s="5" t="s">
        <v>16</v>
      </c>
      <c r="F3" s="7" t="s">
        <v>18</v>
      </c>
      <c r="G3" s="7" t="s">
        <v>22</v>
      </c>
      <c r="H3" s="7" t="s">
        <v>25</v>
      </c>
      <c r="I3" s="7" t="s">
        <v>22</v>
      </c>
      <c r="J3" s="7" t="s">
        <v>28</v>
      </c>
      <c r="K3" s="7" t="s">
        <v>22</v>
      </c>
      <c r="L3" s="7" t="s">
        <v>29</v>
      </c>
      <c r="M3" s="7" t="s">
        <v>22</v>
      </c>
      <c r="N3" s="7" t="s">
        <v>33</v>
      </c>
      <c r="O3" s="7" t="s">
        <v>35</v>
      </c>
      <c r="P3" s="7" t="s">
        <v>37</v>
      </c>
    </row>
    <row r="4">
      <c r="A4" s="11" t="s">
        <v>471</v>
      </c>
      <c r="B4" s="11" t="s">
        <v>473</v>
      </c>
      <c r="C4" s="14" t="s">
        <v>475</v>
      </c>
      <c r="D4" s="15" t="s">
        <v>477</v>
      </c>
      <c r="E4" s="15" t="s">
        <v>223</v>
      </c>
      <c r="F4" s="13"/>
      <c r="G4" s="17"/>
      <c r="H4" s="13"/>
      <c r="I4" s="17"/>
      <c r="J4" s="13"/>
      <c r="K4" s="17"/>
      <c r="L4" s="13"/>
      <c r="M4" s="17"/>
      <c r="N4" s="13"/>
      <c r="O4" s="17"/>
      <c r="P4" s="13"/>
    </row>
    <row r="5">
      <c r="A5" s="11" t="s">
        <v>482</v>
      </c>
      <c r="B5" s="11" t="s">
        <v>473</v>
      </c>
      <c r="C5" s="14" t="s">
        <v>483</v>
      </c>
      <c r="D5" s="15" t="s">
        <v>484</v>
      </c>
      <c r="E5" s="15" t="s">
        <v>223</v>
      </c>
      <c r="F5" s="13"/>
      <c r="G5" s="17"/>
      <c r="H5" s="13"/>
      <c r="I5" s="17"/>
      <c r="J5" s="13"/>
      <c r="K5" s="17"/>
      <c r="L5" s="13"/>
      <c r="M5" s="17"/>
      <c r="N5" s="13"/>
      <c r="O5" s="17"/>
      <c r="P5" s="13"/>
    </row>
    <row r="6">
      <c r="A6" s="11" t="s">
        <v>488</v>
      </c>
      <c r="B6" s="11" t="s">
        <v>473</v>
      </c>
      <c r="C6" s="14" t="s">
        <v>489</v>
      </c>
      <c r="D6" s="15" t="s">
        <v>490</v>
      </c>
      <c r="E6" s="15" t="s">
        <v>223</v>
      </c>
      <c r="F6" s="13"/>
      <c r="G6" s="17"/>
      <c r="H6" s="13"/>
      <c r="I6" s="17"/>
      <c r="J6" s="13"/>
      <c r="K6" s="17"/>
      <c r="L6" s="13"/>
      <c r="M6" s="17"/>
      <c r="N6" s="13"/>
      <c r="O6" s="17"/>
      <c r="P6" s="13"/>
    </row>
    <row r="7">
      <c r="A7" s="11" t="s">
        <v>494</v>
      </c>
      <c r="B7" s="11" t="s">
        <v>473</v>
      </c>
      <c r="C7" s="14" t="s">
        <v>495</v>
      </c>
      <c r="D7" s="15" t="s">
        <v>496</v>
      </c>
      <c r="E7" s="15" t="s">
        <v>223</v>
      </c>
      <c r="F7" s="13"/>
      <c r="G7" s="17"/>
      <c r="H7" s="13"/>
      <c r="I7" s="17"/>
      <c r="J7" s="13"/>
      <c r="K7" s="17"/>
      <c r="L7" s="13"/>
      <c r="M7" s="17"/>
      <c r="N7" s="13"/>
      <c r="O7" s="17"/>
      <c r="P7" s="13"/>
    </row>
    <row r="8">
      <c r="A8" s="11" t="s">
        <v>501</v>
      </c>
      <c r="B8" s="11" t="s">
        <v>473</v>
      </c>
      <c r="C8" s="14" t="s">
        <v>502</v>
      </c>
      <c r="D8" s="15" t="s">
        <v>503</v>
      </c>
      <c r="E8" s="15" t="s">
        <v>223</v>
      </c>
      <c r="F8" s="13"/>
      <c r="G8" s="17"/>
      <c r="H8" s="13"/>
      <c r="I8" s="17"/>
      <c r="J8" s="13"/>
      <c r="K8" s="17"/>
      <c r="L8" s="13"/>
      <c r="M8" s="17"/>
      <c r="N8" s="13"/>
      <c r="O8" s="17"/>
      <c r="P8" s="13"/>
    </row>
    <row r="9">
      <c r="A9" s="11" t="s">
        <v>507</v>
      </c>
      <c r="B9" s="11" t="s">
        <v>508</v>
      </c>
      <c r="C9" s="14" t="s">
        <v>509</v>
      </c>
      <c r="D9" s="15" t="s">
        <v>510</v>
      </c>
      <c r="E9" s="15" t="s">
        <v>223</v>
      </c>
      <c r="F9" s="13"/>
      <c r="G9" s="17"/>
      <c r="H9" s="13"/>
      <c r="I9" s="17"/>
      <c r="J9" s="13"/>
      <c r="K9" s="17"/>
      <c r="L9" s="13"/>
      <c r="M9" s="17"/>
      <c r="N9" s="13"/>
      <c r="O9" s="17"/>
      <c r="P9" s="13"/>
    </row>
    <row r="10">
      <c r="A10" s="11" t="s">
        <v>514</v>
      </c>
      <c r="B10" s="11" t="s">
        <v>508</v>
      </c>
      <c r="C10" s="14" t="s">
        <v>516</v>
      </c>
      <c r="D10" s="15" t="s">
        <v>518</v>
      </c>
      <c r="E10" s="15" t="s">
        <v>223</v>
      </c>
      <c r="F10" s="13"/>
      <c r="G10" s="17"/>
      <c r="H10" s="13"/>
      <c r="I10" s="17"/>
      <c r="J10" s="13"/>
      <c r="K10" s="17"/>
      <c r="L10" s="13"/>
      <c r="M10" s="17"/>
      <c r="N10" s="13"/>
      <c r="O10" s="17"/>
      <c r="P10" s="13"/>
    </row>
    <row r="11">
      <c r="A11" s="11" t="s">
        <v>523</v>
      </c>
      <c r="B11" s="11" t="s">
        <v>508</v>
      </c>
      <c r="C11" s="14" t="s">
        <v>525</v>
      </c>
      <c r="D11" s="15" t="s">
        <v>527</v>
      </c>
      <c r="E11" s="15" t="s">
        <v>223</v>
      </c>
      <c r="F11" s="13"/>
      <c r="G11" s="17"/>
      <c r="H11" s="13"/>
      <c r="I11" s="17"/>
      <c r="J11" s="13"/>
      <c r="K11" s="17"/>
      <c r="L11" s="13"/>
      <c r="M11" s="17"/>
      <c r="N11" s="13"/>
      <c r="O11" s="17"/>
      <c r="P11" s="13"/>
    </row>
    <row r="12">
      <c r="A12" s="11" t="s">
        <v>534</v>
      </c>
      <c r="B12" s="11" t="s">
        <v>537</v>
      </c>
      <c r="C12" s="14" t="s">
        <v>539</v>
      </c>
      <c r="D12" s="15" t="s">
        <v>541</v>
      </c>
      <c r="E12" s="15" t="s">
        <v>223</v>
      </c>
      <c r="F12" s="13"/>
      <c r="G12" s="17"/>
      <c r="H12" s="13"/>
      <c r="I12" s="17"/>
      <c r="J12" s="13"/>
      <c r="K12" s="17"/>
      <c r="L12" s="13"/>
      <c r="M12" s="17"/>
      <c r="N12" s="13"/>
      <c r="O12" s="17"/>
      <c r="P12" s="13"/>
    </row>
    <row r="13">
      <c r="A13" s="11" t="s">
        <v>547</v>
      </c>
      <c r="B13" s="11" t="s">
        <v>537</v>
      </c>
      <c r="C13" s="14" t="s">
        <v>548</v>
      </c>
      <c r="D13" s="15" t="s">
        <v>549</v>
      </c>
      <c r="E13" s="15" t="s">
        <v>223</v>
      </c>
      <c r="F13" s="13"/>
      <c r="G13" s="17"/>
      <c r="H13" s="13"/>
      <c r="I13" s="17"/>
      <c r="J13" s="13"/>
      <c r="K13" s="17"/>
      <c r="L13" s="13"/>
      <c r="M13" s="17"/>
      <c r="N13" s="13"/>
      <c r="O13" s="17"/>
      <c r="P13" s="13"/>
    </row>
    <row r="14">
      <c r="A14" s="11" t="s">
        <v>557</v>
      </c>
      <c r="B14" s="11" t="s">
        <v>537</v>
      </c>
      <c r="C14" s="14" t="s">
        <v>558</v>
      </c>
      <c r="D14" s="15" t="s">
        <v>559</v>
      </c>
      <c r="E14" s="15" t="s">
        <v>223</v>
      </c>
      <c r="F14" s="13"/>
      <c r="G14" s="17"/>
      <c r="H14" s="13"/>
      <c r="I14" s="17"/>
      <c r="J14" s="13"/>
      <c r="K14" s="17"/>
      <c r="L14" s="13"/>
      <c r="M14" s="17"/>
      <c r="N14" s="13"/>
      <c r="O14" s="17"/>
      <c r="P14" s="13"/>
    </row>
    <row r="15">
      <c r="A15" s="11" t="s">
        <v>566</v>
      </c>
      <c r="B15" s="11" t="s">
        <v>537</v>
      </c>
      <c r="C15" s="14" t="s">
        <v>567</v>
      </c>
      <c r="D15" s="15" t="s">
        <v>569</v>
      </c>
      <c r="E15" s="15" t="s">
        <v>223</v>
      </c>
      <c r="F15" s="13"/>
      <c r="G15" s="17"/>
      <c r="H15" s="13"/>
      <c r="I15" s="17"/>
      <c r="J15" s="13"/>
      <c r="K15" s="17"/>
      <c r="L15" s="13"/>
      <c r="M15" s="17"/>
      <c r="N15" s="13"/>
      <c r="O15" s="17"/>
      <c r="P15" s="13"/>
    </row>
    <row r="16">
      <c r="A16" s="11" t="s">
        <v>572</v>
      </c>
      <c r="B16" s="11" t="s">
        <v>537</v>
      </c>
      <c r="C16" s="14" t="s">
        <v>574</v>
      </c>
      <c r="D16" s="15" t="s">
        <v>576</v>
      </c>
      <c r="E16" s="15" t="s">
        <v>223</v>
      </c>
      <c r="F16" s="13"/>
      <c r="G16" s="17"/>
      <c r="H16" s="13"/>
      <c r="I16" s="17"/>
      <c r="J16" s="13"/>
      <c r="K16" s="17"/>
      <c r="L16" s="13"/>
      <c r="M16" s="17"/>
      <c r="N16" s="13"/>
      <c r="O16" s="17"/>
      <c r="P16" s="13"/>
    </row>
    <row r="17">
      <c r="A17" s="11" t="s">
        <v>581</v>
      </c>
      <c r="B17" s="11" t="s">
        <v>537</v>
      </c>
      <c r="C17" s="14" t="s">
        <v>582</v>
      </c>
      <c r="D17" s="15" t="s">
        <v>583</v>
      </c>
      <c r="E17" s="15" t="s">
        <v>223</v>
      </c>
      <c r="F17" s="13"/>
      <c r="G17" s="17"/>
      <c r="H17" s="13"/>
      <c r="I17" s="17"/>
      <c r="J17" s="13"/>
      <c r="K17" s="17"/>
      <c r="L17" s="13"/>
      <c r="M17" s="17"/>
      <c r="N17" s="13"/>
      <c r="O17" s="17"/>
      <c r="P17" s="13"/>
    </row>
    <row r="18">
      <c r="A18" s="11" t="s">
        <v>590</v>
      </c>
      <c r="B18" s="11" t="s">
        <v>592</v>
      </c>
      <c r="C18" s="14" t="s">
        <v>594</v>
      </c>
      <c r="D18" s="15" t="s">
        <v>596</v>
      </c>
      <c r="E18" s="15" t="s">
        <v>223</v>
      </c>
      <c r="F18" s="13"/>
      <c r="G18" s="17"/>
      <c r="H18" s="13"/>
      <c r="I18" s="17"/>
      <c r="J18" s="13"/>
      <c r="K18" s="17"/>
      <c r="L18" s="13"/>
      <c r="M18" s="17"/>
      <c r="N18" s="13"/>
      <c r="O18" s="17"/>
      <c r="P18" s="13"/>
    </row>
    <row r="19">
      <c r="A19" s="11" t="s">
        <v>603</v>
      </c>
      <c r="B19" s="11" t="s">
        <v>592</v>
      </c>
      <c r="C19" s="14" t="s">
        <v>605</v>
      </c>
      <c r="D19" s="15" t="s">
        <v>606</v>
      </c>
      <c r="E19" s="15" t="s">
        <v>223</v>
      </c>
      <c r="F19" s="13"/>
      <c r="G19" s="17"/>
      <c r="H19" s="13"/>
      <c r="I19" s="17"/>
      <c r="J19" s="13"/>
      <c r="K19" s="17"/>
      <c r="L19" s="13"/>
      <c r="M19" s="17"/>
      <c r="N19" s="13"/>
      <c r="O19" s="17"/>
      <c r="P19"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19"/>
  <mergeCells count="2">
    <mergeCell ref="A1:P1"/>
    <mergeCell ref="A2:P2"/>
  </mergeCells>
  <dataValidations>
    <dataValidation type="list" allowBlank="1" sqref="G4:G19 I4:I19 K4:K19 M4:M19">
      <formula1>"0,1,2,3,N/A"</formula1>
    </dataValidation>
    <dataValidation type="list" allowBlank="1" sqref="O4:O19">
      <formula1>"High,Medium,Low"</formula1>
    </dataValidation>
  </dataValidations>
  <printOptions/>
  <pageMargins bottom="1.0" footer="0.0" header="0.0" left="0.75" right="0.75" top="1.0"/>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7.0"/>
    <col customWidth="1" min="2" max="2" width="20.0"/>
    <col customWidth="1" min="3" max="3" width="40.0"/>
    <col customWidth="1" min="4" max="4" width="60.0"/>
    <col customWidth="1" min="5" max="7" width="20.0"/>
    <col customWidth="1" min="8" max="8" width="22.0"/>
    <col customWidth="1" min="9" max="9" width="46.0"/>
    <col customWidth="1" min="10" max="26" width="8.71"/>
  </cols>
  <sheetData>
    <row r="1" ht="25.5" customHeight="1">
      <c r="A1" s="1" t="s">
        <v>521</v>
      </c>
      <c r="B1" s="2"/>
      <c r="C1" s="2"/>
      <c r="D1" s="2"/>
      <c r="E1" s="2"/>
      <c r="F1" s="2"/>
      <c r="G1" s="2"/>
      <c r="H1" s="3"/>
    </row>
    <row r="2" ht="18.0" customHeight="1">
      <c r="A2" s="4" t="s">
        <v>522</v>
      </c>
      <c r="B2" s="2"/>
      <c r="C2" s="2"/>
      <c r="D2" s="2"/>
      <c r="E2" s="2"/>
      <c r="F2" s="2"/>
      <c r="G2" s="2"/>
      <c r="H2" s="3"/>
    </row>
    <row r="3" ht="30.0" customHeight="1">
      <c r="A3" s="5" t="s">
        <v>9</v>
      </c>
      <c r="B3" s="5" t="s">
        <v>529</v>
      </c>
      <c r="C3" s="5" t="s">
        <v>530</v>
      </c>
      <c r="D3" s="5" t="s">
        <v>531</v>
      </c>
      <c r="E3" s="7" t="s">
        <v>13</v>
      </c>
      <c r="F3" s="7" t="s">
        <v>17</v>
      </c>
      <c r="G3" s="7" t="s">
        <v>19</v>
      </c>
      <c r="H3" s="7" t="s">
        <v>21</v>
      </c>
      <c r="I3" s="7" t="s">
        <v>532</v>
      </c>
    </row>
    <row r="4">
      <c r="A4" s="11" t="s">
        <v>533</v>
      </c>
      <c r="B4" s="11" t="s">
        <v>536</v>
      </c>
      <c r="C4" s="14" t="s">
        <v>538</v>
      </c>
      <c r="D4" s="15" t="s">
        <v>540</v>
      </c>
      <c r="E4" s="17"/>
      <c r="F4" s="17"/>
      <c r="G4" s="17"/>
      <c r="H4" s="17"/>
      <c r="I4" s="13"/>
    </row>
    <row r="5">
      <c r="A5" s="11" t="s">
        <v>543</v>
      </c>
      <c r="B5" s="11" t="s">
        <v>536</v>
      </c>
      <c r="C5" s="14" t="s">
        <v>545</v>
      </c>
      <c r="D5" s="15" t="s">
        <v>546</v>
      </c>
      <c r="E5" s="17"/>
      <c r="F5" s="17"/>
      <c r="G5" s="17"/>
      <c r="H5" s="17"/>
      <c r="I5" s="13"/>
    </row>
    <row r="6">
      <c r="A6" s="11" t="s">
        <v>551</v>
      </c>
      <c r="B6" s="11" t="s">
        <v>536</v>
      </c>
      <c r="C6" s="14" t="s">
        <v>552</v>
      </c>
      <c r="D6" s="15" t="s">
        <v>553</v>
      </c>
      <c r="E6" s="17"/>
      <c r="F6" s="17"/>
      <c r="G6" s="17"/>
      <c r="H6" s="17"/>
      <c r="I6" s="13"/>
    </row>
    <row r="7">
      <c r="A7" s="11" t="s">
        <v>554</v>
      </c>
      <c r="B7" s="11" t="s">
        <v>536</v>
      </c>
      <c r="C7" s="14" t="s">
        <v>555</v>
      </c>
      <c r="D7" s="15" t="s">
        <v>556</v>
      </c>
      <c r="E7" s="17"/>
      <c r="F7" s="17"/>
      <c r="G7" s="17"/>
      <c r="H7" s="17"/>
      <c r="I7" s="13"/>
    </row>
    <row r="8">
      <c r="A8" s="11" t="s">
        <v>560</v>
      </c>
      <c r="B8" s="11" t="s">
        <v>536</v>
      </c>
      <c r="C8" s="14" t="s">
        <v>561</v>
      </c>
      <c r="D8" s="15" t="s">
        <v>562</v>
      </c>
      <c r="E8" s="17"/>
      <c r="F8" s="17"/>
      <c r="G8" s="17"/>
      <c r="H8" s="17"/>
      <c r="I8" s="13"/>
    </row>
    <row r="9">
      <c r="A9" s="11" t="s">
        <v>563</v>
      </c>
      <c r="B9" s="11" t="s">
        <v>536</v>
      </c>
      <c r="C9" s="14" t="s">
        <v>564</v>
      </c>
      <c r="D9" s="15" t="s">
        <v>565</v>
      </c>
      <c r="E9" s="17"/>
      <c r="F9" s="17"/>
      <c r="G9" s="17"/>
      <c r="H9" s="17"/>
      <c r="I9" s="13"/>
    </row>
    <row r="10">
      <c r="A10" s="11" t="s">
        <v>568</v>
      </c>
      <c r="B10" s="11" t="s">
        <v>536</v>
      </c>
      <c r="C10" s="14" t="s">
        <v>570</v>
      </c>
      <c r="D10" s="15" t="s">
        <v>571</v>
      </c>
      <c r="E10" s="17"/>
      <c r="F10" s="17"/>
      <c r="G10" s="17"/>
      <c r="H10" s="17"/>
      <c r="I10" s="13"/>
    </row>
    <row r="11">
      <c r="A11" s="11" t="s">
        <v>573</v>
      </c>
      <c r="B11" s="11" t="s">
        <v>536</v>
      </c>
      <c r="C11" s="14" t="s">
        <v>575</v>
      </c>
      <c r="D11" s="15" t="s">
        <v>577</v>
      </c>
      <c r="E11" s="17"/>
      <c r="F11" s="17"/>
      <c r="G11" s="17"/>
      <c r="H11" s="17"/>
      <c r="I11" s="13"/>
    </row>
    <row r="12">
      <c r="A12" s="11" t="s">
        <v>578</v>
      </c>
      <c r="B12" s="11" t="s">
        <v>536</v>
      </c>
      <c r="C12" s="14" t="s">
        <v>579</v>
      </c>
      <c r="D12" s="15" t="s">
        <v>580</v>
      </c>
      <c r="E12" s="17"/>
      <c r="F12" s="17"/>
      <c r="G12" s="17"/>
      <c r="H12" s="17"/>
      <c r="I12" s="13"/>
    </row>
    <row r="13">
      <c r="A13" s="11" t="s">
        <v>584</v>
      </c>
      <c r="B13" s="11" t="s">
        <v>536</v>
      </c>
      <c r="C13" s="14" t="s">
        <v>585</v>
      </c>
      <c r="D13" s="15" t="s">
        <v>586</v>
      </c>
      <c r="E13" s="17"/>
      <c r="F13" s="17"/>
      <c r="G13" s="17"/>
      <c r="H13" s="17"/>
      <c r="I13" s="13"/>
    </row>
    <row r="14">
      <c r="A14" s="11" t="s">
        <v>587</v>
      </c>
      <c r="B14" s="11" t="s">
        <v>536</v>
      </c>
      <c r="C14" s="14" t="s">
        <v>588</v>
      </c>
      <c r="D14" s="15" t="s">
        <v>589</v>
      </c>
      <c r="E14" s="17"/>
      <c r="F14" s="17"/>
      <c r="G14" s="17"/>
      <c r="H14" s="17"/>
      <c r="I14" s="13"/>
    </row>
    <row r="15">
      <c r="A15" s="11" t="s">
        <v>591</v>
      </c>
      <c r="B15" s="11" t="s">
        <v>536</v>
      </c>
      <c r="C15" s="14" t="s">
        <v>593</v>
      </c>
      <c r="D15" s="15" t="s">
        <v>595</v>
      </c>
      <c r="E15" s="17"/>
      <c r="F15" s="17"/>
      <c r="G15" s="17"/>
      <c r="H15" s="17"/>
      <c r="I15" s="13"/>
    </row>
    <row r="16">
      <c r="A16" s="11" t="s">
        <v>597</v>
      </c>
      <c r="B16" s="11" t="s">
        <v>598</v>
      </c>
      <c r="C16" s="14" t="s">
        <v>599</v>
      </c>
      <c r="D16" s="15" t="s">
        <v>600</v>
      </c>
      <c r="E16" s="17"/>
      <c r="F16" s="17"/>
      <c r="G16" s="17"/>
      <c r="H16" s="17"/>
      <c r="I16" s="13"/>
    </row>
    <row r="17">
      <c r="A17" s="11" t="s">
        <v>601</v>
      </c>
      <c r="B17" s="11" t="s">
        <v>598</v>
      </c>
      <c r="C17" s="14" t="s">
        <v>602</v>
      </c>
      <c r="D17" s="15" t="s">
        <v>604</v>
      </c>
      <c r="E17" s="17"/>
      <c r="F17" s="17"/>
      <c r="G17" s="17"/>
      <c r="H17" s="17"/>
      <c r="I17" s="13"/>
    </row>
    <row r="18">
      <c r="A18" s="11" t="s">
        <v>607</v>
      </c>
      <c r="B18" s="11" t="s">
        <v>598</v>
      </c>
      <c r="C18" s="14" t="s">
        <v>608</v>
      </c>
      <c r="D18" s="15" t="s">
        <v>609</v>
      </c>
      <c r="E18" s="17"/>
      <c r="F18" s="17"/>
      <c r="G18" s="17"/>
      <c r="H18" s="17"/>
      <c r="I18" s="13"/>
    </row>
    <row r="19">
      <c r="A19" s="11" t="s">
        <v>610</v>
      </c>
      <c r="B19" s="11" t="s">
        <v>598</v>
      </c>
      <c r="C19" s="14" t="s">
        <v>611</v>
      </c>
      <c r="D19" s="15" t="s">
        <v>612</v>
      </c>
      <c r="E19" s="17"/>
      <c r="F19" s="17"/>
      <c r="G19" s="17"/>
      <c r="H19" s="17"/>
      <c r="I19" s="13"/>
    </row>
    <row r="20">
      <c r="A20" s="11" t="s">
        <v>613</v>
      </c>
      <c r="B20" s="11" t="s">
        <v>598</v>
      </c>
      <c r="C20" s="14" t="s">
        <v>614</v>
      </c>
      <c r="D20" s="15" t="s">
        <v>615</v>
      </c>
      <c r="E20" s="17"/>
      <c r="F20" s="17"/>
      <c r="G20" s="17"/>
      <c r="H20" s="17"/>
      <c r="I20" s="13"/>
    </row>
    <row r="21" ht="15.75" customHeight="1">
      <c r="A21" s="11" t="s">
        <v>616</v>
      </c>
      <c r="B21" s="11" t="s">
        <v>598</v>
      </c>
      <c r="C21" s="14" t="s">
        <v>617</v>
      </c>
      <c r="D21" s="15" t="s">
        <v>618</v>
      </c>
      <c r="E21" s="17"/>
      <c r="F21" s="17"/>
      <c r="G21" s="17"/>
      <c r="H21" s="17"/>
      <c r="I21" s="13"/>
    </row>
    <row r="22" ht="15.75" customHeight="1">
      <c r="A22" s="11" t="s">
        <v>619</v>
      </c>
      <c r="B22" s="11" t="s">
        <v>598</v>
      </c>
      <c r="C22" s="14" t="s">
        <v>620</v>
      </c>
      <c r="D22" s="15" t="s">
        <v>621</v>
      </c>
      <c r="E22" s="17"/>
      <c r="F22" s="17"/>
      <c r="G22" s="17"/>
      <c r="H22" s="17"/>
      <c r="I22" s="13"/>
    </row>
    <row r="23" ht="15.75" customHeight="1">
      <c r="A23" s="11" t="s">
        <v>622</v>
      </c>
      <c r="B23" s="11" t="s">
        <v>598</v>
      </c>
      <c r="C23" s="14" t="s">
        <v>623</v>
      </c>
      <c r="D23" s="15" t="s">
        <v>624</v>
      </c>
      <c r="E23" s="17"/>
      <c r="F23" s="17"/>
      <c r="G23" s="17"/>
      <c r="H23" s="17"/>
      <c r="I23" s="13"/>
    </row>
    <row r="24" ht="15.75" customHeight="1">
      <c r="A24" s="11" t="s">
        <v>625</v>
      </c>
      <c r="B24" s="11" t="s">
        <v>598</v>
      </c>
      <c r="C24" s="14" t="s">
        <v>626</v>
      </c>
      <c r="D24" s="15" t="s">
        <v>627</v>
      </c>
      <c r="E24" s="17"/>
      <c r="F24" s="17"/>
      <c r="G24" s="17"/>
      <c r="H24" s="17"/>
      <c r="I24" s="13"/>
    </row>
    <row r="25" ht="15.75" customHeight="1">
      <c r="A25" s="11" t="s">
        <v>628</v>
      </c>
      <c r="B25" s="11" t="s">
        <v>598</v>
      </c>
      <c r="C25" s="14" t="s">
        <v>629</v>
      </c>
      <c r="D25" s="15" t="s">
        <v>630</v>
      </c>
      <c r="E25" s="17"/>
      <c r="F25" s="17"/>
      <c r="G25" s="17"/>
      <c r="H25" s="17"/>
      <c r="I25" s="13"/>
    </row>
    <row r="26" ht="15.75" customHeight="1">
      <c r="A26" s="11" t="s">
        <v>631</v>
      </c>
      <c r="B26" s="11" t="s">
        <v>598</v>
      </c>
      <c r="C26" s="14" t="s">
        <v>632</v>
      </c>
      <c r="D26" s="15" t="s">
        <v>633</v>
      </c>
      <c r="E26" s="17"/>
      <c r="F26" s="17"/>
      <c r="G26" s="17"/>
      <c r="H26" s="17"/>
      <c r="I26" s="13"/>
    </row>
    <row r="27" ht="15.75" customHeight="1">
      <c r="A27" s="11" t="s">
        <v>635</v>
      </c>
      <c r="B27" s="11" t="s">
        <v>636</v>
      </c>
      <c r="C27" s="14" t="s">
        <v>637</v>
      </c>
      <c r="D27" s="15" t="s">
        <v>638</v>
      </c>
      <c r="E27" s="17"/>
      <c r="F27" s="17"/>
      <c r="G27" s="17"/>
      <c r="H27" s="17"/>
      <c r="I27" s="13"/>
    </row>
    <row r="28" ht="15.75" customHeight="1">
      <c r="A28" s="11" t="s">
        <v>639</v>
      </c>
      <c r="B28" s="11" t="s">
        <v>636</v>
      </c>
      <c r="C28" s="14" t="s">
        <v>640</v>
      </c>
      <c r="D28" s="15" t="s">
        <v>638</v>
      </c>
      <c r="E28" s="17"/>
      <c r="F28" s="17"/>
      <c r="G28" s="17"/>
      <c r="H28" s="17"/>
      <c r="I28" s="13"/>
    </row>
    <row r="29" ht="15.75" customHeight="1">
      <c r="A29" s="11" t="s">
        <v>641</v>
      </c>
      <c r="B29" s="11" t="s">
        <v>636</v>
      </c>
      <c r="C29" s="14" t="s">
        <v>642</v>
      </c>
      <c r="D29" s="15" t="s">
        <v>643</v>
      </c>
      <c r="E29" s="17"/>
      <c r="F29" s="17"/>
      <c r="G29" s="17"/>
      <c r="H29" s="17"/>
      <c r="I29" s="13"/>
    </row>
    <row r="30" ht="15.75" customHeight="1">
      <c r="A30" s="11" t="s">
        <v>644</v>
      </c>
      <c r="B30" s="11" t="s">
        <v>636</v>
      </c>
      <c r="C30" s="14" t="s">
        <v>645</v>
      </c>
      <c r="D30" s="15" t="s">
        <v>646</v>
      </c>
      <c r="E30" s="17"/>
      <c r="F30" s="17"/>
      <c r="G30" s="17"/>
      <c r="H30" s="17"/>
      <c r="I30" s="13"/>
    </row>
    <row r="31" ht="15.75" customHeight="1">
      <c r="A31" s="11" t="s">
        <v>647</v>
      </c>
      <c r="B31" s="11" t="s">
        <v>636</v>
      </c>
      <c r="C31" s="14" t="s">
        <v>648</v>
      </c>
      <c r="D31" s="15" t="s">
        <v>649</v>
      </c>
      <c r="E31" s="17"/>
      <c r="F31" s="17"/>
      <c r="G31" s="17"/>
      <c r="H31" s="17"/>
      <c r="I31" s="13"/>
    </row>
    <row r="32" ht="15.75" customHeight="1">
      <c r="A32" s="11" t="s">
        <v>650</v>
      </c>
      <c r="B32" s="11" t="s">
        <v>636</v>
      </c>
      <c r="C32" s="14" t="s">
        <v>651</v>
      </c>
      <c r="D32" s="15" t="s">
        <v>652</v>
      </c>
      <c r="E32" s="17"/>
      <c r="F32" s="17"/>
      <c r="G32" s="17"/>
      <c r="H32" s="17"/>
      <c r="I32" s="13"/>
    </row>
    <row r="33" ht="15.75" customHeight="1">
      <c r="A33" s="11" t="s">
        <v>654</v>
      </c>
      <c r="B33" s="11" t="s">
        <v>636</v>
      </c>
      <c r="C33" s="14" t="s">
        <v>655</v>
      </c>
      <c r="D33" s="15" t="s">
        <v>656</v>
      </c>
      <c r="E33" s="17"/>
      <c r="F33" s="17"/>
      <c r="G33" s="17"/>
      <c r="H33" s="17"/>
      <c r="I33" s="13"/>
    </row>
    <row r="34" ht="15.75" customHeight="1">
      <c r="A34" s="11" t="s">
        <v>658</v>
      </c>
      <c r="B34" s="11" t="s">
        <v>636</v>
      </c>
      <c r="C34" s="14" t="s">
        <v>661</v>
      </c>
      <c r="D34" s="15" t="s">
        <v>663</v>
      </c>
      <c r="E34" s="17"/>
      <c r="F34" s="17"/>
      <c r="G34" s="17"/>
      <c r="H34" s="17"/>
      <c r="I34" s="13"/>
    </row>
    <row r="35" ht="15.75" customHeight="1">
      <c r="A35" s="11" t="s">
        <v>667</v>
      </c>
      <c r="B35" s="11" t="s">
        <v>636</v>
      </c>
      <c r="C35" s="14" t="s">
        <v>669</v>
      </c>
      <c r="D35" s="15" t="s">
        <v>670</v>
      </c>
      <c r="E35" s="17"/>
      <c r="F35" s="17"/>
      <c r="G35" s="17"/>
      <c r="H35" s="17"/>
      <c r="I35" s="13"/>
    </row>
    <row r="36" ht="15.75" customHeight="1">
      <c r="A36" s="11" t="s">
        <v>672</v>
      </c>
      <c r="B36" s="11" t="s">
        <v>636</v>
      </c>
      <c r="C36" s="14" t="s">
        <v>673</v>
      </c>
      <c r="D36" s="15" t="s">
        <v>674</v>
      </c>
      <c r="E36" s="17"/>
      <c r="F36" s="17"/>
      <c r="G36" s="17"/>
      <c r="H36" s="17"/>
      <c r="I36" s="1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36"/>
  <mergeCells count="2">
    <mergeCell ref="A1:H1"/>
    <mergeCell ref="A2:H2"/>
  </mergeCells>
  <dataValidations>
    <dataValidation type="list" allowBlank="1" sqref="E4:H36">
      <formula1>"Yes,No,Partial,Unknown"</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4.0"/>
    <col customWidth="1" min="2" max="2" width="34.0"/>
    <col customWidth="1" min="3" max="6" width="20.0"/>
    <col customWidth="1" min="7" max="7" width="26.0"/>
    <col customWidth="1" min="8" max="26" width="8.71"/>
  </cols>
  <sheetData>
    <row r="1" ht="25.5" customHeight="1">
      <c r="A1" s="1" t="s">
        <v>535</v>
      </c>
      <c r="B1" s="2"/>
      <c r="C1" s="2"/>
      <c r="D1" s="2"/>
      <c r="E1" s="2"/>
      <c r="F1" s="2"/>
      <c r="G1" s="3"/>
    </row>
    <row r="2" ht="18.0" customHeight="1">
      <c r="A2" s="4" t="s">
        <v>542</v>
      </c>
      <c r="B2" s="2"/>
      <c r="C2" s="2"/>
      <c r="D2" s="2"/>
      <c r="E2" s="2"/>
      <c r="F2" s="2"/>
      <c r="G2" s="3"/>
    </row>
    <row r="3" ht="30.0" customHeight="1">
      <c r="A3" s="5" t="s">
        <v>544</v>
      </c>
      <c r="B3" s="5" t="s">
        <v>10</v>
      </c>
      <c r="C3" s="7" t="s">
        <v>13</v>
      </c>
      <c r="D3" s="7" t="s">
        <v>17</v>
      </c>
      <c r="E3" s="7" t="s">
        <v>19</v>
      </c>
      <c r="F3" s="7" t="s">
        <v>21</v>
      </c>
      <c r="G3" s="7" t="s">
        <v>550</v>
      </c>
    </row>
    <row r="4">
      <c r="A4" s="23" t="s">
        <v>1</v>
      </c>
      <c r="B4" s="24" t="s">
        <v>39</v>
      </c>
      <c r="C4" s="25" t="str">
        <f>IFERROR(AVERAGEIFS('02 Technical SEO'!$G$4:$G$22,'02 Technical SEO'!$B$4:$B$22,$B4),"")</f>
        <v/>
      </c>
      <c r="D4" s="25" t="str">
        <f>IFERROR(AVERAGEIFS('02 Technical SEO'!$I$4:$I$22,'02 Technical SEO'!$B$4:$B$22,$B4),"")</f>
        <v/>
      </c>
      <c r="E4" s="25" t="str">
        <f>IFERROR(AVERAGEIFS('02 Technical SEO'!$K$4:$K$22,'02 Technical SEO'!$B$4:$B$22,$B4),"")</f>
        <v/>
      </c>
      <c r="F4" s="25" t="str">
        <f>IFERROR(AVERAGEIFS('02 Technical SEO'!$M$4:$M$22,'02 Technical SEO'!$B$4:$B$22,$B4),"")</f>
        <v/>
      </c>
      <c r="G4" s="26">
        <f t="shared" ref="G4:G44" si="1">IFERROR(F4-MAX(C4:E4),"")</f>
        <v>0</v>
      </c>
    </row>
    <row r="5">
      <c r="A5" s="23" t="s">
        <v>1</v>
      </c>
      <c r="B5" s="24" t="s">
        <v>142</v>
      </c>
      <c r="C5" s="25" t="str">
        <f>IFERROR(AVERAGEIFS('02 Technical SEO'!$G$4:$G$22,'02 Technical SEO'!$B$4:$B$22,$B5),"")</f>
        <v/>
      </c>
      <c r="D5" s="25" t="str">
        <f>IFERROR(AVERAGEIFS('02 Technical SEO'!$I$4:$I$22,'02 Technical SEO'!$B$4:$B$22,$B5),"")</f>
        <v/>
      </c>
      <c r="E5" s="25" t="str">
        <f>IFERROR(AVERAGEIFS('02 Technical SEO'!$K$4:$K$22,'02 Technical SEO'!$B$4:$B$22,$B5),"")</f>
        <v/>
      </c>
      <c r="F5" s="25" t="str">
        <f>IFERROR(AVERAGEIFS('02 Technical SEO'!$M$4:$M$22,'02 Technical SEO'!$B$4:$B$22,$B5),"")</f>
        <v/>
      </c>
      <c r="G5" s="26">
        <f t="shared" si="1"/>
        <v>0</v>
      </c>
    </row>
    <row r="6">
      <c r="A6" s="23" t="s">
        <v>1</v>
      </c>
      <c r="B6" s="24" t="s">
        <v>182</v>
      </c>
      <c r="C6" s="25" t="str">
        <f>IFERROR(AVERAGEIFS('02 Technical SEO'!$G$4:$G$22,'02 Technical SEO'!$B$4:$B$22,$B6),"")</f>
        <v/>
      </c>
      <c r="D6" s="25" t="str">
        <f>IFERROR(AVERAGEIFS('02 Technical SEO'!$I$4:$I$22,'02 Technical SEO'!$B$4:$B$22,$B6),"")</f>
        <v/>
      </c>
      <c r="E6" s="25" t="str">
        <f>IFERROR(AVERAGEIFS('02 Technical SEO'!$K$4:$K$22,'02 Technical SEO'!$B$4:$B$22,$B6),"")</f>
        <v/>
      </c>
      <c r="F6" s="25" t="str">
        <f>IFERROR(AVERAGEIFS('02 Technical SEO'!$M$4:$M$22,'02 Technical SEO'!$B$4:$B$22,$B6),"")</f>
        <v/>
      </c>
      <c r="G6" s="26">
        <f t="shared" si="1"/>
        <v>0</v>
      </c>
    </row>
    <row r="7">
      <c r="A7" s="23" t="s">
        <v>1</v>
      </c>
      <c r="B7" s="24" t="s">
        <v>195</v>
      </c>
      <c r="C7" s="25" t="str">
        <f>IFERROR(AVERAGEIFS('02 Technical SEO'!$G$4:$G$22,'02 Technical SEO'!$B$4:$B$22,$B7),"")</f>
        <v/>
      </c>
      <c r="D7" s="25" t="str">
        <f>IFERROR(AVERAGEIFS('02 Technical SEO'!$I$4:$I$22,'02 Technical SEO'!$B$4:$B$22,$B7),"")</f>
        <v/>
      </c>
      <c r="E7" s="25" t="str">
        <f>IFERROR(AVERAGEIFS('02 Technical SEO'!$K$4:$K$22,'02 Technical SEO'!$B$4:$B$22,$B7),"")</f>
        <v/>
      </c>
      <c r="F7" s="25" t="str">
        <f>IFERROR(AVERAGEIFS('02 Technical SEO'!$M$4:$M$22,'02 Technical SEO'!$B$4:$B$22,$B7),"")</f>
        <v/>
      </c>
      <c r="G7" s="26">
        <f t="shared" si="1"/>
        <v>0</v>
      </c>
    </row>
    <row r="8">
      <c r="A8" s="23" t="s">
        <v>1</v>
      </c>
      <c r="B8" s="24" t="s">
        <v>219</v>
      </c>
      <c r="C8" s="25" t="str">
        <f>IFERROR(AVERAGEIFS('02 Technical SEO'!$G$4:$G$22,'02 Technical SEO'!$B$4:$B$22,$B8),"")</f>
        <v/>
      </c>
      <c r="D8" s="25" t="str">
        <f>IFERROR(AVERAGEIFS('02 Technical SEO'!$I$4:$I$22,'02 Technical SEO'!$B$4:$B$22,$B8),"")</f>
        <v/>
      </c>
      <c r="E8" s="25" t="str">
        <f>IFERROR(AVERAGEIFS('02 Technical SEO'!$K$4:$K$22,'02 Technical SEO'!$B$4:$B$22,$B8),"")</f>
        <v/>
      </c>
      <c r="F8" s="25" t="str">
        <f>IFERROR(AVERAGEIFS('02 Technical SEO'!$M$4:$M$22,'02 Technical SEO'!$B$4:$B$22,$B8),"")</f>
        <v/>
      </c>
      <c r="G8" s="26">
        <f t="shared" si="1"/>
        <v>0</v>
      </c>
    </row>
    <row r="9">
      <c r="A9" s="23" t="s">
        <v>1</v>
      </c>
      <c r="B9" s="24" t="s">
        <v>237</v>
      </c>
      <c r="C9" s="25" t="str">
        <f>IFERROR(AVERAGEIFS('02 Technical SEO'!$G$4:$G$22,'02 Technical SEO'!$B$4:$B$22,$B9),"")</f>
        <v/>
      </c>
      <c r="D9" s="25" t="str">
        <f>IFERROR(AVERAGEIFS('02 Technical SEO'!$I$4:$I$22,'02 Technical SEO'!$B$4:$B$22,$B9),"")</f>
        <v/>
      </c>
      <c r="E9" s="25" t="str">
        <f>IFERROR(AVERAGEIFS('02 Technical SEO'!$K$4:$K$22,'02 Technical SEO'!$B$4:$B$22,$B9),"")</f>
        <v/>
      </c>
      <c r="F9" s="25" t="str">
        <f>IFERROR(AVERAGEIFS('02 Technical SEO'!$M$4:$M$22,'02 Technical SEO'!$B$4:$B$22,$B9),"")</f>
        <v/>
      </c>
      <c r="G9" s="26">
        <f t="shared" si="1"/>
        <v>0</v>
      </c>
    </row>
    <row r="10">
      <c r="A10" s="23" t="s">
        <v>1</v>
      </c>
      <c r="B10" s="24" t="s">
        <v>259</v>
      </c>
      <c r="C10" s="25" t="str">
        <f>IFERROR(AVERAGEIFS('02 Technical SEO'!$G$4:$G$22,'02 Technical SEO'!$B$4:$B$22,$B10),"")</f>
        <v/>
      </c>
      <c r="D10" s="25" t="str">
        <f>IFERROR(AVERAGEIFS('02 Technical SEO'!$I$4:$I$22,'02 Technical SEO'!$B$4:$B$22,$B10),"")</f>
        <v/>
      </c>
      <c r="E10" s="25" t="str">
        <f>IFERROR(AVERAGEIFS('02 Technical SEO'!$K$4:$K$22,'02 Technical SEO'!$B$4:$B$22,$B10),"")</f>
        <v/>
      </c>
      <c r="F10" s="25" t="str">
        <f>IFERROR(AVERAGEIFS('02 Technical SEO'!$M$4:$M$22,'02 Technical SEO'!$B$4:$B$22,$B10),"")</f>
        <v/>
      </c>
      <c r="G10" s="26">
        <f t="shared" si="1"/>
        <v>0</v>
      </c>
    </row>
    <row r="11">
      <c r="A11" s="27" t="s">
        <v>1</v>
      </c>
      <c r="B11" s="27" t="s">
        <v>634</v>
      </c>
      <c r="C11" s="28" t="str">
        <f>IFERROR(AVERAGE('02 Technical SEO'!$G$4:$G$22),"")</f>
        <v/>
      </c>
      <c r="D11" s="28" t="str">
        <f>IFERROR(AVERAGE('02 Technical SEO'!$I$4:$I$22),"")</f>
        <v/>
      </c>
      <c r="E11" s="28" t="str">
        <f>IFERROR(AVERAGE('02 Technical SEO'!$K$4:$K$22),"")</f>
        <v/>
      </c>
      <c r="F11" s="28" t="str">
        <f>IFERROR(AVERAGE('02 Technical SEO'!$M$4:$M$22),"")</f>
        <v/>
      </c>
      <c r="G11" s="29">
        <f t="shared" si="1"/>
        <v>0</v>
      </c>
    </row>
    <row r="12">
      <c r="A12" s="23" t="s">
        <v>6</v>
      </c>
      <c r="B12" s="24" t="s">
        <v>54</v>
      </c>
      <c r="C12" s="25" t="str">
        <f>IFERROR(AVERAGEIFS('03 Casino Silo'!$G$4:$G$27,'03 Casino Silo'!$B$4:$B$27,$B12),"")</f>
        <v/>
      </c>
      <c r="D12" s="25" t="str">
        <f>IFERROR(AVERAGEIFS('03 Casino Silo'!$I$4:$I$27,'03 Casino Silo'!$B$4:$B$27,$B12),"")</f>
        <v/>
      </c>
      <c r="E12" s="25" t="str">
        <f>IFERROR(AVERAGEIFS('03 Casino Silo'!$K$4:$K$27,'03 Casino Silo'!$B$4:$B$27,$B12),"")</f>
        <v/>
      </c>
      <c r="F12" s="25" t="str">
        <f>IFERROR(AVERAGEIFS('03 Casino Silo'!$M$4:$M$27,'03 Casino Silo'!$B$4:$B$27,$B12),"")</f>
        <v/>
      </c>
      <c r="G12" s="26">
        <f t="shared" si="1"/>
        <v>0</v>
      </c>
    </row>
    <row r="13">
      <c r="A13" s="23" t="s">
        <v>6</v>
      </c>
      <c r="B13" s="24" t="s">
        <v>148</v>
      </c>
      <c r="C13" s="25" t="str">
        <f>IFERROR(AVERAGEIFS('03 Casino Silo'!$G$4:$G$27,'03 Casino Silo'!$B$4:$B$27,$B13),"")</f>
        <v/>
      </c>
      <c r="D13" s="25" t="str">
        <f>IFERROR(AVERAGEIFS('03 Casino Silo'!$I$4:$I$27,'03 Casino Silo'!$B$4:$B$27,$B13),"")</f>
        <v/>
      </c>
      <c r="E13" s="25" t="str">
        <f>IFERROR(AVERAGEIFS('03 Casino Silo'!$K$4:$K$27,'03 Casino Silo'!$B$4:$B$27,$B13),"")</f>
        <v/>
      </c>
      <c r="F13" s="25" t="str">
        <f>IFERROR(AVERAGEIFS('03 Casino Silo'!$M$4:$M$27,'03 Casino Silo'!$B$4:$B$27,$B13),"")</f>
        <v/>
      </c>
      <c r="G13" s="26">
        <f t="shared" si="1"/>
        <v>0</v>
      </c>
    </row>
    <row r="14">
      <c r="A14" s="23" t="s">
        <v>6</v>
      </c>
      <c r="B14" s="24" t="s">
        <v>200</v>
      </c>
      <c r="C14" s="25" t="str">
        <f>IFERROR(AVERAGEIFS('03 Casino Silo'!$G$4:$G$27,'03 Casino Silo'!$B$4:$B$27,$B14),"")</f>
        <v/>
      </c>
      <c r="D14" s="25" t="str">
        <f>IFERROR(AVERAGEIFS('03 Casino Silo'!$I$4:$I$27,'03 Casino Silo'!$B$4:$B$27,$B14),"")</f>
        <v/>
      </c>
      <c r="E14" s="25" t="str">
        <f>IFERROR(AVERAGEIFS('03 Casino Silo'!$K$4:$K$27,'03 Casino Silo'!$B$4:$B$27,$B14),"")</f>
        <v/>
      </c>
      <c r="F14" s="25" t="str">
        <f>IFERROR(AVERAGEIFS('03 Casino Silo'!$M$4:$M$27,'03 Casino Silo'!$B$4:$B$27,$B14),"")</f>
        <v/>
      </c>
      <c r="G14" s="26">
        <f t="shared" si="1"/>
        <v>0</v>
      </c>
    </row>
    <row r="15">
      <c r="A15" s="23" t="s">
        <v>6</v>
      </c>
      <c r="B15" s="24" t="s">
        <v>228</v>
      </c>
      <c r="C15" s="25" t="str">
        <f>IFERROR(AVERAGEIFS('03 Casino Silo'!$G$4:$G$27,'03 Casino Silo'!$B$4:$B$27,$B15),"")</f>
        <v/>
      </c>
      <c r="D15" s="25" t="str">
        <f>IFERROR(AVERAGEIFS('03 Casino Silo'!$I$4:$I$27,'03 Casino Silo'!$B$4:$B$27,$B15),"")</f>
        <v/>
      </c>
      <c r="E15" s="25" t="str">
        <f>IFERROR(AVERAGEIFS('03 Casino Silo'!$K$4:$K$27,'03 Casino Silo'!$B$4:$B$27,$B15),"")</f>
        <v/>
      </c>
      <c r="F15" s="25" t="str">
        <f>IFERROR(AVERAGEIFS('03 Casino Silo'!$M$4:$M$27,'03 Casino Silo'!$B$4:$B$27,$B15),"")</f>
        <v/>
      </c>
      <c r="G15" s="26">
        <f t="shared" si="1"/>
        <v>0</v>
      </c>
    </row>
    <row r="16">
      <c r="A16" s="23" t="s">
        <v>6</v>
      </c>
      <c r="B16" s="24" t="s">
        <v>265</v>
      </c>
      <c r="C16" s="25" t="str">
        <f>IFERROR(AVERAGEIFS('03 Casino Silo'!$G$4:$G$27,'03 Casino Silo'!$B$4:$B$27,$B16),"")</f>
        <v/>
      </c>
      <c r="D16" s="25" t="str">
        <f>IFERROR(AVERAGEIFS('03 Casino Silo'!$I$4:$I$27,'03 Casino Silo'!$B$4:$B$27,$B16),"")</f>
        <v/>
      </c>
      <c r="E16" s="25" t="str">
        <f>IFERROR(AVERAGEIFS('03 Casino Silo'!$K$4:$K$27,'03 Casino Silo'!$B$4:$B$27,$B16),"")</f>
        <v/>
      </c>
      <c r="F16" s="25" t="str">
        <f>IFERROR(AVERAGEIFS('03 Casino Silo'!$M$4:$M$27,'03 Casino Silo'!$B$4:$B$27,$B16),"")</f>
        <v/>
      </c>
      <c r="G16" s="26">
        <f t="shared" si="1"/>
        <v>0</v>
      </c>
    </row>
    <row r="17">
      <c r="A17" s="23" t="s">
        <v>6</v>
      </c>
      <c r="B17" s="24" t="s">
        <v>287</v>
      </c>
      <c r="C17" s="25" t="str">
        <f>IFERROR(AVERAGEIFS('03 Casino Silo'!$G$4:$G$27,'03 Casino Silo'!$B$4:$B$27,$B17),"")</f>
        <v/>
      </c>
      <c r="D17" s="25" t="str">
        <f>IFERROR(AVERAGEIFS('03 Casino Silo'!$I$4:$I$27,'03 Casino Silo'!$B$4:$B$27,$B17),"")</f>
        <v/>
      </c>
      <c r="E17" s="25" t="str">
        <f>IFERROR(AVERAGEIFS('03 Casino Silo'!$K$4:$K$27,'03 Casino Silo'!$B$4:$B$27,$B17),"")</f>
        <v/>
      </c>
      <c r="F17" s="25" t="str">
        <f>IFERROR(AVERAGEIFS('03 Casino Silo'!$M$4:$M$27,'03 Casino Silo'!$B$4:$B$27,$B17),"")</f>
        <v/>
      </c>
      <c r="G17" s="26">
        <f t="shared" si="1"/>
        <v>0</v>
      </c>
    </row>
    <row r="18">
      <c r="A18" s="23" t="s">
        <v>6</v>
      </c>
      <c r="B18" s="24" t="s">
        <v>341</v>
      </c>
      <c r="C18" s="25" t="str">
        <f>IFERROR(AVERAGEIFS('03 Casino Silo'!$G$4:$G$27,'03 Casino Silo'!$B$4:$B$27,$B18),"")</f>
        <v/>
      </c>
      <c r="D18" s="25" t="str">
        <f>IFERROR(AVERAGEIFS('03 Casino Silo'!$I$4:$I$27,'03 Casino Silo'!$B$4:$B$27,$B18),"")</f>
        <v/>
      </c>
      <c r="E18" s="25" t="str">
        <f>IFERROR(AVERAGEIFS('03 Casino Silo'!$K$4:$K$27,'03 Casino Silo'!$B$4:$B$27,$B18),"")</f>
        <v/>
      </c>
      <c r="F18" s="25" t="str">
        <f>IFERROR(AVERAGEIFS('03 Casino Silo'!$M$4:$M$27,'03 Casino Silo'!$B$4:$B$27,$B18),"")</f>
        <v/>
      </c>
      <c r="G18" s="26">
        <f t="shared" si="1"/>
        <v>0</v>
      </c>
    </row>
    <row r="19">
      <c r="A19" s="27" t="s">
        <v>6</v>
      </c>
      <c r="B19" s="27" t="s">
        <v>675</v>
      </c>
      <c r="C19" s="28" t="str">
        <f>IFERROR(AVERAGE('03 Casino Silo'!$G$4:$G$27),"")</f>
        <v/>
      </c>
      <c r="D19" s="28" t="str">
        <f>IFERROR(AVERAGE('03 Casino Silo'!$I$4:$I$27),"")</f>
        <v/>
      </c>
      <c r="E19" s="28" t="str">
        <f>IFERROR(AVERAGE('03 Casino Silo'!$K$4:$K$27),"")</f>
        <v/>
      </c>
      <c r="F19" s="28" t="str">
        <f>IFERROR(AVERAGE('03 Casino Silo'!$M$4:$M$27),"")</f>
        <v/>
      </c>
      <c r="G19" s="29">
        <f t="shared" si="1"/>
        <v>0</v>
      </c>
    </row>
    <row r="20">
      <c r="A20" s="23" t="s">
        <v>225</v>
      </c>
      <c r="B20" s="24" t="s">
        <v>54</v>
      </c>
      <c r="C20" s="25" t="str">
        <f>IFERROR(AVERAGEIFS('04 Sports Silo'!$G$4:$G$25,'04 Sports Silo'!$B$4:$B$25,$B20),"")</f>
        <v/>
      </c>
      <c r="D20" s="25" t="str">
        <f>IFERROR(AVERAGEIFS('04 Sports Silo'!$I$4:$I$25,'04 Sports Silo'!$B$4:$B$25,$B20),"")</f>
        <v/>
      </c>
      <c r="E20" s="25" t="str">
        <f>IFERROR(AVERAGEIFS('04 Sports Silo'!$K$4:$K$25,'04 Sports Silo'!$B$4:$B$25,$B20),"")</f>
        <v/>
      </c>
      <c r="F20" s="25" t="str">
        <f>IFERROR(AVERAGEIFS('04 Sports Silo'!$M$4:$M$25,'04 Sports Silo'!$B$4:$B$25,$B20),"")</f>
        <v/>
      </c>
      <c r="G20" s="26">
        <f t="shared" si="1"/>
        <v>0</v>
      </c>
    </row>
    <row r="21" ht="15.75" customHeight="1">
      <c r="A21" s="23" t="s">
        <v>225</v>
      </c>
      <c r="B21" s="24" t="s">
        <v>148</v>
      </c>
      <c r="C21" s="25" t="str">
        <f>IFERROR(AVERAGEIFS('04 Sports Silo'!$G$4:$G$25,'04 Sports Silo'!$B$4:$B$25,$B21),"")</f>
        <v/>
      </c>
      <c r="D21" s="25" t="str">
        <f>IFERROR(AVERAGEIFS('04 Sports Silo'!$I$4:$I$25,'04 Sports Silo'!$B$4:$B$25,$B21),"")</f>
        <v/>
      </c>
      <c r="E21" s="25" t="str">
        <f>IFERROR(AVERAGEIFS('04 Sports Silo'!$K$4:$K$25,'04 Sports Silo'!$B$4:$B$25,$B21),"")</f>
        <v/>
      </c>
      <c r="F21" s="25" t="str">
        <f>IFERROR(AVERAGEIFS('04 Sports Silo'!$M$4:$M$25,'04 Sports Silo'!$B$4:$B$25,$B21),"")</f>
        <v/>
      </c>
      <c r="G21" s="26">
        <f t="shared" si="1"/>
        <v>0</v>
      </c>
    </row>
    <row r="22" ht="15.75" customHeight="1">
      <c r="A22" s="23" t="s">
        <v>225</v>
      </c>
      <c r="B22" s="24" t="s">
        <v>349</v>
      </c>
      <c r="C22" s="25" t="str">
        <f>IFERROR(AVERAGEIFS('04 Sports Silo'!$G$4:$G$25,'04 Sports Silo'!$B$4:$B$25,$B22),"")</f>
        <v/>
      </c>
      <c r="D22" s="25" t="str">
        <f>IFERROR(AVERAGEIFS('04 Sports Silo'!$I$4:$I$25,'04 Sports Silo'!$B$4:$B$25,$B22),"")</f>
        <v/>
      </c>
      <c r="E22" s="25" t="str">
        <f>IFERROR(AVERAGEIFS('04 Sports Silo'!$K$4:$K$25,'04 Sports Silo'!$B$4:$B$25,$B22),"")</f>
        <v/>
      </c>
      <c r="F22" s="25" t="str">
        <f>IFERROR(AVERAGEIFS('04 Sports Silo'!$M$4:$M$25,'04 Sports Silo'!$B$4:$B$25,$B22),"")</f>
        <v/>
      </c>
      <c r="G22" s="26">
        <f t="shared" si="1"/>
        <v>0</v>
      </c>
    </row>
    <row r="23" ht="15.75" customHeight="1">
      <c r="A23" s="23" t="s">
        <v>225</v>
      </c>
      <c r="B23" s="24" t="s">
        <v>200</v>
      </c>
      <c r="C23" s="25" t="str">
        <f>IFERROR(AVERAGEIFS('04 Sports Silo'!$G$4:$G$25,'04 Sports Silo'!$B$4:$B$25,$B23),"")</f>
        <v/>
      </c>
      <c r="D23" s="25" t="str">
        <f>IFERROR(AVERAGEIFS('04 Sports Silo'!$I$4:$I$25,'04 Sports Silo'!$B$4:$B$25,$B23),"")</f>
        <v/>
      </c>
      <c r="E23" s="25" t="str">
        <f>IFERROR(AVERAGEIFS('04 Sports Silo'!$K$4:$K$25,'04 Sports Silo'!$B$4:$B$25,$B23),"")</f>
        <v/>
      </c>
      <c r="F23" s="25" t="str">
        <f>IFERROR(AVERAGEIFS('04 Sports Silo'!$M$4:$M$25,'04 Sports Silo'!$B$4:$B$25,$B23),"")</f>
        <v/>
      </c>
      <c r="G23" s="26">
        <f t="shared" si="1"/>
        <v>0</v>
      </c>
    </row>
    <row r="24" ht="15.75" customHeight="1">
      <c r="A24" s="23" t="s">
        <v>225</v>
      </c>
      <c r="B24" s="24" t="s">
        <v>403</v>
      </c>
      <c r="C24" s="25" t="str">
        <f>IFERROR(AVERAGEIFS('04 Sports Silo'!$G$4:$G$25,'04 Sports Silo'!$B$4:$B$25,$B24),"")</f>
        <v/>
      </c>
      <c r="D24" s="25" t="str">
        <f>IFERROR(AVERAGEIFS('04 Sports Silo'!$I$4:$I$25,'04 Sports Silo'!$B$4:$B$25,$B24),"")</f>
        <v/>
      </c>
      <c r="E24" s="25" t="str">
        <f>IFERROR(AVERAGEIFS('04 Sports Silo'!$K$4:$K$25,'04 Sports Silo'!$B$4:$B$25,$B24),"")</f>
        <v/>
      </c>
      <c r="F24" s="25" t="str">
        <f>IFERROR(AVERAGEIFS('04 Sports Silo'!$M$4:$M$25,'04 Sports Silo'!$B$4:$B$25,$B24),"")</f>
        <v/>
      </c>
      <c r="G24" s="26">
        <f t="shared" si="1"/>
        <v>0</v>
      </c>
    </row>
    <row r="25" ht="15.75" customHeight="1">
      <c r="A25" s="23" t="s">
        <v>225</v>
      </c>
      <c r="B25" s="24" t="s">
        <v>265</v>
      </c>
      <c r="C25" s="25" t="str">
        <f>IFERROR(AVERAGEIFS('04 Sports Silo'!$G$4:$G$25,'04 Sports Silo'!$B$4:$B$25,$B25),"")</f>
        <v/>
      </c>
      <c r="D25" s="25" t="str">
        <f>IFERROR(AVERAGEIFS('04 Sports Silo'!$I$4:$I$25,'04 Sports Silo'!$B$4:$B$25,$B25),"")</f>
        <v/>
      </c>
      <c r="E25" s="25" t="str">
        <f>IFERROR(AVERAGEIFS('04 Sports Silo'!$K$4:$K$25,'04 Sports Silo'!$B$4:$B$25,$B25),"")</f>
        <v/>
      </c>
      <c r="F25" s="25" t="str">
        <f>IFERROR(AVERAGEIFS('04 Sports Silo'!$M$4:$M$25,'04 Sports Silo'!$B$4:$B$25,$B25),"")</f>
        <v/>
      </c>
      <c r="G25" s="26">
        <f t="shared" si="1"/>
        <v>0</v>
      </c>
    </row>
    <row r="26" ht="15.75" customHeight="1">
      <c r="A26" s="23" t="s">
        <v>225</v>
      </c>
      <c r="B26" s="24" t="s">
        <v>341</v>
      </c>
      <c r="C26" s="25" t="str">
        <f>IFERROR(AVERAGEIFS('04 Sports Silo'!$G$4:$G$25,'04 Sports Silo'!$B$4:$B$25,$B26),"")</f>
        <v/>
      </c>
      <c r="D26" s="25" t="str">
        <f>IFERROR(AVERAGEIFS('04 Sports Silo'!$I$4:$I$25,'04 Sports Silo'!$B$4:$B$25,$B26),"")</f>
        <v/>
      </c>
      <c r="E26" s="25" t="str">
        <f>IFERROR(AVERAGEIFS('04 Sports Silo'!$K$4:$K$25,'04 Sports Silo'!$B$4:$B$25,$B26),"")</f>
        <v/>
      </c>
      <c r="F26" s="25" t="str">
        <f>IFERROR(AVERAGEIFS('04 Sports Silo'!$M$4:$M$25,'04 Sports Silo'!$B$4:$B$25,$B26),"")</f>
        <v/>
      </c>
      <c r="G26" s="26">
        <f t="shared" si="1"/>
        <v>0</v>
      </c>
    </row>
    <row r="27" ht="15.75" customHeight="1">
      <c r="A27" s="27" t="s">
        <v>225</v>
      </c>
      <c r="B27" s="27" t="s">
        <v>676</v>
      </c>
      <c r="C27" s="28" t="str">
        <f>IFERROR(AVERAGE('04 Sports Silo'!$G$4:$G$25),"")</f>
        <v/>
      </c>
      <c r="D27" s="28" t="str">
        <f>IFERROR(AVERAGE('04 Sports Silo'!$I$4:$I$25),"")</f>
        <v/>
      </c>
      <c r="E27" s="28" t="str">
        <f>IFERROR(AVERAGE('04 Sports Silo'!$K$4:$K$25),"")</f>
        <v/>
      </c>
      <c r="F27" s="28" t="str">
        <f>IFERROR(AVERAGE('04 Sports Silo'!$M$4:$M$25),"")</f>
        <v/>
      </c>
      <c r="G27" s="29">
        <f t="shared" si="1"/>
        <v>0</v>
      </c>
    </row>
    <row r="28" ht="15.75" customHeight="1">
      <c r="A28" s="23" t="s">
        <v>253</v>
      </c>
      <c r="B28" s="24" t="s">
        <v>282</v>
      </c>
      <c r="C28" s="25" t="str">
        <f>IFERROR(AVERAGEIFS('05 Content &amp; Guides'!$G$4:$G$24,'05 Content &amp; Guides'!$B$4:$B$24,$B28),"")</f>
        <v/>
      </c>
      <c r="D28" s="25" t="str">
        <f>IFERROR(AVERAGEIFS('05 Content &amp; Guides'!$I$4:$I$24,'05 Content &amp; Guides'!$B$4:$B$24,$B28),"")</f>
        <v/>
      </c>
      <c r="E28" s="25" t="str">
        <f>IFERROR(AVERAGEIFS('05 Content &amp; Guides'!$K$4:$K$24,'05 Content &amp; Guides'!$B$4:$B$24,$B28),"")</f>
        <v/>
      </c>
      <c r="F28" s="25" t="str">
        <f>IFERROR(AVERAGEIFS('05 Content &amp; Guides'!$M$4:$M$24,'05 Content &amp; Guides'!$B$4:$B$24,$B28),"")</f>
        <v/>
      </c>
      <c r="G28" s="26">
        <f t="shared" si="1"/>
        <v>0</v>
      </c>
    </row>
    <row r="29" ht="15.75" customHeight="1">
      <c r="A29" s="23" t="s">
        <v>253</v>
      </c>
      <c r="B29" s="24" t="s">
        <v>317</v>
      </c>
      <c r="C29" s="25" t="str">
        <f>IFERROR(AVERAGEIFS('05 Content &amp; Guides'!$G$4:$G$24,'05 Content &amp; Guides'!$B$4:$B$24,$B29),"")</f>
        <v/>
      </c>
      <c r="D29" s="25" t="str">
        <f>IFERROR(AVERAGEIFS('05 Content &amp; Guides'!$I$4:$I$24,'05 Content &amp; Guides'!$B$4:$B$24,$B29),"")</f>
        <v/>
      </c>
      <c r="E29" s="25" t="str">
        <f>IFERROR(AVERAGEIFS('05 Content &amp; Guides'!$K$4:$K$24,'05 Content &amp; Guides'!$B$4:$B$24,$B29),"")</f>
        <v/>
      </c>
      <c r="F29" s="25" t="str">
        <f>IFERROR(AVERAGEIFS('05 Content &amp; Guides'!$M$4:$M$24,'05 Content &amp; Guides'!$B$4:$B$24,$B29),"")</f>
        <v/>
      </c>
      <c r="G29" s="26">
        <f t="shared" si="1"/>
        <v>0</v>
      </c>
    </row>
    <row r="30" ht="15.75" customHeight="1">
      <c r="A30" s="23" t="s">
        <v>253</v>
      </c>
      <c r="B30" s="24" t="s">
        <v>377</v>
      </c>
      <c r="C30" s="25" t="str">
        <f>IFERROR(AVERAGEIFS('05 Content &amp; Guides'!$G$4:$G$24,'05 Content &amp; Guides'!$B$4:$B$24,$B30),"")</f>
        <v/>
      </c>
      <c r="D30" s="25" t="str">
        <f>IFERROR(AVERAGEIFS('05 Content &amp; Guides'!$I$4:$I$24,'05 Content &amp; Guides'!$B$4:$B$24,$B30),"")</f>
        <v/>
      </c>
      <c r="E30" s="25" t="str">
        <f>IFERROR(AVERAGEIFS('05 Content &amp; Guides'!$K$4:$K$24,'05 Content &amp; Guides'!$B$4:$B$24,$B30),"")</f>
        <v/>
      </c>
      <c r="F30" s="25" t="str">
        <f>IFERROR(AVERAGEIFS('05 Content &amp; Guides'!$M$4:$M$24,'05 Content &amp; Guides'!$B$4:$B$24,$B30),"")</f>
        <v/>
      </c>
      <c r="G30" s="26">
        <f t="shared" si="1"/>
        <v>0</v>
      </c>
    </row>
    <row r="31" ht="15.75" customHeight="1">
      <c r="A31" s="23" t="s">
        <v>253</v>
      </c>
      <c r="B31" s="24" t="s">
        <v>407</v>
      </c>
      <c r="C31" s="25" t="str">
        <f>IFERROR(AVERAGEIFS('05 Content &amp; Guides'!$G$4:$G$24,'05 Content &amp; Guides'!$B$4:$B$24,$B31),"")</f>
        <v/>
      </c>
      <c r="D31" s="25" t="str">
        <f>IFERROR(AVERAGEIFS('05 Content &amp; Guides'!$I$4:$I$24,'05 Content &amp; Guides'!$B$4:$B$24,$B31),"")</f>
        <v/>
      </c>
      <c r="E31" s="25" t="str">
        <f>IFERROR(AVERAGEIFS('05 Content &amp; Guides'!$K$4:$K$24,'05 Content &amp; Guides'!$B$4:$B$24,$B31),"")</f>
        <v/>
      </c>
      <c r="F31" s="25" t="str">
        <f>IFERROR(AVERAGEIFS('05 Content &amp; Guides'!$M$4:$M$24,'05 Content &amp; Guides'!$B$4:$B$24,$B31),"")</f>
        <v/>
      </c>
      <c r="G31" s="26">
        <f t="shared" si="1"/>
        <v>0</v>
      </c>
    </row>
    <row r="32" ht="15.75" customHeight="1">
      <c r="A32" s="23" t="s">
        <v>253</v>
      </c>
      <c r="B32" s="24" t="s">
        <v>426</v>
      </c>
      <c r="C32" s="25" t="str">
        <f>IFERROR(AVERAGEIFS('05 Content &amp; Guides'!$G$4:$G$24,'05 Content &amp; Guides'!$B$4:$B$24,$B32),"")</f>
        <v/>
      </c>
      <c r="D32" s="25" t="str">
        <f>IFERROR(AVERAGEIFS('05 Content &amp; Guides'!$I$4:$I$24,'05 Content &amp; Guides'!$B$4:$B$24,$B32),"")</f>
        <v/>
      </c>
      <c r="E32" s="25" t="str">
        <f>IFERROR(AVERAGEIFS('05 Content &amp; Guides'!$K$4:$K$24,'05 Content &amp; Guides'!$B$4:$B$24,$B32),"")</f>
        <v/>
      </c>
      <c r="F32" s="25" t="str">
        <f>IFERROR(AVERAGEIFS('05 Content &amp; Guides'!$M$4:$M$24,'05 Content &amp; Guides'!$B$4:$B$24,$B32),"")</f>
        <v/>
      </c>
      <c r="G32" s="26">
        <f t="shared" si="1"/>
        <v>0</v>
      </c>
    </row>
    <row r="33" ht="15.75" customHeight="1">
      <c r="A33" s="27" t="s">
        <v>253</v>
      </c>
      <c r="B33" s="27" t="s">
        <v>677</v>
      </c>
      <c r="C33" s="28" t="str">
        <f>IFERROR(AVERAGE('05 Content &amp; Guides'!$G$4:$G$24),"")</f>
        <v/>
      </c>
      <c r="D33" s="28" t="str">
        <f>IFERROR(AVERAGE('05 Content &amp; Guides'!$I$4:$I$24),"")</f>
        <v/>
      </c>
      <c r="E33" s="28" t="str">
        <f>IFERROR(AVERAGE('05 Content &amp; Guides'!$K$4:$K$24),"")</f>
        <v/>
      </c>
      <c r="F33" s="28" t="str">
        <f>IFERROR(AVERAGE('05 Content &amp; Guides'!$M$4:$M$24),"")</f>
        <v/>
      </c>
      <c r="G33" s="29">
        <f t="shared" si="1"/>
        <v>0</v>
      </c>
    </row>
    <row r="34" ht="15.75" customHeight="1">
      <c r="A34" s="23" t="s">
        <v>441</v>
      </c>
      <c r="B34" s="24" t="s">
        <v>444</v>
      </c>
      <c r="C34" s="25" t="str">
        <f>IFERROR(AVERAGEIFS('06 Off-Page &amp; Authority'!$G$4:$G$20,'06 Off-Page &amp; Authority'!$B$4:$B$20,$B34),"")</f>
        <v/>
      </c>
      <c r="D34" s="25" t="str">
        <f>IFERROR(AVERAGEIFS('06 Off-Page &amp; Authority'!$I$4:$I$20,'06 Off-Page &amp; Authority'!$B$4:$B$20,$B34),"")</f>
        <v/>
      </c>
      <c r="E34" s="25" t="str">
        <f>IFERROR(AVERAGEIFS('06 Off-Page &amp; Authority'!$K$4:$K$20,'06 Off-Page &amp; Authority'!$B$4:$B$20,$B34),"")</f>
        <v/>
      </c>
      <c r="F34" s="25" t="str">
        <f>IFERROR(AVERAGEIFS('06 Off-Page &amp; Authority'!$M$4:$M$20,'06 Off-Page &amp; Authority'!$B$4:$B$20,$B34),"")</f>
        <v/>
      </c>
      <c r="G34" s="26">
        <f t="shared" si="1"/>
        <v>0</v>
      </c>
    </row>
    <row r="35" ht="15.75" customHeight="1">
      <c r="A35" s="23" t="s">
        <v>441</v>
      </c>
      <c r="B35" s="24" t="s">
        <v>465</v>
      </c>
      <c r="C35" s="25" t="str">
        <f>IFERROR(AVERAGEIFS('06 Off-Page &amp; Authority'!$G$4:$G$20,'06 Off-Page &amp; Authority'!$B$4:$B$20,$B35),"")</f>
        <v/>
      </c>
      <c r="D35" s="25" t="str">
        <f>IFERROR(AVERAGEIFS('06 Off-Page &amp; Authority'!$I$4:$I$20,'06 Off-Page &amp; Authority'!$B$4:$B$20,$B35),"")</f>
        <v/>
      </c>
      <c r="E35" s="25" t="str">
        <f>IFERROR(AVERAGEIFS('06 Off-Page &amp; Authority'!$K$4:$K$20,'06 Off-Page &amp; Authority'!$B$4:$B$20,$B35),"")</f>
        <v/>
      </c>
      <c r="F35" s="25" t="str">
        <f>IFERROR(AVERAGEIFS('06 Off-Page &amp; Authority'!$M$4:$M$20,'06 Off-Page &amp; Authority'!$B$4:$B$20,$B35),"")</f>
        <v/>
      </c>
      <c r="G35" s="26">
        <f t="shared" si="1"/>
        <v>0</v>
      </c>
    </row>
    <row r="36" ht="15.75" customHeight="1">
      <c r="A36" s="23" t="s">
        <v>441</v>
      </c>
      <c r="B36" s="24" t="s">
        <v>479</v>
      </c>
      <c r="C36" s="25" t="str">
        <f>IFERROR(AVERAGEIFS('06 Off-Page &amp; Authority'!$G$4:$G$20,'06 Off-Page &amp; Authority'!$B$4:$B$20,$B36),"")</f>
        <v/>
      </c>
      <c r="D36" s="25" t="str">
        <f>IFERROR(AVERAGEIFS('06 Off-Page &amp; Authority'!$I$4:$I$20,'06 Off-Page &amp; Authority'!$B$4:$B$20,$B36),"")</f>
        <v/>
      </c>
      <c r="E36" s="25" t="str">
        <f>IFERROR(AVERAGEIFS('06 Off-Page &amp; Authority'!$K$4:$K$20,'06 Off-Page &amp; Authority'!$B$4:$B$20,$B36),"")</f>
        <v/>
      </c>
      <c r="F36" s="25" t="str">
        <f>IFERROR(AVERAGEIFS('06 Off-Page &amp; Authority'!$M$4:$M$20,'06 Off-Page &amp; Authority'!$B$4:$B$20,$B36),"")</f>
        <v/>
      </c>
      <c r="G36" s="26">
        <f t="shared" si="1"/>
        <v>0</v>
      </c>
    </row>
    <row r="37" ht="15.75" customHeight="1">
      <c r="A37" s="23" t="s">
        <v>441</v>
      </c>
      <c r="B37" s="24" t="s">
        <v>498</v>
      </c>
      <c r="C37" s="25" t="str">
        <f>IFERROR(AVERAGEIFS('06 Off-Page &amp; Authority'!$G$4:$G$20,'06 Off-Page &amp; Authority'!$B$4:$B$20,$B37),"")</f>
        <v/>
      </c>
      <c r="D37" s="25" t="str">
        <f>IFERROR(AVERAGEIFS('06 Off-Page &amp; Authority'!$I$4:$I$20,'06 Off-Page &amp; Authority'!$B$4:$B$20,$B37),"")</f>
        <v/>
      </c>
      <c r="E37" s="25" t="str">
        <f>IFERROR(AVERAGEIFS('06 Off-Page &amp; Authority'!$K$4:$K$20,'06 Off-Page &amp; Authority'!$B$4:$B$20,$B37),"")</f>
        <v/>
      </c>
      <c r="F37" s="25" t="str">
        <f>IFERROR(AVERAGEIFS('06 Off-Page &amp; Authority'!$M$4:$M$20,'06 Off-Page &amp; Authority'!$B$4:$B$20,$B37),"")</f>
        <v/>
      </c>
      <c r="G37" s="26">
        <f t="shared" si="1"/>
        <v>0</v>
      </c>
    </row>
    <row r="38" ht="15.75" customHeight="1">
      <c r="A38" s="23" t="s">
        <v>441</v>
      </c>
      <c r="B38" s="24" t="s">
        <v>517</v>
      </c>
      <c r="C38" s="25" t="str">
        <f>IFERROR(AVERAGEIFS('06 Off-Page &amp; Authority'!$G$4:$G$20,'06 Off-Page &amp; Authority'!$B$4:$B$20,$B38),"")</f>
        <v/>
      </c>
      <c r="D38" s="25" t="str">
        <f>IFERROR(AVERAGEIFS('06 Off-Page &amp; Authority'!$I$4:$I$20,'06 Off-Page &amp; Authority'!$B$4:$B$20,$B38),"")</f>
        <v/>
      </c>
      <c r="E38" s="25" t="str">
        <f>IFERROR(AVERAGEIFS('06 Off-Page &amp; Authority'!$K$4:$K$20,'06 Off-Page &amp; Authority'!$B$4:$B$20,$B38),"")</f>
        <v/>
      </c>
      <c r="F38" s="25" t="str">
        <f>IFERROR(AVERAGEIFS('06 Off-Page &amp; Authority'!$M$4:$M$20,'06 Off-Page &amp; Authority'!$B$4:$B$20,$B38),"")</f>
        <v/>
      </c>
      <c r="G38" s="26">
        <f t="shared" si="1"/>
        <v>0</v>
      </c>
    </row>
    <row r="39" ht="15.75" customHeight="1">
      <c r="A39" s="27" t="s">
        <v>441</v>
      </c>
      <c r="B39" s="27" t="s">
        <v>678</v>
      </c>
      <c r="C39" s="28" t="str">
        <f>IFERROR(AVERAGE('06 Off-Page &amp; Authority'!$G$4:$G$20),"")</f>
        <v/>
      </c>
      <c r="D39" s="28" t="str">
        <f>IFERROR(AVERAGE('06 Off-Page &amp; Authority'!$I$4:$I$20),"")</f>
        <v/>
      </c>
      <c r="E39" s="28" t="str">
        <f>IFERROR(AVERAGE('06 Off-Page &amp; Authority'!$K$4:$K$20),"")</f>
        <v/>
      </c>
      <c r="F39" s="28" t="str">
        <f>IFERROR(AVERAGE('06 Off-Page &amp; Authority'!$M$4:$M$20),"")</f>
        <v/>
      </c>
      <c r="G39" s="29">
        <f t="shared" si="1"/>
        <v>0</v>
      </c>
    </row>
    <row r="40" ht="15.75" customHeight="1">
      <c r="A40" s="23" t="s">
        <v>459</v>
      </c>
      <c r="B40" s="24" t="s">
        <v>473</v>
      </c>
      <c r="C40" s="25" t="str">
        <f>IFERROR(AVERAGEIFS('07 Bahamas &amp; Compliance'!$G$4:$G$19,'07 Bahamas &amp; Compliance'!$B$4:$B$19,$B40),"")</f>
        <v/>
      </c>
      <c r="D40" s="25" t="str">
        <f>IFERROR(AVERAGEIFS('07 Bahamas &amp; Compliance'!$I$4:$I$19,'07 Bahamas &amp; Compliance'!$B$4:$B$19,$B40),"")</f>
        <v/>
      </c>
      <c r="E40" s="25" t="str">
        <f>IFERROR(AVERAGEIFS('07 Bahamas &amp; Compliance'!$K$4:$K$19,'07 Bahamas &amp; Compliance'!$B$4:$B$19,$B40),"")</f>
        <v/>
      </c>
      <c r="F40" s="25" t="str">
        <f>IFERROR(AVERAGEIFS('07 Bahamas &amp; Compliance'!$M$4:$M$19,'07 Bahamas &amp; Compliance'!$B$4:$B$19,$B40),"")</f>
        <v/>
      </c>
      <c r="G40" s="26">
        <f t="shared" si="1"/>
        <v>0</v>
      </c>
    </row>
    <row r="41" ht="15.75" customHeight="1">
      <c r="A41" s="23" t="s">
        <v>459</v>
      </c>
      <c r="B41" s="24" t="s">
        <v>508</v>
      </c>
      <c r="C41" s="25" t="str">
        <f>IFERROR(AVERAGEIFS('07 Bahamas &amp; Compliance'!$G$4:$G$19,'07 Bahamas &amp; Compliance'!$B$4:$B$19,$B41),"")</f>
        <v/>
      </c>
      <c r="D41" s="25" t="str">
        <f>IFERROR(AVERAGEIFS('07 Bahamas &amp; Compliance'!$I$4:$I$19,'07 Bahamas &amp; Compliance'!$B$4:$B$19,$B41),"")</f>
        <v/>
      </c>
      <c r="E41" s="25" t="str">
        <f>IFERROR(AVERAGEIFS('07 Bahamas &amp; Compliance'!$K$4:$K$19,'07 Bahamas &amp; Compliance'!$B$4:$B$19,$B41),"")</f>
        <v/>
      </c>
      <c r="F41" s="25" t="str">
        <f>IFERROR(AVERAGEIFS('07 Bahamas &amp; Compliance'!$M$4:$M$19,'07 Bahamas &amp; Compliance'!$B$4:$B$19,$B41),"")</f>
        <v/>
      </c>
      <c r="G41" s="26">
        <f t="shared" si="1"/>
        <v>0</v>
      </c>
    </row>
    <row r="42" ht="15.75" customHeight="1">
      <c r="A42" s="23" t="s">
        <v>459</v>
      </c>
      <c r="B42" s="24" t="s">
        <v>537</v>
      </c>
      <c r="C42" s="25" t="str">
        <f>IFERROR(AVERAGEIFS('07 Bahamas &amp; Compliance'!$G$4:$G$19,'07 Bahamas &amp; Compliance'!$B$4:$B$19,$B42),"")</f>
        <v/>
      </c>
      <c r="D42" s="25" t="str">
        <f>IFERROR(AVERAGEIFS('07 Bahamas &amp; Compliance'!$I$4:$I$19,'07 Bahamas &amp; Compliance'!$B$4:$B$19,$B42),"")</f>
        <v/>
      </c>
      <c r="E42" s="25" t="str">
        <f>IFERROR(AVERAGEIFS('07 Bahamas &amp; Compliance'!$K$4:$K$19,'07 Bahamas &amp; Compliance'!$B$4:$B$19,$B42),"")</f>
        <v/>
      </c>
      <c r="F42" s="25" t="str">
        <f>IFERROR(AVERAGEIFS('07 Bahamas &amp; Compliance'!$M$4:$M$19,'07 Bahamas &amp; Compliance'!$B$4:$B$19,$B42),"")</f>
        <v/>
      </c>
      <c r="G42" s="26">
        <f t="shared" si="1"/>
        <v>0</v>
      </c>
    </row>
    <row r="43" ht="15.75" customHeight="1">
      <c r="A43" s="23" t="s">
        <v>459</v>
      </c>
      <c r="B43" s="24" t="s">
        <v>592</v>
      </c>
      <c r="C43" s="25" t="str">
        <f>IFERROR(AVERAGEIFS('07 Bahamas &amp; Compliance'!$G$4:$G$19,'07 Bahamas &amp; Compliance'!$B$4:$B$19,$B43),"")</f>
        <v/>
      </c>
      <c r="D43" s="25" t="str">
        <f>IFERROR(AVERAGEIFS('07 Bahamas &amp; Compliance'!$I$4:$I$19,'07 Bahamas &amp; Compliance'!$B$4:$B$19,$B43),"")</f>
        <v/>
      </c>
      <c r="E43" s="25" t="str">
        <f>IFERROR(AVERAGEIFS('07 Bahamas &amp; Compliance'!$K$4:$K$19,'07 Bahamas &amp; Compliance'!$B$4:$B$19,$B43),"")</f>
        <v/>
      </c>
      <c r="F43" s="25" t="str">
        <f>IFERROR(AVERAGEIFS('07 Bahamas &amp; Compliance'!$M$4:$M$19,'07 Bahamas &amp; Compliance'!$B$4:$B$19,$B43),"")</f>
        <v/>
      </c>
      <c r="G43" s="26">
        <f t="shared" si="1"/>
        <v>0</v>
      </c>
    </row>
    <row r="44" ht="15.75" customHeight="1">
      <c r="A44" s="27" t="s">
        <v>459</v>
      </c>
      <c r="B44" s="27" t="s">
        <v>679</v>
      </c>
      <c r="C44" s="28" t="str">
        <f>IFERROR(AVERAGE('07 Bahamas &amp; Compliance'!$G$4:$G$19),"")</f>
        <v/>
      </c>
      <c r="D44" s="28" t="str">
        <f>IFERROR(AVERAGE('07 Bahamas &amp; Compliance'!$I$4:$I$19),"")</f>
        <v/>
      </c>
      <c r="E44" s="28" t="str">
        <f>IFERROR(AVERAGE('07 Bahamas &amp; Compliance'!$K$4:$K$19),"")</f>
        <v/>
      </c>
      <c r="F44" s="28" t="str">
        <f>IFERROR(AVERAGE('07 Bahamas &amp; Compliance'!$M$4:$M$19),"")</f>
        <v/>
      </c>
      <c r="G44" s="29">
        <f t="shared" si="1"/>
        <v>0</v>
      </c>
    </row>
    <row r="45" ht="15.75" customHeight="1"/>
    <row r="46" ht="15.75" customHeight="1">
      <c r="A46" s="30"/>
      <c r="B46" s="30" t="s">
        <v>680</v>
      </c>
      <c r="C46" s="31" t="str">
        <f t="shared" ref="C46:F46" si="2">IFERROR(AVERAGE(C11,C19,C27,C33,C39,C44),"")</f>
        <v/>
      </c>
      <c r="D46" s="31" t="str">
        <f t="shared" si="2"/>
        <v/>
      </c>
      <c r="E46" s="31" t="str">
        <f t="shared" si="2"/>
        <v/>
      </c>
      <c r="F46" s="31" t="str">
        <f t="shared" si="2"/>
        <v/>
      </c>
      <c r="G46" s="32">
        <f>IFERROR(F46-MAX(C46:E46),"")</f>
        <v>0</v>
      </c>
    </row>
    <row r="47" ht="15.75" customHeight="1">
      <c r="B47" s="33" t="s">
        <v>681</v>
      </c>
    </row>
    <row r="48" ht="15.75" customHeight="1">
      <c r="A48" s="34" t="s">
        <v>682</v>
      </c>
      <c r="B48" s="2"/>
      <c r="C48" s="2"/>
      <c r="D48" s="2"/>
      <c r="E48" s="2"/>
      <c r="F48" s="2"/>
      <c r="G48" s="3"/>
    </row>
    <row r="49" ht="15.75" customHeight="1">
      <c r="A49" s="35" t="s">
        <v>544</v>
      </c>
      <c r="B49" s="35" t="s">
        <v>683</v>
      </c>
      <c r="C49" s="35" t="s">
        <v>684</v>
      </c>
      <c r="D49" s="35" t="s">
        <v>685</v>
      </c>
      <c r="E49" s="35" t="s">
        <v>686</v>
      </c>
      <c r="F49" s="35" t="s">
        <v>687</v>
      </c>
      <c r="G49" s="35"/>
    </row>
    <row r="50" ht="15.75" customHeight="1">
      <c r="A50" s="36" t="s">
        <v>1</v>
      </c>
      <c r="B50" s="37">
        <f>COUNTIFS('02 Technical SEO'!$O$4:$O$22,"High")</f>
        <v>0</v>
      </c>
      <c r="C50" s="37">
        <f>COUNTIFS('02 Technical SEO'!$O$4:$O$22,"Medium")</f>
        <v>0</v>
      </c>
      <c r="D50" s="37">
        <f>COUNTIFS('02 Technical SEO'!$O$4:$O$22,"Low")</f>
        <v>0</v>
      </c>
      <c r="E50" s="37">
        <v>19.0</v>
      </c>
      <c r="F50" s="38">
        <f>IFERROR(COUNT('02 Technical SEO'!$M$4:$M$22)/E50,0)</f>
        <v>0</v>
      </c>
    </row>
    <row r="51" ht="15.75" customHeight="1">
      <c r="A51" s="36" t="s">
        <v>6</v>
      </c>
      <c r="B51" s="37">
        <f>COUNTIFS('03 Casino Silo'!$O$4:$O$27,"High")</f>
        <v>0</v>
      </c>
      <c r="C51" s="37">
        <f>COUNTIFS('03 Casino Silo'!$O$4:$O$27,"Medium")</f>
        <v>0</v>
      </c>
      <c r="D51" s="37">
        <f>COUNTIFS('03 Casino Silo'!$O$4:$O$27,"Low")</f>
        <v>0</v>
      </c>
      <c r="E51" s="37">
        <v>24.0</v>
      </c>
      <c r="F51" s="38">
        <f>IFERROR(COUNT('03 Casino Silo'!$M$4:$M$27)/E51,0)</f>
        <v>0</v>
      </c>
    </row>
    <row r="52" ht="15.75" customHeight="1">
      <c r="A52" s="36" t="s">
        <v>225</v>
      </c>
      <c r="B52" s="37">
        <f>COUNTIFS('04 Sports Silo'!$O$4:$O$25,"High")</f>
        <v>0</v>
      </c>
      <c r="C52" s="37">
        <f>COUNTIFS('04 Sports Silo'!$O$4:$O$25,"Medium")</f>
        <v>0</v>
      </c>
      <c r="D52" s="37">
        <f>COUNTIFS('04 Sports Silo'!$O$4:$O$25,"Low")</f>
        <v>0</v>
      </c>
      <c r="E52" s="37">
        <v>22.0</v>
      </c>
      <c r="F52" s="38">
        <f>IFERROR(COUNT('04 Sports Silo'!$M$4:$M$25)/E52,0)</f>
        <v>0</v>
      </c>
    </row>
    <row r="53" ht="15.75" customHeight="1">
      <c r="A53" s="36" t="s">
        <v>253</v>
      </c>
      <c r="B53" s="37">
        <f>COUNTIFS('05 Content &amp; Guides'!$O$4:$O$24,"High")</f>
        <v>0</v>
      </c>
      <c r="C53" s="37">
        <f>COUNTIFS('05 Content &amp; Guides'!$O$4:$O$24,"Medium")</f>
        <v>0</v>
      </c>
      <c r="D53" s="37">
        <f>COUNTIFS('05 Content &amp; Guides'!$O$4:$O$24,"Low")</f>
        <v>0</v>
      </c>
      <c r="E53" s="37">
        <v>21.0</v>
      </c>
      <c r="F53" s="38">
        <f>IFERROR(COUNT('05 Content &amp; Guides'!$M$4:$M$24)/E53,0)</f>
        <v>0</v>
      </c>
    </row>
    <row r="54" ht="15.75" customHeight="1">
      <c r="A54" s="36" t="s">
        <v>441</v>
      </c>
      <c r="B54" s="37">
        <f>COUNTIFS('06 Off-Page &amp; Authority'!$O$4:$O$20,"High")</f>
        <v>0</v>
      </c>
      <c r="C54" s="37">
        <f>COUNTIFS('06 Off-Page &amp; Authority'!$O$4:$O$20,"Medium")</f>
        <v>0</v>
      </c>
      <c r="D54" s="37">
        <f>COUNTIFS('06 Off-Page &amp; Authority'!$O$4:$O$20,"Low")</f>
        <v>0</v>
      </c>
      <c r="E54" s="37">
        <v>17.0</v>
      </c>
      <c r="F54" s="38">
        <f>IFERROR(COUNT('06 Off-Page &amp; Authority'!$M$4:$M$20)/E54,0)</f>
        <v>0</v>
      </c>
    </row>
    <row r="55" ht="15.75" customHeight="1">
      <c r="A55" s="36" t="s">
        <v>459</v>
      </c>
      <c r="B55" s="37">
        <f>COUNTIFS('07 Bahamas &amp; Compliance'!$O$4:$O$19,"High")</f>
        <v>0</v>
      </c>
      <c r="C55" s="37">
        <f>COUNTIFS('07 Bahamas &amp; Compliance'!$O$4:$O$19,"Medium")</f>
        <v>0</v>
      </c>
      <c r="D55" s="37">
        <f>COUNTIFS('07 Bahamas &amp; Compliance'!$O$4:$O$19,"Low")</f>
        <v>0</v>
      </c>
      <c r="E55" s="37">
        <v>16.0</v>
      </c>
      <c r="F55" s="38">
        <f>IFERROR(COUNT('07 Bahamas &amp; Compliance'!$M$4:$M$19)/E55,0)</f>
        <v>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48:G48"/>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8.0"/>
    <col customWidth="1" min="2" max="2" width="22.0"/>
    <col customWidth="1" min="3" max="3" width="44.0"/>
    <col customWidth="1" min="4" max="4" width="58.0"/>
    <col customWidth="1" min="5" max="5" width="40.0"/>
    <col customWidth="1" min="6" max="6" width="58.0"/>
    <col customWidth="1" min="7" max="7" width="16.0"/>
    <col customWidth="1" min="8" max="9" width="14.0"/>
    <col customWidth="1" min="10" max="10" width="24.0"/>
    <col customWidth="1" min="11" max="26" width="8.71"/>
  </cols>
  <sheetData>
    <row r="1" ht="25.5" customHeight="1">
      <c r="A1" s="1" t="s">
        <v>653</v>
      </c>
      <c r="B1" s="2"/>
      <c r="C1" s="2"/>
      <c r="D1" s="2"/>
      <c r="E1" s="2"/>
      <c r="F1" s="2"/>
      <c r="G1" s="2"/>
      <c r="H1" s="2"/>
      <c r="I1" s="2"/>
      <c r="J1" s="3"/>
    </row>
    <row r="2" ht="18.0" customHeight="1">
      <c r="A2" s="4" t="s">
        <v>657</v>
      </c>
      <c r="B2" s="2"/>
      <c r="C2" s="2"/>
      <c r="D2" s="2"/>
      <c r="E2" s="2"/>
      <c r="F2" s="2"/>
      <c r="G2" s="2"/>
      <c r="H2" s="2"/>
      <c r="I2" s="2"/>
      <c r="J2" s="3"/>
    </row>
    <row r="3" ht="30.0" customHeight="1">
      <c r="A3" s="7" t="s">
        <v>9</v>
      </c>
      <c r="B3" s="7" t="s">
        <v>659</v>
      </c>
      <c r="C3" s="7" t="s">
        <v>660</v>
      </c>
      <c r="D3" s="7" t="s">
        <v>662</v>
      </c>
      <c r="E3" s="7" t="s">
        <v>664</v>
      </c>
      <c r="F3" s="7" t="s">
        <v>37</v>
      </c>
      <c r="G3" s="7" t="s">
        <v>665</v>
      </c>
      <c r="H3" s="7" t="s">
        <v>666</v>
      </c>
      <c r="I3" s="7" t="s">
        <v>668</v>
      </c>
      <c r="J3" s="7" t="s">
        <v>671</v>
      </c>
    </row>
    <row r="4">
      <c r="A4" s="13"/>
      <c r="B4" s="13"/>
      <c r="C4" s="13"/>
      <c r="D4" s="13"/>
      <c r="E4" s="13"/>
      <c r="F4" s="13"/>
      <c r="G4" s="13"/>
      <c r="H4" s="13"/>
      <c r="I4" s="13"/>
      <c r="J4" s="13"/>
    </row>
    <row r="5">
      <c r="A5" s="13"/>
      <c r="B5" s="13"/>
      <c r="C5" s="13"/>
      <c r="D5" s="13"/>
      <c r="E5" s="13"/>
      <c r="F5" s="13"/>
      <c r="G5" s="13"/>
      <c r="H5" s="13"/>
      <c r="I5" s="13"/>
      <c r="J5" s="13"/>
    </row>
    <row r="6">
      <c r="A6" s="13"/>
      <c r="B6" s="13"/>
      <c r="C6" s="13"/>
      <c r="D6" s="13"/>
      <c r="E6" s="13"/>
      <c r="F6" s="13"/>
      <c r="G6" s="13"/>
      <c r="H6" s="13"/>
      <c r="I6" s="13"/>
      <c r="J6" s="13"/>
    </row>
    <row r="7">
      <c r="A7" s="13"/>
      <c r="B7" s="13"/>
      <c r="C7" s="13"/>
      <c r="D7" s="13"/>
      <c r="E7" s="13"/>
      <c r="F7" s="13"/>
      <c r="G7" s="13"/>
      <c r="H7" s="13"/>
      <c r="I7" s="13"/>
      <c r="J7" s="13"/>
    </row>
    <row r="8">
      <c r="A8" s="13"/>
      <c r="B8" s="13"/>
      <c r="C8" s="13"/>
      <c r="D8" s="13"/>
      <c r="E8" s="13"/>
      <c r="F8" s="13"/>
      <c r="G8" s="13"/>
      <c r="H8" s="13"/>
      <c r="I8" s="13"/>
      <c r="J8" s="13"/>
    </row>
    <row r="9">
      <c r="A9" s="13"/>
      <c r="B9" s="13"/>
      <c r="C9" s="13"/>
      <c r="D9" s="13"/>
      <c r="E9" s="13"/>
      <c r="F9" s="13"/>
      <c r="G9" s="13"/>
      <c r="H9" s="13"/>
      <c r="I9" s="13"/>
      <c r="J9" s="13"/>
    </row>
    <row r="10">
      <c r="A10" s="13"/>
      <c r="B10" s="13"/>
      <c r="C10" s="13"/>
      <c r="D10" s="13"/>
      <c r="E10" s="13"/>
      <c r="F10" s="13"/>
      <c r="G10" s="13"/>
      <c r="H10" s="13"/>
      <c r="I10" s="13"/>
      <c r="J10" s="13"/>
    </row>
    <row r="11">
      <c r="A11" s="13"/>
      <c r="B11" s="13"/>
      <c r="C11" s="13"/>
      <c r="D11" s="13"/>
      <c r="E11" s="13"/>
      <c r="F11" s="13"/>
      <c r="G11" s="13"/>
      <c r="H11" s="13"/>
      <c r="I11" s="13"/>
      <c r="J11" s="13"/>
    </row>
    <row r="12">
      <c r="A12" s="13"/>
      <c r="B12" s="13"/>
      <c r="C12" s="13"/>
      <c r="D12" s="13"/>
      <c r="E12" s="13"/>
      <c r="F12" s="13"/>
      <c r="G12" s="13"/>
      <c r="H12" s="13"/>
      <c r="I12" s="13"/>
      <c r="J12" s="13"/>
    </row>
    <row r="13">
      <c r="A13" s="13"/>
      <c r="B13" s="13"/>
      <c r="C13" s="13"/>
      <c r="D13" s="13"/>
      <c r="E13" s="13"/>
      <c r="F13" s="13"/>
      <c r="G13" s="13"/>
      <c r="H13" s="13"/>
      <c r="I13" s="13"/>
      <c r="J13" s="13"/>
    </row>
    <row r="14">
      <c r="A14" s="13"/>
      <c r="B14" s="13"/>
      <c r="C14" s="13"/>
      <c r="D14" s="13"/>
      <c r="E14" s="13"/>
      <c r="F14" s="13"/>
      <c r="G14" s="13"/>
      <c r="H14" s="13"/>
      <c r="I14" s="13"/>
      <c r="J14" s="13"/>
    </row>
    <row r="15">
      <c r="A15" s="13"/>
      <c r="B15" s="13"/>
      <c r="C15" s="13"/>
      <c r="D15" s="13"/>
      <c r="E15" s="13"/>
      <c r="F15" s="13"/>
      <c r="G15" s="13"/>
      <c r="H15" s="13"/>
      <c r="I15" s="13"/>
      <c r="J15" s="13"/>
    </row>
    <row r="16">
      <c r="A16" s="13"/>
      <c r="B16" s="13"/>
      <c r="C16" s="13"/>
      <c r="D16" s="13"/>
      <c r="E16" s="13"/>
      <c r="F16" s="13"/>
      <c r="G16" s="13"/>
      <c r="H16" s="13"/>
      <c r="I16" s="13"/>
      <c r="J16" s="13"/>
    </row>
    <row r="17">
      <c r="A17" s="13"/>
      <c r="B17" s="13"/>
      <c r="C17" s="13"/>
      <c r="D17" s="13"/>
      <c r="E17" s="13"/>
      <c r="F17" s="13"/>
      <c r="G17" s="13"/>
      <c r="H17" s="13"/>
      <c r="I17" s="13"/>
      <c r="J17" s="13"/>
    </row>
    <row r="18">
      <c r="A18" s="13"/>
      <c r="B18" s="13"/>
      <c r="C18" s="13"/>
      <c r="D18" s="13"/>
      <c r="E18" s="13"/>
      <c r="F18" s="13"/>
      <c r="G18" s="13"/>
      <c r="H18" s="13"/>
      <c r="I18" s="13"/>
      <c r="J18" s="13"/>
    </row>
    <row r="19">
      <c r="A19" s="13"/>
      <c r="B19" s="13"/>
      <c r="C19" s="13"/>
      <c r="D19" s="13"/>
      <c r="E19" s="13"/>
      <c r="F19" s="13"/>
      <c r="G19" s="13"/>
      <c r="H19" s="13"/>
      <c r="I19" s="13"/>
      <c r="J19" s="13"/>
    </row>
    <row r="20">
      <c r="A20" s="13"/>
      <c r="B20" s="13"/>
      <c r="C20" s="13"/>
      <c r="D20" s="13"/>
      <c r="E20" s="13"/>
      <c r="F20" s="13"/>
      <c r="G20" s="13"/>
      <c r="H20" s="13"/>
      <c r="I20" s="13"/>
      <c r="J20" s="13"/>
    </row>
    <row r="21" ht="15.75" customHeight="1">
      <c r="A21" s="13"/>
      <c r="B21" s="13"/>
      <c r="C21" s="13"/>
      <c r="D21" s="13"/>
      <c r="E21" s="13"/>
      <c r="F21" s="13"/>
      <c r="G21" s="13"/>
      <c r="H21" s="13"/>
      <c r="I21" s="13"/>
      <c r="J21" s="13"/>
    </row>
    <row r="22" ht="15.75" customHeight="1">
      <c r="A22" s="13"/>
      <c r="B22" s="13"/>
      <c r="C22" s="13"/>
      <c r="D22" s="13"/>
      <c r="E22" s="13"/>
      <c r="F22" s="13"/>
      <c r="G22" s="13"/>
      <c r="H22" s="13"/>
      <c r="I22" s="13"/>
      <c r="J22" s="13"/>
    </row>
    <row r="23" ht="15.75" customHeight="1">
      <c r="A23" s="13"/>
      <c r="B23" s="13"/>
      <c r="C23" s="13"/>
      <c r="D23" s="13"/>
      <c r="E23" s="13"/>
      <c r="F23" s="13"/>
      <c r="G23" s="13"/>
      <c r="H23" s="13"/>
      <c r="I23" s="13"/>
      <c r="J23" s="13"/>
    </row>
    <row r="24" ht="15.75" customHeight="1">
      <c r="A24" s="13"/>
      <c r="B24" s="13"/>
      <c r="C24" s="13"/>
      <c r="D24" s="13"/>
      <c r="E24" s="13"/>
      <c r="F24" s="13"/>
      <c r="G24" s="13"/>
      <c r="H24" s="13"/>
      <c r="I24" s="13"/>
      <c r="J24" s="13"/>
    </row>
    <row r="25" ht="15.75" customHeight="1">
      <c r="A25" s="13"/>
      <c r="B25" s="13"/>
      <c r="C25" s="13"/>
      <c r="D25" s="13"/>
      <c r="E25" s="13"/>
      <c r="F25" s="13"/>
      <c r="G25" s="13"/>
      <c r="H25" s="13"/>
      <c r="I25" s="13"/>
      <c r="J25" s="13"/>
    </row>
    <row r="26" ht="15.75" customHeight="1">
      <c r="A26" s="13"/>
      <c r="B26" s="13"/>
      <c r="C26" s="13"/>
      <c r="D26" s="13"/>
      <c r="E26" s="13"/>
      <c r="F26" s="13"/>
      <c r="G26" s="13"/>
      <c r="H26" s="13"/>
      <c r="I26" s="13"/>
      <c r="J26" s="13"/>
    </row>
    <row r="27" ht="15.75" customHeight="1">
      <c r="A27" s="13"/>
      <c r="B27" s="13"/>
      <c r="C27" s="13"/>
      <c r="D27" s="13"/>
      <c r="E27" s="13"/>
      <c r="F27" s="13"/>
      <c r="G27" s="13"/>
      <c r="H27" s="13"/>
      <c r="I27" s="13"/>
      <c r="J27" s="13"/>
    </row>
    <row r="28" ht="15.75" customHeight="1">
      <c r="A28" s="13"/>
      <c r="B28" s="13"/>
      <c r="C28" s="13"/>
      <c r="D28" s="13"/>
      <c r="E28" s="13"/>
      <c r="F28" s="13"/>
      <c r="G28" s="13"/>
      <c r="H28" s="13"/>
      <c r="I28" s="13"/>
      <c r="J28" s="13"/>
    </row>
    <row r="29" ht="15.75" customHeight="1">
      <c r="A29" s="13"/>
      <c r="B29" s="13"/>
      <c r="C29" s="13"/>
      <c r="D29" s="13"/>
      <c r="E29" s="13"/>
      <c r="F29" s="13"/>
      <c r="G29" s="13"/>
      <c r="H29" s="13"/>
      <c r="I29" s="13"/>
      <c r="J29" s="13"/>
    </row>
    <row r="30" ht="15.75" customHeight="1">
      <c r="A30" s="13"/>
      <c r="B30" s="13"/>
      <c r="C30" s="13"/>
      <c r="D30" s="13"/>
      <c r="E30" s="13"/>
      <c r="F30" s="13"/>
      <c r="G30" s="13"/>
      <c r="H30" s="13"/>
      <c r="I30" s="13"/>
      <c r="J30" s="13"/>
    </row>
    <row r="31" ht="15.75" customHeight="1">
      <c r="A31" s="13"/>
      <c r="B31" s="13"/>
      <c r="C31" s="13"/>
      <c r="D31" s="13"/>
      <c r="E31" s="13"/>
      <c r="F31" s="13"/>
      <c r="G31" s="13"/>
      <c r="H31" s="13"/>
      <c r="I31" s="13"/>
      <c r="J31" s="13"/>
    </row>
    <row r="32" ht="15.75" customHeight="1">
      <c r="A32" s="13"/>
      <c r="B32" s="13"/>
      <c r="C32" s="13"/>
      <c r="D32" s="13"/>
      <c r="E32" s="13"/>
      <c r="F32" s="13"/>
      <c r="G32" s="13"/>
      <c r="H32" s="13"/>
      <c r="I32" s="13"/>
      <c r="J32" s="13"/>
    </row>
    <row r="33" ht="15.75" customHeight="1">
      <c r="A33" s="13"/>
      <c r="B33" s="13"/>
      <c r="C33" s="13"/>
      <c r="D33" s="13"/>
      <c r="E33" s="13"/>
      <c r="F33" s="13"/>
      <c r="G33" s="13"/>
      <c r="H33" s="13"/>
      <c r="I33" s="13"/>
      <c r="J33" s="13"/>
    </row>
    <row r="34" ht="15.75" customHeight="1">
      <c r="A34" s="13"/>
      <c r="B34" s="13"/>
      <c r="C34" s="13"/>
      <c r="D34" s="13"/>
      <c r="E34" s="13"/>
      <c r="F34" s="13"/>
      <c r="G34" s="13"/>
      <c r="H34" s="13"/>
      <c r="I34" s="13"/>
      <c r="J34" s="13"/>
    </row>
    <row r="35" ht="15.75" customHeight="1">
      <c r="A35" s="13"/>
      <c r="B35" s="13"/>
      <c r="C35" s="13"/>
      <c r="D35" s="13"/>
      <c r="E35" s="13"/>
      <c r="F35" s="13"/>
      <c r="G35" s="13"/>
      <c r="H35" s="13"/>
      <c r="I35" s="13"/>
      <c r="J35" s="13"/>
    </row>
    <row r="36" ht="15.75" customHeight="1">
      <c r="A36" s="13"/>
      <c r="B36" s="13"/>
      <c r="C36" s="13"/>
      <c r="D36" s="13"/>
      <c r="E36" s="13"/>
      <c r="F36" s="13"/>
      <c r="G36" s="13"/>
      <c r="H36" s="13"/>
      <c r="I36" s="13"/>
      <c r="J36" s="13"/>
    </row>
    <row r="37" ht="15.75" customHeight="1">
      <c r="A37" s="13"/>
      <c r="B37" s="13"/>
      <c r="C37" s="13"/>
      <c r="D37" s="13"/>
      <c r="E37" s="13"/>
      <c r="F37" s="13"/>
      <c r="G37" s="13"/>
      <c r="H37" s="13"/>
      <c r="I37" s="13"/>
      <c r="J37" s="13"/>
    </row>
    <row r="38" ht="15.75" customHeight="1">
      <c r="A38" s="13"/>
      <c r="B38" s="13"/>
      <c r="C38" s="13"/>
      <c r="D38" s="13"/>
      <c r="E38" s="13"/>
      <c r="F38" s="13"/>
      <c r="G38" s="13"/>
      <c r="H38" s="13"/>
      <c r="I38" s="13"/>
      <c r="J38" s="13"/>
    </row>
    <row r="39" ht="15.75" customHeight="1">
      <c r="A39" s="13"/>
      <c r="B39" s="13"/>
      <c r="C39" s="13"/>
      <c r="D39" s="13"/>
      <c r="E39" s="13"/>
      <c r="F39" s="13"/>
      <c r="G39" s="13"/>
      <c r="H39" s="13"/>
      <c r="I39" s="13"/>
      <c r="J39" s="13"/>
    </row>
    <row r="40" ht="15.75" customHeight="1">
      <c r="A40" s="13"/>
      <c r="B40" s="13"/>
      <c r="C40" s="13"/>
      <c r="D40" s="13"/>
      <c r="E40" s="13"/>
      <c r="F40" s="13"/>
      <c r="G40" s="13"/>
      <c r="H40" s="13"/>
      <c r="I40" s="13"/>
      <c r="J40" s="13"/>
    </row>
    <row r="41" ht="15.75" customHeight="1">
      <c r="A41" s="13"/>
      <c r="B41" s="13"/>
      <c r="C41" s="13"/>
      <c r="D41" s="13"/>
      <c r="E41" s="13"/>
      <c r="F41" s="13"/>
      <c r="G41" s="13"/>
      <c r="H41" s="13"/>
      <c r="I41" s="13"/>
      <c r="J41" s="13"/>
    </row>
    <row r="42" ht="15.75" customHeight="1">
      <c r="A42" s="13"/>
      <c r="B42" s="13"/>
      <c r="C42" s="13"/>
      <c r="D42" s="13"/>
      <c r="E42" s="13"/>
      <c r="F42" s="13"/>
      <c r="G42" s="13"/>
      <c r="H42" s="13"/>
      <c r="I42" s="13"/>
      <c r="J42" s="13"/>
    </row>
    <row r="43" ht="15.75" customHeight="1">
      <c r="A43" s="13"/>
      <c r="B43" s="13"/>
      <c r="C43" s="13"/>
      <c r="D43" s="13"/>
      <c r="E43" s="13"/>
      <c r="F43" s="13"/>
      <c r="G43" s="13"/>
      <c r="H43" s="13"/>
      <c r="I43" s="13"/>
      <c r="J43" s="1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dataValidations>
    <dataValidation type="list" allowBlank="1" sqref="B4:B43">
      <formula1>"02 Technical SEO,03 Casino Silo,04 Sports Silo,05 Content &amp; Guides,06 Off-Page &amp; Authority,07 Bahamas &amp; Compliance,08 Feature Matrix"</formula1>
    </dataValidation>
    <dataValidation type="list" allowBlank="1" sqref="H4:I43">
      <formula1>"High,Medium,Low"</formula1>
    </dataValidation>
    <dataValidation type="list" allowBlank="1" sqref="G4:G43">
      <formula1>"Casino,Sports,Content,Technical,Off-page,Compliance,Cross-site"</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2026-08-04T14:14:00Z</dcterms:created>
  <dc:creator>openpyxl</dc:creator>
</cp:coreProperties>
</file>

<file path=docProps/custom.xml><?xml version="1.0" encoding="utf-8"?>
<Properties xmlns="http://schemas.openxmlformats.org/officeDocument/2006/custom-properties" xmlns:vt="http://schemas.openxmlformats.org/officeDocument/2006/docPropsVTypes"/>
</file>