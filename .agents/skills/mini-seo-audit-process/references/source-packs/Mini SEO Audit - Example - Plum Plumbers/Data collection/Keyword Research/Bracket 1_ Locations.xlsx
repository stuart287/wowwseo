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cket 1 - Location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1" name="_xlnm._FilterDatabase">Overview!$A$1:$Z$1000</definedName>
    <definedName hidden="1" localSheetId="2" name="_xlnm._FilterDatabase">Matching!$A$1:$Z$1000</definedName>
    <definedName hidden="1" localSheetId="3" name="_xlnm._FilterDatabase">Questions!$A$1:$Z$1000</definedName>
    <definedName hidden="1" localSheetId="4" name="_xlnm._FilterDatabase">Related!$A$1:$Z$1000</definedName>
  </definedNames>
  <calcPr/>
</workbook>
</file>

<file path=xl/sharedStrings.xml><?xml version="1.0" encoding="utf-8"?>
<sst xmlns="http://schemas.openxmlformats.org/spreadsheetml/2006/main" count="2900" uniqueCount="1202">
  <si>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</si>
  <si>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</si>
  <si>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</si>
  <si>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</si>
  <si>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</si>
  <si>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</si>
  <si>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</si>
  <si>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</si>
  <si>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</si>
  <si>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</si>
  <si>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</si>
  <si>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</si>
  <si>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plumbers</t>
  </si>
  <si>
    <t>Global traffic potential</t>
  </si>
  <si>
    <t>First seen</t>
  </si>
  <si>
    <t>Intents</t>
  </si>
  <si>
    <t>Languages</t>
  </si>
  <si>
    <t>SV trend (07-2024 - 06-2026)</t>
  </si>
  <si>
    <t>plumber</t>
  </si>
  <si>
    <t>SV Forecasting trend (07-2026 - 07-2027)</t>
  </si>
  <si>
    <t>Category</t>
  </si>
  <si>
    <t>plumbing company</t>
  </si>
  <si>
    <t>plumber cape town</t>
  </si>
  <si>
    <t>za</t>
  </si>
  <si>
    <t>emergency plumber</t>
  </si>
  <si>
    <t>blocked drain plumber</t>
  </si>
  <si>
    <t>Local pack,People also ask</t>
  </si>
  <si>
    <t>geyser repair</t>
  </si>
  <si>
    <t>Informational,Commercial,Transactional,Non-branded,Local</t>
  </si>
  <si>
    <t>English</t>
  </si>
  <si>
    <t>none</t>
  </si>
  <si>
    <t>367, 416, 437, 397, 433, 294, 481, 383, 466, 387, 454, 313, 422, 433, 355, 304, 359, 271, 343, 303, 318, 314, 323, 329</t>
  </si>
  <si>
    <t>leak detection plumber</t>
  </si>
  <si>
    <t>326, 313, 321, 349, 334, 305, 344, 307, 320, 317, 326, 334, 329</t>
  </si>
  <si>
    <t>Plumbing; Business</t>
  </si>
  <si>
    <t>electrician</t>
  </si>
  <si>
    <t>electrician jobs cape town</t>
  </si>
  <si>
    <t>aircon repairs</t>
  </si>
  <si>
    <t>Top ads,Paid sitelinks,People also ask</t>
  </si>
  <si>
    <t>refrigeration services</t>
  </si>
  <si>
    <t>Informational,Non-branded,Local</t>
  </si>
  <si>
    <t>440, 583, 572, 470, 427, 363, 834, 603, 585, 570, 462, 372, 405, 333, 345, 386, 334, 277, 512, 405, 369, 341, 356, 349</t>
  </si>
  <si>
    <t>368, 375, 340, 331, 310, 281, 498, 394, 359, 332, 347, 340, 358</t>
  </si>
  <si>
    <t>Job</t>
  </si>
  <si>
    <t>Combined - base phrase + modifier</t>
  </si>
  <si>
    <t>electrician cape town</t>
  </si>
  <si>
    <t>247, 238, 354, 261, 250, 219, 292, 278, 277, 239, 280, 281, 326, 259, 250, 250, 291, 305, 323, 297, 316, 280, 300, 283</t>
  </si>
  <si>
    <t>296, 283, 315, 299, 277, 271, 324, 297, 316, 280, 300, 283, 296</t>
  </si>
  <si>
    <t>Business services; Home improvement; Business</t>
  </si>
  <si>
    <t>plumbers cape town</t>
  </si>
  <si>
    <t>plumbers near me</t>
  </si>
  <si>
    <t>274, 282, 276, 247, 272, 210, 342, 267, 318, 264, 288, 191, 291, 295, 243, 201, 246, 167, 208, 203, 205, 202, 209, 220</t>
  </si>
  <si>
    <t>232, 213, 210, 214, 207, 182, 208, 203, 205, 202, 209, 220</t>
  </si>
  <si>
    <t>electrician durbanville</t>
  </si>
  <si>
    <t>Local pack,Discussions,People also ask,Sitelinks</t>
  </si>
  <si>
    <t>55, 55, 67, 71, 57, 76, 47, 50, 70, 100, 116, 121, 223, 140, 136, 126, 170, 155, 186, 279, 214, 173, 161, 135</t>
  </si>
  <si>
    <t>plumbers in cape town</t>
  </si>
  <si>
    <t>Combined - modifier + base phrase</t>
  </si>
  <si>
    <t>27, 8, 15, 14, 29, 45, 93, 18, 46, 18, 39, 38, 238, 153, 115, 99, 156, 127, 94, 126, 158, 150, 180, 91</t>
  </si>
  <si>
    <t>plumber durbanville</t>
  </si>
  <si>
    <t>modifier</t>
  </si>
  <si>
    <t>plumbers durbanville</t>
  </si>
  <si>
    <t>base phrase + modifier</t>
  </si>
  <si>
    <t>97, 72, 50, 95, 164, 61, 115, 67, 162, 69, 171, 90, 199, 167, 174, 177, 185, 181, 120, 263, 165, 136, 148, 88</t>
  </si>
  <si>
    <t>electrician in cape town</t>
  </si>
  <si>
    <t>Commercial,Transactional,Non-branded,Local</t>
  </si>
  <si>
    <t>20, 46, 30, 34, 28, 19, 21, 25, 51, 23, 44, 43, 107, 107, 110, 130, 143, 132, 164, 106, 120, 141, 163, 77</t>
  </si>
  <si>
    <t>emergency plumber cape town</t>
  </si>
  <si>
    <t>29, 23, 19, 13, 16, 36, 29, 8, 17, 23, 22, 19, 190, 186, 152, 67, 57, 71, 78, 53, 89, 121, 105, 103</t>
  </si>
  <si>
    <t>electrician jobs in cape town</t>
  </si>
  <si>
    <t>Bottom ads,Paid sitelinks</t>
  </si>
  <si>
    <t>modifier + base phrase</t>
  </si>
  <si>
    <t>165, 209, 242, 203, 95, 115, 156, 101, 174, 133, 208, 200, 163, 72, 98, 126, 93, 80, 112, 69, 59, 79, 77, 54</t>
  </si>
  <si>
    <t>24 hour plumber cape town</t>
  </si>
  <si>
    <t>People also ask</t>
  </si>
  <si>
    <t>51, 41, 43, 28, 42, 47, 44, 32, 39, 33, 30, 21, 194, 212, 156, 84, 80, 97, 83, 73, 150, 122, 67, 83</t>
  </si>
  <si>
    <t>Plumbing</t>
  </si>
  <si>
    <t>plumber observatory</t>
  </si>
  <si>
    <t>0, 5, 7, 16, 8, 6, 5, 7, 19, 9, 11, 3, 157, 161, 179, 146, 39, 140, 105, 244, 76, 37, 49, 9</t>
  </si>
  <si>
    <t>auto electrician cape town</t>
  </si>
  <si>
    <t>mobile auto electrician near me</t>
  </si>
  <si>
    <t>114, 130, 110, 100, 96, 103, 119, 95, 141, 142, 128, 112, 127, 104, 106, 127, 111, 115, 128, 128, 114, 108, 103, 119</t>
  </si>
  <si>
    <t>124, 120, 114, 109, 110, 117, 128, 128, 114, 108, 103, 119, 124</t>
  </si>
  <si>
    <t>Maintenance; Business</t>
  </si>
  <si>
    <t>plumbers table view</t>
  </si>
  <si>
    <t>Cape Town</t>
  </si>
  <si>
    <t>55, 47, 52, 43, 43, 40, 49, 49, 62, 50, 64, 75, 257, 217, 158, 106, 56, 88, 70, 46, 56, 44, 58, 41</t>
  </si>
  <si>
    <t>geyser repair cape town</t>
  </si>
  <si>
    <t>0, 0, 0, 0, 0, 0, 0, 0, 5, 0, 4, 1, 77, 81, 77, 74, 85, 72, 49, 66, 153, 112, 128, 87</t>
  </si>
  <si>
    <t>plumber table view</t>
  </si>
  <si>
    <t>AI Overview,People also ask,Knowledge panel</t>
  </si>
  <si>
    <t>Informational,Commercial,Non-branded,Local</t>
  </si>
  <si>
    <t>39, 31, 21, 27, 64, 32, 36, 23, 106, 42, 92, 57, 171, 193, 161, 89, 70, 78, 81, 52, 61, 36, 36, 44</t>
  </si>
  <si>
    <t>semi skilled electrician jobs cape town</t>
  </si>
  <si>
    <t>Transactional,Non-branded,Local</t>
  </si>
  <si>
    <t>19, 13, 38, 34, 22, 29, 212, 148, 110, 135, 91, 72, 107, 79, 103, 50, 54, 32, 130, 151, 95, 87, 99, 16</t>
  </si>
  <si>
    <t>auto electrician durbanville</t>
  </si>
  <si>
    <t>plumber sea point</t>
  </si>
  <si>
    <t>Local pack,Sitelinks,People also ask</t>
  </si>
  <si>
    <t>140, 140, 82, 99, 122, 122, 120, 119, 118, 100, 47, 54, 113, 60, 45, 82, 77, 76, 71, 65, 62, 53, 50, 59</t>
  </si>
  <si>
    <t>55, 60, 51, 57, 71, 68, 61, 55, 52, 44, 41, 50, 46</t>
  </si>
  <si>
    <t>16, 21, 32, 38, 50, 54, 49, 14, 62, 17, 130, 46, 170, 200, 159, 84, 75, 59, 79, 46, 49, 52, 33, 44</t>
  </si>
  <si>
    <t>24 hour electrician cape town</t>
  </si>
  <si>
    <t>5, 4, 15, 24, 10, 8, 12, 6, 5, 4, 4, 4, 109, 46, 54, 70, 55, 67, 60, 199, 56, 51, 47, 48</t>
  </si>
  <si>
    <t>emergency electrician cape town</t>
  </si>
  <si>
    <t>22, 14, 9, 6, 6, 9, 16, 14, 22, 6, 10, 13, 99, 42, 30, 32, 41, 47, 51, 67, 79, 92, 89, 76</t>
  </si>
  <si>
    <t>plumber in cape town</t>
  </si>
  <si>
    <t>10, 11, 9, 32, 30, 24, 30, 15, 12, 22, 37, 45, 91, 79, 54, 28, 33, 33, 58, 62, 66, 76, 74, 24</t>
  </si>
  <si>
    <t>24 hour electrician durbanville</t>
  </si>
  <si>
    <t>0, 0, 0, 0, 4, 2, 0, 0, 0, 2, 2, 3, 50, 48, 55, 58, 77, 67, 70, 223, 33, 35, 26, 26</t>
  </si>
  <si>
    <t>plumber cape town cbd</t>
  </si>
  <si>
    <t>4, 0, 0, 0, 1, 7, 5, 0, 4, 0, 2, 1, 186, 172, 98, 37, 11, 17, 28, 44, 25, 34, 37, 14</t>
  </si>
  <si>
    <t>aircon repairs cape town</t>
  </si>
  <si>
    <t>emergency plumbers cape town</t>
  </si>
  <si>
    <t>0, 0, 0, 0, 0, 3, 3, 4, 10, 17, 12, 16, 137, 148, 103, 59, 30, 19, 32, 11, 50, 38, 55, 33</t>
  </si>
  <si>
    <t>best plumber cape town</t>
  </si>
  <si>
    <t>6, 1, 6, 1, 0, 1, 3, 0, 0, 0, 0, 0, 67, 64, 59, 52, 55, 53, 66, 85, 100, 75, 65, 56</t>
  </si>
  <si>
    <t>36, 36, 67, 80, 163, 83, 68, 51, 44, 24, 13, 28, 113, 138, 113, 92, 90, 86, 95, 66, 71, 44, 55, 48</t>
  </si>
  <si>
    <t>industrial plumber cape town</t>
  </si>
  <si>
    <t>Air conditioners</t>
  </si>
  <si>
    <t>0, 0, 0, 0, 0, 0, 0, 0, 0, 0, 0, 0, 61, 68, 73, 73, 48, 17, 6, 40, 73, 38, 36, 33</t>
  </si>
  <si>
    <t>plumber bellville</t>
  </si>
  <si>
    <t>cape town plumbers</t>
  </si>
  <si>
    <t>6, 6, 11, 2, 17, 16, 26, 3, 7, 4, 3, 6, 143, 156, 89, 26, 20, 8, 16, 13, 16, 21, 26, 13</t>
  </si>
  <si>
    <t>24/7 plumber cape town</t>
  </si>
  <si>
    <t>0, 0, 0, 0, 1, 2, 3, 0, 0, 0, 4, 1, 32, 33, 46, 53, 30, 46, 64, 58, 49, 39, 38, 13</t>
  </si>
  <si>
    <t>Local pack</t>
  </si>
  <si>
    <t>cape town plumber</t>
  </si>
  <si>
    <t>4, 8, 0, 4, 2, 12, 7, 1, 4, 8, 6, 6, 192, 143, 78, 17, 3, 3, 1, 6, 5, 2, 9, 1</t>
  </si>
  <si>
    <t>best plumbers in cape town</t>
  </si>
  <si>
    <t>30, 33, 25, 33, 61, 68, 38, 50, 127, 37, 188, 139, 71, 69, 52, 63, 93, 92, 92, 88, 103, 52, 41, 53</t>
  </si>
  <si>
    <t>34, 40, 17, 41, 30, 36, 38, 15, 21, 53, 27, 21, 161, 147, 100, 26, 17, 11, 8, 17, 12, 11, 5, 4</t>
  </si>
  <si>
    <t>plumber in table view</t>
  </si>
  <si>
    <t>plumbers bellville</t>
  </si>
  <si>
    <t>0, 0, 0, 0, 0, 2, 2, 4, 2, 4, 3, 2, 158, 169, 129, 18, 3, 13, 0, 0, 0, 0, 0, 0</t>
  </si>
  <si>
    <t>plumber southern suburbs cape town</t>
  </si>
  <si>
    <t>0, 0, 0, 0, 0, 2, 2, 1, 3, 0, 4, 3, 126, 131, 83, 15, 0, 0, 0, 0, 0, 0, 0, 1</t>
  </si>
  <si>
    <t>plumber jobs cape town</t>
  </si>
  <si>
    <t>66, 79, 54, 55, 65, 63, 53, 52, 97, 54, 97, 94, 69, 75, 59, 72, 48, 77, 65, 65, 67, 62, 69, 78</t>
  </si>
  <si>
    <t>73, 66, 66, 67, 68, 70, 66, 66, 68, 63, 70, 79, 74</t>
  </si>
  <si>
    <t>plumbing jobs cape town</t>
  </si>
  <si>
    <t>42, 38, 55, 75, 42, 21, 54, 66, 75, 55, 66, 45, 50, 39, 38, 41, 29, 27, 32, 22, 27, 26, 15, 4</t>
  </si>
  <si>
    <t>electrician vacancies cape town</t>
  </si>
  <si>
    <t>Informational,Non-branded,Non-local</t>
  </si>
  <si>
    <t>0, 0, 0, 36, 38, 7, 0, 0, 0, 38, 1, 13, 4, 3, 11, 12, 9, 21, 74, 119, 25, 36, 36, 23</t>
  </si>
  <si>
    <t>plumber in durbanville</t>
  </si>
  <si>
    <t>10, 10, 6, 15, 12, 14, 13, 13, 40, 27, 13, 4, 41, 13, 14, 4, 0, 0, 4, 40, 83, 69, 83, 39</t>
  </si>
  <si>
    <t>plumbers in southern suburbs cape town</t>
  </si>
  <si>
    <t>0, 0, 0, 0, 0, 1, 8, 1, 4, 1, 5, 4, 124, 134, 100, 18, 4, 0, 0, 0, 0, 0, 0, 1</t>
  </si>
  <si>
    <t>automotive electrician cape town</t>
  </si>
  <si>
    <t>0, 0, 0, 1, 0, 0, 1, 0, 0, 0, 0, 0, 27, 23, 22, 34, 28, 35, 28, 161, 0, 0, 0, 1</t>
  </si>
  <si>
    <t>durbanville plumber</t>
  </si>
  <si>
    <t>5, 7, 3, 6, 3, 4, 3, 5, 2, 4, 0, 3, 31, 12, 6, 3, 0, 0, 0, 30, 71, 72, 78, 5</t>
  </si>
  <si>
    <t>110, 72, 73, 69, 87, 59, 84, 66, 95, 60, 74, 58, 78, 60, 81, 65, 62, 63, 70, 58, 65, 54, 60, 60</t>
  </si>
  <si>
    <t>auto electrician jobs cape town</t>
  </si>
  <si>
    <t>75, 65, 66, 72, 78, 68, 70, 58, 65, 54, 60, 59, 75</t>
  </si>
  <si>
    <t>auto electrician jobs</t>
  </si>
  <si>
    <t>electrician bellville</t>
  </si>
  <si>
    <t>7, 18, 22, 30, 22, 24, 44, 66, 76, 35, 41, 40, 41, 27, 13, 23, 9, 12, 22, 54, 74, 37, 12, 39</t>
  </si>
  <si>
    <t>registered plumbers cape town</t>
  </si>
  <si>
    <t>3, 6, 1, 1, 30, 29, 51, 3, 2, 6, 5, 4, 119, 61, 32, 9, 2, 35, 35, 12, 0, 5, 1, 1</t>
  </si>
  <si>
    <t>junior electrician jobs cape town</t>
  </si>
  <si>
    <t>36, 50, 65, 51, 46, 36, 31, 44, 34, 34, 39, 72, 104, 78, 55, 44, 64, 58, 69, 68, 72, 50, 91, 57</t>
  </si>
  <si>
    <t>Home improvement</t>
  </si>
  <si>
    <t>36, 35, 43, 62, 45, 80, 149, 61, 101, 57, 30, 30, 34, 11, 13, 25, 34, 35, 62, 54, 10, 26, 3, 5</t>
  </si>
  <si>
    <t>plumber hout bay</t>
  </si>
  <si>
    <t>electrician courses cape town</t>
  </si>
  <si>
    <t>electrician courses</t>
  </si>
  <si>
    <t>Cape Town CBD</t>
  </si>
  <si>
    <t>31, 10, 16, 5, 2, 3, 9, 6, 12, 13, 15, 13, 21, 43, 41, 51, 39, 34, 64, 27, 13, 14, 30, 3</t>
  </si>
  <si>
    <t>Continuing education</t>
  </si>
  <si>
    <t>table view plumbers</t>
  </si>
  <si>
    <t>0, 0, 0, 0, 0, 3, 3, 4, 6, 10, 6, 3, 128, 135, 105, 18, 4, 2, 0, 0, 0, 0, 0, 0</t>
  </si>
  <si>
    <t>mobile auto electrician cape town</t>
  </si>
  <si>
    <t>12, 9, 23, 18, 27, 40, 13, 16, 37, 38, 23, 15, 33, 33, 33, 33, 15, 15, 23, 33, 29, 19, 40, 26</t>
  </si>
  <si>
    <t>1, 1, 1, 5, 12, 17, 16, 14, 26, 5, 7, 16, 166, 172, 91, 45, 68, 61, 56, 37, 67, 53, 51, 17</t>
  </si>
  <si>
    <t>plumbers cape town cbd</t>
  </si>
  <si>
    <t>plumber fish hoek</t>
  </si>
  <si>
    <t>1, 1, 0, 0, 0, 6, 12, 1, 4, 5, 16, 15, 123, 125, 73, 17, 0, 1, 1, 0, 0, 0, 0, 0</t>
  </si>
  <si>
    <t>plumber cape town southern suburbs</t>
  </si>
  <si>
    <t>0, 0, 0, 0, 0, 0, 3, 2, 1, 1, 0, 2, 123, 126, 85, 14, 0, 0, 0, 0, 0, 0, 0, 0</t>
  </si>
  <si>
    <t>plumber table view cape town</t>
  </si>
  <si>
    <t>0, 0, 0, 0, 0, 0, 0, 1, 0, 1, 1, 0, 120, 133, 97, 15, 2, 1, 0, 0, 0, 0, 0, 0</t>
  </si>
  <si>
    <t>construction electrician jobs in cape town</t>
  </si>
  <si>
    <t>3, 0, 5, 8, 48, 31, 20, 2, 5, 4, 3, 6, 152, 130, 72, 24, 38, 69, 77, 34, 73, 46, 37, 16</t>
  </si>
  <si>
    <t>25, 75, 50, 55, 46, 17, 105, 72, 62, 91, 77, 75, 30, 44, 47, 43, 31, 23, 27, 50, 24, 9, 13, 1</t>
  </si>
  <si>
    <t>plumbers near parow cape town</t>
  </si>
  <si>
    <t>0, 0, 0, 0, 0, 0, 4, 1, 1, 2, 2, 4, 62, 66, 45, 8, 0, 0, 0, 0, 0, 0, 0, 0</t>
  </si>
  <si>
    <t>electrician apprenticeship cape town</t>
  </si>
  <si>
    <t>10, 30, 30, 56, 28, 7, 21, 10, 4, 9, 34, 20, 42, 21, 2, 8, 8, 24, 44, 50, 11, 4, 9, 2</t>
  </si>
  <si>
    <t>electrician in durbanville</t>
  </si>
  <si>
    <t>0, 0, 0, 0, 0, 0, 0, 0, 0, 0, 0, 0, 0, 0, 0, 0, 0, 0, 0, 19, 81, 64, 79, 3</t>
  </si>
  <si>
    <t>city of cape town electrician jobs</t>
  </si>
  <si>
    <t>plumbers sea point</t>
  </si>
  <si>
    <t>23, 49, 34, 66, 57, 37, 71, 57, 47, 39, 48, 15, 19, 17, 36, 22, 25, 22, 29, 29, 24, 26, 10, 0</t>
  </si>
  <si>
    <t>professional plumbers table view</t>
  </si>
  <si>
    <t>0, 0, 0, 0, 0, 0, 0, 0, 0, 0, 0, 0, 0, 0, 0, 50, 49, 39, 34, 23, 26, 28, 14, 0</t>
  </si>
  <si>
    <t>34, 27, 30, 28, 32, 34, 33, 40, 36, 17, 35, 31, 145, 156, 129, 45, 14, 13, 36, 18, 18, 14, 3, 1</t>
  </si>
  <si>
    <t>cape town electrician</t>
  </si>
  <si>
    <t>15, 15, 15, 11, 11, 4, 17, 13, 9, 12, 9, 17, 50, 27, 21, 17, 26, 24, 28, 16, 20, 10, 17, 11</t>
  </si>
  <si>
    <t>plumber newlands</t>
  </si>
  <si>
    <t>durbanville electrician</t>
  </si>
  <si>
    <t>0, 0, 0, 0, 0, 0, 0, 0, 0, 0, 0, 0, 0, 0, 0, 0, 0, 0, 0, 14, 71, 69, 73, 10</t>
  </si>
  <si>
    <t>plumber, cape town, western cape, south africa</t>
  </si>
  <si>
    <t>0, 0, 3, 1, 0, 2, 4, 5, 3, 4, 6, 2, 28, 25, 36, 35, 81, 78, 78, 168, 35, 30, 17, 3</t>
  </si>
  <si>
    <t>0, 0, 0, 0, 0, 0, 0, 0, 0, 0, 0, 0, 7, 26, 42, 27, 28, 46, 29, 9, 0, 0, 0, 0</t>
  </si>
  <si>
    <t>plumber durbanville cape town</t>
  </si>
  <si>
    <t>plumbing company cape town</t>
  </si>
  <si>
    <t>0, 0, 0, 0, 0, 0, 1, 1, 1, 0, 1, 0, 62, 64, 44, 7, 0, 0, 68, 0, 0, 0, 0, 0</t>
  </si>
  <si>
    <t>electrician course cape town</t>
  </si>
  <si>
    <t>0, 0, 0, 0, 0, 0, 4, 5, 5, 5, 5, 8, 5, 6, 23, 19, 14, 14, 32, 28, 33, 20, 5, 14</t>
  </si>
  <si>
    <t>geyser pressure control repair cape town</t>
  </si>
  <si>
    <t>10, 1, 2, 0, 17, 8, 10, 5, 3, 2, 0, 3, 216, 137, 81, 24, 8, 8, 15, 18, 20, 26, 31, 17</t>
  </si>
  <si>
    <t>0, 0, 0, 0, 0, 0, 0, 0, 0, 0, 0, 0, 0, 0, 0, 0, 0, 0, 0, 0, 13, 34, 8, 0</t>
  </si>
  <si>
    <t>weekend plumber cape town</t>
  </si>
  <si>
    <t>plumber milnerton</t>
  </si>
  <si>
    <t>0, 0, 0, 0, 0, 0, 0, 0, 0, 0, 0, 0, 0, 0, 0, 0, 0, 20, 5, 0, 49, 39, 14, 0</t>
  </si>
  <si>
    <t>electrician jobs in cape town gumtree</t>
  </si>
  <si>
    <t>Informational,Branded,Non-local</t>
  </si>
  <si>
    <t>44, 35, 14, 0, 0, 0, 46, 20, 28, 10, 31, 50, 21, 27, 22, 1, 0, 0, 1, 2, 3, 14, 5, 1</t>
  </si>
  <si>
    <t>reliable emergency plumber cape town</t>
  </si>
  <si>
    <t>0, 0, 0, 0, 0, 0, 0, 0, 0, 0, 0, 0, 0, 0, 0, 0, 0, 0, 0, 0, 14, 28, 13, 0</t>
  </si>
  <si>
    <t>same day plumber cape town</t>
  </si>
  <si>
    <t>0, 0, 0, 0, 0, 0, 0, 0, 0, 0, 0, 0, 0, 0, 0, 0, 0, 0, 0, 0, 46, 40, 18, 6</t>
  </si>
  <si>
    <t>auto electrician course cape town</t>
  </si>
  <si>
    <t>0, 0, 0, 0, 0, 0, 0, 4, 19, 18, 10, 24, 24, 17, 20, 0, 0, 0, 0, 0, 2, 0, 0, 0</t>
  </si>
  <si>
    <t>electrician cape town jobs</t>
  </si>
  <si>
    <t>0, 2, 1, 0, 1, 1, 1, 0, 0, 3, 3, 6, 22, 21, 21, 5, 6, 11, 7, 5, 6, 14, 8, 2</t>
  </si>
  <si>
    <t>32, 8, 14, 23, 58, 31, 29, 24, 46, 22, 54, 36, 88, 84, 67, 42, 62, 53, 68, 42, 59, 40, 20, 3</t>
  </si>
  <si>
    <t>geyser repair specialists cape town</t>
  </si>
  <si>
    <t>0, 0, 0, 0, 0, 0, 0, 0, 0, 0, 0, 0, 0, 0, 0, 0, 0, 0, 0, 0, 30, 25, 9, 0</t>
  </si>
  <si>
    <t>24-hour plumber cape town</t>
  </si>
  <si>
    <t>electrician newlands</t>
  </si>
  <si>
    <t>0, 0, 0, 0, 0, 0, 0, 0, 0, 0, 0, 0, 0, 0, 0, 0, 0, 0, 0, 0, 16, 31, 14, 0</t>
  </si>
  <si>
    <t>0, 3, 5, 6, 7, 0, 0, 4, 9, 2, 3, 2, 43, 34, 36, 46, 54, 59, 55, 194, 19, 18, 19, 14</t>
  </si>
  <si>
    <t>high pressure geyser repair cape town</t>
  </si>
  <si>
    <t>plumber wynberg</t>
  </si>
  <si>
    <t>Southern Suburbs</t>
  </si>
  <si>
    <t>0, 0, 0, 0, 0, 0, 0, 0, 0, 0, 0, 0, 0, 0, 0, 0, 0, 0, 0, 0, 21, 24, 11, 0</t>
  </si>
  <si>
    <t>plumber vacancies in cape town</t>
  </si>
  <si>
    <t>0, 0, 0, 0, 0, 0, 0, 0, 0, 0, 0, 0, 6, 14, 9, 18, 18, 19, 8, 0, 0, 0, 0, 1</t>
  </si>
  <si>
    <t>affordable plumber cape town</t>
  </si>
  <si>
    <t>0, 0, 0, 0, 0, 0, 0, 0, 0, 0, 0, 0, 0, 0, 0, 0, 0, 0, 0, 0, 27, 45, 10, 0</t>
  </si>
  <si>
    <t>0, 0, 0, 0, 0, 11, 7, 11, 4, 4, 6, 10, 133, 141, 95, 21, 3, 17, 36, 16, 29, 24, 18, 1</t>
  </si>
  <si>
    <t>electrician courses in cape town</t>
  </si>
  <si>
    <t>0, 0, 0, 0, 0, 0, 0, 0, 0, 0, 0, 1, 0, 9, 12, 3, 0, 0, 31, 8, 4, 0, 0, 0</t>
  </si>
  <si>
    <t>on call plumber cape town</t>
  </si>
  <si>
    <t>electrician wynberg</t>
  </si>
  <si>
    <t>0, 0, 0, 0, 0, 0, 0, 0, 0, 0, 0, 0, 0, 0, 0, 0, 0, 0, 0, 0, 18, 25, 12, 0</t>
  </si>
  <si>
    <t>licensed electrician cape town</t>
  </si>
  <si>
    <t>0, 0, 0, 0, 0, 0, 0, 0, 0, 0, 0, 1, 30, 5, 4, 1, 0, 0, 0, 0, 6, 13, 12, 15</t>
  </si>
  <si>
    <t>electrician salary cape town</t>
  </si>
  <si>
    <t>1, 0, 1, 3, 11, 7, 3, 5, 5, 5, 7, 9, 35, 34, 35, 54, 40, 42, 48, 173, 8, 3, 4, 0</t>
  </si>
  <si>
    <t>0, 0, 0, 0, 0, 0, 0, 0, 0, 0, 0, 11, 8, 13, 12, 13, 10, 11, 10, 12, 4, 3, 0, 0</t>
  </si>
  <si>
    <t>emergency geyser repair cape town</t>
  </si>
  <si>
    <t>0, 0, 0, 0, 0, 0, 0, 0, 0, 0, 0, 0, 0, 0, 0, 0, 0, 0, 0, 0, 29, 48, 17, 0</t>
  </si>
  <si>
    <t>plumbers tokai</t>
  </si>
  <si>
    <t>public holiday plumber cape town</t>
  </si>
  <si>
    <t>0, 0, 0, 0, 0, 0, 0, 0, 0, 0, 0, 0, 0, 0, 0, 0, 0, 0, 0, 0, 23, 40, 11, 0</t>
  </si>
  <si>
    <t>plumbers cape town southern suburbs</t>
  </si>
  <si>
    <t>0, 0, 0, 0, 0, 10, 8, 2, 2, 1, 0, 3, 120, 124, 83, 17, 3, 2, 0, 0, 6, 26, 29, 16</t>
  </si>
  <si>
    <t>0, 0, 0, 0, 0, 0, 0, 0, 3, 0, 4, 1, 5, 4, 2, 4, 2, 43, 51, 23, 5, 3, 0, 1</t>
  </si>
  <si>
    <t>plumbers woodstock</t>
  </si>
  <si>
    <t>top rated residential plumber cape town</t>
  </si>
  <si>
    <t>0, 0, 0, 0, 0, 0, 0, 0, 0, 0, 0, 0, 0, 0, 0, 0, 0, 0, 0, 0, 6, 37, 12, 0</t>
  </si>
  <si>
    <t>electrician call out fee cape town</t>
  </si>
  <si>
    <t>plumbing repairs</t>
  </si>
  <si>
    <t>0, 0, 0, 15, 7, 0, 16, 17, 9, 0, 0, 6, 16, 23, 10, 2, 0, 0, 0, 0, 0, 0, 2, 1</t>
  </si>
  <si>
    <t>after hours plumber cape town</t>
  </si>
  <si>
    <t>Local pack,People also ask,Discussions</t>
  </si>
  <si>
    <t>0, 0, 0, 0, 0, 0, 0, 0, 0, 0, 0, 0, 0, 0, 0, 0, 0, 0, 0, 0, 21, 37, 9, 0</t>
  </si>
  <si>
    <t>local plumber cape town</t>
  </si>
  <si>
    <t>0, 0, 0, 0, 0, 0, 0, 0, 0, 0, 0, 0, 0, 0, 0, 0, 0, 0, 0, 0, 15, 38, 10, 0</t>
  </si>
  <si>
    <t>plumber call out fee cape town</t>
  </si>
  <si>
    <t>0, 0, 0, 0, 0, 0, 0, 0, 0, 0, 0, 0, 12, 11, 15, 0, 0, 0, 8, 9, 7, 7, 5, 12</t>
  </si>
  <si>
    <t>2, 3, 4, 1, 5, 4, 2, 0, 6, 2, 2, 14, 125, 144, 95, 32, 5, 2, 6, 10, 6, 4, 6, 0</t>
  </si>
  <si>
    <t>same-day plumber cape town</t>
  </si>
  <si>
    <t>0, 0, 0, 0, 0, 0, 0, 0, 0, 0, 0, 0, 0, 0, 0, 0, 0, 0, 0, 0, 14, 30, 15, 0</t>
  </si>
  <si>
    <t>local plumbers cape town</t>
  </si>
  <si>
    <t>plumbers fish hoek</t>
  </si>
  <si>
    <t>0, 0, 0, 0, 0, 0, 0, 0, 0, 0, 0, 0, 0, 0, 0, 0, 0, 12, 23, 21, 20, 19, 7, 0</t>
  </si>
  <si>
    <t>plumber vacancies cape town</t>
  </si>
  <si>
    <t>0, 0, 0, 0, 0, 0, 0, 0, 0, 0, 0, 0, 0, 0, 0, 0, 0, 0, 0, 2, 4, 0, 0, 1</t>
  </si>
  <si>
    <t>green plumbers cape town</t>
  </si>
  <si>
    <t>0, 0, 0, 0, 0, 0, 0, 0, 0, 0, 0, 0, 0, 0, 0, 0, 0, 0, 0, 0, 0, 0, 0, 0</t>
  </si>
  <si>
    <t>recommended plumbers in cape town</t>
  </si>
  <si>
    <t>best plumbers cape town</t>
  </si>
  <si>
    <t>6, 3, 10, 4, 0, 0, 1, 1, 0, 0, 0, 0, 0, 0, 0, 0, 0, 0, 0, 0, 0, 0, 0, 1</t>
  </si>
  <si>
    <t>plumber observatory cape town</t>
  </si>
  <si>
    <t>johan newtech plumbers cape town reviews</t>
  </si>
  <si>
    <t>778, 12, 8, 14, 0, 0, 0, 0, 0, 0, 0, 0, 0, 0, 0, 0, 0, 0, 0, 0, 0, 0, 0, 0</t>
  </si>
  <si>
    <t>3, 6, 2, 8, 19, 40, 34, 2, 5, 2, 5, 2, 132, 131, 78, 15, 3, 7, 12, 11, 26, 1, 6, 0</t>
  </si>
  <si>
    <t>gumtree electrician jobs cape town</t>
  </si>
  <si>
    <t>same-day plumber emergency cape town</t>
  </si>
  <si>
    <t>0, 0, 0, 0, 0, 0, 0, 0, 0, 0, 0, 0, 0, 0, 0, 0, 0, 0, 0, 0, 18, 24, 8, 0</t>
  </si>
  <si>
    <t>plumbers supplies southern suburbs cape town</t>
  </si>
  <si>
    <t>plumbers newlands</t>
  </si>
  <si>
    <t>moisture detection plumber cape town</t>
  </si>
  <si>
    <t>0, 0, 0, 0, 0, 0, 0, 0, 0, 0, 0, 0, 0, 0, 0, 0, 0, 0, 0, 0, 8, 12, 3, 0</t>
  </si>
  <si>
    <t>plumbers in tableview cape town</t>
  </si>
  <si>
    <t>0, 0, 0, 0, 0, 0, 0, 0, 0, 0, 0, 0, 0, 0, 0, 0, 0, 0, 0, 0, 0, 0, 0, 1</t>
  </si>
  <si>
    <t>plumbers cape town city bowl</t>
  </si>
  <si>
    <t>emergency plumber durbanville</t>
  </si>
  <si>
    <t>0, 0, 0, 0, 0, 0, 3, 0, 2, 3, 3, 5, 132, 137, 105, 18, 4, 7, 3, 15, 3, 2, 3, 1</t>
  </si>
  <si>
    <t>licensed plumber cape town</t>
  </si>
  <si>
    <t>electrician table view</t>
  </si>
  <si>
    <t>0, 0, 0, 0, 0, 0, 0, 0, 0, 0, 0, 0, 0, 0, 0, 0, 0, 5, 1, 0, 14, 16, 2, 2</t>
  </si>
  <si>
    <t>weekend emergency plumber cape town</t>
  </si>
  <si>
    <t>0, 0, 0, 0, 0, 0, 0, 0, 0, 0, 0, 0, 0, 0, 0, 0, 0, 0, 0, 0, 10, 25, 9, 0</t>
  </si>
  <si>
    <t>no hot water emergency plumber cape town</t>
  </si>
  <si>
    <t>0, 0, 0, 0, 0, 0, 0, 0, 0, 0, 0, 0, 0, 0, 0, 0, 0, 0, 0, 0, 8, 21, 6, 0</t>
  </si>
  <si>
    <t>plumber woodstock cape town</t>
  </si>
  <si>
    <t>0, 0, 0, 0, 0, 0, 0, 0, 0, 0, 0, 0, 3, 4, 2, 0, 0, 1, 1, 0, 0, 0, 0, 0</t>
  </si>
  <si>
    <t>Atlantic Seaboard</t>
  </si>
  <si>
    <t>rapid response plumber cape town</t>
  </si>
  <si>
    <t>0, 0, 0, 0, 0, 0, 0, 0, 0, 0, 0, 0, 0, 0, 0, 0, 0, 0, 0, 0, 7, 22, 8, 3</t>
  </si>
  <si>
    <t>reliable plumber cape town</t>
  </si>
  <si>
    <t>0, 0, 0, 0, 0, 0, 0, 0, 0, 0, 0, 0, 0, 0, 0, 0, 0, 1, 1, 0, 26, 18, 5, 3</t>
  </si>
  <si>
    <t>gumtree plumbers cape town</t>
  </si>
  <si>
    <t>cape town registered plumbers</t>
  </si>
  <si>
    <t>johan newtech plumbers cape town</t>
  </si>
  <si>
    <t>38, 32, 32, 32, 29, 32, 29, 36, 43, 44, 45, 41, 38, 31, 32, 31, 28, 31, 29, 36, 42, 43, 44, 41</t>
  </si>
  <si>
    <t>37, 31, 31, 30, 27, 30, 28, 35, 42, 43, 44, 40, 36</t>
  </si>
  <si>
    <t>1622, 46, 26, 28, 24, 15, 29, 7, 11, 14, 3, 0, 0, 0, 0, 0, 0, 0, 0, 0, 0, 0, 0, 1</t>
  </si>
  <si>
    <t>plumbers near kuils river, cape town</t>
  </si>
  <si>
    <t>0, 0, 0, 0, 0, 0, 0, 0, 1, 3, 1, 0, 0, 0, 0, 0, 0, 0, 0, 0, 0, 0, 0, 1</t>
  </si>
  <si>
    <t>emergency plumber plumstead</t>
  </si>
  <si>
    <t>residential plumber cape town</t>
  </si>
  <si>
    <t>0, 0, 0, 0, 0, 0, 0, 0, 0, 0, 0, 0, 0, 0, 0, 0, 0, 0, 0, 0, 9, 19, 5, 2</t>
  </si>
  <si>
    <t>low water pressure plumber cape town</t>
  </si>
  <si>
    <t>0, 0, 0, 0, 0, 0, 0, 0, 0, 0, 0, 0, 0, 0, 0, 0, 0, 0, 0, 0, 10, 23, 7, 3</t>
  </si>
  <si>
    <t>plumbers bellville cape town</t>
  </si>
  <si>
    <t>0, 0, 0, 0, 1, 0, 0, 0, 0, 0, 0, 1, 30, 32, 70, 52, 48, 55, 35, 28, 41, 33, 27, 3</t>
  </si>
  <si>
    <t>plumber woodstock</t>
  </si>
  <si>
    <t>electrician salary in cape town</t>
  </si>
  <si>
    <t>0, 0, 0, 0, 0, 0, 0, 0, 0, 0, 0, 0, 0, 0, 3, 0, 0, 0, 3, 8, 4, 1, 0, 1</t>
  </si>
  <si>
    <t>electrician woodstock cape town</t>
  </si>
  <si>
    <t>semi skilled electrician jobs in cape town</t>
  </si>
  <si>
    <t>five star plumber cape town</t>
  </si>
  <si>
    <t>4, 3, 2, 1, 6, 7, 13, 1, 4, 6, 3, 6, 144, 139, 105, 26, 2, 4, 10, 15, 26, 22, 21, 3</t>
  </si>
  <si>
    <t>0, 0, 0, 0, 0, 0, 0, 0, 0, 0, 0, 0, 0, 0, 0, 0, 0, 0, 0, 0, 6, 13, 6, 0</t>
  </si>
  <si>
    <t>electrician in cape town, western cape</t>
  </si>
  <si>
    <t>0, 0, 0, 0, 0, 0, 0, 0, 0, 0, 0, 0, 0, 0, 0, 0, 0, 5, 2, 0, 0, 0, 0, 0</t>
  </si>
  <si>
    <t>plumber rondebosch</t>
  </si>
  <si>
    <t>electrician table view cape town</t>
  </si>
  <si>
    <t>24 hours plumbers cape town</t>
  </si>
  <si>
    <t>professional home plumber cape town</t>
  </si>
  <si>
    <t>0, 0, 0, 0, 0, 0, 0, 5, 13, 1, 1, 0, 9, 27, 27, 61, 61, 105, 98, 43, 37, 26, 25, 2</t>
  </si>
  <si>
    <t>0, 0, 0, 0, 0, 0, 0, 0, 0, 0, 0, 0, 0, 0, 0, 0, 0, 0, 0, 0, 7, 10, 5, 2</t>
  </si>
  <si>
    <t>average electrician psy in cape town</t>
  </si>
  <si>
    <t>geyser pressure relief valve repair cape town</t>
  </si>
  <si>
    <t>plumber south africa</t>
  </si>
  <si>
    <t>0, 0, 0, 0, 0, 0, 0, 0, 0, 0, 0, 0, 0, 0, 0, 0, 0, 0, 0, 0, 17, 28, 9, 3</t>
  </si>
  <si>
    <t>plumbers pinelands cape town</t>
  </si>
  <si>
    <t>bosman plumbers cape town</t>
  </si>
  <si>
    <t>0, 0, 0, 7, 2, 4, 9, 8, 9, 2, 10, 8, 69, 66, 41, 22, 6, 27, 15, 13, 12, 17, 21, 16</t>
  </si>
  <si>
    <t>auto electrician claremont cape town</t>
  </si>
  <si>
    <t>electrician sea point</t>
  </si>
  <si>
    <t>reliable plumber emergency cape town</t>
  </si>
  <si>
    <t>0, 0, 0, 0, 0, 0, 0, 0, 0, 0, 0, 0, 0, 0, 0, 0, 0, 0, 0, 0, 18, 25, 7, 3</t>
  </si>
  <si>
    <t>electrician training courses cape town</t>
  </si>
  <si>
    <t>list plumbers cape town</t>
  </si>
  <si>
    <t>burst geyser emergency plumber cape town</t>
  </si>
  <si>
    <t>0, 0, 0, 0, 0, 0, 0, 0, 0, 0, 0, 0, 0, 0, 0, 0, 0, 0, 0, 0, 8, 20, 6, 2</t>
  </si>
  <si>
    <t>auto electrician near parow, cape town</t>
  </si>
  <si>
    <t>no hot water plumber cape town</t>
  </si>
  <si>
    <t>0, 0, 0, 0, 0, 0, 0, 0, 0, 0, 0, 0, 0, 0, 0, 0, 0, 0, 0, 0, 8, 17, 6, 0</t>
  </si>
  <si>
    <t>22, 3, 2, 3, 3, 5, 19, 22, 41, 29, 21, 37, 48, 13, 34, 34, 33, 40, 26, 32, 31, 35, 31, 19</t>
  </si>
  <si>
    <t>auto electrician bree street cape town</t>
  </si>
  <si>
    <t>Maintenance</t>
  </si>
  <si>
    <t>plumbers on demand cape town</t>
  </si>
  <si>
    <t>emergency plumber camps bay</t>
  </si>
  <si>
    <t>trusted home plumber cape town</t>
  </si>
  <si>
    <t>0, 0, 0, 0, 0, 0, 0, 0, 0, 0, 0, 0, 0, 0, 0, 0, 0, 0, 0, 0, 11, 16, 4, 2</t>
  </si>
  <si>
    <t>water tank connection plumber cape town</t>
  </si>
  <si>
    <t>0, 0, 0, 0, 0, 0, 0, 0, 0, 0, 0, 0, 0, 0, 0, 0, 0, 0, 0, 0, 6, 11, 3, 0</t>
  </si>
  <si>
    <t>plumbers near eerste river, cape town</t>
  </si>
  <si>
    <t>0, 0, 0, 0, 0, 1, 2, 0, 0, 0, 3, 0, 33, 35, 33, 31, 27, 32, 32, 31, 48, 33, 44, 26</t>
  </si>
  <si>
    <t>plumbers services in southern suburbs cape town</t>
  </si>
  <si>
    <t>electrician fish hoek</t>
  </si>
  <si>
    <t>electrician courses part-time cape town</t>
  </si>
  <si>
    <t>0, 0, 0, 0, 1, 1, 1, 0, 0, 0, 0, 0, 0, 0, 0, 0, 0, 0, 0, 0, 0, 0, 0, 1</t>
  </si>
  <si>
    <t>plumber qualifications cape town</t>
  </si>
  <si>
    <t>happy auto electrician and diagnosis cape town</t>
  </si>
  <si>
    <t>6, 3, 1, 3, 8, 6, 3, 1, 0, 0, 0, 0, 0, 0, 0, 0, 0, 0, 0, 0, 0, 0, 0, 0</t>
  </si>
  <si>
    <t>Northern Suburbs</t>
  </si>
  <si>
    <t>electrician parklands cape town</t>
  </si>
  <si>
    <t>electrician cape town cbd</t>
  </si>
  <si>
    <t>gilbert plumbers cape town</t>
  </si>
  <si>
    <t>37, 30, 27, 35, 20, 19, 26, 26, 23, 23, 26, 34, 44, 28, 27, 15, 20, 22, 20, 28, 23, 21, 30, 23</t>
  </si>
  <si>
    <t>mps plumbers and blocked drains cape town</t>
  </si>
  <si>
    <t>0, 8, 2, 0, 0, 0, 0, 0, 0, 0, 0, 0, 0, 0, 0, 0, 0, 0, 0, 0, 0, 0, 0, 1</t>
  </si>
  <si>
    <t>geyser repair kit cape town</t>
  </si>
  <si>
    <t>plumbers milnerton</t>
  </si>
  <si>
    <t>insurance approved plumber cape town</t>
  </si>
  <si>
    <t>0, 0, 0, 0, 0, 0, 0, 0, 0, 0, 0, 0, 0, 0, 0, 0, 0, 0, 0, 0, 7, 17, 7, 0</t>
  </si>
  <si>
    <t>plumbers fish hoek cape town</t>
  </si>
  <si>
    <t>artisan electrician jobs cape town</t>
  </si>
  <si>
    <t>qualified plumber cape town</t>
  </si>
  <si>
    <t>38, 30, 34, 22, 26, 19, 25, 27, 25, 31, 45, 16, 30, 16, 23, 43, 36, 47, 45, 42, 53, 35, 19, 37</t>
  </si>
  <si>
    <t>geyser pressure valve repair cape town</t>
  </si>
  <si>
    <t>0, 0, 0, 0, 0, 0, 0, 0, 0, 0, 0, 0, 0, 0, 0, 0, 0, 0, 0, 0, 12, 30, 9, 0</t>
  </si>
  <si>
    <t>plumber green point</t>
  </si>
  <si>
    <t>electrician cape town city bowl</t>
  </si>
  <si>
    <t>gumtree cape town plumber</t>
  </si>
  <si>
    <t>plumber northern suburbs cape town</t>
  </si>
  <si>
    <t>0, 0, 0, 0, 1, 1, 5, 1, 1, 2, 1, 2, 5, 16, 28, 53, 52, 43, 47, 21, 28, 29, 23, 1</t>
  </si>
  <si>
    <t>0, 0, 0, 0, 0, 0, 0, 0, 0, 0, 0, 0, 0, 0, 0, 0, 0, 0, 0, 0, 7, 17, 5, 0</t>
  </si>
  <si>
    <t>active plumbers cape town</t>
  </si>
  <si>
    <t>bmw auto electrician cape town</t>
  </si>
  <si>
    <t>electrician observatory</t>
  </si>
  <si>
    <t>hiring a plumber cape town</t>
  </si>
  <si>
    <t>0, 0, 0, 0, 0, 0, 0, 0, 0, 0, 0, 0, 0, 0, 0, 0, 0, 10, 5, 0, 0, 0, 0, 0</t>
  </si>
  <si>
    <t>plumber in cape town, south africa</t>
  </si>
  <si>
    <t>0, 0, 0, 0, 0, 0, 0, 0, 0, 0, 0, 0, 0, 0, 0, 0, 0, 3, 4, 0, 0, 0, 0, 0</t>
  </si>
  <si>
    <t>marine electrician cape town</t>
  </si>
  <si>
    <t>0, 0, 0, 1, 6, 5, 0, 3, 0, 0, 0, 0, 33, 28, 26, 36, 31, 40, 35, 159, 5, 10, 7, 0</t>
  </si>
  <si>
    <t>electrician rates cape town</t>
  </si>
  <si>
    <t>city of cape town registered plumbers</t>
  </si>
  <si>
    <t>emergency plumber muizenberg</t>
  </si>
  <si>
    <t>Informational,Branded,Local</t>
  </si>
  <si>
    <t>0, 0, 0, 0, 0, 0, 1, 0, 0, 0, 1, 0, 1, 1, 3, 1, 0, 0, 0, 1, 1, 0, 0, 0</t>
  </si>
  <si>
    <t>john the plumber pty ltd cape town</t>
  </si>
  <si>
    <t>3, 0, 3, 0, 0, 0, 0, 0, 0, 0, 0, 0, 0, 0, 0, 0, 0, 0, 0, 0, 0, 0, 0, 0</t>
  </si>
  <si>
    <t>electrician in cape town, south africa</t>
  </si>
  <si>
    <t>0, 0, 0, 0, 2, 0, 0, 0, 0, 0, 0, 2, 31, 34, 36, 31, 24, 35, 31, 28, 42, 31, 31, 20</t>
  </si>
  <si>
    <t>0, 0, 0, 0, 0, 0, 0, 0, 0, 0, 0, 0, 0, 0, 0, 0, 6, 2, 5, 0, 0, 0, 0, 0</t>
  </si>
  <si>
    <t>johan newtech plumbers cape town photos</t>
  </si>
  <si>
    <t>9, 1, 0, 0, 0, 0, 0, 0, 0, 0, 0, 0, 0, 0, 0, 0, 0, 0, 0, 0, 0, 0, 0, 0</t>
  </si>
  <si>
    <t>plumbers athlone cape town</t>
  </si>
  <si>
    <t>emergency plumber tokai</t>
  </si>
  <si>
    <t>plumber wynberg cape town</t>
  </si>
  <si>
    <t>expert plumber cape town</t>
  </si>
  <si>
    <t>0, 0, 0, 0, 0, 0, 0, 0, 0, 0, 2, 0, 32, 30, 41, 33, 22, 33, 32, 28, 31, 32, 31, 12</t>
  </si>
  <si>
    <t>0, 0, 0, 0, 0, 0, 0, 0, 0, 0, 0, 0, 0, 0, 0, 0, 0, 0, 0, 0, 6, 31, 9, 2</t>
  </si>
  <si>
    <t>auto electrician athlone cape town</t>
  </si>
  <si>
    <t>plumbers maitland</t>
  </si>
  <si>
    <t>top-rated plumbers cape town</t>
  </si>
  <si>
    <t>0, 0, 0, 0, 0, 0, 0, 0, 0, 0, 0, 0, 0, 0, 0, 0, 0, 0, 7, 3, 13, 16, 4, 0</t>
  </si>
  <si>
    <t>plumber salary cape town</t>
  </si>
  <si>
    <t>0, 0, 0, 0, 0, 0, 0, 0, 0, 0, 0, 0, 0, 0, 0, 0, 13, 9, 6, 10, 7, 3, 0, 0</t>
  </si>
  <si>
    <t>4, 4, 4, 0, 1, 3, 6, 1, 0, 1, 3, 1, 124, 125, 72, 14, 2, 1, 0, 3, 3, 2, 1, 0</t>
  </si>
  <si>
    <t>auto electrician cape town cbd</t>
  </si>
  <si>
    <t>0, 0, 0, 0, 0, 0, 0, 0, 0, 0, 0, 0, 0, 0, 0, 0, 0, 0, 0, 0, 0, 0, 0, 2</t>
  </si>
  <si>
    <t>tap replacement plumber cape town</t>
  </si>
  <si>
    <t>Durbanville</t>
  </si>
  <si>
    <t>plumber southern suburbs</t>
  </si>
  <si>
    <t>0, 0, 0, 0, 0, 0, 0, 0, 0, 0, 0, 0, 0, 0, 0, 0, 0, 0, 0, 0, 18, 21, 9, 0</t>
  </si>
  <si>
    <t>same day plumber emergency cape town</t>
  </si>
  <si>
    <t>0, 0, 0, 0, 0, 0, 0, 0, 0, 0, 0, 0, 0, 0, 0, 0, 0, 0, 0, 0, 11, 20, 16, 0</t>
  </si>
  <si>
    <t>property management plumber cape town</t>
  </si>
  <si>
    <t>0, 0, 0, 0, 0, 0, 0, 0, 0, 0, 0, 0, 0, 0, 0, 0, 0, 0, 0, 0, 3, 8, 2, 1</t>
  </si>
  <si>
    <t>plumbers, cape town, western cape, south africa</t>
  </si>
  <si>
    <t>0, 0, 0, 0, 0, 0, 0, 0, 0, 0, 0, 0, 0, 0, 0, 3, 6, 18, 10, 0, 0, 0, 0, 0</t>
  </si>
  <si>
    <t>plumber training cape town</t>
  </si>
  <si>
    <t>plumbers in cape town, western cape</t>
  </si>
  <si>
    <t>5, 1, 1, 5, 8, 8, 17, 13, 8, 3, 5, 12, 13, 20, 19, 17, 10, 53, 64, 51, 33, 26, 35, 27</t>
  </si>
  <si>
    <t>0, 0, 0, 0, 0, 0, 0, 0, 0, 0, 0, 0, 0, 0, 0, 0, 0, 4, 7, 0, 0, 0, 0, 0</t>
  </si>
  <si>
    <t>plumber near me cape town</t>
  </si>
  <si>
    <t>0, 0, 0, 0, 0, 0, 0, 0, 0, 0, 0, 0, 0, 0, 0, 0, 0, 18, 5, 16, 0, 0, 0, 0</t>
  </si>
  <si>
    <t>electrician northern suburbs</t>
  </si>
  <si>
    <t>urgent plumber cape town</t>
  </si>
  <si>
    <t>0, 0, 0, 0, 0, 0, 0, 0, 0, 0, 0, 0, 0, 0, 0, 0, 0, 0, 0, 0, 10, 32, 11, 0</t>
  </si>
  <si>
    <t>certified electrician cape town</t>
  </si>
  <si>
    <t>fast response plumber cape town</t>
  </si>
  <si>
    <t>3, 2, 4, 6, 4, 0, 2, 1, 1, 11, 9, 4, 29, 28, 30, 19, 22, 29, 32, 36, 27, 33, 35, 33</t>
  </si>
  <si>
    <t>0, 0, 0, 0, 0, 0, 0, 0, 0, 0, 0, 0, 0, 0, 0, 0, 0, 0, 0, 0, 9, 19, 6, 0</t>
  </si>
  <si>
    <t>jj lourens plumbers cape town</t>
  </si>
  <si>
    <t>rc bosman plumbers cape town</t>
  </si>
  <si>
    <t>electrician durbanville area</t>
  </si>
  <si>
    <t>louw bros group plumbers table view</t>
  </si>
  <si>
    <t>plumber kenilworth cape town</t>
  </si>
  <si>
    <t>plumber maitland</t>
  </si>
  <si>
    <t>0, 0, 0, 0, 0, 0, 0, 0, 0, 0, 0, 0, 3, 0, 0, 0, 1, 0, 0, 0, 0, 0, 0, 0</t>
  </si>
  <si>
    <t>junior electrician jobs in cape town</t>
  </si>
  <si>
    <t>plumbers gumtree cape town</t>
  </si>
  <si>
    <t>21, 5, 2, 4, 4, 5, 5, 1, 5, 7, 4, 5, 122, 126, 74, 16, 0, 0, 1, 1, 3, 3, 0, 1</t>
  </si>
  <si>
    <t>cost effective plumber cape town</t>
  </si>
  <si>
    <t>0, 0, 0, 0, 0, 0, 0, 0, 0, 0, 0, 0, 0, 0, 0, 0, 0, 0, 0, 0, 7, 18, 8, 2</t>
  </si>
  <si>
    <t>marine electrician jobs in cape town</t>
  </si>
  <si>
    <t>emergency plumber rondebosch</t>
  </si>
  <si>
    <t>6, 0, 8, 0, 0, 0, 21, 4, 0, 0, 5, 12, 2, 2, 1, 0, 0, 0, 0, 0, 0, 0, 0, 0</t>
  </si>
  <si>
    <t>car electrician cape town</t>
  </si>
  <si>
    <t>rental property plumber cape town</t>
  </si>
  <si>
    <t>0, 0, 0, 0, 0, 0, 0, 0, 0, 0, 0, 0, 0, 0, 0, 0, 0, 0, 0, 0, 9, 24, 8, 0</t>
  </si>
  <si>
    <t>0, 0, 0, 0, 0, 0, 0, 0, 0, 0, 4, 0, 30, 31, 38, 32, 26, 32, 32, 28, 57, 34, 31, 23</t>
  </si>
  <si>
    <t>auto electrician goodwood cape town</t>
  </si>
  <si>
    <t>electrician claremont</t>
  </si>
  <si>
    <t>residential plumber near me cape town</t>
  </si>
  <si>
    <t>0, 0, 0, 0, 0, 0, 0, 0, 0, 0, 0, 0, 0, 0, 0, 0, 0, 0, 0, 0, 14, 29, 6, 0</t>
  </si>
  <si>
    <t>jobs electrician cape town</t>
  </si>
  <si>
    <t>one stop plumbers shop cape town</t>
  </si>
  <si>
    <t>0, 0, 0, 0, 14, 3, 2, 0, 0, 0, 0, 0, 0, 0, 0, 0, 0, 0, 0, 0, 0, 0, 0, 0</t>
  </si>
  <si>
    <t>plumbers in table view</t>
  </si>
  <si>
    <t>semi skilled auto electrician jobs in cape town</t>
  </si>
  <si>
    <t>7, 7, 8, 5, 10, 2, 6, 8, 17, 15, 27, 15, 32, 26, 10, 23, 21, 12, 18, 14, 24, 10, 10, 3</t>
  </si>
  <si>
    <t>electrician jobs gumtree cape town</t>
  </si>
  <si>
    <t>auto electrician cape town northern suburbs</t>
  </si>
  <si>
    <t>plumber muizenberg</t>
  </si>
  <si>
    <t>drainmen plumbers cape town</t>
  </si>
  <si>
    <t>registered plumber cape town</t>
  </si>
  <si>
    <t>0, 0, 0, 0, 0, 0, 0, 0, 0, 0, 0, 0, 0, 0, 0, 0, 0, 0, 0, 0, 5, 2, 1, 0</t>
  </si>
  <si>
    <t>ian forbes electrician cape town</t>
  </si>
  <si>
    <t>aaa plumbers cape town</t>
  </si>
  <si>
    <t>Bellville</t>
  </si>
  <si>
    <t>0, 0, 0, 0, 0, 8, 6, 0, 5, 15, 0, 0, 0, 0, 1, 27, 25, 70, 64, 32, 14, 15, 11, 3</t>
  </si>
  <si>
    <t>maintenance electrician jobs cape town</t>
  </si>
  <si>
    <t>plumbers muizenberg</t>
  </si>
  <si>
    <t>0, 0, 0, 0, 0, 0, 0, 0, 0, 0, 0, 0, 3, 0, 0, 0, 0, 0, 0, 0, 0, 0, 0, 1</t>
  </si>
  <si>
    <t>greenz plumbers cape town</t>
  </si>
  <si>
    <t>electrician observatory cape town</t>
  </si>
  <si>
    <t>0, 3, 8, 14, 8, 8, 6, 16, 9, 8, 18, 7, 70, 60, 45, 16, 13, 9, 0, 0, 0, 0, 0, 1</t>
  </si>
  <si>
    <t>drain cleaning plumber observatory</t>
  </si>
  <si>
    <t>plumber constantia</t>
  </si>
  <si>
    <t>0, 0, 0, 0, 0, 0, 0, 0, 0, 0, 0, 0, 0, 0, 0, 0, 0, 0, 0, 0, 0, 17, 18, 0</t>
  </si>
  <si>
    <t>residential maintenance plumber cape town</t>
  </si>
  <si>
    <t>0, 0, 0, 0, 0, 0, 0, 0, 6, 0, 2, 5, 10, 12, 5, 4, 33, 29, 27, 14, 27, 26, 15, 24</t>
  </si>
  <si>
    <t>0, 0, 0, 0, 0, 0, 0, 0, 0, 0, 0, 0, 0, 0, 0, 0, 0, 0, 0, 0, 6, 12, 6, 2</t>
  </si>
  <si>
    <t>plumbers south africa</t>
  </si>
  <si>
    <t>electrician in durbanville, south africa</t>
  </si>
  <si>
    <t>electrician cape town northern suburbs</t>
  </si>
  <si>
    <t>0, 0, 0, 0, 6, 7, 1, 6, 2, 11, 0, 3, 18, 9, 18, 10, 17, 40, 36, 20, 27, 19, 23, 24</t>
  </si>
  <si>
    <t>24 hour plumber table view</t>
  </si>
  <si>
    <t>geyser repair green point</t>
  </si>
  <si>
    <t>Informational,Transactional,Non-branded,Local</t>
  </si>
  <si>
    <t>plumber near me</t>
  </si>
  <si>
    <t>0, 0, 0, 0, 0, 0, 0, 0, 0, 0, 0, 0, 0, 0, 0, 47, 48, 37, 41, 14, 31, 33, 18, 0</t>
  </si>
  <si>
    <t>plumbers cape town northern suburbs</t>
  </si>
  <si>
    <t>plumber tokai</t>
  </si>
  <si>
    <t>0, 0, 0, 0, 0, 0, 0, 0, 0, 0, 0, 0, 1, 1, 0, 0, 0, 0, 1, 0, 0, 0, 0, 0</t>
  </si>
  <si>
    <t>AI Overview,Thumbnail,People also ask,Knowledge panel</t>
  </si>
  <si>
    <t>affordable local plumber cape town</t>
  </si>
  <si>
    <t>0, 0, 0, 0, 0, 0, 0, 0, 0, 0, 0, 0, 0, 0, 0, 0, 40, 27, 34, 27, 44, 23, 17, 5</t>
  </si>
  <si>
    <t>0, 0, 0, 0, 0, 0, 0, 0, 0, 0, 0, 0, 0, 0, 0, 0, 0, 0, 0, 0, 8, 21, 7, 0</t>
  </si>
  <si>
    <t>plumber constantia cape town</t>
  </si>
  <si>
    <t>plumber camps bay</t>
  </si>
  <si>
    <t>2457, 2415, 1774, 2123, 1707, 2031, 2438, 2159, 3134, 2585, 2704, 2233, 2584, 2610, 1936, 2065, 1747, 2139, 2067, 2003, 2156, 2099, 2028, 2152</t>
  </si>
  <si>
    <t>2311, 2218, 2078, 2157, 2114, 2158, 2211, 2067, 2213, 2155, 2125, 2220, 2378</t>
  </si>
  <si>
    <t>plumber courses cape town</t>
  </si>
  <si>
    <t>0, 0, 0, 0, 0, 0, 0, 0, 0, 0, 0, 0, 0, 0, 15, 46, 41, 38, 36, 14, 42, 25, 13, 1</t>
  </si>
  <si>
    <t>auto electrician plumstead cape town</t>
  </si>
  <si>
    <t>electrician hout bay</t>
  </si>
  <si>
    <t>plumbing centurion</t>
  </si>
  <si>
    <t>24 hour plumber emergency cape town</t>
  </si>
  <si>
    <t>0, 0, 0, 0, 0, 0, 0, 0, 0, 0, 0, 0, 0, 0, 0, 0, 0, 0, 0, 0, 10, 32, 12, 3</t>
  </si>
  <si>
    <t>registered plumbers in cape town</t>
  </si>
  <si>
    <t>1273, 1214, 1205, 1210, 1181, 1206, 1179, 1219, 1187, 1183, 1265, 1258, 1291, 1233, 1224, 1229, 1199, 1224, 1198, 1238, 1205, 1201, 1283, 1277</t>
  </si>
  <si>
    <t>1310, 1251, 1242, 1247, 1218, 1243, 1216, 1257, 1224, 1220, 1302, 1296, 1329</t>
  </si>
  <si>
    <t>Plumbing; Planning</t>
  </si>
  <si>
    <t>kraaifontein plumbers cape town</t>
  </si>
  <si>
    <t>electricians</t>
  </si>
  <si>
    <t>electrician training cape town</t>
  </si>
  <si>
    <t>5, 6, 5, 11, 16, 33, 37, 24, 24, 13, 11, 13, 25, 22, 25, 5, 14, 12, 10, 12, 16, 4, 22, 14</t>
  </si>
  <si>
    <t>plumbers hout bay</t>
  </si>
  <si>
    <t>residential geyser leak repair cape town</t>
  </si>
  <si>
    <t>0, 0, 0, 0, 0, 0, 0, 0, 0, 0, 0, 0, 0, 0, 0, 0, 0, 0, 0, 0, 11, 32, 10, 0</t>
  </si>
  <si>
    <t>leaking geyser repair cape town</t>
  </si>
  <si>
    <t>507, 709, 682, 491, 477, 399, 577, 469, 489, 430, 447, 365, 472, 540, 469, 449, 429, 364, 473, 423, 438, 398, 444, 386</t>
  </si>
  <si>
    <t>451, 498, 474, 436, 436, 372, 473, 423, 437, 397, 444, 385, 450</t>
  </si>
  <si>
    <t>0, 0, 0, 0, 0, 0, 0, 0, 0, 0, 0, 0, 0, 0, 0, 0, 0, 0, 0, 0, 11, 27, 10, 0</t>
  </si>
  <si>
    <t>Maintenance; Home improvement; Business</t>
  </si>
  <si>
    <t>geyser burst repair service cape town</t>
  </si>
  <si>
    <t>plumbing services</t>
  </si>
  <si>
    <t>1, 0, 1, 4, 9, 29, 17, 13, 19, 4, 2, 5, 12, 17, 8, 10, 12, 20, 23, 18, 25, 18, 17, 21</t>
  </si>
  <si>
    <t>0, 0, 0, 0, 0, 0, 0, 0, 0, 0, 0, 0, 0, 0, 0, 0, 0, 0, 0, 0, 8, 21, 7, 2</t>
  </si>
  <si>
    <t>AI Overview,Thumbnail,People also ask,Video preview,Knowledge panel</t>
  </si>
  <si>
    <t>trusted plumber cape town</t>
  </si>
  <si>
    <t>electrician rondebosch</t>
  </si>
  <si>
    <t>0, 0, 0, 0, 0, 0, 0, 0, 0, 0, 0, 0, 0, 0, 0, 0, 0, 8, 6, 0, 0, 0, 0, 0</t>
  </si>
  <si>
    <t>fogi plumbers cape town</t>
  </si>
  <si>
    <t>348, 532, 354, 547, 321, 446, 371, 377, 398, 470, 257, 299, 394, 372, 378, 712, 354, 273, 399, 395, 403, 405, 436, 408</t>
  </si>
  <si>
    <t>417, 448, 381, 415, 420, 355, 407, 402, 411, 413, 444, 416, 424</t>
  </si>
  <si>
    <t>9, 14, 13, 16, 17, 6, 0, 0, 0, 0, 0, 0, 0, 0, 0, 0, 1, 4, 8, 21, 12, 8, 10, 11</t>
  </si>
  <si>
    <t>water pressure problem plumber cape town</t>
  </si>
  <si>
    <t>plumbers camps bay</t>
  </si>
  <si>
    <t>0, 0, 0, 0, 0, 0, 0, 0, 0, 0, 0, 0, 0, 0, 0, 0, 0, 0, 0, 0, 2, 17, 6, 2</t>
  </si>
  <si>
    <t>plumbers in cape town northern suburbs</t>
  </si>
  <si>
    <t>0, 0, 0, 0, 0, 0, 0, 0, 0, 0, 0, 0, 0, 0, 0, 0, 0, 0, 0, 0, 8, 29, 21, 11</t>
  </si>
  <si>
    <t>electrician plumstead</t>
  </si>
  <si>
    <t>auto electrician jobs in cape town</t>
  </si>
  <si>
    <t>qualified electrician jobs cape town</t>
  </si>
  <si>
    <t>20, 22, 7, 15, 10, 8, 14, 4, 5, 6, 0, 10, 14, 8, 11, 9, 8, 13, 10, 18, 4, 9, 21, 10</t>
  </si>
  <si>
    <t>auto electrician retreat cape town</t>
  </si>
  <si>
    <t>plumber claremont</t>
  </si>
  <si>
    <t>able plumbers cape town</t>
  </si>
  <si>
    <t>certified plumber cape town</t>
  </si>
  <si>
    <t>0, 0, 0, 0, 0, 0, 0, 0, 0, 0, 0, 0, 0, 0, 0, 0, 0, 0, 0, 0, 4, 9, 3, 1</t>
  </si>
  <si>
    <t>electrical jobs</t>
  </si>
  <si>
    <t>plumbers in cape town area</t>
  </si>
  <si>
    <t>Claremont</t>
  </si>
  <si>
    <t>electrical vacancies</t>
  </si>
  <si>
    <t>AI Overview</t>
  </si>
  <si>
    <t>12, 13, 14, 13, 14, 11, 14, 13, 12, 12, 13, 13, 12, 14, 14, 13, 14, 11, 14, 13, 13, 12, 13, 13</t>
  </si>
  <si>
    <t>12, 14, 15, 13, 15, 11, 15, 14, 13, 13, 13, 14</t>
  </si>
  <si>
    <t>best rated plumber cape town</t>
  </si>
  <si>
    <t>912, 926, 1085, 1092, 897, 260, 720, 579, 564, 736, 394, 323, 399, 374, 311, 272, 244, 224, 385, 416, 348, 342, 361, 346</t>
  </si>
  <si>
    <t>plumbers northern suburbs</t>
  </si>
  <si>
    <t>0, 0, 0, 0, 0, 0, 0, 0, 0, 0, 0, 0, 0, 0, 0, 0, 0, 0, 0, 0, 5, 25, 11, 2</t>
  </si>
  <si>
    <t>315, 315, 296, 272, 250, 221, 378, 409, 343, 337, 356, 341, 311</t>
  </si>
  <si>
    <t>plumber rondebosch cape town</t>
  </si>
  <si>
    <t>24 hour plumber durbanville</t>
  </si>
  <si>
    <t>0, 0, 0, 1, 0, 3, 2, 3, 2, 3, 2, 2, 9, 10, 9, 7, 5, 4, 6, 6, 10, 9, 15, 10</t>
  </si>
  <si>
    <t>bad drain odor plumber cape town</t>
  </si>
  <si>
    <t>electrician maitland</t>
  </si>
  <si>
    <t>0, 0, 0, 0, 0, 0, 0, 0, 0, 0, 0, 0, 0, 0, 0, 0, 0, 0, 0, 0, 9, 25, 10, 0</t>
  </si>
  <si>
    <t>plumber hourly rate cape town</t>
  </si>
  <si>
    <t>0, 0, 0, 0, 0, 0, 0, 0, 0, 0, 0, 0, 0, 0, 0, 0, 0, 0, 0, 4, 1, 0, 0, 0</t>
  </si>
  <si>
    <t>electric geyser repair cape town</t>
  </si>
  <si>
    <t>3, 5, 3, 2, 3, 4, 2, 4, 2, 5, 8, 9, 12, 6, 2, 4, 2, 3, 0, 7, 3, 4, 4, 9</t>
  </si>
  <si>
    <t>0, 0, 0, 0, 0, 0, 0, 0, 0, 0, 0, 0, 0, 0, 0, 0, 0, 0, 0, 0, 14, 25, 12, 2</t>
  </si>
  <si>
    <t>plumbers claremont cape town</t>
  </si>
  <si>
    <t>plumbers constantia</t>
  </si>
  <si>
    <t>plumbing vacancies</t>
  </si>
  <si>
    <t>rainwater tank plumber cape town</t>
  </si>
  <si>
    <t>0, 0, 0, 0, 0, 0, 0, 0, 0, 0, 0, 0, 0, 0, 0, 0, 0, 0, 0, 0, 26, 28, 26, 27</t>
  </si>
  <si>
    <t>0, 0, 0, 0, 0, 0, 0, 0, 0, 0, 0, 0, 0, 0, 0, 0, 0, 0, 0, 0, 12, 16, 5, 2</t>
  </si>
  <si>
    <t>electrician south africa</t>
  </si>
  <si>
    <t>24-hour plumber emergency cape town</t>
  </si>
  <si>
    <t>plumbing jobs</t>
  </si>
  <si>
    <t>0, 0, 0, 0, 0, 0, 0, 0, 0, 0, 0, 0, 0, 0, 0, 0, 0, 0, 0, 0, 12, 28, 12, 0</t>
  </si>
  <si>
    <t>plumber cape town city bowl</t>
  </si>
  <si>
    <t>Informational,Commercial,Non-branded,Non-local</t>
  </si>
  <si>
    <t>0, 0, 0, 0, 0, 0, 0, 0, 0, 0, 0, 0, 0, 3, 1, 3, 2, 2, 4, 3, 0, 0, 0, 1</t>
  </si>
  <si>
    <t>20, 20, 9, 19, 8, 12, 3, 12, 7, 4, 14, 6, 7, 19, 13, 9, 18, 22, 21, 16, 6, 12, 20, 6</t>
  </si>
  <si>
    <t>water saving plumber cape town</t>
  </si>
  <si>
    <t>Planning; Educational</t>
  </si>
  <si>
    <t>0, 0, 0, 0, 0, 0, 0, 0, 0, 0, 0, 0, 0, 0, 0, 0, 0, 0, 0, 0, 3, 13, 2, 1</t>
  </si>
  <si>
    <t>burst geyser repair cape town</t>
  </si>
  <si>
    <t>electrician southern suburbs</t>
  </si>
  <si>
    <t>0, 0, 0, 0, 0, 0, 0, 0, 0, 0, 0, 0, 0, 0, 0, 0, 0, 0, 0, 0, 6, 21, 7, 0</t>
  </si>
  <si>
    <t>master plumbers cape town</t>
  </si>
  <si>
    <t>290, 192, 208, 201, 183, 173, 388, 316, 304, 269, 258, 267, 264, 266, 264, 266, 256, 175, 301, 289, 288, 271, 281, 268</t>
  </si>
  <si>
    <t>19, 19, 9, 14, 7, 10, 16, 9, 11, 12, 15, 25, 13, 13, 14, 10, 7, 11, 10, 6, 10, 6, 14, 13</t>
  </si>
  <si>
    <t>275, 272, 272, 287, 269, 247, 326, 314, 313, 296, 306, 293</t>
  </si>
  <si>
    <t>plumbers claremont</t>
  </si>
  <si>
    <t>electrician milnerton cape town</t>
  </si>
  <si>
    <t>auto electrician southern suburbs cape town</t>
  </si>
  <si>
    <t>Top ads,Local pack,People also ask</t>
  </si>
  <si>
    <t>Automotive industry</t>
  </si>
  <si>
    <t>pj plumbers cape town</t>
  </si>
  <si>
    <t>27, 18, 17, 9, 9, 15, 17, 10, 17, 10, 14, 13, 12, 16, 16, 13, 9, 5, 13, 12, 8, 7, 2, 2</t>
  </si>
  <si>
    <t>fast fix plumber bellville cape town</t>
  </si>
  <si>
    <t>8, 8, 2, 7, 7, 3, 6, 2, 0, 0, 0, 0, 0, 0, 0, 0, 0, 0, 0, 0, 0, 0, 0, 1</t>
  </si>
  <si>
    <t>affordable plumber emergency cape town</t>
  </si>
  <si>
    <t>emergency plumber claremont</t>
  </si>
  <si>
    <t>0, 0, 0, 0, 0, 0, 0, 0, 0, 0, 0, 0, 0, 0, 0, 0, 0, 0, 0, 0, 12, 31, 9, 0</t>
  </si>
  <si>
    <t>plumbers prices in cape town</t>
  </si>
  <si>
    <t>electrical services</t>
  </si>
  <si>
    <t>0, 0, 0, 0, 0, 0, 0, 0, 0, 0, 0, 0, 0, 0, 0, 0, 0, 2, 6, 0, 0, 0, 0, 0</t>
  </si>
  <si>
    <t>plumbers prices in cape town, western cape</t>
  </si>
  <si>
    <t>0, 1, 0, 0, 0, 0, 0, 1, 1, 1, 1, 2, 7, 5, 0, 4, 1, 1, 0, 2, 1, 1, 0, 0</t>
  </si>
  <si>
    <t>metering electrician jobs cape town</t>
  </si>
  <si>
    <t>electrician near plumstead, cape town</t>
  </si>
  <si>
    <t>electrician job in cape town</t>
  </si>
  <si>
    <t>316, 151, 553, 150, 127, 99, 305, 296, 261, 417, 166, 143, 182, 193, 211, 192, 139, 125, 180, 179, 185, 190, 167, 170</t>
  </si>
  <si>
    <t>167, 177, 188, 151, 134, 123, 158, 158, 162, 166, 146, 148, 146</t>
  </si>
  <si>
    <t>electrician cape town southern suburbs</t>
  </si>
  <si>
    <t>ray and sons plumbers (pty) ltd cape town</t>
  </si>
  <si>
    <t>waterloo plumbers cape town</t>
  </si>
  <si>
    <t>plumbers atlantic seaboard</t>
  </si>
  <si>
    <t>monster plumbers cape town</t>
  </si>
  <si>
    <t>plumber northern suburbs</t>
  </si>
  <si>
    <t>187, 208, 231, 217, 169, 144, 275, 259, 275, 253, 250, 209, 218, 197, 240, 178, 206, 117, 210, 179, 177, 168, 172, 164</t>
  </si>
  <si>
    <t>electrician southern suburbs cape town</t>
  </si>
  <si>
    <t>167, 169, 172, 158, 152, 132, 201, 170, 168, 159, 163, 154, 157</t>
  </si>
  <si>
    <t>0, 0, 0, 0, 0, 0, 1, 2, 4, 4, 3, 2, 0, 0, 0, 0, 0, 0, 0, 0, 0, 0, 0, 1</t>
  </si>
  <si>
    <t>"plumber cape town"</t>
  </si>
  <si>
    <t>Local pack,Thumbnail,Image pack,Bottom ads,Paid sitelinks</t>
  </si>
  <si>
    <t>2, 2, 1, 0, 1, 3, 2, 0, 2, 0, 6, 2, 0, 1, 0, 0, 2, 0, 1, 0, 0, 2, 0, 1</t>
  </si>
  <si>
    <t>Wynberg</t>
  </si>
  <si>
    <t>body corporate plumber cape town</t>
  </si>
  <si>
    <t>0, 0, 0, 0, 0, 0, 0, 0, 0, 0, 0, 0, 0, 0, 0, 0, 0, 0, 0, 0, 4, 16, 7, 0</t>
  </si>
  <si>
    <t>plumber jobs in cape town</t>
  </si>
  <si>
    <t>0, 0, 0, 0, 0, 0, 0, 0, 0, 0, 0, 0, 0, 0, 0, 0, 0, 0, 0, 1, 4, 7, 2, 2</t>
  </si>
  <si>
    <t>plumber in goodwood cape town</t>
  </si>
  <si>
    <t>best emergency plumber cape town</t>
  </si>
  <si>
    <t>0, 0, 0, 0, 0, 0, 0, 0, 0, 0, 0, 0, 0, 0, 0, 0, 0, 0, 0, 0, 9, 24, 7, 0</t>
  </si>
  <si>
    <t>plumbers southern suburbs cape town</t>
  </si>
  <si>
    <t>electrical jobs cape town</t>
  </si>
  <si>
    <t>plumbers rondebosch</t>
  </si>
  <si>
    <t>plumber gardens cape town</t>
  </si>
  <si>
    <t>darton plumbers cape town</t>
  </si>
  <si>
    <t>industrial electrician cape town</t>
  </si>
  <si>
    <t>0, 0, 0, 0, 0, 12, 5, 14, 9, 3, 13, 5, 4, 4, 0, 0, 0, 0, 0, 0, 0, 0, 0, 0</t>
  </si>
  <si>
    <t>electrical jobs in cape town</t>
  </si>
  <si>
    <t>electrician milnerton</t>
  </si>
  <si>
    <t>electrician hourly rate cape town</t>
  </si>
  <si>
    <t>0, 0, 0, 0, 0, 0, 0, 0, 0, 0, 0, 0, 0, 0, 0, 0, 0, 0, 1, 3, 0, 0, 0, 0</t>
  </si>
  <si>
    <t>21, 16, 20, 14, 32, 13, 4, 4, 3, 6, 3, 3, 2, 4, 1, 0, 1, 1, 0, 0, 0, 5, 1, 0</t>
  </si>
  <si>
    <t>action rod plumbers cape town</t>
  </si>
  <si>
    <t>511, 390, 589, 419, 410, 366, 571, 569, 505, 550, 290, 228, 256, 191, 182, 195, 171, 136, 279, 173, 99, 113, 114, 71</t>
  </si>
  <si>
    <t>plumbers southern suburbs</t>
  </si>
  <si>
    <t>plumbers northern suburbs cape town</t>
  </si>
  <si>
    <t>electrician job</t>
  </si>
  <si>
    <t>after-hours plumber cape town</t>
  </si>
  <si>
    <t>electrician jobs in south africa</t>
  </si>
  <si>
    <t>0, 0, 0, 0, 0, 0, 0, 0, 0, 0, 0, 0, 0, 0, 0, 0, 0, 20, 5, 0, 0, 0, 0, 0</t>
  </si>
  <si>
    <t>auto electrician courses cape town</t>
  </si>
  <si>
    <t>0, 0, 0, 0, 0, 0, 0, 0, 0, 0, 0, 0, 0, 0, 0, 0, 0, 0, 6, 15, 8, 7, 0, 2</t>
  </si>
  <si>
    <t>emergency plumber near me cape town</t>
  </si>
  <si>
    <t>emergency plumber maitland</t>
  </si>
  <si>
    <t>0, 0, 0, 0, 0, 0, 0, 0, 0, 0, 0, 0, 0, 0, 0, 0, 0, 0, 0, 0, 9, 25, 12, 0</t>
  </si>
  <si>
    <t>solar plumbers cape town</t>
  </si>
  <si>
    <t>Informational,Transactional,Non-branded,Non-local</t>
  </si>
  <si>
    <t>0, 2, 0, 0, 0, 0, 1, 1, 0, 1, 2, 1, 0, 0, 0, 0, 0, 2, 0, 0, 0, 0, 0, 0</t>
  </si>
  <si>
    <t>120, 104, 294, 310, 80, 102, 224, 187, 203, 157, 126, 149, 171, 163, 190, 150, 203, 174, 255, 226, 259, 207, 125, 95</t>
  </si>
  <si>
    <t>auto electrician maitland cape town</t>
  </si>
  <si>
    <t>plumbers wynberg</t>
  </si>
  <si>
    <t>plumber goodwood cape town</t>
  </si>
  <si>
    <t>plumbing company woodstock</t>
  </si>
  <si>
    <t>electrician northern suburbs cape town</t>
  </si>
  <si>
    <t>0, 0, 0, 0, 0, 0, 0, 0, 0, 0, 0, 0, 0, 0, 0, 0, 1, 0, 0, 0, 0, 0, 0, 1</t>
  </si>
  <si>
    <t>plumber claremont cape town</t>
  </si>
  <si>
    <t>emergency plumber southern suburbs</t>
  </si>
  <si>
    <t>commercial plumber cape town</t>
  </si>
  <si>
    <t>0, 0, 0, 0, 0, 0, 0, 0, 0, 0, 0, 0, 0, 0, 0, 0, 0, 0, 0, 0, 13, 21, 8, 2</t>
  </si>
  <si>
    <t>0, 0, 0, 0, 0, 0, 0, 0, 0, 0, 0, 0, 0, 0, 0, 0, 0, 0, 0, 0, 11, 29, 10, 0</t>
  </si>
  <si>
    <t>city of cape town plumbers register</t>
  </si>
  <si>
    <t>aircon repairs durbanville</t>
  </si>
  <si>
    <t>2, 0, 2, 2, 1, 2, 1, 1, 1, 2, 1, 4, 5, 1, 0, 0, 0, 0, 1, 0, 0, 0, 0, 1</t>
  </si>
  <si>
    <t>0, 0, 0, 0, 0, 2, 15, 7, 6, 1, 0, 0, 0, 0, 0, 0, 0, 0, 0, 0, 0, 0, 0, 0</t>
  </si>
  <si>
    <t>top rated plumber cape town</t>
  </si>
  <si>
    <t>0, 0, 0, 0, 0, 0, 0, 0, 0, 0, 0, 0, 0, 0, 0, 0, 0, 0, 0, 0, 5, 36, 8, 2</t>
  </si>
  <si>
    <t>electrician constantia</t>
  </si>
  <si>
    <t>plumbers sea point cape town</t>
  </si>
  <si>
    <t>mobile auto electrician in epping cape town</t>
  </si>
  <si>
    <t>emergency plumber woodstock</t>
  </si>
  <si>
    <t>maintenance electrician jobs in cape town</t>
  </si>
  <si>
    <t>0, 0, 0, 0, 0, 1, 0, 0, 0, 0, 0, 1, 2, 2, 0, 0, 0, 0, 0, 1, 0, 0, 0, 0</t>
  </si>
  <si>
    <t>plumber for business cape town</t>
  </si>
  <si>
    <t>0, 0, 0, 0, 0, 0, 0, 0, 0, 0, 0, 0, 0, 0, 0, 0, 0, 27, 3, 0, 0, 0, 0, 0</t>
  </si>
  <si>
    <t>auto electrician in cape town</t>
  </si>
  <si>
    <t>electrician green point</t>
  </si>
  <si>
    <t>geyser overflow repair cape town</t>
  </si>
  <si>
    <t>water leak detection near me</t>
  </si>
  <si>
    <t>0, 0, 0, 0, 0, 0, 0, 0, 0, 0, 0, 0, 0, 0, 0, 0, 0, 0, 0, 0, 8, 21, 9, 3</t>
  </si>
  <si>
    <t>cape town electrician jobs</t>
  </si>
  <si>
    <t>0, 0, 0, 0, 0, 0, 0, 0, 0, 0, 0, 0, 0, 0, 0, 0, 0, 0, 0, 0, 1, 2, 2, 7</t>
  </si>
  <si>
    <t>leak detection near me</t>
  </si>
  <si>
    <t>0, 0, 0, 0, 3, 0, 0, 14, 7, 0, 0, 0, 0, 0, 0, 1, 1, 0, 0, 0, 0, 0, 0, 1</t>
  </si>
  <si>
    <t>Local pack,People also ask,Video preview</t>
  </si>
  <si>
    <t>aircon repairs bellville</t>
  </si>
  <si>
    <t>electrician seeking work in cape town</t>
  </si>
  <si>
    <t>Plumstead</t>
  </si>
  <si>
    <t>plumbers kenilworth cape town</t>
  </si>
  <si>
    <t>57, 43, 57, 62, 34, 33, 42, 38, 49, 35, 58, 60, 78, 79, 67, 108, 165, 212, 310, 180, 108, 97, 136, 87</t>
  </si>
  <si>
    <t>professional plumber cape town</t>
  </si>
  <si>
    <t>plumbing companies</t>
  </si>
  <si>
    <t>emergency plumber atlantic seaboard</t>
  </si>
  <si>
    <t>0, 0, 0, 0, 0, 0, 0, 0, 0, 0, 0, 0, 0, 0, 0, 0, 0, 8, 4, 0, 0, 0, 0, 0</t>
  </si>
  <si>
    <t>watermark plumbers cape town</t>
  </si>
  <si>
    <t>plumbing in south africa</t>
  </si>
  <si>
    <t>auto electrician assistant vacancies in cape town</t>
  </si>
  <si>
    <t>the plumber next door cape town</t>
  </si>
  <si>
    <t>geyser repair durbanville</t>
  </si>
  <si>
    <t>auto electrician northern suburbs cape town</t>
  </si>
  <si>
    <t>147, 175, 181, 181, 106, 205, 225, 214, 231, 386, 201, 130, 198, 215, 165, 144, 136, 114, 171, 159, 173, 193, 174, 160</t>
  </si>
  <si>
    <t>electrician vacancies in cape town</t>
  </si>
  <si>
    <t>158, 171, 159, 158, 147, 142, 175, 163, 177, 197, 178, 164, 162</t>
  </si>
  <si>
    <t>0, 2, 25, 0, 0, 0, 0, 0, 0, 1, 0, 0, 0, 0, 0, 0, 0, 0, 11, 5, 0, 0, 0, 0</t>
  </si>
  <si>
    <t>geyser repair table view</t>
  </si>
  <si>
    <t>plumbing jobs in municipality</t>
  </si>
  <si>
    <t>plumber in cape town, western cape</t>
  </si>
  <si>
    <t>0, 0, 0, 0, 0, 0, 0, 0, 0, 0, 0, 0, 0, 0, 0, 0, 0, 3, 7, 0, 0, 0, 0, 0</t>
  </si>
  <si>
    <t>best plumber in cape town</t>
  </si>
  <si>
    <t>ew plumbers cape town</t>
  </si>
  <si>
    <t>0, 2, 0, 0, 0, 0, 0, 0, 0, 0, 0, 0, 0, 0, 0, 0, 0, 0, 0, 0, 0, 0, 0, 1</t>
  </si>
  <si>
    <t>pipeline plumbers cape town</t>
  </si>
  <si>
    <t>emergency plumber northern suburbs</t>
  </si>
  <si>
    <t>plumbers in cape town cbd</t>
  </si>
  <si>
    <t>0, 0, 0, 0, 1, 0, 0, 0, 0, 0, 0, 0, 0, 0, 0, 0, 0, 0, 0, 0, 25, 17, 8, 0</t>
  </si>
  <si>
    <t>electrician tokai</t>
  </si>
  <si>
    <t>plumber and electrician cape town</t>
  </si>
  <si>
    <t>0, 0, 0, 0, 0, 0, 0, 0, 0, 0, 0, 0, 0, 0, 0, 0, 0, 0, 0, 0, 0, 7, 19, 15</t>
  </si>
  <si>
    <t>151, 167, 105, 125, 180, 151, 361, 278, 230, 167, 227, 217, 224, 187, 167, 167, 107, 87, 228, 150, 132, 134, 128, 94</t>
  </si>
  <si>
    <t>electrician lakeside cape town</t>
  </si>
  <si>
    <t>electrician camps bay</t>
  </si>
  <si>
    <t>plumber parklands</t>
  </si>
  <si>
    <t>Constantia</t>
  </si>
  <si>
    <t>plumbers prices in cape town, south africa</t>
  </si>
  <si>
    <t>0, 0, 0, 0, 0, 0, 0, 0, 0, 0, 0, 0, 0, 0, 0, 0, 0, 2, 7, 0, 0, 0, 0, 0</t>
  </si>
  <si>
    <t>plumbers near parow, cape town</t>
  </si>
  <si>
    <t>0, 0, 0, 0, 0, 0, 0, 4, 5, 2, 3, 0, 0, 0, 0, 0, 0, 0, 0, 0, 0, 0, 0, 0</t>
  </si>
  <si>
    <t>cape town city bowl plumbers</t>
  </si>
  <si>
    <t>electrician woodstock</t>
  </si>
  <si>
    <t>roy's plumbers in strand cape town</t>
  </si>
  <si>
    <t>emergency household plumber cape town</t>
  </si>
  <si>
    <t>0, 0, 0, 0, 0, 0, 0, 0, 0, 0, 0, 0, 0, 0, 0, 0, 0, 0, 0, 0, 11, 29, 9, 0</t>
  </si>
  <si>
    <t>electrician jobs cape town gumtree</t>
  </si>
  <si>
    <t>emergency plumbers table view</t>
  </si>
  <si>
    <t>158, 141, 151, 147, 139, 142, 138, 133, 148, 133, 171, 138, 149, 150, 147, 162, 157, 206, 188, 150, 219, 232, 124, 66</t>
  </si>
  <si>
    <t>2, 1, 1, 0, 4, 3, 1, 2, 1, 2, 1, 0, 2, 1, 0, 0, 3, 10, 10, 4, 1, 10, 4, 0</t>
  </si>
  <si>
    <t>0, 0, 0, 0, 0, 0, 0, 0, 0, 0, 0, 0, 0, 0, 0, 16, 6, 0, 0, 0, 0, 0, 0, 0</t>
  </si>
  <si>
    <t>electrician courses cape town prices</t>
  </si>
  <si>
    <t>0, 0, 0, 0, 0, 0, 0, 0, 0, 0, 0, 0, 0, 0, 0, 0, 0, 0, 0, 0, 0, 4, 6, 1</t>
  </si>
  <si>
    <t>aircon repairs wynberg</t>
  </si>
  <si>
    <t>24 hour plumbers cape town</t>
  </si>
  <si>
    <t>0, 0, 0, 0, 0, 0, 0, 0, 0, 1, 1, 2, 3, 3, 4, 1, 0, 5, 2, 0, 0, 0, 0, 0</t>
  </si>
  <si>
    <t>plumbers wynberg cape town</t>
  </si>
  <si>
    <t>auto electrician courses in cape town</t>
  </si>
  <si>
    <t>electrician in epping cape town</t>
  </si>
  <si>
    <t>electrician muizenberg</t>
  </si>
  <si>
    <t>plumbing vacancies in cape town</t>
  </si>
  <si>
    <t>list of registered plumbers cape town</t>
  </si>
  <si>
    <t>0, 0, 0, 0, 0, 0, 0, 0, 0, 0, 0, 0, 0, 0, 0, 0, 0, 3, 3, 6, 11, 2, 8, 3</t>
  </si>
  <si>
    <t>quick response plumber cape town</t>
  </si>
  <si>
    <t>0, 0, 0, 0, 0, 0, 0, 0, 0, 0, 0, 0, 0, 0, 0, 0, 0, 0, 0, 0, 12, 23, 9, 3</t>
  </si>
  <si>
    <t>grey water system plumber cape town</t>
  </si>
  <si>
    <t>0, 0, 0, 0, 0, 0, 0, 0, 0, 0, 0, 0, 0, 0, 0, 0, 0, 0, 0, 0, 2, 6, 2, 0</t>
  </si>
  <si>
    <t>geyser repair woodstock</t>
  </si>
  <si>
    <t>plumber parklands cape town</t>
  </si>
  <si>
    <t>50, 43, 101, 78, 71, 39, 125, 75, 110, 199, 202, 201, 168, 151, 216, 73, 45, 19, 43, 51, 49, 63, 55, 40</t>
  </si>
  <si>
    <t>plumbers in goodwood cape town</t>
  </si>
  <si>
    <t>0, 0, 0, 0, 0, 0, 0, 0, 0, 0, 0, 0, 0, 0, 0, 0, 0, 0, 0, 0, 0, 14, 9, 8</t>
  </si>
  <si>
    <t>gumtree plumber cape town</t>
  </si>
  <si>
    <t>electrician atlantic seaboard</t>
  </si>
  <si>
    <t>auto electrician call out cape town</t>
  </si>
  <si>
    <t>plumbers near table view, cape town</t>
  </si>
  <si>
    <t>electrician jobs western cape</t>
  </si>
  <si>
    <t>registered plumbers city of cape town</t>
  </si>
  <si>
    <t>0, 1, 1, 1, 5, 3, 12, 1, 0, 0, 3, 4, 2, 1, 2, 8, 1, 0, 0, 0, 0, 0, 0, 0</t>
  </si>
  <si>
    <t>emergency plumber south africa</t>
  </si>
  <si>
    <t>electrical jobs in western cape</t>
  </si>
  <si>
    <t>plumber durbanville services</t>
  </si>
  <si>
    <t>0, 0, 0, 0, 0, 0, 0, 0, 0, 0, 0, 0, 0, 0, 0, 0, 0, 0, 3, 2, 1, 0, 0, 1</t>
  </si>
  <si>
    <t>mobile auto electrician durbanville</t>
  </si>
  <si>
    <t>0, 0, 0, 0, 0, 5, 3, 0, 0, 18, 14, 0, 0, 0, 0, 0, 0, 3, 0, 0, 0, 0, 0, 2</t>
  </si>
  <si>
    <t>plumbers plumstead</t>
  </si>
  <si>
    <t>140, 177, 81, 90, 107, 116, 336, 171, 208, 249, 181, 164, 214, 100, 87, 96, 93, 97, 142, 78, 92, 133, 146, 54</t>
  </si>
  <si>
    <t>plumber newlands cape town</t>
  </si>
  <si>
    <t>plumbing work</t>
  </si>
  <si>
    <t>toilet repair plumber cape town</t>
  </si>
  <si>
    <t>0, 0, 0, 0, 0, 0, 0, 0, 0, 0, 0, 0, 0, 0, 0, 0, 0, 0, 0, 0, 19, 15, 4, 3</t>
  </si>
  <si>
    <t>pirb registered plumber cape town</t>
  </si>
  <si>
    <t>Local pack,People also ask,Image pack</t>
  </si>
  <si>
    <t>0, 0, 0, 0, 0, 0, 0, 0, 0, 0, 0, 0, 0, 0, 0, 0, 0, 0, 0, 0, 2, 4, 0, 1</t>
  </si>
  <si>
    <t>johan newtech plumbers cape town cape town</t>
  </si>
  <si>
    <t>1, 1, 1, 0, 2, 7, 3, 3, 7, 6, 1, 2, 8, 2, 0, 1, 0, 2, 3, 3, 7, 12, 3, 0</t>
  </si>
  <si>
    <t>8, 5, 7, 16, 12, 5, 17, 3, 3, 0, 0, 0, 0, 0, 0, 0, 0, 0, 0, 0, 0, 0, 0, 0</t>
  </si>
  <si>
    <t>88, 85, 70, 187, 75, 47, 384, 136, 166, 184, 80, 72, 108, 185, 85, 103, 121, 81, 169, 137, 136, 139, 128, 127</t>
  </si>
  <si>
    <t>134, 143, 133, 145, 128, 120, 183, 152, 151, 154, 143, 143</t>
  </si>
  <si>
    <t>opel auto electrician in cape town</t>
  </si>
  <si>
    <t>Plumbing; Continuing education; Technical reference</t>
  </si>
  <si>
    <t>plumber jobs</t>
  </si>
  <si>
    <t>plumber plumstead</t>
  </si>
  <si>
    <t>highly recommended plumber cape town</t>
  </si>
  <si>
    <t>0, 0, 0, 0, 0, 0, 0, 0, 0, 0, 0, 0, 0, 0, 0, 0, 0, 0, 0, 0, 3, 23, 9, 3</t>
  </si>
  <si>
    <t>cheap plumber cape town</t>
  </si>
  <si>
    <t>0, 0, 0, 0, 0, 0, 0, 0, 0, 0, 0, 0, 0, 0, 0, 0, 0, 19, 7, 0, 0, 0, 0, 0</t>
  </si>
  <si>
    <t>cheap plumbers in cape town</t>
  </si>
  <si>
    <t>Tokai</t>
  </si>
  <si>
    <t>138, 102, 105, 99, 121, 76, 141, 166, 133, 110, 154, 150, 192, 145, 153, 106, 77, 91, 187, 62, 119, 84, 86, 23</t>
  </si>
  <si>
    <t>1, 1, 2, 1, 6, 5, 7, 11, 5, 9, 10, 1, 2, 1, 0, 1, 0, 3, 5, 1, 10, 6, 4, 7</t>
  </si>
  <si>
    <t>immediate geyser repair cape town</t>
  </si>
  <si>
    <t>electrical companies near me</t>
  </si>
  <si>
    <t>0, 0, 0, 0, 0, 0, 0, 0, 0, 0, 0, 0, 0, 0, 0, 0, 0, 0, 0, 0, 11, 28, 8, 3</t>
  </si>
  <si>
    <t>aircon repairs atlantic seaboard</t>
  </si>
  <si>
    <t>geyser leak repair cape town</t>
  </si>
  <si>
    <t>electrician johannesburg</t>
  </si>
  <si>
    <t>0, 0, 0, 0, 0, 0, 0, 0, 0, 0, 0, 0, 0, 0, 0, 0, 0, 0, 0, 0, 13, 30, 7, 0</t>
  </si>
  <si>
    <t>plumbers in rondebosch cape town</t>
  </si>
  <si>
    <t>aircon repairs camps bay</t>
  </si>
  <si>
    <t>plumbers table view area</t>
  </si>
  <si>
    <t>272, 196, 98, 112, 137, 80, 218, 251, 195, 176, 185, 135, 111, 184, 145, 177, 79, 25, 130, 145, 127, 125, 105, 26</t>
  </si>
  <si>
    <t>plumber cape town northern suburbs</t>
  </si>
  <si>
    <t>aircon repairs cape town cbd</t>
  </si>
  <si>
    <t>Electricity</t>
  </si>
  <si>
    <t>plumbers near me small jobs</t>
  </si>
  <si>
    <t>plumbers in parklands cape town</t>
  </si>
  <si>
    <t>aircon repairs claremont</t>
  </si>
  <si>
    <t>Local pack,Discussions,People also ask</t>
  </si>
  <si>
    <t>electrician fish hoek cape town</t>
  </si>
  <si>
    <t>aircon repairs constantia</t>
  </si>
  <si>
    <t>135, 111, 103, 90, 51, 52, 73, 72, 93, 97, 82, 91, 103, 140, 116, 100, 80, 90, 92, 82, 94, 82, 137, 100</t>
  </si>
  <si>
    <t>durbanville auto electrician</t>
  </si>
  <si>
    <t>electrical contractors cape town</t>
  </si>
  <si>
    <t>aircon repairs fish hoek</t>
  </si>
  <si>
    <t>motorcycle auto electrician cape town</t>
  </si>
  <si>
    <t>electrical contractors</t>
  </si>
  <si>
    <t>sinclair solutions, electrician, cape town</t>
  </si>
  <si>
    <t>0, 0, 0, 0, 0, 0, 0, 0, 0, 0, 0, 0, 0, 0, 0, 0, 0, 5, 1, 0, 0, 0, 0, 1</t>
  </si>
  <si>
    <t>geyser emergency repair cape town</t>
  </si>
  <si>
    <t>aircon repairs green point</t>
  </si>
  <si>
    <t>47, 9, 3, 7, 4, 7, 11, 20, 7, 9, 12, 23, 99, 75, 105, 80, 89, 94, 93, 170, 96, 97, 113, 43</t>
  </si>
  <si>
    <t>0, 0, 0, 0, 0, 0, 0, 0, 0, 0, 0, 0, 0, 0, 0, 0, 0, 0, 0, 0, 12, 29, 9, 0</t>
  </si>
  <si>
    <t>a's auto electrician cape town</t>
  </si>
  <si>
    <t>plumbing companies in cape town</t>
  </si>
  <si>
    <t>0, 0, 0, 0, 4, 2, 1, 4, 0, 0, 0, 0, 0, 0, 0, 0, 0, 0, 0, 0, 0, 0, 0, 0</t>
  </si>
  <si>
    <t>plumbers in northern suburbs cape town</t>
  </si>
  <si>
    <t>aircon repairs hout bay</t>
  </si>
  <si>
    <t>bob the plumber cape town</t>
  </si>
  <si>
    <t>0, 1, 3, 0, 1, 0, 0, 0, 0, 0, 0, 0, 0, 0, 0, 0, 0, 0, 0, 0, 0, 0, 0, 0</t>
  </si>
  <si>
    <t>aircon repairs maitland</t>
  </si>
  <si>
    <t>19, 15, 4, 6, 10, 20, 52, 18, 26, 18, 14, 9, 141, 123, 97, 77, 68, 113, 128, 126, 125, 126, 128, 77</t>
  </si>
  <si>
    <t>plumbers plumstead cape town</t>
  </si>
  <si>
    <t>assistant electrician jobs cape town</t>
  </si>
  <si>
    <t>aircon repairs milnerton</t>
  </si>
  <si>
    <t>certified plumbers cape town</t>
  </si>
  <si>
    <t>0, 0, 0, 0, 0, 0, 0, 0, 0, 0, 0, 0, 0, 0, 0, 0, 0, 3, 1, 15, 5, 11, 2, 0</t>
  </si>
  <si>
    <t>city of cape town plumbers</t>
  </si>
  <si>
    <t>166, 200, 181, 146, 146, 121, 281, 186, 187, 193, 160, 134, 141, 119, 117, 134, 100, 80, 137, 116, 130, 142, 147, 126</t>
  </si>
  <si>
    <t>123, 169, 164, 137, 76, 57, 117, 96, 111, 122, 128, 107, 104</t>
  </si>
  <si>
    <t>0, 0, 0, 0, 0, 0, 0, 0, 0, 0, 0, 0, 0, 0, 0, 0, 0, 0, 0, 0, 2, 0, 0, 0</t>
  </si>
  <si>
    <t>commercial geyser leak repair cape town</t>
  </si>
  <si>
    <t>electricians cape town</t>
  </si>
  <si>
    <t>aircon repairs muizenberg</t>
  </si>
  <si>
    <t>0, 0, 0, 0, 0, 0, 0, 0, 0, 0, 0, 0, 0, 0, 0, 0, 0, 0, 0, 0, 15, 26, 8, 3</t>
  </si>
  <si>
    <t>certified residential plumber cape town</t>
  </si>
  <si>
    <t>0, 0, 0, 0, 0, 0, 0, 0, 0, 0, 0, 0, 0, 0, 0, 0, 0, 0, 0, 0, 7, 21, 5, 0</t>
  </si>
  <si>
    <t>aircon repairs newlands</t>
  </si>
  <si>
    <t>158, 156, 105, 113, 119, 63, 79, 108, 132, 132, 140, 131, 175, 120, 122, 168, 102, 90, 115, 113, 126, 110, 110, 110</t>
  </si>
  <si>
    <t>aircon repairs northern suburbs</t>
  </si>
  <si>
    <t>120, 116, 110, 110, 107, 100, 108, 107, 119, 103, 103, 103, 113</t>
  </si>
  <si>
    <t>aircon repairs observatory</t>
  </si>
  <si>
    <t>plumbing etc</t>
  </si>
  <si>
    <t>aircon repairs plumstead</t>
  </si>
  <si>
    <t>Video preview,People also ask</t>
  </si>
  <si>
    <t>Informational,Commercial,Branded,Local</t>
  </si>
  <si>
    <t>184, 160, 142, 157, 166, 140, 163, 163, 171, 151, 177, 119, 198, 104, 108, 94, 150, 128, 115, 98, 43, 6, 4, 3</t>
  </si>
  <si>
    <t>aircon repairs rondebosch</t>
  </si>
  <si>
    <t>plumbing jobs near me</t>
  </si>
  <si>
    <t>aircon repairs sea point</t>
  </si>
  <si>
    <t>aircon repairs south africa</t>
  </si>
  <si>
    <t>50, 87, 59, 101, 62, 57, 131, 107, 132, 114, 80, 80, 159, 93, 84, 88, 76, 75, 124, 93, 96, 52, 70, 22</t>
  </si>
  <si>
    <t>Rondebosch</t>
  </si>
  <si>
    <t>aircon repairs southern suburbs</t>
  </si>
  <si>
    <t>electrician jobs near me</t>
  </si>
  <si>
    <t>aircon repairs table view</t>
  </si>
  <si>
    <t>aircon repairs tokai</t>
  </si>
  <si>
    <t>aircon repairs woodstock</t>
  </si>
  <si>
    <t>115, 92, 79, 130, 98, 75, 144, 125, 99, 84, 123, 101, 158, 99, 102, 97, 76, 71, 127, 82, 101, 65, 51, 20</t>
  </si>
  <si>
    <t>electricians in cape town</t>
  </si>
  <si>
    <t>blocked drain plumber atlantic seaboard</t>
  </si>
  <si>
    <t>blocked drain plumber bellville</t>
  </si>
  <si>
    <t>blocked drain plumber camps bay</t>
  </si>
  <si>
    <t>73, 57, 69, 55, 38, 61, 85, 33, 102, 59, 53, 72, 147, 63, 113, 164, 122, 128, 137, 54, 55, 40, 41, 17</t>
  </si>
  <si>
    <t>Business services; Business</t>
  </si>
  <si>
    <t>blocked drain plumber cape town</t>
  </si>
  <si>
    <t>best plumber near me</t>
  </si>
  <si>
    <t>blocked drain plumber cape town cbd</t>
  </si>
  <si>
    <t>blocked drain plumber claremont</t>
  </si>
  <si>
    <t>12, 15, 24, 25, 17, 31, 31, 21, 44, 45, 47, 31, 140, 78, 71, 73, 58, 71, 68, 72, 101, 63, 54, 50</t>
  </si>
  <si>
    <t>blocked drain plumber constantia</t>
  </si>
  <si>
    <t>blocked drain plumber durbanville</t>
  </si>
  <si>
    <t>blocked drain plumber fish hoek</t>
  </si>
  <si>
    <t>blocked drain plumber green point</t>
  </si>
  <si>
    <t>plumbing jobs in cape town</t>
  </si>
  <si>
    <t>blocked drain plumber hout bay</t>
  </si>
  <si>
    <t>blocked drain plumber maitland</t>
  </si>
  <si>
    <t>60, 74, 79, 69, 47, 27, 93, 92, 80, 25, 101, 58, 125, 90, 79, 80, 89, 84, 55, 72, 61, 97, 65, 15</t>
  </si>
  <si>
    <t>blocked drain plumber milnerton</t>
  </si>
  <si>
    <t>blocked drain plumber muizenberg</t>
  </si>
  <si>
    <t>electrical services near me</t>
  </si>
  <si>
    <t>blocked drain plumber newlands</t>
  </si>
  <si>
    <t>24/7 electrician near me</t>
  </si>
  <si>
    <t>blocked drain plumber northern suburbs</t>
  </si>
  <si>
    <t>71, 59, 47, 45, 44, 47, 77, 59, 63, 64, 82, 61, 88, 55, 60, 78, 53, 59, 88, 63, 81, 61, 93, 31</t>
  </si>
  <si>
    <t>plumber shop near me</t>
  </si>
  <si>
    <t>plumblink</t>
  </si>
  <si>
    <t>Newlands</t>
  </si>
  <si>
    <t>blocked drain plumber observatory</t>
  </si>
  <si>
    <t>42, 45, 47, 65, 69, 55, 47, 36, 66, 53, 57, 51, 49, 52, 41, 33, 41, 57, 157, 141, 47, 44, 62, 28</t>
  </si>
  <si>
    <t>blocked drain plumber plumstead</t>
  </si>
  <si>
    <t>blocked drain plumber rondebosch</t>
  </si>
  <si>
    <t>blocked drain plumber sea point</t>
  </si>
  <si>
    <t>blocked drain plumber south africa</t>
  </si>
  <si>
    <t>blocked drain plumber southern suburbs</t>
  </si>
  <si>
    <t>best plumbing</t>
  </si>
  <si>
    <t>blocked drain plumber table view</t>
  </si>
  <si>
    <t>31, 35, 35, 52, 38, 62, 35, 40, 73, 59, 69, 52, 54, 49, 44, 62, 48, 87, 82, 59, 49, 45, 67, 30</t>
  </si>
  <si>
    <t>blocked drain plumber tokai</t>
  </si>
  <si>
    <t>residential electrician</t>
  </si>
  <si>
    <t>blocked drain plumber woodstock</t>
  </si>
  <si>
    <t>blocked drain plumber wynberg</t>
  </si>
  <si>
    <t>65, 70, 87, 90, 84, 100, 120, 94, 143, 160, 204, 192, 45, 36, 49, 61, 36, 47, 59, 39, 44, 36, 18, 23</t>
  </si>
  <si>
    <t>Home improvement; Business</t>
  </si>
  <si>
    <t>electrician vacancies western cape</t>
  </si>
  <si>
    <t>emergency plumber bellville</t>
  </si>
  <si>
    <t>emergency plumber cape town cbd</t>
  </si>
  <si>
    <t>53, 72, 32, 6, 29, 38, 82, 135, 178, 186, 116, 147, 231, 126, 54, 89, 38, 24, 40, 22, 19, 48, 17, 5</t>
  </si>
  <si>
    <t>electrian</t>
  </si>
  <si>
    <t>emergency plumber constantia</t>
  </si>
  <si>
    <t>emergency plumber fish hoek</t>
  </si>
  <si>
    <t>84, 69, 63, 67, 42, 66, 90, 68, 70, 41, 51, 55, 60, 86, 70, 72, 69, 46, 72, 53, 46, 45, 49, 43</t>
  </si>
  <si>
    <t>emergency plumber green point</t>
  </si>
  <si>
    <t>Planning; Job; Educational</t>
  </si>
  <si>
    <t>emergency plumber hout bay</t>
  </si>
  <si>
    <t>registered plumbers near me</t>
  </si>
  <si>
    <t>emergency plumber milnerton</t>
  </si>
  <si>
    <t>emergency plumber newlands</t>
  </si>
  <si>
    <t>71, 67, 58, 92, 61, 66, 94, 75, 109, 66, 55, 73, 63, 82, 51, 67, 50, 43, 83, 43, 72, 48, 71, 37</t>
  </si>
  <si>
    <t>emergency plumber observatory</t>
  </si>
  <si>
    <t>electrician around me</t>
  </si>
  <si>
    <t>electrician near me</t>
  </si>
  <si>
    <t>emergency plumber sea point</t>
  </si>
  <si>
    <t>emergency plumber table view</t>
  </si>
  <si>
    <t>32, 21, 25, 23, 31, 30, 50, 43, 40, 46, 43, 31, 55, 48, 62, 58, 56, 61, 48, 31, 47, 29, 33, 13</t>
  </si>
  <si>
    <t>emergency plumber wynberg</t>
  </si>
  <si>
    <t>geyser repair atlantic seaboard</t>
  </si>
  <si>
    <t>geyser repair bellville</t>
  </si>
  <si>
    <t>geyser repair camps bay</t>
  </si>
  <si>
    <t>leak detection plumbers</t>
  </si>
  <si>
    <t>leak detection cape town</t>
  </si>
  <si>
    <t>geyser repair cape town cbd</t>
  </si>
  <si>
    <t>21, 20, 16, 29, 14, 5, 18, 11, 16, 16, 13, 13, 16, 20, 16, 13, 51, 118, 191, 87, 11, 17, 17, 14</t>
  </si>
  <si>
    <t>geyser repair claremont</t>
  </si>
  <si>
    <t>plumbers parklands</t>
  </si>
  <si>
    <t>geyser repair constantia</t>
  </si>
  <si>
    <t>geyser repair fish hoek</t>
  </si>
  <si>
    <t>geyser repair hout bay</t>
  </si>
  <si>
    <t>14, 7, 0, 15, 29, 15, 26, 19, 24, 14, 39, 35, 144, 154, 113, 37, 8, 14, 19, 18, 21, 20, 15, 20</t>
  </si>
  <si>
    <t>Sea Point</t>
  </si>
  <si>
    <t>cheap plumbers near me</t>
  </si>
  <si>
    <t>geyser repair maitland</t>
  </si>
  <si>
    <t>People also ask,Discussions,Knowledge panel,Video preview,Sitelinks</t>
  </si>
  <si>
    <t>geyser repair milnerton</t>
  </si>
  <si>
    <t>geyser repair muizenberg</t>
  </si>
  <si>
    <t>47, 54, 47, 45, 45, 48, 45, 46, 47, 45, 46, 47, 49, 51, 49, 47, 47, 50, 47, 48, 49, 48, 48, 49</t>
  </si>
  <si>
    <t>51, 53, 51, 49, 49, 52, 49, 50, 51, 50, 50, 51, 53</t>
  </si>
  <si>
    <t>professional plumber</t>
  </si>
  <si>
    <t>geyser repair newlands</t>
  </si>
  <si>
    <t>People also ask,Knowledge panel,Video preview</t>
  </si>
  <si>
    <t>geyser repair northern suburbs</t>
  </si>
  <si>
    <t>geyser repair observatory</t>
  </si>
  <si>
    <t>3, 9, 12, 11, 17, 11, 8, 17, 20, 26, 36, 25, 49, 55, 45, 59, 60, 56, 55, 44, 56, 53, 45, 38</t>
  </si>
  <si>
    <t>24 hour electricians in cape town</t>
  </si>
  <si>
    <t>geyser repair plumstead</t>
  </si>
  <si>
    <t>geyser repair rondebosch</t>
  </si>
  <si>
    <t>geyser repair sea point</t>
  </si>
  <si>
    <t>51, 91, 49, 90, 45, 42, 51, 22, 61, 72, 56, 75, 40, 55, 42, 46, 36, 36, 75, 55, 51, 26, 23, 24</t>
  </si>
  <si>
    <t>electrical places near me</t>
  </si>
  <si>
    <t>voltex</t>
  </si>
  <si>
    <t>geyser repair south africa</t>
  </si>
  <si>
    <t>60, 61, 54, 56, 39, 55, 51, 41, 45, 63, 49, 45, 40, 39, 42, 39, 37, 58, 40, 45, 26, 26, 32, 26</t>
  </si>
  <si>
    <t>Technology; Electronic components; Shopping</t>
  </si>
  <si>
    <t>geyser repair southern suburbs</t>
  </si>
  <si>
    <t>plumbers vacancies</t>
  </si>
  <si>
    <t>geyser repair tokai</t>
  </si>
  <si>
    <t>plumbing jobs hiring immediately</t>
  </si>
  <si>
    <t>12, 28, 8, 21, 24, 21, 42, 19, 2, 16, 18, 4, 17, 29, 73, 45, 124, 60, 11, 23, 31, 16, 7, 15</t>
  </si>
  <si>
    <t>geyser repair wynberg</t>
  </si>
  <si>
    <t>plumbing jobs western cape</t>
  </si>
  <si>
    <t>leak detection plumber atlantic seaboard</t>
  </si>
  <si>
    <t>leak detection plumber bellville</t>
  </si>
  <si>
    <t>24, 30, 34, 55, 42, 52, 68, 83, 92, 156, 73, 65, 44, 25, 72, 37, 27, 28, 52, 29, 56, 32, 23, 6</t>
  </si>
  <si>
    <t>aquatech plumbing</t>
  </si>
  <si>
    <t>leak detection plumber camps bay</t>
  </si>
  <si>
    <t>Sitelinks,People also ask</t>
  </si>
  <si>
    <t>Informational,Commercial,Transactional,Branded,Local</t>
  </si>
  <si>
    <t>leak detection plumber cape town</t>
  </si>
  <si>
    <t>1, 2, 5, 9, 26, 58, 66, 61, 58, 27, 153, 126, 63, 42, 122, 61, 65, 9, 13, 25, 9, 3, 15, 64</t>
  </si>
  <si>
    <t>leak detection plumber cape town cbd</t>
  </si>
  <si>
    <t>electrical companies cape town</t>
  </si>
  <si>
    <t>electrical and plumbing</t>
  </si>
  <si>
    <t>leak detection plumber claremont</t>
  </si>
  <si>
    <t>18, 8, 4, 4, 6, 4, 18, 21, 8, 10, 20, 18, 72, 57, 89, 76, 36, 12, 25, 20, 16, 24, 32, 20</t>
  </si>
  <si>
    <t>leak detection plumber constantia</t>
  </si>
  <si>
    <t>leak tech</t>
  </si>
  <si>
    <t>leak detection plumber durbanville</t>
  </si>
  <si>
    <t>People also ask,Knowledge panel</t>
  </si>
  <si>
    <t>leak detection plumber fish hoek</t>
  </si>
  <si>
    <t>leak detection plumber green point</t>
  </si>
  <si>
    <t>5, 22, 12, 35, 26, 21, 34, 6, 6, 2, 51, 29, 68, 60, 61, 70, 54, 73, 6, 3, 10, 6, 5, 41</t>
  </si>
  <si>
    <t>leak detection plumber hout bay</t>
  </si>
  <si>
    <t>leak detection plumber maitland</t>
  </si>
  <si>
    <t>plumber services</t>
  </si>
  <si>
    <t>leak detection plumber milnerton</t>
  </si>
  <si>
    <t>leak detection plumber muizenberg</t>
  </si>
  <si>
    <t>leak detection plumber newlands</t>
  </si>
  <si>
    <t>74, 39, 43, 63, 48, 51, 64, 41, 101, 79, 71, 56, 89, 29, 21, 17, 21, 58, 62, 39, 14, 16, 15, 18</t>
  </si>
  <si>
    <t>leak detection plumber northern suburbs</t>
  </si>
  <si>
    <t>leak detection plumber observatory</t>
  </si>
  <si>
    <t>leak detection plumber plumstead</t>
  </si>
  <si>
    <t>leak detection plumber rondebosch</t>
  </si>
  <si>
    <t>Green Point</t>
  </si>
  <si>
    <t>leak detection plumber sea point</t>
  </si>
  <si>
    <t>leak detection plumber south africa</t>
  </si>
  <si>
    <t>leak detection plumber southern suburbs</t>
  </si>
  <si>
    <t>leak detection plumber table view</t>
  </si>
  <si>
    <t>electrical company near me</t>
  </si>
  <si>
    <t>leak detection plumber tokai</t>
  </si>
  <si>
    <t>leak detection plumber woodstock</t>
  </si>
  <si>
    <t>maritz electrical</t>
  </si>
  <si>
    <t>leak detection plumber wynberg</t>
  </si>
  <si>
    <t>plumber atlantic seaboard</t>
  </si>
  <si>
    <t>plumbers green point</t>
  </si>
  <si>
    <t>118, 70, 57, 52, 58, 38, 96, 75, 74, 58, 74, 69, 56, 43, 46, 49, 42, 15, 35, 41, 34, 30, 24, 14</t>
  </si>
  <si>
    <t>plumbers observatory</t>
  </si>
  <si>
    <t>plumbing company atlantic seaboard</t>
  </si>
  <si>
    <t>plumbing company bellville</t>
  </si>
  <si>
    <t>plumbing company camps bay</t>
  </si>
  <si>
    <t>plumbing company cape town cbd</t>
  </si>
  <si>
    <t>plumbing company claremont</t>
  </si>
  <si>
    <t>plumbing company constantia</t>
  </si>
  <si>
    <t>residential electricians near me</t>
  </si>
  <si>
    <t>plumbing company durbanville</t>
  </si>
  <si>
    <t>plumbing company fish hoek</t>
  </si>
  <si>
    <t>plumbing company green point</t>
  </si>
  <si>
    <t>plumbing company hout bay</t>
  </si>
  <si>
    <t>28, 42, 51, 51, 43, 44, 69, 58, 57, 53, 39, 39, 50, 34, 51, 35, 21, 30, 19, 16, 17, 25, 21, 14</t>
  </si>
  <si>
    <t>plumbing company maitland</t>
  </si>
  <si>
    <t>plumbing company milnerton</t>
  </si>
  <si>
    <t>plumbing company muizenberg</t>
  </si>
  <si>
    <t>plumbing company newlands</t>
  </si>
  <si>
    <t>plumbing company northern suburbs</t>
  </si>
  <si>
    <t>plumbing company observatory</t>
  </si>
  <si>
    <t>plumbing company plumstead</t>
  </si>
  <si>
    <t>electrician jobs in western cape</t>
  </si>
  <si>
    <t>plumbing company rondebosch</t>
  </si>
  <si>
    <t>plumbing company sea point</t>
  </si>
  <si>
    <t>plumbing company south africa</t>
  </si>
  <si>
    <t>Camps Bay</t>
  </si>
  <si>
    <t>plumbing company southern suburbs</t>
  </si>
  <si>
    <t>plumbing company table view</t>
  </si>
  <si>
    <t>31, 26, 46, 29, 20, 28, 24, 45, 27, 14, 34, 30, 28, 27, 22, 27, 55, 23, 38, 7, 22, 62, 43, 7</t>
  </si>
  <si>
    <t>plumbing company tokai</t>
  </si>
  <si>
    <t>plumbing company wynberg</t>
  </si>
  <si>
    <t>electrician company near me</t>
  </si>
  <si>
    <t>refrigeration services atlantic seaboard</t>
  </si>
  <si>
    <t>electricians near me</t>
  </si>
  <si>
    <t>refrigeration services bellville</t>
  </si>
  <si>
    <t>refrigeration services camps bay</t>
  </si>
  <si>
    <t>refrigeration services cape town</t>
  </si>
  <si>
    <t>24, 22, 23, 32, 33, 40, 34, 40, 38, 52, 25, 36, 58, 50, 33, 26, 11, 15, 19, 26, 18, 16, 31, 8</t>
  </si>
  <si>
    <t>refrigeration services cape town cbd</t>
  </si>
  <si>
    <t>refrigeration services claremont</t>
  </si>
  <si>
    <t>electrical vacancies in cape town</t>
  </si>
  <si>
    <t>refrigeration services constantia</t>
  </si>
  <si>
    <t>refrigeration services durbanville</t>
  </si>
  <si>
    <t>refrigeration services fish hoek</t>
  </si>
  <si>
    <t>refrigeration services green point</t>
  </si>
  <si>
    <t>refrigeration services hout bay</t>
  </si>
  <si>
    <t>87, 42, 81, 63, 65, 42, 264, 96, 68, 134, 89, 79, 51, 43, 36, 12, 23, 13, 39, 19, 7, 7, 33, 2</t>
  </si>
  <si>
    <t>refrigeration services maitland</t>
  </si>
  <si>
    <t>good plumbers near me</t>
  </si>
  <si>
    <t>refrigeration services milnerton</t>
  </si>
  <si>
    <t>refrigeration services muizenberg</t>
  </si>
  <si>
    <t>plumbers pinetown</t>
  </si>
  <si>
    <t>refrigeration services newlands</t>
  </si>
  <si>
    <t>Local pack,People also ask,Discussions,Video preview</t>
  </si>
  <si>
    <t>refrigeration services northern suburbs</t>
  </si>
  <si>
    <t>refrigeration services observatory</t>
  </si>
  <si>
    <t>refrigeration services plumstead</t>
  </si>
  <si>
    <t>21, 18, 10, 15, 22, 11, 20, 18, 33, 24, 27, 26, 34, 18, 14, 13, 9, 52, 68, 26, 20, 15, 15, 12</t>
  </si>
  <si>
    <t>refrigeration services rondebosch</t>
  </si>
  <si>
    <t>refrigeration services sea point</t>
  </si>
  <si>
    <t>refrigeration services south africa</t>
  </si>
  <si>
    <t>refrigeration services southern suburbs</t>
  </si>
  <si>
    <t>refrigeration services table view</t>
  </si>
  <si>
    <t>refrigeration services tokai</t>
  </si>
  <si>
    <t>refrigeration services woodstock</t>
  </si>
  <si>
    <t>plumbers near me cheap</t>
  </si>
  <si>
    <t>refrigeration services wynberg</t>
  </si>
  <si>
    <t>People also ask,Knowledge panel,Discussions,Video preview,Sitelinks</t>
  </si>
  <si>
    <t>61, 34, 41, 53, 36, 41, 37, 28, 26, 19, 34, 26, 45, 63, 39, 45, 31, 8, 13, 18, 31, 13, 9, 3</t>
  </si>
  <si>
    <t>electrical companies in cape town</t>
  </si>
  <si>
    <t>Hout Bay</t>
  </si>
  <si>
    <t>17, 17, 14, 13, 13, 18, 19, 21, 16, 16, 16, 16, 16, 17, 14, 13, 12, 17, 18, 20, 16, 15, 16, 16</t>
  </si>
  <si>
    <t>16, 16, 14, 12, 12, 17, 18, 20, 16, 15, 15, 16, 15</t>
  </si>
  <si>
    <t>Electricity; Jobs and education; Business</t>
  </si>
  <si>
    <t>24/7 plumbing</t>
  </si>
  <si>
    <t>24/7 plumbing somerset west</t>
  </si>
  <si>
    <t>21, 20, 22, 17, 25, 17, 20, 11, 24, 22, 20, 33, 28, 28, 23, 25, 11, 15, 11, 9, 15, 9, 10, 15</t>
  </si>
  <si>
    <t>electrical contractor near me</t>
  </si>
  <si>
    <t>20, 13, 20, 17, 31, 22, 26, 25, 49, 43, 34, 28, 23, 44, 23, 22, 17, 11, 10, 10, 43, 20, 23, 7</t>
  </si>
  <si>
    <t>best plumber</t>
  </si>
  <si>
    <t>11, 12, 23, 16, 14, 18, 22, 18, 23, 19, 23, 31, 33, 26, 11, 4, 8, 41, 51, 26, 7, 3, 9, 7</t>
  </si>
  <si>
    <t>electrician post</t>
  </si>
  <si>
    <t>electrician vacancies</t>
  </si>
  <si>
    <t>15, 45, 30, 7, 28, 25, 26, 13, 6, 15, 18, 7, 8, 11, 5, 8, 11, 8, 16, 10, 2, 3, 4, 0</t>
  </si>
  <si>
    <t>schmidhauser electrical</t>
  </si>
  <si>
    <t>Sitelinks,People also ask,Image pack</t>
  </si>
  <si>
    <t>Informational,Navigational,Commercial,Branded,Local</t>
  </si>
  <si>
    <t>1, 4, 5, 7, 2, 0, 2, 4, 7, 7, 5, 3, 18, 3, 30, 22, 77, 11, 2, 0, 2, 1, 1, 3</t>
  </si>
  <si>
    <t>Woodstock</t>
  </si>
  <si>
    <t>electric place near me</t>
  </si>
  <si>
    <t>21, 23, 18, 22, 6, 13, 8, 16, 19, 11, 16, 4, 13, 11, 14, 12, 4, 1, 8, 13, 10, 17, 11, 4</t>
  </si>
  <si>
    <t>plumbing durbanville</t>
  </si>
  <si>
    <t>plumbing supplies durbanville</t>
  </si>
  <si>
    <t>24, 26, 26, 23, 18, 17, 19, 18, 16, 13, 26, 23, 52, 12, 3, 8, 3, 1, 3, 4, 3, 2, 3, 0</t>
  </si>
  <si>
    <t>plumbing jobs available near me</t>
  </si>
  <si>
    <t>27, 27, 18, 8, 10, 5, 9, 14, 26, 8, 5, 6, 14, 11, 14, 10, 3, 3, 8, 5, 20, 4, 4, 0</t>
  </si>
  <si>
    <t>electrical technician jobs cape town</t>
  </si>
  <si>
    <t>electrical technician</t>
  </si>
  <si>
    <t>6, 11, 17, 15, 10, 6, 11, 9, 16, 22, 13, 7, 12, 12, 4, 7, 5, 10, 9, 12, 2, 17, 13, 2</t>
  </si>
  <si>
    <t>electrician looking for work</t>
  </si>
  <si>
    <t>15, 11, 5, 11, 7, 5, 9, 31, 6, 2, 0, 1, 9, 4, 0, 4, 0, 0, 3, 5, 0, 2, 0, 0</t>
  </si>
  <si>
    <t>schmidhauser electri</t>
  </si>
  <si>
    <t>Observatory</t>
  </si>
  <si>
    <t>Sitelinks,People also ask,Video preview</t>
  </si>
  <si>
    <t>076 810 3565</t>
  </si>
  <si>
    <t>0, 1, 1, 0, 1, 1, 0, 15, 47, 234, 109, 22, 0, 0, 0, 0, 0, 0, 0, 0, 0, 0, 0, 0</t>
  </si>
  <si>
    <t>Mobile phones; Communities; Business</t>
  </si>
  <si>
    <t>071 405 2668</t>
  </si>
  <si>
    <t>+27714052668</t>
  </si>
  <si>
    <t>Phone service providers; Business</t>
  </si>
  <si>
    <t>Maitland</t>
  </si>
  <si>
    <t>Table View</t>
  </si>
  <si>
    <t>Milnerton</t>
  </si>
  <si>
    <t>Muizenberg</t>
  </si>
  <si>
    <t>Fish Hoek</t>
  </si>
  <si>
    <t>South Africa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</si>
</sst>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17365D"/>
      <name val="Montserrat"/>
    </font>
    <font>
      <color theme="1"/>
      <name val="Montserrat"/>
    </font>
    <font>
      <sz val="11.0"/>
      <color theme="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EAF7EA"/>
        <bgColor rgb="FFEAF7EA"/>
      </patternFill>
    </fill>
    <fill>
      <patternFill patternType="solid">
        <fgColor rgb="FFFFF7E6"/>
        <bgColor rgb="FFFFF7E6"/>
      </patternFill>
    </fill>
    <fill>
      <patternFill patternType="solid">
        <fgColor rgb="FFF8FBFF"/>
        <bgColor rgb="FFF8FBFF"/>
      </patternFill>
    </fill>
  </fills>
  <borders count="13">
    <border/>
    <border>
      <left style="medium">
        <color rgb="FFB6C2D9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medium">
        <color rgb="FFB6C2D9"/>
      </right>
      <top style="medium">
        <color rgb="FFB6C2D9"/>
      </top>
      <bottom style="thin">
        <color rgb="FFE2E8F0"/>
      </bottom>
    </border>
    <border>
      <left style="medium">
        <color rgb="FFB6C2D9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medium">
        <color rgb="FFB6C2D9"/>
      </right>
      <top style="thin">
        <color rgb="FFE2E8F0"/>
      </top>
      <bottom style="medium">
        <color rgb="FFB6C2D9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E2E8F0"/>
      </right>
      <top style="thin">
        <color rgb="FFE2E8F0"/>
      </top>
    </border>
    <border>
      <left style="thin">
        <color rgb="FFE2E8F0"/>
      </left>
      <top style="thin">
        <color rgb="FFE2E8F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wrapText="1"/>
    </xf>
    <xf borderId="2" fillId="2" fontId="2" numFmtId="0" xfId="0" applyAlignment="1" applyBorder="1" applyFont="1">
      <alignment shrinkToFit="0" wrapText="1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2" fillId="3" fontId="2" numFmtId="0" xfId="0" applyAlignment="1" applyBorder="1" applyFill="1" applyFont="1">
      <alignment shrinkToFit="0" wrapText="1"/>
    </xf>
    <xf borderId="3" fillId="3" fontId="2" numFmtId="0" xfId="0" applyAlignment="1" applyBorder="1" applyFont="1">
      <alignment shrinkToFit="0" wrapText="1"/>
    </xf>
    <xf borderId="0" fillId="0" fontId="3" numFmtId="0" xfId="0" applyFont="1"/>
    <xf borderId="4" fillId="2" fontId="2" numFmtId="0" xfId="0" applyAlignment="1" applyBorder="1" applyFont="1">
      <alignment shrinkToFit="0" wrapText="1"/>
    </xf>
    <xf borderId="5" fillId="2" fontId="2" numFmtId="0" xfId="0" applyAlignment="1" applyBorder="1" applyFont="1">
      <alignment shrinkToFit="0" wrapText="1"/>
    </xf>
    <xf borderId="5" fillId="3" fontId="2" numFmtId="0" xfId="0" applyAlignment="1" applyBorder="1" applyFont="1">
      <alignment shrinkToFit="0" wrapText="1"/>
    </xf>
    <xf borderId="6" fillId="3" fontId="2" numFmtId="0" xfId="0" applyAlignment="1" applyBorder="1" applyFont="1">
      <alignment shrinkToFit="0" wrapText="1"/>
    </xf>
    <xf borderId="7" fillId="4" fontId="4" numFmtId="0" xfId="0" applyBorder="1" applyFill="1" applyFont="1"/>
    <xf borderId="8" fillId="5" fontId="4" numFmtId="0" xfId="0" applyBorder="1" applyFill="1" applyFont="1"/>
    <xf borderId="8" fillId="3" fontId="4" numFmtId="0" xfId="0" applyBorder="1" applyFont="1"/>
    <xf borderId="8" fillId="0" fontId="4" numFmtId="0" xfId="0" applyBorder="1" applyFont="1"/>
    <xf borderId="9" fillId="3" fontId="4" numFmtId="0" xfId="0" applyBorder="1" applyFont="1"/>
    <xf borderId="7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1" fillId="3" fontId="4" numFmtId="0" xfId="0" applyBorder="1" applyFont="1"/>
    <xf borderId="12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2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2"/>
      <c r="B1" s="3" t="s">
        <v>12</v>
      </c>
      <c r="C1" s="3" t="s">
        <v>18</v>
      </c>
      <c r="D1" s="3" t="s">
        <v>21</v>
      </c>
      <c r="E1" s="3" t="s">
        <v>24</v>
      </c>
      <c r="F1" s="3" t="s">
        <v>25</v>
      </c>
      <c r="G1" s="3" t="s">
        <v>27</v>
      </c>
      <c r="H1" s="3" t="s">
        <v>32</v>
      </c>
      <c r="I1" s="3" t="s">
        <v>35</v>
      </c>
      <c r="J1" s="3" t="s">
        <v>37</v>
      </c>
      <c r="K1" s="3" t="s">
        <v>39</v>
      </c>
      <c r="L1" s="6" t="s">
        <v>44</v>
      </c>
      <c r="M1" s="3"/>
      <c r="N1" s="3" t="s">
        <v>12</v>
      </c>
      <c r="O1" s="3" t="s">
        <v>18</v>
      </c>
      <c r="P1" s="3" t="s">
        <v>21</v>
      </c>
      <c r="Q1" s="3" t="s">
        <v>24</v>
      </c>
      <c r="R1" s="3" t="s">
        <v>25</v>
      </c>
      <c r="S1" s="3" t="s">
        <v>27</v>
      </c>
      <c r="T1" s="3" t="s">
        <v>32</v>
      </c>
      <c r="U1" s="3" t="s">
        <v>35</v>
      </c>
      <c r="V1" s="3" t="s">
        <v>37</v>
      </c>
      <c r="W1" s="3" t="s">
        <v>39</v>
      </c>
      <c r="X1" s="7" t="s">
        <v>57</v>
      </c>
      <c r="Y1" s="8"/>
      <c r="Z1" s="8"/>
    </row>
    <row r="2">
      <c r="A2" s="9" t="s">
        <v>60</v>
      </c>
      <c r="B2" s="10" t="s">
        <v>62</v>
      </c>
      <c r="C2" s="10"/>
      <c r="D2" s="10"/>
      <c r="E2" s="10"/>
      <c r="F2" s="10"/>
      <c r="G2" s="10"/>
      <c r="H2" s="10"/>
      <c r="I2" s="10"/>
      <c r="J2" s="10"/>
      <c r="K2" s="10"/>
      <c r="L2" s="11"/>
      <c r="M2" s="10"/>
      <c r="N2" s="10" t="s">
        <v>71</v>
      </c>
      <c r="O2" s="10"/>
      <c r="P2" s="10"/>
      <c r="Q2" s="10"/>
      <c r="R2" s="10"/>
      <c r="S2" s="10"/>
      <c r="T2" s="10"/>
      <c r="U2" s="10"/>
      <c r="V2" s="10"/>
      <c r="W2" s="10"/>
      <c r="X2" s="12"/>
      <c r="Y2" s="8"/>
      <c r="Z2" s="8"/>
    </row>
    <row r="3">
      <c r="A3" s="13" t="s">
        <v>85</v>
      </c>
      <c r="B3" s="14" t="str">
        <f t="shared" ref="B3:K3" si="1">IF($A3="","",IF(OR(ISNUMBER(SEARCH(LOWER($A3),LOWER(B$1))),AND(RIGHT(LOWER($A3),1)="s",ISNUMBER(SEARCH(LEFT(LOWER($A3),LEN($A3)-1),LOWER(B$1))))),B$1,B$1&amp;" "&amp;$A3))</f>
        <v>plumbers Cape Town</v>
      </c>
      <c r="C3" s="14" t="str">
        <f t="shared" si="1"/>
        <v>plumber Cape Town</v>
      </c>
      <c r="D3" s="14" t="str">
        <f t="shared" si="1"/>
        <v>plumbing company Cape Town</v>
      </c>
      <c r="E3" s="14" t="str">
        <f t="shared" si="1"/>
        <v>emergency plumber Cape Town</v>
      </c>
      <c r="F3" s="14" t="str">
        <f t="shared" si="1"/>
        <v>blocked drain plumber Cape Town</v>
      </c>
      <c r="G3" s="14" t="str">
        <f t="shared" si="1"/>
        <v>geyser repair Cape Town</v>
      </c>
      <c r="H3" s="14" t="str">
        <f t="shared" si="1"/>
        <v>leak detection plumber Cape Town</v>
      </c>
      <c r="I3" s="14" t="str">
        <f t="shared" si="1"/>
        <v>electrician Cape Town</v>
      </c>
      <c r="J3" s="14" t="str">
        <f t="shared" si="1"/>
        <v>aircon repairs Cape Town</v>
      </c>
      <c r="K3" s="14" t="str">
        <f t="shared" si="1"/>
        <v>refrigeration services Cape Town</v>
      </c>
      <c r="L3" s="15" t="str">
        <f>IFERROR(__xludf.DUMMYFUNCTION("SORT(UNIQUE(FILTER(FLATTEN(B3:K82),FLATTEN(B3:K82)&lt;&gt;"""")))"),"aircon repairs Atlantic Seaboard")</f>
        <v>aircon repairs Atlantic Seaboard</v>
      </c>
      <c r="M3" s="16"/>
      <c r="N3" s="14" t="str">
        <f t="shared" ref="N3:W3" si="2">IF($A3="","",IF(OR(ISNUMBER(SEARCH(LOWER($A3),LOWER(N$1))),AND(RIGHT(LOWER($A3),1)="s",ISNUMBER(SEARCH(LEFT(LOWER($A3),LEN($A3)-1),LOWER(N$1))))),N$1,$A3&amp;" "&amp;N$1))</f>
        <v>Cape Town plumbers</v>
      </c>
      <c r="O3" s="14" t="str">
        <f t="shared" si="2"/>
        <v>Cape Town plumber</v>
      </c>
      <c r="P3" s="14" t="str">
        <f t="shared" si="2"/>
        <v>Cape Town plumbing company</v>
      </c>
      <c r="Q3" s="14" t="str">
        <f t="shared" si="2"/>
        <v>Cape Town emergency plumber</v>
      </c>
      <c r="R3" s="14" t="str">
        <f t="shared" si="2"/>
        <v>Cape Town blocked drain plumber</v>
      </c>
      <c r="S3" s="14" t="str">
        <f t="shared" si="2"/>
        <v>Cape Town geyser repair</v>
      </c>
      <c r="T3" s="14" t="str">
        <f t="shared" si="2"/>
        <v>Cape Town leak detection plumber</v>
      </c>
      <c r="U3" s="14" t="str">
        <f t="shared" si="2"/>
        <v>Cape Town electrician</v>
      </c>
      <c r="V3" s="14" t="str">
        <f t="shared" si="2"/>
        <v>Cape Town aircon repairs</v>
      </c>
      <c r="W3" s="14" t="str">
        <f t="shared" si="2"/>
        <v>Cape Town refrigeration services</v>
      </c>
      <c r="X3" s="17" t="str">
        <f>IFERROR(__xludf.DUMMYFUNCTION("SORT(UNIQUE(FILTER(FLATTEN(N3:W82),FLATTEN(N3:W82)&lt;&gt;"""")))"),"Atlantic Seaboard aircon repairs")</f>
        <v>Atlantic Seaboard aircon repairs</v>
      </c>
      <c r="Y3" s="8"/>
      <c r="Z3" s="8"/>
    </row>
    <row r="4">
      <c r="A4" s="13" t="s">
        <v>168</v>
      </c>
      <c r="B4" s="14" t="str">
        <f t="shared" ref="B4:K4" si="3">IF($A4="","",IF(OR(ISNUMBER(SEARCH(LOWER($A4),LOWER(B$1))),AND(RIGHT(LOWER($A4),1)="s",ISNUMBER(SEARCH(LEFT(LOWER($A4),LEN($A4)-1),LOWER(B$1))))),B$1,B$1&amp;" "&amp;$A4))</f>
        <v>plumbers Cape Town CBD</v>
      </c>
      <c r="C4" s="14" t="str">
        <f t="shared" si="3"/>
        <v>plumber Cape Town CBD</v>
      </c>
      <c r="D4" s="14" t="str">
        <f t="shared" si="3"/>
        <v>plumbing company Cape Town CBD</v>
      </c>
      <c r="E4" s="14" t="str">
        <f t="shared" si="3"/>
        <v>emergency plumber Cape Town CBD</v>
      </c>
      <c r="F4" s="14" t="str">
        <f t="shared" si="3"/>
        <v>blocked drain plumber Cape Town CBD</v>
      </c>
      <c r="G4" s="14" t="str">
        <f t="shared" si="3"/>
        <v>geyser repair Cape Town CBD</v>
      </c>
      <c r="H4" s="14" t="str">
        <f t="shared" si="3"/>
        <v>leak detection plumber Cape Town CBD</v>
      </c>
      <c r="I4" s="14" t="str">
        <f t="shared" si="3"/>
        <v>electrician Cape Town CBD</v>
      </c>
      <c r="J4" s="14" t="str">
        <f t="shared" si="3"/>
        <v>aircon repairs Cape Town CBD</v>
      </c>
      <c r="K4" s="14" t="str">
        <f t="shared" si="3"/>
        <v>refrigeration services Cape Town CBD</v>
      </c>
      <c r="L4" s="15" t="str">
        <f>IFERROR(__xludf.DUMMYFUNCTION("""COMPUTED_VALUE"""),"aircon repairs Bellville")</f>
        <v>aircon repairs Bellville</v>
      </c>
      <c r="M4" s="16"/>
      <c r="N4" s="14" t="str">
        <f t="shared" ref="N4:W4" si="4">IF($A4="","",IF(OR(ISNUMBER(SEARCH(LOWER($A4),LOWER(N$1))),AND(RIGHT(LOWER($A4),1)="s",ISNUMBER(SEARCH(LEFT(LOWER($A4),LEN($A4)-1),LOWER(N$1))))),N$1,$A4&amp;" "&amp;N$1))</f>
        <v>Cape Town CBD plumbers</v>
      </c>
      <c r="O4" s="14" t="str">
        <f t="shared" si="4"/>
        <v>Cape Town CBD plumber</v>
      </c>
      <c r="P4" s="14" t="str">
        <f t="shared" si="4"/>
        <v>Cape Town CBD plumbing company</v>
      </c>
      <c r="Q4" s="14" t="str">
        <f t="shared" si="4"/>
        <v>Cape Town CBD emergency plumber</v>
      </c>
      <c r="R4" s="14" t="str">
        <f t="shared" si="4"/>
        <v>Cape Town CBD blocked drain plumber</v>
      </c>
      <c r="S4" s="14" t="str">
        <f t="shared" si="4"/>
        <v>Cape Town CBD geyser repair</v>
      </c>
      <c r="T4" s="14" t="str">
        <f t="shared" si="4"/>
        <v>Cape Town CBD leak detection plumber</v>
      </c>
      <c r="U4" s="14" t="str">
        <f t="shared" si="4"/>
        <v>Cape Town CBD electrician</v>
      </c>
      <c r="V4" s="14" t="str">
        <f t="shared" si="4"/>
        <v>Cape Town CBD aircon repairs</v>
      </c>
      <c r="W4" s="14" t="str">
        <f t="shared" si="4"/>
        <v>Cape Town CBD refrigeration services</v>
      </c>
      <c r="X4" s="17" t="str">
        <f>IFERROR(__xludf.DUMMYFUNCTION("""COMPUTED_VALUE"""),"Atlantic Seaboard blocked drain plumber")</f>
        <v>Atlantic Seaboard blocked drain plumber</v>
      </c>
      <c r="Y4" s="8"/>
      <c r="Z4" s="8"/>
    </row>
    <row r="5">
      <c r="A5" s="13" t="s">
        <v>237</v>
      </c>
      <c r="B5" s="14" t="str">
        <f t="shared" ref="B5:K5" si="5">IF($A5="","",IF(OR(ISNUMBER(SEARCH(LOWER($A5),LOWER(B$1))),AND(RIGHT(LOWER($A5),1)="s",ISNUMBER(SEARCH(LEFT(LOWER($A5),LEN($A5)-1),LOWER(B$1))))),B$1,B$1&amp;" "&amp;$A5))</f>
        <v>plumbers Southern Suburbs</v>
      </c>
      <c r="C5" s="14" t="str">
        <f t="shared" si="5"/>
        <v>plumber Southern Suburbs</v>
      </c>
      <c r="D5" s="14" t="str">
        <f t="shared" si="5"/>
        <v>plumbing company Southern Suburbs</v>
      </c>
      <c r="E5" s="14" t="str">
        <f t="shared" si="5"/>
        <v>emergency plumber Southern Suburbs</v>
      </c>
      <c r="F5" s="14" t="str">
        <f t="shared" si="5"/>
        <v>blocked drain plumber Southern Suburbs</v>
      </c>
      <c r="G5" s="14" t="str">
        <f t="shared" si="5"/>
        <v>geyser repair Southern Suburbs</v>
      </c>
      <c r="H5" s="14" t="str">
        <f t="shared" si="5"/>
        <v>leak detection plumber Southern Suburbs</v>
      </c>
      <c r="I5" s="14" t="str">
        <f t="shared" si="5"/>
        <v>electrician Southern Suburbs</v>
      </c>
      <c r="J5" s="14" t="str">
        <f t="shared" si="5"/>
        <v>aircon repairs Southern Suburbs</v>
      </c>
      <c r="K5" s="14" t="str">
        <f t="shared" si="5"/>
        <v>refrigeration services Southern Suburbs</v>
      </c>
      <c r="L5" s="15" t="str">
        <f>IFERROR(__xludf.DUMMYFUNCTION("""COMPUTED_VALUE"""),"aircon repairs Camps Bay")</f>
        <v>aircon repairs Camps Bay</v>
      </c>
      <c r="M5" s="16"/>
      <c r="N5" s="14" t="str">
        <f t="shared" ref="N5:W5" si="6">IF($A5="","",IF(OR(ISNUMBER(SEARCH(LOWER($A5),LOWER(N$1))),AND(RIGHT(LOWER($A5),1)="s",ISNUMBER(SEARCH(LEFT(LOWER($A5),LEN($A5)-1),LOWER(N$1))))),N$1,$A5&amp;" "&amp;N$1))</f>
        <v>Southern Suburbs plumbers</v>
      </c>
      <c r="O5" s="14" t="str">
        <f t="shared" si="6"/>
        <v>Southern Suburbs plumber</v>
      </c>
      <c r="P5" s="14" t="str">
        <f t="shared" si="6"/>
        <v>Southern Suburbs plumbing company</v>
      </c>
      <c r="Q5" s="14" t="str">
        <f t="shared" si="6"/>
        <v>Southern Suburbs emergency plumber</v>
      </c>
      <c r="R5" s="14" t="str">
        <f t="shared" si="6"/>
        <v>Southern Suburbs blocked drain plumber</v>
      </c>
      <c r="S5" s="14" t="str">
        <f t="shared" si="6"/>
        <v>Southern Suburbs geyser repair</v>
      </c>
      <c r="T5" s="14" t="str">
        <f t="shared" si="6"/>
        <v>Southern Suburbs leak detection plumber</v>
      </c>
      <c r="U5" s="14" t="str">
        <f t="shared" si="6"/>
        <v>Southern Suburbs electrician</v>
      </c>
      <c r="V5" s="14" t="str">
        <f t="shared" si="6"/>
        <v>Southern Suburbs aircon repairs</v>
      </c>
      <c r="W5" s="14" t="str">
        <f t="shared" si="6"/>
        <v>Southern Suburbs refrigeration services</v>
      </c>
      <c r="X5" s="17" t="str">
        <f>IFERROR(__xludf.DUMMYFUNCTION("""COMPUTED_VALUE"""),"Atlantic Seaboard electrician")</f>
        <v>Atlantic Seaboard electrician</v>
      </c>
      <c r="Y5" s="8"/>
      <c r="Z5" s="8"/>
    </row>
    <row r="6">
      <c r="A6" s="13" t="s">
        <v>313</v>
      </c>
      <c r="B6" s="14" t="str">
        <f t="shared" ref="B6:K6" si="7">IF($A6="","",IF(OR(ISNUMBER(SEARCH(LOWER($A6),LOWER(B$1))),AND(RIGHT(LOWER($A6),1)="s",ISNUMBER(SEARCH(LEFT(LOWER($A6),LEN($A6)-1),LOWER(B$1))))),B$1,B$1&amp;" "&amp;$A6))</f>
        <v>plumbers Atlantic Seaboard</v>
      </c>
      <c r="C6" s="14" t="str">
        <f t="shared" si="7"/>
        <v>plumber Atlantic Seaboard</v>
      </c>
      <c r="D6" s="14" t="str">
        <f t="shared" si="7"/>
        <v>plumbing company Atlantic Seaboard</v>
      </c>
      <c r="E6" s="14" t="str">
        <f t="shared" si="7"/>
        <v>emergency plumber Atlantic Seaboard</v>
      </c>
      <c r="F6" s="14" t="str">
        <f t="shared" si="7"/>
        <v>blocked drain plumber Atlantic Seaboard</v>
      </c>
      <c r="G6" s="14" t="str">
        <f t="shared" si="7"/>
        <v>geyser repair Atlantic Seaboard</v>
      </c>
      <c r="H6" s="14" t="str">
        <f t="shared" si="7"/>
        <v>leak detection plumber Atlantic Seaboard</v>
      </c>
      <c r="I6" s="14" t="str">
        <f t="shared" si="7"/>
        <v>electrician Atlantic Seaboard</v>
      </c>
      <c r="J6" s="14" t="str">
        <f t="shared" si="7"/>
        <v>aircon repairs Atlantic Seaboard</v>
      </c>
      <c r="K6" s="14" t="str">
        <f t="shared" si="7"/>
        <v>refrigeration services Atlantic Seaboard</v>
      </c>
      <c r="L6" s="15" t="str">
        <f>IFERROR(__xludf.DUMMYFUNCTION("""COMPUTED_VALUE"""),"aircon repairs Cape Town")</f>
        <v>aircon repairs Cape Town</v>
      </c>
      <c r="M6" s="16"/>
      <c r="N6" s="14" t="str">
        <f t="shared" ref="N6:W6" si="8">IF($A6="","",IF(OR(ISNUMBER(SEARCH(LOWER($A6),LOWER(N$1))),AND(RIGHT(LOWER($A6),1)="s",ISNUMBER(SEARCH(LEFT(LOWER($A6),LEN($A6)-1),LOWER(N$1))))),N$1,$A6&amp;" "&amp;N$1))</f>
        <v>Atlantic Seaboard plumbers</v>
      </c>
      <c r="O6" s="14" t="str">
        <f t="shared" si="8"/>
        <v>Atlantic Seaboard plumber</v>
      </c>
      <c r="P6" s="14" t="str">
        <f t="shared" si="8"/>
        <v>Atlantic Seaboard plumbing company</v>
      </c>
      <c r="Q6" s="14" t="str">
        <f t="shared" si="8"/>
        <v>Atlantic Seaboard emergency plumber</v>
      </c>
      <c r="R6" s="14" t="str">
        <f t="shared" si="8"/>
        <v>Atlantic Seaboard blocked drain plumber</v>
      </c>
      <c r="S6" s="14" t="str">
        <f t="shared" si="8"/>
        <v>Atlantic Seaboard geyser repair</v>
      </c>
      <c r="T6" s="14" t="str">
        <f t="shared" si="8"/>
        <v>Atlantic Seaboard leak detection plumber</v>
      </c>
      <c r="U6" s="14" t="str">
        <f t="shared" si="8"/>
        <v>Atlantic Seaboard electrician</v>
      </c>
      <c r="V6" s="14" t="str">
        <f t="shared" si="8"/>
        <v>Atlantic Seaboard aircon repairs</v>
      </c>
      <c r="W6" s="14" t="str">
        <f t="shared" si="8"/>
        <v>Atlantic Seaboard refrigeration services</v>
      </c>
      <c r="X6" s="17" t="str">
        <f>IFERROR(__xludf.DUMMYFUNCTION("""COMPUTED_VALUE"""),"Atlantic Seaboard emergency plumber")</f>
        <v>Atlantic Seaboard emergency plumber</v>
      </c>
      <c r="Y6" s="8"/>
      <c r="Z6" s="8"/>
    </row>
    <row r="7">
      <c r="A7" s="13" t="s">
        <v>385</v>
      </c>
      <c r="B7" s="14" t="str">
        <f t="shared" ref="B7:K7" si="9">IF($A7="","",IF(OR(ISNUMBER(SEARCH(LOWER($A7),LOWER(B$1))),AND(RIGHT(LOWER($A7),1)="s",ISNUMBER(SEARCH(LEFT(LOWER($A7),LEN($A7)-1),LOWER(B$1))))),B$1,B$1&amp;" "&amp;$A7))</f>
        <v>plumbers Northern Suburbs</v>
      </c>
      <c r="C7" s="14" t="str">
        <f t="shared" si="9"/>
        <v>plumber Northern Suburbs</v>
      </c>
      <c r="D7" s="14" t="str">
        <f t="shared" si="9"/>
        <v>plumbing company Northern Suburbs</v>
      </c>
      <c r="E7" s="14" t="str">
        <f t="shared" si="9"/>
        <v>emergency plumber Northern Suburbs</v>
      </c>
      <c r="F7" s="14" t="str">
        <f t="shared" si="9"/>
        <v>blocked drain plumber Northern Suburbs</v>
      </c>
      <c r="G7" s="14" t="str">
        <f t="shared" si="9"/>
        <v>geyser repair Northern Suburbs</v>
      </c>
      <c r="H7" s="14" t="str">
        <f t="shared" si="9"/>
        <v>leak detection plumber Northern Suburbs</v>
      </c>
      <c r="I7" s="14" t="str">
        <f t="shared" si="9"/>
        <v>electrician Northern Suburbs</v>
      </c>
      <c r="J7" s="14" t="str">
        <f t="shared" si="9"/>
        <v>aircon repairs Northern Suburbs</v>
      </c>
      <c r="K7" s="14" t="str">
        <f t="shared" si="9"/>
        <v>refrigeration services Northern Suburbs</v>
      </c>
      <c r="L7" s="15" t="str">
        <f>IFERROR(__xludf.DUMMYFUNCTION("""COMPUTED_VALUE"""),"aircon repairs Cape Town CBD")</f>
        <v>aircon repairs Cape Town CBD</v>
      </c>
      <c r="M7" s="16"/>
      <c r="N7" s="14" t="str">
        <f t="shared" ref="N7:W7" si="10">IF($A7="","",IF(OR(ISNUMBER(SEARCH(LOWER($A7),LOWER(N$1))),AND(RIGHT(LOWER($A7),1)="s",ISNUMBER(SEARCH(LEFT(LOWER($A7),LEN($A7)-1),LOWER(N$1))))),N$1,$A7&amp;" "&amp;N$1))</f>
        <v>Northern Suburbs plumbers</v>
      </c>
      <c r="O7" s="14" t="str">
        <f t="shared" si="10"/>
        <v>Northern Suburbs plumber</v>
      </c>
      <c r="P7" s="14" t="str">
        <f t="shared" si="10"/>
        <v>Northern Suburbs plumbing company</v>
      </c>
      <c r="Q7" s="14" t="str">
        <f t="shared" si="10"/>
        <v>Northern Suburbs emergency plumber</v>
      </c>
      <c r="R7" s="14" t="str">
        <f t="shared" si="10"/>
        <v>Northern Suburbs blocked drain plumber</v>
      </c>
      <c r="S7" s="14" t="str">
        <f t="shared" si="10"/>
        <v>Northern Suburbs geyser repair</v>
      </c>
      <c r="T7" s="14" t="str">
        <f t="shared" si="10"/>
        <v>Northern Suburbs leak detection plumber</v>
      </c>
      <c r="U7" s="14" t="str">
        <f t="shared" si="10"/>
        <v>Northern Suburbs electrician</v>
      </c>
      <c r="V7" s="14" t="str">
        <f t="shared" si="10"/>
        <v>Northern Suburbs aircon repairs</v>
      </c>
      <c r="W7" s="14" t="str">
        <f t="shared" si="10"/>
        <v>Northern Suburbs refrigeration services</v>
      </c>
      <c r="X7" s="17" t="str">
        <f>IFERROR(__xludf.DUMMYFUNCTION("""COMPUTED_VALUE"""),"Atlantic Seaboard geyser repair")</f>
        <v>Atlantic Seaboard geyser repair</v>
      </c>
      <c r="Y7" s="8"/>
      <c r="Z7" s="8"/>
    </row>
    <row r="8">
      <c r="A8" s="13" t="s">
        <v>445</v>
      </c>
      <c r="B8" s="14" t="str">
        <f t="shared" ref="B8:K8" si="11">IF($A8="","",IF(OR(ISNUMBER(SEARCH(LOWER($A8),LOWER(B$1))),AND(RIGHT(LOWER($A8),1)="s",ISNUMBER(SEARCH(LEFT(LOWER($A8),LEN($A8)-1),LOWER(B$1))))),B$1,B$1&amp;" "&amp;$A8))</f>
        <v>plumbers Durbanville</v>
      </c>
      <c r="C8" s="14" t="str">
        <f t="shared" si="11"/>
        <v>plumber Durbanville</v>
      </c>
      <c r="D8" s="14" t="str">
        <f t="shared" si="11"/>
        <v>plumbing company Durbanville</v>
      </c>
      <c r="E8" s="14" t="str">
        <f t="shared" si="11"/>
        <v>emergency plumber Durbanville</v>
      </c>
      <c r="F8" s="14" t="str">
        <f t="shared" si="11"/>
        <v>blocked drain plumber Durbanville</v>
      </c>
      <c r="G8" s="14" t="str">
        <f t="shared" si="11"/>
        <v>geyser repair Durbanville</v>
      </c>
      <c r="H8" s="14" t="str">
        <f t="shared" si="11"/>
        <v>leak detection plumber Durbanville</v>
      </c>
      <c r="I8" s="14" t="str">
        <f t="shared" si="11"/>
        <v>electrician Durbanville</v>
      </c>
      <c r="J8" s="14" t="str">
        <f t="shared" si="11"/>
        <v>aircon repairs Durbanville</v>
      </c>
      <c r="K8" s="14" t="str">
        <f t="shared" si="11"/>
        <v>refrigeration services Durbanville</v>
      </c>
      <c r="L8" s="15" t="str">
        <f>IFERROR(__xludf.DUMMYFUNCTION("""COMPUTED_VALUE"""),"aircon repairs Claremont")</f>
        <v>aircon repairs Claremont</v>
      </c>
      <c r="M8" s="16"/>
      <c r="N8" s="14" t="str">
        <f t="shared" ref="N8:W8" si="12">IF($A8="","",IF(OR(ISNUMBER(SEARCH(LOWER($A8),LOWER(N$1))),AND(RIGHT(LOWER($A8),1)="s",ISNUMBER(SEARCH(LEFT(LOWER($A8),LEN($A8)-1),LOWER(N$1))))),N$1,$A8&amp;" "&amp;N$1))</f>
        <v>Durbanville plumbers</v>
      </c>
      <c r="O8" s="14" t="str">
        <f t="shared" si="12"/>
        <v>Durbanville plumber</v>
      </c>
      <c r="P8" s="14" t="str">
        <f t="shared" si="12"/>
        <v>Durbanville plumbing company</v>
      </c>
      <c r="Q8" s="14" t="str">
        <f t="shared" si="12"/>
        <v>Durbanville emergency plumber</v>
      </c>
      <c r="R8" s="14" t="str">
        <f t="shared" si="12"/>
        <v>Durbanville blocked drain plumber</v>
      </c>
      <c r="S8" s="14" t="str">
        <f t="shared" si="12"/>
        <v>Durbanville geyser repair</v>
      </c>
      <c r="T8" s="14" t="str">
        <f t="shared" si="12"/>
        <v>Durbanville leak detection plumber</v>
      </c>
      <c r="U8" s="14" t="str">
        <f t="shared" si="12"/>
        <v>Durbanville electrician</v>
      </c>
      <c r="V8" s="14" t="str">
        <f t="shared" si="12"/>
        <v>Durbanville aircon repairs</v>
      </c>
      <c r="W8" s="14" t="str">
        <f t="shared" si="12"/>
        <v>Durbanville refrigeration services</v>
      </c>
      <c r="X8" s="17" t="str">
        <f>IFERROR(__xludf.DUMMYFUNCTION("""COMPUTED_VALUE"""),"Atlantic Seaboard leak detection plumber")</f>
        <v>Atlantic Seaboard leak detection plumber</v>
      </c>
      <c r="Y8" s="8"/>
      <c r="Z8" s="8"/>
    </row>
    <row r="9">
      <c r="A9" s="13" t="s">
        <v>504</v>
      </c>
      <c r="B9" s="14" t="str">
        <f t="shared" ref="B9:K9" si="13">IF($A9="","",IF(OR(ISNUMBER(SEARCH(LOWER($A9),LOWER(B$1))),AND(RIGHT(LOWER($A9),1)="s",ISNUMBER(SEARCH(LEFT(LOWER($A9),LEN($A9)-1),LOWER(B$1))))),B$1,B$1&amp;" "&amp;$A9))</f>
        <v>plumbers Bellville</v>
      </c>
      <c r="C9" s="14" t="str">
        <f t="shared" si="13"/>
        <v>plumber Bellville</v>
      </c>
      <c r="D9" s="14" t="str">
        <f t="shared" si="13"/>
        <v>plumbing company Bellville</v>
      </c>
      <c r="E9" s="14" t="str">
        <f t="shared" si="13"/>
        <v>emergency plumber Bellville</v>
      </c>
      <c r="F9" s="14" t="str">
        <f t="shared" si="13"/>
        <v>blocked drain plumber Bellville</v>
      </c>
      <c r="G9" s="14" t="str">
        <f t="shared" si="13"/>
        <v>geyser repair Bellville</v>
      </c>
      <c r="H9" s="14" t="str">
        <f t="shared" si="13"/>
        <v>leak detection plumber Bellville</v>
      </c>
      <c r="I9" s="14" t="str">
        <f t="shared" si="13"/>
        <v>electrician Bellville</v>
      </c>
      <c r="J9" s="14" t="str">
        <f t="shared" si="13"/>
        <v>aircon repairs Bellville</v>
      </c>
      <c r="K9" s="14" t="str">
        <f t="shared" si="13"/>
        <v>refrigeration services Bellville</v>
      </c>
      <c r="L9" s="15" t="str">
        <f>IFERROR(__xludf.DUMMYFUNCTION("""COMPUTED_VALUE"""),"aircon repairs Constantia")</f>
        <v>aircon repairs Constantia</v>
      </c>
      <c r="M9" s="16"/>
      <c r="N9" s="14" t="str">
        <f t="shared" ref="N9:W9" si="14">IF($A9="","",IF(OR(ISNUMBER(SEARCH(LOWER($A9),LOWER(N$1))),AND(RIGHT(LOWER($A9),1)="s",ISNUMBER(SEARCH(LEFT(LOWER($A9),LEN($A9)-1),LOWER(N$1))))),N$1,$A9&amp;" "&amp;N$1))</f>
        <v>Bellville plumbers</v>
      </c>
      <c r="O9" s="14" t="str">
        <f t="shared" si="14"/>
        <v>Bellville plumber</v>
      </c>
      <c r="P9" s="14" t="str">
        <f t="shared" si="14"/>
        <v>Bellville plumbing company</v>
      </c>
      <c r="Q9" s="14" t="str">
        <f t="shared" si="14"/>
        <v>Bellville emergency plumber</v>
      </c>
      <c r="R9" s="14" t="str">
        <f t="shared" si="14"/>
        <v>Bellville blocked drain plumber</v>
      </c>
      <c r="S9" s="14" t="str">
        <f t="shared" si="14"/>
        <v>Bellville geyser repair</v>
      </c>
      <c r="T9" s="14" t="str">
        <f t="shared" si="14"/>
        <v>Bellville leak detection plumber</v>
      </c>
      <c r="U9" s="14" t="str">
        <f t="shared" si="14"/>
        <v>Bellville electrician</v>
      </c>
      <c r="V9" s="14" t="str">
        <f t="shared" si="14"/>
        <v>Bellville aircon repairs</v>
      </c>
      <c r="W9" s="14" t="str">
        <f t="shared" si="14"/>
        <v>Bellville refrigeration services</v>
      </c>
      <c r="X9" s="17" t="str">
        <f>IFERROR(__xludf.DUMMYFUNCTION("""COMPUTED_VALUE"""),"Atlantic Seaboard plumber")</f>
        <v>Atlantic Seaboard plumber</v>
      </c>
      <c r="Y9" s="8"/>
      <c r="Z9" s="8"/>
    </row>
    <row r="10">
      <c r="A10" s="13" t="s">
        <v>589</v>
      </c>
      <c r="B10" s="14" t="str">
        <f t="shared" ref="B10:K10" si="15">IF($A10="","",IF(OR(ISNUMBER(SEARCH(LOWER($A10),LOWER(B$1))),AND(RIGHT(LOWER($A10),1)="s",ISNUMBER(SEARCH(LEFT(LOWER($A10),LEN($A10)-1),LOWER(B$1))))),B$1,B$1&amp;" "&amp;$A10))</f>
        <v>plumbers Claremont</v>
      </c>
      <c r="C10" s="14" t="str">
        <f t="shared" si="15"/>
        <v>plumber Claremont</v>
      </c>
      <c r="D10" s="14" t="str">
        <f t="shared" si="15"/>
        <v>plumbing company Claremont</v>
      </c>
      <c r="E10" s="14" t="str">
        <f t="shared" si="15"/>
        <v>emergency plumber Claremont</v>
      </c>
      <c r="F10" s="14" t="str">
        <f t="shared" si="15"/>
        <v>blocked drain plumber Claremont</v>
      </c>
      <c r="G10" s="14" t="str">
        <f t="shared" si="15"/>
        <v>geyser repair Claremont</v>
      </c>
      <c r="H10" s="14" t="str">
        <f t="shared" si="15"/>
        <v>leak detection plumber Claremont</v>
      </c>
      <c r="I10" s="14" t="str">
        <f t="shared" si="15"/>
        <v>electrician Claremont</v>
      </c>
      <c r="J10" s="14" t="str">
        <f t="shared" si="15"/>
        <v>aircon repairs Claremont</v>
      </c>
      <c r="K10" s="14" t="str">
        <f t="shared" si="15"/>
        <v>refrigeration services Claremont</v>
      </c>
      <c r="L10" s="15" t="str">
        <f>IFERROR(__xludf.DUMMYFUNCTION("""COMPUTED_VALUE"""),"aircon repairs Durbanville")</f>
        <v>aircon repairs Durbanville</v>
      </c>
      <c r="M10" s="16"/>
      <c r="N10" s="14" t="str">
        <f t="shared" ref="N10:W10" si="16">IF($A10="","",IF(OR(ISNUMBER(SEARCH(LOWER($A10),LOWER(N$1))),AND(RIGHT(LOWER($A10),1)="s",ISNUMBER(SEARCH(LEFT(LOWER($A10),LEN($A10)-1),LOWER(N$1))))),N$1,$A10&amp;" "&amp;N$1))</f>
        <v>Claremont plumbers</v>
      </c>
      <c r="O10" s="14" t="str">
        <f t="shared" si="16"/>
        <v>Claremont plumber</v>
      </c>
      <c r="P10" s="14" t="str">
        <f t="shared" si="16"/>
        <v>Claremont plumbing company</v>
      </c>
      <c r="Q10" s="14" t="str">
        <f t="shared" si="16"/>
        <v>Claremont emergency plumber</v>
      </c>
      <c r="R10" s="14" t="str">
        <f t="shared" si="16"/>
        <v>Claremont blocked drain plumber</v>
      </c>
      <c r="S10" s="14" t="str">
        <f t="shared" si="16"/>
        <v>Claremont geyser repair</v>
      </c>
      <c r="T10" s="14" t="str">
        <f t="shared" si="16"/>
        <v>Claremont leak detection plumber</v>
      </c>
      <c r="U10" s="14" t="str">
        <f t="shared" si="16"/>
        <v>Claremont electrician</v>
      </c>
      <c r="V10" s="14" t="str">
        <f t="shared" si="16"/>
        <v>Claremont aircon repairs</v>
      </c>
      <c r="W10" s="14" t="str">
        <f t="shared" si="16"/>
        <v>Claremont refrigeration services</v>
      </c>
      <c r="X10" s="17" t="str">
        <f>IFERROR(__xludf.DUMMYFUNCTION("""COMPUTED_VALUE"""),"Atlantic Seaboard plumbers")</f>
        <v>Atlantic Seaboard plumbers</v>
      </c>
      <c r="Y10" s="8"/>
      <c r="Z10" s="8"/>
    </row>
    <row r="11">
      <c r="A11" s="13" t="s">
        <v>669</v>
      </c>
      <c r="B11" s="14" t="str">
        <f t="shared" ref="B11:K11" si="17">IF($A11="","",IF(OR(ISNUMBER(SEARCH(LOWER($A11),LOWER(B$1))),AND(RIGHT(LOWER($A11),1)="s",ISNUMBER(SEARCH(LEFT(LOWER($A11),LEN($A11)-1),LOWER(B$1))))),B$1,B$1&amp;" "&amp;$A11))</f>
        <v>plumbers Wynberg</v>
      </c>
      <c r="C11" s="14" t="str">
        <f t="shared" si="17"/>
        <v>plumber Wynberg</v>
      </c>
      <c r="D11" s="14" t="str">
        <f t="shared" si="17"/>
        <v>plumbing company Wynberg</v>
      </c>
      <c r="E11" s="14" t="str">
        <f t="shared" si="17"/>
        <v>emergency plumber Wynberg</v>
      </c>
      <c r="F11" s="14" t="str">
        <f t="shared" si="17"/>
        <v>blocked drain plumber Wynberg</v>
      </c>
      <c r="G11" s="14" t="str">
        <f t="shared" si="17"/>
        <v>geyser repair Wynberg</v>
      </c>
      <c r="H11" s="14" t="str">
        <f t="shared" si="17"/>
        <v>leak detection plumber Wynberg</v>
      </c>
      <c r="I11" s="14" t="str">
        <f t="shared" si="17"/>
        <v>electrician Wynberg</v>
      </c>
      <c r="J11" s="14" t="str">
        <f t="shared" si="17"/>
        <v>aircon repairs Wynberg</v>
      </c>
      <c r="K11" s="14" t="str">
        <f t="shared" si="17"/>
        <v>refrigeration services Wynberg</v>
      </c>
      <c r="L11" s="15" t="str">
        <f>IFERROR(__xludf.DUMMYFUNCTION("""COMPUTED_VALUE"""),"aircon repairs Fish Hoek")</f>
        <v>aircon repairs Fish Hoek</v>
      </c>
      <c r="M11" s="16"/>
      <c r="N11" s="14" t="str">
        <f t="shared" ref="N11:W11" si="18">IF($A11="","",IF(OR(ISNUMBER(SEARCH(LOWER($A11),LOWER(N$1))),AND(RIGHT(LOWER($A11),1)="s",ISNUMBER(SEARCH(LEFT(LOWER($A11),LEN($A11)-1),LOWER(N$1))))),N$1,$A11&amp;" "&amp;N$1))</f>
        <v>Wynberg plumbers</v>
      </c>
      <c r="O11" s="14" t="str">
        <f t="shared" si="18"/>
        <v>Wynberg plumber</v>
      </c>
      <c r="P11" s="14" t="str">
        <f t="shared" si="18"/>
        <v>Wynberg plumbing company</v>
      </c>
      <c r="Q11" s="14" t="str">
        <f t="shared" si="18"/>
        <v>Wynberg emergency plumber</v>
      </c>
      <c r="R11" s="14" t="str">
        <f t="shared" si="18"/>
        <v>Wynberg blocked drain plumber</v>
      </c>
      <c r="S11" s="14" t="str">
        <f t="shared" si="18"/>
        <v>Wynberg geyser repair</v>
      </c>
      <c r="T11" s="14" t="str">
        <f t="shared" si="18"/>
        <v>Wynberg leak detection plumber</v>
      </c>
      <c r="U11" s="14" t="str">
        <f t="shared" si="18"/>
        <v>Wynberg electrician</v>
      </c>
      <c r="V11" s="14" t="str">
        <f t="shared" si="18"/>
        <v>Wynberg aircon repairs</v>
      </c>
      <c r="W11" s="14" t="str">
        <f t="shared" si="18"/>
        <v>Wynberg refrigeration services</v>
      </c>
      <c r="X11" s="17" t="str">
        <f>IFERROR(__xludf.DUMMYFUNCTION("""COMPUTED_VALUE"""),"Atlantic Seaboard plumbing company")</f>
        <v>Atlantic Seaboard plumbing company</v>
      </c>
      <c r="Y11" s="8"/>
      <c r="Z11" s="8"/>
    </row>
    <row r="12">
      <c r="A12" s="13" t="s">
        <v>743</v>
      </c>
      <c r="B12" s="14" t="str">
        <f t="shared" ref="B12:K12" si="19">IF($A12="","",IF(OR(ISNUMBER(SEARCH(LOWER($A12),LOWER(B$1))),AND(RIGHT(LOWER($A12),1)="s",ISNUMBER(SEARCH(LEFT(LOWER($A12),LEN($A12)-1),LOWER(B$1))))),B$1,B$1&amp;" "&amp;$A12))</f>
        <v>plumbers Plumstead</v>
      </c>
      <c r="C12" s="14" t="str">
        <f t="shared" si="19"/>
        <v>plumber Plumstead</v>
      </c>
      <c r="D12" s="14" t="str">
        <f t="shared" si="19"/>
        <v>plumbing company Plumstead</v>
      </c>
      <c r="E12" s="14" t="str">
        <f t="shared" si="19"/>
        <v>emergency plumber Plumstead</v>
      </c>
      <c r="F12" s="14" t="str">
        <f t="shared" si="19"/>
        <v>blocked drain plumber Plumstead</v>
      </c>
      <c r="G12" s="14" t="str">
        <f t="shared" si="19"/>
        <v>geyser repair Plumstead</v>
      </c>
      <c r="H12" s="14" t="str">
        <f t="shared" si="19"/>
        <v>leak detection plumber Plumstead</v>
      </c>
      <c r="I12" s="14" t="str">
        <f t="shared" si="19"/>
        <v>electrician Plumstead</v>
      </c>
      <c r="J12" s="14" t="str">
        <f t="shared" si="19"/>
        <v>aircon repairs Plumstead</v>
      </c>
      <c r="K12" s="14" t="str">
        <f t="shared" si="19"/>
        <v>refrigeration services Plumstead</v>
      </c>
      <c r="L12" s="15" t="str">
        <f>IFERROR(__xludf.DUMMYFUNCTION("""COMPUTED_VALUE"""),"aircon repairs Green Point")</f>
        <v>aircon repairs Green Point</v>
      </c>
      <c r="M12" s="16"/>
      <c r="N12" s="14" t="str">
        <f t="shared" ref="N12:W12" si="20">IF($A12="","",IF(OR(ISNUMBER(SEARCH(LOWER($A12),LOWER(N$1))),AND(RIGHT(LOWER($A12),1)="s",ISNUMBER(SEARCH(LEFT(LOWER($A12),LEN($A12)-1),LOWER(N$1))))),N$1,$A12&amp;" "&amp;N$1))</f>
        <v>Plumstead plumbers</v>
      </c>
      <c r="O12" s="14" t="str">
        <f t="shared" si="20"/>
        <v>Plumstead plumber</v>
      </c>
      <c r="P12" s="14" t="str">
        <f t="shared" si="20"/>
        <v>Plumstead plumbing company</v>
      </c>
      <c r="Q12" s="14" t="str">
        <f t="shared" si="20"/>
        <v>Plumstead emergency plumber</v>
      </c>
      <c r="R12" s="14" t="str">
        <f t="shared" si="20"/>
        <v>Plumstead blocked drain plumber</v>
      </c>
      <c r="S12" s="14" t="str">
        <f t="shared" si="20"/>
        <v>Plumstead geyser repair</v>
      </c>
      <c r="T12" s="14" t="str">
        <f t="shared" si="20"/>
        <v>Plumstead leak detection plumber</v>
      </c>
      <c r="U12" s="14" t="str">
        <f t="shared" si="20"/>
        <v>Plumstead electrician</v>
      </c>
      <c r="V12" s="14" t="str">
        <f t="shared" si="20"/>
        <v>Plumstead aircon repairs</v>
      </c>
      <c r="W12" s="14" t="str">
        <f t="shared" si="20"/>
        <v>Plumstead refrigeration services</v>
      </c>
      <c r="X12" s="17" t="str">
        <f>IFERROR(__xludf.DUMMYFUNCTION("""COMPUTED_VALUE"""),"Atlantic Seaboard refrigeration services")</f>
        <v>Atlantic Seaboard refrigeration services</v>
      </c>
      <c r="Y12" s="8"/>
      <c r="Z12" s="8"/>
    </row>
    <row r="13">
      <c r="A13" s="13" t="s">
        <v>778</v>
      </c>
      <c r="B13" s="14" t="str">
        <f t="shared" ref="B13:K13" si="21">IF($A13="","",IF(OR(ISNUMBER(SEARCH(LOWER($A13),LOWER(B$1))),AND(RIGHT(LOWER($A13),1)="s",ISNUMBER(SEARCH(LEFT(LOWER($A13),LEN($A13)-1),LOWER(B$1))))),B$1,B$1&amp;" "&amp;$A13))</f>
        <v>plumbers Constantia</v>
      </c>
      <c r="C13" s="14" t="str">
        <f t="shared" si="21"/>
        <v>plumber Constantia</v>
      </c>
      <c r="D13" s="14" t="str">
        <f t="shared" si="21"/>
        <v>plumbing company Constantia</v>
      </c>
      <c r="E13" s="14" t="str">
        <f t="shared" si="21"/>
        <v>emergency plumber Constantia</v>
      </c>
      <c r="F13" s="14" t="str">
        <f t="shared" si="21"/>
        <v>blocked drain plumber Constantia</v>
      </c>
      <c r="G13" s="14" t="str">
        <f t="shared" si="21"/>
        <v>geyser repair Constantia</v>
      </c>
      <c r="H13" s="14" t="str">
        <f t="shared" si="21"/>
        <v>leak detection plumber Constantia</v>
      </c>
      <c r="I13" s="14" t="str">
        <f t="shared" si="21"/>
        <v>electrician Constantia</v>
      </c>
      <c r="J13" s="14" t="str">
        <f t="shared" si="21"/>
        <v>aircon repairs Constantia</v>
      </c>
      <c r="K13" s="14" t="str">
        <f t="shared" si="21"/>
        <v>refrigeration services Constantia</v>
      </c>
      <c r="L13" s="15" t="str">
        <f>IFERROR(__xludf.DUMMYFUNCTION("""COMPUTED_VALUE"""),"aircon repairs Hout Bay")</f>
        <v>aircon repairs Hout Bay</v>
      </c>
      <c r="M13" s="16"/>
      <c r="N13" s="14" t="str">
        <f t="shared" ref="N13:W13" si="22">IF($A13="","",IF(OR(ISNUMBER(SEARCH(LOWER($A13),LOWER(N$1))),AND(RIGHT(LOWER($A13),1)="s",ISNUMBER(SEARCH(LEFT(LOWER($A13),LEN($A13)-1),LOWER(N$1))))),N$1,$A13&amp;" "&amp;N$1))</f>
        <v>Constantia plumbers</v>
      </c>
      <c r="O13" s="14" t="str">
        <f t="shared" si="22"/>
        <v>Constantia plumber</v>
      </c>
      <c r="P13" s="14" t="str">
        <f t="shared" si="22"/>
        <v>Constantia plumbing company</v>
      </c>
      <c r="Q13" s="14" t="str">
        <f t="shared" si="22"/>
        <v>Constantia emergency plumber</v>
      </c>
      <c r="R13" s="14" t="str">
        <f t="shared" si="22"/>
        <v>Constantia blocked drain plumber</v>
      </c>
      <c r="S13" s="14" t="str">
        <f t="shared" si="22"/>
        <v>Constantia geyser repair</v>
      </c>
      <c r="T13" s="14" t="str">
        <f t="shared" si="22"/>
        <v>Constantia leak detection plumber</v>
      </c>
      <c r="U13" s="14" t="str">
        <f t="shared" si="22"/>
        <v>Constantia electrician</v>
      </c>
      <c r="V13" s="14" t="str">
        <f t="shared" si="22"/>
        <v>Constantia aircon repairs</v>
      </c>
      <c r="W13" s="14" t="str">
        <f t="shared" si="22"/>
        <v>Constantia refrigeration services</v>
      </c>
      <c r="X13" s="17" t="str">
        <f>IFERROR(__xludf.DUMMYFUNCTION("""COMPUTED_VALUE"""),"Bellville aircon repairs")</f>
        <v>Bellville aircon repairs</v>
      </c>
      <c r="Y13" s="8"/>
      <c r="Z13" s="8"/>
    </row>
    <row r="14">
      <c r="A14" s="13" t="s">
        <v>850</v>
      </c>
      <c r="B14" s="14" t="str">
        <f t="shared" ref="B14:K14" si="23">IF($A14="","",IF(OR(ISNUMBER(SEARCH(LOWER($A14),LOWER(B$1))),AND(RIGHT(LOWER($A14),1)="s",ISNUMBER(SEARCH(LEFT(LOWER($A14),LEN($A14)-1),LOWER(B$1))))),B$1,B$1&amp;" "&amp;$A14))</f>
        <v>plumbers Tokai</v>
      </c>
      <c r="C14" s="14" t="str">
        <f t="shared" si="23"/>
        <v>plumber Tokai</v>
      </c>
      <c r="D14" s="14" t="str">
        <f t="shared" si="23"/>
        <v>plumbing company Tokai</v>
      </c>
      <c r="E14" s="14" t="str">
        <f t="shared" si="23"/>
        <v>emergency plumber Tokai</v>
      </c>
      <c r="F14" s="14" t="str">
        <f t="shared" si="23"/>
        <v>blocked drain plumber Tokai</v>
      </c>
      <c r="G14" s="14" t="str">
        <f t="shared" si="23"/>
        <v>geyser repair Tokai</v>
      </c>
      <c r="H14" s="14" t="str">
        <f t="shared" si="23"/>
        <v>leak detection plumber Tokai</v>
      </c>
      <c r="I14" s="14" t="str">
        <f t="shared" si="23"/>
        <v>electrician Tokai</v>
      </c>
      <c r="J14" s="14" t="str">
        <f t="shared" si="23"/>
        <v>aircon repairs Tokai</v>
      </c>
      <c r="K14" s="14" t="str">
        <f t="shared" si="23"/>
        <v>refrigeration services Tokai</v>
      </c>
      <c r="L14" s="15" t="str">
        <f>IFERROR(__xludf.DUMMYFUNCTION("""COMPUTED_VALUE"""),"aircon repairs Maitland")</f>
        <v>aircon repairs Maitland</v>
      </c>
      <c r="M14" s="16"/>
      <c r="N14" s="14" t="str">
        <f t="shared" ref="N14:W14" si="24">IF($A14="","",IF(OR(ISNUMBER(SEARCH(LOWER($A14),LOWER(N$1))),AND(RIGHT(LOWER($A14),1)="s",ISNUMBER(SEARCH(LEFT(LOWER($A14),LEN($A14)-1),LOWER(N$1))))),N$1,$A14&amp;" "&amp;N$1))</f>
        <v>Tokai plumbers</v>
      </c>
      <c r="O14" s="14" t="str">
        <f t="shared" si="24"/>
        <v>Tokai plumber</v>
      </c>
      <c r="P14" s="14" t="str">
        <f t="shared" si="24"/>
        <v>Tokai plumbing company</v>
      </c>
      <c r="Q14" s="14" t="str">
        <f t="shared" si="24"/>
        <v>Tokai emergency plumber</v>
      </c>
      <c r="R14" s="14" t="str">
        <f t="shared" si="24"/>
        <v>Tokai blocked drain plumber</v>
      </c>
      <c r="S14" s="14" t="str">
        <f t="shared" si="24"/>
        <v>Tokai geyser repair</v>
      </c>
      <c r="T14" s="14" t="str">
        <f t="shared" si="24"/>
        <v>Tokai leak detection plumber</v>
      </c>
      <c r="U14" s="14" t="str">
        <f t="shared" si="24"/>
        <v>Tokai electrician</v>
      </c>
      <c r="V14" s="14" t="str">
        <f t="shared" si="24"/>
        <v>Tokai aircon repairs</v>
      </c>
      <c r="W14" s="14" t="str">
        <f t="shared" si="24"/>
        <v>Tokai refrigeration services</v>
      </c>
      <c r="X14" s="17" t="str">
        <f>IFERROR(__xludf.DUMMYFUNCTION("""COMPUTED_VALUE"""),"Bellville blocked drain plumber")</f>
        <v>Bellville blocked drain plumber</v>
      </c>
      <c r="Y14" s="8"/>
      <c r="Z14" s="8"/>
    </row>
    <row r="15">
      <c r="A15" s="13" t="s">
        <v>924</v>
      </c>
      <c r="B15" s="14" t="str">
        <f t="shared" ref="B15:K15" si="25">IF($A15="","",IF(OR(ISNUMBER(SEARCH(LOWER($A15),LOWER(B$1))),AND(RIGHT(LOWER($A15),1)="s",ISNUMBER(SEARCH(LEFT(LOWER($A15),LEN($A15)-1),LOWER(B$1))))),B$1,B$1&amp;" "&amp;$A15))</f>
        <v>plumbers Rondebosch</v>
      </c>
      <c r="C15" s="14" t="str">
        <f t="shared" si="25"/>
        <v>plumber Rondebosch</v>
      </c>
      <c r="D15" s="14" t="str">
        <f t="shared" si="25"/>
        <v>plumbing company Rondebosch</v>
      </c>
      <c r="E15" s="14" t="str">
        <f t="shared" si="25"/>
        <v>emergency plumber Rondebosch</v>
      </c>
      <c r="F15" s="14" t="str">
        <f t="shared" si="25"/>
        <v>blocked drain plumber Rondebosch</v>
      </c>
      <c r="G15" s="14" t="str">
        <f t="shared" si="25"/>
        <v>geyser repair Rondebosch</v>
      </c>
      <c r="H15" s="14" t="str">
        <f t="shared" si="25"/>
        <v>leak detection plumber Rondebosch</v>
      </c>
      <c r="I15" s="14" t="str">
        <f t="shared" si="25"/>
        <v>electrician Rondebosch</v>
      </c>
      <c r="J15" s="14" t="str">
        <f t="shared" si="25"/>
        <v>aircon repairs Rondebosch</v>
      </c>
      <c r="K15" s="14" t="str">
        <f t="shared" si="25"/>
        <v>refrigeration services Rondebosch</v>
      </c>
      <c r="L15" s="15" t="str">
        <f>IFERROR(__xludf.DUMMYFUNCTION("""COMPUTED_VALUE"""),"aircon repairs Milnerton")</f>
        <v>aircon repairs Milnerton</v>
      </c>
      <c r="M15" s="16"/>
      <c r="N15" s="14" t="str">
        <f t="shared" ref="N15:W15" si="26">IF($A15="","",IF(OR(ISNUMBER(SEARCH(LOWER($A15),LOWER(N$1))),AND(RIGHT(LOWER($A15),1)="s",ISNUMBER(SEARCH(LEFT(LOWER($A15),LEN($A15)-1),LOWER(N$1))))),N$1,$A15&amp;" "&amp;N$1))</f>
        <v>Rondebosch plumbers</v>
      </c>
      <c r="O15" s="14" t="str">
        <f t="shared" si="26"/>
        <v>Rondebosch plumber</v>
      </c>
      <c r="P15" s="14" t="str">
        <f t="shared" si="26"/>
        <v>Rondebosch plumbing company</v>
      </c>
      <c r="Q15" s="14" t="str">
        <f t="shared" si="26"/>
        <v>Rondebosch emergency plumber</v>
      </c>
      <c r="R15" s="14" t="str">
        <f t="shared" si="26"/>
        <v>Rondebosch blocked drain plumber</v>
      </c>
      <c r="S15" s="14" t="str">
        <f t="shared" si="26"/>
        <v>Rondebosch geyser repair</v>
      </c>
      <c r="T15" s="14" t="str">
        <f t="shared" si="26"/>
        <v>Rondebosch leak detection plumber</v>
      </c>
      <c r="U15" s="14" t="str">
        <f t="shared" si="26"/>
        <v>Rondebosch electrician</v>
      </c>
      <c r="V15" s="14" t="str">
        <f t="shared" si="26"/>
        <v>Rondebosch aircon repairs</v>
      </c>
      <c r="W15" s="14" t="str">
        <f t="shared" si="26"/>
        <v>Rondebosch refrigeration services</v>
      </c>
      <c r="X15" s="17" t="str">
        <f>IFERROR(__xludf.DUMMYFUNCTION("""COMPUTED_VALUE"""),"Bellville electrician")</f>
        <v>Bellville electrician</v>
      </c>
      <c r="Y15" s="8"/>
      <c r="Z15" s="8"/>
    </row>
    <row r="16">
      <c r="A16" s="13" t="s">
        <v>959</v>
      </c>
      <c r="B16" s="14" t="str">
        <f t="shared" ref="B16:K16" si="27">IF($A16="","",IF(OR(ISNUMBER(SEARCH(LOWER($A16),LOWER(B$1))),AND(RIGHT(LOWER($A16),1)="s",ISNUMBER(SEARCH(LEFT(LOWER($A16),LEN($A16)-1),LOWER(B$1))))),B$1,B$1&amp;" "&amp;$A16))</f>
        <v>plumbers Newlands</v>
      </c>
      <c r="C16" s="14" t="str">
        <f t="shared" si="27"/>
        <v>plumber Newlands</v>
      </c>
      <c r="D16" s="14" t="str">
        <f t="shared" si="27"/>
        <v>plumbing company Newlands</v>
      </c>
      <c r="E16" s="14" t="str">
        <f t="shared" si="27"/>
        <v>emergency plumber Newlands</v>
      </c>
      <c r="F16" s="14" t="str">
        <f t="shared" si="27"/>
        <v>blocked drain plumber Newlands</v>
      </c>
      <c r="G16" s="14" t="str">
        <f t="shared" si="27"/>
        <v>geyser repair Newlands</v>
      </c>
      <c r="H16" s="14" t="str">
        <f t="shared" si="27"/>
        <v>leak detection plumber Newlands</v>
      </c>
      <c r="I16" s="14" t="str">
        <f t="shared" si="27"/>
        <v>electrician Newlands</v>
      </c>
      <c r="J16" s="14" t="str">
        <f t="shared" si="27"/>
        <v>aircon repairs Newlands</v>
      </c>
      <c r="K16" s="14" t="str">
        <f t="shared" si="27"/>
        <v>refrigeration services Newlands</v>
      </c>
      <c r="L16" s="15" t="str">
        <f>IFERROR(__xludf.DUMMYFUNCTION("""COMPUTED_VALUE"""),"aircon repairs Muizenberg")</f>
        <v>aircon repairs Muizenberg</v>
      </c>
      <c r="M16" s="16"/>
      <c r="N16" s="14" t="str">
        <f t="shared" ref="N16:W16" si="28">IF($A16="","",IF(OR(ISNUMBER(SEARCH(LOWER($A16),LOWER(N$1))),AND(RIGHT(LOWER($A16),1)="s",ISNUMBER(SEARCH(LEFT(LOWER($A16),LEN($A16)-1),LOWER(N$1))))),N$1,$A16&amp;" "&amp;N$1))</f>
        <v>Newlands plumbers</v>
      </c>
      <c r="O16" s="14" t="str">
        <f t="shared" si="28"/>
        <v>Newlands plumber</v>
      </c>
      <c r="P16" s="14" t="str">
        <f t="shared" si="28"/>
        <v>Newlands plumbing company</v>
      </c>
      <c r="Q16" s="14" t="str">
        <f t="shared" si="28"/>
        <v>Newlands emergency plumber</v>
      </c>
      <c r="R16" s="14" t="str">
        <f t="shared" si="28"/>
        <v>Newlands blocked drain plumber</v>
      </c>
      <c r="S16" s="14" t="str">
        <f t="shared" si="28"/>
        <v>Newlands geyser repair</v>
      </c>
      <c r="T16" s="14" t="str">
        <f t="shared" si="28"/>
        <v>Newlands leak detection plumber</v>
      </c>
      <c r="U16" s="14" t="str">
        <f t="shared" si="28"/>
        <v>Newlands electrician</v>
      </c>
      <c r="V16" s="14" t="str">
        <f t="shared" si="28"/>
        <v>Newlands aircon repairs</v>
      </c>
      <c r="W16" s="14" t="str">
        <f t="shared" si="28"/>
        <v>Newlands refrigeration services</v>
      </c>
      <c r="X16" s="17" t="str">
        <f>IFERROR(__xludf.DUMMYFUNCTION("""COMPUTED_VALUE"""),"Bellville emergency plumber")</f>
        <v>Bellville emergency plumber</v>
      </c>
      <c r="Y16" s="8"/>
      <c r="Z16" s="8"/>
    </row>
    <row r="17">
      <c r="A17" s="13" t="s">
        <v>1011</v>
      </c>
      <c r="B17" s="14" t="str">
        <f t="shared" ref="B17:K17" si="29">IF($A17="","",IF(OR(ISNUMBER(SEARCH(LOWER($A17),LOWER(B$1))),AND(RIGHT(LOWER($A17),1)="s",ISNUMBER(SEARCH(LEFT(LOWER($A17),LEN($A17)-1),LOWER(B$1))))),B$1,B$1&amp;" "&amp;$A17))</f>
        <v>plumbers Sea Point</v>
      </c>
      <c r="C17" s="14" t="str">
        <f t="shared" si="29"/>
        <v>plumber Sea Point</v>
      </c>
      <c r="D17" s="14" t="str">
        <f t="shared" si="29"/>
        <v>plumbing company Sea Point</v>
      </c>
      <c r="E17" s="14" t="str">
        <f t="shared" si="29"/>
        <v>emergency plumber Sea Point</v>
      </c>
      <c r="F17" s="14" t="str">
        <f t="shared" si="29"/>
        <v>blocked drain plumber Sea Point</v>
      </c>
      <c r="G17" s="14" t="str">
        <f t="shared" si="29"/>
        <v>geyser repair Sea Point</v>
      </c>
      <c r="H17" s="14" t="str">
        <f t="shared" si="29"/>
        <v>leak detection plumber Sea Point</v>
      </c>
      <c r="I17" s="14" t="str">
        <f t="shared" si="29"/>
        <v>electrician Sea Point</v>
      </c>
      <c r="J17" s="14" t="str">
        <f t="shared" si="29"/>
        <v>aircon repairs Sea Point</v>
      </c>
      <c r="K17" s="14" t="str">
        <f t="shared" si="29"/>
        <v>refrigeration services Sea Point</v>
      </c>
      <c r="L17" s="15" t="str">
        <f>IFERROR(__xludf.DUMMYFUNCTION("""COMPUTED_VALUE"""),"aircon repairs Newlands")</f>
        <v>aircon repairs Newlands</v>
      </c>
      <c r="M17" s="16"/>
      <c r="N17" s="14" t="str">
        <f t="shared" ref="N17:W17" si="30">IF($A17="","",IF(OR(ISNUMBER(SEARCH(LOWER($A17),LOWER(N$1))),AND(RIGHT(LOWER($A17),1)="s",ISNUMBER(SEARCH(LEFT(LOWER($A17),LEN($A17)-1),LOWER(N$1))))),N$1,$A17&amp;" "&amp;N$1))</f>
        <v>Sea Point plumbers</v>
      </c>
      <c r="O17" s="14" t="str">
        <f t="shared" si="30"/>
        <v>Sea Point plumber</v>
      </c>
      <c r="P17" s="14" t="str">
        <f t="shared" si="30"/>
        <v>Sea Point plumbing company</v>
      </c>
      <c r="Q17" s="14" t="str">
        <f t="shared" si="30"/>
        <v>Sea Point emergency plumber</v>
      </c>
      <c r="R17" s="14" t="str">
        <f t="shared" si="30"/>
        <v>Sea Point blocked drain plumber</v>
      </c>
      <c r="S17" s="14" t="str">
        <f t="shared" si="30"/>
        <v>Sea Point geyser repair</v>
      </c>
      <c r="T17" s="14" t="str">
        <f t="shared" si="30"/>
        <v>Sea Point leak detection plumber</v>
      </c>
      <c r="U17" s="14" t="str">
        <f t="shared" si="30"/>
        <v>Sea Point electrician</v>
      </c>
      <c r="V17" s="14" t="str">
        <f t="shared" si="30"/>
        <v>Sea Point aircon repairs</v>
      </c>
      <c r="W17" s="14" t="str">
        <f t="shared" si="30"/>
        <v>Sea Point refrigeration services</v>
      </c>
      <c r="X17" s="17" t="str">
        <f>IFERROR(__xludf.DUMMYFUNCTION("""COMPUTED_VALUE"""),"Bellville geyser repair")</f>
        <v>Bellville geyser repair</v>
      </c>
      <c r="Y17" s="8"/>
      <c r="Z17" s="8"/>
    </row>
    <row r="18">
      <c r="A18" s="13" t="s">
        <v>1074</v>
      </c>
      <c r="B18" s="14" t="str">
        <f t="shared" ref="B18:K18" si="31">IF($A18="","",IF(OR(ISNUMBER(SEARCH(LOWER($A18),LOWER(B$1))),AND(RIGHT(LOWER($A18),1)="s",ISNUMBER(SEARCH(LEFT(LOWER($A18),LEN($A18)-1),LOWER(B$1))))),B$1,B$1&amp;" "&amp;$A18))</f>
        <v>plumbers Green Point</v>
      </c>
      <c r="C18" s="14" t="str">
        <f t="shared" si="31"/>
        <v>plumber Green Point</v>
      </c>
      <c r="D18" s="14" t="str">
        <f t="shared" si="31"/>
        <v>plumbing company Green Point</v>
      </c>
      <c r="E18" s="14" t="str">
        <f t="shared" si="31"/>
        <v>emergency plumber Green Point</v>
      </c>
      <c r="F18" s="14" t="str">
        <f t="shared" si="31"/>
        <v>blocked drain plumber Green Point</v>
      </c>
      <c r="G18" s="14" t="str">
        <f t="shared" si="31"/>
        <v>geyser repair Green Point</v>
      </c>
      <c r="H18" s="14" t="str">
        <f t="shared" si="31"/>
        <v>leak detection plumber Green Point</v>
      </c>
      <c r="I18" s="14" t="str">
        <f t="shared" si="31"/>
        <v>electrician Green Point</v>
      </c>
      <c r="J18" s="14" t="str">
        <f t="shared" si="31"/>
        <v>aircon repairs Green Point</v>
      </c>
      <c r="K18" s="14" t="str">
        <f t="shared" si="31"/>
        <v>refrigeration services Green Point</v>
      </c>
      <c r="L18" s="15" t="str">
        <f>IFERROR(__xludf.DUMMYFUNCTION("""COMPUTED_VALUE"""),"aircon repairs Northern Suburbs")</f>
        <v>aircon repairs Northern Suburbs</v>
      </c>
      <c r="M18" s="16"/>
      <c r="N18" s="14" t="str">
        <f t="shared" ref="N18:W18" si="32">IF($A18="","",IF(OR(ISNUMBER(SEARCH(LOWER($A18),LOWER(N$1))),AND(RIGHT(LOWER($A18),1)="s",ISNUMBER(SEARCH(LEFT(LOWER($A18),LEN($A18)-1),LOWER(N$1))))),N$1,$A18&amp;" "&amp;N$1))</f>
        <v>Green Point plumbers</v>
      </c>
      <c r="O18" s="14" t="str">
        <f t="shared" si="32"/>
        <v>Green Point plumber</v>
      </c>
      <c r="P18" s="14" t="str">
        <f t="shared" si="32"/>
        <v>Green Point plumbing company</v>
      </c>
      <c r="Q18" s="14" t="str">
        <f t="shared" si="32"/>
        <v>Green Point emergency plumber</v>
      </c>
      <c r="R18" s="14" t="str">
        <f t="shared" si="32"/>
        <v>Green Point blocked drain plumber</v>
      </c>
      <c r="S18" s="14" t="str">
        <f t="shared" si="32"/>
        <v>Green Point geyser repair</v>
      </c>
      <c r="T18" s="14" t="str">
        <f t="shared" si="32"/>
        <v>Green Point leak detection plumber</v>
      </c>
      <c r="U18" s="14" t="str">
        <f t="shared" si="32"/>
        <v>Green Point electrician</v>
      </c>
      <c r="V18" s="14" t="str">
        <f t="shared" si="32"/>
        <v>Green Point aircon repairs</v>
      </c>
      <c r="W18" s="14" t="str">
        <f t="shared" si="32"/>
        <v>Green Point refrigeration services</v>
      </c>
      <c r="X18" s="17" t="str">
        <f>IFERROR(__xludf.DUMMYFUNCTION("""COMPUTED_VALUE"""),"Bellville leak detection plumber")</f>
        <v>Bellville leak detection plumber</v>
      </c>
      <c r="Y18" s="8"/>
      <c r="Z18" s="8"/>
    </row>
    <row r="19">
      <c r="A19" s="13" t="s">
        <v>1111</v>
      </c>
      <c r="B19" s="14" t="str">
        <f t="shared" ref="B19:K19" si="33">IF($A19="","",IF(OR(ISNUMBER(SEARCH(LOWER($A19),LOWER(B$1))),AND(RIGHT(LOWER($A19),1)="s",ISNUMBER(SEARCH(LEFT(LOWER($A19),LEN($A19)-1),LOWER(B$1))))),B$1,B$1&amp;" "&amp;$A19))</f>
        <v>plumbers Camps Bay</v>
      </c>
      <c r="C19" s="14" t="str">
        <f t="shared" si="33"/>
        <v>plumber Camps Bay</v>
      </c>
      <c r="D19" s="14" t="str">
        <f t="shared" si="33"/>
        <v>plumbing company Camps Bay</v>
      </c>
      <c r="E19" s="14" t="str">
        <f t="shared" si="33"/>
        <v>emergency plumber Camps Bay</v>
      </c>
      <c r="F19" s="14" t="str">
        <f t="shared" si="33"/>
        <v>blocked drain plumber Camps Bay</v>
      </c>
      <c r="G19" s="14" t="str">
        <f t="shared" si="33"/>
        <v>geyser repair Camps Bay</v>
      </c>
      <c r="H19" s="14" t="str">
        <f t="shared" si="33"/>
        <v>leak detection plumber Camps Bay</v>
      </c>
      <c r="I19" s="14" t="str">
        <f t="shared" si="33"/>
        <v>electrician Camps Bay</v>
      </c>
      <c r="J19" s="14" t="str">
        <f t="shared" si="33"/>
        <v>aircon repairs Camps Bay</v>
      </c>
      <c r="K19" s="14" t="str">
        <f t="shared" si="33"/>
        <v>refrigeration services Camps Bay</v>
      </c>
      <c r="L19" s="15" t="str">
        <f>IFERROR(__xludf.DUMMYFUNCTION("""COMPUTED_VALUE"""),"aircon repairs Observatory")</f>
        <v>aircon repairs Observatory</v>
      </c>
      <c r="M19" s="16"/>
      <c r="N19" s="14" t="str">
        <f t="shared" ref="N19:W19" si="34">IF($A19="","",IF(OR(ISNUMBER(SEARCH(LOWER($A19),LOWER(N$1))),AND(RIGHT(LOWER($A19),1)="s",ISNUMBER(SEARCH(LEFT(LOWER($A19),LEN($A19)-1),LOWER(N$1))))),N$1,$A19&amp;" "&amp;N$1))</f>
        <v>Camps Bay plumbers</v>
      </c>
      <c r="O19" s="14" t="str">
        <f t="shared" si="34"/>
        <v>Camps Bay plumber</v>
      </c>
      <c r="P19" s="14" t="str">
        <f t="shared" si="34"/>
        <v>Camps Bay plumbing company</v>
      </c>
      <c r="Q19" s="14" t="str">
        <f t="shared" si="34"/>
        <v>Camps Bay emergency plumber</v>
      </c>
      <c r="R19" s="14" t="str">
        <f t="shared" si="34"/>
        <v>Camps Bay blocked drain plumber</v>
      </c>
      <c r="S19" s="14" t="str">
        <f t="shared" si="34"/>
        <v>Camps Bay geyser repair</v>
      </c>
      <c r="T19" s="14" t="str">
        <f t="shared" si="34"/>
        <v>Camps Bay leak detection plumber</v>
      </c>
      <c r="U19" s="14" t="str">
        <f t="shared" si="34"/>
        <v>Camps Bay electrician</v>
      </c>
      <c r="V19" s="14" t="str">
        <f t="shared" si="34"/>
        <v>Camps Bay aircon repairs</v>
      </c>
      <c r="W19" s="14" t="str">
        <f t="shared" si="34"/>
        <v>Camps Bay refrigeration services</v>
      </c>
      <c r="X19" s="17" t="str">
        <f>IFERROR(__xludf.DUMMYFUNCTION("""COMPUTED_VALUE"""),"Bellville plumber")</f>
        <v>Bellville plumber</v>
      </c>
      <c r="Y19" s="8"/>
      <c r="Z19" s="8"/>
    </row>
    <row r="20">
      <c r="A20" s="13" t="s">
        <v>1156</v>
      </c>
      <c r="B20" s="14" t="str">
        <f t="shared" ref="B20:K20" si="35">IF($A20="","",IF(OR(ISNUMBER(SEARCH(LOWER($A20),LOWER(B$1))),AND(RIGHT(LOWER($A20),1)="s",ISNUMBER(SEARCH(LEFT(LOWER($A20),LEN($A20)-1),LOWER(B$1))))),B$1,B$1&amp;" "&amp;$A20))</f>
        <v>plumbers Hout Bay</v>
      </c>
      <c r="C20" s="14" t="str">
        <f t="shared" si="35"/>
        <v>plumber Hout Bay</v>
      </c>
      <c r="D20" s="14" t="str">
        <f t="shared" si="35"/>
        <v>plumbing company Hout Bay</v>
      </c>
      <c r="E20" s="14" t="str">
        <f t="shared" si="35"/>
        <v>emergency plumber Hout Bay</v>
      </c>
      <c r="F20" s="14" t="str">
        <f t="shared" si="35"/>
        <v>blocked drain plumber Hout Bay</v>
      </c>
      <c r="G20" s="14" t="str">
        <f t="shared" si="35"/>
        <v>geyser repair Hout Bay</v>
      </c>
      <c r="H20" s="14" t="str">
        <f t="shared" si="35"/>
        <v>leak detection plumber Hout Bay</v>
      </c>
      <c r="I20" s="14" t="str">
        <f t="shared" si="35"/>
        <v>electrician Hout Bay</v>
      </c>
      <c r="J20" s="14" t="str">
        <f t="shared" si="35"/>
        <v>aircon repairs Hout Bay</v>
      </c>
      <c r="K20" s="14" t="str">
        <f t="shared" si="35"/>
        <v>refrigeration services Hout Bay</v>
      </c>
      <c r="L20" s="15" t="str">
        <f>IFERROR(__xludf.DUMMYFUNCTION("""COMPUTED_VALUE"""),"aircon repairs Plumstead")</f>
        <v>aircon repairs Plumstead</v>
      </c>
      <c r="M20" s="16"/>
      <c r="N20" s="14" t="str">
        <f t="shared" ref="N20:W20" si="36">IF($A20="","",IF(OR(ISNUMBER(SEARCH(LOWER($A20),LOWER(N$1))),AND(RIGHT(LOWER($A20),1)="s",ISNUMBER(SEARCH(LEFT(LOWER($A20),LEN($A20)-1),LOWER(N$1))))),N$1,$A20&amp;" "&amp;N$1))</f>
        <v>Hout Bay plumbers</v>
      </c>
      <c r="O20" s="14" t="str">
        <f t="shared" si="36"/>
        <v>Hout Bay plumber</v>
      </c>
      <c r="P20" s="14" t="str">
        <f t="shared" si="36"/>
        <v>Hout Bay plumbing company</v>
      </c>
      <c r="Q20" s="14" t="str">
        <f t="shared" si="36"/>
        <v>Hout Bay emergency plumber</v>
      </c>
      <c r="R20" s="14" t="str">
        <f t="shared" si="36"/>
        <v>Hout Bay blocked drain plumber</v>
      </c>
      <c r="S20" s="14" t="str">
        <f t="shared" si="36"/>
        <v>Hout Bay geyser repair</v>
      </c>
      <c r="T20" s="14" t="str">
        <f t="shared" si="36"/>
        <v>Hout Bay leak detection plumber</v>
      </c>
      <c r="U20" s="14" t="str">
        <f t="shared" si="36"/>
        <v>Hout Bay electrician</v>
      </c>
      <c r="V20" s="14" t="str">
        <f t="shared" si="36"/>
        <v>Hout Bay aircon repairs</v>
      </c>
      <c r="W20" s="14" t="str">
        <f t="shared" si="36"/>
        <v>Hout Bay refrigeration services</v>
      </c>
      <c r="X20" s="17" t="str">
        <f>IFERROR(__xludf.DUMMYFUNCTION("""COMPUTED_VALUE"""),"Bellville plumbers")</f>
        <v>Bellville plumbers</v>
      </c>
      <c r="Y20" s="8"/>
      <c r="Z20" s="8"/>
    </row>
    <row r="21">
      <c r="A21" s="13" t="s">
        <v>1174</v>
      </c>
      <c r="B21" s="14" t="str">
        <f t="shared" ref="B21:K21" si="37">IF($A21="","",IF(OR(ISNUMBER(SEARCH(LOWER($A21),LOWER(B$1))),AND(RIGHT(LOWER($A21),1)="s",ISNUMBER(SEARCH(LEFT(LOWER($A21),LEN($A21)-1),LOWER(B$1))))),B$1,B$1&amp;" "&amp;$A21))</f>
        <v>plumbers Woodstock</v>
      </c>
      <c r="C21" s="14" t="str">
        <f t="shared" si="37"/>
        <v>plumber Woodstock</v>
      </c>
      <c r="D21" s="14" t="str">
        <f t="shared" si="37"/>
        <v>plumbing company Woodstock</v>
      </c>
      <c r="E21" s="14" t="str">
        <f t="shared" si="37"/>
        <v>emergency plumber Woodstock</v>
      </c>
      <c r="F21" s="14" t="str">
        <f t="shared" si="37"/>
        <v>blocked drain plumber Woodstock</v>
      </c>
      <c r="G21" s="14" t="str">
        <f t="shared" si="37"/>
        <v>geyser repair Woodstock</v>
      </c>
      <c r="H21" s="14" t="str">
        <f t="shared" si="37"/>
        <v>leak detection plumber Woodstock</v>
      </c>
      <c r="I21" s="14" t="str">
        <f t="shared" si="37"/>
        <v>electrician Woodstock</v>
      </c>
      <c r="J21" s="14" t="str">
        <f t="shared" si="37"/>
        <v>aircon repairs Woodstock</v>
      </c>
      <c r="K21" s="14" t="str">
        <f t="shared" si="37"/>
        <v>refrigeration services Woodstock</v>
      </c>
      <c r="L21" s="15" t="str">
        <f>IFERROR(__xludf.DUMMYFUNCTION("""COMPUTED_VALUE"""),"aircon repairs Rondebosch")</f>
        <v>aircon repairs Rondebosch</v>
      </c>
      <c r="M21" s="16"/>
      <c r="N21" s="14" t="str">
        <f t="shared" ref="N21:W21" si="38">IF($A21="","",IF(OR(ISNUMBER(SEARCH(LOWER($A21),LOWER(N$1))),AND(RIGHT(LOWER($A21),1)="s",ISNUMBER(SEARCH(LEFT(LOWER($A21),LEN($A21)-1),LOWER(N$1))))),N$1,$A21&amp;" "&amp;N$1))</f>
        <v>Woodstock plumbers</v>
      </c>
      <c r="O21" s="14" t="str">
        <f t="shared" si="38"/>
        <v>Woodstock plumber</v>
      </c>
      <c r="P21" s="14" t="str">
        <f t="shared" si="38"/>
        <v>Woodstock plumbing company</v>
      </c>
      <c r="Q21" s="14" t="str">
        <f t="shared" si="38"/>
        <v>Woodstock emergency plumber</v>
      </c>
      <c r="R21" s="14" t="str">
        <f t="shared" si="38"/>
        <v>Woodstock blocked drain plumber</v>
      </c>
      <c r="S21" s="14" t="str">
        <f t="shared" si="38"/>
        <v>Woodstock geyser repair</v>
      </c>
      <c r="T21" s="14" t="str">
        <f t="shared" si="38"/>
        <v>Woodstock leak detection plumber</v>
      </c>
      <c r="U21" s="14" t="str">
        <f t="shared" si="38"/>
        <v>Woodstock electrician</v>
      </c>
      <c r="V21" s="14" t="str">
        <f t="shared" si="38"/>
        <v>Woodstock aircon repairs</v>
      </c>
      <c r="W21" s="14" t="str">
        <f t="shared" si="38"/>
        <v>Woodstock refrigeration services</v>
      </c>
      <c r="X21" s="17" t="str">
        <f>IFERROR(__xludf.DUMMYFUNCTION("""COMPUTED_VALUE"""),"Bellville plumbing company")</f>
        <v>Bellville plumbing company</v>
      </c>
      <c r="Y21" s="8"/>
      <c r="Z21" s="8"/>
    </row>
    <row r="22">
      <c r="A22" s="13" t="s">
        <v>1188</v>
      </c>
      <c r="B22" s="14" t="str">
        <f t="shared" ref="B22:K22" si="39">IF($A22="","",IF(OR(ISNUMBER(SEARCH(LOWER($A22),LOWER(B$1))),AND(RIGHT(LOWER($A22),1)="s",ISNUMBER(SEARCH(LEFT(LOWER($A22),LEN($A22)-1),LOWER(B$1))))),B$1,B$1&amp;" "&amp;$A22))</f>
        <v>plumbers Observatory</v>
      </c>
      <c r="C22" s="14" t="str">
        <f t="shared" si="39"/>
        <v>plumber Observatory</v>
      </c>
      <c r="D22" s="14" t="str">
        <f t="shared" si="39"/>
        <v>plumbing company Observatory</v>
      </c>
      <c r="E22" s="14" t="str">
        <f t="shared" si="39"/>
        <v>emergency plumber Observatory</v>
      </c>
      <c r="F22" s="14" t="str">
        <f t="shared" si="39"/>
        <v>blocked drain plumber Observatory</v>
      </c>
      <c r="G22" s="14" t="str">
        <f t="shared" si="39"/>
        <v>geyser repair Observatory</v>
      </c>
      <c r="H22" s="14" t="str">
        <f t="shared" si="39"/>
        <v>leak detection plumber Observatory</v>
      </c>
      <c r="I22" s="14" t="str">
        <f t="shared" si="39"/>
        <v>electrician Observatory</v>
      </c>
      <c r="J22" s="14" t="str">
        <f t="shared" si="39"/>
        <v>aircon repairs Observatory</v>
      </c>
      <c r="K22" s="14" t="str">
        <f t="shared" si="39"/>
        <v>refrigeration services Observatory</v>
      </c>
      <c r="L22" s="15" t="str">
        <f>IFERROR(__xludf.DUMMYFUNCTION("""COMPUTED_VALUE"""),"aircon repairs Sea Point")</f>
        <v>aircon repairs Sea Point</v>
      </c>
      <c r="M22" s="16"/>
      <c r="N22" s="14" t="str">
        <f t="shared" ref="N22:W22" si="40">IF($A22="","",IF(OR(ISNUMBER(SEARCH(LOWER($A22),LOWER(N$1))),AND(RIGHT(LOWER($A22),1)="s",ISNUMBER(SEARCH(LEFT(LOWER($A22),LEN($A22)-1),LOWER(N$1))))),N$1,$A22&amp;" "&amp;N$1))</f>
        <v>Observatory plumbers</v>
      </c>
      <c r="O22" s="14" t="str">
        <f t="shared" si="40"/>
        <v>Observatory plumber</v>
      </c>
      <c r="P22" s="14" t="str">
        <f t="shared" si="40"/>
        <v>Observatory plumbing company</v>
      </c>
      <c r="Q22" s="14" t="str">
        <f t="shared" si="40"/>
        <v>Observatory emergency plumber</v>
      </c>
      <c r="R22" s="14" t="str">
        <f t="shared" si="40"/>
        <v>Observatory blocked drain plumber</v>
      </c>
      <c r="S22" s="14" t="str">
        <f t="shared" si="40"/>
        <v>Observatory geyser repair</v>
      </c>
      <c r="T22" s="14" t="str">
        <f t="shared" si="40"/>
        <v>Observatory leak detection plumber</v>
      </c>
      <c r="U22" s="14" t="str">
        <f t="shared" si="40"/>
        <v>Observatory electrician</v>
      </c>
      <c r="V22" s="14" t="str">
        <f t="shared" si="40"/>
        <v>Observatory aircon repairs</v>
      </c>
      <c r="W22" s="14" t="str">
        <f t="shared" si="40"/>
        <v>Observatory refrigeration services</v>
      </c>
      <c r="X22" s="17" t="str">
        <f>IFERROR(__xludf.DUMMYFUNCTION("""COMPUTED_VALUE"""),"Bellville refrigeration services")</f>
        <v>Bellville refrigeration services</v>
      </c>
      <c r="Y22" s="8"/>
      <c r="Z22" s="8"/>
    </row>
    <row r="23">
      <c r="A23" s="13" t="s">
        <v>1196</v>
      </c>
      <c r="B23" s="14" t="str">
        <f t="shared" ref="B23:K23" si="41">IF($A23="","",IF(OR(ISNUMBER(SEARCH(LOWER($A23),LOWER(B$1))),AND(RIGHT(LOWER($A23),1)="s",ISNUMBER(SEARCH(LEFT(LOWER($A23),LEN($A23)-1),LOWER(B$1))))),B$1,B$1&amp;" "&amp;$A23))</f>
        <v>plumbers Maitland</v>
      </c>
      <c r="C23" s="14" t="str">
        <f t="shared" si="41"/>
        <v>plumber Maitland</v>
      </c>
      <c r="D23" s="14" t="str">
        <f t="shared" si="41"/>
        <v>plumbing company Maitland</v>
      </c>
      <c r="E23" s="14" t="str">
        <f t="shared" si="41"/>
        <v>emergency plumber Maitland</v>
      </c>
      <c r="F23" s="14" t="str">
        <f t="shared" si="41"/>
        <v>blocked drain plumber Maitland</v>
      </c>
      <c r="G23" s="14" t="str">
        <f t="shared" si="41"/>
        <v>geyser repair Maitland</v>
      </c>
      <c r="H23" s="14" t="str">
        <f t="shared" si="41"/>
        <v>leak detection plumber Maitland</v>
      </c>
      <c r="I23" s="14" t="str">
        <f t="shared" si="41"/>
        <v>electrician Maitland</v>
      </c>
      <c r="J23" s="14" t="str">
        <f t="shared" si="41"/>
        <v>aircon repairs Maitland</v>
      </c>
      <c r="K23" s="14" t="str">
        <f t="shared" si="41"/>
        <v>refrigeration services Maitland</v>
      </c>
      <c r="L23" s="15" t="str">
        <f>IFERROR(__xludf.DUMMYFUNCTION("""COMPUTED_VALUE"""),"aircon repairs South Africa")</f>
        <v>aircon repairs South Africa</v>
      </c>
      <c r="M23" s="16"/>
      <c r="N23" s="14" t="str">
        <f t="shared" ref="N23:W23" si="42">IF($A23="","",IF(OR(ISNUMBER(SEARCH(LOWER($A23),LOWER(N$1))),AND(RIGHT(LOWER($A23),1)="s",ISNUMBER(SEARCH(LEFT(LOWER($A23),LEN($A23)-1),LOWER(N$1))))),N$1,$A23&amp;" "&amp;N$1))</f>
        <v>Maitland plumbers</v>
      </c>
      <c r="O23" s="14" t="str">
        <f t="shared" si="42"/>
        <v>Maitland plumber</v>
      </c>
      <c r="P23" s="14" t="str">
        <f t="shared" si="42"/>
        <v>Maitland plumbing company</v>
      </c>
      <c r="Q23" s="14" t="str">
        <f t="shared" si="42"/>
        <v>Maitland emergency plumber</v>
      </c>
      <c r="R23" s="14" t="str">
        <f t="shared" si="42"/>
        <v>Maitland blocked drain plumber</v>
      </c>
      <c r="S23" s="14" t="str">
        <f t="shared" si="42"/>
        <v>Maitland geyser repair</v>
      </c>
      <c r="T23" s="14" t="str">
        <f t="shared" si="42"/>
        <v>Maitland leak detection plumber</v>
      </c>
      <c r="U23" s="14" t="str">
        <f t="shared" si="42"/>
        <v>Maitland electrician</v>
      </c>
      <c r="V23" s="14" t="str">
        <f t="shared" si="42"/>
        <v>Maitland aircon repairs</v>
      </c>
      <c r="W23" s="14" t="str">
        <f t="shared" si="42"/>
        <v>Maitland refrigeration services</v>
      </c>
      <c r="X23" s="17" t="str">
        <f>IFERROR(__xludf.DUMMYFUNCTION("""COMPUTED_VALUE"""),"Camps Bay aircon repairs")</f>
        <v>Camps Bay aircon repairs</v>
      </c>
      <c r="Y23" s="8"/>
      <c r="Z23" s="8"/>
    </row>
    <row r="24">
      <c r="A24" s="13" t="s">
        <v>1197</v>
      </c>
      <c r="B24" s="14" t="str">
        <f t="shared" ref="B24:K24" si="43">IF($A24="","",IF(OR(ISNUMBER(SEARCH(LOWER($A24),LOWER(B$1))),AND(RIGHT(LOWER($A24),1)="s",ISNUMBER(SEARCH(LEFT(LOWER($A24),LEN($A24)-1),LOWER(B$1))))),B$1,B$1&amp;" "&amp;$A24))</f>
        <v>plumbers Table View</v>
      </c>
      <c r="C24" s="14" t="str">
        <f t="shared" si="43"/>
        <v>plumber Table View</v>
      </c>
      <c r="D24" s="14" t="str">
        <f t="shared" si="43"/>
        <v>plumbing company Table View</v>
      </c>
      <c r="E24" s="14" t="str">
        <f t="shared" si="43"/>
        <v>emergency plumber Table View</v>
      </c>
      <c r="F24" s="14" t="str">
        <f t="shared" si="43"/>
        <v>blocked drain plumber Table View</v>
      </c>
      <c r="G24" s="14" t="str">
        <f t="shared" si="43"/>
        <v>geyser repair Table View</v>
      </c>
      <c r="H24" s="14" t="str">
        <f t="shared" si="43"/>
        <v>leak detection plumber Table View</v>
      </c>
      <c r="I24" s="14" t="str">
        <f t="shared" si="43"/>
        <v>electrician Table View</v>
      </c>
      <c r="J24" s="14" t="str">
        <f t="shared" si="43"/>
        <v>aircon repairs Table View</v>
      </c>
      <c r="K24" s="14" t="str">
        <f t="shared" si="43"/>
        <v>refrigeration services Table View</v>
      </c>
      <c r="L24" s="15" t="str">
        <f>IFERROR(__xludf.DUMMYFUNCTION("""COMPUTED_VALUE"""),"aircon repairs Southern Suburbs")</f>
        <v>aircon repairs Southern Suburbs</v>
      </c>
      <c r="M24" s="16"/>
      <c r="N24" s="14" t="str">
        <f t="shared" ref="N24:W24" si="44">IF($A24="","",IF(OR(ISNUMBER(SEARCH(LOWER($A24),LOWER(N$1))),AND(RIGHT(LOWER($A24),1)="s",ISNUMBER(SEARCH(LEFT(LOWER($A24),LEN($A24)-1),LOWER(N$1))))),N$1,$A24&amp;" "&amp;N$1))</f>
        <v>Table View plumbers</v>
      </c>
      <c r="O24" s="14" t="str">
        <f t="shared" si="44"/>
        <v>Table View plumber</v>
      </c>
      <c r="P24" s="14" t="str">
        <f t="shared" si="44"/>
        <v>Table View plumbing company</v>
      </c>
      <c r="Q24" s="14" t="str">
        <f t="shared" si="44"/>
        <v>Table View emergency plumber</v>
      </c>
      <c r="R24" s="14" t="str">
        <f t="shared" si="44"/>
        <v>Table View blocked drain plumber</v>
      </c>
      <c r="S24" s="14" t="str">
        <f t="shared" si="44"/>
        <v>Table View geyser repair</v>
      </c>
      <c r="T24" s="14" t="str">
        <f t="shared" si="44"/>
        <v>Table View leak detection plumber</v>
      </c>
      <c r="U24" s="14" t="str">
        <f t="shared" si="44"/>
        <v>Table View electrician</v>
      </c>
      <c r="V24" s="14" t="str">
        <f t="shared" si="44"/>
        <v>Table View aircon repairs</v>
      </c>
      <c r="W24" s="14" t="str">
        <f t="shared" si="44"/>
        <v>Table View refrigeration services</v>
      </c>
      <c r="X24" s="17" t="str">
        <f>IFERROR(__xludf.DUMMYFUNCTION("""COMPUTED_VALUE"""),"Camps Bay blocked drain plumber")</f>
        <v>Camps Bay blocked drain plumber</v>
      </c>
      <c r="Y24" s="8"/>
      <c r="Z24" s="8"/>
    </row>
    <row r="25">
      <c r="A25" s="13" t="s">
        <v>1198</v>
      </c>
      <c r="B25" s="14" t="str">
        <f t="shared" ref="B25:K25" si="45">IF($A25="","",IF(OR(ISNUMBER(SEARCH(LOWER($A25),LOWER(B$1))),AND(RIGHT(LOWER($A25),1)="s",ISNUMBER(SEARCH(LEFT(LOWER($A25),LEN($A25)-1),LOWER(B$1))))),B$1,B$1&amp;" "&amp;$A25))</f>
        <v>plumbers Milnerton</v>
      </c>
      <c r="C25" s="14" t="str">
        <f t="shared" si="45"/>
        <v>plumber Milnerton</v>
      </c>
      <c r="D25" s="14" t="str">
        <f t="shared" si="45"/>
        <v>plumbing company Milnerton</v>
      </c>
      <c r="E25" s="14" t="str">
        <f t="shared" si="45"/>
        <v>emergency plumber Milnerton</v>
      </c>
      <c r="F25" s="14" t="str">
        <f t="shared" si="45"/>
        <v>blocked drain plumber Milnerton</v>
      </c>
      <c r="G25" s="14" t="str">
        <f t="shared" si="45"/>
        <v>geyser repair Milnerton</v>
      </c>
      <c r="H25" s="14" t="str">
        <f t="shared" si="45"/>
        <v>leak detection plumber Milnerton</v>
      </c>
      <c r="I25" s="14" t="str">
        <f t="shared" si="45"/>
        <v>electrician Milnerton</v>
      </c>
      <c r="J25" s="14" t="str">
        <f t="shared" si="45"/>
        <v>aircon repairs Milnerton</v>
      </c>
      <c r="K25" s="14" t="str">
        <f t="shared" si="45"/>
        <v>refrigeration services Milnerton</v>
      </c>
      <c r="L25" s="15" t="str">
        <f>IFERROR(__xludf.DUMMYFUNCTION("""COMPUTED_VALUE"""),"aircon repairs Table View")</f>
        <v>aircon repairs Table View</v>
      </c>
      <c r="M25" s="16"/>
      <c r="N25" s="14" t="str">
        <f t="shared" ref="N25:W25" si="46">IF($A25="","",IF(OR(ISNUMBER(SEARCH(LOWER($A25),LOWER(N$1))),AND(RIGHT(LOWER($A25),1)="s",ISNUMBER(SEARCH(LEFT(LOWER($A25),LEN($A25)-1),LOWER(N$1))))),N$1,$A25&amp;" "&amp;N$1))</f>
        <v>Milnerton plumbers</v>
      </c>
      <c r="O25" s="14" t="str">
        <f t="shared" si="46"/>
        <v>Milnerton plumber</v>
      </c>
      <c r="P25" s="14" t="str">
        <f t="shared" si="46"/>
        <v>Milnerton plumbing company</v>
      </c>
      <c r="Q25" s="14" t="str">
        <f t="shared" si="46"/>
        <v>Milnerton emergency plumber</v>
      </c>
      <c r="R25" s="14" t="str">
        <f t="shared" si="46"/>
        <v>Milnerton blocked drain plumber</v>
      </c>
      <c r="S25" s="14" t="str">
        <f t="shared" si="46"/>
        <v>Milnerton geyser repair</v>
      </c>
      <c r="T25" s="14" t="str">
        <f t="shared" si="46"/>
        <v>Milnerton leak detection plumber</v>
      </c>
      <c r="U25" s="14" t="str">
        <f t="shared" si="46"/>
        <v>Milnerton electrician</v>
      </c>
      <c r="V25" s="14" t="str">
        <f t="shared" si="46"/>
        <v>Milnerton aircon repairs</v>
      </c>
      <c r="W25" s="14" t="str">
        <f t="shared" si="46"/>
        <v>Milnerton refrigeration services</v>
      </c>
      <c r="X25" s="17" t="str">
        <f>IFERROR(__xludf.DUMMYFUNCTION("""COMPUTED_VALUE"""),"Camps Bay electrician")</f>
        <v>Camps Bay electrician</v>
      </c>
      <c r="Y25" s="8"/>
      <c r="Z25" s="8"/>
    </row>
    <row r="26">
      <c r="A26" s="13" t="s">
        <v>1199</v>
      </c>
      <c r="B26" s="14" t="str">
        <f t="shared" ref="B26:K26" si="47">IF($A26="","",IF(OR(ISNUMBER(SEARCH(LOWER($A26),LOWER(B$1))),AND(RIGHT(LOWER($A26),1)="s",ISNUMBER(SEARCH(LEFT(LOWER($A26),LEN($A26)-1),LOWER(B$1))))),B$1,B$1&amp;" "&amp;$A26))</f>
        <v>plumbers Muizenberg</v>
      </c>
      <c r="C26" s="14" t="str">
        <f t="shared" si="47"/>
        <v>plumber Muizenberg</v>
      </c>
      <c r="D26" s="14" t="str">
        <f t="shared" si="47"/>
        <v>plumbing company Muizenberg</v>
      </c>
      <c r="E26" s="14" t="str">
        <f t="shared" si="47"/>
        <v>emergency plumber Muizenberg</v>
      </c>
      <c r="F26" s="14" t="str">
        <f t="shared" si="47"/>
        <v>blocked drain plumber Muizenberg</v>
      </c>
      <c r="G26" s="14" t="str">
        <f t="shared" si="47"/>
        <v>geyser repair Muizenberg</v>
      </c>
      <c r="H26" s="14" t="str">
        <f t="shared" si="47"/>
        <v>leak detection plumber Muizenberg</v>
      </c>
      <c r="I26" s="14" t="str">
        <f t="shared" si="47"/>
        <v>electrician Muizenberg</v>
      </c>
      <c r="J26" s="14" t="str">
        <f t="shared" si="47"/>
        <v>aircon repairs Muizenberg</v>
      </c>
      <c r="K26" s="14" t="str">
        <f t="shared" si="47"/>
        <v>refrigeration services Muizenberg</v>
      </c>
      <c r="L26" s="15" t="str">
        <f>IFERROR(__xludf.DUMMYFUNCTION("""COMPUTED_VALUE"""),"aircon repairs Tokai")</f>
        <v>aircon repairs Tokai</v>
      </c>
      <c r="M26" s="16"/>
      <c r="N26" s="14" t="str">
        <f t="shared" ref="N26:W26" si="48">IF($A26="","",IF(OR(ISNUMBER(SEARCH(LOWER($A26),LOWER(N$1))),AND(RIGHT(LOWER($A26),1)="s",ISNUMBER(SEARCH(LEFT(LOWER($A26),LEN($A26)-1),LOWER(N$1))))),N$1,$A26&amp;" "&amp;N$1))</f>
        <v>Muizenberg plumbers</v>
      </c>
      <c r="O26" s="14" t="str">
        <f t="shared" si="48"/>
        <v>Muizenberg plumber</v>
      </c>
      <c r="P26" s="14" t="str">
        <f t="shared" si="48"/>
        <v>Muizenberg plumbing company</v>
      </c>
      <c r="Q26" s="14" t="str">
        <f t="shared" si="48"/>
        <v>Muizenberg emergency plumber</v>
      </c>
      <c r="R26" s="14" t="str">
        <f t="shared" si="48"/>
        <v>Muizenberg blocked drain plumber</v>
      </c>
      <c r="S26" s="14" t="str">
        <f t="shared" si="48"/>
        <v>Muizenberg geyser repair</v>
      </c>
      <c r="T26" s="14" t="str">
        <f t="shared" si="48"/>
        <v>Muizenberg leak detection plumber</v>
      </c>
      <c r="U26" s="14" t="str">
        <f t="shared" si="48"/>
        <v>Muizenberg electrician</v>
      </c>
      <c r="V26" s="14" t="str">
        <f t="shared" si="48"/>
        <v>Muizenberg aircon repairs</v>
      </c>
      <c r="W26" s="14" t="str">
        <f t="shared" si="48"/>
        <v>Muizenberg refrigeration services</v>
      </c>
      <c r="X26" s="17" t="str">
        <f>IFERROR(__xludf.DUMMYFUNCTION("""COMPUTED_VALUE"""),"Camps Bay emergency plumber")</f>
        <v>Camps Bay emergency plumber</v>
      </c>
      <c r="Y26" s="8"/>
      <c r="Z26" s="8"/>
    </row>
    <row r="27">
      <c r="A27" s="13" t="s">
        <v>1200</v>
      </c>
      <c r="B27" s="14" t="str">
        <f t="shared" ref="B27:K27" si="49">IF($A27="","",IF(OR(ISNUMBER(SEARCH(LOWER($A27),LOWER(B$1))),AND(RIGHT(LOWER($A27),1)="s",ISNUMBER(SEARCH(LEFT(LOWER($A27),LEN($A27)-1),LOWER(B$1))))),B$1,B$1&amp;" "&amp;$A27))</f>
        <v>plumbers Fish Hoek</v>
      </c>
      <c r="C27" s="14" t="str">
        <f t="shared" si="49"/>
        <v>plumber Fish Hoek</v>
      </c>
      <c r="D27" s="14" t="str">
        <f t="shared" si="49"/>
        <v>plumbing company Fish Hoek</v>
      </c>
      <c r="E27" s="14" t="str">
        <f t="shared" si="49"/>
        <v>emergency plumber Fish Hoek</v>
      </c>
      <c r="F27" s="14" t="str">
        <f t="shared" si="49"/>
        <v>blocked drain plumber Fish Hoek</v>
      </c>
      <c r="G27" s="14" t="str">
        <f t="shared" si="49"/>
        <v>geyser repair Fish Hoek</v>
      </c>
      <c r="H27" s="14" t="str">
        <f t="shared" si="49"/>
        <v>leak detection plumber Fish Hoek</v>
      </c>
      <c r="I27" s="14" t="str">
        <f t="shared" si="49"/>
        <v>electrician Fish Hoek</v>
      </c>
      <c r="J27" s="14" t="str">
        <f t="shared" si="49"/>
        <v>aircon repairs Fish Hoek</v>
      </c>
      <c r="K27" s="14" t="str">
        <f t="shared" si="49"/>
        <v>refrigeration services Fish Hoek</v>
      </c>
      <c r="L27" s="15" t="str">
        <f>IFERROR(__xludf.DUMMYFUNCTION("""COMPUTED_VALUE"""),"aircon repairs Woodstock")</f>
        <v>aircon repairs Woodstock</v>
      </c>
      <c r="M27" s="16"/>
      <c r="N27" s="14" t="str">
        <f t="shared" ref="N27:W27" si="50">IF($A27="","",IF(OR(ISNUMBER(SEARCH(LOWER($A27),LOWER(N$1))),AND(RIGHT(LOWER($A27),1)="s",ISNUMBER(SEARCH(LEFT(LOWER($A27),LEN($A27)-1),LOWER(N$1))))),N$1,$A27&amp;" "&amp;N$1))</f>
        <v>Fish Hoek plumbers</v>
      </c>
      <c r="O27" s="14" t="str">
        <f t="shared" si="50"/>
        <v>Fish Hoek plumber</v>
      </c>
      <c r="P27" s="14" t="str">
        <f t="shared" si="50"/>
        <v>Fish Hoek plumbing company</v>
      </c>
      <c r="Q27" s="14" t="str">
        <f t="shared" si="50"/>
        <v>Fish Hoek emergency plumber</v>
      </c>
      <c r="R27" s="14" t="str">
        <f t="shared" si="50"/>
        <v>Fish Hoek blocked drain plumber</v>
      </c>
      <c r="S27" s="14" t="str">
        <f t="shared" si="50"/>
        <v>Fish Hoek geyser repair</v>
      </c>
      <c r="T27" s="14" t="str">
        <f t="shared" si="50"/>
        <v>Fish Hoek leak detection plumber</v>
      </c>
      <c r="U27" s="14" t="str">
        <f t="shared" si="50"/>
        <v>Fish Hoek electrician</v>
      </c>
      <c r="V27" s="14" t="str">
        <f t="shared" si="50"/>
        <v>Fish Hoek aircon repairs</v>
      </c>
      <c r="W27" s="14" t="str">
        <f t="shared" si="50"/>
        <v>Fish Hoek refrigeration services</v>
      </c>
      <c r="X27" s="17" t="str">
        <f>IFERROR(__xludf.DUMMYFUNCTION("""COMPUTED_VALUE"""),"Camps Bay geyser repair")</f>
        <v>Camps Bay geyser repair</v>
      </c>
      <c r="Y27" s="8"/>
      <c r="Z27" s="8"/>
    </row>
    <row r="28">
      <c r="A28" s="13" t="s">
        <v>1201</v>
      </c>
      <c r="B28" s="14" t="str">
        <f t="shared" ref="B28:K28" si="51">IF($A28="","",IF(OR(ISNUMBER(SEARCH(LOWER($A28),LOWER(B$1))),AND(RIGHT(LOWER($A28),1)="s",ISNUMBER(SEARCH(LEFT(LOWER($A28),LEN($A28)-1),LOWER(B$1))))),B$1,B$1&amp;" "&amp;$A28))</f>
        <v>plumbers South Africa</v>
      </c>
      <c r="C28" s="14" t="str">
        <f t="shared" si="51"/>
        <v>plumber South Africa</v>
      </c>
      <c r="D28" s="14" t="str">
        <f t="shared" si="51"/>
        <v>plumbing company South Africa</v>
      </c>
      <c r="E28" s="14" t="str">
        <f t="shared" si="51"/>
        <v>emergency plumber South Africa</v>
      </c>
      <c r="F28" s="14" t="str">
        <f t="shared" si="51"/>
        <v>blocked drain plumber South Africa</v>
      </c>
      <c r="G28" s="14" t="str">
        <f t="shared" si="51"/>
        <v>geyser repair South Africa</v>
      </c>
      <c r="H28" s="14" t="str">
        <f t="shared" si="51"/>
        <v>leak detection plumber South Africa</v>
      </c>
      <c r="I28" s="14" t="str">
        <f t="shared" si="51"/>
        <v>electrician South Africa</v>
      </c>
      <c r="J28" s="14" t="str">
        <f t="shared" si="51"/>
        <v>aircon repairs South Africa</v>
      </c>
      <c r="K28" s="14" t="str">
        <f t="shared" si="51"/>
        <v>refrigeration services South Africa</v>
      </c>
      <c r="L28" s="15" t="str">
        <f>IFERROR(__xludf.DUMMYFUNCTION("""COMPUTED_VALUE"""),"aircon repairs Wynberg")</f>
        <v>aircon repairs Wynberg</v>
      </c>
      <c r="M28" s="16"/>
      <c r="N28" s="14" t="str">
        <f t="shared" ref="N28:W28" si="52">IF($A28="","",IF(OR(ISNUMBER(SEARCH(LOWER($A28),LOWER(N$1))),AND(RIGHT(LOWER($A28),1)="s",ISNUMBER(SEARCH(LEFT(LOWER($A28),LEN($A28)-1),LOWER(N$1))))),N$1,$A28&amp;" "&amp;N$1))</f>
        <v>South Africa plumbers</v>
      </c>
      <c r="O28" s="14" t="str">
        <f t="shared" si="52"/>
        <v>South Africa plumber</v>
      </c>
      <c r="P28" s="14" t="str">
        <f t="shared" si="52"/>
        <v>South Africa plumbing company</v>
      </c>
      <c r="Q28" s="14" t="str">
        <f t="shared" si="52"/>
        <v>South Africa emergency plumber</v>
      </c>
      <c r="R28" s="14" t="str">
        <f t="shared" si="52"/>
        <v>South Africa blocked drain plumber</v>
      </c>
      <c r="S28" s="14" t="str">
        <f t="shared" si="52"/>
        <v>South Africa geyser repair</v>
      </c>
      <c r="T28" s="14" t="str">
        <f t="shared" si="52"/>
        <v>South Africa leak detection plumber</v>
      </c>
      <c r="U28" s="14" t="str">
        <f t="shared" si="52"/>
        <v>South Africa electrician</v>
      </c>
      <c r="V28" s="14" t="str">
        <f t="shared" si="52"/>
        <v>South Africa aircon repairs</v>
      </c>
      <c r="W28" s="14" t="str">
        <f t="shared" si="52"/>
        <v>South Africa refrigeration services</v>
      </c>
      <c r="X28" s="17" t="str">
        <f>IFERROR(__xludf.DUMMYFUNCTION("""COMPUTED_VALUE"""),"Camps Bay leak detection plumber")</f>
        <v>Camps Bay leak detection plumber</v>
      </c>
      <c r="Y28" s="8"/>
      <c r="Z28" s="8"/>
    </row>
    <row r="29">
      <c r="A29" s="13"/>
      <c r="B29" s="14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14" t="str">
        <f t="shared" si="53"/>
        <v/>
      </c>
      <c r="D29" s="14" t="str">
        <f t="shared" si="53"/>
        <v/>
      </c>
      <c r="E29" s="14" t="str">
        <f t="shared" si="53"/>
        <v/>
      </c>
      <c r="F29" s="14" t="str">
        <f t="shared" si="53"/>
        <v/>
      </c>
      <c r="G29" s="14" t="str">
        <f t="shared" si="53"/>
        <v/>
      </c>
      <c r="H29" s="14" t="str">
        <f t="shared" si="53"/>
        <v/>
      </c>
      <c r="I29" s="14" t="str">
        <f t="shared" si="53"/>
        <v/>
      </c>
      <c r="J29" s="14" t="str">
        <f t="shared" si="53"/>
        <v/>
      </c>
      <c r="K29" s="14" t="str">
        <f t="shared" si="53"/>
        <v/>
      </c>
      <c r="L29" s="15" t="str">
        <f>IFERROR(__xludf.DUMMYFUNCTION("""COMPUTED_VALUE"""),"blocked drain plumber Atlantic Seaboard")</f>
        <v>blocked drain plumber Atlantic Seaboard</v>
      </c>
      <c r="M29" s="16"/>
      <c r="N29" s="14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14" t="str">
        <f t="shared" si="54"/>
        <v/>
      </c>
      <c r="P29" s="14" t="str">
        <f t="shared" si="54"/>
        <v/>
      </c>
      <c r="Q29" s="14" t="str">
        <f t="shared" si="54"/>
        <v/>
      </c>
      <c r="R29" s="14" t="str">
        <f t="shared" si="54"/>
        <v/>
      </c>
      <c r="S29" s="14" t="str">
        <f t="shared" si="54"/>
        <v/>
      </c>
      <c r="T29" s="14" t="str">
        <f t="shared" si="54"/>
        <v/>
      </c>
      <c r="U29" s="14" t="str">
        <f t="shared" si="54"/>
        <v/>
      </c>
      <c r="V29" s="14" t="str">
        <f t="shared" si="54"/>
        <v/>
      </c>
      <c r="W29" s="14" t="str">
        <f t="shared" si="54"/>
        <v/>
      </c>
      <c r="X29" s="17" t="str">
        <f>IFERROR(__xludf.DUMMYFUNCTION("""COMPUTED_VALUE"""),"Camps Bay plumber")</f>
        <v>Camps Bay plumber</v>
      </c>
      <c r="Y29" s="8"/>
      <c r="Z29" s="8"/>
    </row>
    <row r="30">
      <c r="A30" s="13"/>
      <c r="B30" s="14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14" t="str">
        <f t="shared" si="55"/>
        <v/>
      </c>
      <c r="D30" s="14" t="str">
        <f t="shared" si="55"/>
        <v/>
      </c>
      <c r="E30" s="14" t="str">
        <f t="shared" si="55"/>
        <v/>
      </c>
      <c r="F30" s="14" t="str">
        <f t="shared" si="55"/>
        <v/>
      </c>
      <c r="G30" s="14" t="str">
        <f t="shared" si="55"/>
        <v/>
      </c>
      <c r="H30" s="14" t="str">
        <f t="shared" si="55"/>
        <v/>
      </c>
      <c r="I30" s="14" t="str">
        <f t="shared" si="55"/>
        <v/>
      </c>
      <c r="J30" s="14" t="str">
        <f t="shared" si="55"/>
        <v/>
      </c>
      <c r="K30" s="14" t="str">
        <f t="shared" si="55"/>
        <v/>
      </c>
      <c r="L30" s="15" t="str">
        <f>IFERROR(__xludf.DUMMYFUNCTION("""COMPUTED_VALUE"""),"blocked drain plumber Bellville")</f>
        <v>blocked drain plumber Bellville</v>
      </c>
      <c r="M30" s="16"/>
      <c r="N30" s="14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14" t="str">
        <f t="shared" si="56"/>
        <v/>
      </c>
      <c r="P30" s="14" t="str">
        <f t="shared" si="56"/>
        <v/>
      </c>
      <c r="Q30" s="14" t="str">
        <f t="shared" si="56"/>
        <v/>
      </c>
      <c r="R30" s="14" t="str">
        <f t="shared" si="56"/>
        <v/>
      </c>
      <c r="S30" s="14" t="str">
        <f t="shared" si="56"/>
        <v/>
      </c>
      <c r="T30" s="14" t="str">
        <f t="shared" si="56"/>
        <v/>
      </c>
      <c r="U30" s="14" t="str">
        <f t="shared" si="56"/>
        <v/>
      </c>
      <c r="V30" s="14" t="str">
        <f t="shared" si="56"/>
        <v/>
      </c>
      <c r="W30" s="14" t="str">
        <f t="shared" si="56"/>
        <v/>
      </c>
      <c r="X30" s="17" t="str">
        <f>IFERROR(__xludf.DUMMYFUNCTION("""COMPUTED_VALUE"""),"Camps Bay plumbers")</f>
        <v>Camps Bay plumbers</v>
      </c>
      <c r="Y30" s="8"/>
      <c r="Z30" s="8"/>
    </row>
    <row r="31">
      <c r="A31" s="13"/>
      <c r="B31" s="14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14" t="str">
        <f t="shared" si="57"/>
        <v/>
      </c>
      <c r="D31" s="14" t="str">
        <f t="shared" si="57"/>
        <v/>
      </c>
      <c r="E31" s="14" t="str">
        <f t="shared" si="57"/>
        <v/>
      </c>
      <c r="F31" s="14" t="str">
        <f t="shared" si="57"/>
        <v/>
      </c>
      <c r="G31" s="14" t="str">
        <f t="shared" si="57"/>
        <v/>
      </c>
      <c r="H31" s="14" t="str">
        <f t="shared" si="57"/>
        <v/>
      </c>
      <c r="I31" s="14" t="str">
        <f t="shared" si="57"/>
        <v/>
      </c>
      <c r="J31" s="14" t="str">
        <f t="shared" si="57"/>
        <v/>
      </c>
      <c r="K31" s="14" t="str">
        <f t="shared" si="57"/>
        <v/>
      </c>
      <c r="L31" s="15" t="str">
        <f>IFERROR(__xludf.DUMMYFUNCTION("""COMPUTED_VALUE"""),"blocked drain plumber Camps Bay")</f>
        <v>blocked drain plumber Camps Bay</v>
      </c>
      <c r="M31" s="16"/>
      <c r="N31" s="14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14" t="str">
        <f t="shared" si="58"/>
        <v/>
      </c>
      <c r="P31" s="14" t="str">
        <f t="shared" si="58"/>
        <v/>
      </c>
      <c r="Q31" s="14" t="str">
        <f t="shared" si="58"/>
        <v/>
      </c>
      <c r="R31" s="14" t="str">
        <f t="shared" si="58"/>
        <v/>
      </c>
      <c r="S31" s="14" t="str">
        <f t="shared" si="58"/>
        <v/>
      </c>
      <c r="T31" s="14" t="str">
        <f t="shared" si="58"/>
        <v/>
      </c>
      <c r="U31" s="14" t="str">
        <f t="shared" si="58"/>
        <v/>
      </c>
      <c r="V31" s="14" t="str">
        <f t="shared" si="58"/>
        <v/>
      </c>
      <c r="W31" s="14" t="str">
        <f t="shared" si="58"/>
        <v/>
      </c>
      <c r="X31" s="17" t="str">
        <f>IFERROR(__xludf.DUMMYFUNCTION("""COMPUTED_VALUE"""),"Camps Bay plumbing company")</f>
        <v>Camps Bay plumbing company</v>
      </c>
      <c r="Y31" s="8"/>
      <c r="Z31" s="8"/>
    </row>
    <row r="32">
      <c r="A32" s="13"/>
      <c r="B32" s="14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14" t="str">
        <f t="shared" si="59"/>
        <v/>
      </c>
      <c r="D32" s="14" t="str">
        <f t="shared" si="59"/>
        <v/>
      </c>
      <c r="E32" s="14" t="str">
        <f t="shared" si="59"/>
        <v/>
      </c>
      <c r="F32" s="14" t="str">
        <f t="shared" si="59"/>
        <v/>
      </c>
      <c r="G32" s="14" t="str">
        <f t="shared" si="59"/>
        <v/>
      </c>
      <c r="H32" s="14" t="str">
        <f t="shared" si="59"/>
        <v/>
      </c>
      <c r="I32" s="14" t="str">
        <f t="shared" si="59"/>
        <v/>
      </c>
      <c r="J32" s="14" t="str">
        <f t="shared" si="59"/>
        <v/>
      </c>
      <c r="K32" s="14" t="str">
        <f t="shared" si="59"/>
        <v/>
      </c>
      <c r="L32" s="15" t="str">
        <f>IFERROR(__xludf.DUMMYFUNCTION("""COMPUTED_VALUE"""),"blocked drain plumber Cape Town")</f>
        <v>blocked drain plumber Cape Town</v>
      </c>
      <c r="M32" s="16"/>
      <c r="N32" s="14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14" t="str">
        <f t="shared" si="60"/>
        <v/>
      </c>
      <c r="P32" s="14" t="str">
        <f t="shared" si="60"/>
        <v/>
      </c>
      <c r="Q32" s="14" t="str">
        <f t="shared" si="60"/>
        <v/>
      </c>
      <c r="R32" s="14" t="str">
        <f t="shared" si="60"/>
        <v/>
      </c>
      <c r="S32" s="14" t="str">
        <f t="shared" si="60"/>
        <v/>
      </c>
      <c r="T32" s="14" t="str">
        <f t="shared" si="60"/>
        <v/>
      </c>
      <c r="U32" s="14" t="str">
        <f t="shared" si="60"/>
        <v/>
      </c>
      <c r="V32" s="14" t="str">
        <f t="shared" si="60"/>
        <v/>
      </c>
      <c r="W32" s="14" t="str">
        <f t="shared" si="60"/>
        <v/>
      </c>
      <c r="X32" s="17" t="str">
        <f>IFERROR(__xludf.DUMMYFUNCTION("""COMPUTED_VALUE"""),"Camps Bay refrigeration services")</f>
        <v>Camps Bay refrigeration services</v>
      </c>
      <c r="Y32" s="8"/>
      <c r="Z32" s="8"/>
    </row>
    <row r="33">
      <c r="A33" s="13"/>
      <c r="B33" s="14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14" t="str">
        <f t="shared" si="61"/>
        <v/>
      </c>
      <c r="D33" s="14" t="str">
        <f t="shared" si="61"/>
        <v/>
      </c>
      <c r="E33" s="14" t="str">
        <f t="shared" si="61"/>
        <v/>
      </c>
      <c r="F33" s="14" t="str">
        <f t="shared" si="61"/>
        <v/>
      </c>
      <c r="G33" s="14" t="str">
        <f t="shared" si="61"/>
        <v/>
      </c>
      <c r="H33" s="14" t="str">
        <f t="shared" si="61"/>
        <v/>
      </c>
      <c r="I33" s="14" t="str">
        <f t="shared" si="61"/>
        <v/>
      </c>
      <c r="J33" s="14" t="str">
        <f t="shared" si="61"/>
        <v/>
      </c>
      <c r="K33" s="14" t="str">
        <f t="shared" si="61"/>
        <v/>
      </c>
      <c r="L33" s="15" t="str">
        <f>IFERROR(__xludf.DUMMYFUNCTION("""COMPUTED_VALUE"""),"blocked drain plumber Cape Town CBD")</f>
        <v>blocked drain plumber Cape Town CBD</v>
      </c>
      <c r="M33" s="16"/>
      <c r="N33" s="14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14" t="str">
        <f t="shared" si="62"/>
        <v/>
      </c>
      <c r="P33" s="14" t="str">
        <f t="shared" si="62"/>
        <v/>
      </c>
      <c r="Q33" s="14" t="str">
        <f t="shared" si="62"/>
        <v/>
      </c>
      <c r="R33" s="14" t="str">
        <f t="shared" si="62"/>
        <v/>
      </c>
      <c r="S33" s="14" t="str">
        <f t="shared" si="62"/>
        <v/>
      </c>
      <c r="T33" s="14" t="str">
        <f t="shared" si="62"/>
        <v/>
      </c>
      <c r="U33" s="14" t="str">
        <f t="shared" si="62"/>
        <v/>
      </c>
      <c r="V33" s="14" t="str">
        <f t="shared" si="62"/>
        <v/>
      </c>
      <c r="W33" s="14" t="str">
        <f t="shared" si="62"/>
        <v/>
      </c>
      <c r="X33" s="17" t="str">
        <f>IFERROR(__xludf.DUMMYFUNCTION("""COMPUTED_VALUE"""),"Cape Town aircon repairs")</f>
        <v>Cape Town aircon repairs</v>
      </c>
      <c r="Y33" s="8"/>
      <c r="Z33" s="8"/>
    </row>
    <row r="34">
      <c r="A34" s="13"/>
      <c r="B34" s="14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14" t="str">
        <f t="shared" si="63"/>
        <v/>
      </c>
      <c r="D34" s="14" t="str">
        <f t="shared" si="63"/>
        <v/>
      </c>
      <c r="E34" s="14" t="str">
        <f t="shared" si="63"/>
        <v/>
      </c>
      <c r="F34" s="14" t="str">
        <f t="shared" si="63"/>
        <v/>
      </c>
      <c r="G34" s="14" t="str">
        <f t="shared" si="63"/>
        <v/>
      </c>
      <c r="H34" s="14" t="str">
        <f t="shared" si="63"/>
        <v/>
      </c>
      <c r="I34" s="14" t="str">
        <f t="shared" si="63"/>
        <v/>
      </c>
      <c r="J34" s="14" t="str">
        <f t="shared" si="63"/>
        <v/>
      </c>
      <c r="K34" s="14" t="str">
        <f t="shared" si="63"/>
        <v/>
      </c>
      <c r="L34" s="15" t="str">
        <f>IFERROR(__xludf.DUMMYFUNCTION("""COMPUTED_VALUE"""),"blocked drain plumber Claremont")</f>
        <v>blocked drain plumber Claremont</v>
      </c>
      <c r="M34" s="16"/>
      <c r="N34" s="14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14" t="str">
        <f t="shared" si="64"/>
        <v/>
      </c>
      <c r="P34" s="14" t="str">
        <f t="shared" si="64"/>
        <v/>
      </c>
      <c r="Q34" s="14" t="str">
        <f t="shared" si="64"/>
        <v/>
      </c>
      <c r="R34" s="14" t="str">
        <f t="shared" si="64"/>
        <v/>
      </c>
      <c r="S34" s="14" t="str">
        <f t="shared" si="64"/>
        <v/>
      </c>
      <c r="T34" s="14" t="str">
        <f t="shared" si="64"/>
        <v/>
      </c>
      <c r="U34" s="14" t="str">
        <f t="shared" si="64"/>
        <v/>
      </c>
      <c r="V34" s="14" t="str">
        <f t="shared" si="64"/>
        <v/>
      </c>
      <c r="W34" s="14" t="str">
        <f t="shared" si="64"/>
        <v/>
      </c>
      <c r="X34" s="17" t="str">
        <f>IFERROR(__xludf.DUMMYFUNCTION("""COMPUTED_VALUE"""),"Cape Town blocked drain plumber")</f>
        <v>Cape Town blocked drain plumber</v>
      </c>
      <c r="Y34" s="8"/>
      <c r="Z34" s="8"/>
    </row>
    <row r="35">
      <c r="A35" s="13"/>
      <c r="B35" s="14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14" t="str">
        <f t="shared" si="65"/>
        <v/>
      </c>
      <c r="D35" s="14" t="str">
        <f t="shared" si="65"/>
        <v/>
      </c>
      <c r="E35" s="14" t="str">
        <f t="shared" si="65"/>
        <v/>
      </c>
      <c r="F35" s="14" t="str">
        <f t="shared" si="65"/>
        <v/>
      </c>
      <c r="G35" s="14" t="str">
        <f t="shared" si="65"/>
        <v/>
      </c>
      <c r="H35" s="14" t="str">
        <f t="shared" si="65"/>
        <v/>
      </c>
      <c r="I35" s="14" t="str">
        <f t="shared" si="65"/>
        <v/>
      </c>
      <c r="J35" s="14" t="str">
        <f t="shared" si="65"/>
        <v/>
      </c>
      <c r="K35" s="14" t="str">
        <f t="shared" si="65"/>
        <v/>
      </c>
      <c r="L35" s="15" t="str">
        <f>IFERROR(__xludf.DUMMYFUNCTION("""COMPUTED_VALUE"""),"blocked drain plumber Constantia")</f>
        <v>blocked drain plumber Constantia</v>
      </c>
      <c r="M35" s="16"/>
      <c r="N35" s="14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14" t="str">
        <f t="shared" si="66"/>
        <v/>
      </c>
      <c r="P35" s="14" t="str">
        <f t="shared" si="66"/>
        <v/>
      </c>
      <c r="Q35" s="14" t="str">
        <f t="shared" si="66"/>
        <v/>
      </c>
      <c r="R35" s="14" t="str">
        <f t="shared" si="66"/>
        <v/>
      </c>
      <c r="S35" s="14" t="str">
        <f t="shared" si="66"/>
        <v/>
      </c>
      <c r="T35" s="14" t="str">
        <f t="shared" si="66"/>
        <v/>
      </c>
      <c r="U35" s="14" t="str">
        <f t="shared" si="66"/>
        <v/>
      </c>
      <c r="V35" s="14" t="str">
        <f t="shared" si="66"/>
        <v/>
      </c>
      <c r="W35" s="14" t="str">
        <f t="shared" si="66"/>
        <v/>
      </c>
      <c r="X35" s="17" t="str">
        <f>IFERROR(__xludf.DUMMYFUNCTION("""COMPUTED_VALUE"""),"Cape Town CBD aircon repairs")</f>
        <v>Cape Town CBD aircon repairs</v>
      </c>
      <c r="Y35" s="8"/>
      <c r="Z35" s="8"/>
    </row>
    <row r="36">
      <c r="A36" s="13"/>
      <c r="B36" s="14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14" t="str">
        <f t="shared" si="67"/>
        <v/>
      </c>
      <c r="D36" s="14" t="str">
        <f t="shared" si="67"/>
        <v/>
      </c>
      <c r="E36" s="14" t="str">
        <f t="shared" si="67"/>
        <v/>
      </c>
      <c r="F36" s="14" t="str">
        <f t="shared" si="67"/>
        <v/>
      </c>
      <c r="G36" s="14" t="str">
        <f t="shared" si="67"/>
        <v/>
      </c>
      <c r="H36" s="14" t="str">
        <f t="shared" si="67"/>
        <v/>
      </c>
      <c r="I36" s="14" t="str">
        <f t="shared" si="67"/>
        <v/>
      </c>
      <c r="J36" s="14" t="str">
        <f t="shared" si="67"/>
        <v/>
      </c>
      <c r="K36" s="14" t="str">
        <f t="shared" si="67"/>
        <v/>
      </c>
      <c r="L36" s="15" t="str">
        <f>IFERROR(__xludf.DUMMYFUNCTION("""COMPUTED_VALUE"""),"blocked drain plumber Durbanville")</f>
        <v>blocked drain plumber Durbanville</v>
      </c>
      <c r="M36" s="16"/>
      <c r="N36" s="14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14" t="str">
        <f t="shared" si="68"/>
        <v/>
      </c>
      <c r="P36" s="14" t="str">
        <f t="shared" si="68"/>
        <v/>
      </c>
      <c r="Q36" s="14" t="str">
        <f t="shared" si="68"/>
        <v/>
      </c>
      <c r="R36" s="14" t="str">
        <f t="shared" si="68"/>
        <v/>
      </c>
      <c r="S36" s="14" t="str">
        <f t="shared" si="68"/>
        <v/>
      </c>
      <c r="T36" s="14" t="str">
        <f t="shared" si="68"/>
        <v/>
      </c>
      <c r="U36" s="14" t="str">
        <f t="shared" si="68"/>
        <v/>
      </c>
      <c r="V36" s="14" t="str">
        <f t="shared" si="68"/>
        <v/>
      </c>
      <c r="W36" s="14" t="str">
        <f t="shared" si="68"/>
        <v/>
      </c>
      <c r="X36" s="17" t="str">
        <f>IFERROR(__xludf.DUMMYFUNCTION("""COMPUTED_VALUE"""),"Cape Town CBD blocked drain plumber")</f>
        <v>Cape Town CBD blocked drain plumber</v>
      </c>
      <c r="Y36" s="8"/>
      <c r="Z36" s="8"/>
    </row>
    <row r="37">
      <c r="A37" s="13"/>
      <c r="B37" s="14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14" t="str">
        <f t="shared" si="69"/>
        <v/>
      </c>
      <c r="D37" s="14" t="str">
        <f t="shared" si="69"/>
        <v/>
      </c>
      <c r="E37" s="14" t="str">
        <f t="shared" si="69"/>
        <v/>
      </c>
      <c r="F37" s="14" t="str">
        <f t="shared" si="69"/>
        <v/>
      </c>
      <c r="G37" s="14" t="str">
        <f t="shared" si="69"/>
        <v/>
      </c>
      <c r="H37" s="14" t="str">
        <f t="shared" si="69"/>
        <v/>
      </c>
      <c r="I37" s="14" t="str">
        <f t="shared" si="69"/>
        <v/>
      </c>
      <c r="J37" s="14" t="str">
        <f t="shared" si="69"/>
        <v/>
      </c>
      <c r="K37" s="14" t="str">
        <f t="shared" si="69"/>
        <v/>
      </c>
      <c r="L37" s="15" t="str">
        <f>IFERROR(__xludf.DUMMYFUNCTION("""COMPUTED_VALUE"""),"blocked drain plumber Fish Hoek")</f>
        <v>blocked drain plumber Fish Hoek</v>
      </c>
      <c r="M37" s="16"/>
      <c r="N37" s="14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14" t="str">
        <f t="shared" si="70"/>
        <v/>
      </c>
      <c r="P37" s="14" t="str">
        <f t="shared" si="70"/>
        <v/>
      </c>
      <c r="Q37" s="14" t="str">
        <f t="shared" si="70"/>
        <v/>
      </c>
      <c r="R37" s="14" t="str">
        <f t="shared" si="70"/>
        <v/>
      </c>
      <c r="S37" s="14" t="str">
        <f t="shared" si="70"/>
        <v/>
      </c>
      <c r="T37" s="14" t="str">
        <f t="shared" si="70"/>
        <v/>
      </c>
      <c r="U37" s="14" t="str">
        <f t="shared" si="70"/>
        <v/>
      </c>
      <c r="V37" s="14" t="str">
        <f t="shared" si="70"/>
        <v/>
      </c>
      <c r="W37" s="14" t="str">
        <f t="shared" si="70"/>
        <v/>
      </c>
      <c r="X37" s="17" t="str">
        <f>IFERROR(__xludf.DUMMYFUNCTION("""COMPUTED_VALUE"""),"Cape Town CBD electrician")</f>
        <v>Cape Town CBD electrician</v>
      </c>
      <c r="Y37" s="8"/>
      <c r="Z37" s="8"/>
    </row>
    <row r="38">
      <c r="A38" s="13"/>
      <c r="B38" s="14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14" t="str">
        <f t="shared" si="71"/>
        <v/>
      </c>
      <c r="D38" s="14" t="str">
        <f t="shared" si="71"/>
        <v/>
      </c>
      <c r="E38" s="14" t="str">
        <f t="shared" si="71"/>
        <v/>
      </c>
      <c r="F38" s="14" t="str">
        <f t="shared" si="71"/>
        <v/>
      </c>
      <c r="G38" s="14" t="str">
        <f t="shared" si="71"/>
        <v/>
      </c>
      <c r="H38" s="14" t="str">
        <f t="shared" si="71"/>
        <v/>
      </c>
      <c r="I38" s="14" t="str">
        <f t="shared" si="71"/>
        <v/>
      </c>
      <c r="J38" s="14" t="str">
        <f t="shared" si="71"/>
        <v/>
      </c>
      <c r="K38" s="14" t="str">
        <f t="shared" si="71"/>
        <v/>
      </c>
      <c r="L38" s="15" t="str">
        <f>IFERROR(__xludf.DUMMYFUNCTION("""COMPUTED_VALUE"""),"blocked drain plumber Green Point")</f>
        <v>blocked drain plumber Green Point</v>
      </c>
      <c r="M38" s="16"/>
      <c r="N38" s="14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14" t="str">
        <f t="shared" si="72"/>
        <v/>
      </c>
      <c r="P38" s="14" t="str">
        <f t="shared" si="72"/>
        <v/>
      </c>
      <c r="Q38" s="14" t="str">
        <f t="shared" si="72"/>
        <v/>
      </c>
      <c r="R38" s="14" t="str">
        <f t="shared" si="72"/>
        <v/>
      </c>
      <c r="S38" s="14" t="str">
        <f t="shared" si="72"/>
        <v/>
      </c>
      <c r="T38" s="14" t="str">
        <f t="shared" si="72"/>
        <v/>
      </c>
      <c r="U38" s="14" t="str">
        <f t="shared" si="72"/>
        <v/>
      </c>
      <c r="V38" s="14" t="str">
        <f t="shared" si="72"/>
        <v/>
      </c>
      <c r="W38" s="14" t="str">
        <f t="shared" si="72"/>
        <v/>
      </c>
      <c r="X38" s="17" t="str">
        <f>IFERROR(__xludf.DUMMYFUNCTION("""COMPUTED_VALUE"""),"Cape Town CBD emergency plumber")</f>
        <v>Cape Town CBD emergency plumber</v>
      </c>
      <c r="Y38" s="8"/>
      <c r="Z38" s="8"/>
    </row>
    <row r="39">
      <c r="A39" s="13"/>
      <c r="B39" s="14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14" t="str">
        <f t="shared" si="73"/>
        <v/>
      </c>
      <c r="D39" s="14" t="str">
        <f t="shared" si="73"/>
        <v/>
      </c>
      <c r="E39" s="14" t="str">
        <f t="shared" si="73"/>
        <v/>
      </c>
      <c r="F39" s="14" t="str">
        <f t="shared" si="73"/>
        <v/>
      </c>
      <c r="G39" s="14" t="str">
        <f t="shared" si="73"/>
        <v/>
      </c>
      <c r="H39" s="14" t="str">
        <f t="shared" si="73"/>
        <v/>
      </c>
      <c r="I39" s="14" t="str">
        <f t="shared" si="73"/>
        <v/>
      </c>
      <c r="J39" s="14" t="str">
        <f t="shared" si="73"/>
        <v/>
      </c>
      <c r="K39" s="14" t="str">
        <f t="shared" si="73"/>
        <v/>
      </c>
      <c r="L39" s="15" t="str">
        <f>IFERROR(__xludf.DUMMYFUNCTION("""COMPUTED_VALUE"""),"blocked drain plumber Hout Bay")</f>
        <v>blocked drain plumber Hout Bay</v>
      </c>
      <c r="M39" s="16"/>
      <c r="N39" s="14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14" t="str">
        <f t="shared" si="74"/>
        <v/>
      </c>
      <c r="P39" s="14" t="str">
        <f t="shared" si="74"/>
        <v/>
      </c>
      <c r="Q39" s="14" t="str">
        <f t="shared" si="74"/>
        <v/>
      </c>
      <c r="R39" s="14" t="str">
        <f t="shared" si="74"/>
        <v/>
      </c>
      <c r="S39" s="14" t="str">
        <f t="shared" si="74"/>
        <v/>
      </c>
      <c r="T39" s="14" t="str">
        <f t="shared" si="74"/>
        <v/>
      </c>
      <c r="U39" s="14" t="str">
        <f t="shared" si="74"/>
        <v/>
      </c>
      <c r="V39" s="14" t="str">
        <f t="shared" si="74"/>
        <v/>
      </c>
      <c r="W39" s="14" t="str">
        <f t="shared" si="74"/>
        <v/>
      </c>
      <c r="X39" s="17" t="str">
        <f>IFERROR(__xludf.DUMMYFUNCTION("""COMPUTED_VALUE"""),"Cape Town CBD geyser repair")</f>
        <v>Cape Town CBD geyser repair</v>
      </c>
      <c r="Y39" s="8"/>
      <c r="Z39" s="8"/>
    </row>
    <row r="40">
      <c r="A40" s="13"/>
      <c r="B40" s="14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14" t="str">
        <f t="shared" si="75"/>
        <v/>
      </c>
      <c r="D40" s="14" t="str">
        <f t="shared" si="75"/>
        <v/>
      </c>
      <c r="E40" s="14" t="str">
        <f t="shared" si="75"/>
        <v/>
      </c>
      <c r="F40" s="14" t="str">
        <f t="shared" si="75"/>
        <v/>
      </c>
      <c r="G40" s="14" t="str">
        <f t="shared" si="75"/>
        <v/>
      </c>
      <c r="H40" s="14" t="str">
        <f t="shared" si="75"/>
        <v/>
      </c>
      <c r="I40" s="14" t="str">
        <f t="shared" si="75"/>
        <v/>
      </c>
      <c r="J40" s="14" t="str">
        <f t="shared" si="75"/>
        <v/>
      </c>
      <c r="K40" s="14" t="str">
        <f t="shared" si="75"/>
        <v/>
      </c>
      <c r="L40" s="15" t="str">
        <f>IFERROR(__xludf.DUMMYFUNCTION("""COMPUTED_VALUE"""),"blocked drain plumber Maitland")</f>
        <v>blocked drain plumber Maitland</v>
      </c>
      <c r="M40" s="16"/>
      <c r="N40" s="14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14" t="str">
        <f t="shared" si="76"/>
        <v/>
      </c>
      <c r="P40" s="14" t="str">
        <f t="shared" si="76"/>
        <v/>
      </c>
      <c r="Q40" s="14" t="str">
        <f t="shared" si="76"/>
        <v/>
      </c>
      <c r="R40" s="14" t="str">
        <f t="shared" si="76"/>
        <v/>
      </c>
      <c r="S40" s="14" t="str">
        <f t="shared" si="76"/>
        <v/>
      </c>
      <c r="T40" s="14" t="str">
        <f t="shared" si="76"/>
        <v/>
      </c>
      <c r="U40" s="14" t="str">
        <f t="shared" si="76"/>
        <v/>
      </c>
      <c r="V40" s="14" t="str">
        <f t="shared" si="76"/>
        <v/>
      </c>
      <c r="W40" s="14" t="str">
        <f t="shared" si="76"/>
        <v/>
      </c>
      <c r="X40" s="17" t="str">
        <f>IFERROR(__xludf.DUMMYFUNCTION("""COMPUTED_VALUE"""),"Cape Town CBD leak detection plumber")</f>
        <v>Cape Town CBD leak detection plumber</v>
      </c>
      <c r="Y40" s="8"/>
      <c r="Z40" s="8"/>
    </row>
    <row r="41">
      <c r="A41" s="13"/>
      <c r="B41" s="14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14" t="str">
        <f t="shared" si="77"/>
        <v/>
      </c>
      <c r="D41" s="14" t="str">
        <f t="shared" si="77"/>
        <v/>
      </c>
      <c r="E41" s="14" t="str">
        <f t="shared" si="77"/>
        <v/>
      </c>
      <c r="F41" s="14" t="str">
        <f t="shared" si="77"/>
        <v/>
      </c>
      <c r="G41" s="14" t="str">
        <f t="shared" si="77"/>
        <v/>
      </c>
      <c r="H41" s="14" t="str">
        <f t="shared" si="77"/>
        <v/>
      </c>
      <c r="I41" s="14" t="str">
        <f t="shared" si="77"/>
        <v/>
      </c>
      <c r="J41" s="14" t="str">
        <f t="shared" si="77"/>
        <v/>
      </c>
      <c r="K41" s="14" t="str">
        <f t="shared" si="77"/>
        <v/>
      </c>
      <c r="L41" s="15" t="str">
        <f>IFERROR(__xludf.DUMMYFUNCTION("""COMPUTED_VALUE"""),"blocked drain plumber Milnerton")</f>
        <v>blocked drain plumber Milnerton</v>
      </c>
      <c r="M41" s="16"/>
      <c r="N41" s="14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14" t="str">
        <f t="shared" si="78"/>
        <v/>
      </c>
      <c r="P41" s="14" t="str">
        <f t="shared" si="78"/>
        <v/>
      </c>
      <c r="Q41" s="14" t="str">
        <f t="shared" si="78"/>
        <v/>
      </c>
      <c r="R41" s="14" t="str">
        <f t="shared" si="78"/>
        <v/>
      </c>
      <c r="S41" s="14" t="str">
        <f t="shared" si="78"/>
        <v/>
      </c>
      <c r="T41" s="14" t="str">
        <f t="shared" si="78"/>
        <v/>
      </c>
      <c r="U41" s="14" t="str">
        <f t="shared" si="78"/>
        <v/>
      </c>
      <c r="V41" s="14" t="str">
        <f t="shared" si="78"/>
        <v/>
      </c>
      <c r="W41" s="14" t="str">
        <f t="shared" si="78"/>
        <v/>
      </c>
      <c r="X41" s="17" t="str">
        <f>IFERROR(__xludf.DUMMYFUNCTION("""COMPUTED_VALUE"""),"Cape Town CBD plumber")</f>
        <v>Cape Town CBD plumber</v>
      </c>
      <c r="Y41" s="8"/>
      <c r="Z41" s="8"/>
    </row>
    <row r="42">
      <c r="A42" s="13"/>
      <c r="B42" s="14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14" t="str">
        <f t="shared" si="79"/>
        <v/>
      </c>
      <c r="D42" s="14" t="str">
        <f t="shared" si="79"/>
        <v/>
      </c>
      <c r="E42" s="14" t="str">
        <f t="shared" si="79"/>
        <v/>
      </c>
      <c r="F42" s="14" t="str">
        <f t="shared" si="79"/>
        <v/>
      </c>
      <c r="G42" s="14" t="str">
        <f t="shared" si="79"/>
        <v/>
      </c>
      <c r="H42" s="14" t="str">
        <f t="shared" si="79"/>
        <v/>
      </c>
      <c r="I42" s="14" t="str">
        <f t="shared" si="79"/>
        <v/>
      </c>
      <c r="J42" s="14" t="str">
        <f t="shared" si="79"/>
        <v/>
      </c>
      <c r="K42" s="14" t="str">
        <f t="shared" si="79"/>
        <v/>
      </c>
      <c r="L42" s="15" t="str">
        <f>IFERROR(__xludf.DUMMYFUNCTION("""COMPUTED_VALUE"""),"blocked drain plumber Muizenberg")</f>
        <v>blocked drain plumber Muizenberg</v>
      </c>
      <c r="M42" s="16"/>
      <c r="N42" s="14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14" t="str">
        <f t="shared" si="80"/>
        <v/>
      </c>
      <c r="P42" s="14" t="str">
        <f t="shared" si="80"/>
        <v/>
      </c>
      <c r="Q42" s="14" t="str">
        <f t="shared" si="80"/>
        <v/>
      </c>
      <c r="R42" s="14" t="str">
        <f t="shared" si="80"/>
        <v/>
      </c>
      <c r="S42" s="14" t="str">
        <f t="shared" si="80"/>
        <v/>
      </c>
      <c r="T42" s="14" t="str">
        <f t="shared" si="80"/>
        <v/>
      </c>
      <c r="U42" s="14" t="str">
        <f t="shared" si="80"/>
        <v/>
      </c>
      <c r="V42" s="14" t="str">
        <f t="shared" si="80"/>
        <v/>
      </c>
      <c r="W42" s="14" t="str">
        <f t="shared" si="80"/>
        <v/>
      </c>
      <c r="X42" s="17" t="str">
        <f>IFERROR(__xludf.DUMMYFUNCTION("""COMPUTED_VALUE"""),"Cape Town CBD plumbers")</f>
        <v>Cape Town CBD plumbers</v>
      </c>
      <c r="Y42" s="8"/>
      <c r="Z42" s="8"/>
    </row>
    <row r="43">
      <c r="A43" s="13"/>
      <c r="B43" s="14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14" t="str">
        <f t="shared" si="81"/>
        <v/>
      </c>
      <c r="D43" s="14" t="str">
        <f t="shared" si="81"/>
        <v/>
      </c>
      <c r="E43" s="14" t="str">
        <f t="shared" si="81"/>
        <v/>
      </c>
      <c r="F43" s="14" t="str">
        <f t="shared" si="81"/>
        <v/>
      </c>
      <c r="G43" s="14" t="str">
        <f t="shared" si="81"/>
        <v/>
      </c>
      <c r="H43" s="14" t="str">
        <f t="shared" si="81"/>
        <v/>
      </c>
      <c r="I43" s="14" t="str">
        <f t="shared" si="81"/>
        <v/>
      </c>
      <c r="J43" s="14" t="str">
        <f t="shared" si="81"/>
        <v/>
      </c>
      <c r="K43" s="14" t="str">
        <f t="shared" si="81"/>
        <v/>
      </c>
      <c r="L43" s="15" t="str">
        <f>IFERROR(__xludf.DUMMYFUNCTION("""COMPUTED_VALUE"""),"blocked drain plumber Newlands")</f>
        <v>blocked drain plumber Newlands</v>
      </c>
      <c r="M43" s="16"/>
      <c r="N43" s="14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14" t="str">
        <f t="shared" si="82"/>
        <v/>
      </c>
      <c r="P43" s="14" t="str">
        <f t="shared" si="82"/>
        <v/>
      </c>
      <c r="Q43" s="14" t="str">
        <f t="shared" si="82"/>
        <v/>
      </c>
      <c r="R43" s="14" t="str">
        <f t="shared" si="82"/>
        <v/>
      </c>
      <c r="S43" s="14" t="str">
        <f t="shared" si="82"/>
        <v/>
      </c>
      <c r="T43" s="14" t="str">
        <f t="shared" si="82"/>
        <v/>
      </c>
      <c r="U43" s="14" t="str">
        <f t="shared" si="82"/>
        <v/>
      </c>
      <c r="V43" s="14" t="str">
        <f t="shared" si="82"/>
        <v/>
      </c>
      <c r="W43" s="14" t="str">
        <f t="shared" si="82"/>
        <v/>
      </c>
      <c r="X43" s="17" t="str">
        <f>IFERROR(__xludf.DUMMYFUNCTION("""COMPUTED_VALUE"""),"Cape Town CBD plumbing company")</f>
        <v>Cape Town CBD plumbing company</v>
      </c>
      <c r="Y43" s="8"/>
      <c r="Z43" s="8"/>
    </row>
    <row r="44">
      <c r="A44" s="13"/>
      <c r="B44" s="14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14" t="str">
        <f t="shared" si="83"/>
        <v/>
      </c>
      <c r="D44" s="14" t="str">
        <f t="shared" si="83"/>
        <v/>
      </c>
      <c r="E44" s="14" t="str">
        <f t="shared" si="83"/>
        <v/>
      </c>
      <c r="F44" s="14" t="str">
        <f t="shared" si="83"/>
        <v/>
      </c>
      <c r="G44" s="14" t="str">
        <f t="shared" si="83"/>
        <v/>
      </c>
      <c r="H44" s="14" t="str">
        <f t="shared" si="83"/>
        <v/>
      </c>
      <c r="I44" s="14" t="str">
        <f t="shared" si="83"/>
        <v/>
      </c>
      <c r="J44" s="14" t="str">
        <f t="shared" si="83"/>
        <v/>
      </c>
      <c r="K44" s="14" t="str">
        <f t="shared" si="83"/>
        <v/>
      </c>
      <c r="L44" s="15" t="str">
        <f>IFERROR(__xludf.DUMMYFUNCTION("""COMPUTED_VALUE"""),"blocked drain plumber Northern Suburbs")</f>
        <v>blocked drain plumber Northern Suburbs</v>
      </c>
      <c r="M44" s="16"/>
      <c r="N44" s="14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14" t="str">
        <f t="shared" si="84"/>
        <v/>
      </c>
      <c r="P44" s="14" t="str">
        <f t="shared" si="84"/>
        <v/>
      </c>
      <c r="Q44" s="14" t="str">
        <f t="shared" si="84"/>
        <v/>
      </c>
      <c r="R44" s="14" t="str">
        <f t="shared" si="84"/>
        <v/>
      </c>
      <c r="S44" s="14" t="str">
        <f t="shared" si="84"/>
        <v/>
      </c>
      <c r="T44" s="14" t="str">
        <f t="shared" si="84"/>
        <v/>
      </c>
      <c r="U44" s="14" t="str">
        <f t="shared" si="84"/>
        <v/>
      </c>
      <c r="V44" s="14" t="str">
        <f t="shared" si="84"/>
        <v/>
      </c>
      <c r="W44" s="14" t="str">
        <f t="shared" si="84"/>
        <v/>
      </c>
      <c r="X44" s="17" t="str">
        <f>IFERROR(__xludf.DUMMYFUNCTION("""COMPUTED_VALUE"""),"Cape Town CBD refrigeration services")</f>
        <v>Cape Town CBD refrigeration services</v>
      </c>
      <c r="Y44" s="8"/>
      <c r="Z44" s="8"/>
    </row>
    <row r="45">
      <c r="A45" s="13"/>
      <c r="B45" s="14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14" t="str">
        <f t="shared" si="85"/>
        <v/>
      </c>
      <c r="D45" s="14" t="str">
        <f t="shared" si="85"/>
        <v/>
      </c>
      <c r="E45" s="14" t="str">
        <f t="shared" si="85"/>
        <v/>
      </c>
      <c r="F45" s="14" t="str">
        <f t="shared" si="85"/>
        <v/>
      </c>
      <c r="G45" s="14" t="str">
        <f t="shared" si="85"/>
        <v/>
      </c>
      <c r="H45" s="14" t="str">
        <f t="shared" si="85"/>
        <v/>
      </c>
      <c r="I45" s="14" t="str">
        <f t="shared" si="85"/>
        <v/>
      </c>
      <c r="J45" s="14" t="str">
        <f t="shared" si="85"/>
        <v/>
      </c>
      <c r="K45" s="14" t="str">
        <f t="shared" si="85"/>
        <v/>
      </c>
      <c r="L45" s="15" t="str">
        <f>IFERROR(__xludf.DUMMYFUNCTION("""COMPUTED_VALUE"""),"blocked drain plumber Observatory")</f>
        <v>blocked drain plumber Observatory</v>
      </c>
      <c r="M45" s="16"/>
      <c r="N45" s="14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14" t="str">
        <f t="shared" si="86"/>
        <v/>
      </c>
      <c r="P45" s="14" t="str">
        <f t="shared" si="86"/>
        <v/>
      </c>
      <c r="Q45" s="14" t="str">
        <f t="shared" si="86"/>
        <v/>
      </c>
      <c r="R45" s="14" t="str">
        <f t="shared" si="86"/>
        <v/>
      </c>
      <c r="S45" s="14" t="str">
        <f t="shared" si="86"/>
        <v/>
      </c>
      <c r="T45" s="14" t="str">
        <f t="shared" si="86"/>
        <v/>
      </c>
      <c r="U45" s="14" t="str">
        <f t="shared" si="86"/>
        <v/>
      </c>
      <c r="V45" s="14" t="str">
        <f t="shared" si="86"/>
        <v/>
      </c>
      <c r="W45" s="14" t="str">
        <f t="shared" si="86"/>
        <v/>
      </c>
      <c r="X45" s="17" t="str">
        <f>IFERROR(__xludf.DUMMYFUNCTION("""COMPUTED_VALUE"""),"Cape Town electrician")</f>
        <v>Cape Town electrician</v>
      </c>
      <c r="Y45" s="8"/>
      <c r="Z45" s="8"/>
    </row>
    <row r="46">
      <c r="A46" s="13"/>
      <c r="B46" s="14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14" t="str">
        <f t="shared" si="87"/>
        <v/>
      </c>
      <c r="D46" s="14" t="str">
        <f t="shared" si="87"/>
        <v/>
      </c>
      <c r="E46" s="14" t="str">
        <f t="shared" si="87"/>
        <v/>
      </c>
      <c r="F46" s="14" t="str">
        <f t="shared" si="87"/>
        <v/>
      </c>
      <c r="G46" s="14" t="str">
        <f t="shared" si="87"/>
        <v/>
      </c>
      <c r="H46" s="14" t="str">
        <f t="shared" si="87"/>
        <v/>
      </c>
      <c r="I46" s="14" t="str">
        <f t="shared" si="87"/>
        <v/>
      </c>
      <c r="J46" s="14" t="str">
        <f t="shared" si="87"/>
        <v/>
      </c>
      <c r="K46" s="14" t="str">
        <f t="shared" si="87"/>
        <v/>
      </c>
      <c r="L46" s="15" t="str">
        <f>IFERROR(__xludf.DUMMYFUNCTION("""COMPUTED_VALUE"""),"blocked drain plumber Plumstead")</f>
        <v>blocked drain plumber Plumstead</v>
      </c>
      <c r="M46" s="16"/>
      <c r="N46" s="14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14" t="str">
        <f t="shared" si="88"/>
        <v/>
      </c>
      <c r="P46" s="14" t="str">
        <f t="shared" si="88"/>
        <v/>
      </c>
      <c r="Q46" s="14" t="str">
        <f t="shared" si="88"/>
        <v/>
      </c>
      <c r="R46" s="14" t="str">
        <f t="shared" si="88"/>
        <v/>
      </c>
      <c r="S46" s="14" t="str">
        <f t="shared" si="88"/>
        <v/>
      </c>
      <c r="T46" s="14" t="str">
        <f t="shared" si="88"/>
        <v/>
      </c>
      <c r="U46" s="14" t="str">
        <f t="shared" si="88"/>
        <v/>
      </c>
      <c r="V46" s="14" t="str">
        <f t="shared" si="88"/>
        <v/>
      </c>
      <c r="W46" s="14" t="str">
        <f t="shared" si="88"/>
        <v/>
      </c>
      <c r="X46" s="17" t="str">
        <f>IFERROR(__xludf.DUMMYFUNCTION("""COMPUTED_VALUE"""),"Cape Town emergency plumber")</f>
        <v>Cape Town emergency plumber</v>
      </c>
      <c r="Y46" s="8"/>
      <c r="Z46" s="8"/>
    </row>
    <row r="47">
      <c r="A47" s="13"/>
      <c r="B47" s="14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14" t="str">
        <f t="shared" si="89"/>
        <v/>
      </c>
      <c r="D47" s="14" t="str">
        <f t="shared" si="89"/>
        <v/>
      </c>
      <c r="E47" s="14" t="str">
        <f t="shared" si="89"/>
        <v/>
      </c>
      <c r="F47" s="14" t="str">
        <f t="shared" si="89"/>
        <v/>
      </c>
      <c r="G47" s="14" t="str">
        <f t="shared" si="89"/>
        <v/>
      </c>
      <c r="H47" s="14" t="str">
        <f t="shared" si="89"/>
        <v/>
      </c>
      <c r="I47" s="14" t="str">
        <f t="shared" si="89"/>
        <v/>
      </c>
      <c r="J47" s="14" t="str">
        <f t="shared" si="89"/>
        <v/>
      </c>
      <c r="K47" s="14" t="str">
        <f t="shared" si="89"/>
        <v/>
      </c>
      <c r="L47" s="15" t="str">
        <f>IFERROR(__xludf.DUMMYFUNCTION("""COMPUTED_VALUE"""),"blocked drain plumber Rondebosch")</f>
        <v>blocked drain plumber Rondebosch</v>
      </c>
      <c r="M47" s="16"/>
      <c r="N47" s="14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14" t="str">
        <f t="shared" si="90"/>
        <v/>
      </c>
      <c r="P47" s="14" t="str">
        <f t="shared" si="90"/>
        <v/>
      </c>
      <c r="Q47" s="14" t="str">
        <f t="shared" si="90"/>
        <v/>
      </c>
      <c r="R47" s="14" t="str">
        <f t="shared" si="90"/>
        <v/>
      </c>
      <c r="S47" s="14" t="str">
        <f t="shared" si="90"/>
        <v/>
      </c>
      <c r="T47" s="14" t="str">
        <f t="shared" si="90"/>
        <v/>
      </c>
      <c r="U47" s="14" t="str">
        <f t="shared" si="90"/>
        <v/>
      </c>
      <c r="V47" s="14" t="str">
        <f t="shared" si="90"/>
        <v/>
      </c>
      <c r="W47" s="14" t="str">
        <f t="shared" si="90"/>
        <v/>
      </c>
      <c r="X47" s="17" t="str">
        <f>IFERROR(__xludf.DUMMYFUNCTION("""COMPUTED_VALUE"""),"Cape Town geyser repair")</f>
        <v>Cape Town geyser repair</v>
      </c>
      <c r="Y47" s="8"/>
      <c r="Z47" s="8"/>
    </row>
    <row r="48">
      <c r="A48" s="13"/>
      <c r="B48" s="14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14" t="str">
        <f t="shared" si="91"/>
        <v/>
      </c>
      <c r="D48" s="14" t="str">
        <f t="shared" si="91"/>
        <v/>
      </c>
      <c r="E48" s="14" t="str">
        <f t="shared" si="91"/>
        <v/>
      </c>
      <c r="F48" s="14" t="str">
        <f t="shared" si="91"/>
        <v/>
      </c>
      <c r="G48" s="14" t="str">
        <f t="shared" si="91"/>
        <v/>
      </c>
      <c r="H48" s="14" t="str">
        <f t="shared" si="91"/>
        <v/>
      </c>
      <c r="I48" s="14" t="str">
        <f t="shared" si="91"/>
        <v/>
      </c>
      <c r="J48" s="14" t="str">
        <f t="shared" si="91"/>
        <v/>
      </c>
      <c r="K48" s="14" t="str">
        <f t="shared" si="91"/>
        <v/>
      </c>
      <c r="L48" s="15" t="str">
        <f>IFERROR(__xludf.DUMMYFUNCTION("""COMPUTED_VALUE"""),"blocked drain plumber Sea Point")</f>
        <v>blocked drain plumber Sea Point</v>
      </c>
      <c r="M48" s="16"/>
      <c r="N48" s="14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14" t="str">
        <f t="shared" si="92"/>
        <v/>
      </c>
      <c r="P48" s="14" t="str">
        <f t="shared" si="92"/>
        <v/>
      </c>
      <c r="Q48" s="14" t="str">
        <f t="shared" si="92"/>
        <v/>
      </c>
      <c r="R48" s="14" t="str">
        <f t="shared" si="92"/>
        <v/>
      </c>
      <c r="S48" s="14" t="str">
        <f t="shared" si="92"/>
        <v/>
      </c>
      <c r="T48" s="14" t="str">
        <f t="shared" si="92"/>
        <v/>
      </c>
      <c r="U48" s="14" t="str">
        <f t="shared" si="92"/>
        <v/>
      </c>
      <c r="V48" s="14" t="str">
        <f t="shared" si="92"/>
        <v/>
      </c>
      <c r="W48" s="14" t="str">
        <f t="shared" si="92"/>
        <v/>
      </c>
      <c r="X48" s="17" t="str">
        <f>IFERROR(__xludf.DUMMYFUNCTION("""COMPUTED_VALUE"""),"Cape Town leak detection plumber")</f>
        <v>Cape Town leak detection plumber</v>
      </c>
      <c r="Y48" s="8"/>
      <c r="Z48" s="8"/>
    </row>
    <row r="49">
      <c r="A49" s="13"/>
      <c r="B49" s="14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14" t="str">
        <f t="shared" si="93"/>
        <v/>
      </c>
      <c r="D49" s="14" t="str">
        <f t="shared" si="93"/>
        <v/>
      </c>
      <c r="E49" s="14" t="str">
        <f t="shared" si="93"/>
        <v/>
      </c>
      <c r="F49" s="14" t="str">
        <f t="shared" si="93"/>
        <v/>
      </c>
      <c r="G49" s="14" t="str">
        <f t="shared" si="93"/>
        <v/>
      </c>
      <c r="H49" s="14" t="str">
        <f t="shared" si="93"/>
        <v/>
      </c>
      <c r="I49" s="14" t="str">
        <f t="shared" si="93"/>
        <v/>
      </c>
      <c r="J49" s="14" t="str">
        <f t="shared" si="93"/>
        <v/>
      </c>
      <c r="K49" s="14" t="str">
        <f t="shared" si="93"/>
        <v/>
      </c>
      <c r="L49" s="15" t="str">
        <f>IFERROR(__xludf.DUMMYFUNCTION("""COMPUTED_VALUE"""),"blocked drain plumber South Africa")</f>
        <v>blocked drain plumber South Africa</v>
      </c>
      <c r="M49" s="16"/>
      <c r="N49" s="14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14" t="str">
        <f t="shared" si="94"/>
        <v/>
      </c>
      <c r="P49" s="14" t="str">
        <f t="shared" si="94"/>
        <v/>
      </c>
      <c r="Q49" s="14" t="str">
        <f t="shared" si="94"/>
        <v/>
      </c>
      <c r="R49" s="14" t="str">
        <f t="shared" si="94"/>
        <v/>
      </c>
      <c r="S49" s="14" t="str">
        <f t="shared" si="94"/>
        <v/>
      </c>
      <c r="T49" s="14" t="str">
        <f t="shared" si="94"/>
        <v/>
      </c>
      <c r="U49" s="14" t="str">
        <f t="shared" si="94"/>
        <v/>
      </c>
      <c r="V49" s="14" t="str">
        <f t="shared" si="94"/>
        <v/>
      </c>
      <c r="W49" s="14" t="str">
        <f t="shared" si="94"/>
        <v/>
      </c>
      <c r="X49" s="17" t="str">
        <f>IFERROR(__xludf.DUMMYFUNCTION("""COMPUTED_VALUE"""),"Cape Town plumber")</f>
        <v>Cape Town plumber</v>
      </c>
      <c r="Y49" s="8"/>
      <c r="Z49" s="8"/>
    </row>
    <row r="50">
      <c r="A50" s="13"/>
      <c r="B50" s="14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14" t="str">
        <f t="shared" si="95"/>
        <v/>
      </c>
      <c r="D50" s="14" t="str">
        <f t="shared" si="95"/>
        <v/>
      </c>
      <c r="E50" s="14" t="str">
        <f t="shared" si="95"/>
        <v/>
      </c>
      <c r="F50" s="14" t="str">
        <f t="shared" si="95"/>
        <v/>
      </c>
      <c r="G50" s="14" t="str">
        <f t="shared" si="95"/>
        <v/>
      </c>
      <c r="H50" s="14" t="str">
        <f t="shared" si="95"/>
        <v/>
      </c>
      <c r="I50" s="14" t="str">
        <f t="shared" si="95"/>
        <v/>
      </c>
      <c r="J50" s="14" t="str">
        <f t="shared" si="95"/>
        <v/>
      </c>
      <c r="K50" s="14" t="str">
        <f t="shared" si="95"/>
        <v/>
      </c>
      <c r="L50" s="15" t="str">
        <f>IFERROR(__xludf.DUMMYFUNCTION("""COMPUTED_VALUE"""),"blocked drain plumber Southern Suburbs")</f>
        <v>blocked drain plumber Southern Suburbs</v>
      </c>
      <c r="M50" s="16"/>
      <c r="N50" s="14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14" t="str">
        <f t="shared" si="96"/>
        <v/>
      </c>
      <c r="P50" s="14" t="str">
        <f t="shared" si="96"/>
        <v/>
      </c>
      <c r="Q50" s="14" t="str">
        <f t="shared" si="96"/>
        <v/>
      </c>
      <c r="R50" s="14" t="str">
        <f t="shared" si="96"/>
        <v/>
      </c>
      <c r="S50" s="14" t="str">
        <f t="shared" si="96"/>
        <v/>
      </c>
      <c r="T50" s="14" t="str">
        <f t="shared" si="96"/>
        <v/>
      </c>
      <c r="U50" s="14" t="str">
        <f t="shared" si="96"/>
        <v/>
      </c>
      <c r="V50" s="14" t="str">
        <f t="shared" si="96"/>
        <v/>
      </c>
      <c r="W50" s="14" t="str">
        <f t="shared" si="96"/>
        <v/>
      </c>
      <c r="X50" s="17" t="str">
        <f>IFERROR(__xludf.DUMMYFUNCTION("""COMPUTED_VALUE"""),"Cape Town plumbers")</f>
        <v>Cape Town plumbers</v>
      </c>
      <c r="Y50" s="8"/>
      <c r="Z50" s="8"/>
    </row>
    <row r="51">
      <c r="A51" s="13"/>
      <c r="B51" s="14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14" t="str">
        <f t="shared" si="97"/>
        <v/>
      </c>
      <c r="D51" s="14" t="str">
        <f t="shared" si="97"/>
        <v/>
      </c>
      <c r="E51" s="14" t="str">
        <f t="shared" si="97"/>
        <v/>
      </c>
      <c r="F51" s="14" t="str">
        <f t="shared" si="97"/>
        <v/>
      </c>
      <c r="G51" s="14" t="str">
        <f t="shared" si="97"/>
        <v/>
      </c>
      <c r="H51" s="14" t="str">
        <f t="shared" si="97"/>
        <v/>
      </c>
      <c r="I51" s="14" t="str">
        <f t="shared" si="97"/>
        <v/>
      </c>
      <c r="J51" s="14" t="str">
        <f t="shared" si="97"/>
        <v/>
      </c>
      <c r="K51" s="14" t="str">
        <f t="shared" si="97"/>
        <v/>
      </c>
      <c r="L51" s="15" t="str">
        <f>IFERROR(__xludf.DUMMYFUNCTION("""COMPUTED_VALUE"""),"blocked drain plumber Table View")</f>
        <v>blocked drain plumber Table View</v>
      </c>
      <c r="M51" s="16"/>
      <c r="N51" s="14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14" t="str">
        <f t="shared" si="98"/>
        <v/>
      </c>
      <c r="P51" s="14" t="str">
        <f t="shared" si="98"/>
        <v/>
      </c>
      <c r="Q51" s="14" t="str">
        <f t="shared" si="98"/>
        <v/>
      </c>
      <c r="R51" s="14" t="str">
        <f t="shared" si="98"/>
        <v/>
      </c>
      <c r="S51" s="14" t="str">
        <f t="shared" si="98"/>
        <v/>
      </c>
      <c r="T51" s="14" t="str">
        <f t="shared" si="98"/>
        <v/>
      </c>
      <c r="U51" s="14" t="str">
        <f t="shared" si="98"/>
        <v/>
      </c>
      <c r="V51" s="14" t="str">
        <f t="shared" si="98"/>
        <v/>
      </c>
      <c r="W51" s="14" t="str">
        <f t="shared" si="98"/>
        <v/>
      </c>
      <c r="X51" s="17" t="str">
        <f>IFERROR(__xludf.DUMMYFUNCTION("""COMPUTED_VALUE"""),"Cape Town plumbing company")</f>
        <v>Cape Town plumbing company</v>
      </c>
      <c r="Y51" s="8"/>
      <c r="Z51" s="8"/>
    </row>
    <row r="52">
      <c r="A52" s="13"/>
      <c r="B52" s="14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14" t="str">
        <f t="shared" si="99"/>
        <v/>
      </c>
      <c r="D52" s="14" t="str">
        <f t="shared" si="99"/>
        <v/>
      </c>
      <c r="E52" s="14" t="str">
        <f t="shared" si="99"/>
        <v/>
      </c>
      <c r="F52" s="14" t="str">
        <f t="shared" si="99"/>
        <v/>
      </c>
      <c r="G52" s="14" t="str">
        <f t="shared" si="99"/>
        <v/>
      </c>
      <c r="H52" s="14" t="str">
        <f t="shared" si="99"/>
        <v/>
      </c>
      <c r="I52" s="14" t="str">
        <f t="shared" si="99"/>
        <v/>
      </c>
      <c r="J52" s="14" t="str">
        <f t="shared" si="99"/>
        <v/>
      </c>
      <c r="K52" s="14" t="str">
        <f t="shared" si="99"/>
        <v/>
      </c>
      <c r="L52" s="15" t="str">
        <f>IFERROR(__xludf.DUMMYFUNCTION("""COMPUTED_VALUE"""),"blocked drain plumber Tokai")</f>
        <v>blocked drain plumber Tokai</v>
      </c>
      <c r="M52" s="16"/>
      <c r="N52" s="14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14" t="str">
        <f t="shared" si="100"/>
        <v/>
      </c>
      <c r="P52" s="14" t="str">
        <f t="shared" si="100"/>
        <v/>
      </c>
      <c r="Q52" s="14" t="str">
        <f t="shared" si="100"/>
        <v/>
      </c>
      <c r="R52" s="14" t="str">
        <f t="shared" si="100"/>
        <v/>
      </c>
      <c r="S52" s="14" t="str">
        <f t="shared" si="100"/>
        <v/>
      </c>
      <c r="T52" s="14" t="str">
        <f t="shared" si="100"/>
        <v/>
      </c>
      <c r="U52" s="14" t="str">
        <f t="shared" si="100"/>
        <v/>
      </c>
      <c r="V52" s="14" t="str">
        <f t="shared" si="100"/>
        <v/>
      </c>
      <c r="W52" s="14" t="str">
        <f t="shared" si="100"/>
        <v/>
      </c>
      <c r="X52" s="17" t="str">
        <f>IFERROR(__xludf.DUMMYFUNCTION("""COMPUTED_VALUE"""),"Cape Town refrigeration services")</f>
        <v>Cape Town refrigeration services</v>
      </c>
      <c r="Y52" s="8"/>
      <c r="Z52" s="8"/>
    </row>
    <row r="53">
      <c r="A53" s="13"/>
      <c r="B53" s="14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14" t="str">
        <f t="shared" si="101"/>
        <v/>
      </c>
      <c r="D53" s="14" t="str">
        <f t="shared" si="101"/>
        <v/>
      </c>
      <c r="E53" s="14" t="str">
        <f t="shared" si="101"/>
        <v/>
      </c>
      <c r="F53" s="14" t="str">
        <f t="shared" si="101"/>
        <v/>
      </c>
      <c r="G53" s="14" t="str">
        <f t="shared" si="101"/>
        <v/>
      </c>
      <c r="H53" s="14" t="str">
        <f t="shared" si="101"/>
        <v/>
      </c>
      <c r="I53" s="14" t="str">
        <f t="shared" si="101"/>
        <v/>
      </c>
      <c r="J53" s="14" t="str">
        <f t="shared" si="101"/>
        <v/>
      </c>
      <c r="K53" s="14" t="str">
        <f t="shared" si="101"/>
        <v/>
      </c>
      <c r="L53" s="15" t="str">
        <f>IFERROR(__xludf.DUMMYFUNCTION("""COMPUTED_VALUE"""),"blocked drain plumber Woodstock")</f>
        <v>blocked drain plumber Woodstock</v>
      </c>
      <c r="M53" s="16"/>
      <c r="N53" s="14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14" t="str">
        <f t="shared" si="102"/>
        <v/>
      </c>
      <c r="P53" s="14" t="str">
        <f t="shared" si="102"/>
        <v/>
      </c>
      <c r="Q53" s="14" t="str">
        <f t="shared" si="102"/>
        <v/>
      </c>
      <c r="R53" s="14" t="str">
        <f t="shared" si="102"/>
        <v/>
      </c>
      <c r="S53" s="14" t="str">
        <f t="shared" si="102"/>
        <v/>
      </c>
      <c r="T53" s="14" t="str">
        <f t="shared" si="102"/>
        <v/>
      </c>
      <c r="U53" s="14" t="str">
        <f t="shared" si="102"/>
        <v/>
      </c>
      <c r="V53" s="14" t="str">
        <f t="shared" si="102"/>
        <v/>
      </c>
      <c r="W53" s="14" t="str">
        <f t="shared" si="102"/>
        <v/>
      </c>
      <c r="X53" s="17" t="str">
        <f>IFERROR(__xludf.DUMMYFUNCTION("""COMPUTED_VALUE"""),"Claremont aircon repairs")</f>
        <v>Claremont aircon repairs</v>
      </c>
      <c r="Y53" s="8"/>
      <c r="Z53" s="8"/>
    </row>
    <row r="54">
      <c r="A54" s="13"/>
      <c r="B54" s="14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14" t="str">
        <f t="shared" si="103"/>
        <v/>
      </c>
      <c r="D54" s="14" t="str">
        <f t="shared" si="103"/>
        <v/>
      </c>
      <c r="E54" s="14" t="str">
        <f t="shared" si="103"/>
        <v/>
      </c>
      <c r="F54" s="14" t="str">
        <f t="shared" si="103"/>
        <v/>
      </c>
      <c r="G54" s="14" t="str">
        <f t="shared" si="103"/>
        <v/>
      </c>
      <c r="H54" s="14" t="str">
        <f t="shared" si="103"/>
        <v/>
      </c>
      <c r="I54" s="14" t="str">
        <f t="shared" si="103"/>
        <v/>
      </c>
      <c r="J54" s="14" t="str">
        <f t="shared" si="103"/>
        <v/>
      </c>
      <c r="K54" s="14" t="str">
        <f t="shared" si="103"/>
        <v/>
      </c>
      <c r="L54" s="15" t="str">
        <f>IFERROR(__xludf.DUMMYFUNCTION("""COMPUTED_VALUE"""),"blocked drain plumber Wynberg")</f>
        <v>blocked drain plumber Wynberg</v>
      </c>
      <c r="M54" s="16"/>
      <c r="N54" s="14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14" t="str">
        <f t="shared" si="104"/>
        <v/>
      </c>
      <c r="P54" s="14" t="str">
        <f t="shared" si="104"/>
        <v/>
      </c>
      <c r="Q54" s="14" t="str">
        <f t="shared" si="104"/>
        <v/>
      </c>
      <c r="R54" s="14" t="str">
        <f t="shared" si="104"/>
        <v/>
      </c>
      <c r="S54" s="14" t="str">
        <f t="shared" si="104"/>
        <v/>
      </c>
      <c r="T54" s="14" t="str">
        <f t="shared" si="104"/>
        <v/>
      </c>
      <c r="U54" s="14" t="str">
        <f t="shared" si="104"/>
        <v/>
      </c>
      <c r="V54" s="14" t="str">
        <f t="shared" si="104"/>
        <v/>
      </c>
      <c r="W54" s="14" t="str">
        <f t="shared" si="104"/>
        <v/>
      </c>
      <c r="X54" s="17" t="str">
        <f>IFERROR(__xludf.DUMMYFUNCTION("""COMPUTED_VALUE"""),"Claremont blocked drain plumber")</f>
        <v>Claremont blocked drain plumber</v>
      </c>
      <c r="Y54" s="8"/>
      <c r="Z54" s="8"/>
    </row>
    <row r="55">
      <c r="A55" s="13"/>
      <c r="B55" s="14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14" t="str">
        <f t="shared" si="105"/>
        <v/>
      </c>
      <c r="D55" s="14" t="str">
        <f t="shared" si="105"/>
        <v/>
      </c>
      <c r="E55" s="14" t="str">
        <f t="shared" si="105"/>
        <v/>
      </c>
      <c r="F55" s="14" t="str">
        <f t="shared" si="105"/>
        <v/>
      </c>
      <c r="G55" s="14" t="str">
        <f t="shared" si="105"/>
        <v/>
      </c>
      <c r="H55" s="14" t="str">
        <f t="shared" si="105"/>
        <v/>
      </c>
      <c r="I55" s="14" t="str">
        <f t="shared" si="105"/>
        <v/>
      </c>
      <c r="J55" s="14" t="str">
        <f t="shared" si="105"/>
        <v/>
      </c>
      <c r="K55" s="14" t="str">
        <f t="shared" si="105"/>
        <v/>
      </c>
      <c r="L55" s="15" t="str">
        <f>IFERROR(__xludf.DUMMYFUNCTION("""COMPUTED_VALUE"""),"electrician Atlantic Seaboard")</f>
        <v>electrician Atlantic Seaboard</v>
      </c>
      <c r="M55" s="16"/>
      <c r="N55" s="14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14" t="str">
        <f t="shared" si="106"/>
        <v/>
      </c>
      <c r="P55" s="14" t="str">
        <f t="shared" si="106"/>
        <v/>
      </c>
      <c r="Q55" s="14" t="str">
        <f t="shared" si="106"/>
        <v/>
      </c>
      <c r="R55" s="14" t="str">
        <f t="shared" si="106"/>
        <v/>
      </c>
      <c r="S55" s="14" t="str">
        <f t="shared" si="106"/>
        <v/>
      </c>
      <c r="T55" s="14" t="str">
        <f t="shared" si="106"/>
        <v/>
      </c>
      <c r="U55" s="14" t="str">
        <f t="shared" si="106"/>
        <v/>
      </c>
      <c r="V55" s="14" t="str">
        <f t="shared" si="106"/>
        <v/>
      </c>
      <c r="W55" s="14" t="str">
        <f t="shared" si="106"/>
        <v/>
      </c>
      <c r="X55" s="17" t="str">
        <f>IFERROR(__xludf.DUMMYFUNCTION("""COMPUTED_VALUE"""),"Claremont electrician")</f>
        <v>Claremont electrician</v>
      </c>
      <c r="Y55" s="8"/>
      <c r="Z55" s="8"/>
    </row>
    <row r="56">
      <c r="A56" s="13"/>
      <c r="B56" s="14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14" t="str">
        <f t="shared" si="107"/>
        <v/>
      </c>
      <c r="D56" s="14" t="str">
        <f t="shared" si="107"/>
        <v/>
      </c>
      <c r="E56" s="14" t="str">
        <f t="shared" si="107"/>
        <v/>
      </c>
      <c r="F56" s="14" t="str">
        <f t="shared" si="107"/>
        <v/>
      </c>
      <c r="G56" s="14" t="str">
        <f t="shared" si="107"/>
        <v/>
      </c>
      <c r="H56" s="14" t="str">
        <f t="shared" si="107"/>
        <v/>
      </c>
      <c r="I56" s="14" t="str">
        <f t="shared" si="107"/>
        <v/>
      </c>
      <c r="J56" s="14" t="str">
        <f t="shared" si="107"/>
        <v/>
      </c>
      <c r="K56" s="14" t="str">
        <f t="shared" si="107"/>
        <v/>
      </c>
      <c r="L56" s="15" t="str">
        <f>IFERROR(__xludf.DUMMYFUNCTION("""COMPUTED_VALUE"""),"electrician Bellville")</f>
        <v>electrician Bellville</v>
      </c>
      <c r="M56" s="16"/>
      <c r="N56" s="14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14" t="str">
        <f t="shared" si="108"/>
        <v/>
      </c>
      <c r="P56" s="14" t="str">
        <f t="shared" si="108"/>
        <v/>
      </c>
      <c r="Q56" s="14" t="str">
        <f t="shared" si="108"/>
        <v/>
      </c>
      <c r="R56" s="14" t="str">
        <f t="shared" si="108"/>
        <v/>
      </c>
      <c r="S56" s="14" t="str">
        <f t="shared" si="108"/>
        <v/>
      </c>
      <c r="T56" s="14" t="str">
        <f t="shared" si="108"/>
        <v/>
      </c>
      <c r="U56" s="14" t="str">
        <f t="shared" si="108"/>
        <v/>
      </c>
      <c r="V56" s="14" t="str">
        <f t="shared" si="108"/>
        <v/>
      </c>
      <c r="W56" s="14" t="str">
        <f t="shared" si="108"/>
        <v/>
      </c>
      <c r="X56" s="17" t="str">
        <f>IFERROR(__xludf.DUMMYFUNCTION("""COMPUTED_VALUE"""),"Claremont emergency plumber")</f>
        <v>Claremont emergency plumber</v>
      </c>
      <c r="Y56" s="8"/>
      <c r="Z56" s="8"/>
    </row>
    <row r="57">
      <c r="A57" s="13"/>
      <c r="B57" s="14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14" t="str">
        <f t="shared" si="109"/>
        <v/>
      </c>
      <c r="D57" s="14" t="str">
        <f t="shared" si="109"/>
        <v/>
      </c>
      <c r="E57" s="14" t="str">
        <f t="shared" si="109"/>
        <v/>
      </c>
      <c r="F57" s="14" t="str">
        <f t="shared" si="109"/>
        <v/>
      </c>
      <c r="G57" s="14" t="str">
        <f t="shared" si="109"/>
        <v/>
      </c>
      <c r="H57" s="14" t="str">
        <f t="shared" si="109"/>
        <v/>
      </c>
      <c r="I57" s="14" t="str">
        <f t="shared" si="109"/>
        <v/>
      </c>
      <c r="J57" s="14" t="str">
        <f t="shared" si="109"/>
        <v/>
      </c>
      <c r="K57" s="14" t="str">
        <f t="shared" si="109"/>
        <v/>
      </c>
      <c r="L57" s="15" t="str">
        <f>IFERROR(__xludf.DUMMYFUNCTION("""COMPUTED_VALUE"""),"electrician Camps Bay")</f>
        <v>electrician Camps Bay</v>
      </c>
      <c r="M57" s="16"/>
      <c r="N57" s="14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14" t="str">
        <f t="shared" si="110"/>
        <v/>
      </c>
      <c r="P57" s="14" t="str">
        <f t="shared" si="110"/>
        <v/>
      </c>
      <c r="Q57" s="14" t="str">
        <f t="shared" si="110"/>
        <v/>
      </c>
      <c r="R57" s="14" t="str">
        <f t="shared" si="110"/>
        <v/>
      </c>
      <c r="S57" s="14" t="str">
        <f t="shared" si="110"/>
        <v/>
      </c>
      <c r="T57" s="14" t="str">
        <f t="shared" si="110"/>
        <v/>
      </c>
      <c r="U57" s="14" t="str">
        <f t="shared" si="110"/>
        <v/>
      </c>
      <c r="V57" s="14" t="str">
        <f t="shared" si="110"/>
        <v/>
      </c>
      <c r="W57" s="14" t="str">
        <f t="shared" si="110"/>
        <v/>
      </c>
      <c r="X57" s="17" t="str">
        <f>IFERROR(__xludf.DUMMYFUNCTION("""COMPUTED_VALUE"""),"Claremont geyser repair")</f>
        <v>Claremont geyser repair</v>
      </c>
      <c r="Y57" s="8"/>
      <c r="Z57" s="8"/>
    </row>
    <row r="58">
      <c r="A58" s="13"/>
      <c r="B58" s="14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14" t="str">
        <f t="shared" si="111"/>
        <v/>
      </c>
      <c r="D58" s="14" t="str">
        <f t="shared" si="111"/>
        <v/>
      </c>
      <c r="E58" s="14" t="str">
        <f t="shared" si="111"/>
        <v/>
      </c>
      <c r="F58" s="14" t="str">
        <f t="shared" si="111"/>
        <v/>
      </c>
      <c r="G58" s="14" t="str">
        <f t="shared" si="111"/>
        <v/>
      </c>
      <c r="H58" s="14" t="str">
        <f t="shared" si="111"/>
        <v/>
      </c>
      <c r="I58" s="14" t="str">
        <f t="shared" si="111"/>
        <v/>
      </c>
      <c r="J58" s="14" t="str">
        <f t="shared" si="111"/>
        <v/>
      </c>
      <c r="K58" s="14" t="str">
        <f t="shared" si="111"/>
        <v/>
      </c>
      <c r="L58" s="15" t="str">
        <f>IFERROR(__xludf.DUMMYFUNCTION("""COMPUTED_VALUE"""),"electrician Cape Town")</f>
        <v>electrician Cape Town</v>
      </c>
      <c r="M58" s="16"/>
      <c r="N58" s="14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14" t="str">
        <f t="shared" si="112"/>
        <v/>
      </c>
      <c r="P58" s="14" t="str">
        <f t="shared" si="112"/>
        <v/>
      </c>
      <c r="Q58" s="14" t="str">
        <f t="shared" si="112"/>
        <v/>
      </c>
      <c r="R58" s="14" t="str">
        <f t="shared" si="112"/>
        <v/>
      </c>
      <c r="S58" s="14" t="str">
        <f t="shared" si="112"/>
        <v/>
      </c>
      <c r="T58" s="14" t="str">
        <f t="shared" si="112"/>
        <v/>
      </c>
      <c r="U58" s="14" t="str">
        <f t="shared" si="112"/>
        <v/>
      </c>
      <c r="V58" s="14" t="str">
        <f t="shared" si="112"/>
        <v/>
      </c>
      <c r="W58" s="14" t="str">
        <f t="shared" si="112"/>
        <v/>
      </c>
      <c r="X58" s="17" t="str">
        <f>IFERROR(__xludf.DUMMYFUNCTION("""COMPUTED_VALUE"""),"Claremont leak detection plumber")</f>
        <v>Claremont leak detection plumber</v>
      </c>
      <c r="Y58" s="8"/>
      <c r="Z58" s="8"/>
    </row>
    <row r="59">
      <c r="A59" s="13"/>
      <c r="B59" s="14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14" t="str">
        <f t="shared" si="113"/>
        <v/>
      </c>
      <c r="D59" s="14" t="str">
        <f t="shared" si="113"/>
        <v/>
      </c>
      <c r="E59" s="14" t="str">
        <f t="shared" si="113"/>
        <v/>
      </c>
      <c r="F59" s="14" t="str">
        <f t="shared" si="113"/>
        <v/>
      </c>
      <c r="G59" s="14" t="str">
        <f t="shared" si="113"/>
        <v/>
      </c>
      <c r="H59" s="14" t="str">
        <f t="shared" si="113"/>
        <v/>
      </c>
      <c r="I59" s="14" t="str">
        <f t="shared" si="113"/>
        <v/>
      </c>
      <c r="J59" s="14" t="str">
        <f t="shared" si="113"/>
        <v/>
      </c>
      <c r="K59" s="14" t="str">
        <f t="shared" si="113"/>
        <v/>
      </c>
      <c r="L59" s="15" t="str">
        <f>IFERROR(__xludf.DUMMYFUNCTION("""COMPUTED_VALUE"""),"electrician Cape Town CBD")</f>
        <v>electrician Cape Town CBD</v>
      </c>
      <c r="M59" s="16"/>
      <c r="N59" s="14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14" t="str">
        <f t="shared" si="114"/>
        <v/>
      </c>
      <c r="P59" s="14" t="str">
        <f t="shared" si="114"/>
        <v/>
      </c>
      <c r="Q59" s="14" t="str">
        <f t="shared" si="114"/>
        <v/>
      </c>
      <c r="R59" s="14" t="str">
        <f t="shared" si="114"/>
        <v/>
      </c>
      <c r="S59" s="14" t="str">
        <f t="shared" si="114"/>
        <v/>
      </c>
      <c r="T59" s="14" t="str">
        <f t="shared" si="114"/>
        <v/>
      </c>
      <c r="U59" s="14" t="str">
        <f t="shared" si="114"/>
        <v/>
      </c>
      <c r="V59" s="14" t="str">
        <f t="shared" si="114"/>
        <v/>
      </c>
      <c r="W59" s="14" t="str">
        <f t="shared" si="114"/>
        <v/>
      </c>
      <c r="X59" s="17" t="str">
        <f>IFERROR(__xludf.DUMMYFUNCTION("""COMPUTED_VALUE"""),"Claremont plumber")</f>
        <v>Claremont plumber</v>
      </c>
      <c r="Y59" s="8"/>
      <c r="Z59" s="8"/>
    </row>
    <row r="60">
      <c r="A60" s="13"/>
      <c r="B60" s="14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14" t="str">
        <f t="shared" si="115"/>
        <v/>
      </c>
      <c r="D60" s="14" t="str">
        <f t="shared" si="115"/>
        <v/>
      </c>
      <c r="E60" s="14" t="str">
        <f t="shared" si="115"/>
        <v/>
      </c>
      <c r="F60" s="14" t="str">
        <f t="shared" si="115"/>
        <v/>
      </c>
      <c r="G60" s="14" t="str">
        <f t="shared" si="115"/>
        <v/>
      </c>
      <c r="H60" s="14" t="str">
        <f t="shared" si="115"/>
        <v/>
      </c>
      <c r="I60" s="14" t="str">
        <f t="shared" si="115"/>
        <v/>
      </c>
      <c r="J60" s="14" t="str">
        <f t="shared" si="115"/>
        <v/>
      </c>
      <c r="K60" s="14" t="str">
        <f t="shared" si="115"/>
        <v/>
      </c>
      <c r="L60" s="15" t="str">
        <f>IFERROR(__xludf.DUMMYFUNCTION("""COMPUTED_VALUE"""),"electrician Claremont")</f>
        <v>electrician Claremont</v>
      </c>
      <c r="M60" s="16"/>
      <c r="N60" s="14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14" t="str">
        <f t="shared" si="116"/>
        <v/>
      </c>
      <c r="P60" s="14" t="str">
        <f t="shared" si="116"/>
        <v/>
      </c>
      <c r="Q60" s="14" t="str">
        <f t="shared" si="116"/>
        <v/>
      </c>
      <c r="R60" s="14" t="str">
        <f t="shared" si="116"/>
        <v/>
      </c>
      <c r="S60" s="14" t="str">
        <f t="shared" si="116"/>
        <v/>
      </c>
      <c r="T60" s="14" t="str">
        <f t="shared" si="116"/>
        <v/>
      </c>
      <c r="U60" s="14" t="str">
        <f t="shared" si="116"/>
        <v/>
      </c>
      <c r="V60" s="14" t="str">
        <f t="shared" si="116"/>
        <v/>
      </c>
      <c r="W60" s="14" t="str">
        <f t="shared" si="116"/>
        <v/>
      </c>
      <c r="X60" s="17" t="str">
        <f>IFERROR(__xludf.DUMMYFUNCTION("""COMPUTED_VALUE"""),"Claremont plumbers")</f>
        <v>Claremont plumbers</v>
      </c>
      <c r="Y60" s="8"/>
      <c r="Z60" s="8"/>
    </row>
    <row r="61">
      <c r="A61" s="13"/>
      <c r="B61" s="14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14" t="str">
        <f t="shared" si="117"/>
        <v/>
      </c>
      <c r="D61" s="14" t="str">
        <f t="shared" si="117"/>
        <v/>
      </c>
      <c r="E61" s="14" t="str">
        <f t="shared" si="117"/>
        <v/>
      </c>
      <c r="F61" s="14" t="str">
        <f t="shared" si="117"/>
        <v/>
      </c>
      <c r="G61" s="14" t="str">
        <f t="shared" si="117"/>
        <v/>
      </c>
      <c r="H61" s="14" t="str">
        <f t="shared" si="117"/>
        <v/>
      </c>
      <c r="I61" s="14" t="str">
        <f t="shared" si="117"/>
        <v/>
      </c>
      <c r="J61" s="14" t="str">
        <f t="shared" si="117"/>
        <v/>
      </c>
      <c r="K61" s="14" t="str">
        <f t="shared" si="117"/>
        <v/>
      </c>
      <c r="L61" s="15" t="str">
        <f>IFERROR(__xludf.DUMMYFUNCTION("""COMPUTED_VALUE"""),"electrician Constantia")</f>
        <v>electrician Constantia</v>
      </c>
      <c r="M61" s="16"/>
      <c r="N61" s="14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14" t="str">
        <f t="shared" si="118"/>
        <v/>
      </c>
      <c r="P61" s="14" t="str">
        <f t="shared" si="118"/>
        <v/>
      </c>
      <c r="Q61" s="14" t="str">
        <f t="shared" si="118"/>
        <v/>
      </c>
      <c r="R61" s="14" t="str">
        <f t="shared" si="118"/>
        <v/>
      </c>
      <c r="S61" s="14" t="str">
        <f t="shared" si="118"/>
        <v/>
      </c>
      <c r="T61" s="14" t="str">
        <f t="shared" si="118"/>
        <v/>
      </c>
      <c r="U61" s="14" t="str">
        <f t="shared" si="118"/>
        <v/>
      </c>
      <c r="V61" s="14" t="str">
        <f t="shared" si="118"/>
        <v/>
      </c>
      <c r="W61" s="14" t="str">
        <f t="shared" si="118"/>
        <v/>
      </c>
      <c r="X61" s="17" t="str">
        <f>IFERROR(__xludf.DUMMYFUNCTION("""COMPUTED_VALUE"""),"Claremont plumbing company")</f>
        <v>Claremont plumbing company</v>
      </c>
      <c r="Y61" s="8"/>
      <c r="Z61" s="8"/>
    </row>
    <row r="62">
      <c r="A62" s="13"/>
      <c r="B62" s="14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14" t="str">
        <f t="shared" si="119"/>
        <v/>
      </c>
      <c r="D62" s="14" t="str">
        <f t="shared" si="119"/>
        <v/>
      </c>
      <c r="E62" s="14" t="str">
        <f t="shared" si="119"/>
        <v/>
      </c>
      <c r="F62" s="14" t="str">
        <f t="shared" si="119"/>
        <v/>
      </c>
      <c r="G62" s="14" t="str">
        <f t="shared" si="119"/>
        <v/>
      </c>
      <c r="H62" s="14" t="str">
        <f t="shared" si="119"/>
        <v/>
      </c>
      <c r="I62" s="14" t="str">
        <f t="shared" si="119"/>
        <v/>
      </c>
      <c r="J62" s="14" t="str">
        <f t="shared" si="119"/>
        <v/>
      </c>
      <c r="K62" s="14" t="str">
        <f t="shared" si="119"/>
        <v/>
      </c>
      <c r="L62" s="15" t="str">
        <f>IFERROR(__xludf.DUMMYFUNCTION("""COMPUTED_VALUE"""),"electrician Durbanville")</f>
        <v>electrician Durbanville</v>
      </c>
      <c r="M62" s="16"/>
      <c r="N62" s="14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14" t="str">
        <f t="shared" si="120"/>
        <v/>
      </c>
      <c r="P62" s="14" t="str">
        <f t="shared" si="120"/>
        <v/>
      </c>
      <c r="Q62" s="14" t="str">
        <f t="shared" si="120"/>
        <v/>
      </c>
      <c r="R62" s="14" t="str">
        <f t="shared" si="120"/>
        <v/>
      </c>
      <c r="S62" s="14" t="str">
        <f t="shared" si="120"/>
        <v/>
      </c>
      <c r="T62" s="14" t="str">
        <f t="shared" si="120"/>
        <v/>
      </c>
      <c r="U62" s="14" t="str">
        <f t="shared" si="120"/>
        <v/>
      </c>
      <c r="V62" s="14" t="str">
        <f t="shared" si="120"/>
        <v/>
      </c>
      <c r="W62" s="14" t="str">
        <f t="shared" si="120"/>
        <v/>
      </c>
      <c r="X62" s="17" t="str">
        <f>IFERROR(__xludf.DUMMYFUNCTION("""COMPUTED_VALUE"""),"Claremont refrigeration services")</f>
        <v>Claremont refrigeration services</v>
      </c>
      <c r="Y62" s="8"/>
      <c r="Z62" s="8"/>
    </row>
    <row r="63">
      <c r="A63" s="13"/>
      <c r="B63" s="14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14" t="str">
        <f t="shared" si="121"/>
        <v/>
      </c>
      <c r="D63" s="14" t="str">
        <f t="shared" si="121"/>
        <v/>
      </c>
      <c r="E63" s="14" t="str">
        <f t="shared" si="121"/>
        <v/>
      </c>
      <c r="F63" s="14" t="str">
        <f t="shared" si="121"/>
        <v/>
      </c>
      <c r="G63" s="14" t="str">
        <f t="shared" si="121"/>
        <v/>
      </c>
      <c r="H63" s="14" t="str">
        <f t="shared" si="121"/>
        <v/>
      </c>
      <c r="I63" s="14" t="str">
        <f t="shared" si="121"/>
        <v/>
      </c>
      <c r="J63" s="14" t="str">
        <f t="shared" si="121"/>
        <v/>
      </c>
      <c r="K63" s="14" t="str">
        <f t="shared" si="121"/>
        <v/>
      </c>
      <c r="L63" s="15" t="str">
        <f>IFERROR(__xludf.DUMMYFUNCTION("""COMPUTED_VALUE"""),"electrician Fish Hoek")</f>
        <v>electrician Fish Hoek</v>
      </c>
      <c r="M63" s="16"/>
      <c r="N63" s="14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14" t="str">
        <f t="shared" si="122"/>
        <v/>
      </c>
      <c r="P63" s="14" t="str">
        <f t="shared" si="122"/>
        <v/>
      </c>
      <c r="Q63" s="14" t="str">
        <f t="shared" si="122"/>
        <v/>
      </c>
      <c r="R63" s="14" t="str">
        <f t="shared" si="122"/>
        <v/>
      </c>
      <c r="S63" s="14" t="str">
        <f t="shared" si="122"/>
        <v/>
      </c>
      <c r="T63" s="14" t="str">
        <f t="shared" si="122"/>
        <v/>
      </c>
      <c r="U63" s="14" t="str">
        <f t="shared" si="122"/>
        <v/>
      </c>
      <c r="V63" s="14" t="str">
        <f t="shared" si="122"/>
        <v/>
      </c>
      <c r="W63" s="14" t="str">
        <f t="shared" si="122"/>
        <v/>
      </c>
      <c r="X63" s="17" t="str">
        <f>IFERROR(__xludf.DUMMYFUNCTION("""COMPUTED_VALUE"""),"Constantia aircon repairs")</f>
        <v>Constantia aircon repairs</v>
      </c>
      <c r="Y63" s="8"/>
      <c r="Z63" s="8"/>
    </row>
    <row r="64">
      <c r="A64" s="13"/>
      <c r="B64" s="14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14" t="str">
        <f t="shared" si="123"/>
        <v/>
      </c>
      <c r="D64" s="14" t="str">
        <f t="shared" si="123"/>
        <v/>
      </c>
      <c r="E64" s="14" t="str">
        <f t="shared" si="123"/>
        <v/>
      </c>
      <c r="F64" s="14" t="str">
        <f t="shared" si="123"/>
        <v/>
      </c>
      <c r="G64" s="14" t="str">
        <f t="shared" si="123"/>
        <v/>
      </c>
      <c r="H64" s="14" t="str">
        <f t="shared" si="123"/>
        <v/>
      </c>
      <c r="I64" s="14" t="str">
        <f t="shared" si="123"/>
        <v/>
      </c>
      <c r="J64" s="14" t="str">
        <f t="shared" si="123"/>
        <v/>
      </c>
      <c r="K64" s="14" t="str">
        <f t="shared" si="123"/>
        <v/>
      </c>
      <c r="L64" s="15" t="str">
        <f>IFERROR(__xludf.DUMMYFUNCTION("""COMPUTED_VALUE"""),"electrician Green Point")</f>
        <v>electrician Green Point</v>
      </c>
      <c r="M64" s="16"/>
      <c r="N64" s="14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14" t="str">
        <f t="shared" si="124"/>
        <v/>
      </c>
      <c r="P64" s="14" t="str">
        <f t="shared" si="124"/>
        <v/>
      </c>
      <c r="Q64" s="14" t="str">
        <f t="shared" si="124"/>
        <v/>
      </c>
      <c r="R64" s="14" t="str">
        <f t="shared" si="124"/>
        <v/>
      </c>
      <c r="S64" s="14" t="str">
        <f t="shared" si="124"/>
        <v/>
      </c>
      <c r="T64" s="14" t="str">
        <f t="shared" si="124"/>
        <v/>
      </c>
      <c r="U64" s="14" t="str">
        <f t="shared" si="124"/>
        <v/>
      </c>
      <c r="V64" s="14" t="str">
        <f t="shared" si="124"/>
        <v/>
      </c>
      <c r="W64" s="14" t="str">
        <f t="shared" si="124"/>
        <v/>
      </c>
      <c r="X64" s="17" t="str">
        <f>IFERROR(__xludf.DUMMYFUNCTION("""COMPUTED_VALUE"""),"Constantia blocked drain plumber")</f>
        <v>Constantia blocked drain plumber</v>
      </c>
      <c r="Y64" s="8"/>
      <c r="Z64" s="8"/>
    </row>
    <row r="65">
      <c r="A65" s="13"/>
      <c r="B65" s="14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14" t="str">
        <f t="shared" si="125"/>
        <v/>
      </c>
      <c r="D65" s="14" t="str">
        <f t="shared" si="125"/>
        <v/>
      </c>
      <c r="E65" s="14" t="str">
        <f t="shared" si="125"/>
        <v/>
      </c>
      <c r="F65" s="14" t="str">
        <f t="shared" si="125"/>
        <v/>
      </c>
      <c r="G65" s="14" t="str">
        <f t="shared" si="125"/>
        <v/>
      </c>
      <c r="H65" s="14" t="str">
        <f t="shared" si="125"/>
        <v/>
      </c>
      <c r="I65" s="14" t="str">
        <f t="shared" si="125"/>
        <v/>
      </c>
      <c r="J65" s="14" t="str">
        <f t="shared" si="125"/>
        <v/>
      </c>
      <c r="K65" s="14" t="str">
        <f t="shared" si="125"/>
        <v/>
      </c>
      <c r="L65" s="15" t="str">
        <f>IFERROR(__xludf.DUMMYFUNCTION("""COMPUTED_VALUE"""),"electrician Hout Bay")</f>
        <v>electrician Hout Bay</v>
      </c>
      <c r="M65" s="16"/>
      <c r="N65" s="14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14" t="str">
        <f t="shared" si="126"/>
        <v/>
      </c>
      <c r="P65" s="14" t="str">
        <f t="shared" si="126"/>
        <v/>
      </c>
      <c r="Q65" s="14" t="str">
        <f t="shared" si="126"/>
        <v/>
      </c>
      <c r="R65" s="14" t="str">
        <f t="shared" si="126"/>
        <v/>
      </c>
      <c r="S65" s="14" t="str">
        <f t="shared" si="126"/>
        <v/>
      </c>
      <c r="T65" s="14" t="str">
        <f t="shared" si="126"/>
        <v/>
      </c>
      <c r="U65" s="14" t="str">
        <f t="shared" si="126"/>
        <v/>
      </c>
      <c r="V65" s="14" t="str">
        <f t="shared" si="126"/>
        <v/>
      </c>
      <c r="W65" s="14" t="str">
        <f t="shared" si="126"/>
        <v/>
      </c>
      <c r="X65" s="17" t="str">
        <f>IFERROR(__xludf.DUMMYFUNCTION("""COMPUTED_VALUE"""),"Constantia electrician")</f>
        <v>Constantia electrician</v>
      </c>
      <c r="Y65" s="8"/>
      <c r="Z65" s="8"/>
    </row>
    <row r="66">
      <c r="A66" s="13"/>
      <c r="B66" s="14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14" t="str">
        <f t="shared" si="127"/>
        <v/>
      </c>
      <c r="D66" s="14" t="str">
        <f t="shared" si="127"/>
        <v/>
      </c>
      <c r="E66" s="14" t="str">
        <f t="shared" si="127"/>
        <v/>
      </c>
      <c r="F66" s="14" t="str">
        <f t="shared" si="127"/>
        <v/>
      </c>
      <c r="G66" s="14" t="str">
        <f t="shared" si="127"/>
        <v/>
      </c>
      <c r="H66" s="14" t="str">
        <f t="shared" si="127"/>
        <v/>
      </c>
      <c r="I66" s="14" t="str">
        <f t="shared" si="127"/>
        <v/>
      </c>
      <c r="J66" s="14" t="str">
        <f t="shared" si="127"/>
        <v/>
      </c>
      <c r="K66" s="14" t="str">
        <f t="shared" si="127"/>
        <v/>
      </c>
      <c r="L66" s="15" t="str">
        <f>IFERROR(__xludf.DUMMYFUNCTION("""COMPUTED_VALUE"""),"electrician Maitland")</f>
        <v>electrician Maitland</v>
      </c>
      <c r="M66" s="16"/>
      <c r="N66" s="14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14" t="str">
        <f t="shared" si="128"/>
        <v/>
      </c>
      <c r="P66" s="14" t="str">
        <f t="shared" si="128"/>
        <v/>
      </c>
      <c r="Q66" s="14" t="str">
        <f t="shared" si="128"/>
        <v/>
      </c>
      <c r="R66" s="14" t="str">
        <f t="shared" si="128"/>
        <v/>
      </c>
      <c r="S66" s="14" t="str">
        <f t="shared" si="128"/>
        <v/>
      </c>
      <c r="T66" s="14" t="str">
        <f t="shared" si="128"/>
        <v/>
      </c>
      <c r="U66" s="14" t="str">
        <f t="shared" si="128"/>
        <v/>
      </c>
      <c r="V66" s="14" t="str">
        <f t="shared" si="128"/>
        <v/>
      </c>
      <c r="W66" s="14" t="str">
        <f t="shared" si="128"/>
        <v/>
      </c>
      <c r="X66" s="17" t="str">
        <f>IFERROR(__xludf.DUMMYFUNCTION("""COMPUTED_VALUE"""),"Constantia emergency plumber")</f>
        <v>Constantia emergency plumber</v>
      </c>
      <c r="Y66" s="8"/>
      <c r="Z66" s="8"/>
    </row>
    <row r="67">
      <c r="A67" s="13"/>
      <c r="B67" s="14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14" t="str">
        <f t="shared" si="129"/>
        <v/>
      </c>
      <c r="D67" s="14" t="str">
        <f t="shared" si="129"/>
        <v/>
      </c>
      <c r="E67" s="14" t="str">
        <f t="shared" si="129"/>
        <v/>
      </c>
      <c r="F67" s="14" t="str">
        <f t="shared" si="129"/>
        <v/>
      </c>
      <c r="G67" s="14" t="str">
        <f t="shared" si="129"/>
        <v/>
      </c>
      <c r="H67" s="14" t="str">
        <f t="shared" si="129"/>
        <v/>
      </c>
      <c r="I67" s="14" t="str">
        <f t="shared" si="129"/>
        <v/>
      </c>
      <c r="J67" s="14" t="str">
        <f t="shared" si="129"/>
        <v/>
      </c>
      <c r="K67" s="14" t="str">
        <f t="shared" si="129"/>
        <v/>
      </c>
      <c r="L67" s="15" t="str">
        <f>IFERROR(__xludf.DUMMYFUNCTION("""COMPUTED_VALUE"""),"electrician Milnerton")</f>
        <v>electrician Milnerton</v>
      </c>
      <c r="M67" s="16"/>
      <c r="N67" s="14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14" t="str">
        <f t="shared" si="130"/>
        <v/>
      </c>
      <c r="P67" s="14" t="str">
        <f t="shared" si="130"/>
        <v/>
      </c>
      <c r="Q67" s="14" t="str">
        <f t="shared" si="130"/>
        <v/>
      </c>
      <c r="R67" s="14" t="str">
        <f t="shared" si="130"/>
        <v/>
      </c>
      <c r="S67" s="14" t="str">
        <f t="shared" si="130"/>
        <v/>
      </c>
      <c r="T67" s="14" t="str">
        <f t="shared" si="130"/>
        <v/>
      </c>
      <c r="U67" s="14" t="str">
        <f t="shared" si="130"/>
        <v/>
      </c>
      <c r="V67" s="14" t="str">
        <f t="shared" si="130"/>
        <v/>
      </c>
      <c r="W67" s="14" t="str">
        <f t="shared" si="130"/>
        <v/>
      </c>
      <c r="X67" s="17" t="str">
        <f>IFERROR(__xludf.DUMMYFUNCTION("""COMPUTED_VALUE"""),"Constantia geyser repair")</f>
        <v>Constantia geyser repair</v>
      </c>
      <c r="Y67" s="8"/>
      <c r="Z67" s="8"/>
    </row>
    <row r="68">
      <c r="A68" s="13"/>
      <c r="B68" s="14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14" t="str">
        <f t="shared" si="131"/>
        <v/>
      </c>
      <c r="D68" s="14" t="str">
        <f t="shared" si="131"/>
        <v/>
      </c>
      <c r="E68" s="14" t="str">
        <f t="shared" si="131"/>
        <v/>
      </c>
      <c r="F68" s="14" t="str">
        <f t="shared" si="131"/>
        <v/>
      </c>
      <c r="G68" s="14" t="str">
        <f t="shared" si="131"/>
        <v/>
      </c>
      <c r="H68" s="14" t="str">
        <f t="shared" si="131"/>
        <v/>
      </c>
      <c r="I68" s="14" t="str">
        <f t="shared" si="131"/>
        <v/>
      </c>
      <c r="J68" s="14" t="str">
        <f t="shared" si="131"/>
        <v/>
      </c>
      <c r="K68" s="14" t="str">
        <f t="shared" si="131"/>
        <v/>
      </c>
      <c r="L68" s="15" t="str">
        <f>IFERROR(__xludf.DUMMYFUNCTION("""COMPUTED_VALUE"""),"electrician Muizenberg")</f>
        <v>electrician Muizenberg</v>
      </c>
      <c r="M68" s="16"/>
      <c r="N68" s="14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14" t="str">
        <f t="shared" si="132"/>
        <v/>
      </c>
      <c r="P68" s="14" t="str">
        <f t="shared" si="132"/>
        <v/>
      </c>
      <c r="Q68" s="14" t="str">
        <f t="shared" si="132"/>
        <v/>
      </c>
      <c r="R68" s="14" t="str">
        <f t="shared" si="132"/>
        <v/>
      </c>
      <c r="S68" s="14" t="str">
        <f t="shared" si="132"/>
        <v/>
      </c>
      <c r="T68" s="14" t="str">
        <f t="shared" si="132"/>
        <v/>
      </c>
      <c r="U68" s="14" t="str">
        <f t="shared" si="132"/>
        <v/>
      </c>
      <c r="V68" s="14" t="str">
        <f t="shared" si="132"/>
        <v/>
      </c>
      <c r="W68" s="14" t="str">
        <f t="shared" si="132"/>
        <v/>
      </c>
      <c r="X68" s="17" t="str">
        <f>IFERROR(__xludf.DUMMYFUNCTION("""COMPUTED_VALUE"""),"Constantia leak detection plumber")</f>
        <v>Constantia leak detection plumber</v>
      </c>
      <c r="Y68" s="8"/>
      <c r="Z68" s="8"/>
    </row>
    <row r="69">
      <c r="A69" s="13"/>
      <c r="B69" s="14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14" t="str">
        <f t="shared" si="133"/>
        <v/>
      </c>
      <c r="D69" s="14" t="str">
        <f t="shared" si="133"/>
        <v/>
      </c>
      <c r="E69" s="14" t="str">
        <f t="shared" si="133"/>
        <v/>
      </c>
      <c r="F69" s="14" t="str">
        <f t="shared" si="133"/>
        <v/>
      </c>
      <c r="G69" s="14" t="str">
        <f t="shared" si="133"/>
        <v/>
      </c>
      <c r="H69" s="14" t="str">
        <f t="shared" si="133"/>
        <v/>
      </c>
      <c r="I69" s="14" t="str">
        <f t="shared" si="133"/>
        <v/>
      </c>
      <c r="J69" s="14" t="str">
        <f t="shared" si="133"/>
        <v/>
      </c>
      <c r="K69" s="14" t="str">
        <f t="shared" si="133"/>
        <v/>
      </c>
      <c r="L69" s="15" t="str">
        <f>IFERROR(__xludf.DUMMYFUNCTION("""COMPUTED_VALUE"""),"electrician Newlands")</f>
        <v>electrician Newlands</v>
      </c>
      <c r="M69" s="16"/>
      <c r="N69" s="14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14" t="str">
        <f t="shared" si="134"/>
        <v/>
      </c>
      <c r="P69" s="14" t="str">
        <f t="shared" si="134"/>
        <v/>
      </c>
      <c r="Q69" s="14" t="str">
        <f t="shared" si="134"/>
        <v/>
      </c>
      <c r="R69" s="14" t="str">
        <f t="shared" si="134"/>
        <v/>
      </c>
      <c r="S69" s="14" t="str">
        <f t="shared" si="134"/>
        <v/>
      </c>
      <c r="T69" s="14" t="str">
        <f t="shared" si="134"/>
        <v/>
      </c>
      <c r="U69" s="14" t="str">
        <f t="shared" si="134"/>
        <v/>
      </c>
      <c r="V69" s="14" t="str">
        <f t="shared" si="134"/>
        <v/>
      </c>
      <c r="W69" s="14" t="str">
        <f t="shared" si="134"/>
        <v/>
      </c>
      <c r="X69" s="17" t="str">
        <f>IFERROR(__xludf.DUMMYFUNCTION("""COMPUTED_VALUE"""),"Constantia plumber")</f>
        <v>Constantia plumber</v>
      </c>
      <c r="Y69" s="8"/>
      <c r="Z69" s="8"/>
    </row>
    <row r="70">
      <c r="A70" s="13"/>
      <c r="B70" s="14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14" t="str">
        <f t="shared" si="135"/>
        <v/>
      </c>
      <c r="D70" s="14" t="str">
        <f t="shared" si="135"/>
        <v/>
      </c>
      <c r="E70" s="14" t="str">
        <f t="shared" si="135"/>
        <v/>
      </c>
      <c r="F70" s="14" t="str">
        <f t="shared" si="135"/>
        <v/>
      </c>
      <c r="G70" s="14" t="str">
        <f t="shared" si="135"/>
        <v/>
      </c>
      <c r="H70" s="14" t="str">
        <f t="shared" si="135"/>
        <v/>
      </c>
      <c r="I70" s="14" t="str">
        <f t="shared" si="135"/>
        <v/>
      </c>
      <c r="J70" s="14" t="str">
        <f t="shared" si="135"/>
        <v/>
      </c>
      <c r="K70" s="14" t="str">
        <f t="shared" si="135"/>
        <v/>
      </c>
      <c r="L70" s="15" t="str">
        <f>IFERROR(__xludf.DUMMYFUNCTION("""COMPUTED_VALUE"""),"electrician Northern Suburbs")</f>
        <v>electrician Northern Suburbs</v>
      </c>
      <c r="M70" s="16"/>
      <c r="N70" s="14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14" t="str">
        <f t="shared" si="136"/>
        <v/>
      </c>
      <c r="P70" s="14" t="str">
        <f t="shared" si="136"/>
        <v/>
      </c>
      <c r="Q70" s="14" t="str">
        <f t="shared" si="136"/>
        <v/>
      </c>
      <c r="R70" s="14" t="str">
        <f t="shared" si="136"/>
        <v/>
      </c>
      <c r="S70" s="14" t="str">
        <f t="shared" si="136"/>
        <v/>
      </c>
      <c r="T70" s="14" t="str">
        <f t="shared" si="136"/>
        <v/>
      </c>
      <c r="U70" s="14" t="str">
        <f t="shared" si="136"/>
        <v/>
      </c>
      <c r="V70" s="14" t="str">
        <f t="shared" si="136"/>
        <v/>
      </c>
      <c r="W70" s="14" t="str">
        <f t="shared" si="136"/>
        <v/>
      </c>
      <c r="X70" s="17" t="str">
        <f>IFERROR(__xludf.DUMMYFUNCTION("""COMPUTED_VALUE"""),"Constantia plumbers")</f>
        <v>Constantia plumbers</v>
      </c>
      <c r="Y70" s="8"/>
      <c r="Z70" s="8"/>
    </row>
    <row r="71">
      <c r="A71" s="13"/>
      <c r="B71" s="14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14" t="str">
        <f t="shared" si="137"/>
        <v/>
      </c>
      <c r="D71" s="14" t="str">
        <f t="shared" si="137"/>
        <v/>
      </c>
      <c r="E71" s="14" t="str">
        <f t="shared" si="137"/>
        <v/>
      </c>
      <c r="F71" s="14" t="str">
        <f t="shared" si="137"/>
        <v/>
      </c>
      <c r="G71" s="14" t="str">
        <f t="shared" si="137"/>
        <v/>
      </c>
      <c r="H71" s="14" t="str">
        <f t="shared" si="137"/>
        <v/>
      </c>
      <c r="I71" s="14" t="str">
        <f t="shared" si="137"/>
        <v/>
      </c>
      <c r="J71" s="14" t="str">
        <f t="shared" si="137"/>
        <v/>
      </c>
      <c r="K71" s="14" t="str">
        <f t="shared" si="137"/>
        <v/>
      </c>
      <c r="L71" s="15" t="str">
        <f>IFERROR(__xludf.DUMMYFUNCTION("""COMPUTED_VALUE"""),"electrician Observatory")</f>
        <v>electrician Observatory</v>
      </c>
      <c r="M71" s="16"/>
      <c r="N71" s="14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14" t="str">
        <f t="shared" si="138"/>
        <v/>
      </c>
      <c r="P71" s="14" t="str">
        <f t="shared" si="138"/>
        <v/>
      </c>
      <c r="Q71" s="14" t="str">
        <f t="shared" si="138"/>
        <v/>
      </c>
      <c r="R71" s="14" t="str">
        <f t="shared" si="138"/>
        <v/>
      </c>
      <c r="S71" s="14" t="str">
        <f t="shared" si="138"/>
        <v/>
      </c>
      <c r="T71" s="14" t="str">
        <f t="shared" si="138"/>
        <v/>
      </c>
      <c r="U71" s="14" t="str">
        <f t="shared" si="138"/>
        <v/>
      </c>
      <c r="V71" s="14" t="str">
        <f t="shared" si="138"/>
        <v/>
      </c>
      <c r="W71" s="14" t="str">
        <f t="shared" si="138"/>
        <v/>
      </c>
      <c r="X71" s="17" t="str">
        <f>IFERROR(__xludf.DUMMYFUNCTION("""COMPUTED_VALUE"""),"Constantia plumbing company")</f>
        <v>Constantia plumbing company</v>
      </c>
      <c r="Y71" s="8"/>
      <c r="Z71" s="8"/>
    </row>
    <row r="72">
      <c r="A72" s="13"/>
      <c r="B72" s="14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14" t="str">
        <f t="shared" si="139"/>
        <v/>
      </c>
      <c r="D72" s="14" t="str">
        <f t="shared" si="139"/>
        <v/>
      </c>
      <c r="E72" s="14" t="str">
        <f t="shared" si="139"/>
        <v/>
      </c>
      <c r="F72" s="14" t="str">
        <f t="shared" si="139"/>
        <v/>
      </c>
      <c r="G72" s="14" t="str">
        <f t="shared" si="139"/>
        <v/>
      </c>
      <c r="H72" s="14" t="str">
        <f t="shared" si="139"/>
        <v/>
      </c>
      <c r="I72" s="14" t="str">
        <f t="shared" si="139"/>
        <v/>
      </c>
      <c r="J72" s="14" t="str">
        <f t="shared" si="139"/>
        <v/>
      </c>
      <c r="K72" s="14" t="str">
        <f t="shared" si="139"/>
        <v/>
      </c>
      <c r="L72" s="15" t="str">
        <f>IFERROR(__xludf.DUMMYFUNCTION("""COMPUTED_VALUE"""),"electrician Plumstead")</f>
        <v>electrician Plumstead</v>
      </c>
      <c r="M72" s="16"/>
      <c r="N72" s="14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14" t="str">
        <f t="shared" si="140"/>
        <v/>
      </c>
      <c r="P72" s="14" t="str">
        <f t="shared" si="140"/>
        <v/>
      </c>
      <c r="Q72" s="14" t="str">
        <f t="shared" si="140"/>
        <v/>
      </c>
      <c r="R72" s="14" t="str">
        <f t="shared" si="140"/>
        <v/>
      </c>
      <c r="S72" s="14" t="str">
        <f t="shared" si="140"/>
        <v/>
      </c>
      <c r="T72" s="14" t="str">
        <f t="shared" si="140"/>
        <v/>
      </c>
      <c r="U72" s="14" t="str">
        <f t="shared" si="140"/>
        <v/>
      </c>
      <c r="V72" s="14" t="str">
        <f t="shared" si="140"/>
        <v/>
      </c>
      <c r="W72" s="14" t="str">
        <f t="shared" si="140"/>
        <v/>
      </c>
      <c r="X72" s="17" t="str">
        <f>IFERROR(__xludf.DUMMYFUNCTION("""COMPUTED_VALUE"""),"Constantia refrigeration services")</f>
        <v>Constantia refrigeration services</v>
      </c>
      <c r="Y72" s="8"/>
      <c r="Z72" s="8"/>
    </row>
    <row r="73">
      <c r="A73" s="13"/>
      <c r="B73" s="14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14" t="str">
        <f t="shared" si="141"/>
        <v/>
      </c>
      <c r="D73" s="14" t="str">
        <f t="shared" si="141"/>
        <v/>
      </c>
      <c r="E73" s="14" t="str">
        <f t="shared" si="141"/>
        <v/>
      </c>
      <c r="F73" s="14" t="str">
        <f t="shared" si="141"/>
        <v/>
      </c>
      <c r="G73" s="14" t="str">
        <f t="shared" si="141"/>
        <v/>
      </c>
      <c r="H73" s="14" t="str">
        <f t="shared" si="141"/>
        <v/>
      </c>
      <c r="I73" s="14" t="str">
        <f t="shared" si="141"/>
        <v/>
      </c>
      <c r="J73" s="14" t="str">
        <f t="shared" si="141"/>
        <v/>
      </c>
      <c r="K73" s="14" t="str">
        <f t="shared" si="141"/>
        <v/>
      </c>
      <c r="L73" s="15" t="str">
        <f>IFERROR(__xludf.DUMMYFUNCTION("""COMPUTED_VALUE"""),"electrician Rondebosch")</f>
        <v>electrician Rondebosch</v>
      </c>
      <c r="M73" s="16"/>
      <c r="N73" s="14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14" t="str">
        <f t="shared" si="142"/>
        <v/>
      </c>
      <c r="P73" s="14" t="str">
        <f t="shared" si="142"/>
        <v/>
      </c>
      <c r="Q73" s="14" t="str">
        <f t="shared" si="142"/>
        <v/>
      </c>
      <c r="R73" s="14" t="str">
        <f t="shared" si="142"/>
        <v/>
      </c>
      <c r="S73" s="14" t="str">
        <f t="shared" si="142"/>
        <v/>
      </c>
      <c r="T73" s="14" t="str">
        <f t="shared" si="142"/>
        <v/>
      </c>
      <c r="U73" s="14" t="str">
        <f t="shared" si="142"/>
        <v/>
      </c>
      <c r="V73" s="14" t="str">
        <f t="shared" si="142"/>
        <v/>
      </c>
      <c r="W73" s="14" t="str">
        <f t="shared" si="142"/>
        <v/>
      </c>
      <c r="X73" s="17" t="str">
        <f>IFERROR(__xludf.DUMMYFUNCTION("""COMPUTED_VALUE"""),"Durbanville aircon repairs")</f>
        <v>Durbanville aircon repairs</v>
      </c>
      <c r="Y73" s="8"/>
      <c r="Z73" s="8"/>
    </row>
    <row r="74">
      <c r="A74" s="13"/>
      <c r="B74" s="14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14" t="str">
        <f t="shared" si="143"/>
        <v/>
      </c>
      <c r="D74" s="14" t="str">
        <f t="shared" si="143"/>
        <v/>
      </c>
      <c r="E74" s="14" t="str">
        <f t="shared" si="143"/>
        <v/>
      </c>
      <c r="F74" s="14" t="str">
        <f t="shared" si="143"/>
        <v/>
      </c>
      <c r="G74" s="14" t="str">
        <f t="shared" si="143"/>
        <v/>
      </c>
      <c r="H74" s="14" t="str">
        <f t="shared" si="143"/>
        <v/>
      </c>
      <c r="I74" s="14" t="str">
        <f t="shared" si="143"/>
        <v/>
      </c>
      <c r="J74" s="14" t="str">
        <f t="shared" si="143"/>
        <v/>
      </c>
      <c r="K74" s="14" t="str">
        <f t="shared" si="143"/>
        <v/>
      </c>
      <c r="L74" s="15" t="str">
        <f>IFERROR(__xludf.DUMMYFUNCTION("""COMPUTED_VALUE"""),"electrician Sea Point")</f>
        <v>electrician Sea Point</v>
      </c>
      <c r="M74" s="16"/>
      <c r="N74" s="14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14" t="str">
        <f t="shared" si="144"/>
        <v/>
      </c>
      <c r="P74" s="14" t="str">
        <f t="shared" si="144"/>
        <v/>
      </c>
      <c r="Q74" s="14" t="str">
        <f t="shared" si="144"/>
        <v/>
      </c>
      <c r="R74" s="14" t="str">
        <f t="shared" si="144"/>
        <v/>
      </c>
      <c r="S74" s="14" t="str">
        <f t="shared" si="144"/>
        <v/>
      </c>
      <c r="T74" s="14" t="str">
        <f t="shared" si="144"/>
        <v/>
      </c>
      <c r="U74" s="14" t="str">
        <f t="shared" si="144"/>
        <v/>
      </c>
      <c r="V74" s="14" t="str">
        <f t="shared" si="144"/>
        <v/>
      </c>
      <c r="W74" s="14" t="str">
        <f t="shared" si="144"/>
        <v/>
      </c>
      <c r="X74" s="17" t="str">
        <f>IFERROR(__xludf.DUMMYFUNCTION("""COMPUTED_VALUE"""),"Durbanville blocked drain plumber")</f>
        <v>Durbanville blocked drain plumber</v>
      </c>
      <c r="Y74" s="8"/>
      <c r="Z74" s="8"/>
    </row>
    <row r="75">
      <c r="A75" s="13"/>
      <c r="B75" s="14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14" t="str">
        <f t="shared" si="145"/>
        <v/>
      </c>
      <c r="D75" s="14" t="str">
        <f t="shared" si="145"/>
        <v/>
      </c>
      <c r="E75" s="14" t="str">
        <f t="shared" si="145"/>
        <v/>
      </c>
      <c r="F75" s="14" t="str">
        <f t="shared" si="145"/>
        <v/>
      </c>
      <c r="G75" s="14" t="str">
        <f t="shared" si="145"/>
        <v/>
      </c>
      <c r="H75" s="14" t="str">
        <f t="shared" si="145"/>
        <v/>
      </c>
      <c r="I75" s="14" t="str">
        <f t="shared" si="145"/>
        <v/>
      </c>
      <c r="J75" s="14" t="str">
        <f t="shared" si="145"/>
        <v/>
      </c>
      <c r="K75" s="14" t="str">
        <f t="shared" si="145"/>
        <v/>
      </c>
      <c r="L75" s="15" t="str">
        <f>IFERROR(__xludf.DUMMYFUNCTION("""COMPUTED_VALUE"""),"electrician South Africa")</f>
        <v>electrician South Africa</v>
      </c>
      <c r="M75" s="16"/>
      <c r="N75" s="14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14" t="str">
        <f t="shared" si="146"/>
        <v/>
      </c>
      <c r="P75" s="14" t="str">
        <f t="shared" si="146"/>
        <v/>
      </c>
      <c r="Q75" s="14" t="str">
        <f t="shared" si="146"/>
        <v/>
      </c>
      <c r="R75" s="14" t="str">
        <f t="shared" si="146"/>
        <v/>
      </c>
      <c r="S75" s="14" t="str">
        <f t="shared" si="146"/>
        <v/>
      </c>
      <c r="T75" s="14" t="str">
        <f t="shared" si="146"/>
        <v/>
      </c>
      <c r="U75" s="14" t="str">
        <f t="shared" si="146"/>
        <v/>
      </c>
      <c r="V75" s="14" t="str">
        <f t="shared" si="146"/>
        <v/>
      </c>
      <c r="W75" s="14" t="str">
        <f t="shared" si="146"/>
        <v/>
      </c>
      <c r="X75" s="17" t="str">
        <f>IFERROR(__xludf.DUMMYFUNCTION("""COMPUTED_VALUE"""),"Durbanville electrician")</f>
        <v>Durbanville electrician</v>
      </c>
      <c r="Y75" s="8"/>
      <c r="Z75" s="8"/>
    </row>
    <row r="76">
      <c r="A76" s="13"/>
      <c r="B76" s="14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14" t="str">
        <f t="shared" si="147"/>
        <v/>
      </c>
      <c r="D76" s="14" t="str">
        <f t="shared" si="147"/>
        <v/>
      </c>
      <c r="E76" s="14" t="str">
        <f t="shared" si="147"/>
        <v/>
      </c>
      <c r="F76" s="14" t="str">
        <f t="shared" si="147"/>
        <v/>
      </c>
      <c r="G76" s="14" t="str">
        <f t="shared" si="147"/>
        <v/>
      </c>
      <c r="H76" s="14" t="str">
        <f t="shared" si="147"/>
        <v/>
      </c>
      <c r="I76" s="14" t="str">
        <f t="shared" si="147"/>
        <v/>
      </c>
      <c r="J76" s="14" t="str">
        <f t="shared" si="147"/>
        <v/>
      </c>
      <c r="K76" s="14" t="str">
        <f t="shared" si="147"/>
        <v/>
      </c>
      <c r="L76" s="15" t="str">
        <f>IFERROR(__xludf.DUMMYFUNCTION("""COMPUTED_VALUE"""),"electrician Southern Suburbs")</f>
        <v>electrician Southern Suburbs</v>
      </c>
      <c r="M76" s="16"/>
      <c r="N76" s="14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14" t="str">
        <f t="shared" si="148"/>
        <v/>
      </c>
      <c r="P76" s="14" t="str">
        <f t="shared" si="148"/>
        <v/>
      </c>
      <c r="Q76" s="14" t="str">
        <f t="shared" si="148"/>
        <v/>
      </c>
      <c r="R76" s="14" t="str">
        <f t="shared" si="148"/>
        <v/>
      </c>
      <c r="S76" s="14" t="str">
        <f t="shared" si="148"/>
        <v/>
      </c>
      <c r="T76" s="14" t="str">
        <f t="shared" si="148"/>
        <v/>
      </c>
      <c r="U76" s="14" t="str">
        <f t="shared" si="148"/>
        <v/>
      </c>
      <c r="V76" s="14" t="str">
        <f t="shared" si="148"/>
        <v/>
      </c>
      <c r="W76" s="14" t="str">
        <f t="shared" si="148"/>
        <v/>
      </c>
      <c r="X76" s="17" t="str">
        <f>IFERROR(__xludf.DUMMYFUNCTION("""COMPUTED_VALUE"""),"Durbanville emergency plumber")</f>
        <v>Durbanville emergency plumber</v>
      </c>
      <c r="Y76" s="8"/>
      <c r="Z76" s="8"/>
    </row>
    <row r="77">
      <c r="A77" s="13"/>
      <c r="B77" s="14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14" t="str">
        <f t="shared" si="149"/>
        <v/>
      </c>
      <c r="D77" s="14" t="str">
        <f t="shared" si="149"/>
        <v/>
      </c>
      <c r="E77" s="14" t="str">
        <f t="shared" si="149"/>
        <v/>
      </c>
      <c r="F77" s="14" t="str">
        <f t="shared" si="149"/>
        <v/>
      </c>
      <c r="G77" s="14" t="str">
        <f t="shared" si="149"/>
        <v/>
      </c>
      <c r="H77" s="14" t="str">
        <f t="shared" si="149"/>
        <v/>
      </c>
      <c r="I77" s="14" t="str">
        <f t="shared" si="149"/>
        <v/>
      </c>
      <c r="J77" s="14" t="str">
        <f t="shared" si="149"/>
        <v/>
      </c>
      <c r="K77" s="14" t="str">
        <f t="shared" si="149"/>
        <v/>
      </c>
      <c r="L77" s="15" t="str">
        <f>IFERROR(__xludf.DUMMYFUNCTION("""COMPUTED_VALUE"""),"electrician Table View")</f>
        <v>electrician Table View</v>
      </c>
      <c r="M77" s="16"/>
      <c r="N77" s="14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14" t="str">
        <f t="shared" si="150"/>
        <v/>
      </c>
      <c r="P77" s="14" t="str">
        <f t="shared" si="150"/>
        <v/>
      </c>
      <c r="Q77" s="14" t="str">
        <f t="shared" si="150"/>
        <v/>
      </c>
      <c r="R77" s="14" t="str">
        <f t="shared" si="150"/>
        <v/>
      </c>
      <c r="S77" s="14" t="str">
        <f t="shared" si="150"/>
        <v/>
      </c>
      <c r="T77" s="14" t="str">
        <f t="shared" si="150"/>
        <v/>
      </c>
      <c r="U77" s="14" t="str">
        <f t="shared" si="150"/>
        <v/>
      </c>
      <c r="V77" s="14" t="str">
        <f t="shared" si="150"/>
        <v/>
      </c>
      <c r="W77" s="14" t="str">
        <f t="shared" si="150"/>
        <v/>
      </c>
      <c r="X77" s="17" t="str">
        <f>IFERROR(__xludf.DUMMYFUNCTION("""COMPUTED_VALUE"""),"Durbanville geyser repair")</f>
        <v>Durbanville geyser repair</v>
      </c>
      <c r="Y77" s="8"/>
      <c r="Z77" s="8"/>
    </row>
    <row r="78">
      <c r="A78" s="13"/>
      <c r="B78" s="14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14" t="str">
        <f t="shared" si="151"/>
        <v/>
      </c>
      <c r="D78" s="14" t="str">
        <f t="shared" si="151"/>
        <v/>
      </c>
      <c r="E78" s="14" t="str">
        <f t="shared" si="151"/>
        <v/>
      </c>
      <c r="F78" s="14" t="str">
        <f t="shared" si="151"/>
        <v/>
      </c>
      <c r="G78" s="14" t="str">
        <f t="shared" si="151"/>
        <v/>
      </c>
      <c r="H78" s="14" t="str">
        <f t="shared" si="151"/>
        <v/>
      </c>
      <c r="I78" s="14" t="str">
        <f t="shared" si="151"/>
        <v/>
      </c>
      <c r="J78" s="14" t="str">
        <f t="shared" si="151"/>
        <v/>
      </c>
      <c r="K78" s="14" t="str">
        <f t="shared" si="151"/>
        <v/>
      </c>
      <c r="L78" s="15" t="str">
        <f>IFERROR(__xludf.DUMMYFUNCTION("""COMPUTED_VALUE"""),"electrician Tokai")</f>
        <v>electrician Tokai</v>
      </c>
      <c r="M78" s="16"/>
      <c r="N78" s="14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14" t="str">
        <f t="shared" si="152"/>
        <v/>
      </c>
      <c r="P78" s="14" t="str">
        <f t="shared" si="152"/>
        <v/>
      </c>
      <c r="Q78" s="14" t="str">
        <f t="shared" si="152"/>
        <v/>
      </c>
      <c r="R78" s="14" t="str">
        <f t="shared" si="152"/>
        <v/>
      </c>
      <c r="S78" s="14" t="str">
        <f t="shared" si="152"/>
        <v/>
      </c>
      <c r="T78" s="14" t="str">
        <f t="shared" si="152"/>
        <v/>
      </c>
      <c r="U78" s="14" t="str">
        <f t="shared" si="152"/>
        <v/>
      </c>
      <c r="V78" s="14" t="str">
        <f t="shared" si="152"/>
        <v/>
      </c>
      <c r="W78" s="14" t="str">
        <f t="shared" si="152"/>
        <v/>
      </c>
      <c r="X78" s="17" t="str">
        <f>IFERROR(__xludf.DUMMYFUNCTION("""COMPUTED_VALUE"""),"Durbanville leak detection plumber")</f>
        <v>Durbanville leak detection plumber</v>
      </c>
      <c r="Y78" s="8"/>
      <c r="Z78" s="8"/>
    </row>
    <row r="79">
      <c r="A79" s="13"/>
      <c r="B79" s="14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14" t="str">
        <f t="shared" si="153"/>
        <v/>
      </c>
      <c r="D79" s="14" t="str">
        <f t="shared" si="153"/>
        <v/>
      </c>
      <c r="E79" s="14" t="str">
        <f t="shared" si="153"/>
        <v/>
      </c>
      <c r="F79" s="14" t="str">
        <f t="shared" si="153"/>
        <v/>
      </c>
      <c r="G79" s="14" t="str">
        <f t="shared" si="153"/>
        <v/>
      </c>
      <c r="H79" s="14" t="str">
        <f t="shared" si="153"/>
        <v/>
      </c>
      <c r="I79" s="14" t="str">
        <f t="shared" si="153"/>
        <v/>
      </c>
      <c r="J79" s="14" t="str">
        <f t="shared" si="153"/>
        <v/>
      </c>
      <c r="K79" s="14" t="str">
        <f t="shared" si="153"/>
        <v/>
      </c>
      <c r="L79" s="15" t="str">
        <f>IFERROR(__xludf.DUMMYFUNCTION("""COMPUTED_VALUE"""),"electrician Woodstock")</f>
        <v>electrician Woodstock</v>
      </c>
      <c r="M79" s="16"/>
      <c r="N79" s="14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14" t="str">
        <f t="shared" si="154"/>
        <v/>
      </c>
      <c r="P79" s="14" t="str">
        <f t="shared" si="154"/>
        <v/>
      </c>
      <c r="Q79" s="14" t="str">
        <f t="shared" si="154"/>
        <v/>
      </c>
      <c r="R79" s="14" t="str">
        <f t="shared" si="154"/>
        <v/>
      </c>
      <c r="S79" s="14" t="str">
        <f t="shared" si="154"/>
        <v/>
      </c>
      <c r="T79" s="14" t="str">
        <f t="shared" si="154"/>
        <v/>
      </c>
      <c r="U79" s="14" t="str">
        <f t="shared" si="154"/>
        <v/>
      </c>
      <c r="V79" s="14" t="str">
        <f t="shared" si="154"/>
        <v/>
      </c>
      <c r="W79" s="14" t="str">
        <f t="shared" si="154"/>
        <v/>
      </c>
      <c r="X79" s="17" t="str">
        <f>IFERROR(__xludf.DUMMYFUNCTION("""COMPUTED_VALUE"""),"Durbanville plumber")</f>
        <v>Durbanville plumber</v>
      </c>
      <c r="Y79" s="8"/>
      <c r="Z79" s="8"/>
    </row>
    <row r="80">
      <c r="A80" s="13"/>
      <c r="B80" s="14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14" t="str">
        <f t="shared" si="155"/>
        <v/>
      </c>
      <c r="D80" s="14" t="str">
        <f t="shared" si="155"/>
        <v/>
      </c>
      <c r="E80" s="14" t="str">
        <f t="shared" si="155"/>
        <v/>
      </c>
      <c r="F80" s="14" t="str">
        <f t="shared" si="155"/>
        <v/>
      </c>
      <c r="G80" s="14" t="str">
        <f t="shared" si="155"/>
        <v/>
      </c>
      <c r="H80" s="14" t="str">
        <f t="shared" si="155"/>
        <v/>
      </c>
      <c r="I80" s="14" t="str">
        <f t="shared" si="155"/>
        <v/>
      </c>
      <c r="J80" s="14" t="str">
        <f t="shared" si="155"/>
        <v/>
      </c>
      <c r="K80" s="14" t="str">
        <f t="shared" si="155"/>
        <v/>
      </c>
      <c r="L80" s="15" t="str">
        <f>IFERROR(__xludf.DUMMYFUNCTION("""COMPUTED_VALUE"""),"electrician Wynberg")</f>
        <v>electrician Wynberg</v>
      </c>
      <c r="M80" s="16"/>
      <c r="N80" s="14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14" t="str">
        <f t="shared" si="156"/>
        <v/>
      </c>
      <c r="P80" s="14" t="str">
        <f t="shared" si="156"/>
        <v/>
      </c>
      <c r="Q80" s="14" t="str">
        <f t="shared" si="156"/>
        <v/>
      </c>
      <c r="R80" s="14" t="str">
        <f t="shared" si="156"/>
        <v/>
      </c>
      <c r="S80" s="14" t="str">
        <f t="shared" si="156"/>
        <v/>
      </c>
      <c r="T80" s="14" t="str">
        <f t="shared" si="156"/>
        <v/>
      </c>
      <c r="U80" s="14" t="str">
        <f t="shared" si="156"/>
        <v/>
      </c>
      <c r="V80" s="14" t="str">
        <f t="shared" si="156"/>
        <v/>
      </c>
      <c r="W80" s="14" t="str">
        <f t="shared" si="156"/>
        <v/>
      </c>
      <c r="X80" s="17" t="str">
        <f>IFERROR(__xludf.DUMMYFUNCTION("""COMPUTED_VALUE"""),"Durbanville plumbers")</f>
        <v>Durbanville plumbers</v>
      </c>
      <c r="Y80" s="8"/>
      <c r="Z80" s="8"/>
    </row>
    <row r="81">
      <c r="A81" s="13"/>
      <c r="B81" s="14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14" t="str">
        <f t="shared" si="157"/>
        <v/>
      </c>
      <c r="D81" s="14" t="str">
        <f t="shared" si="157"/>
        <v/>
      </c>
      <c r="E81" s="14" t="str">
        <f t="shared" si="157"/>
        <v/>
      </c>
      <c r="F81" s="14" t="str">
        <f t="shared" si="157"/>
        <v/>
      </c>
      <c r="G81" s="14" t="str">
        <f t="shared" si="157"/>
        <v/>
      </c>
      <c r="H81" s="14" t="str">
        <f t="shared" si="157"/>
        <v/>
      </c>
      <c r="I81" s="14" t="str">
        <f t="shared" si="157"/>
        <v/>
      </c>
      <c r="J81" s="14" t="str">
        <f t="shared" si="157"/>
        <v/>
      </c>
      <c r="K81" s="14" t="str">
        <f t="shared" si="157"/>
        <v/>
      </c>
      <c r="L81" s="15" t="str">
        <f>IFERROR(__xludf.DUMMYFUNCTION("""COMPUTED_VALUE"""),"emergency plumber Atlantic Seaboard")</f>
        <v>emergency plumber Atlantic Seaboard</v>
      </c>
      <c r="M81" s="16"/>
      <c r="N81" s="14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14" t="str">
        <f t="shared" si="158"/>
        <v/>
      </c>
      <c r="P81" s="14" t="str">
        <f t="shared" si="158"/>
        <v/>
      </c>
      <c r="Q81" s="14" t="str">
        <f t="shared" si="158"/>
        <v/>
      </c>
      <c r="R81" s="14" t="str">
        <f t="shared" si="158"/>
        <v/>
      </c>
      <c r="S81" s="14" t="str">
        <f t="shared" si="158"/>
        <v/>
      </c>
      <c r="T81" s="14" t="str">
        <f t="shared" si="158"/>
        <v/>
      </c>
      <c r="U81" s="14" t="str">
        <f t="shared" si="158"/>
        <v/>
      </c>
      <c r="V81" s="14" t="str">
        <f t="shared" si="158"/>
        <v/>
      </c>
      <c r="W81" s="14" t="str">
        <f t="shared" si="158"/>
        <v/>
      </c>
      <c r="X81" s="17" t="str">
        <f>IFERROR(__xludf.DUMMYFUNCTION("""COMPUTED_VALUE"""),"Durbanville plumbing company")</f>
        <v>Durbanville plumbing company</v>
      </c>
      <c r="Y81" s="8"/>
      <c r="Z81" s="8"/>
    </row>
    <row r="82">
      <c r="A82" s="13"/>
      <c r="B82" s="14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14" t="str">
        <f t="shared" si="159"/>
        <v/>
      </c>
      <c r="D82" s="14" t="str">
        <f t="shared" si="159"/>
        <v/>
      </c>
      <c r="E82" s="14" t="str">
        <f t="shared" si="159"/>
        <v/>
      </c>
      <c r="F82" s="14" t="str">
        <f t="shared" si="159"/>
        <v/>
      </c>
      <c r="G82" s="14" t="str">
        <f t="shared" si="159"/>
        <v/>
      </c>
      <c r="H82" s="14" t="str">
        <f t="shared" si="159"/>
        <v/>
      </c>
      <c r="I82" s="14" t="str">
        <f t="shared" si="159"/>
        <v/>
      </c>
      <c r="J82" s="14" t="str">
        <f t="shared" si="159"/>
        <v/>
      </c>
      <c r="K82" s="14" t="str">
        <f t="shared" si="159"/>
        <v/>
      </c>
      <c r="L82" s="15" t="str">
        <f>IFERROR(__xludf.DUMMYFUNCTION("""COMPUTED_VALUE"""),"emergency plumber Bellville")</f>
        <v>emergency plumber Bellville</v>
      </c>
      <c r="M82" s="16"/>
      <c r="N82" s="14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14" t="str">
        <f t="shared" si="160"/>
        <v/>
      </c>
      <c r="P82" s="14" t="str">
        <f t="shared" si="160"/>
        <v/>
      </c>
      <c r="Q82" s="14" t="str">
        <f t="shared" si="160"/>
        <v/>
      </c>
      <c r="R82" s="14" t="str">
        <f t="shared" si="160"/>
        <v/>
      </c>
      <c r="S82" s="14" t="str">
        <f t="shared" si="160"/>
        <v/>
      </c>
      <c r="T82" s="14" t="str">
        <f t="shared" si="160"/>
        <v/>
      </c>
      <c r="U82" s="14" t="str">
        <f t="shared" si="160"/>
        <v/>
      </c>
      <c r="V82" s="14" t="str">
        <f t="shared" si="160"/>
        <v/>
      </c>
      <c r="W82" s="14" t="str">
        <f t="shared" si="160"/>
        <v/>
      </c>
      <c r="X82" s="17" t="str">
        <f>IFERROR(__xludf.DUMMYFUNCTION("""COMPUTED_VALUE"""),"Durbanville refrigeration services")</f>
        <v>Durbanville refrigeration services</v>
      </c>
      <c r="Y82" s="8"/>
      <c r="Z82" s="8"/>
    </row>
    <row r="83">
      <c r="A83" s="18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5" t="str">
        <f>IFERROR(__xludf.DUMMYFUNCTION("""COMPUTED_VALUE"""),"emergency plumber Camps Bay")</f>
        <v>emergency plumber Camps Bay</v>
      </c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7" t="str">
        <f>IFERROR(__xludf.DUMMYFUNCTION("""COMPUTED_VALUE"""),"Fish Hoek aircon repairs")</f>
        <v>Fish Hoek aircon repairs</v>
      </c>
      <c r="Y83" s="8"/>
      <c r="Z83" s="8"/>
    </row>
    <row r="84">
      <c r="A84" s="18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5" t="str">
        <f>IFERROR(__xludf.DUMMYFUNCTION("""COMPUTED_VALUE"""),"emergency plumber Cape Town")</f>
        <v>emergency plumber Cape Town</v>
      </c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7" t="str">
        <f>IFERROR(__xludf.DUMMYFUNCTION("""COMPUTED_VALUE"""),"Fish Hoek blocked drain plumber")</f>
        <v>Fish Hoek blocked drain plumber</v>
      </c>
      <c r="Y84" s="8"/>
      <c r="Z84" s="8"/>
    </row>
    <row r="85">
      <c r="A85" s="18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5" t="str">
        <f>IFERROR(__xludf.DUMMYFUNCTION("""COMPUTED_VALUE"""),"emergency plumber Cape Town CBD")</f>
        <v>emergency plumber Cape Town CBD</v>
      </c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7" t="str">
        <f>IFERROR(__xludf.DUMMYFUNCTION("""COMPUTED_VALUE"""),"Fish Hoek electrician")</f>
        <v>Fish Hoek electrician</v>
      </c>
      <c r="Y85" s="8"/>
      <c r="Z85" s="8"/>
    </row>
    <row r="86">
      <c r="A86" s="18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5" t="str">
        <f>IFERROR(__xludf.DUMMYFUNCTION("""COMPUTED_VALUE"""),"emergency plumber Claremont")</f>
        <v>emergency plumber Claremont</v>
      </c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7" t="str">
        <f>IFERROR(__xludf.DUMMYFUNCTION("""COMPUTED_VALUE"""),"Fish Hoek emergency plumber")</f>
        <v>Fish Hoek emergency plumber</v>
      </c>
      <c r="Y86" s="8"/>
      <c r="Z86" s="8"/>
    </row>
    <row r="87">
      <c r="A87" s="18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5" t="str">
        <f>IFERROR(__xludf.DUMMYFUNCTION("""COMPUTED_VALUE"""),"emergency plumber Constantia")</f>
        <v>emergency plumber Constantia</v>
      </c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7" t="str">
        <f>IFERROR(__xludf.DUMMYFUNCTION("""COMPUTED_VALUE"""),"Fish Hoek geyser repair")</f>
        <v>Fish Hoek geyser repair</v>
      </c>
      <c r="Y87" s="8"/>
      <c r="Z87" s="8"/>
    </row>
    <row r="88">
      <c r="A88" s="18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5" t="str">
        <f>IFERROR(__xludf.DUMMYFUNCTION("""COMPUTED_VALUE"""),"emergency plumber Durbanville")</f>
        <v>emergency plumber Durbanville</v>
      </c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7" t="str">
        <f>IFERROR(__xludf.DUMMYFUNCTION("""COMPUTED_VALUE"""),"Fish Hoek leak detection plumber")</f>
        <v>Fish Hoek leak detection plumber</v>
      </c>
      <c r="Y88" s="8"/>
      <c r="Z88" s="8"/>
    </row>
    <row r="89">
      <c r="A89" s="18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5" t="str">
        <f>IFERROR(__xludf.DUMMYFUNCTION("""COMPUTED_VALUE"""),"emergency plumber Fish Hoek")</f>
        <v>emergency plumber Fish Hoek</v>
      </c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7" t="str">
        <f>IFERROR(__xludf.DUMMYFUNCTION("""COMPUTED_VALUE"""),"Fish Hoek plumber")</f>
        <v>Fish Hoek plumber</v>
      </c>
      <c r="Y89" s="8"/>
      <c r="Z89" s="8"/>
    </row>
    <row r="90">
      <c r="A90" s="18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5" t="str">
        <f>IFERROR(__xludf.DUMMYFUNCTION("""COMPUTED_VALUE"""),"emergency plumber Green Point")</f>
        <v>emergency plumber Green Point</v>
      </c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7" t="str">
        <f>IFERROR(__xludf.DUMMYFUNCTION("""COMPUTED_VALUE"""),"Fish Hoek plumbers")</f>
        <v>Fish Hoek plumbers</v>
      </c>
      <c r="Y90" s="8"/>
      <c r="Z90" s="8"/>
    </row>
    <row r="91">
      <c r="A91" s="18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5" t="str">
        <f>IFERROR(__xludf.DUMMYFUNCTION("""COMPUTED_VALUE"""),"emergency plumber Hout Bay")</f>
        <v>emergency plumber Hout Bay</v>
      </c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7" t="str">
        <f>IFERROR(__xludf.DUMMYFUNCTION("""COMPUTED_VALUE"""),"Fish Hoek plumbing company")</f>
        <v>Fish Hoek plumbing company</v>
      </c>
      <c r="Y91" s="8"/>
      <c r="Z91" s="8"/>
    </row>
    <row r="92">
      <c r="A92" s="18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5" t="str">
        <f>IFERROR(__xludf.DUMMYFUNCTION("""COMPUTED_VALUE"""),"emergency plumber Maitland")</f>
        <v>emergency plumber Maitland</v>
      </c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7" t="str">
        <f>IFERROR(__xludf.DUMMYFUNCTION("""COMPUTED_VALUE"""),"Fish Hoek refrigeration services")</f>
        <v>Fish Hoek refrigeration services</v>
      </c>
      <c r="Y92" s="8"/>
      <c r="Z92" s="8"/>
    </row>
    <row r="93">
      <c r="A93" s="18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5" t="str">
        <f>IFERROR(__xludf.DUMMYFUNCTION("""COMPUTED_VALUE"""),"emergency plumber Milnerton")</f>
        <v>emergency plumber Milnerton</v>
      </c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7" t="str">
        <f>IFERROR(__xludf.DUMMYFUNCTION("""COMPUTED_VALUE"""),"Green Point aircon repairs")</f>
        <v>Green Point aircon repairs</v>
      </c>
      <c r="Y93" s="8"/>
      <c r="Z93" s="8"/>
    </row>
    <row r="94">
      <c r="A94" s="18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5" t="str">
        <f>IFERROR(__xludf.DUMMYFUNCTION("""COMPUTED_VALUE"""),"emergency plumber Muizenberg")</f>
        <v>emergency plumber Muizenberg</v>
      </c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7" t="str">
        <f>IFERROR(__xludf.DUMMYFUNCTION("""COMPUTED_VALUE"""),"Green Point blocked drain plumber")</f>
        <v>Green Point blocked drain plumber</v>
      </c>
      <c r="Y94" s="8"/>
      <c r="Z94" s="8"/>
    </row>
    <row r="95">
      <c r="A95" s="18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5" t="str">
        <f>IFERROR(__xludf.DUMMYFUNCTION("""COMPUTED_VALUE"""),"emergency plumber Newlands")</f>
        <v>emergency plumber Newlands</v>
      </c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7" t="str">
        <f>IFERROR(__xludf.DUMMYFUNCTION("""COMPUTED_VALUE"""),"Green Point electrician")</f>
        <v>Green Point electrician</v>
      </c>
      <c r="Y95" s="8"/>
      <c r="Z95" s="8"/>
    </row>
    <row r="96">
      <c r="A96" s="18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5" t="str">
        <f>IFERROR(__xludf.DUMMYFUNCTION("""COMPUTED_VALUE"""),"emergency plumber Northern Suburbs")</f>
        <v>emergency plumber Northern Suburbs</v>
      </c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7" t="str">
        <f>IFERROR(__xludf.DUMMYFUNCTION("""COMPUTED_VALUE"""),"Green Point emergency plumber")</f>
        <v>Green Point emergency plumber</v>
      </c>
      <c r="Y96" s="8"/>
      <c r="Z96" s="8"/>
    </row>
    <row r="97">
      <c r="A97" s="18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5" t="str">
        <f>IFERROR(__xludf.DUMMYFUNCTION("""COMPUTED_VALUE"""),"emergency plumber Observatory")</f>
        <v>emergency plumber Observatory</v>
      </c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7" t="str">
        <f>IFERROR(__xludf.DUMMYFUNCTION("""COMPUTED_VALUE"""),"Green Point geyser repair")</f>
        <v>Green Point geyser repair</v>
      </c>
      <c r="Y97" s="8"/>
      <c r="Z97" s="8"/>
    </row>
    <row r="98">
      <c r="A98" s="18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5" t="str">
        <f>IFERROR(__xludf.DUMMYFUNCTION("""COMPUTED_VALUE"""),"emergency plumber Plumstead")</f>
        <v>emergency plumber Plumstead</v>
      </c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7" t="str">
        <f>IFERROR(__xludf.DUMMYFUNCTION("""COMPUTED_VALUE"""),"Green Point leak detection plumber")</f>
        <v>Green Point leak detection plumber</v>
      </c>
      <c r="Y98" s="8"/>
      <c r="Z98" s="8"/>
    </row>
    <row r="99">
      <c r="A99" s="18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5" t="str">
        <f>IFERROR(__xludf.DUMMYFUNCTION("""COMPUTED_VALUE"""),"emergency plumber Rondebosch")</f>
        <v>emergency plumber Rondebosch</v>
      </c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7" t="str">
        <f>IFERROR(__xludf.DUMMYFUNCTION("""COMPUTED_VALUE"""),"Green Point plumber")</f>
        <v>Green Point plumber</v>
      </c>
      <c r="Y99" s="8"/>
      <c r="Z99" s="8"/>
    </row>
    <row r="100">
      <c r="A100" s="18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5" t="str">
        <f>IFERROR(__xludf.DUMMYFUNCTION("""COMPUTED_VALUE"""),"emergency plumber Sea Point")</f>
        <v>emergency plumber Sea Point</v>
      </c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7" t="str">
        <f>IFERROR(__xludf.DUMMYFUNCTION("""COMPUTED_VALUE"""),"Green Point plumbers")</f>
        <v>Green Point plumbers</v>
      </c>
      <c r="Y100" s="8"/>
      <c r="Z100" s="8"/>
    </row>
    <row r="101">
      <c r="A101" s="18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5" t="str">
        <f>IFERROR(__xludf.DUMMYFUNCTION("""COMPUTED_VALUE"""),"emergency plumber South Africa")</f>
        <v>emergency plumber South Africa</v>
      </c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7" t="str">
        <f>IFERROR(__xludf.DUMMYFUNCTION("""COMPUTED_VALUE"""),"Green Point plumbing company")</f>
        <v>Green Point plumbing company</v>
      </c>
      <c r="Y101" s="8"/>
      <c r="Z101" s="8"/>
    </row>
    <row r="102">
      <c r="A102" s="18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5" t="str">
        <f>IFERROR(__xludf.DUMMYFUNCTION("""COMPUTED_VALUE"""),"emergency plumber Southern Suburbs")</f>
        <v>emergency plumber Southern Suburbs</v>
      </c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7" t="str">
        <f>IFERROR(__xludf.DUMMYFUNCTION("""COMPUTED_VALUE"""),"Green Point refrigeration services")</f>
        <v>Green Point refrigeration services</v>
      </c>
      <c r="Y102" s="8"/>
      <c r="Z102" s="8"/>
    </row>
    <row r="103">
      <c r="A103" s="18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5" t="str">
        <f>IFERROR(__xludf.DUMMYFUNCTION("""COMPUTED_VALUE"""),"emergency plumber Table View")</f>
        <v>emergency plumber Table View</v>
      </c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7" t="str">
        <f>IFERROR(__xludf.DUMMYFUNCTION("""COMPUTED_VALUE"""),"Hout Bay aircon repairs")</f>
        <v>Hout Bay aircon repairs</v>
      </c>
      <c r="Y103" s="8"/>
      <c r="Z103" s="8"/>
    </row>
    <row r="104">
      <c r="A104" s="18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5" t="str">
        <f>IFERROR(__xludf.DUMMYFUNCTION("""COMPUTED_VALUE"""),"emergency plumber Tokai")</f>
        <v>emergency plumber Tokai</v>
      </c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7" t="str">
        <f>IFERROR(__xludf.DUMMYFUNCTION("""COMPUTED_VALUE"""),"Hout Bay blocked drain plumber")</f>
        <v>Hout Bay blocked drain plumber</v>
      </c>
      <c r="Y104" s="8"/>
      <c r="Z104" s="8"/>
    </row>
    <row r="105">
      <c r="A105" s="18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5" t="str">
        <f>IFERROR(__xludf.DUMMYFUNCTION("""COMPUTED_VALUE"""),"emergency plumber Woodstock")</f>
        <v>emergency plumber Woodstock</v>
      </c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7" t="str">
        <f>IFERROR(__xludf.DUMMYFUNCTION("""COMPUTED_VALUE"""),"Hout Bay electrician")</f>
        <v>Hout Bay electrician</v>
      </c>
      <c r="Y105" s="8"/>
      <c r="Z105" s="8"/>
    </row>
    <row r="106">
      <c r="A106" s="18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5" t="str">
        <f>IFERROR(__xludf.DUMMYFUNCTION("""COMPUTED_VALUE"""),"emergency plumber Wynberg")</f>
        <v>emergency plumber Wynberg</v>
      </c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7" t="str">
        <f>IFERROR(__xludf.DUMMYFUNCTION("""COMPUTED_VALUE"""),"Hout Bay emergency plumber")</f>
        <v>Hout Bay emergency plumber</v>
      </c>
      <c r="Y106" s="8"/>
      <c r="Z106" s="8"/>
    </row>
    <row r="107">
      <c r="A107" s="18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5" t="str">
        <f>IFERROR(__xludf.DUMMYFUNCTION("""COMPUTED_VALUE"""),"geyser repair Atlantic Seaboard")</f>
        <v>geyser repair Atlantic Seaboard</v>
      </c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7" t="str">
        <f>IFERROR(__xludf.DUMMYFUNCTION("""COMPUTED_VALUE"""),"Hout Bay geyser repair")</f>
        <v>Hout Bay geyser repair</v>
      </c>
      <c r="Y107" s="8"/>
      <c r="Z107" s="8"/>
    </row>
    <row r="108">
      <c r="A108" s="18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5" t="str">
        <f>IFERROR(__xludf.DUMMYFUNCTION("""COMPUTED_VALUE"""),"geyser repair Bellville")</f>
        <v>geyser repair Bellville</v>
      </c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7" t="str">
        <f>IFERROR(__xludf.DUMMYFUNCTION("""COMPUTED_VALUE"""),"Hout Bay leak detection plumber")</f>
        <v>Hout Bay leak detection plumber</v>
      </c>
      <c r="Y108" s="8"/>
      <c r="Z108" s="8"/>
    </row>
    <row r="109">
      <c r="A109" s="18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5" t="str">
        <f>IFERROR(__xludf.DUMMYFUNCTION("""COMPUTED_VALUE"""),"geyser repair Camps Bay")</f>
        <v>geyser repair Camps Bay</v>
      </c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7" t="str">
        <f>IFERROR(__xludf.DUMMYFUNCTION("""COMPUTED_VALUE"""),"Hout Bay plumber")</f>
        <v>Hout Bay plumber</v>
      </c>
      <c r="Y109" s="8"/>
      <c r="Z109" s="8"/>
    </row>
    <row r="110">
      <c r="A110" s="18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5" t="str">
        <f>IFERROR(__xludf.DUMMYFUNCTION("""COMPUTED_VALUE"""),"geyser repair Cape Town")</f>
        <v>geyser repair Cape Town</v>
      </c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7" t="str">
        <f>IFERROR(__xludf.DUMMYFUNCTION("""COMPUTED_VALUE"""),"Hout Bay plumbers")</f>
        <v>Hout Bay plumbers</v>
      </c>
      <c r="Y110" s="8"/>
      <c r="Z110" s="8"/>
    </row>
    <row r="111">
      <c r="A111" s="18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5" t="str">
        <f>IFERROR(__xludf.DUMMYFUNCTION("""COMPUTED_VALUE"""),"geyser repair Cape Town CBD")</f>
        <v>geyser repair Cape Town CBD</v>
      </c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7" t="str">
        <f>IFERROR(__xludf.DUMMYFUNCTION("""COMPUTED_VALUE"""),"Hout Bay plumbing company")</f>
        <v>Hout Bay plumbing company</v>
      </c>
      <c r="Y111" s="8"/>
      <c r="Z111" s="8"/>
    </row>
    <row r="112">
      <c r="A112" s="18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5" t="str">
        <f>IFERROR(__xludf.DUMMYFUNCTION("""COMPUTED_VALUE"""),"geyser repair Claremont")</f>
        <v>geyser repair Claremont</v>
      </c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7" t="str">
        <f>IFERROR(__xludf.DUMMYFUNCTION("""COMPUTED_VALUE"""),"Hout Bay refrigeration services")</f>
        <v>Hout Bay refrigeration services</v>
      </c>
      <c r="Y112" s="8"/>
      <c r="Z112" s="8"/>
    </row>
    <row r="113">
      <c r="A113" s="18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5" t="str">
        <f>IFERROR(__xludf.DUMMYFUNCTION("""COMPUTED_VALUE"""),"geyser repair Constantia")</f>
        <v>geyser repair Constantia</v>
      </c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7" t="str">
        <f>IFERROR(__xludf.DUMMYFUNCTION("""COMPUTED_VALUE"""),"Maitland aircon repairs")</f>
        <v>Maitland aircon repairs</v>
      </c>
      <c r="Y113" s="8"/>
      <c r="Z113" s="8"/>
    </row>
    <row r="114">
      <c r="A114" s="18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5" t="str">
        <f>IFERROR(__xludf.DUMMYFUNCTION("""COMPUTED_VALUE"""),"geyser repair Durbanville")</f>
        <v>geyser repair Durbanville</v>
      </c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7" t="str">
        <f>IFERROR(__xludf.DUMMYFUNCTION("""COMPUTED_VALUE"""),"Maitland blocked drain plumber")</f>
        <v>Maitland blocked drain plumber</v>
      </c>
      <c r="Y114" s="8"/>
      <c r="Z114" s="8"/>
    </row>
    <row r="115">
      <c r="A115" s="18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5" t="str">
        <f>IFERROR(__xludf.DUMMYFUNCTION("""COMPUTED_VALUE"""),"geyser repair Fish Hoek")</f>
        <v>geyser repair Fish Hoek</v>
      </c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7" t="str">
        <f>IFERROR(__xludf.DUMMYFUNCTION("""COMPUTED_VALUE"""),"Maitland electrician")</f>
        <v>Maitland electrician</v>
      </c>
      <c r="Y115" s="8"/>
      <c r="Z115" s="8"/>
    </row>
    <row r="116">
      <c r="A116" s="18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5" t="str">
        <f>IFERROR(__xludf.DUMMYFUNCTION("""COMPUTED_VALUE"""),"geyser repair Green Point")</f>
        <v>geyser repair Green Point</v>
      </c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7" t="str">
        <f>IFERROR(__xludf.DUMMYFUNCTION("""COMPUTED_VALUE"""),"Maitland emergency plumber")</f>
        <v>Maitland emergency plumber</v>
      </c>
      <c r="Y116" s="8"/>
      <c r="Z116" s="8"/>
    </row>
    <row r="117">
      <c r="A117" s="18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5" t="str">
        <f>IFERROR(__xludf.DUMMYFUNCTION("""COMPUTED_VALUE"""),"geyser repair Hout Bay")</f>
        <v>geyser repair Hout Bay</v>
      </c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7" t="str">
        <f>IFERROR(__xludf.DUMMYFUNCTION("""COMPUTED_VALUE"""),"Maitland geyser repair")</f>
        <v>Maitland geyser repair</v>
      </c>
      <c r="Y117" s="8"/>
      <c r="Z117" s="8"/>
    </row>
    <row r="118">
      <c r="A118" s="18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5" t="str">
        <f>IFERROR(__xludf.DUMMYFUNCTION("""COMPUTED_VALUE"""),"geyser repair Maitland")</f>
        <v>geyser repair Maitland</v>
      </c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7" t="str">
        <f>IFERROR(__xludf.DUMMYFUNCTION("""COMPUTED_VALUE"""),"Maitland leak detection plumber")</f>
        <v>Maitland leak detection plumber</v>
      </c>
      <c r="Y118" s="8"/>
      <c r="Z118" s="8"/>
    </row>
    <row r="119">
      <c r="A119" s="18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5" t="str">
        <f>IFERROR(__xludf.DUMMYFUNCTION("""COMPUTED_VALUE"""),"geyser repair Milnerton")</f>
        <v>geyser repair Milnerton</v>
      </c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7" t="str">
        <f>IFERROR(__xludf.DUMMYFUNCTION("""COMPUTED_VALUE"""),"Maitland plumber")</f>
        <v>Maitland plumber</v>
      </c>
      <c r="Y119" s="8"/>
      <c r="Z119" s="8"/>
    </row>
    <row r="120">
      <c r="A120" s="19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 t="str">
        <f>IFERROR(__xludf.DUMMYFUNCTION("""COMPUTED_VALUE"""),"geyser repair Muizenberg")</f>
        <v>geyser repair Muizenberg</v>
      </c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2" t="str">
        <f>IFERROR(__xludf.DUMMYFUNCTION("""COMPUTED_VALUE"""),"Maitland plumbers")</f>
        <v>Maitland plumbers</v>
      </c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 t="str">
        <f>IFERROR(__xludf.DUMMYFUNCTION("""COMPUTED_VALUE"""),"geyser repair Newlands")</f>
        <v>geyser repair Newlands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 t="str">
        <f>IFERROR(__xludf.DUMMYFUNCTION("""COMPUTED_VALUE"""),"Maitland plumbing company")</f>
        <v>Maitland plumbing company</v>
      </c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 t="str">
        <f>IFERROR(__xludf.DUMMYFUNCTION("""COMPUTED_VALUE"""),"geyser repair Northern Suburbs")</f>
        <v>geyser repair Northern Suburbs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 t="str">
        <f>IFERROR(__xludf.DUMMYFUNCTION("""COMPUTED_VALUE"""),"Maitland refrigeration services")</f>
        <v>Maitland refrigeration services</v>
      </c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 t="str">
        <f>IFERROR(__xludf.DUMMYFUNCTION("""COMPUTED_VALUE"""),"geyser repair Observatory")</f>
        <v>geyser repair Observatory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 t="str">
        <f>IFERROR(__xludf.DUMMYFUNCTION("""COMPUTED_VALUE"""),"Milnerton aircon repairs")</f>
        <v>Milnerton aircon repairs</v>
      </c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 t="str">
        <f>IFERROR(__xludf.DUMMYFUNCTION("""COMPUTED_VALUE"""),"geyser repair Plumstead")</f>
        <v>geyser repair Plumstead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 t="str">
        <f>IFERROR(__xludf.DUMMYFUNCTION("""COMPUTED_VALUE"""),"Milnerton blocked drain plumber")</f>
        <v>Milnerton blocked drain plumber</v>
      </c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 t="str">
        <f>IFERROR(__xludf.DUMMYFUNCTION("""COMPUTED_VALUE"""),"geyser repair Rondebosch")</f>
        <v>geyser repair Rondebosch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 t="str">
        <f>IFERROR(__xludf.DUMMYFUNCTION("""COMPUTED_VALUE"""),"Milnerton electrician")</f>
        <v>Milnerton electrician</v>
      </c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 t="str">
        <f>IFERROR(__xludf.DUMMYFUNCTION("""COMPUTED_VALUE"""),"geyser repair Sea Point")</f>
        <v>geyser repair Sea Point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 t="str">
        <f>IFERROR(__xludf.DUMMYFUNCTION("""COMPUTED_VALUE"""),"Milnerton emergency plumber")</f>
        <v>Milnerton emergency plumber</v>
      </c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 t="str">
        <f>IFERROR(__xludf.DUMMYFUNCTION("""COMPUTED_VALUE"""),"geyser repair South Africa")</f>
        <v>geyser repair South Africa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 t="str">
        <f>IFERROR(__xludf.DUMMYFUNCTION("""COMPUTED_VALUE"""),"Milnerton geyser repair")</f>
        <v>Milnerton geyser repair</v>
      </c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 t="str">
        <f>IFERROR(__xludf.DUMMYFUNCTION("""COMPUTED_VALUE"""),"geyser repair Southern Suburbs")</f>
        <v>geyser repair Southern Suburbs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 t="str">
        <f>IFERROR(__xludf.DUMMYFUNCTION("""COMPUTED_VALUE"""),"Milnerton leak detection plumber")</f>
        <v>Milnerton leak detection plumber</v>
      </c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 t="str">
        <f>IFERROR(__xludf.DUMMYFUNCTION("""COMPUTED_VALUE"""),"geyser repair Table View")</f>
        <v>geyser repair Table View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 t="str">
        <f>IFERROR(__xludf.DUMMYFUNCTION("""COMPUTED_VALUE"""),"Milnerton plumber")</f>
        <v>Milnerton plumber</v>
      </c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 t="str">
        <f>IFERROR(__xludf.DUMMYFUNCTION("""COMPUTED_VALUE"""),"geyser repair Tokai")</f>
        <v>geyser repair Tokai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 t="str">
        <f>IFERROR(__xludf.DUMMYFUNCTION("""COMPUTED_VALUE"""),"Milnerton plumbers")</f>
        <v>Milnerton plumbers</v>
      </c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 t="str">
        <f>IFERROR(__xludf.DUMMYFUNCTION("""COMPUTED_VALUE"""),"geyser repair Woodstock")</f>
        <v>geyser repair Woodstock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 t="str">
        <f>IFERROR(__xludf.DUMMYFUNCTION("""COMPUTED_VALUE"""),"Milnerton plumbing company")</f>
        <v>Milnerton plumbing company</v>
      </c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 t="str">
        <f>IFERROR(__xludf.DUMMYFUNCTION("""COMPUTED_VALUE"""),"geyser repair Wynberg")</f>
        <v>geyser repair Wynberg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 t="str">
        <f>IFERROR(__xludf.DUMMYFUNCTION("""COMPUTED_VALUE"""),"Milnerton refrigeration services")</f>
        <v>Milnerton refrigeration services</v>
      </c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 t="str">
        <f>IFERROR(__xludf.DUMMYFUNCTION("""COMPUTED_VALUE"""),"leak detection plumber Atlantic Seaboard")</f>
        <v>leak detection plumber Atlantic Seaboard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 t="str">
        <f>IFERROR(__xludf.DUMMYFUNCTION("""COMPUTED_VALUE"""),"Muizenberg aircon repairs")</f>
        <v>Muizenberg aircon repairs</v>
      </c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 t="str">
        <f>IFERROR(__xludf.DUMMYFUNCTION("""COMPUTED_VALUE"""),"leak detection plumber Bellville")</f>
        <v>leak detection plumber Bellville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 t="str">
        <f>IFERROR(__xludf.DUMMYFUNCTION("""COMPUTED_VALUE"""),"Muizenberg blocked drain plumber")</f>
        <v>Muizenberg blocked drain plumber</v>
      </c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 t="str">
        <f>IFERROR(__xludf.DUMMYFUNCTION("""COMPUTED_VALUE"""),"leak detection plumber Camps Bay")</f>
        <v>leak detection plumber Camps Bay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 t="str">
        <f>IFERROR(__xludf.DUMMYFUNCTION("""COMPUTED_VALUE"""),"Muizenberg electrician")</f>
        <v>Muizenberg electrician</v>
      </c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 t="str">
        <f>IFERROR(__xludf.DUMMYFUNCTION("""COMPUTED_VALUE"""),"leak detection plumber Cape Town")</f>
        <v>leak detection plumber Cape Town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 t="str">
        <f>IFERROR(__xludf.DUMMYFUNCTION("""COMPUTED_VALUE"""),"Muizenberg emergency plumber")</f>
        <v>Muizenberg emergency plumber</v>
      </c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 t="str">
        <f>IFERROR(__xludf.DUMMYFUNCTION("""COMPUTED_VALUE"""),"leak detection plumber Cape Town CBD")</f>
        <v>leak detection plumber Cape Town CBD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 t="str">
        <f>IFERROR(__xludf.DUMMYFUNCTION("""COMPUTED_VALUE"""),"Muizenberg geyser repair")</f>
        <v>Muizenberg geyser repair</v>
      </c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 t="str">
        <f>IFERROR(__xludf.DUMMYFUNCTION("""COMPUTED_VALUE"""),"leak detection plumber Claremont")</f>
        <v>leak detection plumber Claremont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 t="str">
        <f>IFERROR(__xludf.DUMMYFUNCTION("""COMPUTED_VALUE"""),"Muizenberg leak detection plumber")</f>
        <v>Muizenberg leak detection plumber</v>
      </c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 t="str">
        <f>IFERROR(__xludf.DUMMYFUNCTION("""COMPUTED_VALUE"""),"leak detection plumber Constantia")</f>
        <v>leak detection plumber Constantia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 t="str">
        <f>IFERROR(__xludf.DUMMYFUNCTION("""COMPUTED_VALUE"""),"Muizenberg plumber")</f>
        <v>Muizenberg plumber</v>
      </c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 t="str">
        <f>IFERROR(__xludf.DUMMYFUNCTION("""COMPUTED_VALUE"""),"leak detection plumber Durbanville")</f>
        <v>leak detection plumber Durbanville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 t="str">
        <f>IFERROR(__xludf.DUMMYFUNCTION("""COMPUTED_VALUE"""),"Muizenberg plumbers")</f>
        <v>Muizenberg plumbers</v>
      </c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 t="str">
        <f>IFERROR(__xludf.DUMMYFUNCTION("""COMPUTED_VALUE"""),"leak detection plumber Fish Hoek")</f>
        <v>leak detection plumber Fish Hoek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 t="str">
        <f>IFERROR(__xludf.DUMMYFUNCTION("""COMPUTED_VALUE"""),"Muizenberg plumbing company")</f>
        <v>Muizenberg plumbing company</v>
      </c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 t="str">
        <f>IFERROR(__xludf.DUMMYFUNCTION("""COMPUTED_VALUE"""),"leak detection plumber Green Point")</f>
        <v>leak detection plumber Green Point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 t="str">
        <f>IFERROR(__xludf.DUMMYFUNCTION("""COMPUTED_VALUE"""),"Muizenberg refrigeration services")</f>
        <v>Muizenberg refrigeration services</v>
      </c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 t="str">
        <f>IFERROR(__xludf.DUMMYFUNCTION("""COMPUTED_VALUE"""),"leak detection plumber Hout Bay")</f>
        <v>leak detection plumber Hout Bay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 t="str">
        <f>IFERROR(__xludf.DUMMYFUNCTION("""COMPUTED_VALUE"""),"Newlands aircon repairs")</f>
        <v>Newlands aircon repairs</v>
      </c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 t="str">
        <f>IFERROR(__xludf.DUMMYFUNCTION("""COMPUTED_VALUE"""),"leak detection plumber Maitland")</f>
        <v>leak detection plumber Maitland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 t="str">
        <f>IFERROR(__xludf.DUMMYFUNCTION("""COMPUTED_VALUE"""),"Newlands blocked drain plumber")</f>
        <v>Newlands blocked drain plumber</v>
      </c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 t="str">
        <f>IFERROR(__xludf.DUMMYFUNCTION("""COMPUTED_VALUE"""),"leak detection plumber Milnerton")</f>
        <v>leak detection plumber Milnerton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 t="str">
        <f>IFERROR(__xludf.DUMMYFUNCTION("""COMPUTED_VALUE"""),"Newlands electrician")</f>
        <v>Newlands electrician</v>
      </c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 t="str">
        <f>IFERROR(__xludf.DUMMYFUNCTION("""COMPUTED_VALUE"""),"leak detection plumber Muizenberg")</f>
        <v>leak detection plumber Muizenberg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 t="str">
        <f>IFERROR(__xludf.DUMMYFUNCTION("""COMPUTED_VALUE"""),"Newlands emergency plumber")</f>
        <v>Newlands emergency plumber</v>
      </c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 t="str">
        <f>IFERROR(__xludf.DUMMYFUNCTION("""COMPUTED_VALUE"""),"leak detection plumber Newlands")</f>
        <v>leak detection plumber Newlands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 t="str">
        <f>IFERROR(__xludf.DUMMYFUNCTION("""COMPUTED_VALUE"""),"Newlands geyser repair")</f>
        <v>Newlands geyser repair</v>
      </c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 t="str">
        <f>IFERROR(__xludf.DUMMYFUNCTION("""COMPUTED_VALUE"""),"leak detection plumber Northern Suburbs")</f>
        <v>leak detection plumber Northern Suburbs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 t="str">
        <f>IFERROR(__xludf.DUMMYFUNCTION("""COMPUTED_VALUE"""),"Newlands leak detection plumber")</f>
        <v>Newlands leak detection plumber</v>
      </c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 t="str">
        <f>IFERROR(__xludf.DUMMYFUNCTION("""COMPUTED_VALUE"""),"leak detection plumber Observatory")</f>
        <v>leak detection plumber Observatory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 t="str">
        <f>IFERROR(__xludf.DUMMYFUNCTION("""COMPUTED_VALUE"""),"Newlands plumber")</f>
        <v>Newlands plumber</v>
      </c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 t="str">
        <f>IFERROR(__xludf.DUMMYFUNCTION("""COMPUTED_VALUE"""),"leak detection plumber Plumstead")</f>
        <v>leak detection plumber Plumstead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 t="str">
        <f>IFERROR(__xludf.DUMMYFUNCTION("""COMPUTED_VALUE"""),"Newlands plumbers")</f>
        <v>Newlands plumbers</v>
      </c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 t="str">
        <f>IFERROR(__xludf.DUMMYFUNCTION("""COMPUTED_VALUE"""),"leak detection plumber Rondebosch")</f>
        <v>leak detection plumber Rondebosch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 t="str">
        <f>IFERROR(__xludf.DUMMYFUNCTION("""COMPUTED_VALUE"""),"Newlands plumbing company")</f>
        <v>Newlands plumbing company</v>
      </c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 t="str">
        <f>IFERROR(__xludf.DUMMYFUNCTION("""COMPUTED_VALUE"""),"leak detection plumber Sea Point")</f>
        <v>leak detection plumber Sea Point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 t="str">
        <f>IFERROR(__xludf.DUMMYFUNCTION("""COMPUTED_VALUE"""),"Newlands refrigeration services")</f>
        <v>Newlands refrigeration services</v>
      </c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 t="str">
        <f>IFERROR(__xludf.DUMMYFUNCTION("""COMPUTED_VALUE"""),"leak detection plumber South Africa")</f>
        <v>leak detection plumber South Africa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 t="str">
        <f>IFERROR(__xludf.DUMMYFUNCTION("""COMPUTED_VALUE"""),"Northern Suburbs aircon repairs")</f>
        <v>Northern Suburbs aircon repairs</v>
      </c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 t="str">
        <f>IFERROR(__xludf.DUMMYFUNCTION("""COMPUTED_VALUE"""),"leak detection plumber Southern Suburbs")</f>
        <v>leak detection plumber Southern Suburbs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 t="str">
        <f>IFERROR(__xludf.DUMMYFUNCTION("""COMPUTED_VALUE"""),"Northern Suburbs blocked drain plumber")</f>
        <v>Northern Suburbs blocked drain plumber</v>
      </c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 t="str">
        <f>IFERROR(__xludf.DUMMYFUNCTION("""COMPUTED_VALUE"""),"leak detection plumber Table View")</f>
        <v>leak detection plumber Table View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 t="str">
        <f>IFERROR(__xludf.DUMMYFUNCTION("""COMPUTED_VALUE"""),"Northern Suburbs electrician")</f>
        <v>Northern Suburbs electrician</v>
      </c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 t="str">
        <f>IFERROR(__xludf.DUMMYFUNCTION("""COMPUTED_VALUE"""),"leak detection plumber Tokai")</f>
        <v>leak detection plumber Tokai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 t="str">
        <f>IFERROR(__xludf.DUMMYFUNCTION("""COMPUTED_VALUE"""),"Northern Suburbs emergency plumber")</f>
        <v>Northern Suburbs emergency plumber</v>
      </c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 t="str">
        <f>IFERROR(__xludf.DUMMYFUNCTION("""COMPUTED_VALUE"""),"leak detection plumber Woodstock")</f>
        <v>leak detection plumber Woodstock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 t="str">
        <f>IFERROR(__xludf.DUMMYFUNCTION("""COMPUTED_VALUE"""),"Northern Suburbs geyser repair")</f>
        <v>Northern Suburbs geyser repair</v>
      </c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 t="str">
        <f>IFERROR(__xludf.DUMMYFUNCTION("""COMPUTED_VALUE"""),"leak detection plumber Wynberg")</f>
        <v>leak detection plumber Wynberg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 t="str">
        <f>IFERROR(__xludf.DUMMYFUNCTION("""COMPUTED_VALUE"""),"Northern Suburbs leak detection plumber")</f>
        <v>Northern Suburbs leak detection plumber</v>
      </c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 t="str">
        <f>IFERROR(__xludf.DUMMYFUNCTION("""COMPUTED_VALUE"""),"plumber Atlantic Seaboard")</f>
        <v>plumber Atlantic Seaboard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 t="str">
        <f>IFERROR(__xludf.DUMMYFUNCTION("""COMPUTED_VALUE"""),"Northern Suburbs plumber")</f>
        <v>Northern Suburbs plumber</v>
      </c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 t="str">
        <f>IFERROR(__xludf.DUMMYFUNCTION("""COMPUTED_VALUE"""),"plumber Bellville")</f>
        <v>plumber Bellville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 t="str">
        <f>IFERROR(__xludf.DUMMYFUNCTION("""COMPUTED_VALUE"""),"Northern Suburbs plumbers")</f>
        <v>Northern Suburbs plumbers</v>
      </c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 t="str">
        <f>IFERROR(__xludf.DUMMYFUNCTION("""COMPUTED_VALUE"""),"plumber Camps Bay")</f>
        <v>plumber Camps Bay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 t="str">
        <f>IFERROR(__xludf.DUMMYFUNCTION("""COMPUTED_VALUE"""),"Northern Suburbs plumbing company")</f>
        <v>Northern Suburbs plumbing company</v>
      </c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 t="str">
        <f>IFERROR(__xludf.DUMMYFUNCTION("""COMPUTED_VALUE"""),"plumber Cape Town")</f>
        <v>plumber Cape Town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 t="str">
        <f>IFERROR(__xludf.DUMMYFUNCTION("""COMPUTED_VALUE"""),"Northern Suburbs refrigeration services")</f>
        <v>Northern Suburbs refrigeration services</v>
      </c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 t="str">
        <f>IFERROR(__xludf.DUMMYFUNCTION("""COMPUTED_VALUE"""),"plumber Cape Town CBD")</f>
        <v>plumber Cape Town CBD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 t="str">
        <f>IFERROR(__xludf.DUMMYFUNCTION("""COMPUTED_VALUE"""),"Observatory aircon repairs")</f>
        <v>Observatory aircon repairs</v>
      </c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 t="str">
        <f>IFERROR(__xludf.DUMMYFUNCTION("""COMPUTED_VALUE"""),"plumber Claremont")</f>
        <v>plumber Claremont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 t="str">
        <f>IFERROR(__xludf.DUMMYFUNCTION("""COMPUTED_VALUE"""),"Observatory blocked drain plumber")</f>
        <v>Observatory blocked drain plumber</v>
      </c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 t="str">
        <f>IFERROR(__xludf.DUMMYFUNCTION("""COMPUTED_VALUE"""),"plumber Constantia")</f>
        <v>plumber Constantia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 t="str">
        <f>IFERROR(__xludf.DUMMYFUNCTION("""COMPUTED_VALUE"""),"Observatory electrician")</f>
        <v>Observatory electrician</v>
      </c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 t="str">
        <f>IFERROR(__xludf.DUMMYFUNCTION("""COMPUTED_VALUE"""),"plumber Durbanville")</f>
        <v>plumber Durbanville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 t="str">
        <f>IFERROR(__xludf.DUMMYFUNCTION("""COMPUTED_VALUE"""),"Observatory emergency plumber")</f>
        <v>Observatory emergency plumber</v>
      </c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 t="str">
        <f>IFERROR(__xludf.DUMMYFUNCTION("""COMPUTED_VALUE"""),"plumber Fish Hoek")</f>
        <v>plumber Fish Hoek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 t="str">
        <f>IFERROR(__xludf.DUMMYFUNCTION("""COMPUTED_VALUE"""),"Observatory geyser repair")</f>
        <v>Observatory geyser repair</v>
      </c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 t="str">
        <f>IFERROR(__xludf.DUMMYFUNCTION("""COMPUTED_VALUE"""),"plumber Green Point")</f>
        <v>plumber Green Point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 t="str">
        <f>IFERROR(__xludf.DUMMYFUNCTION("""COMPUTED_VALUE"""),"Observatory leak detection plumber")</f>
        <v>Observatory leak detection plumber</v>
      </c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 t="str">
        <f>IFERROR(__xludf.DUMMYFUNCTION("""COMPUTED_VALUE"""),"plumber Hout Bay")</f>
        <v>plumber Hout Bay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 t="str">
        <f>IFERROR(__xludf.DUMMYFUNCTION("""COMPUTED_VALUE"""),"Observatory plumber")</f>
        <v>Observatory plumber</v>
      </c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 t="str">
        <f>IFERROR(__xludf.DUMMYFUNCTION("""COMPUTED_VALUE"""),"plumber Maitland")</f>
        <v>plumber Maitland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 t="str">
        <f>IFERROR(__xludf.DUMMYFUNCTION("""COMPUTED_VALUE"""),"Observatory plumbers")</f>
        <v>Observatory plumbers</v>
      </c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 t="str">
        <f>IFERROR(__xludf.DUMMYFUNCTION("""COMPUTED_VALUE"""),"plumber Milnerton")</f>
        <v>plumber Milnerton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 t="str">
        <f>IFERROR(__xludf.DUMMYFUNCTION("""COMPUTED_VALUE"""),"Observatory plumbing company")</f>
        <v>Observatory plumbing company</v>
      </c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 t="str">
        <f>IFERROR(__xludf.DUMMYFUNCTION("""COMPUTED_VALUE"""),"plumber Muizenberg")</f>
        <v>plumber Muizenberg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 t="str">
        <f>IFERROR(__xludf.DUMMYFUNCTION("""COMPUTED_VALUE"""),"Observatory refrigeration services")</f>
        <v>Observatory refrigeration services</v>
      </c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 t="str">
        <f>IFERROR(__xludf.DUMMYFUNCTION("""COMPUTED_VALUE"""),"plumber Newlands")</f>
        <v>plumber Newlands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 t="str">
        <f>IFERROR(__xludf.DUMMYFUNCTION("""COMPUTED_VALUE"""),"Plumstead aircon repairs")</f>
        <v>Plumstead aircon repairs</v>
      </c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 t="str">
        <f>IFERROR(__xludf.DUMMYFUNCTION("""COMPUTED_VALUE"""),"plumber Northern Suburbs")</f>
        <v>plumber Northern Suburbs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 t="str">
        <f>IFERROR(__xludf.DUMMYFUNCTION("""COMPUTED_VALUE"""),"Plumstead blocked drain plumber")</f>
        <v>Plumstead blocked drain plumber</v>
      </c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 t="str">
        <f>IFERROR(__xludf.DUMMYFUNCTION("""COMPUTED_VALUE"""),"plumber Observatory")</f>
        <v>plumber Observatory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 t="str">
        <f>IFERROR(__xludf.DUMMYFUNCTION("""COMPUTED_VALUE"""),"Plumstead electrician")</f>
        <v>Plumstead electrician</v>
      </c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 t="str">
        <f>IFERROR(__xludf.DUMMYFUNCTION("""COMPUTED_VALUE"""),"plumber Plumstead")</f>
        <v>plumber Plumstead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 t="str">
        <f>IFERROR(__xludf.DUMMYFUNCTION("""COMPUTED_VALUE"""),"Plumstead emergency plumber")</f>
        <v>Plumstead emergency plumber</v>
      </c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 t="str">
        <f>IFERROR(__xludf.DUMMYFUNCTION("""COMPUTED_VALUE"""),"plumber Rondebosch")</f>
        <v>plumber Rondebosch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 t="str">
        <f>IFERROR(__xludf.DUMMYFUNCTION("""COMPUTED_VALUE"""),"Plumstead geyser repair")</f>
        <v>Plumstead geyser repair</v>
      </c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 t="str">
        <f>IFERROR(__xludf.DUMMYFUNCTION("""COMPUTED_VALUE"""),"plumber Sea Point")</f>
        <v>plumber Sea Point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 t="str">
        <f>IFERROR(__xludf.DUMMYFUNCTION("""COMPUTED_VALUE"""),"Plumstead leak detection plumber")</f>
        <v>Plumstead leak detection plumber</v>
      </c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 t="str">
        <f>IFERROR(__xludf.DUMMYFUNCTION("""COMPUTED_VALUE"""),"plumber South Africa")</f>
        <v>plumber South Africa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 t="str">
        <f>IFERROR(__xludf.DUMMYFUNCTION("""COMPUTED_VALUE"""),"Plumstead plumber")</f>
        <v>Plumstead plumber</v>
      </c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 t="str">
        <f>IFERROR(__xludf.DUMMYFUNCTION("""COMPUTED_VALUE"""),"plumber Southern Suburbs")</f>
        <v>plumber Southern Suburbs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 t="str">
        <f>IFERROR(__xludf.DUMMYFUNCTION("""COMPUTED_VALUE"""),"Plumstead plumbers")</f>
        <v>Plumstead plumbers</v>
      </c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 t="str">
        <f>IFERROR(__xludf.DUMMYFUNCTION("""COMPUTED_VALUE"""),"plumber Table View")</f>
        <v>plumber Table View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 t="str">
        <f>IFERROR(__xludf.DUMMYFUNCTION("""COMPUTED_VALUE"""),"Plumstead plumbing company")</f>
        <v>Plumstead plumbing company</v>
      </c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 t="str">
        <f>IFERROR(__xludf.DUMMYFUNCTION("""COMPUTED_VALUE"""),"plumber Tokai")</f>
        <v>plumber Tokai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 t="str">
        <f>IFERROR(__xludf.DUMMYFUNCTION("""COMPUTED_VALUE"""),"Plumstead refrigeration services")</f>
        <v>Plumstead refrigeration services</v>
      </c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 t="str">
        <f>IFERROR(__xludf.DUMMYFUNCTION("""COMPUTED_VALUE"""),"plumber Woodstock")</f>
        <v>plumber Woodstock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 t="str">
        <f>IFERROR(__xludf.DUMMYFUNCTION("""COMPUTED_VALUE"""),"Rondebosch aircon repairs")</f>
        <v>Rondebosch aircon repairs</v>
      </c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 t="str">
        <f>IFERROR(__xludf.DUMMYFUNCTION("""COMPUTED_VALUE"""),"plumber Wynberg")</f>
        <v>plumber Wynberg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 t="str">
        <f>IFERROR(__xludf.DUMMYFUNCTION("""COMPUTED_VALUE"""),"Rondebosch blocked drain plumber")</f>
        <v>Rondebosch blocked drain plumber</v>
      </c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 t="str">
        <f>IFERROR(__xludf.DUMMYFUNCTION("""COMPUTED_VALUE"""),"plumbers Atlantic Seaboard")</f>
        <v>plumbers Atlantic Seaboard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 t="str">
        <f>IFERROR(__xludf.DUMMYFUNCTION("""COMPUTED_VALUE"""),"Rondebosch electrician")</f>
        <v>Rondebosch electrician</v>
      </c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 t="str">
        <f>IFERROR(__xludf.DUMMYFUNCTION("""COMPUTED_VALUE"""),"plumbers Bellville")</f>
        <v>plumbers Bellville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 t="str">
        <f>IFERROR(__xludf.DUMMYFUNCTION("""COMPUTED_VALUE"""),"Rondebosch emergency plumber")</f>
        <v>Rondebosch emergency plumber</v>
      </c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 t="str">
        <f>IFERROR(__xludf.DUMMYFUNCTION("""COMPUTED_VALUE"""),"plumbers Camps Bay")</f>
        <v>plumbers Camps Bay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 t="str">
        <f>IFERROR(__xludf.DUMMYFUNCTION("""COMPUTED_VALUE"""),"Rondebosch geyser repair")</f>
        <v>Rondebosch geyser repair</v>
      </c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 t="str">
        <f>IFERROR(__xludf.DUMMYFUNCTION("""COMPUTED_VALUE"""),"plumbers Cape Town")</f>
        <v>plumbers Cape Town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 t="str">
        <f>IFERROR(__xludf.DUMMYFUNCTION("""COMPUTED_VALUE"""),"Rondebosch leak detection plumber")</f>
        <v>Rondebosch leak detection plumber</v>
      </c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 t="str">
        <f>IFERROR(__xludf.DUMMYFUNCTION("""COMPUTED_VALUE"""),"plumbers Cape Town CBD")</f>
        <v>plumbers Cape Town CBD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 t="str">
        <f>IFERROR(__xludf.DUMMYFUNCTION("""COMPUTED_VALUE"""),"Rondebosch plumber")</f>
        <v>Rondebosch plumber</v>
      </c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 t="str">
        <f>IFERROR(__xludf.DUMMYFUNCTION("""COMPUTED_VALUE"""),"plumbers Claremont")</f>
        <v>plumbers Claremont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 t="str">
        <f>IFERROR(__xludf.DUMMYFUNCTION("""COMPUTED_VALUE"""),"Rondebosch plumbers")</f>
        <v>Rondebosch plumbers</v>
      </c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 t="str">
        <f>IFERROR(__xludf.DUMMYFUNCTION("""COMPUTED_VALUE"""),"plumbers Constantia")</f>
        <v>plumbers Constantia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 t="str">
        <f>IFERROR(__xludf.DUMMYFUNCTION("""COMPUTED_VALUE"""),"Rondebosch plumbing company")</f>
        <v>Rondebosch plumbing company</v>
      </c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 t="str">
        <f>IFERROR(__xludf.DUMMYFUNCTION("""COMPUTED_VALUE"""),"plumbers Durbanville")</f>
        <v>plumbers Durbanville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 t="str">
        <f>IFERROR(__xludf.DUMMYFUNCTION("""COMPUTED_VALUE"""),"Rondebosch refrigeration services")</f>
        <v>Rondebosch refrigeration services</v>
      </c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 t="str">
        <f>IFERROR(__xludf.DUMMYFUNCTION("""COMPUTED_VALUE"""),"plumbers Fish Hoek")</f>
        <v>plumbers Fish Hoek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 t="str">
        <f>IFERROR(__xludf.DUMMYFUNCTION("""COMPUTED_VALUE"""),"Sea Point aircon repairs")</f>
        <v>Sea Point aircon repairs</v>
      </c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 t="str">
        <f>IFERROR(__xludf.DUMMYFUNCTION("""COMPUTED_VALUE"""),"plumbers Green Point")</f>
        <v>plumbers Green Point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 t="str">
        <f>IFERROR(__xludf.DUMMYFUNCTION("""COMPUTED_VALUE"""),"Sea Point blocked drain plumber")</f>
        <v>Sea Point blocked drain plumber</v>
      </c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 t="str">
        <f>IFERROR(__xludf.DUMMYFUNCTION("""COMPUTED_VALUE"""),"plumbers Hout Bay")</f>
        <v>plumbers Hout Bay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 t="str">
        <f>IFERROR(__xludf.DUMMYFUNCTION("""COMPUTED_VALUE"""),"Sea Point electrician")</f>
        <v>Sea Point electrician</v>
      </c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 t="str">
        <f>IFERROR(__xludf.DUMMYFUNCTION("""COMPUTED_VALUE"""),"plumbers Maitland")</f>
        <v>plumbers Maitland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 t="str">
        <f>IFERROR(__xludf.DUMMYFUNCTION("""COMPUTED_VALUE"""),"Sea Point emergency plumber")</f>
        <v>Sea Point emergency plumber</v>
      </c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 t="str">
        <f>IFERROR(__xludf.DUMMYFUNCTION("""COMPUTED_VALUE"""),"plumbers Milnerton")</f>
        <v>plumbers Milnerton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 t="str">
        <f>IFERROR(__xludf.DUMMYFUNCTION("""COMPUTED_VALUE"""),"Sea Point geyser repair")</f>
        <v>Sea Point geyser repair</v>
      </c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 t="str">
        <f>IFERROR(__xludf.DUMMYFUNCTION("""COMPUTED_VALUE"""),"plumbers Muizenberg")</f>
        <v>plumbers Muizenberg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 t="str">
        <f>IFERROR(__xludf.DUMMYFUNCTION("""COMPUTED_VALUE"""),"Sea Point leak detection plumber")</f>
        <v>Sea Point leak detection plumber</v>
      </c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 t="str">
        <f>IFERROR(__xludf.DUMMYFUNCTION("""COMPUTED_VALUE"""),"plumbers Newlands")</f>
        <v>plumbers Newlands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 t="str">
        <f>IFERROR(__xludf.DUMMYFUNCTION("""COMPUTED_VALUE"""),"Sea Point plumber")</f>
        <v>Sea Point plumber</v>
      </c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 t="str">
        <f>IFERROR(__xludf.DUMMYFUNCTION("""COMPUTED_VALUE"""),"plumbers Northern Suburbs")</f>
        <v>plumbers Northern Suburbs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 t="str">
        <f>IFERROR(__xludf.DUMMYFUNCTION("""COMPUTED_VALUE"""),"Sea Point plumbers")</f>
        <v>Sea Point plumbers</v>
      </c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 t="str">
        <f>IFERROR(__xludf.DUMMYFUNCTION("""COMPUTED_VALUE"""),"plumbers Observatory")</f>
        <v>plumbers Observatory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 t="str">
        <f>IFERROR(__xludf.DUMMYFUNCTION("""COMPUTED_VALUE"""),"Sea Point plumbing company")</f>
        <v>Sea Point plumbing company</v>
      </c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 t="str">
        <f>IFERROR(__xludf.DUMMYFUNCTION("""COMPUTED_VALUE"""),"plumbers Plumstead")</f>
        <v>plumbers Plumstead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 t="str">
        <f>IFERROR(__xludf.DUMMYFUNCTION("""COMPUTED_VALUE"""),"Sea Point refrigeration services")</f>
        <v>Sea Point refrigeration services</v>
      </c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 t="str">
        <f>IFERROR(__xludf.DUMMYFUNCTION("""COMPUTED_VALUE"""),"plumbers Rondebosch")</f>
        <v>plumbers Rondebosch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 t="str">
        <f>IFERROR(__xludf.DUMMYFUNCTION("""COMPUTED_VALUE"""),"South Africa aircon repairs")</f>
        <v>South Africa aircon repairs</v>
      </c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 t="str">
        <f>IFERROR(__xludf.DUMMYFUNCTION("""COMPUTED_VALUE"""),"plumbers Sea Point")</f>
        <v>plumbers Sea Point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 t="str">
        <f>IFERROR(__xludf.DUMMYFUNCTION("""COMPUTED_VALUE"""),"South Africa blocked drain plumber")</f>
        <v>South Africa blocked drain plumber</v>
      </c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 t="str">
        <f>IFERROR(__xludf.DUMMYFUNCTION("""COMPUTED_VALUE"""),"plumbers South Africa")</f>
        <v>plumbers South Africa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 t="str">
        <f>IFERROR(__xludf.DUMMYFUNCTION("""COMPUTED_VALUE"""),"South Africa electrician")</f>
        <v>South Africa electrician</v>
      </c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 t="str">
        <f>IFERROR(__xludf.DUMMYFUNCTION("""COMPUTED_VALUE"""),"plumbers Southern Suburbs")</f>
        <v>plumbers Southern Suburbs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 t="str">
        <f>IFERROR(__xludf.DUMMYFUNCTION("""COMPUTED_VALUE"""),"South Africa emergency plumber")</f>
        <v>South Africa emergency plumber</v>
      </c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 t="str">
        <f>IFERROR(__xludf.DUMMYFUNCTION("""COMPUTED_VALUE"""),"plumbers Table View")</f>
        <v>plumbers Table View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 t="str">
        <f>IFERROR(__xludf.DUMMYFUNCTION("""COMPUTED_VALUE"""),"South Africa geyser repair")</f>
        <v>South Africa geyser repair</v>
      </c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 t="str">
        <f>IFERROR(__xludf.DUMMYFUNCTION("""COMPUTED_VALUE"""),"plumbers Tokai")</f>
        <v>plumbers Tokai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 t="str">
        <f>IFERROR(__xludf.DUMMYFUNCTION("""COMPUTED_VALUE"""),"South Africa leak detection plumber")</f>
        <v>South Africa leak detection plumber</v>
      </c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 t="str">
        <f>IFERROR(__xludf.DUMMYFUNCTION("""COMPUTED_VALUE"""),"plumbers Woodstock")</f>
        <v>plumbers Woodstock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 t="str">
        <f>IFERROR(__xludf.DUMMYFUNCTION("""COMPUTED_VALUE"""),"South Africa plumber")</f>
        <v>South Africa plumber</v>
      </c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 t="str">
        <f>IFERROR(__xludf.DUMMYFUNCTION("""COMPUTED_VALUE"""),"plumbers Wynberg")</f>
        <v>plumbers Wynberg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 t="str">
        <f>IFERROR(__xludf.DUMMYFUNCTION("""COMPUTED_VALUE"""),"South Africa plumbers")</f>
        <v>South Africa plumbers</v>
      </c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 t="str">
        <f>IFERROR(__xludf.DUMMYFUNCTION("""COMPUTED_VALUE"""),"plumbing company Atlantic Seaboard")</f>
        <v>plumbing company Atlantic Seaboard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 t="str">
        <f>IFERROR(__xludf.DUMMYFUNCTION("""COMPUTED_VALUE"""),"South Africa plumbing company")</f>
        <v>South Africa plumbing company</v>
      </c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 t="str">
        <f>IFERROR(__xludf.DUMMYFUNCTION("""COMPUTED_VALUE"""),"plumbing company Bellville")</f>
        <v>plumbing company Bellville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 t="str">
        <f>IFERROR(__xludf.DUMMYFUNCTION("""COMPUTED_VALUE"""),"South Africa refrigeration services")</f>
        <v>South Africa refrigeration services</v>
      </c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 t="str">
        <f>IFERROR(__xludf.DUMMYFUNCTION("""COMPUTED_VALUE"""),"plumbing company Camps Bay")</f>
        <v>plumbing company Camps Bay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 t="str">
        <f>IFERROR(__xludf.DUMMYFUNCTION("""COMPUTED_VALUE"""),"Southern Suburbs aircon repairs")</f>
        <v>Southern Suburbs aircon repairs</v>
      </c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 t="str">
        <f>IFERROR(__xludf.DUMMYFUNCTION("""COMPUTED_VALUE"""),"plumbing company Cape Town")</f>
        <v>plumbing company Cape Town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 t="str">
        <f>IFERROR(__xludf.DUMMYFUNCTION("""COMPUTED_VALUE"""),"Southern Suburbs blocked drain plumber")</f>
        <v>Southern Suburbs blocked drain plumber</v>
      </c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 t="str">
        <f>IFERROR(__xludf.DUMMYFUNCTION("""COMPUTED_VALUE"""),"plumbing company Cape Town CBD")</f>
        <v>plumbing company Cape Town CBD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 t="str">
        <f>IFERROR(__xludf.DUMMYFUNCTION("""COMPUTED_VALUE"""),"Southern Suburbs electrician")</f>
        <v>Southern Suburbs electrician</v>
      </c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 t="str">
        <f>IFERROR(__xludf.DUMMYFUNCTION("""COMPUTED_VALUE"""),"plumbing company Claremont")</f>
        <v>plumbing company Claremont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 t="str">
        <f>IFERROR(__xludf.DUMMYFUNCTION("""COMPUTED_VALUE"""),"Southern Suburbs emergency plumber")</f>
        <v>Southern Suburbs emergency plumber</v>
      </c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 t="str">
        <f>IFERROR(__xludf.DUMMYFUNCTION("""COMPUTED_VALUE"""),"plumbing company Constantia")</f>
        <v>plumbing company Constantia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 t="str">
        <f>IFERROR(__xludf.DUMMYFUNCTION("""COMPUTED_VALUE"""),"Southern Suburbs geyser repair")</f>
        <v>Southern Suburbs geyser repair</v>
      </c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 t="str">
        <f>IFERROR(__xludf.DUMMYFUNCTION("""COMPUTED_VALUE"""),"plumbing company Durbanville")</f>
        <v>plumbing company Durbanville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 t="str">
        <f>IFERROR(__xludf.DUMMYFUNCTION("""COMPUTED_VALUE"""),"Southern Suburbs leak detection plumber")</f>
        <v>Southern Suburbs leak detection plumber</v>
      </c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 t="str">
        <f>IFERROR(__xludf.DUMMYFUNCTION("""COMPUTED_VALUE"""),"plumbing company Fish Hoek")</f>
        <v>plumbing company Fish Hoek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 t="str">
        <f>IFERROR(__xludf.DUMMYFUNCTION("""COMPUTED_VALUE"""),"Southern Suburbs plumber")</f>
        <v>Southern Suburbs plumber</v>
      </c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 t="str">
        <f>IFERROR(__xludf.DUMMYFUNCTION("""COMPUTED_VALUE"""),"plumbing company Green Point")</f>
        <v>plumbing company Green Point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 t="str">
        <f>IFERROR(__xludf.DUMMYFUNCTION("""COMPUTED_VALUE"""),"Southern Suburbs plumbers")</f>
        <v>Southern Suburbs plumbers</v>
      </c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 t="str">
        <f>IFERROR(__xludf.DUMMYFUNCTION("""COMPUTED_VALUE"""),"plumbing company Hout Bay")</f>
        <v>plumbing company Hout Bay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 t="str">
        <f>IFERROR(__xludf.DUMMYFUNCTION("""COMPUTED_VALUE"""),"Southern Suburbs plumbing company")</f>
        <v>Southern Suburbs plumbing company</v>
      </c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 t="str">
        <f>IFERROR(__xludf.DUMMYFUNCTION("""COMPUTED_VALUE"""),"plumbing company Maitland")</f>
        <v>plumbing company Maitland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 t="str">
        <f>IFERROR(__xludf.DUMMYFUNCTION("""COMPUTED_VALUE"""),"Southern Suburbs refrigeration services")</f>
        <v>Southern Suburbs refrigeration services</v>
      </c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 t="str">
        <f>IFERROR(__xludf.DUMMYFUNCTION("""COMPUTED_VALUE"""),"plumbing company Milnerton")</f>
        <v>plumbing company Milnerton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 t="str">
        <f>IFERROR(__xludf.DUMMYFUNCTION("""COMPUTED_VALUE"""),"Table View aircon repairs")</f>
        <v>Table View aircon repairs</v>
      </c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 t="str">
        <f>IFERROR(__xludf.DUMMYFUNCTION("""COMPUTED_VALUE"""),"plumbing company Muizenberg")</f>
        <v>plumbing company Muizenberg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 t="str">
        <f>IFERROR(__xludf.DUMMYFUNCTION("""COMPUTED_VALUE"""),"Table View blocked drain plumber")</f>
        <v>Table View blocked drain plumber</v>
      </c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 t="str">
        <f>IFERROR(__xludf.DUMMYFUNCTION("""COMPUTED_VALUE"""),"plumbing company Newlands")</f>
        <v>plumbing company Newlands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 t="str">
        <f>IFERROR(__xludf.DUMMYFUNCTION("""COMPUTED_VALUE"""),"Table View electrician")</f>
        <v>Table View electrician</v>
      </c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 t="str">
        <f>IFERROR(__xludf.DUMMYFUNCTION("""COMPUTED_VALUE"""),"plumbing company Northern Suburbs")</f>
        <v>plumbing company Northern Suburbs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 t="str">
        <f>IFERROR(__xludf.DUMMYFUNCTION("""COMPUTED_VALUE"""),"Table View emergency plumber")</f>
        <v>Table View emergency plumber</v>
      </c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 t="str">
        <f>IFERROR(__xludf.DUMMYFUNCTION("""COMPUTED_VALUE"""),"plumbing company Observatory")</f>
        <v>plumbing company Observatory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 t="str">
        <f>IFERROR(__xludf.DUMMYFUNCTION("""COMPUTED_VALUE"""),"Table View geyser repair")</f>
        <v>Table View geyser repair</v>
      </c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 t="str">
        <f>IFERROR(__xludf.DUMMYFUNCTION("""COMPUTED_VALUE"""),"plumbing company Plumstead")</f>
        <v>plumbing company Plumstead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 t="str">
        <f>IFERROR(__xludf.DUMMYFUNCTION("""COMPUTED_VALUE"""),"Table View leak detection plumber")</f>
        <v>Table View leak detection plumber</v>
      </c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 t="str">
        <f>IFERROR(__xludf.DUMMYFUNCTION("""COMPUTED_VALUE"""),"plumbing company Rondebosch")</f>
        <v>plumbing company Rondebosch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 t="str">
        <f>IFERROR(__xludf.DUMMYFUNCTION("""COMPUTED_VALUE"""),"Table View plumber")</f>
        <v>Table View plumber</v>
      </c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 t="str">
        <f>IFERROR(__xludf.DUMMYFUNCTION("""COMPUTED_VALUE"""),"plumbing company Sea Point")</f>
        <v>plumbing company Sea Point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 t="str">
        <f>IFERROR(__xludf.DUMMYFUNCTION("""COMPUTED_VALUE"""),"Table View plumbers")</f>
        <v>Table View plumbers</v>
      </c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 t="str">
        <f>IFERROR(__xludf.DUMMYFUNCTION("""COMPUTED_VALUE"""),"plumbing company South Africa")</f>
        <v>plumbing company South Africa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 t="str">
        <f>IFERROR(__xludf.DUMMYFUNCTION("""COMPUTED_VALUE"""),"Table View plumbing company")</f>
        <v>Table View plumbing company</v>
      </c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 t="str">
        <f>IFERROR(__xludf.DUMMYFUNCTION("""COMPUTED_VALUE"""),"plumbing company Southern Suburbs")</f>
        <v>plumbing company Southern Suburbs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 t="str">
        <f>IFERROR(__xludf.DUMMYFUNCTION("""COMPUTED_VALUE"""),"Table View refrigeration services")</f>
        <v>Table View refrigeration services</v>
      </c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 t="str">
        <f>IFERROR(__xludf.DUMMYFUNCTION("""COMPUTED_VALUE"""),"plumbing company Table View")</f>
        <v>plumbing company Table View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 t="str">
        <f>IFERROR(__xludf.DUMMYFUNCTION("""COMPUTED_VALUE"""),"Tokai aircon repairs")</f>
        <v>Tokai aircon repairs</v>
      </c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 t="str">
        <f>IFERROR(__xludf.DUMMYFUNCTION("""COMPUTED_VALUE"""),"plumbing company Tokai")</f>
        <v>plumbing company Tokai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 t="str">
        <f>IFERROR(__xludf.DUMMYFUNCTION("""COMPUTED_VALUE"""),"Tokai blocked drain plumber")</f>
        <v>Tokai blocked drain plumber</v>
      </c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 t="str">
        <f>IFERROR(__xludf.DUMMYFUNCTION("""COMPUTED_VALUE"""),"plumbing company Woodstock")</f>
        <v>plumbing company Woodstock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 t="str">
        <f>IFERROR(__xludf.DUMMYFUNCTION("""COMPUTED_VALUE"""),"Tokai electrician")</f>
        <v>Tokai electrician</v>
      </c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 t="str">
        <f>IFERROR(__xludf.DUMMYFUNCTION("""COMPUTED_VALUE"""),"plumbing company Wynberg")</f>
        <v>plumbing company Wynberg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 t="str">
        <f>IFERROR(__xludf.DUMMYFUNCTION("""COMPUTED_VALUE"""),"Tokai emergency plumber")</f>
        <v>Tokai emergency plumber</v>
      </c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 t="str">
        <f>IFERROR(__xludf.DUMMYFUNCTION("""COMPUTED_VALUE"""),"refrigeration services Atlantic Seaboard")</f>
        <v>refrigeration services Atlantic Seaboard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 t="str">
        <f>IFERROR(__xludf.DUMMYFUNCTION("""COMPUTED_VALUE"""),"Tokai geyser repair")</f>
        <v>Tokai geyser repair</v>
      </c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 t="str">
        <f>IFERROR(__xludf.DUMMYFUNCTION("""COMPUTED_VALUE"""),"refrigeration services Bellville")</f>
        <v>refrigeration services Bellville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 t="str">
        <f>IFERROR(__xludf.DUMMYFUNCTION("""COMPUTED_VALUE"""),"Tokai leak detection plumber")</f>
        <v>Tokai leak detection plumber</v>
      </c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 t="str">
        <f>IFERROR(__xludf.DUMMYFUNCTION("""COMPUTED_VALUE"""),"refrigeration services Camps Bay")</f>
        <v>refrigeration services Camps Bay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 t="str">
        <f>IFERROR(__xludf.DUMMYFUNCTION("""COMPUTED_VALUE"""),"Tokai plumber")</f>
        <v>Tokai plumber</v>
      </c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 t="str">
        <f>IFERROR(__xludf.DUMMYFUNCTION("""COMPUTED_VALUE"""),"refrigeration services Cape Town")</f>
        <v>refrigeration services Cape Town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 t="str">
        <f>IFERROR(__xludf.DUMMYFUNCTION("""COMPUTED_VALUE"""),"Tokai plumbers")</f>
        <v>Tokai plumbers</v>
      </c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 t="str">
        <f>IFERROR(__xludf.DUMMYFUNCTION("""COMPUTED_VALUE"""),"refrigeration services Cape Town CBD")</f>
        <v>refrigeration services Cape Town CBD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 t="str">
        <f>IFERROR(__xludf.DUMMYFUNCTION("""COMPUTED_VALUE"""),"Tokai plumbing company")</f>
        <v>Tokai plumbing company</v>
      </c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 t="str">
        <f>IFERROR(__xludf.DUMMYFUNCTION("""COMPUTED_VALUE"""),"refrigeration services Claremont")</f>
        <v>refrigeration services Claremont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 t="str">
        <f>IFERROR(__xludf.DUMMYFUNCTION("""COMPUTED_VALUE"""),"Tokai refrigeration services")</f>
        <v>Tokai refrigeration services</v>
      </c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 t="str">
        <f>IFERROR(__xludf.DUMMYFUNCTION("""COMPUTED_VALUE"""),"refrigeration services Constantia")</f>
        <v>refrigeration services Constantia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 t="str">
        <f>IFERROR(__xludf.DUMMYFUNCTION("""COMPUTED_VALUE"""),"Woodstock aircon repairs")</f>
        <v>Woodstock aircon repairs</v>
      </c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 t="str">
        <f>IFERROR(__xludf.DUMMYFUNCTION("""COMPUTED_VALUE"""),"refrigeration services Durbanville")</f>
        <v>refrigeration services Durbanville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 t="str">
        <f>IFERROR(__xludf.DUMMYFUNCTION("""COMPUTED_VALUE"""),"Woodstock blocked drain plumber")</f>
        <v>Woodstock blocked drain plumber</v>
      </c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 t="str">
        <f>IFERROR(__xludf.DUMMYFUNCTION("""COMPUTED_VALUE"""),"refrigeration services Fish Hoek")</f>
        <v>refrigeration services Fish Hoek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 t="str">
        <f>IFERROR(__xludf.DUMMYFUNCTION("""COMPUTED_VALUE"""),"Woodstock electrician")</f>
        <v>Woodstock electrician</v>
      </c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 t="str">
        <f>IFERROR(__xludf.DUMMYFUNCTION("""COMPUTED_VALUE"""),"refrigeration services Green Point")</f>
        <v>refrigeration services Green Point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 t="str">
        <f>IFERROR(__xludf.DUMMYFUNCTION("""COMPUTED_VALUE"""),"Woodstock emergency plumber")</f>
        <v>Woodstock emergency plumber</v>
      </c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 t="str">
        <f>IFERROR(__xludf.DUMMYFUNCTION("""COMPUTED_VALUE"""),"refrigeration services Hout Bay")</f>
        <v>refrigeration services Hout Bay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 t="str">
        <f>IFERROR(__xludf.DUMMYFUNCTION("""COMPUTED_VALUE"""),"Woodstock geyser repair")</f>
        <v>Woodstock geyser repair</v>
      </c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 t="str">
        <f>IFERROR(__xludf.DUMMYFUNCTION("""COMPUTED_VALUE"""),"refrigeration services Maitland")</f>
        <v>refrigeration services Maitland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 t="str">
        <f>IFERROR(__xludf.DUMMYFUNCTION("""COMPUTED_VALUE"""),"Woodstock leak detection plumber")</f>
        <v>Woodstock leak detection plumber</v>
      </c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 t="str">
        <f>IFERROR(__xludf.DUMMYFUNCTION("""COMPUTED_VALUE"""),"refrigeration services Milnerton")</f>
        <v>refrigeration services Milnerton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 t="str">
        <f>IFERROR(__xludf.DUMMYFUNCTION("""COMPUTED_VALUE"""),"Woodstock plumber")</f>
        <v>Woodstock plumber</v>
      </c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 t="str">
        <f>IFERROR(__xludf.DUMMYFUNCTION("""COMPUTED_VALUE"""),"refrigeration services Muizenberg")</f>
        <v>refrigeration services Muizenberg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 t="str">
        <f>IFERROR(__xludf.DUMMYFUNCTION("""COMPUTED_VALUE"""),"Woodstock plumbers")</f>
        <v>Woodstock plumbers</v>
      </c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 t="str">
        <f>IFERROR(__xludf.DUMMYFUNCTION("""COMPUTED_VALUE"""),"refrigeration services Newlands")</f>
        <v>refrigeration services Newlands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 t="str">
        <f>IFERROR(__xludf.DUMMYFUNCTION("""COMPUTED_VALUE"""),"Woodstock plumbing company")</f>
        <v>Woodstock plumbing company</v>
      </c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 t="str">
        <f>IFERROR(__xludf.DUMMYFUNCTION("""COMPUTED_VALUE"""),"refrigeration services Northern Suburbs")</f>
        <v>refrigeration services Northern Suburbs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 t="str">
        <f>IFERROR(__xludf.DUMMYFUNCTION("""COMPUTED_VALUE"""),"Woodstock refrigeration services")</f>
        <v>Woodstock refrigeration services</v>
      </c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 t="str">
        <f>IFERROR(__xludf.DUMMYFUNCTION("""COMPUTED_VALUE"""),"refrigeration services Observatory")</f>
        <v>refrigeration services Observatory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 t="str">
        <f>IFERROR(__xludf.DUMMYFUNCTION("""COMPUTED_VALUE"""),"Wynberg aircon repairs")</f>
        <v>Wynberg aircon repairs</v>
      </c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 t="str">
        <f>IFERROR(__xludf.DUMMYFUNCTION("""COMPUTED_VALUE"""),"refrigeration services Plumstead")</f>
        <v>refrigeration services Plumstead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 t="str">
        <f>IFERROR(__xludf.DUMMYFUNCTION("""COMPUTED_VALUE"""),"Wynberg blocked drain plumber")</f>
        <v>Wynberg blocked drain plumber</v>
      </c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 t="str">
        <f>IFERROR(__xludf.DUMMYFUNCTION("""COMPUTED_VALUE"""),"refrigeration services Rondebosch")</f>
        <v>refrigeration services Rondebosch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 t="str">
        <f>IFERROR(__xludf.DUMMYFUNCTION("""COMPUTED_VALUE"""),"Wynberg electrician")</f>
        <v>Wynberg electrician</v>
      </c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 t="str">
        <f>IFERROR(__xludf.DUMMYFUNCTION("""COMPUTED_VALUE"""),"refrigeration services Sea Point")</f>
        <v>refrigeration services Sea Point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 t="str">
        <f>IFERROR(__xludf.DUMMYFUNCTION("""COMPUTED_VALUE"""),"Wynberg emergency plumber")</f>
        <v>Wynberg emergency plumber</v>
      </c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 t="str">
        <f>IFERROR(__xludf.DUMMYFUNCTION("""COMPUTED_VALUE"""),"refrigeration services South Africa")</f>
        <v>refrigeration services South Africa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 t="str">
        <f>IFERROR(__xludf.DUMMYFUNCTION("""COMPUTED_VALUE"""),"Wynberg geyser repair")</f>
        <v>Wynberg geyser repair</v>
      </c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 t="str">
        <f>IFERROR(__xludf.DUMMYFUNCTION("""COMPUTED_VALUE"""),"refrigeration services Southern Suburbs")</f>
        <v>refrigeration services Southern Suburbs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 t="str">
        <f>IFERROR(__xludf.DUMMYFUNCTION("""COMPUTED_VALUE"""),"Wynberg leak detection plumber")</f>
        <v>Wynberg leak detection plumber</v>
      </c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 t="str">
        <f>IFERROR(__xludf.DUMMYFUNCTION("""COMPUTED_VALUE"""),"refrigeration services Table View")</f>
        <v>refrigeration services Table View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 t="str">
        <f>IFERROR(__xludf.DUMMYFUNCTION("""COMPUTED_VALUE"""),"Wynberg plumber")</f>
        <v>Wynberg plumber</v>
      </c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 t="str">
        <f>IFERROR(__xludf.DUMMYFUNCTION("""COMPUTED_VALUE"""),"refrigeration services Tokai")</f>
        <v>refrigeration services Tokai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 t="str">
        <f>IFERROR(__xludf.DUMMYFUNCTION("""COMPUTED_VALUE"""),"Wynberg plumbers")</f>
        <v>Wynberg plumbers</v>
      </c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 t="str">
        <f>IFERROR(__xludf.DUMMYFUNCTION("""COMPUTED_VALUE"""),"refrigeration services Woodstock")</f>
        <v>refrigeration services Woodstock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 t="str">
        <f>IFERROR(__xludf.DUMMYFUNCTION("""COMPUTED_VALUE"""),"Wynberg plumbing company")</f>
        <v>Wynberg plumbing company</v>
      </c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 t="str">
        <f>IFERROR(__xludf.DUMMYFUNCTION("""COMPUTED_VALUE"""),"refrigeration services Wynberg")</f>
        <v>refrigeration services Wynberg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 t="str">
        <f>IFERROR(__xludf.DUMMYFUNCTION("""COMPUTED_VALUE"""),"Wynberg refrigeration services")</f>
        <v>Wynberg refrigeration services</v>
      </c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19</v>
      </c>
      <c r="S1" s="1" t="s">
        <v>20</v>
      </c>
    </row>
    <row r="2">
      <c r="A2" s="1">
        <v>1.0</v>
      </c>
      <c r="B2" s="1" t="s">
        <v>22</v>
      </c>
      <c r="C2" s="1" t="s">
        <v>23</v>
      </c>
      <c r="D2" s="1">
        <v>0.0</v>
      </c>
      <c r="E2" s="1">
        <v>350.0</v>
      </c>
      <c r="F2" s="1">
        <v>1.3</v>
      </c>
      <c r="G2" s="1">
        <v>0.85</v>
      </c>
      <c r="H2" s="1" t="s">
        <v>22</v>
      </c>
      <c r="I2" s="4">
        <v>46211.93755787037</v>
      </c>
      <c r="J2" s="1" t="s">
        <v>26</v>
      </c>
      <c r="K2" s="1">
        <v>350.0</v>
      </c>
      <c r="L2" s="1">
        <v>150.0</v>
      </c>
      <c r="M2" s="1">
        <v>300.0</v>
      </c>
      <c r="N2" s="5">
        <v>42252.0</v>
      </c>
      <c r="O2" s="1" t="s">
        <v>28</v>
      </c>
      <c r="P2" s="1" t="s">
        <v>29</v>
      </c>
      <c r="Q2" s="1" t="s">
        <v>31</v>
      </c>
      <c r="R2" s="1" t="s">
        <v>33</v>
      </c>
      <c r="S2" s="1" t="s">
        <v>34</v>
      </c>
    </row>
    <row r="3">
      <c r="A3" s="1">
        <v>2.0</v>
      </c>
      <c r="B3" s="1" t="s">
        <v>45</v>
      </c>
      <c r="C3" s="1" t="s">
        <v>23</v>
      </c>
      <c r="D3" s="1">
        <v>28.0</v>
      </c>
      <c r="E3" s="1">
        <v>300.0</v>
      </c>
      <c r="F3" s="1">
        <v>0.7</v>
      </c>
      <c r="G3" s="1">
        <v>0.81</v>
      </c>
      <c r="H3" s="1" t="s">
        <v>45</v>
      </c>
      <c r="I3" s="4">
        <v>46191.19011574074</v>
      </c>
      <c r="J3" s="1" t="s">
        <v>26</v>
      </c>
      <c r="K3" s="1">
        <v>300.0</v>
      </c>
      <c r="L3" s="1">
        <v>250.0</v>
      </c>
      <c r="M3" s="1">
        <v>250.0</v>
      </c>
      <c r="N3" s="5">
        <v>42252.0</v>
      </c>
      <c r="O3" s="1" t="s">
        <v>28</v>
      </c>
      <c r="P3" s="1" t="s">
        <v>29</v>
      </c>
      <c r="Q3" s="1" t="s">
        <v>46</v>
      </c>
      <c r="R3" s="1" t="s">
        <v>47</v>
      </c>
      <c r="S3" s="1" t="s">
        <v>48</v>
      </c>
    </row>
    <row r="4">
      <c r="A4" s="1">
        <v>3.0</v>
      </c>
      <c r="B4" s="1" t="s">
        <v>49</v>
      </c>
      <c r="C4" s="1" t="s">
        <v>23</v>
      </c>
      <c r="D4" s="1">
        <v>0.0</v>
      </c>
      <c r="E4" s="1">
        <v>200.0</v>
      </c>
      <c r="F4" s="1">
        <v>1.3</v>
      </c>
      <c r="G4" s="1">
        <v>1.28</v>
      </c>
      <c r="H4" s="1" t="s">
        <v>50</v>
      </c>
      <c r="I4" s="4">
        <v>46195.322291666664</v>
      </c>
      <c r="J4" s="1" t="s">
        <v>26</v>
      </c>
      <c r="K4" s="1">
        <v>250.0</v>
      </c>
      <c r="L4" s="1">
        <v>80.0</v>
      </c>
      <c r="M4" s="1">
        <v>100.0</v>
      </c>
      <c r="N4" s="5">
        <v>42255.0</v>
      </c>
      <c r="O4" s="1" t="s">
        <v>28</v>
      </c>
      <c r="P4" s="1" t="s">
        <v>29</v>
      </c>
      <c r="Q4" s="1" t="s">
        <v>51</v>
      </c>
      <c r="R4" s="1" t="s">
        <v>52</v>
      </c>
      <c r="S4" s="1" t="s">
        <v>34</v>
      </c>
    </row>
    <row r="5">
      <c r="A5" s="1">
        <v>4.0</v>
      </c>
      <c r="B5" s="1" t="s">
        <v>53</v>
      </c>
      <c r="C5" s="1" t="s">
        <v>23</v>
      </c>
      <c r="D5" s="1">
        <v>0.0</v>
      </c>
      <c r="E5" s="1">
        <v>200.0</v>
      </c>
      <c r="F5" s="1">
        <v>0.7</v>
      </c>
      <c r="G5" s="1">
        <v>0.76</v>
      </c>
      <c r="H5" s="1" t="s">
        <v>53</v>
      </c>
      <c r="I5" s="4">
        <v>46227.493368055555</v>
      </c>
      <c r="J5" s="1" t="s">
        <v>54</v>
      </c>
      <c r="K5" s="1">
        <v>200.0</v>
      </c>
      <c r="L5" s="1">
        <v>10.0</v>
      </c>
      <c r="M5" s="1">
        <v>10.0</v>
      </c>
      <c r="N5" s="5">
        <v>42393.0</v>
      </c>
      <c r="O5" s="1" t="s">
        <v>28</v>
      </c>
      <c r="P5" s="1" t="s">
        <v>29</v>
      </c>
      <c r="Q5" s="1" t="s">
        <v>55</v>
      </c>
      <c r="S5" s="1" t="s">
        <v>48</v>
      </c>
    </row>
    <row r="6">
      <c r="A6" s="1">
        <v>5.0</v>
      </c>
      <c r="B6" s="1" t="s">
        <v>59</v>
      </c>
      <c r="C6" s="1" t="s">
        <v>23</v>
      </c>
      <c r="D6" s="1">
        <v>13.0</v>
      </c>
      <c r="E6" s="1">
        <v>150.0</v>
      </c>
      <c r="F6" s="1">
        <v>1.4</v>
      </c>
      <c r="G6" s="1">
        <v>0.58</v>
      </c>
      <c r="H6" s="1" t="s">
        <v>61</v>
      </c>
      <c r="I6" s="4">
        <v>46212.95943287037</v>
      </c>
      <c r="J6" s="1" t="s">
        <v>26</v>
      </c>
      <c r="K6" s="1">
        <v>200.0</v>
      </c>
      <c r="L6" s="1">
        <v>50.0</v>
      </c>
      <c r="M6" s="1">
        <v>50.0</v>
      </c>
      <c r="N6" s="5">
        <v>42455.0</v>
      </c>
      <c r="O6" s="1" t="s">
        <v>28</v>
      </c>
      <c r="P6" s="1" t="s">
        <v>29</v>
      </c>
      <c r="Q6" s="1" t="s">
        <v>63</v>
      </c>
      <c r="S6" s="1" t="s">
        <v>34</v>
      </c>
    </row>
    <row r="7">
      <c r="A7" s="1">
        <v>6.0</v>
      </c>
      <c r="B7" s="1" t="s">
        <v>67</v>
      </c>
      <c r="C7" s="1" t="s">
        <v>23</v>
      </c>
      <c r="E7" s="1">
        <v>100.0</v>
      </c>
      <c r="F7" s="1">
        <v>1.2</v>
      </c>
      <c r="K7" s="1">
        <v>100.0</v>
      </c>
      <c r="N7" s="5">
        <v>42472.0</v>
      </c>
      <c r="Q7" s="1" t="s">
        <v>68</v>
      </c>
      <c r="R7" s="1">
        <v>111.0</v>
      </c>
    </row>
    <row r="8">
      <c r="A8" s="1">
        <v>7.0</v>
      </c>
      <c r="B8" s="1" t="s">
        <v>77</v>
      </c>
      <c r="C8" s="1" t="s">
        <v>23</v>
      </c>
      <c r="E8" s="1">
        <v>100.0</v>
      </c>
      <c r="K8" s="1">
        <v>100.0</v>
      </c>
      <c r="N8" s="5">
        <v>43658.0</v>
      </c>
      <c r="Q8" s="1" t="s">
        <v>78</v>
      </c>
      <c r="R8" s="1">
        <v>32.0</v>
      </c>
    </row>
    <row r="9">
      <c r="A9" s="1">
        <v>8.0</v>
      </c>
      <c r="B9" s="1" t="s">
        <v>84</v>
      </c>
      <c r="C9" s="1" t="s">
        <v>23</v>
      </c>
      <c r="D9" s="1">
        <v>0.0</v>
      </c>
      <c r="E9" s="1">
        <v>100.0</v>
      </c>
      <c r="F9" s="1">
        <v>1.0</v>
      </c>
      <c r="H9" s="1" t="s">
        <v>84</v>
      </c>
      <c r="I9" s="4">
        <v>46199.01739583333</v>
      </c>
      <c r="J9" s="1" t="s">
        <v>26</v>
      </c>
      <c r="K9" s="1">
        <v>100.0</v>
      </c>
      <c r="L9" s="1">
        <v>90.0</v>
      </c>
      <c r="M9" s="1">
        <v>90.0</v>
      </c>
      <c r="N9" s="5">
        <v>42329.0</v>
      </c>
      <c r="O9" s="1" t="s">
        <v>28</v>
      </c>
      <c r="P9" s="1" t="s">
        <v>29</v>
      </c>
      <c r="Q9" s="1" t="s">
        <v>86</v>
      </c>
      <c r="R9" s="1">
        <v>47.0</v>
      </c>
      <c r="S9" s="1" t="s">
        <v>34</v>
      </c>
    </row>
    <row r="10">
      <c r="A10" s="1">
        <v>9.0</v>
      </c>
      <c r="B10" s="1" t="s">
        <v>87</v>
      </c>
      <c r="C10" s="1" t="s">
        <v>23</v>
      </c>
      <c r="E10" s="1">
        <v>90.0</v>
      </c>
      <c r="K10" s="1">
        <v>90.0</v>
      </c>
      <c r="N10" s="5">
        <v>42908.0</v>
      </c>
      <c r="Q10" s="1" t="s">
        <v>88</v>
      </c>
      <c r="R10" s="1">
        <v>110.0</v>
      </c>
    </row>
    <row r="11">
      <c r="A11" s="1">
        <v>10.0</v>
      </c>
      <c r="B11" s="1" t="s">
        <v>97</v>
      </c>
      <c r="C11" s="1" t="s">
        <v>23</v>
      </c>
      <c r="E11" s="1">
        <v>90.0</v>
      </c>
      <c r="F11" s="1">
        <v>1.4</v>
      </c>
      <c r="K11" s="1">
        <v>100.0</v>
      </c>
      <c r="N11" s="5">
        <v>42381.0</v>
      </c>
      <c r="O11" s="1" t="s">
        <v>28</v>
      </c>
      <c r="P11" s="1" t="s">
        <v>29</v>
      </c>
      <c r="Q11" s="1" t="s">
        <v>101</v>
      </c>
      <c r="S11" s="1" t="s">
        <v>34</v>
      </c>
    </row>
    <row r="12">
      <c r="A12" s="1">
        <v>11.0</v>
      </c>
      <c r="B12" s="1" t="s">
        <v>89</v>
      </c>
      <c r="C12" s="1" t="s">
        <v>23</v>
      </c>
      <c r="D12" s="1">
        <v>0.0</v>
      </c>
      <c r="E12" s="1">
        <v>90.0</v>
      </c>
      <c r="F12" s="1">
        <v>0.8</v>
      </c>
      <c r="H12" s="1" t="s">
        <v>84</v>
      </c>
      <c r="I12" s="4">
        <v>46217.63798611111</v>
      </c>
      <c r="J12" s="1" t="s">
        <v>90</v>
      </c>
      <c r="K12" s="1">
        <v>100.0</v>
      </c>
      <c r="L12" s="1">
        <v>40.0</v>
      </c>
      <c r="M12" s="1">
        <v>40.0</v>
      </c>
      <c r="N12" s="5">
        <v>42452.0</v>
      </c>
      <c r="O12" s="1" t="s">
        <v>91</v>
      </c>
      <c r="P12" s="1" t="s">
        <v>29</v>
      </c>
      <c r="Q12" s="1" t="s">
        <v>92</v>
      </c>
      <c r="S12" s="1" t="s">
        <v>76</v>
      </c>
    </row>
    <row r="13">
      <c r="A13" s="1">
        <v>12.0</v>
      </c>
      <c r="B13" s="1" t="s">
        <v>112</v>
      </c>
      <c r="C13" s="1" t="s">
        <v>23</v>
      </c>
      <c r="E13" s="1">
        <v>90.0</v>
      </c>
      <c r="G13" s="1">
        <v>0.61</v>
      </c>
      <c r="K13" s="1">
        <v>90.0</v>
      </c>
      <c r="N13" s="5">
        <v>42298.0</v>
      </c>
      <c r="O13" s="1" t="s">
        <v>28</v>
      </c>
      <c r="P13" s="1" t="s">
        <v>29</v>
      </c>
      <c r="Q13" s="1" t="s">
        <v>117</v>
      </c>
      <c r="S13" s="1" t="s">
        <v>119</v>
      </c>
    </row>
    <row r="14">
      <c r="A14" s="1">
        <v>13.0</v>
      </c>
      <c r="B14" s="1" t="s">
        <v>121</v>
      </c>
      <c r="C14" s="1" t="s">
        <v>23</v>
      </c>
      <c r="D14" s="1">
        <v>0.0</v>
      </c>
      <c r="E14" s="1">
        <v>80.0</v>
      </c>
      <c r="F14" s="1">
        <v>0.9</v>
      </c>
      <c r="H14" s="1" t="s">
        <v>121</v>
      </c>
      <c r="I14" s="4">
        <v>46211.08121527778</v>
      </c>
      <c r="J14" s="1" t="s">
        <v>126</v>
      </c>
      <c r="K14" s="1">
        <v>150.0</v>
      </c>
      <c r="L14" s="1">
        <v>60.0</v>
      </c>
      <c r="M14" s="1">
        <v>60.0</v>
      </c>
      <c r="N14" s="5">
        <v>42275.0</v>
      </c>
      <c r="O14" s="1" t="s">
        <v>28</v>
      </c>
      <c r="P14" s="1" t="s">
        <v>29</v>
      </c>
      <c r="Q14" s="1" t="s">
        <v>130</v>
      </c>
      <c r="S14" s="1" t="s">
        <v>76</v>
      </c>
    </row>
    <row r="15">
      <c r="A15" s="1">
        <v>14.0</v>
      </c>
      <c r="B15" s="1" t="s">
        <v>133</v>
      </c>
      <c r="C15" s="1" t="s">
        <v>23</v>
      </c>
      <c r="D15" s="1">
        <v>0.0</v>
      </c>
      <c r="E15" s="1">
        <v>70.0</v>
      </c>
      <c r="F15" s="1">
        <v>1.4</v>
      </c>
      <c r="H15" s="1" t="s">
        <v>133</v>
      </c>
      <c r="I15" s="4">
        <v>46216.916666666664</v>
      </c>
      <c r="J15" s="1" t="s">
        <v>26</v>
      </c>
      <c r="K15" s="1">
        <v>80.0</v>
      </c>
      <c r="L15" s="1">
        <v>50.0</v>
      </c>
      <c r="M15" s="1">
        <v>50.0</v>
      </c>
      <c r="N15" s="5">
        <v>42345.0</v>
      </c>
      <c r="O15" s="1" t="s">
        <v>65</v>
      </c>
      <c r="P15" s="1" t="s">
        <v>29</v>
      </c>
      <c r="Q15" s="1" t="s">
        <v>138</v>
      </c>
      <c r="R15" s="1" t="s">
        <v>139</v>
      </c>
      <c r="S15" s="1" t="s">
        <v>34</v>
      </c>
    </row>
    <row r="16">
      <c r="A16" s="1">
        <v>15.0</v>
      </c>
      <c r="B16" s="1" t="s">
        <v>61</v>
      </c>
      <c r="C16" s="1" t="s">
        <v>23</v>
      </c>
      <c r="D16" s="1">
        <v>17.0</v>
      </c>
      <c r="E16" s="1">
        <v>70.0</v>
      </c>
      <c r="F16" s="1">
        <v>1.4</v>
      </c>
      <c r="G16" s="1">
        <v>0.98</v>
      </c>
      <c r="H16" s="1" t="s">
        <v>61</v>
      </c>
      <c r="I16" s="4">
        <v>46203.49953703704</v>
      </c>
      <c r="J16" s="1" t="s">
        <v>26</v>
      </c>
      <c r="K16" s="1">
        <v>70.0</v>
      </c>
      <c r="L16" s="1">
        <v>40.0</v>
      </c>
      <c r="M16" s="1">
        <v>40.0</v>
      </c>
      <c r="N16" s="5">
        <v>42333.0</v>
      </c>
      <c r="O16" s="1" t="s">
        <v>28</v>
      </c>
      <c r="P16" s="1" t="s">
        <v>29</v>
      </c>
      <c r="Q16" s="1" t="s">
        <v>153</v>
      </c>
      <c r="R16" s="1" t="s">
        <v>155</v>
      </c>
      <c r="S16" s="1" t="s">
        <v>34</v>
      </c>
    </row>
    <row r="17">
      <c r="A17" s="1">
        <v>16.0</v>
      </c>
      <c r="B17" s="1" t="s">
        <v>157</v>
      </c>
      <c r="C17" s="1" t="s">
        <v>23</v>
      </c>
      <c r="E17" s="1">
        <v>70.0</v>
      </c>
      <c r="K17" s="1">
        <v>90.0</v>
      </c>
      <c r="N17" s="5">
        <v>42434.0</v>
      </c>
      <c r="O17" s="1" t="s">
        <v>91</v>
      </c>
      <c r="P17" s="1" t="s">
        <v>29</v>
      </c>
      <c r="Q17" s="1" t="s">
        <v>162</v>
      </c>
      <c r="S17" s="1" t="s">
        <v>163</v>
      </c>
    </row>
    <row r="18">
      <c r="A18" s="1">
        <v>17.0</v>
      </c>
      <c r="B18" s="1" t="s">
        <v>165</v>
      </c>
      <c r="C18" s="1" t="s">
        <v>23</v>
      </c>
      <c r="D18" s="1">
        <v>0.0</v>
      </c>
      <c r="E18" s="1">
        <v>70.0</v>
      </c>
      <c r="F18" s="1">
        <v>1.0</v>
      </c>
      <c r="H18" s="1" t="s">
        <v>18</v>
      </c>
      <c r="I18" s="4">
        <v>46224.66318287037</v>
      </c>
      <c r="J18" s="1" t="s">
        <v>26</v>
      </c>
      <c r="K18" s="1">
        <v>70.0</v>
      </c>
      <c r="L18" s="1">
        <v>60.0</v>
      </c>
      <c r="M18" s="1">
        <v>60.0</v>
      </c>
      <c r="N18" s="5">
        <v>42375.0</v>
      </c>
      <c r="O18" s="1" t="s">
        <v>28</v>
      </c>
      <c r="P18" s="1" t="s">
        <v>29</v>
      </c>
      <c r="Q18" s="1" t="s">
        <v>175</v>
      </c>
      <c r="R18" s="1">
        <v>40.0</v>
      </c>
      <c r="S18" s="1" t="s">
        <v>34</v>
      </c>
    </row>
    <row r="19">
      <c r="A19" s="1">
        <v>18.0</v>
      </c>
      <c r="B19" s="1" t="s">
        <v>177</v>
      </c>
      <c r="C19" s="1" t="s">
        <v>23</v>
      </c>
      <c r="D19" s="1">
        <v>0.0</v>
      </c>
      <c r="E19" s="1">
        <v>60.0</v>
      </c>
      <c r="F19" s="1">
        <v>1.0</v>
      </c>
      <c r="H19" s="1" t="s">
        <v>177</v>
      </c>
      <c r="I19" s="4">
        <v>46228.623773148145</v>
      </c>
      <c r="J19" s="1" t="s">
        <v>26</v>
      </c>
      <c r="K19" s="1">
        <v>70.0</v>
      </c>
      <c r="L19" s="1">
        <v>10.0</v>
      </c>
      <c r="M19" s="1">
        <v>10.0</v>
      </c>
      <c r="N19" s="5">
        <v>42366.0</v>
      </c>
      <c r="O19" s="1" t="s">
        <v>28</v>
      </c>
      <c r="P19" s="1" t="s">
        <v>29</v>
      </c>
      <c r="Q19" s="1" t="s">
        <v>184</v>
      </c>
      <c r="R19" s="1">
        <v>33.0</v>
      </c>
      <c r="S19" s="1" t="s">
        <v>34</v>
      </c>
    </row>
    <row r="20">
      <c r="A20" s="1">
        <v>19.0</v>
      </c>
      <c r="B20" s="1" t="s">
        <v>110</v>
      </c>
      <c r="C20" s="1" t="s">
        <v>23</v>
      </c>
      <c r="E20" s="1">
        <v>60.0</v>
      </c>
      <c r="K20" s="1">
        <v>60.0</v>
      </c>
      <c r="N20" s="5">
        <v>42541.0</v>
      </c>
      <c r="Q20" s="1" t="s">
        <v>111</v>
      </c>
      <c r="R20" s="1">
        <v>29.0</v>
      </c>
    </row>
    <row r="21">
      <c r="A21" s="1">
        <v>20.0</v>
      </c>
      <c r="B21" s="1" t="s">
        <v>193</v>
      </c>
      <c r="C21" s="1" t="s">
        <v>23</v>
      </c>
      <c r="E21" s="1">
        <v>50.0</v>
      </c>
      <c r="K21" s="1">
        <v>50.0</v>
      </c>
      <c r="N21" s="5">
        <v>42334.0</v>
      </c>
      <c r="Q21" s="1" t="s">
        <v>197</v>
      </c>
      <c r="R21" s="1">
        <v>7.0</v>
      </c>
    </row>
    <row r="22">
      <c r="A22" s="1">
        <v>21.0</v>
      </c>
      <c r="B22" s="1" t="s">
        <v>200</v>
      </c>
      <c r="C22" s="1" t="s">
        <v>23</v>
      </c>
      <c r="E22" s="1">
        <v>50.0</v>
      </c>
      <c r="K22" s="1">
        <v>70.0</v>
      </c>
      <c r="N22" s="5">
        <v>42503.0</v>
      </c>
      <c r="Q22" s="1" t="s">
        <v>204</v>
      </c>
    </row>
    <row r="23">
      <c r="A23" s="1">
        <v>22.0</v>
      </c>
      <c r="B23" s="1" t="s">
        <v>207</v>
      </c>
      <c r="C23" s="1" t="s">
        <v>23</v>
      </c>
      <c r="E23" s="1">
        <v>50.0</v>
      </c>
      <c r="K23" s="1">
        <v>50.0</v>
      </c>
      <c r="N23" s="5">
        <v>42885.0</v>
      </c>
      <c r="Q23" s="1" t="s">
        <v>212</v>
      </c>
      <c r="R23" s="1">
        <v>26.0</v>
      </c>
    </row>
    <row r="24">
      <c r="A24" s="1">
        <v>23.0</v>
      </c>
      <c r="B24" s="1" t="s">
        <v>215</v>
      </c>
      <c r="C24" s="1" t="s">
        <v>23</v>
      </c>
      <c r="D24" s="1">
        <v>0.0</v>
      </c>
      <c r="E24" s="1">
        <v>50.0</v>
      </c>
      <c r="F24" s="1">
        <v>1.1</v>
      </c>
      <c r="H24" s="1" t="s">
        <v>215</v>
      </c>
      <c r="I24" s="4">
        <v>46207.31528935185</v>
      </c>
      <c r="J24" s="1" t="s">
        <v>26</v>
      </c>
      <c r="K24" s="1">
        <v>50.0</v>
      </c>
      <c r="L24" s="1">
        <v>10.0</v>
      </c>
      <c r="M24" s="1">
        <v>10.0</v>
      </c>
      <c r="N24" s="5">
        <v>42278.0</v>
      </c>
      <c r="O24" s="1" t="s">
        <v>28</v>
      </c>
      <c r="P24" s="1" t="s">
        <v>29</v>
      </c>
      <c r="Q24" s="1" t="s">
        <v>228</v>
      </c>
      <c r="R24" s="1">
        <v>21.0</v>
      </c>
      <c r="S24" s="1" t="s">
        <v>34</v>
      </c>
    </row>
    <row r="25">
      <c r="A25" s="1">
        <v>24.0</v>
      </c>
      <c r="B25" s="1" t="s">
        <v>232</v>
      </c>
      <c r="C25" s="1" t="s">
        <v>23</v>
      </c>
      <c r="E25" s="1">
        <v>50.0</v>
      </c>
      <c r="K25" s="1">
        <v>250.0</v>
      </c>
      <c r="N25" s="5">
        <v>43507.0</v>
      </c>
      <c r="Q25" s="1" t="s">
        <v>234</v>
      </c>
      <c r="R25" s="1">
        <v>18.0</v>
      </c>
    </row>
    <row r="26">
      <c r="A26" s="1">
        <v>25.0</v>
      </c>
      <c r="B26" s="1" t="s">
        <v>236</v>
      </c>
      <c r="C26" s="1" t="s">
        <v>23</v>
      </c>
      <c r="E26" s="1">
        <v>40.0</v>
      </c>
      <c r="K26" s="1">
        <v>40.0</v>
      </c>
      <c r="N26" s="5">
        <v>43924.0</v>
      </c>
      <c r="O26" s="1" t="s">
        <v>28</v>
      </c>
      <c r="P26" s="1" t="s">
        <v>29</v>
      </c>
      <c r="Q26" s="1" t="s">
        <v>243</v>
      </c>
      <c r="R26" s="1">
        <v>15.0</v>
      </c>
      <c r="S26" s="1" t="s">
        <v>34</v>
      </c>
    </row>
    <row r="27">
      <c r="A27" s="1">
        <v>26.0</v>
      </c>
      <c r="B27" s="1" t="s">
        <v>247</v>
      </c>
      <c r="C27" s="1" t="s">
        <v>23</v>
      </c>
      <c r="E27" s="1">
        <v>40.0</v>
      </c>
      <c r="K27" s="1">
        <v>40.0</v>
      </c>
      <c r="N27" s="5">
        <v>42899.0</v>
      </c>
      <c r="Q27" s="1" t="s">
        <v>252</v>
      </c>
      <c r="R27" s="1">
        <v>3.0</v>
      </c>
    </row>
    <row r="28">
      <c r="A28" s="1">
        <v>27.0</v>
      </c>
      <c r="B28" s="1" t="s">
        <v>256</v>
      </c>
      <c r="C28" s="1" t="s">
        <v>23</v>
      </c>
      <c r="E28" s="1">
        <v>40.0</v>
      </c>
      <c r="K28" s="1">
        <v>40.0</v>
      </c>
      <c r="N28" s="5">
        <v>42865.0</v>
      </c>
      <c r="Q28" s="1" t="s">
        <v>260</v>
      </c>
      <c r="R28" s="1">
        <v>24.0</v>
      </c>
    </row>
    <row r="29">
      <c r="A29" s="1">
        <v>28.0</v>
      </c>
      <c r="B29" s="1" t="s">
        <v>262</v>
      </c>
      <c r="C29" s="1" t="s">
        <v>23</v>
      </c>
      <c r="D29" s="1">
        <v>0.0</v>
      </c>
      <c r="E29" s="1">
        <v>40.0</v>
      </c>
      <c r="F29" s="1">
        <v>0.6</v>
      </c>
      <c r="H29" s="1" t="s">
        <v>266</v>
      </c>
      <c r="I29" s="4">
        <v>46202.96506944444</v>
      </c>
      <c r="J29" s="1" t="s">
        <v>269</v>
      </c>
      <c r="K29" s="1">
        <v>400.0</v>
      </c>
      <c r="L29" s="1">
        <v>10.0</v>
      </c>
      <c r="M29" s="1">
        <v>10.0</v>
      </c>
      <c r="N29" s="5">
        <v>43402.0</v>
      </c>
      <c r="O29" s="1" t="s">
        <v>28</v>
      </c>
      <c r="P29" s="1" t="s">
        <v>29</v>
      </c>
      <c r="Q29" s="1" t="s">
        <v>275</v>
      </c>
      <c r="R29" s="1">
        <v>4.0</v>
      </c>
      <c r="S29" s="1" t="s">
        <v>34</v>
      </c>
    </row>
    <row r="30">
      <c r="A30" s="1">
        <v>29.0</v>
      </c>
      <c r="B30" s="1" t="s">
        <v>279</v>
      </c>
      <c r="C30" s="1" t="s">
        <v>23</v>
      </c>
      <c r="D30" s="1">
        <v>0.0</v>
      </c>
      <c r="E30" s="1">
        <v>40.0</v>
      </c>
      <c r="F30" s="1">
        <v>0.9</v>
      </c>
      <c r="H30" s="1" t="s">
        <v>177</v>
      </c>
      <c r="I30" s="4">
        <v>46221.19390046296</v>
      </c>
      <c r="J30" s="1" t="s">
        <v>26</v>
      </c>
      <c r="K30" s="1">
        <v>40.0</v>
      </c>
      <c r="L30" s="1">
        <v>40.0</v>
      </c>
      <c r="M30" s="1">
        <v>40.0</v>
      </c>
      <c r="N30" s="5">
        <v>42248.0</v>
      </c>
      <c r="O30" s="1" t="s">
        <v>28</v>
      </c>
      <c r="P30" s="1" t="s">
        <v>29</v>
      </c>
      <c r="Q30" s="1" t="s">
        <v>291</v>
      </c>
      <c r="R30" s="1">
        <v>3.0</v>
      </c>
      <c r="S30" s="1" t="s">
        <v>34</v>
      </c>
    </row>
    <row r="31">
      <c r="A31" s="1">
        <v>30.0</v>
      </c>
      <c r="B31" s="1" t="s">
        <v>296</v>
      </c>
      <c r="C31" s="1" t="s">
        <v>23</v>
      </c>
      <c r="E31" s="1">
        <v>40.0</v>
      </c>
      <c r="K31" s="1">
        <v>50.0</v>
      </c>
      <c r="N31" s="5">
        <v>42740.0</v>
      </c>
      <c r="Q31" s="1" t="s">
        <v>303</v>
      </c>
    </row>
    <row r="32">
      <c r="A32" s="1">
        <v>31.0</v>
      </c>
      <c r="B32" s="1" t="s">
        <v>305</v>
      </c>
      <c r="C32" s="1" t="s">
        <v>23</v>
      </c>
      <c r="D32" s="1">
        <v>0.0</v>
      </c>
      <c r="E32" s="1">
        <v>40.0</v>
      </c>
      <c r="F32" s="1">
        <v>0.6</v>
      </c>
      <c r="H32" s="1" t="s">
        <v>305</v>
      </c>
      <c r="I32" s="4">
        <v>46227.621712962966</v>
      </c>
      <c r="J32" s="1" t="s">
        <v>126</v>
      </c>
      <c r="K32" s="1">
        <v>40.0</v>
      </c>
      <c r="L32" s="1">
        <v>10.0</v>
      </c>
      <c r="M32" s="1">
        <v>10.0</v>
      </c>
      <c r="N32" s="5">
        <v>42270.0</v>
      </c>
      <c r="O32" s="1" t="s">
        <v>28</v>
      </c>
      <c r="P32" s="1" t="s">
        <v>29</v>
      </c>
      <c r="Q32" s="1" t="s">
        <v>321</v>
      </c>
      <c r="R32" s="1" t="s">
        <v>322</v>
      </c>
      <c r="S32" s="1" t="s">
        <v>48</v>
      </c>
    </row>
    <row r="33">
      <c r="A33" s="1">
        <v>32.0</v>
      </c>
      <c r="B33" s="1" t="s">
        <v>326</v>
      </c>
      <c r="C33" s="1" t="s">
        <v>23</v>
      </c>
      <c r="E33" s="1">
        <v>40.0</v>
      </c>
      <c r="K33" s="1">
        <v>70.0</v>
      </c>
      <c r="N33" s="5">
        <v>45599.0</v>
      </c>
      <c r="Q33" s="1" t="s">
        <v>332</v>
      </c>
    </row>
    <row r="34">
      <c r="A34" s="1">
        <v>33.0</v>
      </c>
      <c r="B34" s="1" t="s">
        <v>333</v>
      </c>
      <c r="C34" s="1" t="s">
        <v>23</v>
      </c>
      <c r="E34" s="1">
        <v>40.0</v>
      </c>
      <c r="F34" s="1">
        <v>1.1</v>
      </c>
      <c r="K34" s="1">
        <v>500.0</v>
      </c>
      <c r="N34" s="5">
        <v>42565.0</v>
      </c>
      <c r="O34" s="1" t="s">
        <v>28</v>
      </c>
      <c r="P34" s="1" t="s">
        <v>29</v>
      </c>
      <c r="Q34" s="1" t="s">
        <v>339</v>
      </c>
      <c r="S34" s="1" t="s">
        <v>34</v>
      </c>
    </row>
    <row r="35">
      <c r="A35" s="1">
        <v>34.0</v>
      </c>
      <c r="B35" s="1" t="s">
        <v>343</v>
      </c>
      <c r="C35" s="1" t="s">
        <v>23</v>
      </c>
      <c r="E35" s="1">
        <v>40.0</v>
      </c>
      <c r="F35" s="1">
        <v>0.8</v>
      </c>
      <c r="K35" s="1">
        <v>40.0</v>
      </c>
      <c r="N35" s="5">
        <v>42906.0</v>
      </c>
      <c r="Q35" s="1" t="s">
        <v>347</v>
      </c>
      <c r="R35" s="1">
        <v>18.0</v>
      </c>
    </row>
    <row r="36">
      <c r="A36" s="1">
        <v>35.0</v>
      </c>
      <c r="B36" s="1" t="s">
        <v>351</v>
      </c>
      <c r="C36" s="1" t="s">
        <v>23</v>
      </c>
      <c r="E36" s="1">
        <v>30.0</v>
      </c>
      <c r="K36" s="1">
        <v>40.0</v>
      </c>
      <c r="N36" s="5">
        <v>43152.0</v>
      </c>
      <c r="Q36" s="1" t="s">
        <v>355</v>
      </c>
    </row>
    <row r="37">
      <c r="A37" s="1">
        <v>36.0</v>
      </c>
      <c r="B37" s="1" t="s">
        <v>357</v>
      </c>
      <c r="C37" s="1" t="s">
        <v>23</v>
      </c>
      <c r="D37" s="1">
        <v>0.0</v>
      </c>
      <c r="E37" s="1">
        <v>30.0</v>
      </c>
      <c r="F37" s="1">
        <v>0.7</v>
      </c>
      <c r="H37" s="1" t="s">
        <v>357</v>
      </c>
      <c r="I37" s="4">
        <v>46200.26212962963</v>
      </c>
      <c r="J37" s="1" t="s">
        <v>74</v>
      </c>
      <c r="K37" s="1">
        <v>30.0</v>
      </c>
      <c r="L37" s="1">
        <v>10.0</v>
      </c>
      <c r="M37" s="1">
        <v>10.0</v>
      </c>
      <c r="N37" s="5">
        <v>42592.0</v>
      </c>
      <c r="O37" s="1" t="s">
        <v>28</v>
      </c>
      <c r="P37" s="1" t="s">
        <v>29</v>
      </c>
      <c r="Q37" s="1" t="s">
        <v>367</v>
      </c>
      <c r="R37" s="1">
        <v>29.0</v>
      </c>
      <c r="S37" s="1" t="s">
        <v>48</v>
      </c>
    </row>
    <row r="38">
      <c r="A38" s="1">
        <v>37.0</v>
      </c>
      <c r="B38" s="1" t="s">
        <v>371</v>
      </c>
      <c r="C38" s="1" t="s">
        <v>23</v>
      </c>
      <c r="E38" s="1">
        <v>30.0</v>
      </c>
      <c r="K38" s="1">
        <v>30.0</v>
      </c>
      <c r="N38" s="5">
        <v>45631.0</v>
      </c>
      <c r="Q38" s="1" t="s">
        <v>377</v>
      </c>
      <c r="R38" s="1">
        <v>34.0</v>
      </c>
    </row>
    <row r="39">
      <c r="A39" s="1">
        <v>38.0</v>
      </c>
      <c r="B39" s="1" t="s">
        <v>379</v>
      </c>
      <c r="C39" s="1" t="s">
        <v>23</v>
      </c>
      <c r="D39" s="1">
        <v>0.0</v>
      </c>
      <c r="E39" s="1">
        <v>30.0</v>
      </c>
      <c r="F39" s="1">
        <v>0.6</v>
      </c>
      <c r="H39" s="1" t="s">
        <v>379</v>
      </c>
      <c r="I39" s="4">
        <v>46206.05663194445</v>
      </c>
      <c r="J39" s="1" t="s">
        <v>26</v>
      </c>
      <c r="K39" s="1">
        <v>30.0</v>
      </c>
      <c r="L39" s="1">
        <v>10.0</v>
      </c>
      <c r="M39" s="1">
        <v>10.0</v>
      </c>
      <c r="N39" s="5">
        <v>42605.0</v>
      </c>
      <c r="O39" s="1" t="s">
        <v>28</v>
      </c>
      <c r="P39" s="1" t="s">
        <v>29</v>
      </c>
      <c r="Q39" s="1" t="s">
        <v>389</v>
      </c>
      <c r="R39" s="1">
        <v>26.0</v>
      </c>
      <c r="S39" s="1" t="s">
        <v>48</v>
      </c>
    </row>
    <row r="40">
      <c r="A40" s="1">
        <v>39.0</v>
      </c>
      <c r="B40" s="1" t="s">
        <v>393</v>
      </c>
      <c r="C40" s="1" t="s">
        <v>23</v>
      </c>
      <c r="D40" s="1">
        <v>0.0</v>
      </c>
      <c r="E40" s="1">
        <v>30.0</v>
      </c>
      <c r="F40" s="1">
        <v>1.1</v>
      </c>
      <c r="H40" s="1" t="s">
        <v>215</v>
      </c>
      <c r="I40" s="4">
        <v>46213.30144675926</v>
      </c>
      <c r="J40" s="1" t="s">
        <v>26</v>
      </c>
      <c r="K40" s="1">
        <v>30.0</v>
      </c>
      <c r="L40" s="1">
        <v>20.0</v>
      </c>
      <c r="M40" s="1">
        <v>20.0</v>
      </c>
      <c r="N40" s="5">
        <v>42446.0</v>
      </c>
      <c r="O40" s="1" t="s">
        <v>28</v>
      </c>
      <c r="P40" s="1" t="s">
        <v>29</v>
      </c>
      <c r="Q40" s="1" t="s">
        <v>399</v>
      </c>
      <c r="S40" s="1" t="s">
        <v>34</v>
      </c>
    </row>
    <row r="41">
      <c r="A41" s="1">
        <v>40.0</v>
      </c>
      <c r="B41" s="1" t="s">
        <v>402</v>
      </c>
      <c r="C41" s="1" t="s">
        <v>23</v>
      </c>
      <c r="E41" s="1">
        <v>30.0</v>
      </c>
      <c r="K41" s="1">
        <v>100.0</v>
      </c>
      <c r="N41" s="5">
        <v>42867.0</v>
      </c>
      <c r="Q41" s="1" t="s">
        <v>406</v>
      </c>
      <c r="R41" s="1">
        <v>18.0</v>
      </c>
    </row>
    <row r="42">
      <c r="A42" s="1">
        <v>41.0</v>
      </c>
      <c r="B42" s="1" t="s">
        <v>410</v>
      </c>
      <c r="C42" s="1" t="s">
        <v>23</v>
      </c>
      <c r="E42" s="1">
        <v>30.0</v>
      </c>
      <c r="K42" s="1">
        <v>30.0</v>
      </c>
      <c r="N42" s="5">
        <v>42781.0</v>
      </c>
      <c r="Q42" s="1" t="s">
        <v>416</v>
      </c>
      <c r="R42" s="1">
        <v>7.0</v>
      </c>
    </row>
    <row r="43">
      <c r="A43" s="1">
        <v>42.0</v>
      </c>
      <c r="B43" s="1" t="s">
        <v>419</v>
      </c>
      <c r="C43" s="1" t="s">
        <v>23</v>
      </c>
      <c r="E43" s="1">
        <v>30.0</v>
      </c>
      <c r="K43" s="1">
        <v>30.0</v>
      </c>
      <c r="N43" s="5">
        <v>45607.0</v>
      </c>
      <c r="Q43" s="1" t="s">
        <v>425</v>
      </c>
      <c r="R43" s="1">
        <v>27.0</v>
      </c>
    </row>
    <row r="44">
      <c r="A44" s="1">
        <v>43.0</v>
      </c>
      <c r="B44" s="1" t="s">
        <v>430</v>
      </c>
      <c r="C44" s="1" t="s">
        <v>23</v>
      </c>
      <c r="E44" s="1">
        <v>30.0</v>
      </c>
      <c r="K44" s="1">
        <v>30.0</v>
      </c>
      <c r="N44" s="5">
        <v>45795.0</v>
      </c>
      <c r="Q44" s="1" t="s">
        <v>433</v>
      </c>
      <c r="R44" s="1">
        <v>25.0</v>
      </c>
    </row>
    <row r="45">
      <c r="A45" s="1">
        <v>44.0</v>
      </c>
      <c r="B45" s="1" t="s">
        <v>436</v>
      </c>
      <c r="C45" s="1" t="s">
        <v>23</v>
      </c>
      <c r="E45" s="1">
        <v>30.0</v>
      </c>
      <c r="K45" s="1">
        <v>200.0</v>
      </c>
      <c r="N45" s="5">
        <v>43922.0</v>
      </c>
      <c r="Q45" s="1" t="s">
        <v>441</v>
      </c>
      <c r="R45" s="1">
        <v>2.0</v>
      </c>
    </row>
    <row r="46">
      <c r="A46" s="1">
        <v>45.0</v>
      </c>
      <c r="B46" s="1" t="s">
        <v>446</v>
      </c>
      <c r="C46" s="1" t="s">
        <v>23</v>
      </c>
      <c r="D46" s="1">
        <v>0.0</v>
      </c>
      <c r="E46" s="1">
        <v>30.0</v>
      </c>
      <c r="F46" s="1">
        <v>0.9</v>
      </c>
      <c r="H46" s="1" t="s">
        <v>446</v>
      </c>
      <c r="I46" s="4">
        <v>46212.83866898148</v>
      </c>
      <c r="J46" s="1" t="s">
        <v>26</v>
      </c>
      <c r="K46" s="1">
        <v>80.0</v>
      </c>
      <c r="L46" s="1">
        <v>0.0</v>
      </c>
      <c r="M46" s="1">
        <v>0.0</v>
      </c>
      <c r="N46" s="5">
        <v>42305.0</v>
      </c>
      <c r="O46" s="1" t="s">
        <v>28</v>
      </c>
      <c r="P46" s="1" t="s">
        <v>29</v>
      </c>
      <c r="Q46" s="1" t="s">
        <v>456</v>
      </c>
      <c r="S46" s="1" t="s">
        <v>34</v>
      </c>
    </row>
    <row r="47">
      <c r="A47" s="1">
        <v>46.0</v>
      </c>
      <c r="B47" s="1" t="s">
        <v>460</v>
      </c>
      <c r="C47" s="1" t="s">
        <v>23</v>
      </c>
      <c r="E47" s="1">
        <v>30.0</v>
      </c>
      <c r="K47" s="1">
        <v>100.0</v>
      </c>
      <c r="N47" s="5">
        <v>42468.0</v>
      </c>
      <c r="Q47" s="1" t="s">
        <v>465</v>
      </c>
    </row>
    <row r="48">
      <c r="A48" s="1">
        <v>47.0</v>
      </c>
      <c r="B48" s="1" t="s">
        <v>176</v>
      </c>
      <c r="C48" s="1" t="s">
        <v>23</v>
      </c>
      <c r="E48" s="1">
        <v>30.0</v>
      </c>
      <c r="F48" s="1">
        <v>0.7</v>
      </c>
      <c r="K48" s="1">
        <v>30.0</v>
      </c>
      <c r="N48" s="5">
        <v>43511.0</v>
      </c>
      <c r="Q48" s="1" t="s">
        <v>178</v>
      </c>
      <c r="R48" s="1">
        <v>1.0</v>
      </c>
    </row>
    <row r="49">
      <c r="A49" s="1">
        <v>48.0</v>
      </c>
      <c r="B49" s="1" t="s">
        <v>472</v>
      </c>
      <c r="C49" s="1" t="s">
        <v>23</v>
      </c>
      <c r="E49" s="1">
        <v>30.0</v>
      </c>
      <c r="K49" s="1">
        <v>350.0</v>
      </c>
      <c r="N49" s="5">
        <v>43363.0</v>
      </c>
      <c r="Q49" s="1" t="s">
        <v>476</v>
      </c>
    </row>
    <row r="50">
      <c r="A50" s="1">
        <v>49.0</v>
      </c>
      <c r="B50" s="1" t="s">
        <v>480</v>
      </c>
      <c r="C50" s="1" t="s">
        <v>23</v>
      </c>
      <c r="E50" s="1">
        <v>30.0</v>
      </c>
      <c r="K50" s="1">
        <v>30.0</v>
      </c>
      <c r="N50" s="5">
        <v>45795.0</v>
      </c>
      <c r="Q50" s="1" t="s">
        <v>485</v>
      </c>
      <c r="R50" s="1">
        <v>29.0</v>
      </c>
    </row>
    <row r="51">
      <c r="A51" s="1">
        <v>50.0</v>
      </c>
      <c r="B51" s="1" t="s">
        <v>487</v>
      </c>
      <c r="C51" s="1" t="s">
        <v>23</v>
      </c>
      <c r="E51" s="1">
        <v>20.0</v>
      </c>
      <c r="F51" s="1">
        <v>0.5</v>
      </c>
      <c r="K51" s="1">
        <v>100.0</v>
      </c>
      <c r="N51" s="5">
        <v>42767.0</v>
      </c>
      <c r="O51" s="1" t="s">
        <v>91</v>
      </c>
      <c r="P51" s="1" t="s">
        <v>29</v>
      </c>
      <c r="Q51" s="1" t="s">
        <v>495</v>
      </c>
      <c r="S51" s="1" t="s">
        <v>163</v>
      </c>
    </row>
    <row r="52">
      <c r="A52" s="1">
        <v>51.0</v>
      </c>
      <c r="B52" s="1" t="s">
        <v>498</v>
      </c>
      <c r="C52" s="1" t="s">
        <v>23</v>
      </c>
      <c r="E52" s="1">
        <v>20.0</v>
      </c>
      <c r="F52" s="1">
        <v>1.1</v>
      </c>
      <c r="K52" s="1">
        <v>20.0</v>
      </c>
      <c r="N52" s="5">
        <v>42390.0</v>
      </c>
      <c r="Q52" s="1" t="s">
        <v>505</v>
      </c>
    </row>
    <row r="53">
      <c r="A53" s="1">
        <v>52.0</v>
      </c>
      <c r="B53" s="1" t="s">
        <v>507</v>
      </c>
      <c r="C53" s="1" t="s">
        <v>23</v>
      </c>
      <c r="E53" s="1">
        <v>20.0</v>
      </c>
      <c r="K53" s="1">
        <v>20.0</v>
      </c>
      <c r="N53" s="5">
        <v>42604.0</v>
      </c>
      <c r="Q53" s="1" t="s">
        <v>511</v>
      </c>
    </row>
    <row r="54">
      <c r="A54" s="1">
        <v>53.0</v>
      </c>
      <c r="B54" s="1" t="s">
        <v>513</v>
      </c>
      <c r="C54" s="1" t="s">
        <v>23</v>
      </c>
      <c r="E54" s="1">
        <v>20.0</v>
      </c>
      <c r="K54" s="1">
        <v>60.0</v>
      </c>
      <c r="N54" s="5">
        <v>42867.0</v>
      </c>
      <c r="Q54" s="1" t="s">
        <v>516</v>
      </c>
    </row>
    <row r="55">
      <c r="A55" s="1">
        <v>54.0</v>
      </c>
      <c r="B55" s="1" t="s">
        <v>518</v>
      </c>
      <c r="C55" s="1" t="s">
        <v>23</v>
      </c>
      <c r="E55" s="1">
        <v>20.0</v>
      </c>
      <c r="K55" s="1">
        <v>30.0</v>
      </c>
      <c r="N55" s="5">
        <v>42446.0</v>
      </c>
      <c r="Q55" s="1" t="s">
        <v>521</v>
      </c>
      <c r="R55" s="1">
        <v>23.0</v>
      </c>
    </row>
    <row r="56">
      <c r="A56" s="1">
        <v>55.0</v>
      </c>
      <c r="B56" s="1" t="s">
        <v>523</v>
      </c>
      <c r="C56" s="1" t="s">
        <v>23</v>
      </c>
      <c r="E56" s="1">
        <v>20.0</v>
      </c>
      <c r="K56" s="1">
        <v>20.0</v>
      </c>
      <c r="N56" s="5">
        <v>45932.0</v>
      </c>
      <c r="Q56" s="1" t="s">
        <v>526</v>
      </c>
      <c r="R56" s="1">
        <v>17.0</v>
      </c>
    </row>
    <row r="57">
      <c r="A57" s="1">
        <v>56.0</v>
      </c>
      <c r="B57" s="1" t="s">
        <v>528</v>
      </c>
      <c r="C57" s="1" t="s">
        <v>23</v>
      </c>
      <c r="E57" s="1">
        <v>20.0</v>
      </c>
      <c r="F57" s="1">
        <v>1.1</v>
      </c>
      <c r="K57" s="1">
        <v>20.0</v>
      </c>
      <c r="N57" s="5">
        <v>42262.0</v>
      </c>
      <c r="Q57" s="1" t="s">
        <v>532</v>
      </c>
    </row>
    <row r="58">
      <c r="A58" s="1">
        <v>57.0</v>
      </c>
      <c r="B58" s="1" t="s">
        <v>535</v>
      </c>
      <c r="C58" s="1" t="s">
        <v>23</v>
      </c>
      <c r="E58" s="1">
        <v>20.0</v>
      </c>
      <c r="K58" s="1">
        <v>20.0</v>
      </c>
      <c r="N58" s="5">
        <v>42748.0</v>
      </c>
      <c r="Q58" s="1" t="s">
        <v>539</v>
      </c>
      <c r="R58" s="1">
        <v>14.0</v>
      </c>
    </row>
    <row r="59">
      <c r="A59" s="1">
        <v>58.0</v>
      </c>
      <c r="B59" s="1" t="s">
        <v>541</v>
      </c>
      <c r="C59" s="1" t="s">
        <v>23</v>
      </c>
      <c r="D59" s="1">
        <v>0.0</v>
      </c>
      <c r="E59" s="1">
        <v>20.0</v>
      </c>
      <c r="F59" s="1">
        <v>0.6</v>
      </c>
      <c r="H59" s="1" t="s">
        <v>541</v>
      </c>
      <c r="I59" s="4">
        <v>46201.41844907407</v>
      </c>
      <c r="J59" s="1" t="s">
        <v>269</v>
      </c>
      <c r="K59" s="1">
        <v>20.0</v>
      </c>
      <c r="L59" s="1">
        <v>10.0</v>
      </c>
      <c r="M59" s="1">
        <v>10.0</v>
      </c>
      <c r="N59" s="5">
        <v>42255.0</v>
      </c>
      <c r="O59" s="1" t="s">
        <v>28</v>
      </c>
      <c r="P59" s="1" t="s">
        <v>29</v>
      </c>
      <c r="Q59" s="1" t="s">
        <v>552</v>
      </c>
      <c r="R59" s="1">
        <v>14.0</v>
      </c>
      <c r="S59" s="1" t="s">
        <v>48</v>
      </c>
    </row>
    <row r="60">
      <c r="A60" s="1">
        <v>59.0</v>
      </c>
      <c r="B60" s="1" t="s">
        <v>553</v>
      </c>
      <c r="C60" s="1" t="s">
        <v>23</v>
      </c>
      <c r="D60" s="1">
        <v>0.0</v>
      </c>
      <c r="E60" s="1">
        <v>20.0</v>
      </c>
      <c r="F60" s="1">
        <v>1.0</v>
      </c>
      <c r="H60" s="1" t="s">
        <v>18</v>
      </c>
      <c r="I60" s="4">
        <v>46214.07165509259</v>
      </c>
      <c r="J60" s="1" t="s">
        <v>26</v>
      </c>
      <c r="K60" s="1">
        <v>20.0</v>
      </c>
      <c r="L60" s="1">
        <v>60.0</v>
      </c>
      <c r="M60" s="1">
        <v>60.0</v>
      </c>
      <c r="N60" s="5">
        <v>42250.0</v>
      </c>
      <c r="O60" s="1" t="s">
        <v>28</v>
      </c>
      <c r="P60" s="1" t="s">
        <v>29</v>
      </c>
      <c r="Q60" s="1" t="s">
        <v>563</v>
      </c>
      <c r="S60" s="1" t="s">
        <v>34</v>
      </c>
    </row>
    <row r="61">
      <c r="A61" s="1">
        <v>60.0</v>
      </c>
      <c r="B61" s="1" t="s">
        <v>567</v>
      </c>
      <c r="C61" s="1" t="s">
        <v>23</v>
      </c>
      <c r="E61" s="1">
        <v>10.0</v>
      </c>
      <c r="K61" s="1">
        <v>10.0</v>
      </c>
      <c r="N61" s="5">
        <v>42253.0</v>
      </c>
      <c r="Q61" s="1" t="s">
        <v>572</v>
      </c>
    </row>
    <row r="62">
      <c r="A62" s="1">
        <v>61.0</v>
      </c>
      <c r="B62" s="1" t="s">
        <v>574</v>
      </c>
      <c r="C62" s="1" t="s">
        <v>23</v>
      </c>
      <c r="E62" s="1">
        <v>10.0</v>
      </c>
      <c r="K62" s="1">
        <v>10.0</v>
      </c>
      <c r="N62" s="5">
        <v>42705.0</v>
      </c>
      <c r="Q62" s="1" t="s">
        <v>577</v>
      </c>
      <c r="R62" s="1">
        <v>21.0</v>
      </c>
    </row>
    <row r="63">
      <c r="A63" s="1">
        <v>62.0</v>
      </c>
      <c r="B63" s="1" t="s">
        <v>578</v>
      </c>
      <c r="C63" s="1" t="s">
        <v>23</v>
      </c>
      <c r="E63" s="1">
        <v>10.0</v>
      </c>
      <c r="K63" s="1">
        <v>80.0</v>
      </c>
      <c r="N63" s="5">
        <v>42383.0</v>
      </c>
      <c r="O63" s="1" t="s">
        <v>91</v>
      </c>
      <c r="P63" s="1" t="s">
        <v>29</v>
      </c>
      <c r="Q63" s="1" t="s">
        <v>581</v>
      </c>
      <c r="S63" s="1" t="s">
        <v>163</v>
      </c>
    </row>
    <row r="64">
      <c r="A64" s="1">
        <v>63.0</v>
      </c>
      <c r="B64" s="1" t="s">
        <v>583</v>
      </c>
      <c r="C64" s="1" t="s">
        <v>23</v>
      </c>
      <c r="D64" s="1">
        <v>0.0</v>
      </c>
      <c r="E64" s="1">
        <v>10.0</v>
      </c>
      <c r="F64" s="1">
        <v>1.2</v>
      </c>
      <c r="H64" s="1" t="s">
        <v>583</v>
      </c>
      <c r="I64" s="4">
        <v>46231.62174768518</v>
      </c>
      <c r="J64" s="1" t="s">
        <v>26</v>
      </c>
      <c r="K64" s="1">
        <v>400.0</v>
      </c>
      <c r="L64" s="1">
        <v>10.0</v>
      </c>
      <c r="M64" s="1">
        <v>10.0</v>
      </c>
      <c r="N64" s="5">
        <v>42651.0</v>
      </c>
      <c r="O64" s="1" t="s">
        <v>28</v>
      </c>
      <c r="P64" s="1" t="s">
        <v>29</v>
      </c>
      <c r="Q64" s="1" t="s">
        <v>592</v>
      </c>
      <c r="R64" s="1" t="s">
        <v>593</v>
      </c>
      <c r="S64" s="1" t="s">
        <v>34</v>
      </c>
    </row>
    <row r="65">
      <c r="A65" s="1">
        <v>64.0</v>
      </c>
      <c r="B65" s="1" t="s">
        <v>596</v>
      </c>
      <c r="C65" s="1" t="s">
        <v>23</v>
      </c>
      <c r="E65" s="1">
        <v>10.0</v>
      </c>
      <c r="F65" s="1">
        <v>0.8</v>
      </c>
      <c r="K65" s="1">
        <v>100.0</v>
      </c>
      <c r="N65" s="5">
        <v>42509.0</v>
      </c>
      <c r="O65" s="1" t="s">
        <v>91</v>
      </c>
      <c r="P65" s="1" t="s">
        <v>29</v>
      </c>
      <c r="Q65" s="1" t="s">
        <v>601</v>
      </c>
      <c r="S65" s="1" t="s">
        <v>76</v>
      </c>
    </row>
    <row r="66">
      <c r="A66" s="1">
        <v>65.0</v>
      </c>
      <c r="B66" s="1" t="s">
        <v>603</v>
      </c>
      <c r="C66" s="1" t="s">
        <v>23</v>
      </c>
      <c r="E66" s="1">
        <v>10.0</v>
      </c>
      <c r="F66" s="1">
        <v>0.6</v>
      </c>
      <c r="K66" s="1">
        <v>450.0</v>
      </c>
      <c r="N66" s="5">
        <v>42950.0</v>
      </c>
      <c r="O66" s="1" t="s">
        <v>28</v>
      </c>
      <c r="P66" s="1" t="s">
        <v>29</v>
      </c>
      <c r="Q66" s="1" t="s">
        <v>608</v>
      </c>
      <c r="S66" s="1" t="s">
        <v>48</v>
      </c>
    </row>
    <row r="67">
      <c r="A67" s="1">
        <v>66.0</v>
      </c>
      <c r="B67" s="1" t="s">
        <v>611</v>
      </c>
      <c r="C67" s="1" t="s">
        <v>23</v>
      </c>
      <c r="E67" s="1">
        <v>10.0</v>
      </c>
      <c r="K67" s="1">
        <v>10.0</v>
      </c>
      <c r="N67" s="5">
        <v>42865.0</v>
      </c>
      <c r="Q67" s="1" t="s">
        <v>614</v>
      </c>
    </row>
    <row r="68">
      <c r="A68" s="1">
        <v>67.0</v>
      </c>
      <c r="B68" s="1" t="s">
        <v>616</v>
      </c>
      <c r="C68" s="1" t="s">
        <v>23</v>
      </c>
      <c r="E68" s="1">
        <v>10.0</v>
      </c>
      <c r="F68" s="1">
        <v>0.5</v>
      </c>
      <c r="K68" s="1">
        <v>20.0</v>
      </c>
      <c r="N68" s="5">
        <v>42262.0</v>
      </c>
      <c r="O68" s="1" t="s">
        <v>621</v>
      </c>
      <c r="P68" s="1" t="s">
        <v>29</v>
      </c>
      <c r="Q68" s="1" t="s">
        <v>623</v>
      </c>
      <c r="R68" s="1">
        <v>13.0</v>
      </c>
      <c r="S68" s="1" t="s">
        <v>625</v>
      </c>
    </row>
    <row r="69">
      <c r="A69" s="1">
        <v>68.0</v>
      </c>
      <c r="B69" s="1" t="s">
        <v>628</v>
      </c>
      <c r="C69" s="1" t="s">
        <v>23</v>
      </c>
      <c r="E69" s="1">
        <v>10.0</v>
      </c>
      <c r="K69" s="1">
        <v>30.0</v>
      </c>
      <c r="N69" s="5">
        <v>42296.0</v>
      </c>
      <c r="Q69" s="1" t="s">
        <v>632</v>
      </c>
    </row>
    <row r="70">
      <c r="A70" s="1">
        <v>69.0</v>
      </c>
      <c r="B70" s="1" t="s">
        <v>634</v>
      </c>
      <c r="C70" s="1" t="s">
        <v>23</v>
      </c>
      <c r="D70" s="1">
        <v>0.0</v>
      </c>
      <c r="E70" s="1">
        <v>10.0</v>
      </c>
      <c r="F70" s="1">
        <v>1.2</v>
      </c>
      <c r="H70" s="1" t="s">
        <v>583</v>
      </c>
      <c r="I70" s="4">
        <v>46209.55136574074</v>
      </c>
      <c r="J70" s="1" t="s">
        <v>637</v>
      </c>
      <c r="K70" s="1">
        <v>70.0</v>
      </c>
      <c r="L70" s="1">
        <v>70.0</v>
      </c>
      <c r="M70" s="1">
        <v>70.0</v>
      </c>
      <c r="N70" s="5">
        <v>42437.0</v>
      </c>
      <c r="O70" s="1" t="s">
        <v>28</v>
      </c>
      <c r="P70" s="1" t="s">
        <v>29</v>
      </c>
      <c r="Q70" s="1" t="s">
        <v>640</v>
      </c>
      <c r="S70" s="1" t="s">
        <v>34</v>
      </c>
    </row>
    <row r="71">
      <c r="A71" s="1">
        <v>70.0</v>
      </c>
      <c r="B71" s="1" t="s">
        <v>644</v>
      </c>
      <c r="C71" s="1" t="s">
        <v>23</v>
      </c>
      <c r="K71" s="1">
        <v>150.0</v>
      </c>
      <c r="N71" s="5">
        <v>43583.0</v>
      </c>
      <c r="Q71" s="1" t="s">
        <v>650</v>
      </c>
      <c r="R71" s="1">
        <v>2.0</v>
      </c>
    </row>
    <row r="72">
      <c r="A72" s="1">
        <v>71.0</v>
      </c>
      <c r="B72" s="1" t="s">
        <v>302</v>
      </c>
      <c r="C72" s="1" t="s">
        <v>23</v>
      </c>
      <c r="N72" s="5">
        <v>43211.0</v>
      </c>
      <c r="Q72" s="1" t="s">
        <v>284</v>
      </c>
      <c r="R72" s="1">
        <v>1.0</v>
      </c>
    </row>
    <row r="73">
      <c r="A73" s="1">
        <v>72.0</v>
      </c>
      <c r="B73" s="1" t="s">
        <v>659</v>
      </c>
      <c r="C73" s="1" t="s">
        <v>23</v>
      </c>
      <c r="F73" s="1">
        <v>0.0</v>
      </c>
      <c r="N73" s="5">
        <v>43556.0</v>
      </c>
    </row>
    <row r="74">
      <c r="A74" s="1">
        <v>73.0</v>
      </c>
      <c r="B74" s="1" t="s">
        <v>661</v>
      </c>
      <c r="C74" s="1" t="s">
        <v>23</v>
      </c>
      <c r="F74" s="1">
        <v>0.7</v>
      </c>
      <c r="K74" s="1">
        <v>100.0</v>
      </c>
      <c r="N74" s="5">
        <v>42861.0</v>
      </c>
      <c r="O74" s="1" t="s">
        <v>91</v>
      </c>
      <c r="P74" s="1" t="s">
        <v>29</v>
      </c>
      <c r="Q74" s="1" t="s">
        <v>668</v>
      </c>
      <c r="S74" s="1" t="s">
        <v>76</v>
      </c>
    </row>
    <row r="75">
      <c r="A75" s="1">
        <v>74.0</v>
      </c>
      <c r="B75" s="1" t="s">
        <v>387</v>
      </c>
      <c r="C75" s="1" t="s">
        <v>23</v>
      </c>
      <c r="N75" s="5">
        <v>43485.0</v>
      </c>
      <c r="Q75" s="1" t="s">
        <v>300</v>
      </c>
    </row>
    <row r="76">
      <c r="A76" s="1">
        <v>75.0</v>
      </c>
      <c r="B76" s="1" t="s">
        <v>679</v>
      </c>
      <c r="C76" s="1" t="s">
        <v>23</v>
      </c>
      <c r="F76" s="1">
        <v>2.5</v>
      </c>
      <c r="N76" s="5">
        <v>43292.0</v>
      </c>
      <c r="Q76" s="1" t="s">
        <v>683</v>
      </c>
      <c r="R76" s="1">
        <v>1.0</v>
      </c>
    </row>
    <row r="77">
      <c r="A77" s="1">
        <v>76.0</v>
      </c>
      <c r="B77" s="1" t="s">
        <v>685</v>
      </c>
      <c r="C77" s="1" t="s">
        <v>23</v>
      </c>
      <c r="N77" s="5">
        <v>42460.0</v>
      </c>
      <c r="Q77" s="1" t="s">
        <v>688</v>
      </c>
      <c r="R77" s="1">
        <v>3.0</v>
      </c>
    </row>
    <row r="78">
      <c r="A78" s="1">
        <v>77.0</v>
      </c>
      <c r="B78" s="1" t="s">
        <v>691</v>
      </c>
      <c r="C78" s="1" t="s">
        <v>23</v>
      </c>
      <c r="D78" s="1">
        <v>0.0</v>
      </c>
      <c r="F78" s="1">
        <v>0.9</v>
      </c>
      <c r="H78" s="1" t="s">
        <v>446</v>
      </c>
      <c r="I78" s="4">
        <v>46224.04127314815</v>
      </c>
      <c r="J78" s="1" t="s">
        <v>26</v>
      </c>
      <c r="L78" s="1">
        <v>0.0</v>
      </c>
      <c r="M78" s="1">
        <v>0.0</v>
      </c>
      <c r="N78" s="5">
        <v>42410.0</v>
      </c>
      <c r="O78" s="1" t="s">
        <v>28</v>
      </c>
      <c r="P78" s="1" t="s">
        <v>29</v>
      </c>
      <c r="Q78" s="1" t="s">
        <v>698</v>
      </c>
      <c r="S78" s="1" t="s">
        <v>34</v>
      </c>
    </row>
    <row r="79">
      <c r="A79" s="1">
        <v>78.0</v>
      </c>
      <c r="B79" s="1" t="s">
        <v>700</v>
      </c>
      <c r="C79" s="1" t="s">
        <v>23</v>
      </c>
      <c r="K79" s="1">
        <v>150.0</v>
      </c>
      <c r="N79" s="5">
        <v>43935.0</v>
      </c>
      <c r="Q79" s="1" t="s">
        <v>704</v>
      </c>
      <c r="R79" s="1">
        <v>1.0</v>
      </c>
    </row>
    <row r="80">
      <c r="A80" s="1">
        <v>79.0</v>
      </c>
      <c r="B80" s="1" t="s">
        <v>707</v>
      </c>
      <c r="C80" s="1" t="s">
        <v>23</v>
      </c>
      <c r="N80" s="5">
        <v>42509.0</v>
      </c>
      <c r="Q80" s="1" t="s">
        <v>284</v>
      </c>
      <c r="R80" s="1">
        <v>1.0</v>
      </c>
    </row>
    <row r="81">
      <c r="A81" s="1">
        <v>80.0</v>
      </c>
      <c r="B81" s="1" t="s">
        <v>709</v>
      </c>
      <c r="C81" s="1" t="s">
        <v>23</v>
      </c>
      <c r="K81" s="1">
        <v>200.0</v>
      </c>
      <c r="N81" s="5">
        <v>43927.0</v>
      </c>
      <c r="Q81" s="1" t="s">
        <v>711</v>
      </c>
    </row>
    <row r="82">
      <c r="A82" s="1">
        <v>81.0</v>
      </c>
      <c r="B82" s="1" t="s">
        <v>713</v>
      </c>
      <c r="C82" s="1" t="s">
        <v>23</v>
      </c>
      <c r="N82" s="5">
        <v>43780.0</v>
      </c>
      <c r="Q82" s="1" t="s">
        <v>715</v>
      </c>
    </row>
    <row r="83">
      <c r="A83" s="1">
        <v>82.0</v>
      </c>
      <c r="B83" s="1" t="s">
        <v>718</v>
      </c>
      <c r="C83" s="1" t="s">
        <v>23</v>
      </c>
      <c r="N83" s="5">
        <v>42376.0</v>
      </c>
      <c r="Q83" s="1" t="s">
        <v>720</v>
      </c>
      <c r="R83" s="1">
        <v>1.0</v>
      </c>
    </row>
    <row r="84">
      <c r="A84" s="1">
        <v>83.0</v>
      </c>
      <c r="B84" s="1" t="s">
        <v>723</v>
      </c>
      <c r="C84" s="1" t="s">
        <v>23</v>
      </c>
      <c r="N84" s="5">
        <v>42675.0</v>
      </c>
      <c r="Q84" s="1" t="s">
        <v>284</v>
      </c>
      <c r="R84" s="1">
        <v>1.0</v>
      </c>
    </row>
    <row r="85">
      <c r="A85" s="1">
        <v>84.0</v>
      </c>
      <c r="B85" s="1" t="s">
        <v>726</v>
      </c>
      <c r="C85" s="1" t="s">
        <v>23</v>
      </c>
      <c r="K85" s="1">
        <v>250.0</v>
      </c>
      <c r="N85" s="5">
        <v>43888.0</v>
      </c>
      <c r="Q85" s="1" t="s">
        <v>728</v>
      </c>
      <c r="R85" s="1">
        <v>1.0</v>
      </c>
    </row>
    <row r="86">
      <c r="A86" s="1">
        <v>85.0</v>
      </c>
      <c r="B86" s="1" t="s">
        <v>732</v>
      </c>
      <c r="C86" s="1" t="s">
        <v>23</v>
      </c>
      <c r="K86" s="1">
        <v>10.0</v>
      </c>
      <c r="N86" s="5">
        <v>43027.0</v>
      </c>
      <c r="Q86" s="1" t="s">
        <v>737</v>
      </c>
    </row>
    <row r="87">
      <c r="A87" s="1">
        <v>86.0</v>
      </c>
      <c r="B87" s="1" t="s">
        <v>741</v>
      </c>
      <c r="C87" s="1" t="s">
        <v>23</v>
      </c>
      <c r="N87" s="5">
        <v>42298.0</v>
      </c>
      <c r="O87" s="1" t="s">
        <v>91</v>
      </c>
      <c r="P87" s="1" t="s">
        <v>29</v>
      </c>
      <c r="Q87" s="1" t="s">
        <v>284</v>
      </c>
      <c r="R87" s="1">
        <v>1.0</v>
      </c>
      <c r="S87" s="1" t="s">
        <v>119</v>
      </c>
    </row>
    <row r="88">
      <c r="A88" s="1">
        <v>87.0</v>
      </c>
      <c r="B88" s="1" t="s">
        <v>748</v>
      </c>
      <c r="C88" s="1" t="s">
        <v>23</v>
      </c>
      <c r="F88" s="1">
        <v>0.0</v>
      </c>
      <c r="N88" s="5">
        <v>43497.0</v>
      </c>
    </row>
    <row r="89">
      <c r="A89" s="1">
        <v>88.0</v>
      </c>
      <c r="B89" s="1" t="s">
        <v>754</v>
      </c>
      <c r="C89" s="1" t="s">
        <v>23</v>
      </c>
      <c r="N89" s="5">
        <v>45056.0</v>
      </c>
      <c r="Q89" s="1" t="s">
        <v>300</v>
      </c>
    </row>
    <row r="90">
      <c r="A90" s="1">
        <v>89.0</v>
      </c>
      <c r="B90" s="1" t="s">
        <v>760</v>
      </c>
      <c r="C90" s="1" t="s">
        <v>23</v>
      </c>
      <c r="N90" s="5">
        <v>42326.0</v>
      </c>
      <c r="Q90" s="1" t="s">
        <v>284</v>
      </c>
      <c r="R90" s="1">
        <v>1.0</v>
      </c>
    </row>
    <row r="91">
      <c r="A91" s="1">
        <v>90.0</v>
      </c>
      <c r="B91" s="1" t="s">
        <v>768</v>
      </c>
      <c r="C91" s="1" t="s">
        <v>23</v>
      </c>
      <c r="K91" s="1">
        <v>40.0</v>
      </c>
      <c r="N91" s="5">
        <v>43912.0</v>
      </c>
      <c r="Q91" s="1" t="s">
        <v>770</v>
      </c>
      <c r="R91" s="1">
        <v>9.0</v>
      </c>
    </row>
    <row r="92">
      <c r="A92" s="1">
        <v>91.0</v>
      </c>
      <c r="B92" s="1" t="s">
        <v>771</v>
      </c>
      <c r="C92" s="1" t="s">
        <v>23</v>
      </c>
      <c r="N92" s="5">
        <v>42431.0</v>
      </c>
      <c r="Q92" s="1" t="s">
        <v>300</v>
      </c>
    </row>
    <row r="93">
      <c r="A93" s="1">
        <v>92.0</v>
      </c>
      <c r="B93" s="1" t="s">
        <v>776</v>
      </c>
      <c r="C93" s="1" t="s">
        <v>23</v>
      </c>
      <c r="N93" s="5">
        <v>42346.0</v>
      </c>
      <c r="Q93" s="1" t="s">
        <v>782</v>
      </c>
      <c r="R93" s="1">
        <v>1.0</v>
      </c>
    </row>
    <row r="94">
      <c r="A94" s="1">
        <v>93.0</v>
      </c>
      <c r="B94" s="1" t="s">
        <v>784</v>
      </c>
      <c r="C94" s="1" t="s">
        <v>23</v>
      </c>
      <c r="K94" s="1">
        <v>200.0</v>
      </c>
      <c r="N94" s="5">
        <v>42558.0</v>
      </c>
      <c r="Q94" s="1" t="s">
        <v>791</v>
      </c>
      <c r="R94" s="1">
        <v>6.0</v>
      </c>
    </row>
    <row r="95">
      <c r="A95" s="1">
        <v>94.0</v>
      </c>
      <c r="B95" s="1" t="s">
        <v>795</v>
      </c>
      <c r="C95" s="1" t="s">
        <v>23</v>
      </c>
      <c r="N95" s="5">
        <v>42558.0</v>
      </c>
      <c r="Q95" s="1" t="s">
        <v>284</v>
      </c>
      <c r="R95" s="1">
        <v>1.0</v>
      </c>
    </row>
    <row r="96">
      <c r="A96" s="1">
        <v>95.0</v>
      </c>
      <c r="B96" s="1" t="s">
        <v>801</v>
      </c>
      <c r="C96" s="1" t="s">
        <v>23</v>
      </c>
      <c r="N96" s="5">
        <v>42467.0</v>
      </c>
      <c r="Q96" s="1" t="s">
        <v>284</v>
      </c>
      <c r="R96" s="1">
        <v>1.0</v>
      </c>
    </row>
    <row r="97">
      <c r="A97" s="1">
        <v>96.0</v>
      </c>
      <c r="B97" s="1" t="s">
        <v>809</v>
      </c>
      <c r="C97" s="1" t="s">
        <v>23</v>
      </c>
      <c r="N97" s="5">
        <v>46119.0</v>
      </c>
      <c r="Q97" s="1" t="s">
        <v>813</v>
      </c>
    </row>
    <row r="98">
      <c r="A98" s="1">
        <v>97.0</v>
      </c>
      <c r="B98" s="1" t="s">
        <v>815</v>
      </c>
      <c r="C98" s="1" t="s">
        <v>23</v>
      </c>
      <c r="N98" s="5">
        <v>44759.0</v>
      </c>
      <c r="Q98" s="1" t="s">
        <v>284</v>
      </c>
      <c r="R98" s="1">
        <v>1.0</v>
      </c>
    </row>
    <row r="99">
      <c r="A99" s="1">
        <v>98.0</v>
      </c>
      <c r="B99" s="1" t="s">
        <v>821</v>
      </c>
      <c r="C99" s="1" t="s">
        <v>23</v>
      </c>
      <c r="N99" s="5">
        <v>46051.0</v>
      </c>
      <c r="Q99" s="1" t="s">
        <v>824</v>
      </c>
    </row>
    <row r="100">
      <c r="A100" s="1">
        <v>99.0</v>
      </c>
      <c r="B100" s="1" t="s">
        <v>827</v>
      </c>
      <c r="C100" s="1" t="s">
        <v>23</v>
      </c>
      <c r="D100" s="1">
        <v>0.0</v>
      </c>
      <c r="F100" s="1">
        <v>0.6</v>
      </c>
      <c r="H100" s="1" t="s">
        <v>827</v>
      </c>
      <c r="I100" s="4">
        <v>46208.56795138889</v>
      </c>
      <c r="J100" s="1" t="s">
        <v>26</v>
      </c>
      <c r="K100" s="1">
        <v>10.0</v>
      </c>
      <c r="L100" s="1">
        <v>0.0</v>
      </c>
      <c r="M100" s="1">
        <v>0.0</v>
      </c>
      <c r="N100" s="5">
        <v>42941.0</v>
      </c>
      <c r="O100" s="1" t="s">
        <v>28</v>
      </c>
      <c r="P100" s="1" t="s">
        <v>29</v>
      </c>
      <c r="Q100" s="1" t="s">
        <v>837</v>
      </c>
      <c r="R100" s="1">
        <v>6.0</v>
      </c>
      <c r="S100" s="1" t="s">
        <v>34</v>
      </c>
    </row>
    <row r="101">
      <c r="A101" s="1">
        <v>100.0</v>
      </c>
      <c r="B101" s="1" t="s">
        <v>844</v>
      </c>
      <c r="C101" s="1" t="s">
        <v>23</v>
      </c>
      <c r="F101" s="1">
        <v>0.7</v>
      </c>
      <c r="K101" s="1">
        <v>60.0</v>
      </c>
      <c r="N101" s="5">
        <v>42535.0</v>
      </c>
      <c r="O101" s="1" t="s">
        <v>28</v>
      </c>
      <c r="P101" s="1" t="s">
        <v>29</v>
      </c>
      <c r="Q101" s="1" t="s">
        <v>852</v>
      </c>
      <c r="S101" s="1" t="s">
        <v>34</v>
      </c>
    </row>
    <row r="102">
      <c r="A102" s="1">
        <v>101.0</v>
      </c>
      <c r="B102" s="1" t="s">
        <v>856</v>
      </c>
      <c r="C102" s="1" t="s">
        <v>23</v>
      </c>
    </row>
    <row r="103">
      <c r="A103" s="1">
        <v>102.0</v>
      </c>
      <c r="B103" s="1" t="s">
        <v>861</v>
      </c>
      <c r="C103" s="1" t="s">
        <v>23</v>
      </c>
    </row>
    <row r="104">
      <c r="A104" s="1">
        <v>103.0</v>
      </c>
      <c r="B104" s="1" t="s">
        <v>865</v>
      </c>
      <c r="C104" s="1" t="s">
        <v>23</v>
      </c>
    </row>
    <row r="105">
      <c r="A105" s="1">
        <v>104.0</v>
      </c>
      <c r="B105" s="1" t="s">
        <v>869</v>
      </c>
      <c r="C105" s="1" t="s">
        <v>23</v>
      </c>
    </row>
    <row r="106">
      <c r="A106" s="1">
        <v>105.0</v>
      </c>
      <c r="B106" s="1" t="s">
        <v>872</v>
      </c>
      <c r="C106" s="1" t="s">
        <v>23</v>
      </c>
    </row>
    <row r="107">
      <c r="A107" s="1">
        <v>106.0</v>
      </c>
      <c r="B107" s="1" t="s">
        <v>876</v>
      </c>
      <c r="C107" s="1" t="s">
        <v>23</v>
      </c>
    </row>
    <row r="108">
      <c r="A108" s="1">
        <v>107.0</v>
      </c>
      <c r="B108" s="1" t="s">
        <v>882</v>
      </c>
      <c r="C108" s="1" t="s">
        <v>23</v>
      </c>
    </row>
    <row r="109">
      <c r="A109" s="1">
        <v>108.0</v>
      </c>
      <c r="B109" s="1" t="s">
        <v>889</v>
      </c>
      <c r="C109" s="1" t="s">
        <v>23</v>
      </c>
    </row>
    <row r="110">
      <c r="A110" s="1">
        <v>109.0</v>
      </c>
      <c r="B110" s="1" t="s">
        <v>892</v>
      </c>
      <c r="C110" s="1" t="s">
        <v>23</v>
      </c>
    </row>
    <row r="111">
      <c r="A111" s="1">
        <v>110.0</v>
      </c>
      <c r="B111" s="1" t="s">
        <v>896</v>
      </c>
      <c r="C111" s="1" t="s">
        <v>23</v>
      </c>
    </row>
    <row r="112">
      <c r="A112" s="1">
        <v>111.0</v>
      </c>
      <c r="B112" s="1" t="s">
        <v>905</v>
      </c>
      <c r="C112" s="1" t="s">
        <v>23</v>
      </c>
    </row>
    <row r="113">
      <c r="A113" s="1">
        <v>112.0</v>
      </c>
      <c r="B113" s="1" t="s">
        <v>909</v>
      </c>
      <c r="C113" s="1" t="s">
        <v>23</v>
      </c>
    </row>
    <row r="114">
      <c r="A114" s="1">
        <v>113.0</v>
      </c>
      <c r="B114" s="1" t="s">
        <v>911</v>
      </c>
      <c r="C114" s="1" t="s">
        <v>23</v>
      </c>
    </row>
    <row r="115">
      <c r="A115" s="1">
        <v>114.0</v>
      </c>
      <c r="B115" s="1" t="s">
        <v>913</v>
      </c>
      <c r="C115" s="1" t="s">
        <v>23</v>
      </c>
    </row>
    <row r="116">
      <c r="A116" s="1">
        <v>115.0</v>
      </c>
      <c r="B116" s="1" t="s">
        <v>915</v>
      </c>
      <c r="C116" s="1" t="s">
        <v>23</v>
      </c>
    </row>
    <row r="117">
      <c r="A117" s="1">
        <v>116.0</v>
      </c>
      <c r="B117" s="1" t="s">
        <v>919</v>
      </c>
      <c r="C117" s="1" t="s">
        <v>23</v>
      </c>
    </row>
    <row r="118">
      <c r="A118" s="1">
        <v>117.0</v>
      </c>
      <c r="B118" s="1" t="s">
        <v>921</v>
      </c>
      <c r="C118" s="1" t="s">
        <v>23</v>
      </c>
    </row>
    <row r="119">
      <c r="A119" s="1">
        <v>118.0</v>
      </c>
      <c r="B119" s="1" t="s">
        <v>922</v>
      </c>
      <c r="C119" s="1" t="s">
        <v>23</v>
      </c>
    </row>
    <row r="120">
      <c r="A120" s="1">
        <v>119.0</v>
      </c>
      <c r="B120" s="1" t="s">
        <v>925</v>
      </c>
      <c r="C120" s="1" t="s">
        <v>23</v>
      </c>
    </row>
    <row r="121">
      <c r="A121" s="1">
        <v>120.0</v>
      </c>
      <c r="B121" s="1" t="s">
        <v>927</v>
      </c>
      <c r="C121" s="1" t="s">
        <v>23</v>
      </c>
    </row>
    <row r="122">
      <c r="A122" s="1">
        <v>121.0</v>
      </c>
      <c r="B122" s="1" t="s">
        <v>928</v>
      </c>
      <c r="C122" s="1" t="s">
        <v>23</v>
      </c>
    </row>
    <row r="123">
      <c r="A123" s="1">
        <v>122.0</v>
      </c>
      <c r="B123" s="1" t="s">
        <v>929</v>
      </c>
      <c r="C123" s="1" t="s">
        <v>23</v>
      </c>
    </row>
    <row r="124">
      <c r="A124" s="1">
        <v>123.0</v>
      </c>
      <c r="B124" s="1" t="s">
        <v>932</v>
      </c>
      <c r="C124" s="1" t="s">
        <v>23</v>
      </c>
    </row>
    <row r="125">
      <c r="A125" s="1">
        <v>124.0</v>
      </c>
      <c r="B125" s="1" t="s">
        <v>933</v>
      </c>
      <c r="C125" s="1" t="s">
        <v>23</v>
      </c>
    </row>
    <row r="126">
      <c r="A126" s="1">
        <v>125.0</v>
      </c>
      <c r="B126" s="1" t="s">
        <v>934</v>
      </c>
      <c r="C126" s="1" t="s">
        <v>23</v>
      </c>
    </row>
    <row r="127">
      <c r="A127" s="1">
        <v>126.0</v>
      </c>
      <c r="B127" s="1" t="s">
        <v>937</v>
      </c>
      <c r="C127" s="1" t="s">
        <v>23</v>
      </c>
    </row>
    <row r="128">
      <c r="A128" s="1">
        <v>127.0</v>
      </c>
      <c r="B128" s="1" t="s">
        <v>939</v>
      </c>
      <c r="C128" s="1" t="s">
        <v>23</v>
      </c>
    </row>
    <row r="129">
      <c r="A129" s="1">
        <v>128.0</v>
      </c>
      <c r="B129" s="1" t="s">
        <v>940</v>
      </c>
      <c r="C129" s="1" t="s">
        <v>23</v>
      </c>
    </row>
    <row r="130">
      <c r="A130" s="1">
        <v>129.0</v>
      </c>
      <c r="B130" s="1" t="s">
        <v>942</v>
      </c>
      <c r="C130" s="1" t="s">
        <v>23</v>
      </c>
    </row>
    <row r="131">
      <c r="A131" s="1">
        <v>130.0</v>
      </c>
      <c r="B131" s="1" t="s">
        <v>943</v>
      </c>
      <c r="C131" s="1" t="s">
        <v>23</v>
      </c>
    </row>
    <row r="132">
      <c r="A132" s="1">
        <v>131.0</v>
      </c>
      <c r="B132" s="1" t="s">
        <v>944</v>
      </c>
      <c r="C132" s="1" t="s">
        <v>23</v>
      </c>
    </row>
    <row r="133">
      <c r="A133" s="1">
        <v>132.0</v>
      </c>
      <c r="B133" s="1" t="s">
        <v>945</v>
      </c>
      <c r="C133" s="1" t="s">
        <v>23</v>
      </c>
    </row>
    <row r="134">
      <c r="A134" s="1">
        <v>133.0</v>
      </c>
      <c r="B134" s="1" t="s">
        <v>947</v>
      </c>
      <c r="C134" s="1" t="s">
        <v>23</v>
      </c>
    </row>
    <row r="135">
      <c r="A135" s="1">
        <v>134.0</v>
      </c>
      <c r="B135" s="1" t="s">
        <v>948</v>
      </c>
      <c r="C135" s="1" t="s">
        <v>23</v>
      </c>
    </row>
    <row r="136">
      <c r="A136" s="1">
        <v>135.0</v>
      </c>
      <c r="B136" s="1" t="s">
        <v>950</v>
      </c>
      <c r="C136" s="1" t="s">
        <v>23</v>
      </c>
    </row>
    <row r="137">
      <c r="A137" s="1">
        <v>136.0</v>
      </c>
      <c r="B137" s="1" t="s">
        <v>951</v>
      </c>
      <c r="C137" s="1" t="s">
        <v>23</v>
      </c>
    </row>
    <row r="138">
      <c r="A138" s="1">
        <v>137.0</v>
      </c>
      <c r="B138" s="1" t="s">
        <v>953</v>
      </c>
      <c r="C138" s="1" t="s">
        <v>23</v>
      </c>
    </row>
    <row r="139">
      <c r="A139" s="1">
        <v>138.0</v>
      </c>
      <c r="B139" s="1" t="s">
        <v>955</v>
      </c>
      <c r="C139" s="1" t="s">
        <v>23</v>
      </c>
    </row>
    <row r="140">
      <c r="A140" s="1">
        <v>139.0</v>
      </c>
      <c r="B140" s="1" t="s">
        <v>960</v>
      </c>
      <c r="C140" s="1" t="s">
        <v>23</v>
      </c>
    </row>
    <row r="141">
      <c r="A141" s="1">
        <v>140.0</v>
      </c>
      <c r="B141" s="1" t="s">
        <v>962</v>
      </c>
      <c r="C141" s="1" t="s">
        <v>23</v>
      </c>
    </row>
    <row r="142">
      <c r="A142" s="1">
        <v>141.0</v>
      </c>
      <c r="B142" s="1" t="s">
        <v>963</v>
      </c>
      <c r="C142" s="1" t="s">
        <v>23</v>
      </c>
    </row>
    <row r="143">
      <c r="A143" s="1">
        <v>142.0</v>
      </c>
      <c r="B143" s="1" t="s">
        <v>964</v>
      </c>
      <c r="C143" s="1" t="s">
        <v>23</v>
      </c>
    </row>
    <row r="144">
      <c r="A144" s="1">
        <v>143.0</v>
      </c>
      <c r="B144" s="1" t="s">
        <v>965</v>
      </c>
      <c r="C144" s="1" t="s">
        <v>23</v>
      </c>
    </row>
    <row r="145">
      <c r="A145" s="1">
        <v>144.0</v>
      </c>
      <c r="B145" s="1" t="s">
        <v>966</v>
      </c>
      <c r="C145" s="1" t="s">
        <v>23</v>
      </c>
    </row>
    <row r="146">
      <c r="A146" s="1">
        <v>145.0</v>
      </c>
      <c r="B146" s="1" t="s">
        <v>968</v>
      </c>
      <c r="C146" s="1" t="s">
        <v>23</v>
      </c>
    </row>
    <row r="147">
      <c r="A147" s="1">
        <v>146.0</v>
      </c>
      <c r="B147" s="1" t="s">
        <v>970</v>
      </c>
      <c r="C147" s="1" t="s">
        <v>23</v>
      </c>
    </row>
    <row r="148">
      <c r="A148" s="1">
        <v>147.0</v>
      </c>
      <c r="B148" s="1" t="s">
        <v>972</v>
      </c>
      <c r="C148" s="1" t="s">
        <v>23</v>
      </c>
    </row>
    <row r="149">
      <c r="A149" s="1">
        <v>148.0</v>
      </c>
      <c r="B149" s="1" t="s">
        <v>973</v>
      </c>
      <c r="C149" s="1" t="s">
        <v>23</v>
      </c>
    </row>
    <row r="150">
      <c r="A150" s="1">
        <v>149.0</v>
      </c>
      <c r="B150" s="1" t="s">
        <v>977</v>
      </c>
      <c r="C150" s="1" t="s">
        <v>23</v>
      </c>
    </row>
    <row r="151">
      <c r="A151" s="1">
        <v>150.0</v>
      </c>
      <c r="B151" s="1" t="s">
        <v>978</v>
      </c>
      <c r="C151" s="1" t="s">
        <v>23</v>
      </c>
    </row>
    <row r="152">
      <c r="A152" s="1">
        <v>151.0</v>
      </c>
      <c r="B152" s="1" t="s">
        <v>981</v>
      </c>
      <c r="C152" s="1" t="s">
        <v>23</v>
      </c>
    </row>
    <row r="153">
      <c r="A153" s="1">
        <v>152.0</v>
      </c>
      <c r="B153" s="1" t="s">
        <v>982</v>
      </c>
      <c r="C153" s="1" t="s">
        <v>23</v>
      </c>
    </row>
    <row r="154">
      <c r="A154" s="1">
        <v>153.0</v>
      </c>
      <c r="B154" s="1" t="s">
        <v>984</v>
      </c>
      <c r="C154" s="1" t="s">
        <v>23</v>
      </c>
    </row>
    <row r="155">
      <c r="A155" s="1">
        <v>154.0</v>
      </c>
      <c r="B155" s="1" t="s">
        <v>986</v>
      </c>
      <c r="C155" s="1" t="s">
        <v>23</v>
      </c>
    </row>
    <row r="156">
      <c r="A156" s="1">
        <v>155.0</v>
      </c>
      <c r="B156" s="1" t="s">
        <v>988</v>
      </c>
      <c r="C156" s="1" t="s">
        <v>23</v>
      </c>
    </row>
    <row r="157">
      <c r="A157" s="1">
        <v>156.0</v>
      </c>
      <c r="B157" s="1" t="s">
        <v>989</v>
      </c>
      <c r="C157" s="1" t="s">
        <v>23</v>
      </c>
    </row>
    <row r="158">
      <c r="A158" s="1">
        <v>157.0</v>
      </c>
      <c r="B158" s="1" t="s">
        <v>991</v>
      </c>
      <c r="C158" s="1" t="s">
        <v>23</v>
      </c>
    </row>
    <row r="159">
      <c r="A159" s="1">
        <v>158.0</v>
      </c>
      <c r="B159" s="1" t="s">
        <v>994</v>
      </c>
      <c r="C159" s="1" t="s">
        <v>23</v>
      </c>
    </row>
    <row r="160">
      <c r="A160" s="1">
        <v>159.0</v>
      </c>
      <c r="B160" s="1" t="s">
        <v>995</v>
      </c>
      <c r="C160" s="1" t="s">
        <v>23</v>
      </c>
    </row>
    <row r="161">
      <c r="A161" s="1">
        <v>160.0</v>
      </c>
      <c r="B161" s="1" t="s">
        <v>997</v>
      </c>
      <c r="C161" s="1" t="s">
        <v>23</v>
      </c>
    </row>
    <row r="162">
      <c r="A162" s="1">
        <v>161.0</v>
      </c>
      <c r="B162" s="1" t="s">
        <v>998</v>
      </c>
      <c r="C162" s="1" t="s">
        <v>23</v>
      </c>
    </row>
    <row r="163">
      <c r="A163" s="1">
        <v>162.0</v>
      </c>
      <c r="B163" s="1" t="s">
        <v>999</v>
      </c>
      <c r="C163" s="1" t="s">
        <v>23</v>
      </c>
    </row>
    <row r="164">
      <c r="A164" s="1">
        <v>163.0</v>
      </c>
      <c r="B164" s="1" t="s">
        <v>1000</v>
      </c>
      <c r="C164" s="1" t="s">
        <v>23</v>
      </c>
    </row>
    <row r="165">
      <c r="A165" s="1">
        <v>164.0</v>
      </c>
      <c r="B165" s="1" t="s">
        <v>1003</v>
      </c>
      <c r="C165" s="1" t="s">
        <v>23</v>
      </c>
    </row>
    <row r="166">
      <c r="A166" s="1">
        <v>165.0</v>
      </c>
      <c r="B166" s="1" t="s">
        <v>1005</v>
      </c>
      <c r="C166" s="1" t="s">
        <v>23</v>
      </c>
    </row>
    <row r="167">
      <c r="A167" s="1">
        <v>166.0</v>
      </c>
      <c r="B167" s="1" t="s">
        <v>1007</v>
      </c>
      <c r="C167" s="1" t="s">
        <v>23</v>
      </c>
    </row>
    <row r="168">
      <c r="A168" s="1">
        <v>167.0</v>
      </c>
      <c r="B168" s="1" t="s">
        <v>1008</v>
      </c>
      <c r="C168" s="1" t="s">
        <v>23</v>
      </c>
    </row>
    <row r="169">
      <c r="A169" s="1">
        <v>168.0</v>
      </c>
      <c r="B169" s="1" t="s">
        <v>1009</v>
      </c>
      <c r="C169" s="1" t="s">
        <v>23</v>
      </c>
    </row>
    <row r="170">
      <c r="A170" s="1">
        <v>169.0</v>
      </c>
      <c r="B170" s="1" t="s">
        <v>1013</v>
      </c>
      <c r="C170" s="1" t="s">
        <v>23</v>
      </c>
    </row>
    <row r="171">
      <c r="A171" s="1">
        <v>170.0</v>
      </c>
      <c r="B171" s="1" t="s">
        <v>1015</v>
      </c>
      <c r="C171" s="1" t="s">
        <v>23</v>
      </c>
    </row>
    <row r="172">
      <c r="A172" s="1">
        <v>171.0</v>
      </c>
      <c r="B172" s="1" t="s">
        <v>1016</v>
      </c>
      <c r="C172" s="1" t="s">
        <v>23</v>
      </c>
    </row>
    <row r="173">
      <c r="A173" s="1">
        <v>172.0</v>
      </c>
      <c r="B173" s="1" t="s">
        <v>1020</v>
      </c>
      <c r="C173" s="1" t="s">
        <v>23</v>
      </c>
    </row>
    <row r="174">
      <c r="A174" s="1">
        <v>173.0</v>
      </c>
      <c r="B174" s="1" t="s">
        <v>1022</v>
      </c>
      <c r="C174" s="1" t="s">
        <v>23</v>
      </c>
    </row>
    <row r="175">
      <c r="A175" s="1">
        <v>174.0</v>
      </c>
      <c r="B175" s="1" t="s">
        <v>1023</v>
      </c>
      <c r="C175" s="1" t="s">
        <v>23</v>
      </c>
    </row>
    <row r="176">
      <c r="A176" s="1">
        <v>175.0</v>
      </c>
      <c r="B176" s="1" t="s">
        <v>1026</v>
      </c>
      <c r="C176" s="1" t="s">
        <v>23</v>
      </c>
    </row>
    <row r="177">
      <c r="A177" s="1">
        <v>176.0</v>
      </c>
      <c r="B177" s="1" t="s">
        <v>1027</v>
      </c>
      <c r="C177" s="1" t="s">
        <v>23</v>
      </c>
    </row>
    <row r="178">
      <c r="A178" s="1">
        <v>177.0</v>
      </c>
      <c r="B178" s="1" t="s">
        <v>1028</v>
      </c>
      <c r="C178" s="1" t="s">
        <v>23</v>
      </c>
    </row>
    <row r="179">
      <c r="A179" s="1">
        <v>178.0</v>
      </c>
      <c r="B179" s="1" t="s">
        <v>1032</v>
      </c>
      <c r="C179" s="1" t="s">
        <v>23</v>
      </c>
    </row>
    <row r="180">
      <c r="A180" s="1">
        <v>179.0</v>
      </c>
      <c r="B180" s="1" t="s">
        <v>1035</v>
      </c>
      <c r="C180" s="1" t="s">
        <v>23</v>
      </c>
    </row>
    <row r="181">
      <c r="A181" s="1">
        <v>180.0</v>
      </c>
      <c r="B181" s="1" t="s">
        <v>1037</v>
      </c>
      <c r="C181" s="1" t="s">
        <v>23</v>
      </c>
    </row>
    <row r="182">
      <c r="A182" s="1">
        <v>181.0</v>
      </c>
      <c r="B182" s="1" t="s">
        <v>1040</v>
      </c>
      <c r="C182" s="1" t="s">
        <v>23</v>
      </c>
    </row>
    <row r="183">
      <c r="A183" s="1">
        <v>182.0</v>
      </c>
      <c r="B183" s="1" t="s">
        <v>1042</v>
      </c>
      <c r="C183" s="1" t="s">
        <v>23</v>
      </c>
    </row>
    <row r="184">
      <c r="A184" s="1">
        <v>183.0</v>
      </c>
      <c r="B184" s="1" t="s">
        <v>1043</v>
      </c>
      <c r="C184" s="1" t="s">
        <v>23</v>
      </c>
    </row>
    <row r="185">
      <c r="A185" s="1">
        <v>184.0</v>
      </c>
      <c r="B185" s="1" t="s">
        <v>1046</v>
      </c>
      <c r="C185" s="1" t="s">
        <v>23</v>
      </c>
    </row>
    <row r="186">
      <c r="A186" s="1">
        <v>185.0</v>
      </c>
      <c r="B186" s="1" t="s">
        <v>1049</v>
      </c>
      <c r="C186" s="1" t="s">
        <v>23</v>
      </c>
    </row>
    <row r="187">
      <c r="A187" s="1">
        <v>186.0</v>
      </c>
      <c r="B187" s="1" t="s">
        <v>1051</v>
      </c>
      <c r="C187" s="1" t="s">
        <v>23</v>
      </c>
    </row>
    <row r="188">
      <c r="A188" s="1">
        <v>187.0</v>
      </c>
      <c r="B188" s="1" t="s">
        <v>1054</v>
      </c>
      <c r="C188" s="1" t="s">
        <v>23</v>
      </c>
    </row>
    <row r="189">
      <c r="A189" s="1">
        <v>188.0</v>
      </c>
      <c r="B189" s="1" t="s">
        <v>1056</v>
      </c>
      <c r="C189" s="1" t="s">
        <v>23</v>
      </c>
    </row>
    <row r="190">
      <c r="A190" s="1">
        <v>189.0</v>
      </c>
      <c r="B190" s="1" t="s">
        <v>1058</v>
      </c>
      <c r="C190" s="1" t="s">
        <v>23</v>
      </c>
    </row>
    <row r="191">
      <c r="A191" s="1">
        <v>190.0</v>
      </c>
      <c r="B191" s="1" t="s">
        <v>1060</v>
      </c>
      <c r="C191" s="1" t="s">
        <v>23</v>
      </c>
    </row>
    <row r="192">
      <c r="A192" s="1">
        <v>191.0</v>
      </c>
      <c r="B192" s="1" t="s">
        <v>1061</v>
      </c>
      <c r="C192" s="1" t="s">
        <v>23</v>
      </c>
    </row>
    <row r="193">
      <c r="A193" s="1">
        <v>192.0</v>
      </c>
      <c r="B193" s="1" t="s">
        <v>1063</v>
      </c>
      <c r="C193" s="1" t="s">
        <v>23</v>
      </c>
    </row>
    <row r="194">
      <c r="A194" s="1">
        <v>193.0</v>
      </c>
      <c r="B194" s="1" t="s">
        <v>1064</v>
      </c>
      <c r="C194" s="1" t="s">
        <v>23</v>
      </c>
    </row>
    <row r="195">
      <c r="A195" s="1">
        <v>194.0</v>
      </c>
      <c r="B195" s="1" t="s">
        <v>1066</v>
      </c>
      <c r="C195" s="1" t="s">
        <v>23</v>
      </c>
    </row>
    <row r="196">
      <c r="A196" s="1">
        <v>195.0</v>
      </c>
      <c r="B196" s="1" t="s">
        <v>1067</v>
      </c>
      <c r="C196" s="1" t="s">
        <v>23</v>
      </c>
    </row>
    <row r="197">
      <c r="A197" s="1">
        <v>196.0</v>
      </c>
      <c r="B197" s="1" t="s">
        <v>1068</v>
      </c>
      <c r="C197" s="1" t="s">
        <v>23</v>
      </c>
    </row>
    <row r="198">
      <c r="A198" s="1">
        <v>197.0</v>
      </c>
      <c r="B198" s="1" t="s">
        <v>1070</v>
      </c>
      <c r="C198" s="1" t="s">
        <v>23</v>
      </c>
    </row>
    <row r="199">
      <c r="A199" s="1">
        <v>198.0</v>
      </c>
      <c r="B199" s="1" t="s">
        <v>1071</v>
      </c>
      <c r="C199" s="1" t="s">
        <v>23</v>
      </c>
    </row>
    <row r="200">
      <c r="A200" s="1">
        <v>199.0</v>
      </c>
      <c r="B200" s="1" t="s">
        <v>1072</v>
      </c>
      <c r="C200" s="1" t="s">
        <v>23</v>
      </c>
    </row>
    <row r="201">
      <c r="A201" s="1">
        <v>200.0</v>
      </c>
      <c r="B201" s="1" t="s">
        <v>1073</v>
      </c>
      <c r="C201" s="1" t="s">
        <v>23</v>
      </c>
    </row>
    <row r="202">
      <c r="A202" s="1">
        <v>201.0</v>
      </c>
      <c r="B202" s="1" t="s">
        <v>1075</v>
      </c>
      <c r="C202" s="1" t="s">
        <v>23</v>
      </c>
    </row>
    <row r="203">
      <c r="A203" s="1">
        <v>202.0</v>
      </c>
      <c r="B203" s="1" t="s">
        <v>1076</v>
      </c>
      <c r="C203" s="1" t="s">
        <v>23</v>
      </c>
    </row>
    <row r="204">
      <c r="A204" s="1">
        <v>203.0</v>
      </c>
      <c r="B204" s="1" t="s">
        <v>1077</v>
      </c>
      <c r="C204" s="1" t="s">
        <v>23</v>
      </c>
    </row>
    <row r="205">
      <c r="A205" s="1">
        <v>204.0</v>
      </c>
      <c r="B205" s="1" t="s">
        <v>1078</v>
      </c>
      <c r="C205" s="1" t="s">
        <v>23</v>
      </c>
    </row>
    <row r="206">
      <c r="A206" s="1">
        <v>205.0</v>
      </c>
      <c r="B206" s="1" t="s">
        <v>1080</v>
      </c>
      <c r="C206" s="1" t="s">
        <v>23</v>
      </c>
    </row>
    <row r="207">
      <c r="A207" s="1">
        <v>206.0</v>
      </c>
      <c r="B207" s="1" t="s">
        <v>1081</v>
      </c>
      <c r="C207" s="1" t="s">
        <v>23</v>
      </c>
    </row>
    <row r="208">
      <c r="A208" s="1">
        <v>207.0</v>
      </c>
      <c r="B208" s="1" t="s">
        <v>1083</v>
      </c>
      <c r="C208" s="1" t="s">
        <v>23</v>
      </c>
    </row>
    <row r="209">
      <c r="A209" s="1">
        <v>208.0</v>
      </c>
      <c r="B209" s="1" t="s">
        <v>1084</v>
      </c>
      <c r="C209" s="1" t="s">
        <v>23</v>
      </c>
    </row>
    <row r="210">
      <c r="A210" s="1">
        <v>209.0</v>
      </c>
      <c r="B210" s="1" t="s">
        <v>1085</v>
      </c>
      <c r="C210" s="1" t="s">
        <v>23</v>
      </c>
    </row>
    <row r="211">
      <c r="A211" s="1">
        <v>210.0</v>
      </c>
      <c r="B211" s="1" t="s">
        <v>1087</v>
      </c>
      <c r="C211" s="1" t="s">
        <v>23</v>
      </c>
    </row>
    <row r="212">
      <c r="A212" s="1">
        <v>211.0</v>
      </c>
      <c r="B212" s="1" t="s">
        <v>1088</v>
      </c>
      <c r="C212" s="1" t="s">
        <v>23</v>
      </c>
    </row>
    <row r="213">
      <c r="A213" s="1">
        <v>212.0</v>
      </c>
      <c r="B213" s="1" t="s">
        <v>1089</v>
      </c>
      <c r="C213" s="1" t="s">
        <v>23</v>
      </c>
    </row>
    <row r="214">
      <c r="A214" s="1">
        <v>213.0</v>
      </c>
      <c r="B214" s="1" t="s">
        <v>1090</v>
      </c>
      <c r="C214" s="1" t="s">
        <v>23</v>
      </c>
    </row>
    <row r="215">
      <c r="A215" s="1">
        <v>214.0</v>
      </c>
      <c r="B215" s="1" t="s">
        <v>1091</v>
      </c>
      <c r="C215" s="1" t="s">
        <v>23</v>
      </c>
    </row>
    <row r="216">
      <c r="A216" s="1">
        <v>215.0</v>
      </c>
      <c r="B216" s="1" t="s">
        <v>1092</v>
      </c>
      <c r="C216" s="1" t="s">
        <v>23</v>
      </c>
    </row>
    <row r="217">
      <c r="A217" s="1">
        <v>216.0</v>
      </c>
      <c r="B217" s="1" t="s">
        <v>1093</v>
      </c>
      <c r="C217" s="1" t="s">
        <v>23</v>
      </c>
    </row>
    <row r="218">
      <c r="A218" s="1">
        <v>217.0</v>
      </c>
      <c r="B218" s="1" t="s">
        <v>1095</v>
      </c>
      <c r="C218" s="1" t="s">
        <v>23</v>
      </c>
    </row>
    <row r="219">
      <c r="A219" s="1">
        <v>218.0</v>
      </c>
      <c r="B219" s="1" t="s">
        <v>1096</v>
      </c>
      <c r="C219" s="1" t="s">
        <v>23</v>
      </c>
    </row>
    <row r="220">
      <c r="A220" s="1">
        <v>219.0</v>
      </c>
      <c r="B220" s="1" t="s">
        <v>1097</v>
      </c>
      <c r="C220" s="1" t="s">
        <v>23</v>
      </c>
    </row>
    <row r="221">
      <c r="A221" s="1">
        <v>220.0</v>
      </c>
      <c r="B221" s="1" t="s">
        <v>1098</v>
      </c>
      <c r="C221" s="1" t="s">
        <v>23</v>
      </c>
    </row>
    <row r="222">
      <c r="A222" s="1">
        <v>221.0</v>
      </c>
      <c r="B222" s="1" t="s">
        <v>1100</v>
      </c>
      <c r="C222" s="1" t="s">
        <v>23</v>
      </c>
    </row>
    <row r="223">
      <c r="A223" s="1">
        <v>222.0</v>
      </c>
      <c r="B223" s="1" t="s">
        <v>1101</v>
      </c>
      <c r="C223" s="1" t="s">
        <v>23</v>
      </c>
    </row>
    <row r="224">
      <c r="A224" s="1">
        <v>223.0</v>
      </c>
      <c r="B224" s="1" t="s">
        <v>1102</v>
      </c>
      <c r="C224" s="1" t="s">
        <v>23</v>
      </c>
    </row>
    <row r="225">
      <c r="A225" s="1">
        <v>224.0</v>
      </c>
      <c r="B225" s="1" t="s">
        <v>1103</v>
      </c>
      <c r="C225" s="1" t="s">
        <v>23</v>
      </c>
    </row>
    <row r="226">
      <c r="A226" s="1">
        <v>225.0</v>
      </c>
      <c r="B226" s="1" t="s">
        <v>1104</v>
      </c>
      <c r="C226" s="1" t="s">
        <v>23</v>
      </c>
    </row>
    <row r="227">
      <c r="A227" s="1">
        <v>226.0</v>
      </c>
      <c r="B227" s="1" t="s">
        <v>1105</v>
      </c>
      <c r="C227" s="1" t="s">
        <v>23</v>
      </c>
    </row>
    <row r="228">
      <c r="A228" s="1">
        <v>227.0</v>
      </c>
      <c r="B228" s="1" t="s">
        <v>1106</v>
      </c>
      <c r="C228" s="1" t="s">
        <v>23</v>
      </c>
    </row>
    <row r="229">
      <c r="A229" s="1">
        <v>228.0</v>
      </c>
      <c r="B229" s="1" t="s">
        <v>1108</v>
      </c>
      <c r="C229" s="1" t="s">
        <v>23</v>
      </c>
    </row>
    <row r="230">
      <c r="A230" s="1">
        <v>229.0</v>
      </c>
      <c r="B230" s="1" t="s">
        <v>1109</v>
      </c>
      <c r="C230" s="1" t="s">
        <v>23</v>
      </c>
    </row>
    <row r="231">
      <c r="A231" s="1">
        <v>230.0</v>
      </c>
      <c r="B231" s="1" t="s">
        <v>1110</v>
      </c>
      <c r="C231" s="1" t="s">
        <v>23</v>
      </c>
    </row>
    <row r="232">
      <c r="A232" s="1">
        <v>231.0</v>
      </c>
      <c r="B232" s="1" t="s">
        <v>1112</v>
      </c>
      <c r="C232" s="1" t="s">
        <v>23</v>
      </c>
    </row>
    <row r="233">
      <c r="A233" s="1">
        <v>232.0</v>
      </c>
      <c r="B233" s="1" t="s">
        <v>1113</v>
      </c>
      <c r="C233" s="1" t="s">
        <v>23</v>
      </c>
    </row>
    <row r="234">
      <c r="A234" s="1">
        <v>233.0</v>
      </c>
      <c r="B234" s="1" t="s">
        <v>1115</v>
      </c>
      <c r="C234" s="1" t="s">
        <v>23</v>
      </c>
    </row>
    <row r="235">
      <c r="A235" s="1">
        <v>234.0</v>
      </c>
      <c r="B235" s="1" t="s">
        <v>1116</v>
      </c>
      <c r="C235" s="1" t="s">
        <v>23</v>
      </c>
    </row>
    <row r="236">
      <c r="A236" s="1">
        <v>235.0</v>
      </c>
      <c r="B236" s="1" t="s">
        <v>1118</v>
      </c>
      <c r="C236" s="1" t="s">
        <v>23</v>
      </c>
    </row>
    <row r="237">
      <c r="A237" s="1">
        <v>236.0</v>
      </c>
      <c r="B237" s="1" t="s">
        <v>1120</v>
      </c>
      <c r="C237" s="1" t="s">
        <v>23</v>
      </c>
    </row>
    <row r="238">
      <c r="A238" s="1">
        <v>237.0</v>
      </c>
      <c r="B238" s="1" t="s">
        <v>1121</v>
      </c>
      <c r="C238" s="1" t="s">
        <v>23</v>
      </c>
    </row>
    <row r="239">
      <c r="A239" s="1">
        <v>238.0</v>
      </c>
      <c r="B239" s="1" t="s">
        <v>1122</v>
      </c>
      <c r="C239" s="1" t="s">
        <v>23</v>
      </c>
    </row>
    <row r="240">
      <c r="A240" s="1">
        <v>239.0</v>
      </c>
      <c r="B240" s="1" t="s">
        <v>1124</v>
      </c>
      <c r="C240" s="1" t="s">
        <v>23</v>
      </c>
    </row>
    <row r="241">
      <c r="A241" s="1">
        <v>240.0</v>
      </c>
      <c r="B241" s="1" t="s">
        <v>1125</v>
      </c>
      <c r="C241" s="1" t="s">
        <v>23</v>
      </c>
    </row>
    <row r="242">
      <c r="A242" s="1">
        <v>241.0</v>
      </c>
      <c r="B242" s="1" t="s">
        <v>1127</v>
      </c>
      <c r="C242" s="1" t="s">
        <v>23</v>
      </c>
    </row>
    <row r="243">
      <c r="A243" s="1">
        <v>242.0</v>
      </c>
      <c r="B243" s="1" t="s">
        <v>1128</v>
      </c>
      <c r="C243" s="1" t="s">
        <v>23</v>
      </c>
    </row>
    <row r="244">
      <c r="A244" s="1">
        <v>243.0</v>
      </c>
      <c r="B244" s="1" t="s">
        <v>1129</v>
      </c>
      <c r="C244" s="1" t="s">
        <v>23</v>
      </c>
    </row>
    <row r="245">
      <c r="A245" s="1">
        <v>244.0</v>
      </c>
      <c r="B245" s="1" t="s">
        <v>1130</v>
      </c>
      <c r="C245" s="1" t="s">
        <v>23</v>
      </c>
    </row>
    <row r="246">
      <c r="A246" s="1">
        <v>245.0</v>
      </c>
      <c r="B246" s="1" t="s">
        <v>1131</v>
      </c>
      <c r="C246" s="1" t="s">
        <v>23</v>
      </c>
    </row>
    <row r="247">
      <c r="A247" s="1">
        <v>246.0</v>
      </c>
      <c r="B247" s="1" t="s">
        <v>1133</v>
      </c>
      <c r="C247" s="1" t="s">
        <v>23</v>
      </c>
    </row>
    <row r="248">
      <c r="A248" s="1">
        <v>247.0</v>
      </c>
      <c r="B248" s="1" t="s">
        <v>1135</v>
      </c>
      <c r="C248" s="1" t="s">
        <v>23</v>
      </c>
    </row>
    <row r="249">
      <c r="A249" s="1">
        <v>248.0</v>
      </c>
      <c r="B249" s="1" t="s">
        <v>1136</v>
      </c>
      <c r="C249" s="1" t="s">
        <v>23</v>
      </c>
    </row>
    <row r="250">
      <c r="A250" s="1">
        <v>249.0</v>
      </c>
      <c r="B250" s="1" t="s">
        <v>1138</v>
      </c>
      <c r="C250" s="1" t="s">
        <v>23</v>
      </c>
    </row>
    <row r="251">
      <c r="A251" s="1">
        <v>250.0</v>
      </c>
      <c r="B251" s="1" t="s">
        <v>1140</v>
      </c>
      <c r="C251" s="1" t="s">
        <v>23</v>
      </c>
    </row>
    <row r="252">
      <c r="A252" s="1">
        <v>251.0</v>
      </c>
      <c r="B252" s="1" t="s">
        <v>1141</v>
      </c>
      <c r="C252" s="1" t="s">
        <v>23</v>
      </c>
    </row>
    <row r="253">
      <c r="A253" s="1">
        <v>252.0</v>
      </c>
      <c r="B253" s="1" t="s">
        <v>1142</v>
      </c>
      <c r="C253" s="1" t="s">
        <v>23</v>
      </c>
    </row>
    <row r="254">
      <c r="A254" s="1">
        <v>253.0</v>
      </c>
      <c r="B254" s="1" t="s">
        <v>1144</v>
      </c>
      <c r="C254" s="1" t="s">
        <v>23</v>
      </c>
    </row>
    <row r="255">
      <c r="A255" s="1">
        <v>254.0</v>
      </c>
      <c r="B255" s="1" t="s">
        <v>1145</v>
      </c>
      <c r="C255" s="1" t="s">
        <v>23</v>
      </c>
    </row>
    <row r="256">
      <c r="A256" s="1">
        <v>255.0</v>
      </c>
      <c r="B256" s="1" t="s">
        <v>1146</v>
      </c>
      <c r="C256" s="1" t="s">
        <v>23</v>
      </c>
    </row>
    <row r="257">
      <c r="A257" s="1">
        <v>256.0</v>
      </c>
      <c r="B257" s="1" t="s">
        <v>1147</v>
      </c>
      <c r="C257" s="1" t="s">
        <v>23</v>
      </c>
    </row>
    <row r="258">
      <c r="A258" s="1">
        <v>257.0</v>
      </c>
      <c r="B258" s="1" t="s">
        <v>1148</v>
      </c>
      <c r="C258" s="1" t="s">
        <v>23</v>
      </c>
    </row>
    <row r="259">
      <c r="A259" s="1">
        <v>258.0</v>
      </c>
      <c r="B259" s="1" t="s">
        <v>1149</v>
      </c>
      <c r="C259" s="1" t="s">
        <v>23</v>
      </c>
    </row>
    <row r="260">
      <c r="A260" s="1">
        <v>259.0</v>
      </c>
      <c r="B260" s="1" t="s">
        <v>1150</v>
      </c>
      <c r="C260" s="1" t="s">
        <v>23</v>
      </c>
    </row>
    <row r="261">
      <c r="A261" s="1">
        <v>260.0</v>
      </c>
      <c r="B261" s="1" t="s">
        <v>1152</v>
      </c>
      <c r="C261" s="1" t="s">
        <v>23</v>
      </c>
    </row>
  </sheetData>
  <autoFilter ref="$A$1:$Z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19</v>
      </c>
      <c r="S1" s="1" t="s">
        <v>20</v>
      </c>
    </row>
    <row r="2">
      <c r="A2" s="1">
        <v>1.0</v>
      </c>
      <c r="B2" s="1" t="s">
        <v>22</v>
      </c>
      <c r="C2" s="1" t="s">
        <v>23</v>
      </c>
      <c r="D2" s="1">
        <v>0.0</v>
      </c>
      <c r="E2" s="1">
        <v>350.0</v>
      </c>
      <c r="F2" s="1">
        <v>1.3</v>
      </c>
      <c r="G2" s="1">
        <v>0.85</v>
      </c>
      <c r="H2" s="1" t="s">
        <v>22</v>
      </c>
      <c r="I2" s="4">
        <v>46211.93755787037</v>
      </c>
      <c r="J2" s="1" t="s">
        <v>26</v>
      </c>
      <c r="K2" s="1">
        <v>350.0</v>
      </c>
      <c r="L2" s="1">
        <v>150.0</v>
      </c>
      <c r="M2" s="1">
        <v>300.0</v>
      </c>
      <c r="N2" s="5">
        <v>42252.0</v>
      </c>
      <c r="O2" s="1" t="s">
        <v>28</v>
      </c>
      <c r="P2" s="1" t="s">
        <v>29</v>
      </c>
      <c r="Q2" s="1" t="s">
        <v>31</v>
      </c>
      <c r="R2" s="1" t="s">
        <v>33</v>
      </c>
      <c r="S2" s="1" t="s">
        <v>34</v>
      </c>
    </row>
    <row r="3">
      <c r="A3" s="1">
        <v>2.0</v>
      </c>
      <c r="B3" s="1" t="s">
        <v>36</v>
      </c>
      <c r="C3" s="1" t="s">
        <v>23</v>
      </c>
      <c r="D3" s="1">
        <v>0.0</v>
      </c>
      <c r="E3" s="1">
        <v>350.0</v>
      </c>
      <c r="F3" s="1">
        <v>0.01</v>
      </c>
      <c r="G3" s="1">
        <v>1.06</v>
      </c>
      <c r="H3" s="1" t="s">
        <v>36</v>
      </c>
      <c r="I3" s="4">
        <v>46217.25701388889</v>
      </c>
      <c r="J3" s="1" t="s">
        <v>38</v>
      </c>
      <c r="K3" s="1">
        <v>400.0</v>
      </c>
      <c r="L3" s="1">
        <v>250.0</v>
      </c>
      <c r="M3" s="1">
        <v>250.0</v>
      </c>
      <c r="N3" s="5">
        <v>42300.0</v>
      </c>
      <c r="O3" s="1" t="s">
        <v>40</v>
      </c>
      <c r="P3" s="1" t="s">
        <v>29</v>
      </c>
      <c r="Q3" s="1" t="s">
        <v>41</v>
      </c>
      <c r="R3" s="1" t="s">
        <v>42</v>
      </c>
      <c r="S3" s="1" t="s">
        <v>43</v>
      </c>
    </row>
    <row r="4">
      <c r="A4" s="1">
        <v>3.0</v>
      </c>
      <c r="B4" s="1" t="s">
        <v>45</v>
      </c>
      <c r="C4" s="1" t="s">
        <v>23</v>
      </c>
      <c r="D4" s="1">
        <v>28.0</v>
      </c>
      <c r="E4" s="1">
        <v>300.0</v>
      </c>
      <c r="F4" s="1">
        <v>0.7</v>
      </c>
      <c r="G4" s="1">
        <v>0.81</v>
      </c>
      <c r="H4" s="1" t="s">
        <v>45</v>
      </c>
      <c r="I4" s="4">
        <v>46191.19011574074</v>
      </c>
      <c r="J4" s="1" t="s">
        <v>26</v>
      </c>
      <c r="K4" s="1">
        <v>300.0</v>
      </c>
      <c r="L4" s="1">
        <v>250.0</v>
      </c>
      <c r="M4" s="1">
        <v>250.0</v>
      </c>
      <c r="N4" s="5">
        <v>42252.0</v>
      </c>
      <c r="O4" s="1" t="s">
        <v>28</v>
      </c>
      <c r="P4" s="1" t="s">
        <v>29</v>
      </c>
      <c r="Q4" s="1" t="s">
        <v>46</v>
      </c>
      <c r="R4" s="1" t="s">
        <v>47</v>
      </c>
      <c r="S4" s="1" t="s">
        <v>48</v>
      </c>
    </row>
    <row r="5">
      <c r="A5" s="1">
        <v>4.0</v>
      </c>
      <c r="B5" s="1" t="s">
        <v>49</v>
      </c>
      <c r="C5" s="1" t="s">
        <v>23</v>
      </c>
      <c r="D5" s="1">
        <v>0.0</v>
      </c>
      <c r="E5" s="1">
        <v>200.0</v>
      </c>
      <c r="F5" s="1">
        <v>1.3</v>
      </c>
      <c r="G5" s="1">
        <v>1.28</v>
      </c>
      <c r="H5" s="1" t="s">
        <v>50</v>
      </c>
      <c r="I5" s="4">
        <v>46195.322291666664</v>
      </c>
      <c r="J5" s="1" t="s">
        <v>26</v>
      </c>
      <c r="K5" s="1">
        <v>250.0</v>
      </c>
      <c r="L5" s="1">
        <v>80.0</v>
      </c>
      <c r="M5" s="1">
        <v>100.0</v>
      </c>
      <c r="N5" s="5">
        <v>42255.0</v>
      </c>
      <c r="O5" s="1" t="s">
        <v>28</v>
      </c>
      <c r="P5" s="1" t="s">
        <v>29</v>
      </c>
      <c r="Q5" s="1" t="s">
        <v>51</v>
      </c>
      <c r="R5" s="1" t="s">
        <v>52</v>
      </c>
      <c r="S5" s="1" t="s">
        <v>34</v>
      </c>
    </row>
    <row r="6">
      <c r="A6" s="1">
        <v>5.0</v>
      </c>
      <c r="B6" s="1" t="s">
        <v>53</v>
      </c>
      <c r="C6" s="1" t="s">
        <v>23</v>
      </c>
      <c r="D6" s="1">
        <v>0.0</v>
      </c>
      <c r="E6" s="1">
        <v>200.0</v>
      </c>
      <c r="F6" s="1">
        <v>0.7</v>
      </c>
      <c r="G6" s="1">
        <v>0.76</v>
      </c>
      <c r="H6" s="1" t="s">
        <v>53</v>
      </c>
      <c r="I6" s="4">
        <v>46227.493368055555</v>
      </c>
      <c r="J6" s="1" t="s">
        <v>54</v>
      </c>
      <c r="K6" s="1">
        <v>200.0</v>
      </c>
      <c r="L6" s="1">
        <v>10.0</v>
      </c>
      <c r="M6" s="1">
        <v>10.0</v>
      </c>
      <c r="N6" s="5">
        <v>42393.0</v>
      </c>
      <c r="O6" s="1" t="s">
        <v>28</v>
      </c>
      <c r="P6" s="1" t="s">
        <v>29</v>
      </c>
      <c r="Q6" s="1" t="s">
        <v>55</v>
      </c>
      <c r="S6" s="1" t="s">
        <v>48</v>
      </c>
    </row>
    <row r="7">
      <c r="A7" s="1">
        <v>6.0</v>
      </c>
      <c r="B7" s="1" t="s">
        <v>56</v>
      </c>
      <c r="C7" s="1" t="s">
        <v>23</v>
      </c>
      <c r="D7" s="1">
        <v>0.0</v>
      </c>
      <c r="E7" s="1">
        <v>150.0</v>
      </c>
      <c r="F7" s="1">
        <v>0.9</v>
      </c>
      <c r="G7" s="1">
        <v>0.53</v>
      </c>
      <c r="H7" s="1" t="s">
        <v>22</v>
      </c>
      <c r="I7" s="4">
        <v>46202.878541666665</v>
      </c>
      <c r="J7" s="1" t="s">
        <v>26</v>
      </c>
      <c r="K7" s="1">
        <v>150.0</v>
      </c>
      <c r="L7" s="1">
        <v>150.0</v>
      </c>
      <c r="M7" s="1">
        <v>200.0</v>
      </c>
      <c r="N7" s="5">
        <v>42249.0</v>
      </c>
      <c r="O7" s="1" t="s">
        <v>28</v>
      </c>
      <c r="P7" s="1" t="s">
        <v>29</v>
      </c>
      <c r="Q7" s="1" t="s">
        <v>58</v>
      </c>
      <c r="R7" s="1">
        <v>141.0</v>
      </c>
      <c r="S7" s="1" t="s">
        <v>34</v>
      </c>
    </row>
    <row r="8">
      <c r="A8" s="1">
        <v>7.0</v>
      </c>
      <c r="B8" s="1" t="s">
        <v>59</v>
      </c>
      <c r="C8" s="1" t="s">
        <v>23</v>
      </c>
      <c r="D8" s="1">
        <v>13.0</v>
      </c>
      <c r="E8" s="1">
        <v>150.0</v>
      </c>
      <c r="F8" s="1">
        <v>1.4</v>
      </c>
      <c r="G8" s="1">
        <v>0.58</v>
      </c>
      <c r="H8" s="1" t="s">
        <v>61</v>
      </c>
      <c r="I8" s="4">
        <v>46212.95943287037</v>
      </c>
      <c r="J8" s="1" t="s">
        <v>26</v>
      </c>
      <c r="K8" s="1">
        <v>200.0</v>
      </c>
      <c r="L8" s="1">
        <v>50.0</v>
      </c>
      <c r="M8" s="1">
        <v>50.0</v>
      </c>
      <c r="N8" s="5">
        <v>42455.0</v>
      </c>
      <c r="O8" s="1" t="s">
        <v>28</v>
      </c>
      <c r="P8" s="1" t="s">
        <v>29</v>
      </c>
      <c r="Q8" s="1" t="s">
        <v>63</v>
      </c>
      <c r="S8" s="1" t="s">
        <v>34</v>
      </c>
    </row>
    <row r="9">
      <c r="A9" s="1">
        <v>8.0</v>
      </c>
      <c r="B9" s="1" t="s">
        <v>64</v>
      </c>
      <c r="C9" s="1" t="s">
        <v>23</v>
      </c>
      <c r="D9" s="1">
        <v>0.0</v>
      </c>
      <c r="E9" s="1">
        <v>150.0</v>
      </c>
      <c r="F9" s="1">
        <v>0.6</v>
      </c>
      <c r="H9" s="1" t="s">
        <v>45</v>
      </c>
      <c r="I9" s="4">
        <v>46219.77337962963</v>
      </c>
      <c r="J9" s="1" t="s">
        <v>26</v>
      </c>
      <c r="K9" s="1">
        <v>150.0</v>
      </c>
      <c r="L9" s="1">
        <v>250.0</v>
      </c>
      <c r="M9" s="1">
        <v>250.0</v>
      </c>
      <c r="N9" s="5">
        <v>42262.0</v>
      </c>
      <c r="O9" s="1" t="s">
        <v>65</v>
      </c>
      <c r="P9" s="1" t="s">
        <v>29</v>
      </c>
      <c r="Q9" s="1" t="s">
        <v>66</v>
      </c>
      <c r="R9" s="1">
        <v>128.0</v>
      </c>
      <c r="S9" s="1" t="s">
        <v>48</v>
      </c>
    </row>
    <row r="10">
      <c r="A10" s="1">
        <v>9.0</v>
      </c>
      <c r="B10" s="1" t="s">
        <v>67</v>
      </c>
      <c r="C10" s="1" t="s">
        <v>23</v>
      </c>
      <c r="E10" s="1">
        <v>100.0</v>
      </c>
      <c r="F10" s="1">
        <v>1.2</v>
      </c>
      <c r="K10" s="1">
        <v>100.0</v>
      </c>
      <c r="N10" s="5">
        <v>42472.0</v>
      </c>
      <c r="Q10" s="1" t="s">
        <v>68</v>
      </c>
      <c r="R10" s="1">
        <v>111.0</v>
      </c>
    </row>
    <row r="11">
      <c r="A11" s="1">
        <v>10.0</v>
      </c>
      <c r="B11" s="1" t="s">
        <v>69</v>
      </c>
      <c r="C11" s="1" t="s">
        <v>23</v>
      </c>
      <c r="D11" s="1">
        <v>0.0</v>
      </c>
      <c r="E11" s="1">
        <v>100.0</v>
      </c>
      <c r="F11" s="1">
        <v>0.02</v>
      </c>
      <c r="G11" s="1">
        <v>1.01</v>
      </c>
      <c r="H11" s="1" t="s">
        <v>69</v>
      </c>
      <c r="I11" s="4">
        <v>46202.57375</v>
      </c>
      <c r="J11" s="1" t="s">
        <v>70</v>
      </c>
      <c r="K11" s="1">
        <v>100.0</v>
      </c>
      <c r="L11" s="1">
        <v>200.0</v>
      </c>
      <c r="M11" s="1">
        <v>200.0</v>
      </c>
      <c r="N11" s="5">
        <v>42275.0</v>
      </c>
      <c r="O11" s="1" t="s">
        <v>40</v>
      </c>
      <c r="P11" s="1" t="s">
        <v>29</v>
      </c>
      <c r="Q11" s="1" t="s">
        <v>72</v>
      </c>
      <c r="S11" s="1" t="s">
        <v>43</v>
      </c>
    </row>
    <row r="12">
      <c r="A12" s="1">
        <v>11.0</v>
      </c>
      <c r="B12" s="1" t="s">
        <v>73</v>
      </c>
      <c r="C12" s="1" t="s">
        <v>23</v>
      </c>
      <c r="D12" s="1">
        <v>0.0</v>
      </c>
      <c r="E12" s="1">
        <v>100.0</v>
      </c>
      <c r="F12" s="1">
        <v>2.0</v>
      </c>
      <c r="H12" s="1" t="s">
        <v>73</v>
      </c>
      <c r="I12" s="4">
        <v>46202.36267361111</v>
      </c>
      <c r="J12" s="1" t="s">
        <v>74</v>
      </c>
      <c r="K12" s="1">
        <v>150.0</v>
      </c>
      <c r="L12" s="1">
        <v>20.0</v>
      </c>
      <c r="M12" s="1">
        <v>20.0</v>
      </c>
      <c r="N12" s="5">
        <v>42329.0</v>
      </c>
      <c r="O12" s="1" t="s">
        <v>28</v>
      </c>
      <c r="P12" s="1" t="s">
        <v>29</v>
      </c>
      <c r="Q12" s="1" t="s">
        <v>75</v>
      </c>
      <c r="S12" s="1" t="s">
        <v>76</v>
      </c>
    </row>
    <row r="13">
      <c r="A13" s="1">
        <v>12.0</v>
      </c>
      <c r="B13" s="1" t="s">
        <v>77</v>
      </c>
      <c r="C13" s="1" t="s">
        <v>23</v>
      </c>
      <c r="E13" s="1">
        <v>100.0</v>
      </c>
      <c r="K13" s="1">
        <v>100.0</v>
      </c>
      <c r="N13" s="5">
        <v>43658.0</v>
      </c>
      <c r="Q13" s="1" t="s">
        <v>78</v>
      </c>
      <c r="R13" s="1">
        <v>32.0</v>
      </c>
    </row>
    <row r="14">
      <c r="A14" s="1">
        <v>13.0</v>
      </c>
      <c r="B14" s="1" t="s">
        <v>79</v>
      </c>
      <c r="C14" s="1" t="s">
        <v>23</v>
      </c>
      <c r="D14" s="1">
        <v>0.0</v>
      </c>
      <c r="E14" s="1">
        <v>100.0</v>
      </c>
      <c r="F14" s="1">
        <v>0.3</v>
      </c>
      <c r="G14" s="1">
        <v>0.61</v>
      </c>
      <c r="H14" s="1" t="s">
        <v>80</v>
      </c>
      <c r="I14" s="4">
        <v>46223.483506944445</v>
      </c>
      <c r="J14" s="1" t="s">
        <v>26</v>
      </c>
      <c r="K14" s="1">
        <v>100.0</v>
      </c>
      <c r="L14" s="1">
        <v>50.0</v>
      </c>
      <c r="M14" s="1">
        <v>50.0</v>
      </c>
      <c r="N14" s="5">
        <v>42249.0</v>
      </c>
      <c r="O14" s="1" t="s">
        <v>28</v>
      </c>
      <c r="P14" s="1" t="s">
        <v>29</v>
      </c>
      <c r="Q14" s="1" t="s">
        <v>81</v>
      </c>
      <c r="R14" s="1" t="s">
        <v>82</v>
      </c>
      <c r="S14" s="1" t="s">
        <v>83</v>
      </c>
    </row>
    <row r="15">
      <c r="A15" s="1">
        <v>14.0</v>
      </c>
      <c r="B15" s="1" t="s">
        <v>84</v>
      </c>
      <c r="C15" s="1" t="s">
        <v>23</v>
      </c>
      <c r="D15" s="1">
        <v>0.0</v>
      </c>
      <c r="E15" s="1">
        <v>100.0</v>
      </c>
      <c r="F15" s="1">
        <v>1.0</v>
      </c>
      <c r="H15" s="1" t="s">
        <v>84</v>
      </c>
      <c r="I15" s="4">
        <v>46199.01739583333</v>
      </c>
      <c r="J15" s="1" t="s">
        <v>26</v>
      </c>
      <c r="K15" s="1">
        <v>100.0</v>
      </c>
      <c r="L15" s="1">
        <v>90.0</v>
      </c>
      <c r="M15" s="1">
        <v>90.0</v>
      </c>
      <c r="N15" s="5">
        <v>42329.0</v>
      </c>
      <c r="O15" s="1" t="s">
        <v>28</v>
      </c>
      <c r="P15" s="1" t="s">
        <v>29</v>
      </c>
      <c r="Q15" s="1" t="s">
        <v>86</v>
      </c>
      <c r="R15" s="1">
        <v>47.0</v>
      </c>
      <c r="S15" s="1" t="s">
        <v>34</v>
      </c>
    </row>
    <row r="16">
      <c r="A16" s="1">
        <v>15.0</v>
      </c>
      <c r="B16" s="1" t="s">
        <v>87</v>
      </c>
      <c r="C16" s="1" t="s">
        <v>23</v>
      </c>
      <c r="E16" s="1">
        <v>90.0</v>
      </c>
      <c r="I16" s="4"/>
      <c r="K16" s="1">
        <v>90.0</v>
      </c>
      <c r="N16" s="5">
        <v>42908.0</v>
      </c>
      <c r="Q16" s="1" t="s">
        <v>88</v>
      </c>
      <c r="R16" s="1">
        <v>110.0</v>
      </c>
    </row>
    <row r="17">
      <c r="A17" s="1">
        <v>16.0</v>
      </c>
      <c r="B17" s="1" t="s">
        <v>89</v>
      </c>
      <c r="C17" s="1" t="s">
        <v>23</v>
      </c>
      <c r="D17" s="1">
        <v>0.0</v>
      </c>
      <c r="E17" s="1">
        <v>90.0</v>
      </c>
      <c r="F17" s="1">
        <v>0.8</v>
      </c>
      <c r="H17" s="1" t="s">
        <v>84</v>
      </c>
      <c r="I17" s="4">
        <v>46217.63798611111</v>
      </c>
      <c r="J17" s="1" t="s">
        <v>90</v>
      </c>
      <c r="K17" s="1">
        <v>100.0</v>
      </c>
      <c r="L17" s="1">
        <v>40.0</v>
      </c>
      <c r="M17" s="1">
        <v>40.0</v>
      </c>
      <c r="N17" s="5">
        <v>42452.0</v>
      </c>
      <c r="O17" s="1" t="s">
        <v>91</v>
      </c>
      <c r="P17" s="1" t="s">
        <v>29</v>
      </c>
      <c r="Q17" s="1" t="s">
        <v>92</v>
      </c>
      <c r="S17" s="1" t="s">
        <v>76</v>
      </c>
    </row>
    <row r="18">
      <c r="A18" s="1">
        <v>17.0</v>
      </c>
      <c r="B18" s="1" t="s">
        <v>93</v>
      </c>
      <c r="C18" s="1" t="s">
        <v>23</v>
      </c>
      <c r="E18" s="1">
        <v>80.0</v>
      </c>
      <c r="F18" s="1">
        <v>0.01</v>
      </c>
      <c r="I18" s="4"/>
      <c r="K18" s="1">
        <v>80.0</v>
      </c>
      <c r="N18" s="5">
        <v>42608.0</v>
      </c>
      <c r="O18" s="1" t="s">
        <v>94</v>
      </c>
      <c r="P18" s="1" t="s">
        <v>29</v>
      </c>
      <c r="Q18" s="1" t="s">
        <v>95</v>
      </c>
      <c r="R18" s="1">
        <v>66.0</v>
      </c>
      <c r="S18" s="1" t="s">
        <v>43</v>
      </c>
    </row>
    <row r="19">
      <c r="A19" s="1">
        <v>18.0</v>
      </c>
      <c r="B19" s="1" t="s">
        <v>96</v>
      </c>
      <c r="C19" s="1" t="s">
        <v>23</v>
      </c>
      <c r="D19" s="1">
        <v>0.0</v>
      </c>
      <c r="E19" s="1">
        <v>70.0</v>
      </c>
      <c r="F19" s="1">
        <v>0.3</v>
      </c>
      <c r="G19" s="1">
        <v>0.85</v>
      </c>
      <c r="H19" s="1" t="s">
        <v>96</v>
      </c>
      <c r="I19" s="4">
        <v>46231.83555555555</v>
      </c>
      <c r="J19" s="1" t="s">
        <v>98</v>
      </c>
      <c r="K19" s="1">
        <v>70.0</v>
      </c>
      <c r="L19" s="1">
        <v>20.0</v>
      </c>
      <c r="M19" s="1">
        <v>20.0</v>
      </c>
      <c r="N19" s="5">
        <v>42303.0</v>
      </c>
      <c r="O19" s="1" t="s">
        <v>28</v>
      </c>
      <c r="P19" s="1" t="s">
        <v>29</v>
      </c>
      <c r="Q19" s="1" t="s">
        <v>99</v>
      </c>
      <c r="R19" s="1" t="s">
        <v>100</v>
      </c>
      <c r="S19" s="1" t="s">
        <v>83</v>
      </c>
    </row>
    <row r="20">
      <c r="A20" s="1">
        <v>19.0</v>
      </c>
      <c r="B20" s="1" t="s">
        <v>102</v>
      </c>
      <c r="C20" s="1" t="s">
        <v>23</v>
      </c>
      <c r="E20" s="1">
        <v>70.0</v>
      </c>
      <c r="F20" s="1">
        <v>0.8</v>
      </c>
      <c r="K20" s="1">
        <v>70.0</v>
      </c>
      <c r="N20" s="5">
        <v>42252.0</v>
      </c>
      <c r="O20" s="1" t="s">
        <v>28</v>
      </c>
      <c r="P20" s="1" t="s">
        <v>29</v>
      </c>
      <c r="Q20" s="1" t="s">
        <v>103</v>
      </c>
      <c r="R20" s="1">
        <v>48.0</v>
      </c>
      <c r="S20" s="1" t="s">
        <v>48</v>
      </c>
    </row>
    <row r="21">
      <c r="A21" s="1">
        <v>20.0</v>
      </c>
      <c r="B21" s="1" t="s">
        <v>104</v>
      </c>
      <c r="C21" s="1" t="s">
        <v>23</v>
      </c>
      <c r="E21" s="1">
        <v>60.0</v>
      </c>
      <c r="K21" s="1">
        <v>60.0</v>
      </c>
      <c r="N21" s="5">
        <v>42373.0</v>
      </c>
      <c r="Q21" s="1" t="s">
        <v>105</v>
      </c>
      <c r="R21" s="1">
        <v>87.0</v>
      </c>
    </row>
    <row r="22">
      <c r="A22" s="1">
        <v>21.0</v>
      </c>
      <c r="B22" s="1" t="s">
        <v>106</v>
      </c>
      <c r="C22" s="1" t="s">
        <v>23</v>
      </c>
      <c r="E22" s="1">
        <v>60.0</v>
      </c>
      <c r="K22" s="1">
        <v>60.0</v>
      </c>
      <c r="N22" s="5">
        <v>42365.0</v>
      </c>
      <c r="Q22" s="1" t="s">
        <v>107</v>
      </c>
      <c r="R22" s="1">
        <v>59.0</v>
      </c>
    </row>
    <row r="23">
      <c r="A23" s="1">
        <v>22.0</v>
      </c>
      <c r="B23" s="1" t="s">
        <v>108</v>
      </c>
      <c r="C23" s="1" t="s">
        <v>23</v>
      </c>
      <c r="E23" s="1">
        <v>60.0</v>
      </c>
      <c r="K23" s="1">
        <v>70.0</v>
      </c>
      <c r="N23" s="5">
        <v>43018.0</v>
      </c>
      <c r="Q23" s="1" t="s">
        <v>109</v>
      </c>
    </row>
    <row r="24">
      <c r="A24" s="1">
        <v>23.0</v>
      </c>
      <c r="B24" s="1" t="s">
        <v>110</v>
      </c>
      <c r="C24" s="1" t="s">
        <v>23</v>
      </c>
      <c r="E24" s="1">
        <v>60.0</v>
      </c>
      <c r="I24" s="4"/>
      <c r="K24" s="1">
        <v>60.0</v>
      </c>
      <c r="N24" s="5">
        <v>42541.0</v>
      </c>
      <c r="Q24" s="1" t="s">
        <v>111</v>
      </c>
      <c r="R24" s="1">
        <v>29.0</v>
      </c>
    </row>
    <row r="25">
      <c r="A25" s="1">
        <v>24.0</v>
      </c>
      <c r="B25" s="1" t="s">
        <v>113</v>
      </c>
      <c r="C25" s="1" t="s">
        <v>23</v>
      </c>
      <c r="E25" s="1">
        <v>60.0</v>
      </c>
      <c r="F25" s="1">
        <v>1.2</v>
      </c>
      <c r="K25" s="1">
        <v>60.0</v>
      </c>
      <c r="N25" s="5">
        <v>42392.0</v>
      </c>
      <c r="O25" s="1" t="s">
        <v>28</v>
      </c>
      <c r="P25" s="1" t="s">
        <v>29</v>
      </c>
      <c r="Q25" s="1" t="s">
        <v>114</v>
      </c>
      <c r="R25" s="1">
        <v>41.0</v>
      </c>
      <c r="S25" s="1" t="s">
        <v>76</v>
      </c>
    </row>
    <row r="26">
      <c r="A26" s="1">
        <v>25.0</v>
      </c>
      <c r="B26" s="1" t="s">
        <v>115</v>
      </c>
      <c r="C26" s="1" t="s">
        <v>23</v>
      </c>
      <c r="E26" s="1">
        <v>60.0</v>
      </c>
      <c r="K26" s="1">
        <v>60.0</v>
      </c>
      <c r="N26" s="5">
        <v>45303.0</v>
      </c>
      <c r="Q26" s="1" t="s">
        <v>116</v>
      </c>
    </row>
    <row r="27">
      <c r="A27" s="1">
        <v>26.0</v>
      </c>
      <c r="B27" s="1" t="s">
        <v>118</v>
      </c>
      <c r="C27" s="1" t="s">
        <v>23</v>
      </c>
      <c r="E27" s="1">
        <v>50.0</v>
      </c>
      <c r="K27" s="1">
        <v>50.0</v>
      </c>
      <c r="N27" s="5">
        <v>45842.0</v>
      </c>
      <c r="Q27" s="1" t="s">
        <v>120</v>
      </c>
      <c r="R27" s="1">
        <v>37.0</v>
      </c>
    </row>
    <row r="28">
      <c r="A28" s="1">
        <v>27.0</v>
      </c>
      <c r="B28" s="1" t="s">
        <v>122</v>
      </c>
      <c r="C28" s="1" t="s">
        <v>23</v>
      </c>
      <c r="E28" s="1">
        <v>50.0</v>
      </c>
      <c r="K28" s="1">
        <v>50.0</v>
      </c>
      <c r="N28" s="5">
        <v>42268.0</v>
      </c>
      <c r="O28" s="1" t="s">
        <v>91</v>
      </c>
      <c r="P28" s="1" t="s">
        <v>29</v>
      </c>
      <c r="Q28" s="1" t="s">
        <v>123</v>
      </c>
      <c r="R28" s="1">
        <v>20.0</v>
      </c>
      <c r="S28" s="1" t="s">
        <v>76</v>
      </c>
    </row>
    <row r="29">
      <c r="A29" s="1">
        <v>28.0</v>
      </c>
      <c r="B29" s="1" t="s">
        <v>124</v>
      </c>
      <c r="C29" s="1" t="s">
        <v>23</v>
      </c>
      <c r="E29" s="1">
        <v>40.0</v>
      </c>
      <c r="I29" s="4"/>
      <c r="K29" s="1">
        <v>40.0</v>
      </c>
      <c r="N29" s="5">
        <v>42305.0</v>
      </c>
      <c r="Q29" s="1" t="s">
        <v>125</v>
      </c>
      <c r="R29" s="1">
        <v>31.0</v>
      </c>
    </row>
    <row r="30">
      <c r="A30" s="1">
        <v>29.0</v>
      </c>
      <c r="B30" s="1" t="s">
        <v>127</v>
      </c>
      <c r="C30" s="1" t="s">
        <v>23</v>
      </c>
      <c r="E30" s="1">
        <v>40.0</v>
      </c>
      <c r="I30" s="4"/>
      <c r="K30" s="1">
        <v>50.0</v>
      </c>
      <c r="N30" s="5">
        <v>42250.0</v>
      </c>
      <c r="Q30" s="1" t="s">
        <v>128</v>
      </c>
    </row>
    <row r="31">
      <c r="A31" s="1">
        <v>30.0</v>
      </c>
      <c r="B31" s="1" t="s">
        <v>129</v>
      </c>
      <c r="C31" s="1" t="s">
        <v>23</v>
      </c>
      <c r="E31" s="1">
        <v>40.0</v>
      </c>
      <c r="F31" s="1">
        <v>0.7</v>
      </c>
      <c r="K31" s="1">
        <v>50.0</v>
      </c>
      <c r="N31" s="5">
        <v>42832.0</v>
      </c>
      <c r="O31" s="1" t="s">
        <v>91</v>
      </c>
      <c r="P31" s="1" t="s">
        <v>29</v>
      </c>
      <c r="Q31" s="1" t="s">
        <v>131</v>
      </c>
      <c r="R31" s="1">
        <v>8.0</v>
      </c>
      <c r="S31" s="1" t="s">
        <v>34</v>
      </c>
    </row>
    <row r="32">
      <c r="A32" s="1">
        <v>31.0</v>
      </c>
      <c r="B32" s="1" t="s">
        <v>132</v>
      </c>
      <c r="C32" s="1" t="s">
        <v>23</v>
      </c>
      <c r="E32" s="1">
        <v>40.0</v>
      </c>
      <c r="I32" s="4"/>
      <c r="K32" s="1">
        <v>40.0</v>
      </c>
      <c r="N32" s="5">
        <v>42643.0</v>
      </c>
      <c r="Q32" s="1" t="s">
        <v>134</v>
      </c>
      <c r="R32" s="1">
        <v>1.0</v>
      </c>
    </row>
    <row r="33">
      <c r="A33" s="1">
        <v>32.0</v>
      </c>
      <c r="B33" s="1" t="s">
        <v>135</v>
      </c>
      <c r="C33" s="1" t="s">
        <v>23</v>
      </c>
      <c r="E33" s="1">
        <v>30.0</v>
      </c>
      <c r="K33" s="1">
        <v>40.0</v>
      </c>
      <c r="N33" s="5">
        <v>42291.0</v>
      </c>
      <c r="Q33" s="1" t="s">
        <v>136</v>
      </c>
    </row>
    <row r="34">
      <c r="A34" s="1">
        <v>33.0</v>
      </c>
      <c r="B34" s="1" t="s">
        <v>137</v>
      </c>
      <c r="C34" s="1" t="s">
        <v>23</v>
      </c>
      <c r="D34" s="1">
        <v>0.0</v>
      </c>
      <c r="E34" s="1">
        <v>30.0</v>
      </c>
      <c r="F34" s="1">
        <v>0.01</v>
      </c>
      <c r="H34" s="1" t="s">
        <v>140</v>
      </c>
      <c r="I34" s="4">
        <v>46202.814618055556</v>
      </c>
      <c r="J34" s="1" t="s">
        <v>74</v>
      </c>
      <c r="K34" s="1">
        <v>30.0</v>
      </c>
      <c r="L34" s="1">
        <v>250.0</v>
      </c>
      <c r="M34" s="1">
        <v>250.0</v>
      </c>
      <c r="N34" s="5">
        <v>42408.0</v>
      </c>
      <c r="O34" s="1" t="s">
        <v>40</v>
      </c>
      <c r="P34" s="1" t="s">
        <v>29</v>
      </c>
      <c r="Q34" s="1" t="s">
        <v>141</v>
      </c>
      <c r="S34" s="1" t="s">
        <v>43</v>
      </c>
    </row>
    <row r="35">
      <c r="A35" s="1">
        <v>34.0</v>
      </c>
      <c r="B35" s="1" t="s">
        <v>142</v>
      </c>
      <c r="C35" s="1" t="s">
        <v>23</v>
      </c>
      <c r="E35" s="1">
        <v>30.0</v>
      </c>
      <c r="F35" s="1">
        <v>0.02</v>
      </c>
      <c r="K35" s="1">
        <v>30.0</v>
      </c>
      <c r="N35" s="5">
        <v>42366.0</v>
      </c>
      <c r="O35" s="1" t="s">
        <v>143</v>
      </c>
      <c r="P35" s="1" t="s">
        <v>29</v>
      </c>
      <c r="Q35" s="1" t="s">
        <v>144</v>
      </c>
      <c r="S35" s="1" t="s">
        <v>43</v>
      </c>
    </row>
    <row r="36">
      <c r="A36" s="1">
        <v>35.0</v>
      </c>
      <c r="B36" s="1" t="s">
        <v>145</v>
      </c>
      <c r="C36" s="1" t="s">
        <v>23</v>
      </c>
      <c r="E36" s="1">
        <v>30.0</v>
      </c>
      <c r="K36" s="1">
        <v>30.0</v>
      </c>
      <c r="N36" s="5">
        <v>42670.0</v>
      </c>
      <c r="O36" s="1" t="s">
        <v>28</v>
      </c>
      <c r="P36" s="1" t="s">
        <v>29</v>
      </c>
      <c r="Q36" s="1" t="s">
        <v>146</v>
      </c>
      <c r="S36" s="1" t="s">
        <v>76</v>
      </c>
    </row>
    <row r="37">
      <c r="A37" s="1">
        <v>36.0</v>
      </c>
      <c r="B37" s="1" t="s">
        <v>147</v>
      </c>
      <c r="C37" s="1" t="s">
        <v>23</v>
      </c>
      <c r="E37" s="1">
        <v>30.0</v>
      </c>
      <c r="I37" s="4"/>
      <c r="K37" s="1">
        <v>40.0</v>
      </c>
      <c r="N37" s="5">
        <v>42271.0</v>
      </c>
      <c r="Q37" s="1" t="s">
        <v>148</v>
      </c>
    </row>
    <row r="38">
      <c r="A38" s="1">
        <v>37.0</v>
      </c>
      <c r="B38" s="1" t="s">
        <v>149</v>
      </c>
      <c r="C38" s="1" t="s">
        <v>23</v>
      </c>
      <c r="E38" s="1">
        <v>30.0</v>
      </c>
      <c r="K38" s="1">
        <v>30.0</v>
      </c>
      <c r="N38" s="5">
        <v>44804.0</v>
      </c>
      <c r="Q38" s="1" t="s">
        <v>150</v>
      </c>
    </row>
    <row r="39">
      <c r="A39" s="1">
        <v>38.0</v>
      </c>
      <c r="B39" s="1" t="s">
        <v>151</v>
      </c>
      <c r="C39" s="1" t="s">
        <v>23</v>
      </c>
      <c r="E39" s="1">
        <v>30.0</v>
      </c>
      <c r="I39" s="4"/>
      <c r="K39" s="1">
        <v>30.0</v>
      </c>
      <c r="N39" s="5">
        <v>42405.0</v>
      </c>
      <c r="Q39" s="1" t="s">
        <v>152</v>
      </c>
      <c r="R39" s="1">
        <v>49.0</v>
      </c>
    </row>
    <row r="40">
      <c r="A40" s="1">
        <v>39.0</v>
      </c>
      <c r="B40" s="1" t="s">
        <v>154</v>
      </c>
      <c r="C40" s="1" t="s">
        <v>23</v>
      </c>
      <c r="D40" s="1">
        <v>0.0</v>
      </c>
      <c r="E40" s="1">
        <v>30.0</v>
      </c>
      <c r="F40" s="1">
        <v>0.01</v>
      </c>
      <c r="H40" s="1" t="s">
        <v>156</v>
      </c>
      <c r="I40" s="4">
        <v>46200.23008101852</v>
      </c>
      <c r="K40" s="1">
        <v>30.0</v>
      </c>
      <c r="L40" s="1">
        <v>250.0</v>
      </c>
      <c r="M40" s="1">
        <v>250.0</v>
      </c>
      <c r="N40" s="5">
        <v>42432.0</v>
      </c>
      <c r="O40" s="1" t="s">
        <v>40</v>
      </c>
      <c r="P40" s="1" t="s">
        <v>29</v>
      </c>
      <c r="Q40" s="1" t="s">
        <v>158</v>
      </c>
      <c r="S40" s="1" t="s">
        <v>43</v>
      </c>
    </row>
    <row r="41">
      <c r="A41" s="1">
        <v>40.0</v>
      </c>
      <c r="B41" s="1" t="s">
        <v>159</v>
      </c>
      <c r="C41" s="1" t="s">
        <v>23</v>
      </c>
      <c r="E41" s="1">
        <v>30.0</v>
      </c>
      <c r="F41" s="1">
        <v>0.7</v>
      </c>
      <c r="K41" s="1">
        <v>30.0</v>
      </c>
      <c r="N41" s="5">
        <v>42466.0</v>
      </c>
      <c r="Q41" s="1" t="s">
        <v>160</v>
      </c>
    </row>
    <row r="42">
      <c r="A42" s="1">
        <v>41.0</v>
      </c>
      <c r="B42" s="1" t="s">
        <v>161</v>
      </c>
      <c r="C42" s="1" t="s">
        <v>23</v>
      </c>
      <c r="E42" s="1">
        <v>30.0</v>
      </c>
      <c r="F42" s="1">
        <v>0.02</v>
      </c>
      <c r="K42" s="1">
        <v>30.0</v>
      </c>
      <c r="N42" s="5">
        <v>42461.0</v>
      </c>
      <c r="Q42" s="1" t="s">
        <v>164</v>
      </c>
      <c r="R42" s="1">
        <v>12.0</v>
      </c>
    </row>
    <row r="43">
      <c r="A43" s="1">
        <v>42.0</v>
      </c>
      <c r="B43" s="1" t="s">
        <v>166</v>
      </c>
      <c r="C43" s="1" t="s">
        <v>23</v>
      </c>
      <c r="D43" s="1">
        <v>40.0</v>
      </c>
      <c r="E43" s="1">
        <v>30.0</v>
      </c>
      <c r="F43" s="1">
        <v>0.15</v>
      </c>
      <c r="H43" s="1" t="s">
        <v>167</v>
      </c>
      <c r="I43" s="4">
        <v>46220.06664351852</v>
      </c>
      <c r="J43" s="1" t="s">
        <v>126</v>
      </c>
      <c r="K43" s="1">
        <v>30.0</v>
      </c>
      <c r="L43" s="1">
        <v>150.0</v>
      </c>
      <c r="M43" s="1">
        <v>150.0</v>
      </c>
      <c r="N43" s="5">
        <v>42458.0</v>
      </c>
      <c r="O43" s="1" t="s">
        <v>28</v>
      </c>
      <c r="P43" s="1" t="s">
        <v>29</v>
      </c>
      <c r="Q43" s="1" t="s">
        <v>169</v>
      </c>
      <c r="R43" s="1">
        <v>16.0</v>
      </c>
      <c r="S43" s="1" t="s">
        <v>170</v>
      </c>
    </row>
    <row r="44">
      <c r="A44" s="1">
        <v>43.0</v>
      </c>
      <c r="B44" s="1" t="s">
        <v>171</v>
      </c>
      <c r="C44" s="1" t="s">
        <v>23</v>
      </c>
      <c r="E44" s="1">
        <v>30.0</v>
      </c>
      <c r="K44" s="1">
        <v>30.0</v>
      </c>
      <c r="N44" s="5">
        <v>42283.0</v>
      </c>
      <c r="Q44" s="1" t="s">
        <v>172</v>
      </c>
      <c r="R44" s="1">
        <v>1.0</v>
      </c>
    </row>
    <row r="45">
      <c r="A45" s="1">
        <v>44.0</v>
      </c>
      <c r="B45" s="1" t="s">
        <v>173</v>
      </c>
      <c r="C45" s="1" t="s">
        <v>23</v>
      </c>
      <c r="E45" s="1">
        <v>30.0</v>
      </c>
      <c r="K45" s="1">
        <v>30.0</v>
      </c>
      <c r="N45" s="5">
        <v>42303.0</v>
      </c>
      <c r="Q45" s="1" t="s">
        <v>174</v>
      </c>
      <c r="R45" s="1">
        <v>28.0</v>
      </c>
    </row>
    <row r="46">
      <c r="A46" s="1">
        <v>45.0</v>
      </c>
      <c r="B46" s="1" t="s">
        <v>176</v>
      </c>
      <c r="C46" s="1" t="s">
        <v>23</v>
      </c>
      <c r="E46" s="1">
        <v>30.0</v>
      </c>
      <c r="F46" s="1">
        <v>0.7</v>
      </c>
      <c r="I46" s="4"/>
      <c r="K46" s="1">
        <v>30.0</v>
      </c>
      <c r="N46" s="5">
        <v>43511.0</v>
      </c>
      <c r="Q46" s="1" t="s">
        <v>178</v>
      </c>
      <c r="R46" s="1">
        <v>1.0</v>
      </c>
    </row>
    <row r="47">
      <c r="A47" s="1">
        <v>46.0</v>
      </c>
      <c r="B47" s="1" t="s">
        <v>179</v>
      </c>
      <c r="C47" s="1" t="s">
        <v>23</v>
      </c>
      <c r="E47" s="1">
        <v>30.0</v>
      </c>
      <c r="K47" s="1">
        <v>30.0</v>
      </c>
      <c r="N47" s="5">
        <v>42292.0</v>
      </c>
      <c r="Q47" s="1" t="s">
        <v>180</v>
      </c>
      <c r="R47" s="1">
        <v>1.0</v>
      </c>
    </row>
    <row r="48">
      <c r="A48" s="1">
        <v>47.0</v>
      </c>
      <c r="B48" s="1" t="s">
        <v>181</v>
      </c>
      <c r="C48" s="1" t="s">
        <v>23</v>
      </c>
      <c r="E48" s="1">
        <v>30.0</v>
      </c>
      <c r="K48" s="1">
        <v>30.0</v>
      </c>
      <c r="N48" s="5">
        <v>43107.0</v>
      </c>
      <c r="Q48" s="1" t="s">
        <v>182</v>
      </c>
      <c r="R48" s="1">
        <v>1.0</v>
      </c>
    </row>
    <row r="49">
      <c r="A49" s="1">
        <v>48.0</v>
      </c>
      <c r="B49" s="1" t="s">
        <v>183</v>
      </c>
      <c r="C49" s="1" t="s">
        <v>23</v>
      </c>
      <c r="D49" s="1">
        <v>0.0</v>
      </c>
      <c r="E49" s="1">
        <v>30.0</v>
      </c>
      <c r="F49" s="1">
        <v>0.01</v>
      </c>
      <c r="H49" s="1" t="s">
        <v>183</v>
      </c>
      <c r="I49" s="4">
        <v>46212.05877314815</v>
      </c>
      <c r="K49" s="1">
        <v>30.0</v>
      </c>
      <c r="L49" s="1">
        <v>10.0</v>
      </c>
      <c r="M49" s="1">
        <v>10.0</v>
      </c>
      <c r="N49" s="5">
        <v>43376.0</v>
      </c>
      <c r="O49" s="1" t="s">
        <v>143</v>
      </c>
      <c r="P49" s="1" t="s">
        <v>29</v>
      </c>
      <c r="Q49" s="1" t="s">
        <v>185</v>
      </c>
      <c r="R49" s="1">
        <v>8.0</v>
      </c>
      <c r="S49" s="1" t="s">
        <v>43</v>
      </c>
    </row>
    <row r="50">
      <c r="A50" s="1">
        <v>49.0</v>
      </c>
      <c r="B50" s="1" t="s">
        <v>186</v>
      </c>
      <c r="C50" s="1" t="s">
        <v>23</v>
      </c>
      <c r="E50" s="1">
        <v>20.0</v>
      </c>
      <c r="K50" s="1">
        <v>20.0</v>
      </c>
      <c r="N50" s="5">
        <v>45658.0</v>
      </c>
      <c r="Q50" s="1" t="s">
        <v>187</v>
      </c>
      <c r="R50" s="1">
        <v>1.0</v>
      </c>
    </row>
    <row r="51">
      <c r="A51" s="1">
        <v>50.0</v>
      </c>
      <c r="B51" s="1" t="s">
        <v>188</v>
      </c>
      <c r="C51" s="1" t="s">
        <v>23</v>
      </c>
      <c r="E51" s="1">
        <v>20.0</v>
      </c>
      <c r="K51" s="1">
        <v>20.0</v>
      </c>
      <c r="N51" s="5">
        <v>42600.0</v>
      </c>
      <c r="Q51" s="1" t="s">
        <v>189</v>
      </c>
      <c r="R51" s="1">
        <v>6.0</v>
      </c>
    </row>
    <row r="52">
      <c r="A52" s="1">
        <v>51.0</v>
      </c>
      <c r="B52" s="1" t="s">
        <v>190</v>
      </c>
      <c r="C52" s="1" t="s">
        <v>23</v>
      </c>
      <c r="E52" s="1">
        <v>20.0</v>
      </c>
      <c r="K52" s="1">
        <v>20.0</v>
      </c>
      <c r="N52" s="5">
        <v>42556.0</v>
      </c>
      <c r="Q52" s="1" t="s">
        <v>191</v>
      </c>
      <c r="R52" s="1">
        <v>47.0</v>
      </c>
    </row>
    <row r="53">
      <c r="A53" s="1">
        <v>52.0</v>
      </c>
      <c r="B53" s="1" t="s">
        <v>192</v>
      </c>
      <c r="C53" s="1" t="s">
        <v>23</v>
      </c>
      <c r="E53" s="1">
        <v>20.0</v>
      </c>
      <c r="F53" s="1">
        <v>0.01</v>
      </c>
      <c r="K53" s="1">
        <v>20.0</v>
      </c>
      <c r="N53" s="5">
        <v>42421.0</v>
      </c>
      <c r="Q53" s="1" t="s">
        <v>194</v>
      </c>
      <c r="R53" s="1">
        <v>13.0</v>
      </c>
    </row>
    <row r="54">
      <c r="A54" s="1">
        <v>53.0</v>
      </c>
      <c r="B54" s="1" t="s">
        <v>195</v>
      </c>
      <c r="C54" s="1" t="s">
        <v>23</v>
      </c>
      <c r="E54" s="1">
        <v>20.0</v>
      </c>
      <c r="K54" s="1">
        <v>20.0</v>
      </c>
      <c r="N54" s="5">
        <v>45932.0</v>
      </c>
      <c r="Q54" s="1" t="s">
        <v>196</v>
      </c>
      <c r="R54" s="1">
        <v>15.0</v>
      </c>
    </row>
    <row r="55">
      <c r="A55" s="1">
        <v>54.0</v>
      </c>
      <c r="B55" s="1" t="s">
        <v>198</v>
      </c>
      <c r="C55" s="1" t="s">
        <v>23</v>
      </c>
      <c r="E55" s="1">
        <v>20.0</v>
      </c>
      <c r="F55" s="1">
        <v>1.0</v>
      </c>
      <c r="K55" s="1">
        <v>30.0</v>
      </c>
      <c r="N55" s="5">
        <v>42345.0</v>
      </c>
      <c r="O55" s="1" t="s">
        <v>91</v>
      </c>
      <c r="P55" s="1" t="s">
        <v>29</v>
      </c>
      <c r="Q55" s="1" t="s">
        <v>199</v>
      </c>
      <c r="S55" s="1" t="s">
        <v>163</v>
      </c>
    </row>
    <row r="56">
      <c r="A56" s="1">
        <v>55.0</v>
      </c>
      <c r="B56" s="1" t="s">
        <v>201</v>
      </c>
      <c r="C56" s="1" t="s">
        <v>23</v>
      </c>
      <c r="E56" s="1">
        <v>20.0</v>
      </c>
      <c r="K56" s="1">
        <v>20.0</v>
      </c>
      <c r="N56" s="5">
        <v>42430.0</v>
      </c>
      <c r="Q56" s="1" t="s">
        <v>202</v>
      </c>
    </row>
    <row r="57">
      <c r="A57" s="1">
        <v>56.0</v>
      </c>
      <c r="B57" s="1" t="s">
        <v>203</v>
      </c>
      <c r="C57" s="1" t="s">
        <v>23</v>
      </c>
      <c r="E57" s="1">
        <v>20.0</v>
      </c>
      <c r="K57" s="1">
        <v>50.0</v>
      </c>
      <c r="N57" s="5">
        <v>45862.0</v>
      </c>
      <c r="Q57" s="1" t="s">
        <v>205</v>
      </c>
      <c r="R57" s="1">
        <v>1.0</v>
      </c>
    </row>
    <row r="58">
      <c r="A58" s="1">
        <v>57.0</v>
      </c>
      <c r="B58" s="1" t="s">
        <v>206</v>
      </c>
      <c r="C58" s="1" t="s">
        <v>23</v>
      </c>
      <c r="E58" s="1">
        <v>20.0</v>
      </c>
      <c r="K58" s="1">
        <v>20.0</v>
      </c>
      <c r="N58" s="5">
        <v>42503.0</v>
      </c>
      <c r="Q58" s="1" t="s">
        <v>208</v>
      </c>
      <c r="R58" s="1">
        <v>1.0</v>
      </c>
    </row>
    <row r="59">
      <c r="A59" s="1">
        <v>58.0</v>
      </c>
      <c r="B59" s="1" t="s">
        <v>209</v>
      </c>
      <c r="C59" s="1" t="s">
        <v>23</v>
      </c>
      <c r="E59" s="1">
        <v>20.0</v>
      </c>
      <c r="I59" s="4"/>
      <c r="K59" s="1">
        <v>20.0</v>
      </c>
      <c r="N59" s="5">
        <v>42813.0</v>
      </c>
      <c r="Q59" s="1" t="s">
        <v>210</v>
      </c>
    </row>
    <row r="60">
      <c r="A60" s="1">
        <v>59.0</v>
      </c>
      <c r="B60" s="1" t="s">
        <v>211</v>
      </c>
      <c r="C60" s="1" t="s">
        <v>23</v>
      </c>
      <c r="E60" s="1">
        <v>10.0</v>
      </c>
      <c r="I60" s="4"/>
      <c r="K60" s="1">
        <v>10.0</v>
      </c>
      <c r="N60" s="5">
        <v>46100.0</v>
      </c>
      <c r="Q60" s="1" t="s">
        <v>213</v>
      </c>
      <c r="R60" s="1">
        <v>14.0</v>
      </c>
    </row>
    <row r="61">
      <c r="A61" s="1">
        <v>60.0</v>
      </c>
      <c r="B61" s="1" t="s">
        <v>214</v>
      </c>
      <c r="C61" s="1" t="s">
        <v>23</v>
      </c>
      <c r="E61" s="1">
        <v>10.0</v>
      </c>
      <c r="K61" s="1">
        <v>10.0</v>
      </c>
      <c r="N61" s="5">
        <v>46004.0</v>
      </c>
      <c r="Q61" s="1" t="s">
        <v>216</v>
      </c>
      <c r="R61" s="1">
        <v>18.0</v>
      </c>
    </row>
    <row r="62">
      <c r="A62" s="1">
        <v>61.0</v>
      </c>
      <c r="B62" s="1" t="s">
        <v>217</v>
      </c>
      <c r="C62" s="1" t="s">
        <v>23</v>
      </c>
      <c r="D62" s="1">
        <v>0.0</v>
      </c>
      <c r="E62" s="1">
        <v>10.0</v>
      </c>
      <c r="H62" s="1" t="s">
        <v>36</v>
      </c>
      <c r="I62" s="4">
        <v>46212.04684027778</v>
      </c>
      <c r="J62" s="1" t="s">
        <v>74</v>
      </c>
      <c r="K62" s="1">
        <v>10.0</v>
      </c>
      <c r="L62" s="1">
        <v>40.0</v>
      </c>
      <c r="M62" s="1">
        <v>40.0</v>
      </c>
      <c r="N62" s="5">
        <v>42460.0</v>
      </c>
      <c r="O62" s="1" t="s">
        <v>218</v>
      </c>
      <c r="P62" s="1" t="s">
        <v>29</v>
      </c>
      <c r="Q62" s="1" t="s">
        <v>219</v>
      </c>
      <c r="R62" s="1">
        <v>8.0</v>
      </c>
      <c r="S62" s="1" t="s">
        <v>43</v>
      </c>
    </row>
    <row r="63">
      <c r="A63" s="1">
        <v>62.0</v>
      </c>
      <c r="B63" s="1" t="s">
        <v>220</v>
      </c>
      <c r="C63" s="1" t="s">
        <v>23</v>
      </c>
      <c r="E63" s="1">
        <v>10.0</v>
      </c>
      <c r="K63" s="1">
        <v>10.0</v>
      </c>
      <c r="N63" s="5">
        <v>46100.0</v>
      </c>
      <c r="Q63" s="1" t="s">
        <v>221</v>
      </c>
      <c r="R63" s="1">
        <v>14.0</v>
      </c>
    </row>
    <row r="64">
      <c r="A64" s="1">
        <v>63.0</v>
      </c>
      <c r="B64" s="1" t="s">
        <v>222</v>
      </c>
      <c r="C64" s="1" t="s">
        <v>23</v>
      </c>
      <c r="E64" s="1">
        <v>10.0</v>
      </c>
      <c r="I64" s="4"/>
      <c r="K64" s="1">
        <v>10.0</v>
      </c>
      <c r="N64" s="5">
        <v>46091.0</v>
      </c>
      <c r="Q64" s="1" t="s">
        <v>223</v>
      </c>
    </row>
    <row r="65">
      <c r="A65" s="1">
        <v>64.0</v>
      </c>
      <c r="B65" s="1" t="s">
        <v>224</v>
      </c>
      <c r="C65" s="1" t="s">
        <v>23</v>
      </c>
      <c r="E65" s="1">
        <v>10.0</v>
      </c>
      <c r="K65" s="1">
        <v>10.0</v>
      </c>
      <c r="N65" s="5">
        <v>44204.0</v>
      </c>
      <c r="Q65" s="1" t="s">
        <v>225</v>
      </c>
      <c r="R65" s="1">
        <v>1.0</v>
      </c>
    </row>
    <row r="66">
      <c r="A66" s="1">
        <v>65.0</v>
      </c>
      <c r="B66" s="1" t="s">
        <v>226</v>
      </c>
      <c r="C66" s="1" t="s">
        <v>23</v>
      </c>
      <c r="E66" s="1">
        <v>10.0</v>
      </c>
      <c r="K66" s="1">
        <v>10.0</v>
      </c>
      <c r="N66" s="5">
        <v>43077.0</v>
      </c>
      <c r="Q66" s="1" t="s">
        <v>227</v>
      </c>
    </row>
    <row r="67">
      <c r="A67" s="1">
        <v>66.0</v>
      </c>
      <c r="B67" s="1" t="s">
        <v>229</v>
      </c>
      <c r="C67" s="1" t="s">
        <v>23</v>
      </c>
      <c r="E67" s="1">
        <v>10.0</v>
      </c>
      <c r="K67" s="1">
        <v>10.0</v>
      </c>
      <c r="N67" s="5">
        <v>46094.0</v>
      </c>
      <c r="Q67" s="1" t="s">
        <v>230</v>
      </c>
      <c r="R67" s="1">
        <v>12.0</v>
      </c>
    </row>
    <row r="68">
      <c r="A68" s="1">
        <v>67.0</v>
      </c>
      <c r="B68" s="1" t="s">
        <v>231</v>
      </c>
      <c r="C68" s="1" t="s">
        <v>23</v>
      </c>
      <c r="E68" s="1">
        <v>10.0</v>
      </c>
      <c r="K68" s="1">
        <v>10.0</v>
      </c>
      <c r="N68" s="5">
        <v>46103.0</v>
      </c>
      <c r="Q68" s="1" t="s">
        <v>233</v>
      </c>
      <c r="R68" s="1">
        <v>15.0</v>
      </c>
    </row>
    <row r="69">
      <c r="A69" s="1">
        <v>68.0</v>
      </c>
      <c r="B69" s="1" t="s">
        <v>235</v>
      </c>
      <c r="C69" s="1" t="s">
        <v>23</v>
      </c>
      <c r="E69" s="1">
        <v>10.0</v>
      </c>
      <c r="K69" s="1">
        <v>10.0</v>
      </c>
      <c r="N69" s="5">
        <v>46098.0</v>
      </c>
      <c r="Q69" s="1" t="s">
        <v>238</v>
      </c>
      <c r="R69" s="1">
        <v>12.0</v>
      </c>
    </row>
    <row r="70">
      <c r="A70" s="1">
        <v>69.0</v>
      </c>
      <c r="B70" s="1" t="s">
        <v>239</v>
      </c>
      <c r="C70" s="1" t="s">
        <v>23</v>
      </c>
      <c r="E70" s="1">
        <v>10.0</v>
      </c>
      <c r="I70" s="4"/>
      <c r="K70" s="1">
        <v>10.0</v>
      </c>
      <c r="N70" s="5">
        <v>42948.0</v>
      </c>
      <c r="Q70" s="1" t="s">
        <v>240</v>
      </c>
    </row>
    <row r="71">
      <c r="A71" s="1">
        <v>70.0</v>
      </c>
      <c r="B71" s="1" t="s">
        <v>241</v>
      </c>
      <c r="C71" s="1" t="s">
        <v>23</v>
      </c>
      <c r="E71" s="1">
        <v>10.0</v>
      </c>
      <c r="K71" s="1">
        <v>10.0</v>
      </c>
      <c r="N71" s="5">
        <v>46091.0</v>
      </c>
      <c r="Q71" s="1" t="s">
        <v>242</v>
      </c>
      <c r="R71" s="1">
        <v>19.0</v>
      </c>
    </row>
    <row r="72">
      <c r="A72" s="1">
        <v>71.0</v>
      </c>
      <c r="B72" s="1" t="s">
        <v>244</v>
      </c>
      <c r="C72" s="1" t="s">
        <v>23</v>
      </c>
      <c r="E72" s="1">
        <v>10.0</v>
      </c>
      <c r="K72" s="1">
        <v>10.0</v>
      </c>
      <c r="N72" s="5">
        <v>42418.0</v>
      </c>
      <c r="Q72" s="1" t="s">
        <v>245</v>
      </c>
      <c r="R72" s="1">
        <v>1.0</v>
      </c>
    </row>
    <row r="73">
      <c r="A73" s="1">
        <v>72.0</v>
      </c>
      <c r="B73" s="1" t="s">
        <v>246</v>
      </c>
      <c r="C73" s="1" t="s">
        <v>23</v>
      </c>
      <c r="E73" s="1">
        <v>10.0</v>
      </c>
      <c r="K73" s="1">
        <v>10.0</v>
      </c>
      <c r="N73" s="5">
        <v>46098.0</v>
      </c>
      <c r="Q73" s="1" t="s">
        <v>248</v>
      </c>
      <c r="R73" s="1">
        <v>13.0</v>
      </c>
    </row>
    <row r="74">
      <c r="A74" s="1">
        <v>73.0</v>
      </c>
      <c r="B74" s="1" t="s">
        <v>249</v>
      </c>
      <c r="C74" s="1" t="s">
        <v>23</v>
      </c>
      <c r="E74" s="1">
        <v>10.0</v>
      </c>
      <c r="K74" s="1">
        <v>10.0</v>
      </c>
      <c r="N74" s="5">
        <v>42911.0</v>
      </c>
      <c r="Q74" s="1" t="s">
        <v>250</v>
      </c>
      <c r="R74" s="1">
        <v>14.0</v>
      </c>
    </row>
    <row r="75">
      <c r="A75" s="1">
        <v>74.0</v>
      </c>
      <c r="B75" s="1" t="s">
        <v>251</v>
      </c>
      <c r="C75" s="1" t="s">
        <v>23</v>
      </c>
      <c r="E75" s="1">
        <v>10.0</v>
      </c>
      <c r="K75" s="1">
        <v>10.0</v>
      </c>
      <c r="N75" s="5">
        <v>42334.0</v>
      </c>
      <c r="Q75" s="1" t="s">
        <v>253</v>
      </c>
      <c r="R75" s="1">
        <v>2.0</v>
      </c>
    </row>
    <row r="76">
      <c r="A76" s="1">
        <v>75.0</v>
      </c>
      <c r="B76" s="1" t="s">
        <v>254</v>
      </c>
      <c r="C76" s="1" t="s">
        <v>23</v>
      </c>
      <c r="E76" s="1">
        <v>10.0</v>
      </c>
      <c r="K76" s="1">
        <v>10.0</v>
      </c>
      <c r="N76" s="5">
        <v>46095.0</v>
      </c>
      <c r="Q76" s="1" t="s">
        <v>255</v>
      </c>
      <c r="R76" s="1">
        <v>22.0</v>
      </c>
    </row>
    <row r="77">
      <c r="A77" s="1">
        <v>76.0</v>
      </c>
      <c r="B77" s="1" t="s">
        <v>257</v>
      </c>
      <c r="C77" s="1" t="s">
        <v>23</v>
      </c>
      <c r="E77" s="1">
        <v>10.0</v>
      </c>
      <c r="K77" s="1">
        <v>10.0</v>
      </c>
      <c r="N77" s="5">
        <v>46093.0</v>
      </c>
      <c r="Q77" s="1" t="s">
        <v>258</v>
      </c>
      <c r="R77" s="1">
        <v>18.0</v>
      </c>
    </row>
    <row r="78">
      <c r="A78" s="1">
        <v>77.0</v>
      </c>
      <c r="B78" s="1" t="s">
        <v>259</v>
      </c>
      <c r="C78" s="1" t="s">
        <v>23</v>
      </c>
      <c r="E78" s="1">
        <v>10.0</v>
      </c>
      <c r="F78" s="1">
        <v>0.7</v>
      </c>
      <c r="G78" s="1">
        <v>1.26</v>
      </c>
      <c r="I78" s="4"/>
      <c r="K78" s="1">
        <v>20.0</v>
      </c>
      <c r="N78" s="5">
        <v>42411.0</v>
      </c>
      <c r="O78" s="1" t="s">
        <v>91</v>
      </c>
      <c r="P78" s="1" t="s">
        <v>29</v>
      </c>
      <c r="Q78" s="1" t="s">
        <v>261</v>
      </c>
      <c r="S78" s="1" t="s">
        <v>34</v>
      </c>
    </row>
    <row r="79">
      <c r="A79" s="1">
        <v>78.0</v>
      </c>
      <c r="B79" s="1" t="s">
        <v>263</v>
      </c>
      <c r="C79" s="1" t="s">
        <v>23</v>
      </c>
      <c r="E79" s="1">
        <v>10.0</v>
      </c>
      <c r="K79" s="1">
        <v>10.0</v>
      </c>
      <c r="N79" s="5">
        <v>46101.0</v>
      </c>
      <c r="Q79" s="1" t="s">
        <v>264</v>
      </c>
      <c r="R79" s="1">
        <v>17.0</v>
      </c>
    </row>
    <row r="80">
      <c r="A80" s="1">
        <v>79.0</v>
      </c>
      <c r="B80" s="1" t="s">
        <v>265</v>
      </c>
      <c r="C80" s="1" t="s">
        <v>23</v>
      </c>
      <c r="E80" s="1">
        <v>10.0</v>
      </c>
      <c r="K80" s="1">
        <v>10.0</v>
      </c>
      <c r="N80" s="5">
        <v>45566.0</v>
      </c>
      <c r="Q80" s="1" t="s">
        <v>267</v>
      </c>
    </row>
    <row r="81">
      <c r="A81" s="1">
        <v>80.0</v>
      </c>
      <c r="B81" s="1" t="s">
        <v>268</v>
      </c>
      <c r="C81" s="1" t="s">
        <v>23</v>
      </c>
      <c r="E81" s="1">
        <v>10.0</v>
      </c>
      <c r="K81" s="1">
        <v>10.0</v>
      </c>
      <c r="N81" s="5">
        <v>46093.0</v>
      </c>
      <c r="Q81" s="1" t="s">
        <v>270</v>
      </c>
      <c r="R81" s="1">
        <v>16.0</v>
      </c>
    </row>
    <row r="82">
      <c r="A82" s="1">
        <v>81.0</v>
      </c>
      <c r="B82" s="1" t="s">
        <v>271</v>
      </c>
      <c r="C82" s="1" t="s">
        <v>23</v>
      </c>
      <c r="E82" s="1">
        <v>10.0</v>
      </c>
      <c r="K82" s="1">
        <v>10.0</v>
      </c>
      <c r="N82" s="5">
        <v>46101.0</v>
      </c>
      <c r="Q82" s="1" t="s">
        <v>272</v>
      </c>
      <c r="R82" s="1">
        <v>17.0</v>
      </c>
    </row>
    <row r="83">
      <c r="A83" s="1">
        <v>82.0</v>
      </c>
      <c r="B83" s="1" t="s">
        <v>273</v>
      </c>
      <c r="C83" s="1" t="s">
        <v>23</v>
      </c>
      <c r="E83" s="1">
        <v>10.0</v>
      </c>
      <c r="K83" s="1">
        <v>10.0</v>
      </c>
      <c r="N83" s="5">
        <v>45851.0</v>
      </c>
      <c r="Q83" s="1" t="s">
        <v>274</v>
      </c>
      <c r="R83" s="1">
        <v>9.0</v>
      </c>
    </row>
    <row r="84">
      <c r="A84" s="1">
        <v>83.0</v>
      </c>
      <c r="B84" s="1" t="s">
        <v>276</v>
      </c>
      <c r="C84" s="1" t="s">
        <v>23</v>
      </c>
      <c r="E84" s="1">
        <v>10.0</v>
      </c>
      <c r="K84" s="1">
        <v>10.0</v>
      </c>
      <c r="N84" s="5">
        <v>46100.0</v>
      </c>
      <c r="Q84" s="1" t="s">
        <v>277</v>
      </c>
      <c r="R84" s="1">
        <v>16.0</v>
      </c>
    </row>
    <row r="85">
      <c r="A85" s="1">
        <v>84.0</v>
      </c>
      <c r="B85" s="1" t="s">
        <v>278</v>
      </c>
      <c r="C85" s="1" t="s">
        <v>23</v>
      </c>
      <c r="E85" s="1">
        <v>10.0</v>
      </c>
      <c r="K85" s="1">
        <v>10.0</v>
      </c>
      <c r="N85" s="5">
        <v>46011.0</v>
      </c>
      <c r="Q85" s="1" t="s">
        <v>280</v>
      </c>
      <c r="R85" s="1">
        <v>9.0</v>
      </c>
    </row>
    <row r="86">
      <c r="A86" s="1">
        <v>85.0</v>
      </c>
      <c r="B86" s="1" t="s">
        <v>281</v>
      </c>
      <c r="C86" s="1" t="s">
        <v>23</v>
      </c>
      <c r="N86" s="5">
        <v>46055.0</v>
      </c>
      <c r="Q86" s="1" t="s">
        <v>282</v>
      </c>
    </row>
    <row r="87">
      <c r="A87" s="1">
        <v>86.0</v>
      </c>
      <c r="B87" s="1" t="s">
        <v>283</v>
      </c>
      <c r="C87" s="1" t="s">
        <v>23</v>
      </c>
      <c r="N87" s="5">
        <v>42590.0</v>
      </c>
      <c r="Q87" s="1" t="s">
        <v>284</v>
      </c>
      <c r="R87" s="1">
        <v>1.0</v>
      </c>
    </row>
    <row r="88">
      <c r="A88" s="1">
        <v>87.0</v>
      </c>
      <c r="B88" s="1" t="s">
        <v>285</v>
      </c>
      <c r="C88" s="1" t="s">
        <v>23</v>
      </c>
      <c r="N88" s="5">
        <v>42830.0</v>
      </c>
      <c r="Q88" s="1" t="s">
        <v>284</v>
      </c>
      <c r="R88" s="1">
        <v>1.0</v>
      </c>
    </row>
    <row r="89">
      <c r="A89" s="1">
        <v>88.0</v>
      </c>
      <c r="B89" s="1" t="s">
        <v>286</v>
      </c>
      <c r="C89" s="1" t="s">
        <v>23</v>
      </c>
      <c r="N89" s="5">
        <v>44860.0</v>
      </c>
      <c r="Q89" s="1" t="s">
        <v>287</v>
      </c>
    </row>
    <row r="90">
      <c r="A90" s="1">
        <v>89.0</v>
      </c>
      <c r="B90" s="1" t="s">
        <v>288</v>
      </c>
      <c r="C90" s="1" t="s">
        <v>23</v>
      </c>
      <c r="N90" s="5">
        <v>42418.0</v>
      </c>
      <c r="Q90" s="1" t="s">
        <v>284</v>
      </c>
      <c r="R90" s="1">
        <v>1.0</v>
      </c>
    </row>
    <row r="91">
      <c r="A91" s="1">
        <v>90.0</v>
      </c>
      <c r="B91" s="1" t="s">
        <v>289</v>
      </c>
      <c r="C91" s="1" t="s">
        <v>23</v>
      </c>
      <c r="N91" s="5">
        <v>45482.0</v>
      </c>
      <c r="Q91" s="1" t="s">
        <v>290</v>
      </c>
      <c r="R91" s="1">
        <v>1.0</v>
      </c>
    </row>
    <row r="92">
      <c r="A92" s="1">
        <v>91.0</v>
      </c>
      <c r="B92" s="1" t="s">
        <v>292</v>
      </c>
      <c r="C92" s="1" t="s">
        <v>23</v>
      </c>
      <c r="N92" s="5">
        <v>42416.0</v>
      </c>
      <c r="Q92" s="1" t="s">
        <v>284</v>
      </c>
      <c r="R92" s="1">
        <v>1.0</v>
      </c>
    </row>
    <row r="93">
      <c r="A93" s="1">
        <v>92.0</v>
      </c>
      <c r="B93" s="1" t="s">
        <v>293</v>
      </c>
      <c r="C93" s="1" t="s">
        <v>23</v>
      </c>
      <c r="N93" s="5">
        <v>46098.0</v>
      </c>
      <c r="Q93" s="1" t="s">
        <v>294</v>
      </c>
      <c r="R93" s="1">
        <v>11.0</v>
      </c>
    </row>
    <row r="94">
      <c r="A94" s="1">
        <v>93.0</v>
      </c>
      <c r="B94" s="1" t="s">
        <v>295</v>
      </c>
      <c r="C94" s="1" t="s">
        <v>23</v>
      </c>
      <c r="N94" s="5">
        <v>42857.0</v>
      </c>
      <c r="O94" s="1" t="s">
        <v>91</v>
      </c>
      <c r="P94" s="1" t="s">
        <v>29</v>
      </c>
      <c r="Q94" s="1" t="s">
        <v>284</v>
      </c>
      <c r="R94" s="1">
        <v>1.0</v>
      </c>
      <c r="S94" s="1" t="s">
        <v>76</v>
      </c>
    </row>
    <row r="95">
      <c r="A95" s="1">
        <v>94.0</v>
      </c>
      <c r="B95" s="1" t="s">
        <v>297</v>
      </c>
      <c r="C95" s="1" t="s">
        <v>23</v>
      </c>
      <c r="N95" s="5">
        <v>46097.0</v>
      </c>
      <c r="Q95" s="1" t="s">
        <v>298</v>
      </c>
      <c r="R95" s="1">
        <v>6.0</v>
      </c>
    </row>
    <row r="96">
      <c r="A96" s="1">
        <v>95.0</v>
      </c>
      <c r="B96" s="1" t="s">
        <v>299</v>
      </c>
      <c r="C96" s="1" t="s">
        <v>23</v>
      </c>
      <c r="N96" s="5">
        <v>42483.0</v>
      </c>
      <c r="Q96" s="1" t="s">
        <v>300</v>
      </c>
    </row>
    <row r="97">
      <c r="A97" s="1">
        <v>96.0</v>
      </c>
      <c r="B97" s="1" t="s">
        <v>301</v>
      </c>
      <c r="C97" s="1" t="s">
        <v>23</v>
      </c>
      <c r="N97" s="5">
        <v>42291.0</v>
      </c>
      <c r="Q97" s="1" t="s">
        <v>300</v>
      </c>
    </row>
    <row r="98">
      <c r="A98" s="1">
        <v>97.0</v>
      </c>
      <c r="B98" s="1" t="s">
        <v>302</v>
      </c>
      <c r="C98" s="1" t="s">
        <v>23</v>
      </c>
      <c r="N98" s="5">
        <v>43211.0</v>
      </c>
      <c r="Q98" s="1" t="s">
        <v>284</v>
      </c>
      <c r="R98" s="1">
        <v>1.0</v>
      </c>
    </row>
    <row r="99">
      <c r="A99" s="1">
        <v>98.0</v>
      </c>
      <c r="B99" s="1" t="s">
        <v>304</v>
      </c>
      <c r="C99" s="1" t="s">
        <v>23</v>
      </c>
      <c r="N99" s="5">
        <v>46002.0</v>
      </c>
      <c r="Q99" s="1" t="s">
        <v>306</v>
      </c>
    </row>
    <row r="100">
      <c r="A100" s="1">
        <v>99.0</v>
      </c>
      <c r="B100" s="1" t="s">
        <v>307</v>
      </c>
      <c r="C100" s="1" t="s">
        <v>23</v>
      </c>
      <c r="I100" s="4"/>
      <c r="N100" s="5">
        <v>46101.0</v>
      </c>
      <c r="Q100" s="1" t="s">
        <v>308</v>
      </c>
      <c r="R100" s="1">
        <v>12.0</v>
      </c>
    </row>
    <row r="101">
      <c r="A101" s="1">
        <v>100.0</v>
      </c>
      <c r="B101" s="1" t="s">
        <v>309</v>
      </c>
      <c r="C101" s="1" t="s">
        <v>23</v>
      </c>
      <c r="N101" s="5">
        <v>46101.0</v>
      </c>
      <c r="Q101" s="1" t="s">
        <v>310</v>
      </c>
      <c r="R101" s="1">
        <v>10.0</v>
      </c>
    </row>
    <row r="102">
      <c r="A102" s="1">
        <v>101.0</v>
      </c>
      <c r="B102" s="1" t="s">
        <v>311</v>
      </c>
      <c r="C102" s="1" t="s">
        <v>23</v>
      </c>
      <c r="K102" s="1">
        <v>10.0</v>
      </c>
      <c r="N102" s="5">
        <v>42907.0</v>
      </c>
      <c r="Q102" s="1" t="s">
        <v>312</v>
      </c>
      <c r="R102" s="1">
        <v>1.0</v>
      </c>
    </row>
    <row r="103">
      <c r="A103" s="1">
        <v>102.0</v>
      </c>
      <c r="B103" s="1" t="s">
        <v>314</v>
      </c>
      <c r="C103" s="1" t="s">
        <v>23</v>
      </c>
      <c r="N103" s="5">
        <v>46101.0</v>
      </c>
      <c r="Q103" s="1" t="s">
        <v>315</v>
      </c>
    </row>
    <row r="104">
      <c r="A104" s="1">
        <v>103.0</v>
      </c>
      <c r="B104" s="1" t="s">
        <v>316</v>
      </c>
      <c r="C104" s="1" t="s">
        <v>23</v>
      </c>
      <c r="N104" s="5">
        <v>46019.0</v>
      </c>
      <c r="Q104" s="1" t="s">
        <v>317</v>
      </c>
    </row>
    <row r="105">
      <c r="A105" s="1">
        <v>104.0</v>
      </c>
      <c r="B105" s="1" t="s">
        <v>318</v>
      </c>
      <c r="C105" s="1" t="s">
        <v>23</v>
      </c>
      <c r="N105" s="5">
        <v>42548.0</v>
      </c>
      <c r="Q105" s="1" t="s">
        <v>284</v>
      </c>
      <c r="R105" s="1">
        <v>1.0</v>
      </c>
    </row>
    <row r="106">
      <c r="A106" s="1">
        <v>105.0</v>
      </c>
      <c r="B106" s="1" t="s">
        <v>319</v>
      </c>
      <c r="C106" s="1" t="s">
        <v>23</v>
      </c>
      <c r="N106" s="5">
        <v>42590.0</v>
      </c>
      <c r="Q106" s="1" t="s">
        <v>284</v>
      </c>
      <c r="R106" s="1">
        <v>1.0</v>
      </c>
    </row>
    <row r="107">
      <c r="A107" s="1">
        <v>106.0</v>
      </c>
      <c r="B107" s="1" t="s">
        <v>320</v>
      </c>
      <c r="C107" s="1" t="s">
        <v>23</v>
      </c>
      <c r="N107" s="5">
        <v>44389.0</v>
      </c>
      <c r="Q107" s="1" t="s">
        <v>323</v>
      </c>
    </row>
    <row r="108">
      <c r="A108" s="1">
        <v>107.0</v>
      </c>
      <c r="B108" s="1" t="s">
        <v>324</v>
      </c>
      <c r="C108" s="1" t="s">
        <v>23</v>
      </c>
      <c r="N108" s="5">
        <v>45744.0</v>
      </c>
      <c r="Q108" s="1" t="s">
        <v>325</v>
      </c>
    </row>
    <row r="109">
      <c r="A109" s="1">
        <v>108.0</v>
      </c>
      <c r="B109" s="1" t="s">
        <v>327</v>
      </c>
      <c r="C109" s="1" t="s">
        <v>23</v>
      </c>
      <c r="N109" s="5">
        <v>46101.0</v>
      </c>
      <c r="Q109" s="1" t="s">
        <v>328</v>
      </c>
    </row>
    <row r="110">
      <c r="A110" s="1">
        <v>109.0</v>
      </c>
      <c r="B110" s="1" t="s">
        <v>329</v>
      </c>
      <c r="C110" s="1" t="s">
        <v>23</v>
      </c>
      <c r="N110" s="5">
        <v>46102.0</v>
      </c>
      <c r="Q110" s="1" t="s">
        <v>330</v>
      </c>
    </row>
    <row r="111">
      <c r="A111" s="1">
        <v>110.0</v>
      </c>
      <c r="B111" s="1" t="s">
        <v>331</v>
      </c>
      <c r="C111" s="1" t="s">
        <v>23</v>
      </c>
      <c r="N111" s="5">
        <v>42400.0</v>
      </c>
      <c r="O111" s="1" t="s">
        <v>91</v>
      </c>
      <c r="P111" s="1" t="s">
        <v>29</v>
      </c>
      <c r="Q111" s="1" t="s">
        <v>284</v>
      </c>
      <c r="R111" s="1">
        <v>1.0</v>
      </c>
      <c r="S111" s="1" t="s">
        <v>76</v>
      </c>
    </row>
    <row r="112">
      <c r="A112" s="1">
        <v>111.0</v>
      </c>
      <c r="B112" s="1" t="s">
        <v>334</v>
      </c>
      <c r="C112" s="1" t="s">
        <v>23</v>
      </c>
      <c r="N112" s="5">
        <v>45904.0</v>
      </c>
      <c r="Q112" s="1" t="s">
        <v>335</v>
      </c>
    </row>
    <row r="113">
      <c r="A113" s="1">
        <v>112.0</v>
      </c>
      <c r="B113" s="1" t="s">
        <v>336</v>
      </c>
      <c r="C113" s="1" t="s">
        <v>23</v>
      </c>
      <c r="N113" s="5">
        <v>42558.0</v>
      </c>
      <c r="Q113" s="1" t="s">
        <v>284</v>
      </c>
      <c r="R113" s="1">
        <v>1.0</v>
      </c>
    </row>
    <row r="114">
      <c r="A114" s="1">
        <v>113.0</v>
      </c>
      <c r="B114" s="1" t="s">
        <v>337</v>
      </c>
      <c r="C114" s="1" t="s">
        <v>23</v>
      </c>
      <c r="F114" s="1">
        <v>0.01</v>
      </c>
      <c r="N114" s="5">
        <v>42537.0</v>
      </c>
      <c r="O114" s="1" t="s">
        <v>94</v>
      </c>
      <c r="P114" s="1" t="s">
        <v>29</v>
      </c>
      <c r="Q114" s="1" t="s">
        <v>284</v>
      </c>
      <c r="R114" s="1">
        <v>1.0</v>
      </c>
      <c r="S114" s="1" t="s">
        <v>43</v>
      </c>
    </row>
    <row r="115">
      <c r="A115" s="1">
        <v>114.0</v>
      </c>
      <c r="B115" s="1" t="s">
        <v>338</v>
      </c>
      <c r="C115" s="1" t="s">
        <v>23</v>
      </c>
      <c r="N115" s="5">
        <v>46101.0</v>
      </c>
      <c r="Q115" s="1" t="s">
        <v>340</v>
      </c>
      <c r="R115" s="1">
        <v>7.0</v>
      </c>
    </row>
    <row r="116">
      <c r="A116" s="1">
        <v>115.0</v>
      </c>
      <c r="B116" s="1" t="s">
        <v>341</v>
      </c>
      <c r="C116" s="1" t="s">
        <v>23</v>
      </c>
      <c r="N116" s="5">
        <v>45996.0</v>
      </c>
      <c r="Q116" s="1" t="s">
        <v>342</v>
      </c>
      <c r="R116" s="1">
        <v>1.0</v>
      </c>
    </row>
    <row r="117">
      <c r="A117" s="1">
        <v>116.0</v>
      </c>
      <c r="B117" s="1" t="s">
        <v>344</v>
      </c>
      <c r="C117" s="1" t="s">
        <v>23</v>
      </c>
      <c r="N117" s="5">
        <v>42420.0</v>
      </c>
      <c r="Q117" s="1" t="s">
        <v>300</v>
      </c>
    </row>
    <row r="118">
      <c r="A118" s="1">
        <v>117.0</v>
      </c>
      <c r="B118" s="1" t="s">
        <v>345</v>
      </c>
      <c r="C118" s="1" t="s">
        <v>23</v>
      </c>
      <c r="N118" s="5">
        <v>42740.0</v>
      </c>
      <c r="Q118" s="1" t="s">
        <v>284</v>
      </c>
      <c r="R118" s="1">
        <v>1.0</v>
      </c>
    </row>
    <row r="119">
      <c r="A119" s="1">
        <v>118.0</v>
      </c>
      <c r="B119" s="1" t="s">
        <v>346</v>
      </c>
      <c r="C119" s="1" t="s">
        <v>23</v>
      </c>
      <c r="N119" s="5">
        <v>46101.0</v>
      </c>
      <c r="Q119" s="1" t="s">
        <v>348</v>
      </c>
    </row>
    <row r="120">
      <c r="A120" s="1">
        <v>119.0</v>
      </c>
      <c r="B120" s="1" t="s">
        <v>349</v>
      </c>
      <c r="C120" s="1" t="s">
        <v>23</v>
      </c>
      <c r="N120" s="5">
        <v>43305.0</v>
      </c>
      <c r="Q120" s="1" t="s">
        <v>300</v>
      </c>
    </row>
    <row r="121">
      <c r="A121" s="1">
        <v>120.0</v>
      </c>
      <c r="B121" s="1" t="s">
        <v>350</v>
      </c>
      <c r="C121" s="1" t="s">
        <v>23</v>
      </c>
      <c r="N121" s="5">
        <v>46101.0</v>
      </c>
      <c r="Q121" s="1" t="s">
        <v>352</v>
      </c>
    </row>
    <row r="122">
      <c r="A122" s="1">
        <v>121.0</v>
      </c>
      <c r="B122" s="1" t="s">
        <v>353</v>
      </c>
      <c r="C122" s="1" t="s">
        <v>23</v>
      </c>
      <c r="N122" s="5">
        <v>42422.0</v>
      </c>
      <c r="Q122" s="1" t="s">
        <v>284</v>
      </c>
      <c r="R122" s="1">
        <v>1.0</v>
      </c>
    </row>
    <row r="123">
      <c r="A123" s="1">
        <v>122.0</v>
      </c>
      <c r="B123" s="1" t="s">
        <v>354</v>
      </c>
      <c r="C123" s="1" t="s">
        <v>23</v>
      </c>
      <c r="N123" s="5">
        <v>42314.0</v>
      </c>
      <c r="Q123" s="1" t="s">
        <v>300</v>
      </c>
    </row>
    <row r="124">
      <c r="A124" s="1">
        <v>123.0</v>
      </c>
      <c r="B124" s="1" t="s">
        <v>356</v>
      </c>
      <c r="C124" s="1" t="s">
        <v>23</v>
      </c>
      <c r="N124" s="5">
        <v>42894.0</v>
      </c>
      <c r="Q124" s="1" t="s">
        <v>284</v>
      </c>
      <c r="R124" s="1">
        <v>1.0</v>
      </c>
    </row>
    <row r="125">
      <c r="A125" s="1">
        <v>124.0</v>
      </c>
      <c r="B125" s="1" t="s">
        <v>358</v>
      </c>
      <c r="C125" s="1" t="s">
        <v>23</v>
      </c>
      <c r="N125" s="5">
        <v>46103.0</v>
      </c>
      <c r="Q125" s="1" t="s">
        <v>359</v>
      </c>
    </row>
    <row r="126">
      <c r="A126" s="1">
        <v>125.0</v>
      </c>
      <c r="B126" s="1" t="s">
        <v>360</v>
      </c>
      <c r="C126" s="1" t="s">
        <v>23</v>
      </c>
      <c r="N126" s="5">
        <v>42820.0</v>
      </c>
      <c r="Q126" s="1" t="s">
        <v>284</v>
      </c>
      <c r="R126" s="1">
        <v>1.0</v>
      </c>
    </row>
    <row r="127">
      <c r="A127" s="1">
        <v>126.0</v>
      </c>
      <c r="B127" s="1" t="s">
        <v>361</v>
      </c>
      <c r="C127" s="1" t="s">
        <v>23</v>
      </c>
      <c r="N127" s="5">
        <v>42284.0</v>
      </c>
      <c r="O127" s="1" t="s">
        <v>91</v>
      </c>
      <c r="P127" s="1" t="s">
        <v>29</v>
      </c>
      <c r="Q127" s="1" t="s">
        <v>284</v>
      </c>
      <c r="R127" s="1">
        <v>1.0</v>
      </c>
      <c r="S127" s="1" t="s">
        <v>76</v>
      </c>
    </row>
    <row r="128">
      <c r="A128" s="1">
        <v>127.0</v>
      </c>
      <c r="B128" s="1" t="s">
        <v>362</v>
      </c>
      <c r="C128" s="1" t="s">
        <v>23</v>
      </c>
      <c r="N128" s="5">
        <v>46103.0</v>
      </c>
      <c r="Q128" s="1" t="s">
        <v>363</v>
      </c>
    </row>
    <row r="129">
      <c r="A129" s="1">
        <v>128.0</v>
      </c>
      <c r="B129" s="1" t="s">
        <v>364</v>
      </c>
      <c r="C129" s="1" t="s">
        <v>23</v>
      </c>
      <c r="N129" s="5">
        <v>45018.0</v>
      </c>
      <c r="Q129" s="1" t="s">
        <v>300</v>
      </c>
    </row>
    <row r="130">
      <c r="A130" s="1">
        <v>129.0</v>
      </c>
      <c r="B130" s="1" t="s">
        <v>365</v>
      </c>
      <c r="C130" s="1" t="s">
        <v>23</v>
      </c>
      <c r="N130" s="5">
        <v>46101.0</v>
      </c>
      <c r="Q130" s="1" t="s">
        <v>366</v>
      </c>
      <c r="R130" s="1">
        <v>9.0</v>
      </c>
    </row>
    <row r="131">
      <c r="A131" s="1">
        <v>130.0</v>
      </c>
      <c r="B131" s="1" t="s">
        <v>368</v>
      </c>
      <c r="C131" s="1" t="s">
        <v>23</v>
      </c>
      <c r="N131" s="5">
        <v>42254.0</v>
      </c>
      <c r="O131" s="1" t="s">
        <v>40</v>
      </c>
      <c r="P131" s="1" t="s">
        <v>29</v>
      </c>
      <c r="Q131" s="1" t="s">
        <v>284</v>
      </c>
      <c r="R131" s="1">
        <v>1.0</v>
      </c>
      <c r="S131" s="1" t="s">
        <v>369</v>
      </c>
    </row>
    <row r="132">
      <c r="A132" s="1">
        <v>131.0</v>
      </c>
      <c r="B132" s="1" t="s">
        <v>370</v>
      </c>
      <c r="C132" s="1" t="s">
        <v>23</v>
      </c>
      <c r="N132" s="5">
        <v>42514.0</v>
      </c>
      <c r="Q132" s="1" t="s">
        <v>284</v>
      </c>
      <c r="R132" s="1">
        <v>1.0</v>
      </c>
    </row>
    <row r="133">
      <c r="A133" s="1">
        <v>132.0</v>
      </c>
      <c r="B133" s="1" t="s">
        <v>372</v>
      </c>
      <c r="C133" s="1" t="s">
        <v>23</v>
      </c>
      <c r="N133" s="5">
        <v>46092.0</v>
      </c>
      <c r="Q133" s="1" t="s">
        <v>373</v>
      </c>
    </row>
    <row r="134">
      <c r="A134" s="1">
        <v>133.0</v>
      </c>
      <c r="B134" s="1" t="s">
        <v>374</v>
      </c>
      <c r="C134" s="1" t="s">
        <v>23</v>
      </c>
      <c r="N134" s="5">
        <v>46101.0</v>
      </c>
      <c r="Q134" s="1" t="s">
        <v>375</v>
      </c>
      <c r="R134" s="1">
        <v>6.0</v>
      </c>
    </row>
    <row r="135">
      <c r="A135" s="1">
        <v>134.0</v>
      </c>
      <c r="B135" s="1" t="s">
        <v>376</v>
      </c>
      <c r="C135" s="1" t="s">
        <v>23</v>
      </c>
      <c r="N135" s="5">
        <v>44917.0</v>
      </c>
      <c r="Q135" s="1" t="s">
        <v>284</v>
      </c>
      <c r="R135" s="1">
        <v>1.0</v>
      </c>
    </row>
    <row r="136">
      <c r="A136" s="1">
        <v>135.0</v>
      </c>
      <c r="B136" s="1" t="s">
        <v>378</v>
      </c>
      <c r="C136" s="1" t="s">
        <v>23</v>
      </c>
      <c r="N136" s="5">
        <v>43345.0</v>
      </c>
      <c r="Q136" s="1" t="s">
        <v>284</v>
      </c>
      <c r="R136" s="1">
        <v>1.0</v>
      </c>
    </row>
    <row r="137">
      <c r="A137" s="1">
        <v>136.0</v>
      </c>
      <c r="B137" s="1" t="s">
        <v>380</v>
      </c>
      <c r="C137" s="1" t="s">
        <v>23</v>
      </c>
      <c r="N137" s="5">
        <v>45622.0</v>
      </c>
      <c r="Q137" s="1" t="s">
        <v>381</v>
      </c>
    </row>
    <row r="138">
      <c r="A138" s="1">
        <v>137.0</v>
      </c>
      <c r="B138" s="1" t="s">
        <v>382</v>
      </c>
      <c r="C138" s="1" t="s">
        <v>23</v>
      </c>
      <c r="N138" s="5">
        <v>43240.0</v>
      </c>
      <c r="Q138" s="1" t="s">
        <v>284</v>
      </c>
      <c r="R138" s="1">
        <v>1.0</v>
      </c>
    </row>
    <row r="139">
      <c r="A139" s="1">
        <v>138.0</v>
      </c>
      <c r="B139" s="1" t="s">
        <v>383</v>
      </c>
      <c r="C139" s="1" t="s">
        <v>23</v>
      </c>
      <c r="N139" s="5">
        <v>44793.0</v>
      </c>
      <c r="Q139" s="1" t="s">
        <v>384</v>
      </c>
      <c r="R139" s="1">
        <v>1.0</v>
      </c>
    </row>
    <row r="140">
      <c r="A140" s="1">
        <v>139.0</v>
      </c>
      <c r="B140" s="1" t="s">
        <v>386</v>
      </c>
      <c r="C140" s="1" t="s">
        <v>23</v>
      </c>
      <c r="N140" s="5">
        <v>42912.0</v>
      </c>
      <c r="Q140" s="1" t="s">
        <v>284</v>
      </c>
      <c r="R140" s="1">
        <v>1.0</v>
      </c>
    </row>
    <row r="141">
      <c r="A141" s="1">
        <v>140.0</v>
      </c>
      <c r="B141" s="1" t="s">
        <v>387</v>
      </c>
      <c r="C141" s="1" t="s">
        <v>23</v>
      </c>
      <c r="N141" s="5">
        <v>43485.0</v>
      </c>
      <c r="Q141" s="1" t="s">
        <v>300</v>
      </c>
    </row>
    <row r="142">
      <c r="A142" s="1">
        <v>141.0</v>
      </c>
      <c r="B142" s="1" t="s">
        <v>388</v>
      </c>
      <c r="C142" s="1" t="s">
        <v>23</v>
      </c>
      <c r="N142" s="5">
        <v>42289.0</v>
      </c>
      <c r="Q142" s="1" t="s">
        <v>284</v>
      </c>
      <c r="R142" s="1">
        <v>1.0</v>
      </c>
    </row>
    <row r="143">
      <c r="A143" s="1">
        <v>142.0</v>
      </c>
      <c r="B143" s="1" t="s">
        <v>390</v>
      </c>
      <c r="C143" s="1" t="s">
        <v>23</v>
      </c>
      <c r="N143" s="5">
        <v>45532.0</v>
      </c>
      <c r="Q143" s="1" t="s">
        <v>391</v>
      </c>
    </row>
    <row r="144">
      <c r="A144" s="1">
        <v>143.0</v>
      </c>
      <c r="B144" s="1" t="s">
        <v>392</v>
      </c>
      <c r="C144" s="1" t="s">
        <v>23</v>
      </c>
      <c r="N144" s="5">
        <v>43651.0</v>
      </c>
      <c r="Q144" s="1" t="s">
        <v>284</v>
      </c>
      <c r="R144" s="1">
        <v>1.0</v>
      </c>
    </row>
    <row r="145">
      <c r="A145" s="1">
        <v>144.0</v>
      </c>
      <c r="B145" s="1" t="s">
        <v>394</v>
      </c>
      <c r="C145" s="1" t="s">
        <v>23</v>
      </c>
      <c r="N145" s="5">
        <v>46101.0</v>
      </c>
      <c r="Q145" s="1" t="s">
        <v>395</v>
      </c>
      <c r="R145" s="1">
        <v>9.0</v>
      </c>
    </row>
    <row r="146">
      <c r="A146" s="1">
        <v>145.0</v>
      </c>
      <c r="B146" s="1" t="s">
        <v>396</v>
      </c>
      <c r="C146" s="1" t="s">
        <v>23</v>
      </c>
      <c r="N146" s="5">
        <v>42487.0</v>
      </c>
      <c r="Q146" s="1" t="s">
        <v>284</v>
      </c>
      <c r="R146" s="1">
        <v>1.0</v>
      </c>
    </row>
    <row r="147">
      <c r="A147" s="1">
        <v>146.0</v>
      </c>
      <c r="B147" s="1" t="s">
        <v>397</v>
      </c>
      <c r="C147" s="1" t="s">
        <v>23</v>
      </c>
      <c r="N147" s="5">
        <v>42590.0</v>
      </c>
      <c r="Q147" s="1" t="s">
        <v>300</v>
      </c>
    </row>
    <row r="148">
      <c r="A148" s="1">
        <v>147.0</v>
      </c>
      <c r="B148" s="1" t="s">
        <v>398</v>
      </c>
      <c r="C148" s="1" t="s">
        <v>23</v>
      </c>
      <c r="N148" s="5">
        <v>42596.0</v>
      </c>
      <c r="Q148" s="1" t="s">
        <v>300</v>
      </c>
    </row>
    <row r="149">
      <c r="A149" s="1">
        <v>148.0</v>
      </c>
      <c r="B149" s="1" t="s">
        <v>400</v>
      </c>
      <c r="C149" s="1" t="s">
        <v>23</v>
      </c>
      <c r="N149" s="5">
        <v>46101.0</v>
      </c>
      <c r="Q149" s="1" t="s">
        <v>401</v>
      </c>
      <c r="R149" s="1">
        <v>14.0</v>
      </c>
    </row>
    <row r="150">
      <c r="A150" s="1">
        <v>149.0</v>
      </c>
      <c r="B150" s="1" t="s">
        <v>403</v>
      </c>
      <c r="C150" s="1" t="s">
        <v>23</v>
      </c>
      <c r="N150" s="5">
        <v>42436.0</v>
      </c>
      <c r="Q150" s="1" t="s">
        <v>284</v>
      </c>
      <c r="R150" s="1">
        <v>1.0</v>
      </c>
    </row>
    <row r="151">
      <c r="A151" s="1">
        <v>150.0</v>
      </c>
      <c r="B151" s="1" t="s">
        <v>404</v>
      </c>
      <c r="C151" s="1" t="s">
        <v>23</v>
      </c>
      <c r="N151" s="5">
        <v>43031.0</v>
      </c>
      <c r="Q151" s="1" t="s">
        <v>284</v>
      </c>
      <c r="R151" s="1">
        <v>1.0</v>
      </c>
    </row>
    <row r="152">
      <c r="A152" s="1">
        <v>151.0</v>
      </c>
      <c r="B152" s="1" t="s">
        <v>405</v>
      </c>
      <c r="C152" s="1" t="s">
        <v>23</v>
      </c>
      <c r="N152" s="5">
        <v>42284.0</v>
      </c>
      <c r="Q152" s="1" t="s">
        <v>407</v>
      </c>
      <c r="R152" s="1">
        <v>8.0</v>
      </c>
    </row>
    <row r="153">
      <c r="A153" s="1">
        <v>152.0</v>
      </c>
      <c r="B153" s="1" t="s">
        <v>408</v>
      </c>
      <c r="C153" s="1" t="s">
        <v>23</v>
      </c>
      <c r="N153" s="5">
        <v>42258.0</v>
      </c>
      <c r="Q153" s="1" t="s">
        <v>300</v>
      </c>
    </row>
    <row r="154">
      <c r="A154" s="1">
        <v>153.0</v>
      </c>
      <c r="B154" s="1" t="s">
        <v>409</v>
      </c>
      <c r="C154" s="1" t="s">
        <v>23</v>
      </c>
      <c r="N154" s="5">
        <v>42300.0</v>
      </c>
      <c r="Q154" s="1" t="s">
        <v>300</v>
      </c>
    </row>
    <row r="155">
      <c r="A155" s="1">
        <v>154.0</v>
      </c>
      <c r="B155" s="1" t="s">
        <v>411</v>
      </c>
      <c r="C155" s="1" t="s">
        <v>23</v>
      </c>
      <c r="N155" s="5">
        <v>46007.0</v>
      </c>
      <c r="Q155" s="1" t="s">
        <v>412</v>
      </c>
      <c r="R155" s="1">
        <v>1.0</v>
      </c>
    </row>
    <row r="156">
      <c r="A156" s="1">
        <v>155.0</v>
      </c>
      <c r="B156" s="1" t="s">
        <v>413</v>
      </c>
      <c r="C156" s="1" t="s">
        <v>23</v>
      </c>
      <c r="N156" s="5">
        <v>45994.0</v>
      </c>
      <c r="Q156" s="1" t="s">
        <v>414</v>
      </c>
      <c r="R156" s="1">
        <v>1.0</v>
      </c>
    </row>
    <row r="157">
      <c r="A157" s="1">
        <v>156.0</v>
      </c>
      <c r="B157" s="1" t="s">
        <v>415</v>
      </c>
      <c r="C157" s="1" t="s">
        <v>23</v>
      </c>
      <c r="N157" s="5">
        <v>42290.0</v>
      </c>
      <c r="Q157" s="1" t="s">
        <v>300</v>
      </c>
    </row>
    <row r="158">
      <c r="A158" s="1">
        <v>157.0</v>
      </c>
      <c r="B158" s="1" t="s">
        <v>417</v>
      </c>
      <c r="C158" s="1" t="s">
        <v>23</v>
      </c>
      <c r="N158" s="5">
        <v>42494.0</v>
      </c>
      <c r="O158" s="1" t="s">
        <v>40</v>
      </c>
      <c r="P158" s="1" t="s">
        <v>29</v>
      </c>
      <c r="Q158" s="1" t="s">
        <v>300</v>
      </c>
      <c r="S158" s="1" t="s">
        <v>369</v>
      </c>
    </row>
    <row r="159">
      <c r="A159" s="1">
        <v>158.0</v>
      </c>
      <c r="B159" s="1" t="s">
        <v>418</v>
      </c>
      <c r="C159" s="1" t="s">
        <v>23</v>
      </c>
      <c r="F159" s="1">
        <v>0.5</v>
      </c>
      <c r="N159" s="5">
        <v>42317.0</v>
      </c>
      <c r="O159" s="1" t="s">
        <v>420</v>
      </c>
      <c r="P159" s="1" t="s">
        <v>29</v>
      </c>
      <c r="Q159" s="1" t="s">
        <v>421</v>
      </c>
      <c r="R159" s="1">
        <v>1.0</v>
      </c>
      <c r="S159" s="1" t="s">
        <v>76</v>
      </c>
    </row>
    <row r="160">
      <c r="A160" s="1">
        <v>159.0</v>
      </c>
      <c r="B160" s="1" t="s">
        <v>422</v>
      </c>
      <c r="C160" s="1" t="s">
        <v>23</v>
      </c>
      <c r="N160" s="5">
        <v>45484.0</v>
      </c>
      <c r="Q160" s="1" t="s">
        <v>423</v>
      </c>
      <c r="R160" s="1">
        <v>1.0</v>
      </c>
    </row>
    <row r="161">
      <c r="A161" s="1">
        <v>160.0</v>
      </c>
      <c r="B161" s="1" t="s">
        <v>424</v>
      </c>
      <c r="C161" s="1" t="s">
        <v>23</v>
      </c>
      <c r="N161" s="5">
        <v>45963.0</v>
      </c>
      <c r="Q161" s="1" t="s">
        <v>426</v>
      </c>
      <c r="R161" s="1">
        <v>1.0</v>
      </c>
    </row>
    <row r="162">
      <c r="A162" s="1">
        <v>161.0</v>
      </c>
      <c r="B162" s="1" t="s">
        <v>427</v>
      </c>
      <c r="C162" s="1" t="s">
        <v>23</v>
      </c>
      <c r="N162" s="5">
        <v>45497.0</v>
      </c>
      <c r="Q162" s="1" t="s">
        <v>428</v>
      </c>
      <c r="R162" s="1">
        <v>1.0</v>
      </c>
    </row>
    <row r="163">
      <c r="A163" s="1">
        <v>162.0</v>
      </c>
      <c r="B163" s="1" t="s">
        <v>429</v>
      </c>
      <c r="C163" s="1" t="s">
        <v>23</v>
      </c>
      <c r="N163" s="5">
        <v>42255.0</v>
      </c>
      <c r="Q163" s="1" t="s">
        <v>284</v>
      </c>
      <c r="R163" s="1">
        <v>1.0</v>
      </c>
    </row>
    <row r="164">
      <c r="A164" s="1">
        <v>163.0</v>
      </c>
      <c r="B164" s="1" t="s">
        <v>431</v>
      </c>
      <c r="C164" s="1" t="s">
        <v>23</v>
      </c>
      <c r="N164" s="5">
        <v>42986.0</v>
      </c>
      <c r="Q164" s="1" t="s">
        <v>284</v>
      </c>
      <c r="R164" s="1">
        <v>1.0</v>
      </c>
    </row>
    <row r="165">
      <c r="A165" s="1">
        <v>164.0</v>
      </c>
      <c r="B165" s="1" t="s">
        <v>432</v>
      </c>
      <c r="C165" s="1" t="s">
        <v>23</v>
      </c>
      <c r="N165" s="5">
        <v>46101.0</v>
      </c>
      <c r="Q165" s="1" t="s">
        <v>434</v>
      </c>
    </row>
    <row r="166">
      <c r="A166" s="1">
        <v>165.0</v>
      </c>
      <c r="B166" s="1" t="s">
        <v>435</v>
      </c>
      <c r="C166" s="1" t="s">
        <v>23</v>
      </c>
      <c r="N166" s="5">
        <v>42357.0</v>
      </c>
      <c r="Q166" s="1" t="s">
        <v>284</v>
      </c>
      <c r="R166" s="1">
        <v>1.0</v>
      </c>
    </row>
    <row r="167">
      <c r="A167" s="1">
        <v>166.0</v>
      </c>
      <c r="B167" s="1" t="s">
        <v>437</v>
      </c>
      <c r="C167" s="1" t="s">
        <v>23</v>
      </c>
      <c r="N167" s="5">
        <v>46023.0</v>
      </c>
      <c r="Q167" s="1" t="s">
        <v>438</v>
      </c>
      <c r="R167" s="1">
        <v>8.0</v>
      </c>
    </row>
    <row r="168">
      <c r="A168" s="1">
        <v>167.0</v>
      </c>
      <c r="B168" s="1" t="s">
        <v>439</v>
      </c>
      <c r="C168" s="1" t="s">
        <v>23</v>
      </c>
      <c r="N168" s="5">
        <v>43160.0</v>
      </c>
      <c r="Q168" s="1" t="s">
        <v>440</v>
      </c>
      <c r="R168" s="1">
        <v>2.0</v>
      </c>
    </row>
    <row r="169">
      <c r="A169" s="1">
        <v>168.0</v>
      </c>
      <c r="B169" s="1" t="s">
        <v>442</v>
      </c>
      <c r="C169" s="1" t="s">
        <v>23</v>
      </c>
      <c r="N169" s="5">
        <v>42305.0</v>
      </c>
      <c r="Q169" s="1" t="s">
        <v>443</v>
      </c>
      <c r="R169" s="1">
        <v>2.0</v>
      </c>
    </row>
    <row r="170">
      <c r="A170" s="1">
        <v>169.0</v>
      </c>
      <c r="B170" s="1" t="s">
        <v>444</v>
      </c>
      <c r="C170" s="1" t="s">
        <v>23</v>
      </c>
      <c r="N170" s="5">
        <v>46096.0</v>
      </c>
      <c r="Q170" s="1" t="s">
        <v>447</v>
      </c>
      <c r="R170" s="1">
        <v>11.0</v>
      </c>
    </row>
    <row r="171">
      <c r="A171" s="1">
        <v>170.0</v>
      </c>
      <c r="B171" s="1" t="s">
        <v>448</v>
      </c>
      <c r="C171" s="1" t="s">
        <v>23</v>
      </c>
      <c r="N171" s="5">
        <v>46099.0</v>
      </c>
      <c r="Q171" s="1" t="s">
        <v>449</v>
      </c>
      <c r="R171" s="1">
        <v>13.0</v>
      </c>
    </row>
    <row r="172">
      <c r="A172" s="1">
        <v>171.0</v>
      </c>
      <c r="B172" s="1" t="s">
        <v>450</v>
      </c>
      <c r="C172" s="1" t="s">
        <v>23</v>
      </c>
      <c r="N172" s="5">
        <v>46101.0</v>
      </c>
      <c r="Q172" s="1" t="s">
        <v>451</v>
      </c>
    </row>
    <row r="173">
      <c r="A173" s="1">
        <v>172.0</v>
      </c>
      <c r="B173" s="1" t="s">
        <v>452</v>
      </c>
      <c r="C173" s="1" t="s">
        <v>23</v>
      </c>
      <c r="K173" s="1">
        <v>10.0</v>
      </c>
      <c r="N173" s="5">
        <v>45961.0</v>
      </c>
      <c r="Q173" s="1" t="s">
        <v>453</v>
      </c>
      <c r="R173" s="1">
        <v>1.0</v>
      </c>
    </row>
    <row r="174">
      <c r="A174" s="1">
        <v>173.0</v>
      </c>
      <c r="B174" s="1" t="s">
        <v>454</v>
      </c>
      <c r="C174" s="1" t="s">
        <v>23</v>
      </c>
      <c r="N174" s="5">
        <v>43388.0</v>
      </c>
      <c r="Q174" s="1" t="s">
        <v>300</v>
      </c>
    </row>
    <row r="175">
      <c r="A175" s="1">
        <v>174.0</v>
      </c>
      <c r="B175" s="1" t="s">
        <v>455</v>
      </c>
      <c r="C175" s="1" t="s">
        <v>23</v>
      </c>
      <c r="N175" s="5">
        <v>45992.0</v>
      </c>
      <c r="Q175" s="1" t="s">
        <v>457</v>
      </c>
      <c r="R175" s="1">
        <v>1.0</v>
      </c>
    </row>
    <row r="176">
      <c r="A176" s="1">
        <v>175.0</v>
      </c>
      <c r="B176" s="1" t="s">
        <v>458</v>
      </c>
      <c r="C176" s="1" t="s">
        <v>23</v>
      </c>
      <c r="N176" s="5">
        <v>46003.0</v>
      </c>
      <c r="Q176" s="1" t="s">
        <v>459</v>
      </c>
      <c r="R176" s="1">
        <v>1.0</v>
      </c>
    </row>
    <row r="177">
      <c r="A177" s="1">
        <v>176.0</v>
      </c>
      <c r="B177" s="1" t="s">
        <v>461</v>
      </c>
      <c r="C177" s="1" t="s">
        <v>23</v>
      </c>
      <c r="N177" s="5">
        <v>46101.0</v>
      </c>
      <c r="Q177" s="1" t="s">
        <v>462</v>
      </c>
      <c r="R177" s="1">
        <v>15.0</v>
      </c>
    </row>
    <row r="178">
      <c r="A178" s="1">
        <v>177.0</v>
      </c>
      <c r="B178" s="1" t="s">
        <v>463</v>
      </c>
      <c r="C178" s="1" t="s">
        <v>23</v>
      </c>
      <c r="N178" s="5">
        <v>42359.0</v>
      </c>
      <c r="Q178" s="1" t="s">
        <v>300</v>
      </c>
    </row>
    <row r="179">
      <c r="A179" s="1">
        <v>178.0</v>
      </c>
      <c r="B179" s="1" t="s">
        <v>464</v>
      </c>
      <c r="C179" s="1" t="s">
        <v>23</v>
      </c>
      <c r="N179" s="5">
        <v>46101.0</v>
      </c>
      <c r="Q179" s="1" t="s">
        <v>466</v>
      </c>
      <c r="R179" s="1">
        <v>9.0</v>
      </c>
    </row>
    <row r="180">
      <c r="A180" s="1">
        <v>179.0</v>
      </c>
      <c r="B180" s="1" t="s">
        <v>467</v>
      </c>
      <c r="C180" s="1" t="s">
        <v>23</v>
      </c>
      <c r="N180" s="5">
        <v>42342.0</v>
      </c>
      <c r="O180" s="1" t="s">
        <v>65</v>
      </c>
      <c r="P180" s="1" t="s">
        <v>29</v>
      </c>
      <c r="Q180" s="1" t="s">
        <v>284</v>
      </c>
      <c r="R180" s="1">
        <v>1.0</v>
      </c>
    </row>
    <row r="181">
      <c r="A181" s="1">
        <v>180.0</v>
      </c>
      <c r="B181" s="1" t="s">
        <v>468</v>
      </c>
      <c r="C181" s="1" t="s">
        <v>23</v>
      </c>
      <c r="N181" s="5">
        <v>42324.0</v>
      </c>
      <c r="Q181" s="1" t="s">
        <v>284</v>
      </c>
      <c r="R181" s="1">
        <v>1.0</v>
      </c>
    </row>
    <row r="182">
      <c r="A182" s="1">
        <v>181.0</v>
      </c>
      <c r="B182" s="1" t="s">
        <v>469</v>
      </c>
      <c r="C182" s="1" t="s">
        <v>23</v>
      </c>
      <c r="N182" s="5">
        <v>42451.0</v>
      </c>
      <c r="Q182" s="1" t="s">
        <v>284</v>
      </c>
      <c r="R182" s="1">
        <v>1.0</v>
      </c>
    </row>
    <row r="183">
      <c r="A183" s="1">
        <v>182.0</v>
      </c>
      <c r="B183" s="1" t="s">
        <v>470</v>
      </c>
      <c r="C183" s="1" t="s">
        <v>23</v>
      </c>
      <c r="N183" s="5">
        <v>44668.0</v>
      </c>
      <c r="Q183" s="1" t="s">
        <v>284</v>
      </c>
      <c r="R183" s="1">
        <v>1.0</v>
      </c>
    </row>
    <row r="184">
      <c r="A184" s="1">
        <v>183.0</v>
      </c>
      <c r="B184" s="1" t="s">
        <v>471</v>
      </c>
      <c r="C184" s="1" t="s">
        <v>23</v>
      </c>
      <c r="K184" s="1">
        <v>10.0</v>
      </c>
      <c r="N184" s="5">
        <v>42987.0</v>
      </c>
      <c r="Q184" s="1" t="s">
        <v>473</v>
      </c>
      <c r="R184" s="1">
        <v>1.0</v>
      </c>
    </row>
    <row r="185">
      <c r="A185" s="1">
        <v>184.0</v>
      </c>
      <c r="B185" s="1" t="s">
        <v>474</v>
      </c>
      <c r="C185" s="1" t="s">
        <v>23</v>
      </c>
      <c r="N185" s="5">
        <v>42439.0</v>
      </c>
      <c r="Q185" s="1" t="s">
        <v>300</v>
      </c>
    </row>
    <row r="186">
      <c r="A186" s="1">
        <v>185.0</v>
      </c>
      <c r="B186" s="1" t="s">
        <v>475</v>
      </c>
      <c r="C186" s="1" t="s">
        <v>23</v>
      </c>
      <c r="N186" s="5">
        <v>43192.0</v>
      </c>
      <c r="Q186" s="1" t="s">
        <v>300</v>
      </c>
    </row>
    <row r="187">
      <c r="A187" s="1">
        <v>186.0</v>
      </c>
      <c r="B187" s="1" t="s">
        <v>477</v>
      </c>
      <c r="C187" s="1" t="s">
        <v>23</v>
      </c>
      <c r="N187" s="5">
        <v>46101.0</v>
      </c>
      <c r="Q187" s="1" t="s">
        <v>478</v>
      </c>
    </row>
    <row r="188">
      <c r="A188" s="1">
        <v>187.0</v>
      </c>
      <c r="B188" s="1" t="s">
        <v>479</v>
      </c>
      <c r="C188" s="1" t="s">
        <v>23</v>
      </c>
      <c r="N188" s="5">
        <v>42555.0</v>
      </c>
      <c r="Q188" s="1" t="s">
        <v>481</v>
      </c>
      <c r="R188" s="1">
        <v>1.0</v>
      </c>
    </row>
    <row r="189">
      <c r="A189" s="1">
        <v>188.0</v>
      </c>
      <c r="B189" s="1" t="s">
        <v>482</v>
      </c>
      <c r="C189" s="1" t="s">
        <v>23</v>
      </c>
      <c r="N189" s="5">
        <v>42323.0</v>
      </c>
      <c r="Q189" s="1" t="s">
        <v>284</v>
      </c>
      <c r="R189" s="1">
        <v>1.0</v>
      </c>
    </row>
    <row r="190">
      <c r="A190" s="1">
        <v>189.0</v>
      </c>
      <c r="B190" s="1" t="s">
        <v>483</v>
      </c>
      <c r="C190" s="1" t="s">
        <v>23</v>
      </c>
      <c r="N190" s="5">
        <v>46101.0</v>
      </c>
      <c r="Q190" s="1" t="s">
        <v>484</v>
      </c>
      <c r="R190" s="1">
        <v>11.0</v>
      </c>
    </row>
    <row r="191">
      <c r="A191" s="1">
        <v>190.0</v>
      </c>
      <c r="B191" s="1" t="s">
        <v>486</v>
      </c>
      <c r="C191" s="1" t="s">
        <v>23</v>
      </c>
      <c r="N191" s="5">
        <v>42384.0</v>
      </c>
      <c r="Q191" s="1" t="s">
        <v>284</v>
      </c>
      <c r="R191" s="1">
        <v>1.0</v>
      </c>
    </row>
    <row r="192">
      <c r="A192" s="1">
        <v>191.0</v>
      </c>
      <c r="B192" s="1" t="s">
        <v>488</v>
      </c>
      <c r="C192" s="1" t="s">
        <v>23</v>
      </c>
      <c r="N192" s="5">
        <v>46098.0</v>
      </c>
      <c r="Q192" s="1" t="s">
        <v>489</v>
      </c>
      <c r="R192" s="1">
        <v>12.0</v>
      </c>
    </row>
    <row r="193">
      <c r="A193" s="1">
        <v>192.0</v>
      </c>
      <c r="B193" s="1" t="s">
        <v>490</v>
      </c>
      <c r="C193" s="1" t="s">
        <v>23</v>
      </c>
      <c r="N193" s="5">
        <v>42346.0</v>
      </c>
      <c r="Q193" s="1" t="s">
        <v>300</v>
      </c>
    </row>
    <row r="194">
      <c r="A194" s="1">
        <v>193.0</v>
      </c>
      <c r="B194" s="1" t="s">
        <v>491</v>
      </c>
      <c r="C194" s="1" t="s">
        <v>23</v>
      </c>
      <c r="N194" s="5">
        <v>44353.0</v>
      </c>
      <c r="Q194" s="1" t="s">
        <v>492</v>
      </c>
      <c r="R194" s="1">
        <v>1.0</v>
      </c>
    </row>
    <row r="195">
      <c r="A195" s="1">
        <v>194.0</v>
      </c>
      <c r="B195" s="1" t="s">
        <v>493</v>
      </c>
      <c r="C195" s="1" t="s">
        <v>23</v>
      </c>
      <c r="N195" s="5">
        <v>42319.0</v>
      </c>
      <c r="Q195" s="1" t="s">
        <v>284</v>
      </c>
      <c r="R195" s="1">
        <v>1.0</v>
      </c>
    </row>
    <row r="196">
      <c r="A196" s="1">
        <v>195.0</v>
      </c>
      <c r="B196" s="1" t="s">
        <v>494</v>
      </c>
      <c r="C196" s="1" t="s">
        <v>23</v>
      </c>
      <c r="N196" s="5">
        <v>44670.0</v>
      </c>
      <c r="Q196" s="1" t="s">
        <v>300</v>
      </c>
    </row>
    <row r="197">
      <c r="A197" s="1">
        <v>196.0</v>
      </c>
      <c r="B197" s="1" t="s">
        <v>496</v>
      </c>
      <c r="C197" s="1" t="s">
        <v>23</v>
      </c>
      <c r="N197" s="5">
        <v>42250.0</v>
      </c>
      <c r="Q197" s="1" t="s">
        <v>300</v>
      </c>
    </row>
    <row r="198">
      <c r="A198" s="1">
        <v>197.0</v>
      </c>
      <c r="B198" s="1" t="s">
        <v>497</v>
      </c>
      <c r="C198" s="1" t="s">
        <v>23</v>
      </c>
      <c r="N198" s="5">
        <v>42362.0</v>
      </c>
      <c r="Q198" s="1" t="s">
        <v>300</v>
      </c>
    </row>
    <row r="199">
      <c r="A199" s="1">
        <v>198.0</v>
      </c>
      <c r="B199" s="1" t="s">
        <v>499</v>
      </c>
      <c r="C199" s="1" t="s">
        <v>23</v>
      </c>
      <c r="N199" s="5">
        <v>42325.0</v>
      </c>
      <c r="Q199" s="1" t="s">
        <v>284</v>
      </c>
      <c r="R199" s="1">
        <v>1.0</v>
      </c>
    </row>
    <row r="200">
      <c r="A200" s="1">
        <v>199.0</v>
      </c>
      <c r="B200" s="1" t="s">
        <v>500</v>
      </c>
      <c r="C200" s="1" t="s">
        <v>23</v>
      </c>
      <c r="N200" s="5">
        <v>42421.0</v>
      </c>
      <c r="Q200" s="1" t="s">
        <v>501</v>
      </c>
      <c r="R200" s="1">
        <v>2.0</v>
      </c>
    </row>
    <row r="201">
      <c r="A201" s="1">
        <v>200.0</v>
      </c>
      <c r="B201" s="1" t="s">
        <v>502</v>
      </c>
      <c r="C201" s="1" t="s">
        <v>23</v>
      </c>
      <c r="N201" s="5">
        <v>43168.0</v>
      </c>
      <c r="Q201" s="1" t="s">
        <v>284</v>
      </c>
      <c r="R201" s="1">
        <v>1.0</v>
      </c>
    </row>
    <row r="202">
      <c r="A202" s="1">
        <v>201.0</v>
      </c>
      <c r="B202" s="1" t="s">
        <v>503</v>
      </c>
      <c r="C202" s="1" t="s">
        <v>23</v>
      </c>
      <c r="N202" s="5">
        <v>42347.0</v>
      </c>
      <c r="Q202" s="1" t="s">
        <v>284</v>
      </c>
      <c r="R202" s="1">
        <v>1.0</v>
      </c>
    </row>
    <row r="203">
      <c r="A203" s="1">
        <v>202.0</v>
      </c>
      <c r="B203" s="1" t="s">
        <v>506</v>
      </c>
      <c r="C203" s="1" t="s">
        <v>23</v>
      </c>
      <c r="N203" s="5">
        <v>42289.0</v>
      </c>
      <c r="Q203" s="1" t="s">
        <v>508</v>
      </c>
    </row>
    <row r="204">
      <c r="A204" s="1">
        <v>203.0</v>
      </c>
      <c r="B204" s="1" t="s">
        <v>509</v>
      </c>
      <c r="C204" s="1" t="s">
        <v>23</v>
      </c>
      <c r="N204" s="5">
        <v>42590.0</v>
      </c>
      <c r="Q204" s="1" t="s">
        <v>284</v>
      </c>
      <c r="R204" s="1">
        <v>1.0</v>
      </c>
    </row>
    <row r="205">
      <c r="A205" s="1">
        <v>204.0</v>
      </c>
      <c r="B205" s="1" t="s">
        <v>510</v>
      </c>
      <c r="C205" s="1" t="s">
        <v>23</v>
      </c>
      <c r="N205" s="5">
        <v>42481.0</v>
      </c>
      <c r="Q205" s="1" t="s">
        <v>284</v>
      </c>
      <c r="R205" s="1">
        <v>1.0</v>
      </c>
    </row>
    <row r="206">
      <c r="A206" s="1">
        <v>205.0</v>
      </c>
      <c r="B206" s="1" t="s">
        <v>512</v>
      </c>
      <c r="C206" s="1" t="s">
        <v>23</v>
      </c>
      <c r="N206" s="5">
        <v>46117.0</v>
      </c>
      <c r="Q206" s="1" t="s">
        <v>514</v>
      </c>
      <c r="R206" s="1">
        <v>12.0</v>
      </c>
    </row>
    <row r="207">
      <c r="A207" s="1">
        <v>206.0</v>
      </c>
      <c r="B207" s="1" t="s">
        <v>515</v>
      </c>
      <c r="C207" s="1" t="s">
        <v>23</v>
      </c>
      <c r="N207" s="5">
        <v>46101.0</v>
      </c>
      <c r="Q207" s="1" t="s">
        <v>517</v>
      </c>
    </row>
    <row r="208">
      <c r="A208" s="1">
        <v>207.0</v>
      </c>
      <c r="B208" s="1" t="s">
        <v>519</v>
      </c>
      <c r="C208" s="1" t="s">
        <v>23</v>
      </c>
      <c r="N208" s="5">
        <v>46021.0</v>
      </c>
      <c r="Q208" s="1" t="s">
        <v>414</v>
      </c>
      <c r="R208" s="1">
        <v>1.0</v>
      </c>
    </row>
    <row r="209">
      <c r="A209" s="1">
        <v>208.0</v>
      </c>
      <c r="B209" s="1" t="s">
        <v>520</v>
      </c>
      <c r="C209" s="1" t="s">
        <v>23</v>
      </c>
      <c r="N209" s="5">
        <v>42450.0</v>
      </c>
      <c r="Q209" s="1" t="s">
        <v>284</v>
      </c>
      <c r="R209" s="1">
        <v>1.0</v>
      </c>
    </row>
    <row r="210">
      <c r="A210" s="1">
        <v>209.0</v>
      </c>
      <c r="B210" s="1" t="s">
        <v>522</v>
      </c>
      <c r="C210" s="1" t="s">
        <v>23</v>
      </c>
      <c r="N210" s="5">
        <v>42354.0</v>
      </c>
      <c r="O210" s="1" t="s">
        <v>524</v>
      </c>
      <c r="P210" s="1" t="s">
        <v>29</v>
      </c>
      <c r="Q210" s="1" t="s">
        <v>284</v>
      </c>
      <c r="R210" s="1">
        <v>1.0</v>
      </c>
      <c r="S210" s="1" t="s">
        <v>76</v>
      </c>
    </row>
    <row r="211">
      <c r="A211" s="1">
        <v>210.0</v>
      </c>
      <c r="B211" s="1" t="s">
        <v>527</v>
      </c>
      <c r="C211" s="1" t="s">
        <v>23</v>
      </c>
      <c r="G211" s="1">
        <v>0.69</v>
      </c>
      <c r="N211" s="5">
        <v>42287.0</v>
      </c>
      <c r="O211" s="1" t="s">
        <v>28</v>
      </c>
      <c r="P211" s="1" t="s">
        <v>29</v>
      </c>
      <c r="Q211" s="1" t="s">
        <v>529</v>
      </c>
      <c r="R211" s="1">
        <v>1.0</v>
      </c>
      <c r="S211" s="1" t="s">
        <v>34</v>
      </c>
    </row>
    <row r="212">
      <c r="A212" s="1">
        <v>211.0</v>
      </c>
      <c r="B212" s="1" t="s">
        <v>531</v>
      </c>
      <c r="C212" s="1" t="s">
        <v>23</v>
      </c>
      <c r="N212" s="5">
        <v>46101.0</v>
      </c>
      <c r="Q212" s="1" t="s">
        <v>533</v>
      </c>
      <c r="R212" s="1">
        <v>10.0</v>
      </c>
    </row>
    <row r="213">
      <c r="A213" s="1">
        <v>212.0</v>
      </c>
      <c r="B213" s="1" t="s">
        <v>534</v>
      </c>
      <c r="C213" s="1" t="s">
        <v>23</v>
      </c>
      <c r="N213" s="5">
        <v>42613.0</v>
      </c>
      <c r="Q213" s="1" t="s">
        <v>284</v>
      </c>
      <c r="R213" s="1">
        <v>1.0</v>
      </c>
    </row>
    <row r="214">
      <c r="A214" s="1">
        <v>213.0</v>
      </c>
      <c r="B214" s="1" t="s">
        <v>538</v>
      </c>
      <c r="C214" s="1" t="s">
        <v>23</v>
      </c>
      <c r="N214" s="5">
        <v>44250.0</v>
      </c>
      <c r="Q214" s="1" t="s">
        <v>284</v>
      </c>
      <c r="R214" s="1">
        <v>1.0</v>
      </c>
    </row>
    <row r="215">
      <c r="A215" s="1">
        <v>214.0</v>
      </c>
      <c r="B215" s="1" t="s">
        <v>540</v>
      </c>
      <c r="C215" s="1" t="s">
        <v>23</v>
      </c>
      <c r="N215" s="5">
        <v>42356.0</v>
      </c>
      <c r="Q215" s="1" t="s">
        <v>300</v>
      </c>
    </row>
    <row r="216">
      <c r="A216" s="1">
        <v>215.0</v>
      </c>
      <c r="B216" s="1" t="s">
        <v>543</v>
      </c>
      <c r="C216" s="1" t="s">
        <v>23</v>
      </c>
      <c r="N216" s="5">
        <v>46103.0</v>
      </c>
      <c r="Q216" s="1" t="s">
        <v>544</v>
      </c>
    </row>
    <row r="217">
      <c r="A217" s="1">
        <v>216.0</v>
      </c>
      <c r="B217" s="1" t="s">
        <v>545</v>
      </c>
      <c r="C217" s="1" t="s">
        <v>23</v>
      </c>
      <c r="N217" s="5">
        <v>42319.0</v>
      </c>
      <c r="Q217" s="1" t="s">
        <v>300</v>
      </c>
    </row>
    <row r="218">
      <c r="A218" s="1">
        <v>217.0</v>
      </c>
      <c r="B218" s="1" t="s">
        <v>549</v>
      </c>
      <c r="C218" s="1" t="s">
        <v>23</v>
      </c>
      <c r="N218" s="5">
        <v>44591.0</v>
      </c>
      <c r="Q218" s="1" t="s">
        <v>300</v>
      </c>
    </row>
    <row r="219">
      <c r="A219" s="1">
        <v>218.0</v>
      </c>
      <c r="B219" s="1" t="s">
        <v>551</v>
      </c>
      <c r="C219" s="1" t="s">
        <v>23</v>
      </c>
      <c r="N219" s="5">
        <v>42583.0</v>
      </c>
      <c r="Q219" s="1" t="s">
        <v>284</v>
      </c>
      <c r="R219" s="1">
        <v>1.0</v>
      </c>
    </row>
    <row r="220">
      <c r="A220" s="1">
        <v>219.0</v>
      </c>
      <c r="B220" s="1" t="s">
        <v>554</v>
      </c>
      <c r="C220" s="1" t="s">
        <v>23</v>
      </c>
      <c r="N220" s="5">
        <v>46103.0</v>
      </c>
      <c r="Q220" s="1" t="s">
        <v>555</v>
      </c>
      <c r="R220" s="1">
        <v>15.0</v>
      </c>
    </row>
    <row r="221">
      <c r="A221" s="1">
        <v>220.0</v>
      </c>
      <c r="B221" s="1" t="s">
        <v>556</v>
      </c>
      <c r="C221" s="1" t="s">
        <v>23</v>
      </c>
      <c r="N221" s="5">
        <v>46101.0</v>
      </c>
      <c r="Q221" s="1" t="s">
        <v>559</v>
      </c>
      <c r="R221" s="1">
        <v>13.0</v>
      </c>
    </row>
    <row r="222">
      <c r="A222" s="1">
        <v>221.0</v>
      </c>
      <c r="B222" s="1" t="s">
        <v>561</v>
      </c>
      <c r="C222" s="1" t="s">
        <v>23</v>
      </c>
      <c r="N222" s="5">
        <v>46099.0</v>
      </c>
      <c r="Q222" s="1" t="s">
        <v>564</v>
      </c>
    </row>
    <row r="223">
      <c r="A223" s="1">
        <v>222.0</v>
      </c>
      <c r="B223" s="1" t="s">
        <v>566</v>
      </c>
      <c r="C223" s="1" t="s">
        <v>23</v>
      </c>
      <c r="N223" s="5">
        <v>46008.0</v>
      </c>
      <c r="Q223" s="1" t="s">
        <v>568</v>
      </c>
      <c r="R223" s="1">
        <v>1.0</v>
      </c>
    </row>
    <row r="224">
      <c r="A224" s="1">
        <v>223.0</v>
      </c>
      <c r="B224" s="1" t="s">
        <v>569</v>
      </c>
      <c r="C224" s="1" t="s">
        <v>23</v>
      </c>
      <c r="N224" s="5">
        <v>42809.0</v>
      </c>
      <c r="Q224" s="1" t="s">
        <v>300</v>
      </c>
    </row>
    <row r="225">
      <c r="A225" s="1">
        <v>224.0</v>
      </c>
      <c r="B225" s="1" t="s">
        <v>573</v>
      </c>
      <c r="C225" s="1" t="s">
        <v>23</v>
      </c>
      <c r="N225" s="5">
        <v>46101.0</v>
      </c>
      <c r="Q225" s="1" t="s">
        <v>575</v>
      </c>
    </row>
    <row r="226">
      <c r="A226" s="1">
        <v>225.0</v>
      </c>
      <c r="B226" s="1" t="s">
        <v>576</v>
      </c>
      <c r="C226" s="1" t="s">
        <v>23</v>
      </c>
      <c r="N226" s="5">
        <v>42284.0</v>
      </c>
      <c r="Q226" s="1" t="s">
        <v>284</v>
      </c>
      <c r="R226" s="1">
        <v>1.0</v>
      </c>
    </row>
    <row r="227">
      <c r="A227" s="1">
        <v>226.0</v>
      </c>
      <c r="B227" s="1" t="s">
        <v>579</v>
      </c>
      <c r="C227" s="1" t="s">
        <v>23</v>
      </c>
      <c r="N227" s="5">
        <v>42394.0</v>
      </c>
      <c r="Q227" s="1" t="s">
        <v>300</v>
      </c>
    </row>
    <row r="228">
      <c r="A228" s="1">
        <v>227.0</v>
      </c>
      <c r="B228" s="1" t="s">
        <v>580</v>
      </c>
      <c r="C228" s="1" t="s">
        <v>23</v>
      </c>
      <c r="N228" s="5">
        <v>42352.0</v>
      </c>
      <c r="O228" s="1" t="s">
        <v>40</v>
      </c>
      <c r="P228" s="1" t="s">
        <v>29</v>
      </c>
      <c r="Q228" s="1" t="s">
        <v>284</v>
      </c>
      <c r="R228" s="1">
        <v>1.0</v>
      </c>
      <c r="S228" s="1" t="s">
        <v>43</v>
      </c>
    </row>
    <row r="229">
      <c r="A229" s="1">
        <v>228.0</v>
      </c>
      <c r="B229" s="1" t="s">
        <v>582</v>
      </c>
      <c r="C229" s="1" t="s">
        <v>23</v>
      </c>
      <c r="N229" s="5">
        <v>43304.0</v>
      </c>
      <c r="Q229" s="1" t="s">
        <v>300</v>
      </c>
    </row>
    <row r="230">
      <c r="A230" s="1">
        <v>229.0</v>
      </c>
      <c r="B230" s="1" t="s">
        <v>584</v>
      </c>
      <c r="C230" s="1" t="s">
        <v>23</v>
      </c>
      <c r="N230" s="5">
        <v>42765.0</v>
      </c>
      <c r="O230" s="1" t="s">
        <v>420</v>
      </c>
      <c r="P230" s="1" t="s">
        <v>29</v>
      </c>
      <c r="Q230" s="1" t="s">
        <v>284</v>
      </c>
      <c r="R230" s="1">
        <v>1.0</v>
      </c>
      <c r="S230" s="1" t="s">
        <v>76</v>
      </c>
    </row>
    <row r="231">
      <c r="A231" s="1">
        <v>230.0</v>
      </c>
      <c r="B231" s="1" t="s">
        <v>585</v>
      </c>
      <c r="C231" s="1" t="s">
        <v>23</v>
      </c>
      <c r="N231" s="5">
        <v>46101.0</v>
      </c>
      <c r="Q231" s="1" t="s">
        <v>586</v>
      </c>
    </row>
    <row r="232">
      <c r="A232" s="1">
        <v>231.0</v>
      </c>
      <c r="B232" s="1" t="s">
        <v>588</v>
      </c>
      <c r="C232" s="1" t="s">
        <v>23</v>
      </c>
      <c r="N232" s="5">
        <v>42284.0</v>
      </c>
      <c r="Q232" s="1" t="s">
        <v>300</v>
      </c>
    </row>
    <row r="233">
      <c r="A233" s="1">
        <v>232.0</v>
      </c>
      <c r="B233" s="1" t="s">
        <v>594</v>
      </c>
      <c r="C233" s="1" t="s">
        <v>23</v>
      </c>
      <c r="N233" s="5">
        <v>46101.0</v>
      </c>
      <c r="Q233" s="1" t="s">
        <v>597</v>
      </c>
    </row>
    <row r="234">
      <c r="A234" s="1">
        <v>233.0</v>
      </c>
      <c r="B234" s="1" t="s">
        <v>599</v>
      </c>
      <c r="C234" s="1" t="s">
        <v>23</v>
      </c>
      <c r="N234" s="5">
        <v>42461.0</v>
      </c>
      <c r="Q234" s="1" t="s">
        <v>284</v>
      </c>
      <c r="R234" s="1">
        <v>1.0</v>
      </c>
    </row>
    <row r="235">
      <c r="A235" s="1">
        <v>234.0</v>
      </c>
      <c r="B235" s="1" t="s">
        <v>600</v>
      </c>
      <c r="C235" s="1" t="s">
        <v>23</v>
      </c>
      <c r="N235" s="5">
        <v>42503.0</v>
      </c>
      <c r="Q235" s="1" t="s">
        <v>284</v>
      </c>
      <c r="R235" s="1">
        <v>1.0</v>
      </c>
    </row>
    <row r="236">
      <c r="A236" s="1">
        <v>235.0</v>
      </c>
      <c r="B236" s="1" t="s">
        <v>602</v>
      </c>
      <c r="C236" s="1" t="s">
        <v>23</v>
      </c>
      <c r="N236" s="5">
        <v>46099.0</v>
      </c>
      <c r="Q236" s="1" t="s">
        <v>604</v>
      </c>
      <c r="R236" s="1">
        <v>12.0</v>
      </c>
    </row>
    <row r="237">
      <c r="A237" s="1">
        <v>236.0</v>
      </c>
      <c r="B237" s="1" t="s">
        <v>605</v>
      </c>
      <c r="C237" s="1" t="s">
        <v>23</v>
      </c>
      <c r="N237" s="5">
        <v>43262.0</v>
      </c>
      <c r="Q237" s="1" t="s">
        <v>606</v>
      </c>
      <c r="R237" s="1">
        <v>1.0</v>
      </c>
    </row>
    <row r="238">
      <c r="A238" s="1">
        <v>237.0</v>
      </c>
      <c r="B238" s="1" t="s">
        <v>607</v>
      </c>
      <c r="C238" s="1" t="s">
        <v>23</v>
      </c>
      <c r="N238" s="5">
        <v>46099.0</v>
      </c>
      <c r="Q238" s="1" t="s">
        <v>609</v>
      </c>
    </row>
    <row r="239">
      <c r="A239" s="1">
        <v>238.0</v>
      </c>
      <c r="B239" s="1" t="s">
        <v>610</v>
      </c>
      <c r="C239" s="1" t="s">
        <v>23</v>
      </c>
      <c r="N239" s="5">
        <v>42326.0</v>
      </c>
      <c r="Q239" s="1" t="s">
        <v>284</v>
      </c>
      <c r="R239" s="1">
        <v>1.0</v>
      </c>
    </row>
    <row r="240">
      <c r="A240" s="1">
        <v>239.0</v>
      </c>
      <c r="B240" s="1" t="s">
        <v>613</v>
      </c>
      <c r="C240" s="1" t="s">
        <v>23</v>
      </c>
      <c r="N240" s="5">
        <v>46097.0</v>
      </c>
      <c r="Q240" s="1" t="s">
        <v>615</v>
      </c>
    </row>
    <row r="241">
      <c r="A241" s="1">
        <v>240.0</v>
      </c>
      <c r="B241" s="1" t="s">
        <v>617</v>
      </c>
      <c r="C241" s="1" t="s">
        <v>23</v>
      </c>
      <c r="N241" s="5">
        <v>46103.0</v>
      </c>
      <c r="Q241" s="1" t="s">
        <v>619</v>
      </c>
      <c r="R241" s="1">
        <v>14.0</v>
      </c>
    </row>
    <row r="242">
      <c r="A242" s="1">
        <v>241.0</v>
      </c>
      <c r="B242" s="1" t="s">
        <v>620</v>
      </c>
      <c r="C242" s="1" t="s">
        <v>23</v>
      </c>
      <c r="N242" s="5">
        <v>45880.0</v>
      </c>
      <c r="Q242" s="1" t="s">
        <v>622</v>
      </c>
    </row>
    <row r="243">
      <c r="A243" s="1">
        <v>242.0</v>
      </c>
      <c r="B243" s="1" t="s">
        <v>624</v>
      </c>
      <c r="C243" s="1" t="s">
        <v>23</v>
      </c>
      <c r="N243" s="5">
        <v>46101.0</v>
      </c>
      <c r="Q243" s="1" t="s">
        <v>626</v>
      </c>
    </row>
    <row r="244">
      <c r="A244" s="1">
        <v>243.0</v>
      </c>
      <c r="B244" s="1" t="s">
        <v>627</v>
      </c>
      <c r="C244" s="1" t="s">
        <v>23</v>
      </c>
      <c r="N244" s="5">
        <v>46105.0</v>
      </c>
      <c r="Q244" s="1" t="s">
        <v>629</v>
      </c>
      <c r="R244" s="1">
        <v>10.0</v>
      </c>
    </row>
    <row r="245">
      <c r="A245" s="1">
        <v>244.0</v>
      </c>
      <c r="B245" s="1" t="s">
        <v>630</v>
      </c>
      <c r="C245" s="1" t="s">
        <v>23</v>
      </c>
      <c r="N245" s="5">
        <v>42681.0</v>
      </c>
      <c r="Q245" s="1" t="s">
        <v>284</v>
      </c>
      <c r="R245" s="1">
        <v>1.0</v>
      </c>
    </row>
    <row r="246">
      <c r="A246" s="1">
        <v>245.0</v>
      </c>
      <c r="B246" s="1" t="s">
        <v>635</v>
      </c>
      <c r="C246" s="1" t="s">
        <v>23</v>
      </c>
      <c r="N246" s="5">
        <v>42446.0</v>
      </c>
      <c r="O246" s="1" t="s">
        <v>28</v>
      </c>
      <c r="P246" s="1" t="s">
        <v>29</v>
      </c>
      <c r="Q246" s="1" t="s">
        <v>284</v>
      </c>
      <c r="R246" s="1">
        <v>1.0</v>
      </c>
      <c r="S246" s="1" t="s">
        <v>163</v>
      </c>
    </row>
    <row r="247">
      <c r="A247" s="1">
        <v>246.0</v>
      </c>
      <c r="B247" s="1" t="s">
        <v>636</v>
      </c>
      <c r="C247" s="1" t="s">
        <v>23</v>
      </c>
      <c r="N247" s="5">
        <v>42328.0</v>
      </c>
      <c r="O247" s="1" t="s">
        <v>40</v>
      </c>
      <c r="P247" s="1" t="s">
        <v>29</v>
      </c>
      <c r="Q247" s="1" t="s">
        <v>300</v>
      </c>
      <c r="S247" s="1" t="s">
        <v>638</v>
      </c>
    </row>
    <row r="248">
      <c r="A248" s="1">
        <v>247.0</v>
      </c>
      <c r="B248" s="1" t="s">
        <v>639</v>
      </c>
      <c r="C248" s="1" t="s">
        <v>23</v>
      </c>
      <c r="N248" s="5">
        <v>42593.0</v>
      </c>
      <c r="Q248" s="1" t="s">
        <v>284</v>
      </c>
      <c r="R248" s="1">
        <v>1.0</v>
      </c>
    </row>
    <row r="249">
      <c r="A249" s="1">
        <v>248.0</v>
      </c>
      <c r="B249" s="1" t="s">
        <v>641</v>
      </c>
      <c r="C249" s="1" t="s">
        <v>23</v>
      </c>
      <c r="N249" s="5">
        <v>44652.0</v>
      </c>
      <c r="Q249" s="1" t="s">
        <v>642</v>
      </c>
    </row>
    <row r="250">
      <c r="A250" s="1">
        <v>249.0</v>
      </c>
      <c r="B250" s="1" t="s">
        <v>643</v>
      </c>
      <c r="C250" s="1" t="s">
        <v>23</v>
      </c>
      <c r="N250" s="5">
        <v>46103.0</v>
      </c>
      <c r="Q250" s="1" t="s">
        <v>645</v>
      </c>
      <c r="R250" s="1">
        <v>14.0</v>
      </c>
    </row>
    <row r="251">
      <c r="A251" s="1">
        <v>250.0</v>
      </c>
      <c r="B251" s="1" t="s">
        <v>646</v>
      </c>
      <c r="C251" s="1" t="s">
        <v>23</v>
      </c>
      <c r="N251" s="5">
        <v>45992.0</v>
      </c>
      <c r="Q251" s="1" t="s">
        <v>648</v>
      </c>
      <c r="R251" s="1">
        <v>1.0</v>
      </c>
    </row>
    <row r="252">
      <c r="A252" s="1">
        <v>251.0</v>
      </c>
      <c r="B252" s="1" t="s">
        <v>649</v>
      </c>
      <c r="C252" s="1" t="s">
        <v>23</v>
      </c>
      <c r="N252" s="5">
        <v>45992.0</v>
      </c>
      <c r="Q252" s="1" t="s">
        <v>414</v>
      </c>
      <c r="R252" s="1">
        <v>1.0</v>
      </c>
    </row>
    <row r="253">
      <c r="A253" s="1">
        <v>252.0</v>
      </c>
      <c r="B253" s="1" t="s">
        <v>651</v>
      </c>
      <c r="C253" s="1" t="s">
        <v>23</v>
      </c>
      <c r="N253" s="5">
        <v>42936.0</v>
      </c>
      <c r="Q253" s="1" t="s">
        <v>284</v>
      </c>
      <c r="R253" s="1">
        <v>1.0</v>
      </c>
    </row>
    <row r="254">
      <c r="A254" s="1">
        <v>253.0</v>
      </c>
      <c r="B254" s="1" t="s">
        <v>652</v>
      </c>
      <c r="C254" s="1" t="s">
        <v>23</v>
      </c>
      <c r="N254" s="5">
        <v>44819.0</v>
      </c>
      <c r="Q254" s="1" t="s">
        <v>300</v>
      </c>
    </row>
    <row r="255">
      <c r="A255" s="1">
        <v>254.0</v>
      </c>
      <c r="B255" s="1" t="s">
        <v>653</v>
      </c>
      <c r="C255" s="1" t="s">
        <v>23</v>
      </c>
      <c r="N255" s="5">
        <v>42318.0</v>
      </c>
      <c r="O255" s="1" t="s">
        <v>40</v>
      </c>
      <c r="P255" s="1" t="s">
        <v>29</v>
      </c>
      <c r="Q255" s="1" t="s">
        <v>284</v>
      </c>
      <c r="R255" s="1">
        <v>1.0</v>
      </c>
      <c r="S255" s="1" t="s">
        <v>43</v>
      </c>
    </row>
    <row r="256">
      <c r="A256" s="1">
        <v>255.0</v>
      </c>
      <c r="B256" s="1" t="s">
        <v>656</v>
      </c>
      <c r="C256" s="1" t="s">
        <v>23</v>
      </c>
      <c r="N256" s="5">
        <v>42633.0</v>
      </c>
      <c r="Q256" s="1" t="s">
        <v>284</v>
      </c>
      <c r="R256" s="1">
        <v>1.0</v>
      </c>
    </row>
    <row r="257">
      <c r="A257" s="1">
        <v>256.0</v>
      </c>
      <c r="B257" s="1" t="s">
        <v>657</v>
      </c>
      <c r="C257" s="1" t="s">
        <v>23</v>
      </c>
      <c r="N257" s="5">
        <v>44558.0</v>
      </c>
      <c r="Q257" s="1" t="s">
        <v>300</v>
      </c>
    </row>
    <row r="258">
      <c r="A258" s="1">
        <v>257.0</v>
      </c>
      <c r="B258" s="1" t="s">
        <v>658</v>
      </c>
      <c r="C258" s="1" t="s">
        <v>23</v>
      </c>
      <c r="N258" s="5">
        <v>42449.0</v>
      </c>
      <c r="Q258" s="1" t="s">
        <v>284</v>
      </c>
      <c r="R258" s="1">
        <v>1.0</v>
      </c>
    </row>
    <row r="259">
      <c r="A259" s="1">
        <v>258.0</v>
      </c>
      <c r="B259" s="1" t="s">
        <v>660</v>
      </c>
      <c r="C259" s="1" t="s">
        <v>23</v>
      </c>
      <c r="N259" s="5">
        <v>42423.0</v>
      </c>
      <c r="Q259" s="1" t="s">
        <v>300</v>
      </c>
    </row>
    <row r="260">
      <c r="A260" s="1">
        <v>259.0</v>
      </c>
      <c r="B260" s="1" t="s">
        <v>663</v>
      </c>
      <c r="C260" s="1" t="s">
        <v>23</v>
      </c>
      <c r="N260" s="5">
        <v>42261.0</v>
      </c>
      <c r="Q260" s="1" t="s">
        <v>665</v>
      </c>
    </row>
    <row r="261">
      <c r="A261" s="1">
        <v>260.0</v>
      </c>
      <c r="B261" s="1" t="s">
        <v>666</v>
      </c>
      <c r="C261" s="1" t="s">
        <v>23</v>
      </c>
      <c r="D261" s="1">
        <v>2.0</v>
      </c>
      <c r="H261" s="1" t="s">
        <v>49</v>
      </c>
      <c r="I261" s="4">
        <v>45370.89986111111</v>
      </c>
      <c r="J261" s="1" t="s">
        <v>667</v>
      </c>
      <c r="L261" s="1">
        <v>150.0</v>
      </c>
    </row>
    <row r="262">
      <c r="A262" s="1">
        <v>261.0</v>
      </c>
      <c r="B262" s="1" t="s">
        <v>670</v>
      </c>
      <c r="C262" s="1" t="s">
        <v>23</v>
      </c>
      <c r="N262" s="5">
        <v>46101.0</v>
      </c>
      <c r="Q262" s="1" t="s">
        <v>671</v>
      </c>
      <c r="R262" s="1">
        <v>9.0</v>
      </c>
    </row>
    <row r="263">
      <c r="A263" s="1">
        <v>262.0</v>
      </c>
      <c r="B263" s="1" t="s">
        <v>672</v>
      </c>
      <c r="C263" s="1" t="s">
        <v>23</v>
      </c>
      <c r="N263" s="5">
        <v>42891.0</v>
      </c>
      <c r="Q263" s="1" t="s">
        <v>673</v>
      </c>
    </row>
    <row r="264">
      <c r="A264" s="1">
        <v>263.0</v>
      </c>
      <c r="B264" s="1" t="s">
        <v>674</v>
      </c>
      <c r="C264" s="1" t="s">
        <v>23</v>
      </c>
      <c r="N264" s="5">
        <v>42909.0</v>
      </c>
      <c r="Q264" s="1" t="s">
        <v>284</v>
      </c>
      <c r="R264" s="1">
        <v>1.0</v>
      </c>
    </row>
    <row r="265">
      <c r="A265" s="1">
        <v>264.0</v>
      </c>
      <c r="B265" s="1" t="s">
        <v>675</v>
      </c>
      <c r="C265" s="1" t="s">
        <v>23</v>
      </c>
      <c r="N265" s="5">
        <v>46101.0</v>
      </c>
      <c r="Q265" s="1" t="s">
        <v>676</v>
      </c>
      <c r="R265" s="1">
        <v>11.0</v>
      </c>
    </row>
    <row r="266">
      <c r="A266" s="1">
        <v>265.0</v>
      </c>
      <c r="B266" s="1" t="s">
        <v>677</v>
      </c>
      <c r="C266" s="1" t="s">
        <v>23</v>
      </c>
      <c r="N266" s="5">
        <v>42382.0</v>
      </c>
      <c r="O266" s="1" t="s">
        <v>28</v>
      </c>
      <c r="P266" s="1" t="s">
        <v>29</v>
      </c>
      <c r="Q266" s="1" t="s">
        <v>300</v>
      </c>
      <c r="S266" s="1" t="s">
        <v>76</v>
      </c>
    </row>
    <row r="267">
      <c r="A267" s="1">
        <v>266.0</v>
      </c>
      <c r="B267" s="1" t="s">
        <v>680</v>
      </c>
      <c r="C267" s="1" t="s">
        <v>23</v>
      </c>
      <c r="N267" s="5">
        <v>42255.0</v>
      </c>
      <c r="Q267" s="1" t="s">
        <v>300</v>
      </c>
    </row>
    <row r="268">
      <c r="A268" s="1">
        <v>267.0</v>
      </c>
      <c r="B268" s="1" t="s">
        <v>681</v>
      </c>
      <c r="C268" s="1" t="s">
        <v>23</v>
      </c>
      <c r="N268" s="5">
        <v>42515.0</v>
      </c>
      <c r="Q268" s="1" t="s">
        <v>300</v>
      </c>
    </row>
    <row r="269">
      <c r="A269" s="1">
        <v>268.0</v>
      </c>
      <c r="B269" s="1" t="s">
        <v>682</v>
      </c>
      <c r="C269" s="1" t="s">
        <v>23</v>
      </c>
      <c r="N269" s="5">
        <v>42593.0</v>
      </c>
      <c r="Q269" s="1" t="s">
        <v>300</v>
      </c>
    </row>
    <row r="270">
      <c r="A270" s="1">
        <v>269.0</v>
      </c>
      <c r="B270" s="1" t="s">
        <v>686</v>
      </c>
      <c r="C270" s="1" t="s">
        <v>23</v>
      </c>
      <c r="N270" s="5">
        <v>46048.0</v>
      </c>
      <c r="Q270" s="1" t="s">
        <v>687</v>
      </c>
      <c r="R270" s="1">
        <v>1.0</v>
      </c>
    </row>
    <row r="271">
      <c r="A271" s="1">
        <v>270.0</v>
      </c>
      <c r="B271" s="1" t="s">
        <v>689</v>
      </c>
      <c r="C271" s="1" t="s">
        <v>23</v>
      </c>
      <c r="N271" s="5">
        <v>42367.0</v>
      </c>
      <c r="Q271" s="1" t="s">
        <v>300</v>
      </c>
    </row>
    <row r="272">
      <c r="A272" s="1">
        <v>271.0</v>
      </c>
      <c r="B272" s="1" t="s">
        <v>692</v>
      </c>
      <c r="C272" s="1" t="s">
        <v>23</v>
      </c>
      <c r="N272" s="5">
        <v>42387.0</v>
      </c>
      <c r="Q272" s="1" t="s">
        <v>284</v>
      </c>
      <c r="R272" s="1">
        <v>1.0</v>
      </c>
    </row>
    <row r="273">
      <c r="A273" s="1">
        <v>272.0</v>
      </c>
      <c r="B273" s="1" t="s">
        <v>694</v>
      </c>
      <c r="C273" s="1" t="s">
        <v>23</v>
      </c>
      <c r="N273" s="5">
        <v>46001.0</v>
      </c>
      <c r="Q273" s="1" t="s">
        <v>696</v>
      </c>
      <c r="R273" s="1">
        <v>1.0</v>
      </c>
    </row>
    <row r="274">
      <c r="A274" s="1">
        <v>273.0</v>
      </c>
      <c r="B274" s="1" t="s">
        <v>697</v>
      </c>
      <c r="C274" s="1" t="s">
        <v>23</v>
      </c>
      <c r="N274" s="5">
        <v>42614.0</v>
      </c>
      <c r="Q274" s="1" t="s">
        <v>284</v>
      </c>
      <c r="R274" s="1">
        <v>1.0</v>
      </c>
    </row>
    <row r="275">
      <c r="A275" s="1">
        <v>274.0</v>
      </c>
      <c r="B275" s="1" t="s">
        <v>699</v>
      </c>
      <c r="C275" s="1" t="s">
        <v>23</v>
      </c>
      <c r="N275" s="5">
        <v>46101.0</v>
      </c>
      <c r="Q275" s="1" t="s">
        <v>701</v>
      </c>
      <c r="R275" s="1">
        <v>13.0</v>
      </c>
    </row>
    <row r="276">
      <c r="A276" s="1">
        <v>275.0</v>
      </c>
      <c r="B276" s="1" t="s">
        <v>702</v>
      </c>
      <c r="C276" s="1" t="s">
        <v>23</v>
      </c>
      <c r="N276" s="5">
        <v>42857.0</v>
      </c>
      <c r="Q276" s="1" t="s">
        <v>284</v>
      </c>
      <c r="R276" s="1">
        <v>1.0</v>
      </c>
    </row>
    <row r="277">
      <c r="A277" s="1">
        <v>276.0</v>
      </c>
      <c r="B277" s="1" t="s">
        <v>706</v>
      </c>
      <c r="C277" s="1" t="s">
        <v>23</v>
      </c>
      <c r="N277" s="5">
        <v>42352.0</v>
      </c>
      <c r="Q277" s="1" t="s">
        <v>284</v>
      </c>
      <c r="R277" s="1">
        <v>1.0</v>
      </c>
    </row>
    <row r="278">
      <c r="A278" s="1">
        <v>277.0</v>
      </c>
      <c r="B278" s="1" t="s">
        <v>708</v>
      </c>
      <c r="C278" s="1" t="s">
        <v>23</v>
      </c>
      <c r="N278" s="5">
        <v>42943.0</v>
      </c>
      <c r="Q278" s="1" t="s">
        <v>284</v>
      </c>
      <c r="R278" s="1">
        <v>1.0</v>
      </c>
    </row>
    <row r="279">
      <c r="A279" s="1">
        <v>278.0</v>
      </c>
      <c r="B279" s="1" t="s">
        <v>710</v>
      </c>
      <c r="C279" s="1" t="s">
        <v>23</v>
      </c>
      <c r="N279" s="5">
        <v>42499.0</v>
      </c>
      <c r="O279" s="1" t="s">
        <v>91</v>
      </c>
      <c r="P279" s="1" t="s">
        <v>29</v>
      </c>
      <c r="Q279" s="1" t="s">
        <v>300</v>
      </c>
      <c r="S279" s="1" t="s">
        <v>163</v>
      </c>
    </row>
    <row r="280">
      <c r="A280" s="1">
        <v>279.0</v>
      </c>
      <c r="B280" s="1" t="s">
        <v>712</v>
      </c>
      <c r="C280" s="1" t="s">
        <v>23</v>
      </c>
      <c r="N280" s="5">
        <v>42343.0</v>
      </c>
      <c r="Q280" s="1" t="s">
        <v>284</v>
      </c>
      <c r="R280" s="1">
        <v>1.0</v>
      </c>
    </row>
    <row r="281">
      <c r="A281" s="1">
        <v>280.0</v>
      </c>
      <c r="B281" s="1" t="s">
        <v>714</v>
      </c>
      <c r="C281" s="1" t="s">
        <v>23</v>
      </c>
      <c r="N281" s="5">
        <v>46103.0</v>
      </c>
      <c r="Q281" s="1" t="s">
        <v>716</v>
      </c>
      <c r="R281" s="1">
        <v>14.0</v>
      </c>
    </row>
    <row r="282">
      <c r="A282" s="1">
        <v>281.0</v>
      </c>
      <c r="B282" s="1" t="s">
        <v>717</v>
      </c>
      <c r="C282" s="1" t="s">
        <v>23</v>
      </c>
      <c r="N282" s="5">
        <v>42627.0</v>
      </c>
      <c r="Q282" s="1" t="s">
        <v>719</v>
      </c>
    </row>
    <row r="283">
      <c r="A283" s="1">
        <v>282.0</v>
      </c>
      <c r="B283" s="1" t="s">
        <v>721</v>
      </c>
      <c r="C283" s="1" t="s">
        <v>23</v>
      </c>
      <c r="N283" s="5">
        <v>46101.0</v>
      </c>
      <c r="Q283" s="1" t="s">
        <v>722</v>
      </c>
    </row>
    <row r="284">
      <c r="A284" s="1">
        <v>283.0</v>
      </c>
      <c r="B284" s="1" t="s">
        <v>724</v>
      </c>
      <c r="C284" s="1" t="s">
        <v>23</v>
      </c>
      <c r="N284" s="5">
        <v>43152.0</v>
      </c>
      <c r="Q284" s="1" t="s">
        <v>284</v>
      </c>
      <c r="R284" s="1">
        <v>1.0</v>
      </c>
    </row>
    <row r="285">
      <c r="A285" s="1">
        <v>284.0</v>
      </c>
      <c r="B285" s="1" t="s">
        <v>725</v>
      </c>
      <c r="C285" s="1" t="s">
        <v>23</v>
      </c>
      <c r="N285" s="5">
        <v>42425.0</v>
      </c>
      <c r="Q285" s="1" t="s">
        <v>300</v>
      </c>
    </row>
    <row r="286">
      <c r="A286" s="1">
        <v>285.0</v>
      </c>
      <c r="B286" s="1" t="s">
        <v>727</v>
      </c>
      <c r="C286" s="1" t="s">
        <v>23</v>
      </c>
      <c r="N286" s="5">
        <v>42808.0</v>
      </c>
      <c r="Q286" s="1" t="s">
        <v>284</v>
      </c>
      <c r="R286" s="1">
        <v>1.0</v>
      </c>
    </row>
    <row r="287">
      <c r="A287" s="1">
        <v>286.0</v>
      </c>
      <c r="B287" s="1" t="s">
        <v>729</v>
      </c>
      <c r="C287" s="1" t="s">
        <v>23</v>
      </c>
      <c r="N287" s="5">
        <v>45995.0</v>
      </c>
      <c r="Q287" s="1" t="s">
        <v>730</v>
      </c>
      <c r="R287" s="1">
        <v>1.0</v>
      </c>
    </row>
    <row r="288">
      <c r="A288" s="1">
        <v>287.0</v>
      </c>
      <c r="B288" s="1" t="s">
        <v>731</v>
      </c>
      <c r="C288" s="1" t="s">
        <v>23</v>
      </c>
      <c r="N288" s="5">
        <v>42358.0</v>
      </c>
      <c r="Q288" s="1" t="s">
        <v>284</v>
      </c>
      <c r="R288" s="1">
        <v>1.0</v>
      </c>
    </row>
    <row r="289">
      <c r="A289" s="1">
        <v>288.0</v>
      </c>
      <c r="B289" s="1" t="s">
        <v>733</v>
      </c>
      <c r="C289" s="1" t="s">
        <v>23</v>
      </c>
      <c r="N289" s="5">
        <v>46101.0</v>
      </c>
      <c r="Q289" s="1" t="s">
        <v>735</v>
      </c>
    </row>
    <row r="290">
      <c r="A290" s="1">
        <v>289.0</v>
      </c>
      <c r="B290" s="1" t="s">
        <v>736</v>
      </c>
      <c r="C290" s="1" t="s">
        <v>23</v>
      </c>
      <c r="N290" s="5">
        <v>42248.0</v>
      </c>
      <c r="Q290" s="1" t="s">
        <v>739</v>
      </c>
    </row>
    <row r="291">
      <c r="A291" s="1">
        <v>290.0</v>
      </c>
      <c r="B291" s="1" t="s">
        <v>742</v>
      </c>
      <c r="C291" s="1" t="s">
        <v>23</v>
      </c>
      <c r="N291" s="5">
        <v>42285.0</v>
      </c>
      <c r="Q291" s="1" t="s">
        <v>284</v>
      </c>
      <c r="R291" s="1">
        <v>1.0</v>
      </c>
    </row>
    <row r="292">
      <c r="A292" s="1">
        <v>291.0</v>
      </c>
      <c r="B292" s="1" t="s">
        <v>744</v>
      </c>
      <c r="C292" s="1" t="s">
        <v>23</v>
      </c>
      <c r="N292" s="5">
        <v>42292.0</v>
      </c>
      <c r="Q292" s="1" t="s">
        <v>300</v>
      </c>
    </row>
    <row r="293">
      <c r="A293" s="1">
        <v>292.0</v>
      </c>
      <c r="B293" s="1" t="s">
        <v>746</v>
      </c>
      <c r="C293" s="1" t="s">
        <v>23</v>
      </c>
      <c r="N293" s="5">
        <v>46005.0</v>
      </c>
      <c r="Q293" s="1" t="s">
        <v>749</v>
      </c>
      <c r="R293" s="1">
        <v>1.0</v>
      </c>
    </row>
    <row r="294">
      <c r="A294" s="1">
        <v>293.0</v>
      </c>
      <c r="B294" s="1" t="s">
        <v>750</v>
      </c>
      <c r="C294" s="1" t="s">
        <v>23</v>
      </c>
      <c r="N294" s="5">
        <v>42949.0</v>
      </c>
      <c r="Q294" s="1" t="s">
        <v>300</v>
      </c>
    </row>
    <row r="295">
      <c r="A295" s="1">
        <v>294.0</v>
      </c>
      <c r="B295" s="1" t="s">
        <v>752</v>
      </c>
      <c r="C295" s="1" t="s">
        <v>23</v>
      </c>
      <c r="N295" s="5">
        <v>42458.0</v>
      </c>
      <c r="Q295" s="1" t="s">
        <v>300</v>
      </c>
    </row>
    <row r="296">
      <c r="A296" s="1">
        <v>295.0</v>
      </c>
      <c r="B296" s="1" t="s">
        <v>753</v>
      </c>
      <c r="C296" s="1" t="s">
        <v>23</v>
      </c>
      <c r="N296" s="5">
        <v>43165.0</v>
      </c>
      <c r="Q296" s="1" t="s">
        <v>300</v>
      </c>
    </row>
    <row r="297">
      <c r="A297" s="1">
        <v>296.0</v>
      </c>
      <c r="B297" s="1" t="s">
        <v>755</v>
      </c>
      <c r="C297" s="1" t="s">
        <v>23</v>
      </c>
      <c r="N297" s="5">
        <v>42466.0</v>
      </c>
      <c r="Q297" s="1" t="s">
        <v>284</v>
      </c>
      <c r="R297" s="1">
        <v>1.0</v>
      </c>
    </row>
    <row r="298">
      <c r="A298" s="1">
        <v>297.0</v>
      </c>
      <c r="B298" s="1" t="s">
        <v>757</v>
      </c>
      <c r="C298" s="1" t="s">
        <v>23</v>
      </c>
      <c r="F298" s="1">
        <v>0.04</v>
      </c>
      <c r="N298" s="5">
        <v>42282.0</v>
      </c>
      <c r="O298" s="1" t="s">
        <v>143</v>
      </c>
      <c r="P298" s="1" t="s">
        <v>29</v>
      </c>
      <c r="Q298" s="1" t="s">
        <v>759</v>
      </c>
      <c r="R298" s="1">
        <v>1.0</v>
      </c>
      <c r="S298" s="1" t="s">
        <v>43</v>
      </c>
    </row>
    <row r="299">
      <c r="A299" s="1">
        <v>298.0</v>
      </c>
      <c r="B299" s="1" t="s">
        <v>762</v>
      </c>
      <c r="C299" s="1" t="s">
        <v>23</v>
      </c>
      <c r="N299" s="5">
        <v>45994.0</v>
      </c>
      <c r="Q299" s="1" t="s">
        <v>763</v>
      </c>
      <c r="R299" s="1">
        <v>1.0</v>
      </c>
    </row>
    <row r="300">
      <c r="A300" s="1">
        <v>299.0</v>
      </c>
      <c r="B300" s="1" t="s">
        <v>764</v>
      </c>
      <c r="C300" s="1" t="s">
        <v>23</v>
      </c>
      <c r="N300" s="5">
        <v>42539.0</v>
      </c>
      <c r="Q300" s="1" t="s">
        <v>284</v>
      </c>
      <c r="R300" s="1">
        <v>1.0</v>
      </c>
    </row>
    <row r="301">
      <c r="A301" s="1">
        <v>300.0</v>
      </c>
      <c r="B301" s="1" t="s">
        <v>765</v>
      </c>
      <c r="C301" s="1" t="s">
        <v>23</v>
      </c>
      <c r="N301" s="5">
        <v>44763.0</v>
      </c>
      <c r="Q301" s="1" t="s">
        <v>766</v>
      </c>
    </row>
    <row r="302">
      <c r="A302" s="1">
        <v>301.0</v>
      </c>
      <c r="B302" s="1" t="s">
        <v>767</v>
      </c>
      <c r="C302" s="1" t="s">
        <v>23</v>
      </c>
      <c r="N302" s="5">
        <v>42857.0</v>
      </c>
      <c r="Q302" s="1" t="s">
        <v>284</v>
      </c>
      <c r="R302" s="1">
        <v>1.0</v>
      </c>
    </row>
    <row r="303">
      <c r="A303" s="1">
        <v>302.0</v>
      </c>
      <c r="B303" s="1" t="s">
        <v>769</v>
      </c>
      <c r="C303" s="1" t="s">
        <v>23</v>
      </c>
      <c r="N303" s="5">
        <v>42653.0</v>
      </c>
      <c r="Q303" s="1" t="s">
        <v>300</v>
      </c>
    </row>
    <row r="304">
      <c r="A304" s="1">
        <v>303.0</v>
      </c>
      <c r="B304" s="1" t="s">
        <v>772</v>
      </c>
      <c r="C304" s="1" t="s">
        <v>23</v>
      </c>
      <c r="N304" s="5">
        <v>42435.0</v>
      </c>
      <c r="Q304" s="1" t="s">
        <v>773</v>
      </c>
      <c r="R304" s="1">
        <v>14.0</v>
      </c>
    </row>
    <row r="305">
      <c r="A305" s="1">
        <v>304.0</v>
      </c>
      <c r="B305" s="1" t="s">
        <v>775</v>
      </c>
      <c r="C305" s="1" t="s">
        <v>23</v>
      </c>
      <c r="N305" s="5">
        <v>42562.0</v>
      </c>
      <c r="Q305" s="1" t="s">
        <v>284</v>
      </c>
      <c r="R305" s="1">
        <v>1.0</v>
      </c>
    </row>
    <row r="306">
      <c r="A306" s="1">
        <v>305.0</v>
      </c>
      <c r="B306" s="1" t="s">
        <v>779</v>
      </c>
      <c r="C306" s="1" t="s">
        <v>23</v>
      </c>
      <c r="N306" s="5">
        <v>45999.0</v>
      </c>
      <c r="Q306" s="1" t="s">
        <v>780</v>
      </c>
      <c r="R306" s="1">
        <v>1.0</v>
      </c>
    </row>
    <row r="307">
      <c r="A307" s="1">
        <v>306.0</v>
      </c>
      <c r="B307" s="1" t="s">
        <v>781</v>
      </c>
      <c r="C307" s="1" t="s">
        <v>23</v>
      </c>
      <c r="N307" s="5">
        <v>44769.0</v>
      </c>
      <c r="Q307" s="1" t="s">
        <v>284</v>
      </c>
      <c r="R307" s="1">
        <v>1.0</v>
      </c>
    </row>
    <row r="308">
      <c r="A308" s="1">
        <v>307.0</v>
      </c>
      <c r="B308" s="1" t="s">
        <v>783</v>
      </c>
      <c r="C308" s="1" t="s">
        <v>23</v>
      </c>
      <c r="N308" s="5">
        <v>42269.0</v>
      </c>
      <c r="Q308" s="1" t="s">
        <v>284</v>
      </c>
      <c r="R308" s="1">
        <v>1.0</v>
      </c>
    </row>
    <row r="309">
      <c r="A309" s="1">
        <v>308.0</v>
      </c>
      <c r="B309" s="1" t="s">
        <v>785</v>
      </c>
      <c r="C309" s="1" t="s">
        <v>23</v>
      </c>
      <c r="N309" s="5">
        <v>44790.0</v>
      </c>
      <c r="Q309" s="1" t="s">
        <v>300</v>
      </c>
    </row>
    <row r="310">
      <c r="A310" s="1">
        <v>309.0</v>
      </c>
      <c r="B310" s="1" t="s">
        <v>786</v>
      </c>
      <c r="C310" s="1" t="s">
        <v>23</v>
      </c>
      <c r="N310" s="5">
        <v>46101.0</v>
      </c>
      <c r="Q310" s="1" t="s">
        <v>787</v>
      </c>
      <c r="R310" s="1">
        <v>13.0</v>
      </c>
    </row>
    <row r="311">
      <c r="A311" s="1">
        <v>310.0</v>
      </c>
      <c r="B311" s="1" t="s">
        <v>788</v>
      </c>
      <c r="C311" s="1" t="s">
        <v>23</v>
      </c>
      <c r="N311" s="5">
        <v>42332.0</v>
      </c>
      <c r="Q311" s="1" t="s">
        <v>300</v>
      </c>
    </row>
    <row r="312">
      <c r="A312" s="1">
        <v>311.0</v>
      </c>
      <c r="B312" s="1" t="s">
        <v>789</v>
      </c>
      <c r="C312" s="1" t="s">
        <v>23</v>
      </c>
      <c r="N312" s="5">
        <v>45944.0</v>
      </c>
      <c r="Q312" s="1" t="s">
        <v>792</v>
      </c>
      <c r="R312" s="1">
        <v>1.0</v>
      </c>
    </row>
    <row r="313">
      <c r="A313" s="1">
        <v>312.0</v>
      </c>
      <c r="B313" s="1" t="s">
        <v>793</v>
      </c>
      <c r="C313" s="1" t="s">
        <v>23</v>
      </c>
      <c r="N313" s="5">
        <v>46121.0</v>
      </c>
      <c r="Q313" s="1" t="s">
        <v>794</v>
      </c>
    </row>
    <row r="314">
      <c r="A314" s="1">
        <v>313.0</v>
      </c>
      <c r="B314" s="1" t="s">
        <v>796</v>
      </c>
      <c r="C314" s="1" t="s">
        <v>23</v>
      </c>
      <c r="K314" s="1">
        <v>10.0</v>
      </c>
      <c r="N314" s="5">
        <v>42413.0</v>
      </c>
      <c r="O314" s="1" t="s">
        <v>28</v>
      </c>
      <c r="P314" s="1" t="s">
        <v>29</v>
      </c>
      <c r="Q314" s="1" t="s">
        <v>797</v>
      </c>
      <c r="R314" s="1">
        <v>1.0</v>
      </c>
      <c r="S314" s="1" t="s">
        <v>76</v>
      </c>
    </row>
    <row r="315">
      <c r="A315" s="1">
        <v>314.0</v>
      </c>
      <c r="B315" s="1" t="s">
        <v>798</v>
      </c>
      <c r="C315" s="1" t="s">
        <v>23</v>
      </c>
      <c r="N315" s="5">
        <v>42308.0</v>
      </c>
      <c r="Q315" s="1" t="s">
        <v>300</v>
      </c>
    </row>
    <row r="316">
      <c r="A316" s="1">
        <v>315.0</v>
      </c>
      <c r="B316" s="1" t="s">
        <v>799</v>
      </c>
      <c r="C316" s="1" t="s">
        <v>23</v>
      </c>
      <c r="N316" s="5">
        <v>42631.0</v>
      </c>
      <c r="Q316" s="1" t="s">
        <v>284</v>
      </c>
      <c r="R316" s="1">
        <v>1.0</v>
      </c>
    </row>
    <row r="317">
      <c r="A317" s="1">
        <v>316.0</v>
      </c>
      <c r="B317" s="1" t="s">
        <v>800</v>
      </c>
      <c r="C317" s="1" t="s">
        <v>23</v>
      </c>
      <c r="N317" s="5">
        <v>42913.0</v>
      </c>
      <c r="Q317" s="1" t="s">
        <v>300</v>
      </c>
    </row>
    <row r="318">
      <c r="A318" s="1">
        <v>317.0</v>
      </c>
      <c r="B318" s="1" t="s">
        <v>803</v>
      </c>
      <c r="C318" s="1" t="s">
        <v>23</v>
      </c>
      <c r="N318" s="5">
        <v>43168.0</v>
      </c>
      <c r="Q318" s="1" t="s">
        <v>804</v>
      </c>
      <c r="R318" s="1">
        <v>5.0</v>
      </c>
    </row>
    <row r="319">
      <c r="A319" s="1">
        <v>318.0</v>
      </c>
      <c r="B319" s="1" t="s">
        <v>805</v>
      </c>
      <c r="C319" s="1" t="s">
        <v>23</v>
      </c>
      <c r="N319" s="5">
        <v>46099.0</v>
      </c>
      <c r="Q319" s="1" t="s">
        <v>806</v>
      </c>
    </row>
    <row r="320">
      <c r="A320" s="1">
        <v>319.0</v>
      </c>
      <c r="B320" s="1" t="s">
        <v>807</v>
      </c>
      <c r="C320" s="1" t="s">
        <v>23</v>
      </c>
      <c r="N320" s="5">
        <v>46101.0</v>
      </c>
      <c r="Q320" s="1" t="s">
        <v>808</v>
      </c>
      <c r="R320" s="1">
        <v>4.0</v>
      </c>
    </row>
    <row r="321">
      <c r="A321" s="1">
        <v>320.0</v>
      </c>
      <c r="B321" s="1" t="s">
        <v>810</v>
      </c>
      <c r="C321" s="1" t="s">
        <v>23</v>
      </c>
      <c r="N321" s="5">
        <v>42449.0</v>
      </c>
      <c r="Q321" s="1" t="s">
        <v>284</v>
      </c>
      <c r="R321" s="1">
        <v>1.0</v>
      </c>
    </row>
    <row r="322">
      <c r="A322" s="1">
        <v>321.0</v>
      </c>
      <c r="B322" s="1" t="s">
        <v>812</v>
      </c>
      <c r="C322" s="1" t="s">
        <v>23</v>
      </c>
      <c r="N322" s="5">
        <v>42760.0</v>
      </c>
      <c r="Q322" s="1" t="s">
        <v>284</v>
      </c>
      <c r="R322" s="1">
        <v>1.0</v>
      </c>
    </row>
    <row r="323">
      <c r="A323" s="1">
        <v>322.0</v>
      </c>
      <c r="B323" s="1" t="s">
        <v>814</v>
      </c>
      <c r="C323" s="1" t="s">
        <v>23</v>
      </c>
      <c r="N323" s="5">
        <v>42321.0</v>
      </c>
      <c r="Q323" s="1" t="s">
        <v>284</v>
      </c>
      <c r="R323" s="1">
        <v>1.0</v>
      </c>
    </row>
    <row r="324">
      <c r="A324" s="1">
        <v>323.0</v>
      </c>
      <c r="B324" s="1" t="s">
        <v>816</v>
      </c>
      <c r="C324" s="1" t="s">
        <v>23</v>
      </c>
      <c r="N324" s="5">
        <v>43147.0</v>
      </c>
      <c r="Q324" s="1" t="s">
        <v>284</v>
      </c>
      <c r="R324" s="1">
        <v>1.0</v>
      </c>
    </row>
    <row r="325">
      <c r="A325" s="1">
        <v>324.0</v>
      </c>
      <c r="B325" s="1" t="s">
        <v>817</v>
      </c>
      <c r="C325" s="1" t="s">
        <v>23</v>
      </c>
      <c r="N325" s="5">
        <v>44810.0</v>
      </c>
      <c r="Q325" s="1" t="s">
        <v>284</v>
      </c>
      <c r="R325" s="1">
        <v>1.0</v>
      </c>
    </row>
    <row r="326">
      <c r="A326" s="1">
        <v>325.0</v>
      </c>
      <c r="B326" s="1" t="s">
        <v>819</v>
      </c>
      <c r="C326" s="1" t="s">
        <v>23</v>
      </c>
      <c r="N326" s="5">
        <v>45516.0</v>
      </c>
      <c r="Q326" s="1" t="s">
        <v>820</v>
      </c>
      <c r="R326" s="1">
        <v>1.0</v>
      </c>
    </row>
    <row r="327">
      <c r="A327" s="1">
        <v>326.0</v>
      </c>
      <c r="B327" s="1" t="s">
        <v>823</v>
      </c>
      <c r="C327" s="1" t="s">
        <v>23</v>
      </c>
      <c r="N327" s="5">
        <v>42425.0</v>
      </c>
      <c r="Q327" s="1" t="s">
        <v>300</v>
      </c>
    </row>
    <row r="328">
      <c r="A328" s="1">
        <v>327.0</v>
      </c>
      <c r="B328" s="1" t="s">
        <v>825</v>
      </c>
      <c r="C328" s="1" t="s">
        <v>23</v>
      </c>
      <c r="N328" s="5">
        <v>43592.0</v>
      </c>
      <c r="Q328" s="1" t="s">
        <v>826</v>
      </c>
      <c r="R328" s="1">
        <v>2.0</v>
      </c>
    </row>
    <row r="329">
      <c r="A329" s="1">
        <v>328.0</v>
      </c>
      <c r="B329" s="1" t="s">
        <v>829</v>
      </c>
      <c r="C329" s="1" t="s">
        <v>23</v>
      </c>
      <c r="N329" s="5">
        <v>42740.0</v>
      </c>
      <c r="Q329" s="1" t="s">
        <v>300</v>
      </c>
    </row>
    <row r="330">
      <c r="A330" s="1">
        <v>329.0</v>
      </c>
      <c r="B330" s="1" t="s">
        <v>831</v>
      </c>
      <c r="C330" s="1" t="s">
        <v>23</v>
      </c>
      <c r="N330" s="5">
        <v>46092.0</v>
      </c>
      <c r="Q330" s="1" t="s">
        <v>832</v>
      </c>
    </row>
    <row r="331">
      <c r="A331" s="1">
        <v>330.0</v>
      </c>
      <c r="B331" s="1" t="s">
        <v>833</v>
      </c>
      <c r="C331" s="1" t="s">
        <v>23</v>
      </c>
      <c r="N331" s="5">
        <v>46092.0</v>
      </c>
      <c r="Q331" s="1" t="s">
        <v>835</v>
      </c>
    </row>
    <row r="332">
      <c r="A332" s="1">
        <v>331.0</v>
      </c>
      <c r="B332" s="1" t="s">
        <v>836</v>
      </c>
      <c r="C332" s="1" t="s">
        <v>23</v>
      </c>
      <c r="N332" s="5">
        <v>45082.0</v>
      </c>
      <c r="Q332" s="1" t="s">
        <v>838</v>
      </c>
      <c r="R332" s="1">
        <v>1.0</v>
      </c>
    </row>
    <row r="333">
      <c r="A333" s="1">
        <v>332.0</v>
      </c>
      <c r="B333" s="1" t="s">
        <v>841</v>
      </c>
      <c r="C333" s="1" t="s">
        <v>23</v>
      </c>
      <c r="N333" s="5">
        <v>42423.0</v>
      </c>
      <c r="Q333" s="1" t="s">
        <v>284</v>
      </c>
      <c r="R333" s="1">
        <v>1.0</v>
      </c>
    </row>
    <row r="334">
      <c r="A334" s="1">
        <v>333.0</v>
      </c>
      <c r="B334" s="1" t="s">
        <v>845</v>
      </c>
      <c r="C334" s="1" t="s">
        <v>23</v>
      </c>
      <c r="N334" s="5">
        <v>46101.0</v>
      </c>
      <c r="Q334" s="1" t="s">
        <v>846</v>
      </c>
    </row>
    <row r="335">
      <c r="A335" s="1">
        <v>334.0</v>
      </c>
      <c r="B335" s="1" t="s">
        <v>847</v>
      </c>
      <c r="C335" s="1" t="s">
        <v>23</v>
      </c>
      <c r="N335" s="5">
        <v>42906.0</v>
      </c>
      <c r="Q335" s="1" t="s">
        <v>848</v>
      </c>
      <c r="R335" s="1">
        <v>1.0</v>
      </c>
    </row>
    <row r="336">
      <c r="A336" s="1">
        <v>335.0</v>
      </c>
      <c r="B336" s="1" t="s">
        <v>849</v>
      </c>
      <c r="C336" s="1" t="s">
        <v>23</v>
      </c>
      <c r="N336" s="5">
        <v>42419.0</v>
      </c>
      <c r="Q336" s="1" t="s">
        <v>284</v>
      </c>
      <c r="R336" s="1">
        <v>1.0</v>
      </c>
    </row>
    <row r="337">
      <c r="A337" s="1">
        <v>336.0</v>
      </c>
      <c r="B337" s="1" t="s">
        <v>853</v>
      </c>
      <c r="C337" s="1" t="s">
        <v>23</v>
      </c>
      <c r="N337" s="5">
        <v>46101.0</v>
      </c>
      <c r="Q337" s="1" t="s">
        <v>855</v>
      </c>
    </row>
    <row r="338">
      <c r="A338" s="1">
        <v>337.0</v>
      </c>
      <c r="B338" s="1" t="s">
        <v>857</v>
      </c>
      <c r="C338" s="1" t="s">
        <v>23</v>
      </c>
      <c r="N338" s="5">
        <v>46102.0</v>
      </c>
      <c r="Q338" s="1" t="s">
        <v>859</v>
      </c>
      <c r="R338" s="1">
        <v>13.0</v>
      </c>
    </row>
    <row r="339">
      <c r="A339" s="1">
        <v>338.0</v>
      </c>
      <c r="B339" s="1" t="s">
        <v>860</v>
      </c>
      <c r="C339" s="1" t="s">
        <v>23</v>
      </c>
      <c r="N339" s="5">
        <v>42896.0</v>
      </c>
      <c r="Q339" s="1" t="s">
        <v>284</v>
      </c>
      <c r="R339" s="1">
        <v>1.0</v>
      </c>
    </row>
    <row r="340">
      <c r="A340" s="1">
        <v>339.0</v>
      </c>
      <c r="B340" s="1" t="s">
        <v>862</v>
      </c>
      <c r="C340" s="1" t="s">
        <v>23</v>
      </c>
      <c r="N340" s="5">
        <v>42452.0</v>
      </c>
      <c r="Q340" s="1" t="s">
        <v>284</v>
      </c>
      <c r="R340" s="1">
        <v>1.0</v>
      </c>
    </row>
    <row r="341">
      <c r="A341" s="1">
        <v>340.0</v>
      </c>
      <c r="B341" s="1" t="s">
        <v>864</v>
      </c>
      <c r="C341" s="1" t="s">
        <v>23</v>
      </c>
      <c r="N341" s="5">
        <v>42535.0</v>
      </c>
      <c r="Q341" s="1" t="s">
        <v>300</v>
      </c>
    </row>
    <row r="342">
      <c r="A342" s="1">
        <v>341.0</v>
      </c>
      <c r="B342" s="1" t="s">
        <v>868</v>
      </c>
      <c r="C342" s="1" t="s">
        <v>23</v>
      </c>
      <c r="N342" s="5">
        <v>42495.0</v>
      </c>
      <c r="Q342" s="1" t="s">
        <v>284</v>
      </c>
      <c r="R342" s="1">
        <v>1.0</v>
      </c>
    </row>
    <row r="343">
      <c r="A343" s="1">
        <v>342.0</v>
      </c>
      <c r="B343" s="1" t="s">
        <v>871</v>
      </c>
      <c r="C343" s="1" t="s">
        <v>23</v>
      </c>
      <c r="N343" s="5">
        <v>42578.0</v>
      </c>
      <c r="Q343" s="1" t="s">
        <v>284</v>
      </c>
      <c r="R343" s="1">
        <v>1.0</v>
      </c>
    </row>
    <row r="344">
      <c r="A344" s="1">
        <v>343.0</v>
      </c>
      <c r="B344" s="1" t="s">
        <v>874</v>
      </c>
      <c r="C344" s="1" t="s">
        <v>23</v>
      </c>
      <c r="N344" s="5">
        <v>42280.0</v>
      </c>
      <c r="Q344" s="1" t="s">
        <v>284</v>
      </c>
      <c r="R344" s="1">
        <v>1.0</v>
      </c>
    </row>
    <row r="345">
      <c r="A345" s="1">
        <v>344.0</v>
      </c>
      <c r="B345" s="1" t="s">
        <v>877</v>
      </c>
      <c r="C345" s="1" t="s">
        <v>23</v>
      </c>
      <c r="N345" s="5">
        <v>42733.0</v>
      </c>
      <c r="Q345" s="1" t="s">
        <v>284</v>
      </c>
      <c r="R345" s="1">
        <v>1.0</v>
      </c>
    </row>
    <row r="346">
      <c r="A346" s="1">
        <v>345.0</v>
      </c>
      <c r="B346" s="1" t="s">
        <v>879</v>
      </c>
      <c r="C346" s="1" t="s">
        <v>23</v>
      </c>
      <c r="N346" s="5">
        <v>46002.0</v>
      </c>
      <c r="Q346" s="1" t="s">
        <v>880</v>
      </c>
    </row>
    <row r="347">
      <c r="A347" s="1">
        <v>346.0</v>
      </c>
      <c r="B347" s="1" t="s">
        <v>881</v>
      </c>
      <c r="C347" s="1" t="s">
        <v>23</v>
      </c>
      <c r="N347" s="5">
        <v>46100.0</v>
      </c>
      <c r="Q347" s="1" t="s">
        <v>884</v>
      </c>
      <c r="R347" s="1">
        <v>13.0</v>
      </c>
    </row>
    <row r="348">
      <c r="A348" s="1">
        <v>347.0</v>
      </c>
      <c r="B348" s="1" t="s">
        <v>885</v>
      </c>
      <c r="C348" s="1" t="s">
        <v>23</v>
      </c>
      <c r="N348" s="5">
        <v>45396.0</v>
      </c>
      <c r="Q348" s="1" t="s">
        <v>887</v>
      </c>
      <c r="R348" s="1">
        <v>1.0</v>
      </c>
    </row>
    <row r="349">
      <c r="A349" s="1">
        <v>348.0</v>
      </c>
      <c r="B349" s="1" t="s">
        <v>888</v>
      </c>
      <c r="C349" s="1" t="s">
        <v>23</v>
      </c>
      <c r="N349" s="5">
        <v>42313.0</v>
      </c>
      <c r="Q349" s="1" t="s">
        <v>284</v>
      </c>
      <c r="R349" s="1">
        <v>1.0</v>
      </c>
    </row>
    <row r="350">
      <c r="A350" s="1">
        <v>349.0</v>
      </c>
      <c r="B350" s="1" t="s">
        <v>890</v>
      </c>
      <c r="C350" s="1" t="s">
        <v>23</v>
      </c>
      <c r="N350" s="5">
        <v>42509.0</v>
      </c>
      <c r="Q350" s="1" t="s">
        <v>891</v>
      </c>
      <c r="R350" s="1">
        <v>1.0</v>
      </c>
    </row>
    <row r="351">
      <c r="A351" s="1">
        <v>350.0</v>
      </c>
      <c r="B351" s="1" t="s">
        <v>894</v>
      </c>
      <c r="C351" s="1" t="s">
        <v>23</v>
      </c>
      <c r="N351" s="5">
        <v>42438.0</v>
      </c>
      <c r="Q351" s="1" t="s">
        <v>300</v>
      </c>
    </row>
    <row r="352">
      <c r="A352" s="1">
        <v>351.0</v>
      </c>
      <c r="B352" s="1" t="s">
        <v>895</v>
      </c>
      <c r="C352" s="1" t="s">
        <v>23</v>
      </c>
      <c r="N352" s="5">
        <v>43103.0</v>
      </c>
      <c r="Q352" s="1" t="s">
        <v>300</v>
      </c>
    </row>
    <row r="353">
      <c r="A353" s="1">
        <v>352.0</v>
      </c>
      <c r="B353" s="1" t="s">
        <v>897</v>
      </c>
      <c r="C353" s="1" t="s">
        <v>23</v>
      </c>
      <c r="N353" s="5">
        <v>46010.0</v>
      </c>
      <c r="Q353" s="1" t="s">
        <v>898</v>
      </c>
      <c r="R353" s="1">
        <v>5.0</v>
      </c>
    </row>
    <row r="354">
      <c r="A354" s="1">
        <v>353.0</v>
      </c>
      <c r="B354" s="1" t="s">
        <v>899</v>
      </c>
      <c r="C354" s="1" t="s">
        <v>23</v>
      </c>
      <c r="N354" s="5">
        <v>42476.0</v>
      </c>
      <c r="Q354" s="1" t="s">
        <v>902</v>
      </c>
      <c r="R354" s="1">
        <v>1.0</v>
      </c>
    </row>
    <row r="355">
      <c r="A355" s="1">
        <v>354.0</v>
      </c>
      <c r="B355" s="1" t="s">
        <v>903</v>
      </c>
      <c r="C355" s="1" t="s">
        <v>23</v>
      </c>
      <c r="N355" s="5">
        <v>46096.0</v>
      </c>
      <c r="Q355" s="1" t="s">
        <v>906</v>
      </c>
    </row>
    <row r="356">
      <c r="A356" s="1">
        <v>355.0</v>
      </c>
      <c r="B356" s="1" t="s">
        <v>907</v>
      </c>
      <c r="C356" s="1" t="s">
        <v>23</v>
      </c>
      <c r="N356" s="5">
        <v>46098.0</v>
      </c>
      <c r="Q356" s="1" t="s">
        <v>908</v>
      </c>
      <c r="R356" s="1">
        <v>9.0</v>
      </c>
    </row>
  </sheetData>
  <autoFilter ref="$A$1:$Z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2">
      <c r="B2" s="1" t="s">
        <v>30</v>
      </c>
      <c r="I2" s="4"/>
      <c r="N2" s="5"/>
    </row>
    <row r="3">
      <c r="I3" s="4"/>
      <c r="N3" s="5"/>
    </row>
    <row r="4">
      <c r="I4" s="4"/>
      <c r="N4" s="5"/>
    </row>
    <row r="5">
      <c r="I5" s="4"/>
      <c r="N5" s="5"/>
    </row>
    <row r="6">
      <c r="I6" s="4"/>
      <c r="N6" s="5"/>
    </row>
    <row r="7">
      <c r="I7" s="4"/>
      <c r="N7" s="5"/>
    </row>
    <row r="8">
      <c r="I8" s="4"/>
      <c r="N8" s="5"/>
    </row>
    <row r="9">
      <c r="I9" s="4"/>
      <c r="N9" s="5"/>
    </row>
    <row r="10">
      <c r="N10" s="5"/>
    </row>
    <row r="11">
      <c r="I11" s="4"/>
      <c r="N11" s="5"/>
    </row>
    <row r="12">
      <c r="I12" s="4"/>
      <c r="N12" s="5"/>
    </row>
    <row r="13">
      <c r="N13" s="5"/>
    </row>
    <row r="14">
      <c r="I14" s="4"/>
      <c r="N14" s="5"/>
    </row>
    <row r="15">
      <c r="I15" s="4"/>
      <c r="N15" s="5"/>
    </row>
    <row r="16">
      <c r="I16" s="4"/>
      <c r="N16" s="5"/>
    </row>
    <row r="17">
      <c r="I17" s="4"/>
      <c r="N17" s="5"/>
    </row>
    <row r="18">
      <c r="I18" s="4"/>
      <c r="N18" s="5"/>
    </row>
    <row r="19">
      <c r="I19" s="4"/>
      <c r="N19" s="5"/>
    </row>
    <row r="20">
      <c r="N20" s="5"/>
    </row>
    <row r="21">
      <c r="N21" s="5"/>
    </row>
    <row r="22">
      <c r="N22" s="5"/>
    </row>
    <row r="23">
      <c r="N23" s="5"/>
    </row>
    <row r="24">
      <c r="I24" s="4"/>
      <c r="N24" s="5"/>
    </row>
    <row r="25">
      <c r="N25" s="5"/>
    </row>
    <row r="26">
      <c r="N26" s="5"/>
    </row>
    <row r="27">
      <c r="N27" s="5"/>
    </row>
    <row r="28">
      <c r="N28" s="5"/>
    </row>
    <row r="29">
      <c r="I29" s="4"/>
      <c r="N29" s="5"/>
    </row>
    <row r="30">
      <c r="I30" s="4"/>
      <c r="N30" s="5"/>
    </row>
    <row r="31">
      <c r="N31" s="5"/>
    </row>
    <row r="32">
      <c r="I32" s="4"/>
      <c r="N32" s="5"/>
    </row>
    <row r="33">
      <c r="N33" s="5"/>
    </row>
    <row r="34">
      <c r="I34" s="4"/>
      <c r="N34" s="5"/>
    </row>
    <row r="35">
      <c r="N35" s="5"/>
    </row>
    <row r="36">
      <c r="N36" s="5"/>
    </row>
    <row r="37">
      <c r="I37" s="4"/>
      <c r="N37" s="5"/>
    </row>
    <row r="38">
      <c r="N38" s="5"/>
    </row>
    <row r="39">
      <c r="I39" s="4"/>
      <c r="N39" s="5"/>
    </row>
    <row r="40">
      <c r="I40" s="4"/>
      <c r="N40" s="5"/>
    </row>
    <row r="41">
      <c r="N41" s="5"/>
    </row>
    <row r="42">
      <c r="N42" s="5"/>
    </row>
    <row r="43">
      <c r="I43" s="4"/>
      <c r="N43" s="5"/>
    </row>
    <row r="44">
      <c r="N44" s="5"/>
    </row>
    <row r="45">
      <c r="N45" s="5"/>
    </row>
    <row r="46">
      <c r="I46" s="4"/>
      <c r="N46" s="5"/>
    </row>
    <row r="47">
      <c r="N47" s="5"/>
    </row>
    <row r="48">
      <c r="N48" s="5"/>
    </row>
    <row r="49">
      <c r="I49" s="4"/>
      <c r="N49" s="5"/>
    </row>
    <row r="50">
      <c r="N50" s="5"/>
    </row>
    <row r="51">
      <c r="N51" s="5"/>
    </row>
    <row r="52">
      <c r="N52" s="5"/>
    </row>
    <row r="53">
      <c r="N53" s="5"/>
    </row>
    <row r="54">
      <c r="N54" s="5"/>
    </row>
    <row r="55">
      <c r="N55" s="5"/>
    </row>
    <row r="56">
      <c r="N56" s="5"/>
    </row>
    <row r="57">
      <c r="N57" s="5"/>
    </row>
    <row r="58">
      <c r="N58" s="5"/>
    </row>
    <row r="59">
      <c r="I59" s="4"/>
      <c r="N59" s="5"/>
    </row>
    <row r="60">
      <c r="I60" s="4"/>
      <c r="N60" s="5"/>
    </row>
    <row r="61">
      <c r="N61" s="5"/>
    </row>
    <row r="62">
      <c r="I62" s="4"/>
      <c r="N62" s="5"/>
    </row>
    <row r="63">
      <c r="N63" s="5"/>
    </row>
    <row r="64">
      <c r="I64" s="4"/>
      <c r="N64" s="5"/>
    </row>
    <row r="65">
      <c r="N65" s="5"/>
    </row>
    <row r="66">
      <c r="N66" s="5"/>
    </row>
    <row r="67">
      <c r="N67" s="5"/>
    </row>
    <row r="68">
      <c r="N68" s="5"/>
    </row>
    <row r="69">
      <c r="N69" s="5"/>
    </row>
    <row r="70">
      <c r="I70" s="4"/>
      <c r="N70" s="5"/>
    </row>
    <row r="71">
      <c r="N71" s="5"/>
    </row>
    <row r="72">
      <c r="N72" s="5"/>
    </row>
    <row r="73">
      <c r="N73" s="5"/>
    </row>
    <row r="74">
      <c r="N74" s="5"/>
    </row>
    <row r="75">
      <c r="N75" s="5"/>
    </row>
    <row r="76">
      <c r="N76" s="5"/>
    </row>
    <row r="77">
      <c r="N77" s="5"/>
    </row>
    <row r="78">
      <c r="I78" s="4"/>
      <c r="N78" s="5"/>
    </row>
    <row r="79">
      <c r="N79" s="5"/>
    </row>
    <row r="80">
      <c r="N80" s="5"/>
    </row>
    <row r="81">
      <c r="N81" s="5"/>
    </row>
    <row r="82">
      <c r="N82" s="5"/>
    </row>
    <row r="83">
      <c r="N83" s="5"/>
    </row>
    <row r="84">
      <c r="N84" s="5"/>
    </row>
    <row r="85">
      <c r="N85" s="5"/>
    </row>
    <row r="86">
      <c r="N86" s="5"/>
    </row>
    <row r="87">
      <c r="N87" s="5"/>
    </row>
    <row r="88">
      <c r="N88" s="5"/>
    </row>
    <row r="89">
      <c r="N89" s="5"/>
    </row>
    <row r="90">
      <c r="N90" s="5"/>
    </row>
    <row r="91">
      <c r="N91" s="5"/>
    </row>
    <row r="92">
      <c r="N92" s="5"/>
    </row>
    <row r="93">
      <c r="N93" s="5"/>
    </row>
    <row r="94">
      <c r="N94" s="5"/>
    </row>
    <row r="95">
      <c r="N95" s="5"/>
    </row>
    <row r="96">
      <c r="N96" s="5"/>
    </row>
    <row r="97">
      <c r="N97" s="5"/>
    </row>
    <row r="98">
      <c r="N98" s="5"/>
    </row>
    <row r="99">
      <c r="N99" s="5"/>
    </row>
    <row r="100">
      <c r="I100" s="4"/>
      <c r="N100" s="5"/>
    </row>
    <row r="101">
      <c r="N101" s="5"/>
    </row>
    <row r="102">
      <c r="N102" s="5"/>
    </row>
    <row r="103">
      <c r="N103" s="5"/>
    </row>
    <row r="104">
      <c r="N104" s="5"/>
    </row>
    <row r="105">
      <c r="N105" s="5"/>
    </row>
    <row r="106">
      <c r="N106" s="5"/>
    </row>
    <row r="107">
      <c r="N107" s="5"/>
    </row>
    <row r="108">
      <c r="N108" s="5"/>
    </row>
    <row r="109">
      <c r="N109" s="5"/>
    </row>
    <row r="110">
      <c r="N110" s="5"/>
    </row>
    <row r="111">
      <c r="N111" s="5"/>
    </row>
    <row r="112">
      <c r="N112" s="5"/>
    </row>
    <row r="113">
      <c r="N113" s="5"/>
    </row>
    <row r="114">
      <c r="N114" s="5"/>
    </row>
    <row r="115">
      <c r="N115" s="5"/>
    </row>
    <row r="116">
      <c r="N116" s="5"/>
    </row>
    <row r="117">
      <c r="N117" s="5"/>
    </row>
    <row r="118">
      <c r="N118" s="5"/>
    </row>
    <row r="119">
      <c r="N119" s="5"/>
    </row>
    <row r="120">
      <c r="N120" s="5"/>
    </row>
    <row r="121">
      <c r="N121" s="5"/>
    </row>
    <row r="122">
      <c r="N122" s="5"/>
    </row>
    <row r="123">
      <c r="N123" s="5"/>
    </row>
    <row r="124">
      <c r="N124" s="5"/>
    </row>
    <row r="125">
      <c r="N125" s="5"/>
    </row>
    <row r="126">
      <c r="N126" s="5"/>
    </row>
    <row r="127">
      <c r="N127" s="5"/>
    </row>
    <row r="128">
      <c r="N128" s="5"/>
    </row>
    <row r="129">
      <c r="N129" s="5"/>
    </row>
    <row r="130">
      <c r="N130" s="5"/>
    </row>
    <row r="131">
      <c r="N131" s="5"/>
    </row>
    <row r="132">
      <c r="N132" s="5"/>
    </row>
    <row r="133">
      <c r="N133" s="5"/>
    </row>
    <row r="134">
      <c r="N134" s="5"/>
    </row>
    <row r="135">
      <c r="N135" s="5"/>
    </row>
    <row r="136">
      <c r="N136" s="5"/>
    </row>
    <row r="137">
      <c r="N137" s="5"/>
    </row>
    <row r="138">
      <c r="N138" s="5"/>
    </row>
    <row r="139">
      <c r="N139" s="5"/>
    </row>
    <row r="140">
      <c r="N140" s="5"/>
    </row>
    <row r="141">
      <c r="N141" s="5"/>
    </row>
    <row r="142">
      <c r="N142" s="5"/>
    </row>
    <row r="143">
      <c r="N143" s="5"/>
    </row>
    <row r="144">
      <c r="N144" s="5"/>
    </row>
    <row r="145">
      <c r="N145" s="5"/>
    </row>
    <row r="146">
      <c r="N146" s="5"/>
    </row>
    <row r="147">
      <c r="N147" s="5"/>
    </row>
    <row r="148">
      <c r="N148" s="5"/>
    </row>
    <row r="149">
      <c r="N149" s="5"/>
    </row>
    <row r="150">
      <c r="N150" s="5"/>
    </row>
    <row r="151">
      <c r="N151" s="5"/>
    </row>
    <row r="152">
      <c r="N152" s="5"/>
    </row>
    <row r="153">
      <c r="N153" s="5"/>
    </row>
    <row r="154">
      <c r="N154" s="5"/>
    </row>
    <row r="155">
      <c r="N155" s="5"/>
    </row>
    <row r="156">
      <c r="N156" s="5"/>
    </row>
    <row r="157">
      <c r="N157" s="5"/>
    </row>
    <row r="158">
      <c r="N158" s="5"/>
    </row>
    <row r="159">
      <c r="N159" s="5"/>
    </row>
    <row r="160">
      <c r="N160" s="5"/>
    </row>
    <row r="161">
      <c r="N161" s="5"/>
    </row>
    <row r="162">
      <c r="N162" s="5"/>
    </row>
    <row r="163">
      <c r="N163" s="5"/>
    </row>
    <row r="164">
      <c r="N164" s="5"/>
    </row>
    <row r="165">
      <c r="N165" s="5"/>
    </row>
    <row r="166">
      <c r="N166" s="5"/>
    </row>
    <row r="167">
      <c r="N167" s="5"/>
    </row>
    <row r="168">
      <c r="N168" s="5"/>
    </row>
    <row r="169">
      <c r="N169" s="5"/>
    </row>
    <row r="170">
      <c r="N170" s="5"/>
    </row>
    <row r="171">
      <c r="N171" s="5"/>
    </row>
    <row r="172">
      <c r="N172" s="5"/>
    </row>
    <row r="173">
      <c r="N173" s="5"/>
    </row>
    <row r="174">
      <c r="N174" s="5"/>
    </row>
    <row r="175">
      <c r="N175" s="5"/>
    </row>
    <row r="176">
      <c r="N176" s="5"/>
    </row>
    <row r="177">
      <c r="N177" s="5"/>
    </row>
    <row r="178">
      <c r="N178" s="5"/>
    </row>
    <row r="179">
      <c r="N179" s="5"/>
    </row>
    <row r="180">
      <c r="N180" s="5"/>
    </row>
    <row r="181">
      <c r="N181" s="5"/>
    </row>
    <row r="182">
      <c r="N182" s="5"/>
    </row>
    <row r="183">
      <c r="N183" s="5"/>
    </row>
    <row r="184">
      <c r="N184" s="5"/>
    </row>
    <row r="185">
      <c r="N185" s="5"/>
    </row>
    <row r="186">
      <c r="N186" s="5"/>
    </row>
    <row r="187">
      <c r="N187" s="5"/>
    </row>
    <row r="188">
      <c r="N188" s="5"/>
    </row>
    <row r="189">
      <c r="N189" s="5"/>
    </row>
    <row r="190">
      <c r="N190" s="5"/>
    </row>
    <row r="191">
      <c r="N191" s="5"/>
    </row>
    <row r="192">
      <c r="N192" s="5"/>
    </row>
    <row r="193">
      <c r="N193" s="5"/>
    </row>
    <row r="194">
      <c r="N194" s="5"/>
    </row>
    <row r="195">
      <c r="N195" s="5"/>
    </row>
    <row r="196">
      <c r="N196" s="5"/>
    </row>
    <row r="197">
      <c r="N197" s="5"/>
    </row>
    <row r="198">
      <c r="N198" s="5"/>
    </row>
    <row r="199">
      <c r="N199" s="5"/>
    </row>
    <row r="200">
      <c r="N200" s="5"/>
    </row>
    <row r="201">
      <c r="N201" s="5"/>
    </row>
    <row r="202">
      <c r="N202" s="5"/>
    </row>
    <row r="203">
      <c r="N203" s="5"/>
    </row>
    <row r="204">
      <c r="N204" s="5"/>
    </row>
    <row r="205">
      <c r="N205" s="5"/>
    </row>
    <row r="206">
      <c r="N206" s="5"/>
    </row>
    <row r="207">
      <c r="N207" s="5"/>
    </row>
    <row r="208">
      <c r="N208" s="5"/>
    </row>
    <row r="209">
      <c r="N209" s="5"/>
    </row>
    <row r="210">
      <c r="N210" s="5"/>
    </row>
    <row r="211">
      <c r="N211" s="5"/>
    </row>
    <row r="212">
      <c r="N212" s="5"/>
    </row>
    <row r="213">
      <c r="N213" s="5"/>
    </row>
    <row r="214">
      <c r="N214" s="5"/>
    </row>
    <row r="215">
      <c r="N215" s="5"/>
    </row>
    <row r="216">
      <c r="N216" s="5"/>
    </row>
    <row r="217">
      <c r="N217" s="5"/>
    </row>
    <row r="218">
      <c r="N218" s="5"/>
    </row>
    <row r="219">
      <c r="N219" s="5"/>
    </row>
    <row r="220">
      <c r="N220" s="5"/>
    </row>
    <row r="221">
      <c r="N221" s="5"/>
    </row>
    <row r="222">
      <c r="N222" s="5"/>
    </row>
    <row r="223">
      <c r="N223" s="5"/>
    </row>
    <row r="224">
      <c r="N224" s="5"/>
    </row>
    <row r="225">
      <c r="N225" s="5"/>
    </row>
    <row r="226">
      <c r="N226" s="5"/>
    </row>
    <row r="227">
      <c r="N227" s="5"/>
    </row>
    <row r="228">
      <c r="N228" s="5"/>
    </row>
    <row r="229">
      <c r="N229" s="5"/>
    </row>
    <row r="230">
      <c r="N230" s="5"/>
    </row>
    <row r="231">
      <c r="N231" s="5"/>
    </row>
    <row r="232">
      <c r="N232" s="5"/>
    </row>
    <row r="233">
      <c r="N233" s="5"/>
    </row>
    <row r="234">
      <c r="N234" s="5"/>
    </row>
    <row r="235">
      <c r="N235" s="5"/>
    </row>
    <row r="236">
      <c r="N236" s="5"/>
    </row>
    <row r="237">
      <c r="N237" s="5"/>
    </row>
    <row r="238">
      <c r="N238" s="5"/>
    </row>
    <row r="239">
      <c r="N239" s="5"/>
    </row>
    <row r="240">
      <c r="N240" s="5"/>
    </row>
    <row r="241">
      <c r="N241" s="5"/>
    </row>
    <row r="242">
      <c r="N242" s="5"/>
    </row>
    <row r="243">
      <c r="N243" s="5"/>
    </row>
    <row r="244">
      <c r="N244" s="5"/>
    </row>
    <row r="245">
      <c r="N245" s="5"/>
    </row>
    <row r="246">
      <c r="N246" s="5"/>
    </row>
    <row r="247">
      <c r="N247" s="5"/>
    </row>
    <row r="248">
      <c r="N248" s="5"/>
    </row>
    <row r="249">
      <c r="N249" s="5"/>
    </row>
    <row r="250">
      <c r="N250" s="5"/>
    </row>
    <row r="251">
      <c r="N251" s="5"/>
    </row>
    <row r="252">
      <c r="N252" s="5"/>
    </row>
    <row r="253">
      <c r="N253" s="5"/>
    </row>
    <row r="254">
      <c r="N254" s="5"/>
    </row>
    <row r="255">
      <c r="N255" s="5"/>
    </row>
    <row r="256">
      <c r="N256" s="5"/>
    </row>
    <row r="257">
      <c r="N257" s="5"/>
    </row>
    <row r="258">
      <c r="N258" s="5"/>
    </row>
    <row r="259">
      <c r="N259" s="5"/>
    </row>
    <row r="260">
      <c r="N260" s="5"/>
    </row>
    <row r="261">
      <c r="I261" s="4"/>
    </row>
    <row r="262">
      <c r="N262" s="5"/>
    </row>
    <row r="263">
      <c r="N263" s="5"/>
    </row>
    <row r="264">
      <c r="N264" s="5"/>
    </row>
    <row r="265">
      <c r="N265" s="5"/>
    </row>
    <row r="266">
      <c r="N266" s="5"/>
    </row>
    <row r="267">
      <c r="N267" s="5"/>
    </row>
    <row r="268">
      <c r="N268" s="5"/>
    </row>
    <row r="269">
      <c r="N269" s="5"/>
    </row>
    <row r="270">
      <c r="N270" s="5"/>
    </row>
    <row r="271">
      <c r="N271" s="5"/>
    </row>
    <row r="272">
      <c r="N272" s="5"/>
    </row>
    <row r="273">
      <c r="N273" s="5"/>
    </row>
    <row r="274">
      <c r="N274" s="5"/>
    </row>
    <row r="275">
      <c r="N275" s="5"/>
    </row>
    <row r="276">
      <c r="N276" s="5"/>
    </row>
    <row r="277">
      <c r="N277" s="5"/>
    </row>
    <row r="278">
      <c r="N278" s="5"/>
    </row>
    <row r="279">
      <c r="N279" s="5"/>
    </row>
    <row r="280">
      <c r="N280" s="5"/>
    </row>
    <row r="281">
      <c r="N281" s="5"/>
    </row>
    <row r="282">
      <c r="N282" s="5"/>
    </row>
    <row r="283">
      <c r="N283" s="5"/>
    </row>
    <row r="284">
      <c r="N284" s="5"/>
    </row>
    <row r="285">
      <c r="N285" s="5"/>
    </row>
    <row r="286">
      <c r="N286" s="5"/>
    </row>
    <row r="287">
      <c r="N287" s="5"/>
    </row>
    <row r="288">
      <c r="N288" s="5"/>
    </row>
    <row r="289">
      <c r="N289" s="5"/>
    </row>
    <row r="290">
      <c r="N290" s="5"/>
    </row>
    <row r="291">
      <c r="N291" s="5"/>
    </row>
    <row r="292">
      <c r="N292" s="5"/>
    </row>
    <row r="293">
      <c r="N293" s="5"/>
    </row>
    <row r="294">
      <c r="N294" s="5"/>
    </row>
    <row r="295">
      <c r="N295" s="5"/>
    </row>
    <row r="296">
      <c r="N296" s="5"/>
    </row>
    <row r="297">
      <c r="N297" s="5"/>
    </row>
    <row r="298">
      <c r="N298" s="5"/>
    </row>
    <row r="299">
      <c r="N299" s="5"/>
    </row>
    <row r="300">
      <c r="N300" s="5"/>
    </row>
    <row r="301">
      <c r="N301" s="5"/>
    </row>
    <row r="302">
      <c r="N302" s="5"/>
    </row>
    <row r="303">
      <c r="N303" s="5"/>
    </row>
    <row r="304">
      <c r="N304" s="5"/>
    </row>
    <row r="305">
      <c r="N305" s="5"/>
    </row>
    <row r="306">
      <c r="N306" s="5"/>
    </row>
    <row r="307">
      <c r="N307" s="5"/>
    </row>
    <row r="308">
      <c r="N308" s="5"/>
    </row>
    <row r="309">
      <c r="N309" s="5"/>
    </row>
    <row r="310">
      <c r="N310" s="5"/>
    </row>
    <row r="311">
      <c r="N311" s="5"/>
    </row>
    <row r="312">
      <c r="N312" s="5"/>
    </row>
    <row r="313">
      <c r="N313" s="5"/>
    </row>
    <row r="314">
      <c r="N314" s="5"/>
    </row>
    <row r="315">
      <c r="N315" s="5"/>
    </row>
    <row r="316">
      <c r="N316" s="5"/>
    </row>
    <row r="317">
      <c r="N317" s="5"/>
    </row>
    <row r="318">
      <c r="N318" s="5"/>
    </row>
    <row r="319">
      <c r="N319" s="5"/>
    </row>
    <row r="320">
      <c r="N320" s="5"/>
    </row>
    <row r="321">
      <c r="N321" s="5"/>
    </row>
    <row r="322">
      <c r="N322" s="5"/>
    </row>
    <row r="323">
      <c r="N323" s="5"/>
    </row>
    <row r="324">
      <c r="N324" s="5"/>
    </row>
    <row r="325">
      <c r="N325" s="5"/>
    </row>
    <row r="326">
      <c r="N326" s="5"/>
    </row>
    <row r="327">
      <c r="N327" s="5"/>
    </row>
    <row r="328">
      <c r="N328" s="5"/>
    </row>
    <row r="329">
      <c r="N329" s="5"/>
    </row>
    <row r="330">
      <c r="N330" s="5"/>
    </row>
    <row r="331">
      <c r="N331" s="5"/>
    </row>
    <row r="332">
      <c r="N332" s="5"/>
    </row>
    <row r="333">
      <c r="N333" s="5"/>
    </row>
    <row r="334">
      <c r="N334" s="5"/>
    </row>
    <row r="335">
      <c r="N335" s="5"/>
    </row>
    <row r="336">
      <c r="N336" s="5"/>
    </row>
    <row r="337">
      <c r="N337" s="5"/>
    </row>
    <row r="338">
      <c r="N338" s="5"/>
    </row>
    <row r="339">
      <c r="N339" s="5"/>
    </row>
    <row r="340">
      <c r="N340" s="5"/>
    </row>
    <row r="341">
      <c r="N341" s="5"/>
    </row>
    <row r="342">
      <c r="N342" s="5"/>
    </row>
    <row r="343">
      <c r="N343" s="5"/>
    </row>
    <row r="344">
      <c r="N344" s="5"/>
    </row>
    <row r="345">
      <c r="N345" s="5"/>
    </row>
    <row r="346">
      <c r="N346" s="5"/>
    </row>
    <row r="347">
      <c r="N347" s="5"/>
    </row>
    <row r="348">
      <c r="N348" s="5"/>
    </row>
    <row r="349">
      <c r="N349" s="5"/>
    </row>
    <row r="350">
      <c r="N350" s="5"/>
    </row>
    <row r="351">
      <c r="N351" s="5"/>
    </row>
    <row r="352">
      <c r="N352" s="5"/>
    </row>
    <row r="353">
      <c r="N353" s="5"/>
    </row>
    <row r="354">
      <c r="N354" s="5"/>
    </row>
    <row r="355">
      <c r="N355" s="5"/>
    </row>
    <row r="356">
      <c r="N356" s="5"/>
    </row>
  </sheetData>
  <autoFilter ref="$A$1:$Z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19</v>
      </c>
      <c r="S1" s="1" t="s">
        <v>20</v>
      </c>
    </row>
    <row r="2">
      <c r="A2" s="1">
        <v>1.0</v>
      </c>
      <c r="B2" s="1" t="s">
        <v>525</v>
      </c>
      <c r="C2" s="1" t="s">
        <v>23</v>
      </c>
      <c r="D2" s="1">
        <v>9.0</v>
      </c>
      <c r="E2" s="1">
        <v>2100.0</v>
      </c>
      <c r="F2" s="1">
        <v>1.2</v>
      </c>
      <c r="G2" s="1">
        <v>0.49</v>
      </c>
      <c r="H2" s="1" t="s">
        <v>525</v>
      </c>
      <c r="I2" s="4">
        <v>46230.68956018519</v>
      </c>
      <c r="J2" s="1" t="s">
        <v>530</v>
      </c>
      <c r="K2" s="1">
        <v>578000.0</v>
      </c>
      <c r="L2" s="1">
        <v>600.0</v>
      </c>
      <c r="M2" s="1">
        <v>700.0</v>
      </c>
      <c r="N2" s="5">
        <v>42445.0</v>
      </c>
      <c r="O2" s="1" t="s">
        <v>65</v>
      </c>
      <c r="P2" s="1" t="s">
        <v>29</v>
      </c>
      <c r="Q2" s="1" t="s">
        <v>536</v>
      </c>
      <c r="R2" s="1" t="s">
        <v>537</v>
      </c>
      <c r="S2" s="1" t="s">
        <v>34</v>
      </c>
    </row>
    <row r="3">
      <c r="A3" s="1">
        <v>2.0</v>
      </c>
      <c r="B3" s="1" t="s">
        <v>18</v>
      </c>
      <c r="C3" s="1" t="s">
        <v>23</v>
      </c>
      <c r="D3" s="1">
        <v>40.0</v>
      </c>
      <c r="E3" s="1">
        <v>1200.0</v>
      </c>
      <c r="F3" s="1">
        <v>0.35</v>
      </c>
      <c r="G3" s="1">
        <v>0.41</v>
      </c>
      <c r="H3" s="1" t="s">
        <v>542</v>
      </c>
      <c r="I3" s="4">
        <v>46226.683703703704</v>
      </c>
      <c r="J3" s="1" t="s">
        <v>530</v>
      </c>
      <c r="K3" s="1">
        <v>539000.0</v>
      </c>
      <c r="L3" s="1">
        <v>10.0</v>
      </c>
      <c r="M3" s="1">
        <v>10.0</v>
      </c>
      <c r="N3" s="5">
        <v>42249.0</v>
      </c>
      <c r="O3" s="1" t="s">
        <v>91</v>
      </c>
      <c r="P3" s="1" t="s">
        <v>29</v>
      </c>
      <c r="Q3" s="1" t="s">
        <v>546</v>
      </c>
      <c r="R3" s="1" t="s">
        <v>547</v>
      </c>
      <c r="S3" s="1" t="s">
        <v>548</v>
      </c>
    </row>
    <row r="4">
      <c r="A4" s="1">
        <v>3.0</v>
      </c>
      <c r="B4" s="1" t="s">
        <v>550</v>
      </c>
      <c r="C4" s="1" t="s">
        <v>23</v>
      </c>
      <c r="D4" s="1">
        <v>23.0</v>
      </c>
      <c r="E4" s="1">
        <v>450.0</v>
      </c>
      <c r="F4" s="1">
        <v>0.6</v>
      </c>
      <c r="G4" s="1">
        <v>0.39</v>
      </c>
      <c r="H4" s="1" t="s">
        <v>550</v>
      </c>
      <c r="I4" s="4">
        <v>46221.29613425926</v>
      </c>
      <c r="J4" s="1" t="s">
        <v>26</v>
      </c>
      <c r="K4" s="1">
        <v>24000.0</v>
      </c>
      <c r="L4" s="1">
        <v>10.0</v>
      </c>
      <c r="M4" s="1">
        <v>10.0</v>
      </c>
      <c r="N4" s="5">
        <v>42255.0</v>
      </c>
      <c r="O4" s="1" t="s">
        <v>28</v>
      </c>
      <c r="P4" s="1" t="s">
        <v>29</v>
      </c>
      <c r="Q4" s="1" t="s">
        <v>557</v>
      </c>
      <c r="R4" s="1" t="s">
        <v>558</v>
      </c>
      <c r="S4" s="1" t="s">
        <v>560</v>
      </c>
    </row>
    <row r="5">
      <c r="A5" s="1">
        <v>4.0</v>
      </c>
      <c r="B5" s="1" t="s">
        <v>562</v>
      </c>
      <c r="C5" s="1" t="s">
        <v>23</v>
      </c>
      <c r="D5" s="1">
        <v>0.0</v>
      </c>
      <c r="E5" s="1">
        <v>400.0</v>
      </c>
      <c r="F5" s="1">
        <v>0.7</v>
      </c>
      <c r="G5" s="1">
        <v>0.81</v>
      </c>
      <c r="H5" s="1" t="s">
        <v>562</v>
      </c>
      <c r="I5" s="4">
        <v>46217.51079861111</v>
      </c>
      <c r="J5" s="1" t="s">
        <v>565</v>
      </c>
      <c r="K5" s="1">
        <v>97000.0</v>
      </c>
      <c r="L5" s="1">
        <v>30.0</v>
      </c>
      <c r="M5" s="1">
        <v>30.0</v>
      </c>
      <c r="N5" s="5">
        <v>42258.0</v>
      </c>
      <c r="O5" s="1" t="s">
        <v>28</v>
      </c>
      <c r="P5" s="1" t="s">
        <v>29</v>
      </c>
      <c r="Q5" s="1" t="s">
        <v>570</v>
      </c>
      <c r="R5" s="1" t="s">
        <v>571</v>
      </c>
      <c r="S5" s="1" t="s">
        <v>76</v>
      </c>
    </row>
    <row r="6">
      <c r="A6" s="1">
        <v>5.0</v>
      </c>
      <c r="B6" s="1" t="s">
        <v>22</v>
      </c>
      <c r="C6" s="1" t="s">
        <v>23</v>
      </c>
      <c r="D6" s="1">
        <v>0.0</v>
      </c>
      <c r="E6" s="1">
        <v>350.0</v>
      </c>
      <c r="F6" s="1">
        <v>1.3</v>
      </c>
      <c r="G6" s="1">
        <v>0.85</v>
      </c>
      <c r="H6" s="1" t="s">
        <v>22</v>
      </c>
      <c r="I6" s="4">
        <v>46211.93755787037</v>
      </c>
      <c r="J6" s="1" t="s">
        <v>26</v>
      </c>
      <c r="K6" s="1">
        <v>350.0</v>
      </c>
      <c r="L6" s="1">
        <v>150.0</v>
      </c>
      <c r="M6" s="1">
        <v>300.0</v>
      </c>
      <c r="N6" s="5">
        <v>42252.0</v>
      </c>
      <c r="O6" s="1" t="s">
        <v>28</v>
      </c>
      <c r="P6" s="1" t="s">
        <v>29</v>
      </c>
      <c r="Q6" s="1" t="s">
        <v>31</v>
      </c>
      <c r="R6" s="1" t="s">
        <v>33</v>
      </c>
      <c r="S6" s="1" t="s">
        <v>34</v>
      </c>
    </row>
    <row r="7">
      <c r="A7" s="1">
        <v>6.0</v>
      </c>
      <c r="B7" s="1" t="s">
        <v>36</v>
      </c>
      <c r="C7" s="1" t="s">
        <v>23</v>
      </c>
      <c r="D7" s="1">
        <v>0.0</v>
      </c>
      <c r="E7" s="1">
        <v>350.0</v>
      </c>
      <c r="F7" s="1">
        <v>0.01</v>
      </c>
      <c r="G7" s="1">
        <v>1.06</v>
      </c>
      <c r="H7" s="1" t="s">
        <v>36</v>
      </c>
      <c r="I7" s="4">
        <v>46217.25701388889</v>
      </c>
      <c r="J7" s="1" t="s">
        <v>38</v>
      </c>
      <c r="K7" s="1">
        <v>400.0</v>
      </c>
      <c r="L7" s="1">
        <v>250.0</v>
      </c>
      <c r="M7" s="1">
        <v>250.0</v>
      </c>
      <c r="N7" s="5">
        <v>42300.0</v>
      </c>
      <c r="O7" s="1" t="s">
        <v>40</v>
      </c>
      <c r="P7" s="1" t="s">
        <v>29</v>
      </c>
      <c r="Q7" s="1" t="s">
        <v>41</v>
      </c>
      <c r="R7" s="1" t="s">
        <v>42</v>
      </c>
      <c r="S7" s="1" t="s">
        <v>43</v>
      </c>
    </row>
    <row r="8">
      <c r="A8" s="1">
        <v>7.0</v>
      </c>
      <c r="B8" s="1" t="s">
        <v>587</v>
      </c>
      <c r="C8" s="1" t="s">
        <v>23</v>
      </c>
      <c r="D8" s="1">
        <v>0.0</v>
      </c>
      <c r="E8" s="1">
        <v>350.0</v>
      </c>
      <c r="F8" s="1">
        <v>0.02</v>
      </c>
      <c r="G8" s="1">
        <v>0.86</v>
      </c>
      <c r="H8" s="1" t="s">
        <v>590</v>
      </c>
      <c r="I8" s="4">
        <v>46216.89293981482</v>
      </c>
      <c r="J8" s="1" t="s">
        <v>591</v>
      </c>
      <c r="K8" s="1">
        <v>4300.0</v>
      </c>
      <c r="L8" s="1">
        <v>30.0</v>
      </c>
      <c r="M8" s="1">
        <v>30.0</v>
      </c>
      <c r="N8" s="5">
        <v>42250.0</v>
      </c>
      <c r="O8" s="1" t="s">
        <v>143</v>
      </c>
      <c r="P8" s="1" t="s">
        <v>29</v>
      </c>
      <c r="Q8" s="1" t="s">
        <v>595</v>
      </c>
      <c r="R8" s="1" t="s">
        <v>598</v>
      </c>
      <c r="S8" s="1" t="s">
        <v>43</v>
      </c>
    </row>
    <row r="9">
      <c r="A9" s="1">
        <v>8.0</v>
      </c>
      <c r="B9" s="1" t="s">
        <v>45</v>
      </c>
      <c r="C9" s="1" t="s">
        <v>23</v>
      </c>
      <c r="D9" s="1">
        <v>28.0</v>
      </c>
      <c r="E9" s="1">
        <v>300.0</v>
      </c>
      <c r="F9" s="1">
        <v>0.7</v>
      </c>
      <c r="G9" s="1">
        <v>0.81</v>
      </c>
      <c r="H9" s="1" t="s">
        <v>45</v>
      </c>
      <c r="I9" s="4">
        <v>46191.19011574074</v>
      </c>
      <c r="J9" s="1" t="s">
        <v>26</v>
      </c>
      <c r="K9" s="1">
        <v>300.0</v>
      </c>
      <c r="L9" s="1">
        <v>250.0</v>
      </c>
      <c r="M9" s="1">
        <v>250.0</v>
      </c>
      <c r="N9" s="5">
        <v>42252.0</v>
      </c>
      <c r="O9" s="1" t="s">
        <v>28</v>
      </c>
      <c r="P9" s="1" t="s">
        <v>29</v>
      </c>
      <c r="Q9" s="1" t="s">
        <v>46</v>
      </c>
      <c r="R9" s="1" t="s">
        <v>47</v>
      </c>
      <c r="S9" s="1" t="s">
        <v>48</v>
      </c>
    </row>
    <row r="10">
      <c r="A10" s="1">
        <v>9.0</v>
      </c>
      <c r="B10" s="1" t="s">
        <v>612</v>
      </c>
      <c r="C10" s="1" t="s">
        <v>23</v>
      </c>
      <c r="D10" s="1">
        <v>0.0</v>
      </c>
      <c r="E10" s="1">
        <v>250.0</v>
      </c>
      <c r="F10" s="1">
        <v>0.01</v>
      </c>
      <c r="G10" s="1">
        <v>1.04</v>
      </c>
      <c r="H10" s="1" t="s">
        <v>618</v>
      </c>
      <c r="I10" s="4">
        <v>46231.44951388889</v>
      </c>
      <c r="J10" s="1" t="s">
        <v>74</v>
      </c>
      <c r="K10" s="1">
        <v>450.0</v>
      </c>
      <c r="L10" s="1">
        <v>450.0</v>
      </c>
      <c r="M10" s="1">
        <v>450.0</v>
      </c>
      <c r="N10" s="5">
        <v>42281.0</v>
      </c>
      <c r="O10" s="1" t="s">
        <v>143</v>
      </c>
      <c r="P10" s="1" t="s">
        <v>29</v>
      </c>
      <c r="Q10" s="1" t="s">
        <v>631</v>
      </c>
      <c r="R10" s="1" t="s">
        <v>633</v>
      </c>
      <c r="S10" s="1" t="s">
        <v>43</v>
      </c>
    </row>
    <row r="11">
      <c r="A11" s="1">
        <v>10.0</v>
      </c>
      <c r="B11" s="1" t="s">
        <v>49</v>
      </c>
      <c r="C11" s="1" t="s">
        <v>23</v>
      </c>
      <c r="D11" s="1">
        <v>0.0</v>
      </c>
      <c r="E11" s="1">
        <v>200.0</v>
      </c>
      <c r="F11" s="1">
        <v>1.3</v>
      </c>
      <c r="G11" s="1">
        <v>1.28</v>
      </c>
      <c r="H11" s="1" t="s">
        <v>50</v>
      </c>
      <c r="I11" s="4">
        <v>46195.322291666664</v>
      </c>
      <c r="J11" s="1" t="s">
        <v>26</v>
      </c>
      <c r="K11" s="1">
        <v>250.0</v>
      </c>
      <c r="L11" s="1">
        <v>80.0</v>
      </c>
      <c r="M11" s="1">
        <v>100.0</v>
      </c>
      <c r="N11" s="5">
        <v>42255.0</v>
      </c>
      <c r="O11" s="1" t="s">
        <v>28</v>
      </c>
      <c r="P11" s="1" t="s">
        <v>29</v>
      </c>
      <c r="Q11" s="1" t="s">
        <v>51</v>
      </c>
      <c r="R11" s="1" t="s">
        <v>52</v>
      </c>
      <c r="S11" s="1" t="s">
        <v>34</v>
      </c>
    </row>
    <row r="12">
      <c r="A12" s="1">
        <v>11.0</v>
      </c>
      <c r="B12" s="1" t="s">
        <v>647</v>
      </c>
      <c r="C12" s="1" t="s">
        <v>23</v>
      </c>
      <c r="D12" s="1">
        <v>38.0</v>
      </c>
      <c r="E12" s="1">
        <v>200.0</v>
      </c>
      <c r="F12" s="1">
        <v>0.6</v>
      </c>
      <c r="G12" s="1">
        <v>0.71</v>
      </c>
      <c r="H12" s="1" t="s">
        <v>647</v>
      </c>
      <c r="I12" s="4">
        <v>46228.84972222222</v>
      </c>
      <c r="J12" s="1" t="s">
        <v>26</v>
      </c>
      <c r="K12" s="1">
        <v>30000.0</v>
      </c>
      <c r="L12" s="1">
        <v>70.0</v>
      </c>
      <c r="M12" s="1">
        <v>70.0</v>
      </c>
      <c r="N12" s="5">
        <v>42257.0</v>
      </c>
      <c r="O12" s="1" t="s">
        <v>28</v>
      </c>
      <c r="P12" s="1" t="s">
        <v>29</v>
      </c>
      <c r="Q12" s="1" t="s">
        <v>654</v>
      </c>
      <c r="R12" s="1" t="s">
        <v>655</v>
      </c>
      <c r="S12" s="1" t="s">
        <v>163</v>
      </c>
    </row>
    <row r="13">
      <c r="A13" s="1">
        <v>12.0</v>
      </c>
      <c r="B13" s="1" t="s">
        <v>140</v>
      </c>
      <c r="C13" s="1" t="s">
        <v>23</v>
      </c>
      <c r="D13" s="1">
        <v>0.0</v>
      </c>
      <c r="E13" s="1">
        <v>200.0</v>
      </c>
      <c r="F13" s="1">
        <v>0.01</v>
      </c>
      <c r="H13" s="1" t="s">
        <v>140</v>
      </c>
      <c r="I13" s="4">
        <v>46188.94930555556</v>
      </c>
      <c r="K13" s="1">
        <v>200.0</v>
      </c>
      <c r="L13" s="1">
        <v>200.0</v>
      </c>
      <c r="M13" s="1">
        <v>200.0</v>
      </c>
      <c r="N13" s="5">
        <v>42377.0</v>
      </c>
      <c r="O13" s="1" t="s">
        <v>40</v>
      </c>
      <c r="P13" s="1" t="s">
        <v>29</v>
      </c>
      <c r="Q13" s="1" t="s">
        <v>662</v>
      </c>
      <c r="R13" s="1" t="s">
        <v>664</v>
      </c>
      <c r="S13" s="1" t="s">
        <v>43</v>
      </c>
    </row>
    <row r="14">
      <c r="A14" s="1">
        <v>13.0</v>
      </c>
      <c r="B14" s="1" t="s">
        <v>53</v>
      </c>
      <c r="C14" s="1" t="s">
        <v>23</v>
      </c>
      <c r="D14" s="1">
        <v>0.0</v>
      </c>
      <c r="E14" s="1">
        <v>200.0</v>
      </c>
      <c r="F14" s="1">
        <v>0.7</v>
      </c>
      <c r="G14" s="1">
        <v>0.76</v>
      </c>
      <c r="H14" s="1" t="s">
        <v>53</v>
      </c>
      <c r="I14" s="4">
        <v>46227.493368055555</v>
      </c>
      <c r="J14" s="1" t="s">
        <v>54</v>
      </c>
      <c r="K14" s="1">
        <v>200.0</v>
      </c>
      <c r="L14" s="1">
        <v>10.0</v>
      </c>
      <c r="M14" s="1">
        <v>10.0</v>
      </c>
      <c r="N14" s="5">
        <v>42393.0</v>
      </c>
      <c r="O14" s="1" t="s">
        <v>28</v>
      </c>
      <c r="P14" s="1" t="s">
        <v>29</v>
      </c>
      <c r="Q14" s="1" t="s">
        <v>55</v>
      </c>
      <c r="S14" s="1" t="s">
        <v>48</v>
      </c>
    </row>
    <row r="15">
      <c r="A15" s="1">
        <v>14.0</v>
      </c>
      <c r="B15" s="1" t="s">
        <v>678</v>
      </c>
      <c r="C15" s="1" t="s">
        <v>23</v>
      </c>
      <c r="D15" s="1">
        <v>0.0</v>
      </c>
      <c r="E15" s="1">
        <v>200.0</v>
      </c>
      <c r="F15" s="1">
        <v>0.01</v>
      </c>
      <c r="H15" s="1" t="s">
        <v>684</v>
      </c>
      <c r="I15" s="4">
        <v>46229.526296296295</v>
      </c>
      <c r="K15" s="1">
        <v>200.0</v>
      </c>
      <c r="L15" s="1">
        <v>300.0</v>
      </c>
      <c r="M15" s="1">
        <v>300.0</v>
      </c>
      <c r="N15" s="5">
        <v>42248.0</v>
      </c>
      <c r="O15" s="1" t="s">
        <v>40</v>
      </c>
      <c r="P15" s="1" t="s">
        <v>29</v>
      </c>
      <c r="Q15" s="1" t="s">
        <v>690</v>
      </c>
      <c r="S15" s="1" t="s">
        <v>43</v>
      </c>
    </row>
    <row r="16">
      <c r="A16" s="1">
        <v>15.0</v>
      </c>
      <c r="B16" s="1" t="s">
        <v>693</v>
      </c>
      <c r="C16" s="1" t="s">
        <v>23</v>
      </c>
      <c r="D16" s="1">
        <v>0.0</v>
      </c>
      <c r="E16" s="1">
        <v>200.0</v>
      </c>
      <c r="F16" s="1">
        <v>0.03</v>
      </c>
      <c r="H16" s="1" t="s">
        <v>695</v>
      </c>
      <c r="I16" s="4">
        <v>46213.84961805555</v>
      </c>
      <c r="J16" s="1" t="s">
        <v>74</v>
      </c>
      <c r="K16" s="1">
        <v>4300.0</v>
      </c>
      <c r="L16" s="1">
        <v>100.0</v>
      </c>
      <c r="M16" s="1">
        <v>100.0</v>
      </c>
      <c r="N16" s="5">
        <v>42415.0</v>
      </c>
      <c r="O16" s="1" t="s">
        <v>703</v>
      </c>
      <c r="P16" s="1" t="s">
        <v>29</v>
      </c>
      <c r="Q16" s="1" t="s">
        <v>705</v>
      </c>
      <c r="S16" s="1" t="s">
        <v>43</v>
      </c>
    </row>
    <row r="17">
      <c r="A17" s="1">
        <v>16.0</v>
      </c>
      <c r="B17" s="1" t="s">
        <v>56</v>
      </c>
      <c r="C17" s="1" t="s">
        <v>23</v>
      </c>
      <c r="D17" s="1">
        <v>0.0</v>
      </c>
      <c r="E17" s="1">
        <v>150.0</v>
      </c>
      <c r="F17" s="1">
        <v>0.9</v>
      </c>
      <c r="G17" s="1">
        <v>0.53</v>
      </c>
      <c r="H17" s="1" t="s">
        <v>22</v>
      </c>
      <c r="I17" s="4">
        <v>46202.878541666665</v>
      </c>
      <c r="J17" s="1" t="s">
        <v>26</v>
      </c>
      <c r="K17" s="1">
        <v>150.0</v>
      </c>
      <c r="L17" s="1">
        <v>150.0</v>
      </c>
      <c r="M17" s="1">
        <v>200.0</v>
      </c>
      <c r="N17" s="5">
        <v>42249.0</v>
      </c>
      <c r="O17" s="1" t="s">
        <v>28</v>
      </c>
      <c r="P17" s="1" t="s">
        <v>29</v>
      </c>
      <c r="Q17" s="1" t="s">
        <v>58</v>
      </c>
      <c r="R17" s="1">
        <v>141.0</v>
      </c>
      <c r="S17" s="1" t="s">
        <v>34</v>
      </c>
    </row>
    <row r="18">
      <c r="A18" s="1">
        <v>17.0</v>
      </c>
      <c r="B18" s="1" t="s">
        <v>59</v>
      </c>
      <c r="C18" s="1" t="s">
        <v>23</v>
      </c>
      <c r="D18" s="1">
        <v>13.0</v>
      </c>
      <c r="E18" s="1">
        <v>150.0</v>
      </c>
      <c r="F18" s="1">
        <v>1.4</v>
      </c>
      <c r="G18" s="1">
        <v>0.58</v>
      </c>
      <c r="H18" s="1" t="s">
        <v>61</v>
      </c>
      <c r="I18" s="4">
        <v>46212.95943287037</v>
      </c>
      <c r="J18" s="1" t="s">
        <v>26</v>
      </c>
      <c r="K18" s="1">
        <v>200.0</v>
      </c>
      <c r="L18" s="1">
        <v>50.0</v>
      </c>
      <c r="M18" s="1">
        <v>50.0</v>
      </c>
      <c r="N18" s="5">
        <v>42455.0</v>
      </c>
      <c r="O18" s="1" t="s">
        <v>28</v>
      </c>
      <c r="P18" s="1" t="s">
        <v>29</v>
      </c>
      <c r="Q18" s="1" t="s">
        <v>63</v>
      </c>
      <c r="S18" s="1" t="s">
        <v>34</v>
      </c>
    </row>
    <row r="19">
      <c r="A19" s="1">
        <v>18.0</v>
      </c>
      <c r="B19" s="1" t="s">
        <v>734</v>
      </c>
      <c r="C19" s="1" t="s">
        <v>23</v>
      </c>
      <c r="D19" s="1">
        <v>39.0</v>
      </c>
      <c r="E19" s="1">
        <v>150.0</v>
      </c>
      <c r="F19" s="1">
        <v>0.9</v>
      </c>
      <c r="H19" s="1" t="s">
        <v>738</v>
      </c>
      <c r="I19" s="4">
        <v>46204.52133101852</v>
      </c>
      <c r="J19" s="1" t="s">
        <v>740</v>
      </c>
      <c r="K19" s="1">
        <v>3100.0</v>
      </c>
      <c r="L19" s="1">
        <v>150.0</v>
      </c>
      <c r="M19" s="1">
        <v>150.0</v>
      </c>
      <c r="N19" s="5">
        <v>43987.0</v>
      </c>
      <c r="O19" s="1" t="s">
        <v>65</v>
      </c>
      <c r="P19" s="1" t="s">
        <v>29</v>
      </c>
      <c r="Q19" s="1" t="s">
        <v>745</v>
      </c>
      <c r="R19" s="1">
        <v>108.0</v>
      </c>
      <c r="S19" s="1" t="s">
        <v>76</v>
      </c>
    </row>
    <row r="20">
      <c r="A20" s="1">
        <v>19.0</v>
      </c>
      <c r="B20" s="1" t="s">
        <v>747</v>
      </c>
      <c r="C20" s="1" t="s">
        <v>23</v>
      </c>
      <c r="D20" s="1">
        <v>40.0</v>
      </c>
      <c r="E20" s="1">
        <v>150.0</v>
      </c>
      <c r="F20" s="1">
        <v>0.8</v>
      </c>
      <c r="G20" s="1">
        <v>0.52</v>
      </c>
      <c r="H20" s="1" t="s">
        <v>751</v>
      </c>
      <c r="I20" s="4">
        <v>46197.146099537036</v>
      </c>
      <c r="J20" s="1" t="s">
        <v>26</v>
      </c>
      <c r="K20" s="1">
        <v>15000.0</v>
      </c>
      <c r="L20" s="1">
        <v>10.0</v>
      </c>
      <c r="M20" s="1">
        <v>50.0</v>
      </c>
      <c r="N20" s="5">
        <v>42256.0</v>
      </c>
      <c r="O20" s="1" t="s">
        <v>91</v>
      </c>
      <c r="P20" s="1" t="s">
        <v>29</v>
      </c>
      <c r="Q20" s="1" t="s">
        <v>756</v>
      </c>
      <c r="R20" s="1" t="s">
        <v>758</v>
      </c>
      <c r="S20" s="1" t="s">
        <v>34</v>
      </c>
    </row>
    <row r="21">
      <c r="A21" s="1">
        <v>20.0</v>
      </c>
      <c r="B21" s="1" t="s">
        <v>761</v>
      </c>
      <c r="C21" s="1" t="s">
        <v>23</v>
      </c>
      <c r="D21" s="1">
        <v>0.0</v>
      </c>
      <c r="E21" s="1">
        <v>150.0</v>
      </c>
      <c r="F21" s="1">
        <v>0.01</v>
      </c>
      <c r="H21" s="1" t="s">
        <v>761</v>
      </c>
      <c r="I21" s="4">
        <v>46229.05452546296</v>
      </c>
      <c r="J21" s="1" t="s">
        <v>74</v>
      </c>
      <c r="K21" s="1">
        <v>150.0</v>
      </c>
      <c r="L21" s="1">
        <v>60.0</v>
      </c>
      <c r="M21" s="1">
        <v>60.0</v>
      </c>
      <c r="N21" s="5">
        <v>42688.0</v>
      </c>
      <c r="O21" s="1" t="s">
        <v>143</v>
      </c>
      <c r="P21" s="1" t="s">
        <v>29</v>
      </c>
      <c r="Q21" s="1" t="s">
        <v>774</v>
      </c>
      <c r="S21" s="1" t="s">
        <v>43</v>
      </c>
    </row>
    <row r="22">
      <c r="A22" s="1">
        <v>21.0</v>
      </c>
      <c r="B22" s="1" t="s">
        <v>777</v>
      </c>
      <c r="C22" s="1" t="s">
        <v>23</v>
      </c>
      <c r="D22" s="1">
        <v>0.0</v>
      </c>
      <c r="E22" s="1">
        <v>150.0</v>
      </c>
      <c r="F22" s="1">
        <v>1.0</v>
      </c>
      <c r="H22" s="1" t="s">
        <v>777</v>
      </c>
      <c r="I22" s="4">
        <v>46233.16748842593</v>
      </c>
      <c r="J22" s="1" t="s">
        <v>740</v>
      </c>
      <c r="K22" s="1">
        <v>350.0</v>
      </c>
      <c r="L22" s="1">
        <v>70.0</v>
      </c>
      <c r="M22" s="1">
        <v>70.0</v>
      </c>
      <c r="N22" s="5">
        <v>42453.0</v>
      </c>
      <c r="O22" s="1" t="s">
        <v>28</v>
      </c>
      <c r="P22" s="1" t="s">
        <v>29</v>
      </c>
      <c r="Q22" s="1" t="s">
        <v>790</v>
      </c>
      <c r="R22" s="1">
        <v>141.0</v>
      </c>
      <c r="S22" s="1" t="s">
        <v>34</v>
      </c>
    </row>
    <row r="23">
      <c r="A23" s="1">
        <v>22.0</v>
      </c>
      <c r="B23" s="1" t="s">
        <v>64</v>
      </c>
      <c r="C23" s="1" t="s">
        <v>23</v>
      </c>
      <c r="D23" s="1">
        <v>0.0</v>
      </c>
      <c r="E23" s="1">
        <v>150.0</v>
      </c>
      <c r="F23" s="1">
        <v>0.6</v>
      </c>
      <c r="H23" s="1" t="s">
        <v>45</v>
      </c>
      <c r="I23" s="4">
        <v>46219.77337962963</v>
      </c>
      <c r="J23" s="1" t="s">
        <v>26</v>
      </c>
      <c r="K23" s="1">
        <v>150.0</v>
      </c>
      <c r="L23" s="1">
        <v>250.0</v>
      </c>
      <c r="M23" s="1">
        <v>250.0</v>
      </c>
      <c r="N23" s="5">
        <v>42262.0</v>
      </c>
      <c r="O23" s="1" t="s">
        <v>65</v>
      </c>
      <c r="P23" s="1" t="s">
        <v>29</v>
      </c>
      <c r="Q23" s="1" t="s">
        <v>66</v>
      </c>
      <c r="R23" s="1">
        <v>128.0</v>
      </c>
      <c r="S23" s="1" t="s">
        <v>48</v>
      </c>
    </row>
    <row r="24">
      <c r="A24" s="1">
        <v>23.0</v>
      </c>
      <c r="B24" s="1" t="s">
        <v>802</v>
      </c>
      <c r="C24" s="1" t="s">
        <v>23</v>
      </c>
      <c r="D24" s="1">
        <v>0.0</v>
      </c>
      <c r="E24" s="1">
        <v>100.0</v>
      </c>
      <c r="F24" s="1">
        <v>0.01</v>
      </c>
      <c r="H24" s="1" t="s">
        <v>140</v>
      </c>
      <c r="I24" s="4">
        <v>46210.086643518516</v>
      </c>
      <c r="K24" s="1">
        <v>100.0</v>
      </c>
      <c r="L24" s="1">
        <v>250.0</v>
      </c>
      <c r="M24" s="1">
        <v>250.0</v>
      </c>
      <c r="N24" s="5">
        <v>43844.0</v>
      </c>
      <c r="O24" s="1" t="s">
        <v>40</v>
      </c>
      <c r="P24" s="1" t="s">
        <v>29</v>
      </c>
      <c r="Q24" s="1" t="s">
        <v>811</v>
      </c>
      <c r="S24" s="1" t="s">
        <v>43</v>
      </c>
    </row>
    <row r="25">
      <c r="A25" s="1">
        <v>24.0</v>
      </c>
      <c r="B25" s="1" t="s">
        <v>69</v>
      </c>
      <c r="C25" s="1" t="s">
        <v>23</v>
      </c>
      <c r="D25" s="1">
        <v>0.0</v>
      </c>
      <c r="E25" s="1">
        <v>100.0</v>
      </c>
      <c r="F25" s="1">
        <v>0.02</v>
      </c>
      <c r="G25" s="1">
        <v>1.01</v>
      </c>
      <c r="H25" s="1" t="s">
        <v>69</v>
      </c>
      <c r="I25" s="4">
        <v>46202.57375</v>
      </c>
      <c r="J25" s="1" t="s">
        <v>70</v>
      </c>
      <c r="K25" s="1">
        <v>100.0</v>
      </c>
      <c r="L25" s="1">
        <v>200.0</v>
      </c>
      <c r="M25" s="1">
        <v>200.0</v>
      </c>
      <c r="N25" s="5">
        <v>42275.0</v>
      </c>
      <c r="O25" s="1" t="s">
        <v>40</v>
      </c>
      <c r="P25" s="1" t="s">
        <v>29</v>
      </c>
      <c r="Q25" s="1" t="s">
        <v>72</v>
      </c>
      <c r="S25" s="1" t="s">
        <v>43</v>
      </c>
    </row>
    <row r="26">
      <c r="A26" s="1">
        <v>25.0</v>
      </c>
      <c r="B26" s="1" t="s">
        <v>818</v>
      </c>
      <c r="C26" s="1" t="s">
        <v>23</v>
      </c>
      <c r="D26" s="1">
        <v>0.0</v>
      </c>
      <c r="E26" s="1">
        <v>100.0</v>
      </c>
      <c r="F26" s="1">
        <v>0.03</v>
      </c>
      <c r="H26" s="1" t="s">
        <v>822</v>
      </c>
      <c r="I26" s="4">
        <v>46212.81003472222</v>
      </c>
      <c r="K26" s="1">
        <v>100.0</v>
      </c>
      <c r="L26" s="1">
        <v>150.0</v>
      </c>
      <c r="M26" s="1">
        <v>150.0</v>
      </c>
      <c r="N26" s="5">
        <v>42419.0</v>
      </c>
      <c r="O26" s="1" t="s">
        <v>143</v>
      </c>
      <c r="P26" s="1" t="s">
        <v>29</v>
      </c>
      <c r="Q26" s="1" t="s">
        <v>828</v>
      </c>
      <c r="R26" s="1">
        <v>108.0</v>
      </c>
      <c r="S26" s="1" t="s">
        <v>43</v>
      </c>
    </row>
    <row r="27">
      <c r="A27" s="1">
        <v>26.0</v>
      </c>
      <c r="B27" s="1" t="s">
        <v>830</v>
      </c>
      <c r="C27" s="1" t="s">
        <v>23</v>
      </c>
      <c r="D27" s="1">
        <v>0.0</v>
      </c>
      <c r="E27" s="1">
        <v>100.0</v>
      </c>
      <c r="F27" s="1">
        <v>0.15</v>
      </c>
      <c r="G27" s="1">
        <v>0.4</v>
      </c>
      <c r="H27" s="1" t="s">
        <v>140</v>
      </c>
      <c r="I27" s="4">
        <v>46210.916666666664</v>
      </c>
      <c r="J27" s="1" t="s">
        <v>834</v>
      </c>
      <c r="K27" s="1">
        <v>8900.0</v>
      </c>
      <c r="L27" s="1">
        <v>250.0</v>
      </c>
      <c r="M27" s="1">
        <v>250.0</v>
      </c>
      <c r="N27" s="5">
        <v>42287.0</v>
      </c>
      <c r="O27" s="1" t="s">
        <v>143</v>
      </c>
      <c r="P27" s="1" t="s">
        <v>29</v>
      </c>
      <c r="Q27" s="1" t="s">
        <v>839</v>
      </c>
      <c r="R27" s="1" t="s">
        <v>840</v>
      </c>
      <c r="S27" s="1" t="s">
        <v>842</v>
      </c>
    </row>
    <row r="28">
      <c r="A28" s="1">
        <v>27.0</v>
      </c>
      <c r="B28" s="1" t="s">
        <v>843</v>
      </c>
      <c r="C28" s="1" t="s">
        <v>23</v>
      </c>
      <c r="D28" s="1">
        <v>0.0</v>
      </c>
      <c r="E28" s="1">
        <v>100.0</v>
      </c>
      <c r="F28" s="1">
        <v>0.01</v>
      </c>
      <c r="G28" s="1">
        <v>1.09</v>
      </c>
      <c r="H28" s="1" t="s">
        <v>140</v>
      </c>
      <c r="I28" s="4">
        <v>46207.103101851855</v>
      </c>
      <c r="J28" s="1" t="s">
        <v>74</v>
      </c>
      <c r="K28" s="1">
        <v>3200.0</v>
      </c>
      <c r="L28" s="1">
        <v>250.0</v>
      </c>
      <c r="M28" s="1">
        <v>250.0</v>
      </c>
      <c r="N28" s="5">
        <v>42255.0</v>
      </c>
      <c r="O28" s="1" t="s">
        <v>703</v>
      </c>
      <c r="P28" s="1" t="s">
        <v>29</v>
      </c>
      <c r="Q28" s="1" t="s">
        <v>851</v>
      </c>
      <c r="R28" s="1">
        <v>62.0</v>
      </c>
      <c r="S28" s="1" t="s">
        <v>43</v>
      </c>
    </row>
    <row r="29">
      <c r="A29" s="1">
        <v>28.0</v>
      </c>
      <c r="B29" s="1" t="s">
        <v>854</v>
      </c>
      <c r="C29" s="1" t="s">
        <v>23</v>
      </c>
      <c r="D29" s="1">
        <v>32.0</v>
      </c>
      <c r="E29" s="1">
        <v>100.0</v>
      </c>
      <c r="F29" s="1">
        <v>0.6</v>
      </c>
      <c r="H29" s="1" t="s">
        <v>858</v>
      </c>
      <c r="I29" s="4">
        <v>46220.73255787037</v>
      </c>
      <c r="J29" s="1" t="s">
        <v>26</v>
      </c>
      <c r="K29" s="1">
        <v>8400.0</v>
      </c>
      <c r="L29" s="1">
        <v>250.0</v>
      </c>
      <c r="M29" s="1">
        <v>250.0</v>
      </c>
      <c r="N29" s="5">
        <v>43364.0</v>
      </c>
      <c r="O29" s="1" t="s">
        <v>91</v>
      </c>
      <c r="P29" s="1" t="s">
        <v>29</v>
      </c>
      <c r="Q29" s="1" t="s">
        <v>863</v>
      </c>
      <c r="R29" s="1">
        <v>82.0</v>
      </c>
      <c r="S29" s="1" t="s">
        <v>866</v>
      </c>
    </row>
    <row r="30">
      <c r="A30" s="1">
        <v>29.0</v>
      </c>
      <c r="B30" s="1" t="s">
        <v>867</v>
      </c>
      <c r="C30" s="1" t="s">
        <v>23</v>
      </c>
      <c r="D30" s="1">
        <v>0.0</v>
      </c>
      <c r="E30" s="1">
        <v>100.0</v>
      </c>
      <c r="F30" s="1">
        <v>0.4</v>
      </c>
      <c r="H30" s="1" t="s">
        <v>867</v>
      </c>
      <c r="I30" s="4">
        <v>46204.170694444445</v>
      </c>
      <c r="J30" s="1" t="s">
        <v>870</v>
      </c>
      <c r="K30" s="1">
        <v>4900.0</v>
      </c>
      <c r="L30" s="1">
        <v>30.0</v>
      </c>
      <c r="M30" s="1">
        <v>9700.0</v>
      </c>
      <c r="N30" s="5">
        <v>44499.0</v>
      </c>
      <c r="O30" s="1" t="s">
        <v>28</v>
      </c>
      <c r="P30" s="1" t="s">
        <v>29</v>
      </c>
      <c r="Q30" s="1" t="s">
        <v>873</v>
      </c>
      <c r="S30" s="1" t="s">
        <v>76</v>
      </c>
    </row>
    <row r="31">
      <c r="A31" s="1">
        <v>30.0</v>
      </c>
      <c r="B31" s="1" t="s">
        <v>875</v>
      </c>
      <c r="C31" s="1" t="s">
        <v>23</v>
      </c>
      <c r="D31" s="1">
        <v>41.0</v>
      </c>
      <c r="E31" s="1">
        <v>100.0</v>
      </c>
      <c r="F31" s="1">
        <v>0.6</v>
      </c>
      <c r="G31" s="1">
        <v>1.16</v>
      </c>
      <c r="H31" s="1" t="s">
        <v>878</v>
      </c>
      <c r="I31" s="4">
        <v>46209.50251157407</v>
      </c>
      <c r="J31" s="1" t="s">
        <v>26</v>
      </c>
      <c r="K31" s="1">
        <v>100.0</v>
      </c>
      <c r="L31" s="1">
        <v>70.0</v>
      </c>
      <c r="M31" s="1">
        <v>70.0</v>
      </c>
      <c r="N31" s="5">
        <v>42262.0</v>
      </c>
      <c r="O31" s="1" t="s">
        <v>28</v>
      </c>
      <c r="P31" s="1" t="s">
        <v>29</v>
      </c>
      <c r="Q31" s="1" t="s">
        <v>883</v>
      </c>
      <c r="R31" s="1">
        <v>85.0</v>
      </c>
      <c r="S31" s="1" t="s">
        <v>83</v>
      </c>
    </row>
    <row r="32">
      <c r="A32" s="1">
        <v>31.0</v>
      </c>
      <c r="B32" s="1" t="s">
        <v>886</v>
      </c>
      <c r="C32" s="1" t="s">
        <v>23</v>
      </c>
      <c r="D32" s="1">
        <v>6.0</v>
      </c>
      <c r="E32" s="1">
        <v>100.0</v>
      </c>
      <c r="F32" s="1">
        <v>0.6</v>
      </c>
      <c r="G32" s="1">
        <v>0.94</v>
      </c>
      <c r="H32" s="1" t="s">
        <v>49</v>
      </c>
      <c r="I32" s="4">
        <v>46200.60208333333</v>
      </c>
      <c r="J32" s="1" t="s">
        <v>26</v>
      </c>
      <c r="K32" s="1">
        <v>100.0</v>
      </c>
      <c r="L32" s="1">
        <v>90.0</v>
      </c>
      <c r="M32" s="1">
        <v>100.0</v>
      </c>
      <c r="N32" s="5">
        <v>42300.0</v>
      </c>
      <c r="O32" s="1" t="s">
        <v>28</v>
      </c>
      <c r="P32" s="1" t="s">
        <v>29</v>
      </c>
      <c r="Q32" s="1" t="s">
        <v>893</v>
      </c>
      <c r="R32" s="1">
        <v>111.0</v>
      </c>
      <c r="S32" s="1" t="s">
        <v>34</v>
      </c>
    </row>
    <row r="33">
      <c r="A33" s="1">
        <v>32.0</v>
      </c>
      <c r="B33" s="1" t="s">
        <v>684</v>
      </c>
      <c r="C33" s="1" t="s">
        <v>23</v>
      </c>
      <c r="D33" s="1">
        <v>0.0</v>
      </c>
      <c r="E33" s="1">
        <v>100.0</v>
      </c>
      <c r="F33" s="1">
        <v>0.01</v>
      </c>
      <c r="G33" s="1">
        <v>1.83</v>
      </c>
      <c r="H33" s="1" t="s">
        <v>684</v>
      </c>
      <c r="I33" s="4">
        <v>46197.15282407407</v>
      </c>
      <c r="K33" s="1">
        <v>150.0</v>
      </c>
      <c r="L33" s="1">
        <v>300.0</v>
      </c>
      <c r="M33" s="1">
        <v>300.0</v>
      </c>
      <c r="N33" s="5">
        <v>42320.0</v>
      </c>
      <c r="O33" s="1" t="s">
        <v>40</v>
      </c>
      <c r="P33" s="1" t="s">
        <v>29</v>
      </c>
      <c r="Q33" s="1" t="s">
        <v>900</v>
      </c>
      <c r="R33" s="1" t="s">
        <v>901</v>
      </c>
      <c r="S33" s="1" t="s">
        <v>43</v>
      </c>
    </row>
    <row r="34">
      <c r="A34" s="1">
        <v>33.0</v>
      </c>
      <c r="B34" s="1" t="s">
        <v>904</v>
      </c>
      <c r="C34" s="1" t="s">
        <v>23</v>
      </c>
      <c r="D34" s="1">
        <v>16.0</v>
      </c>
      <c r="E34" s="1">
        <v>100.0</v>
      </c>
      <c r="F34" s="1">
        <v>0.6</v>
      </c>
      <c r="G34" s="1">
        <v>1.19</v>
      </c>
      <c r="H34" s="1" t="s">
        <v>35</v>
      </c>
      <c r="I34" s="4">
        <v>46189.614074074074</v>
      </c>
      <c r="J34" s="1" t="s">
        <v>26</v>
      </c>
      <c r="K34" s="1">
        <v>150.0</v>
      </c>
      <c r="L34" s="1">
        <v>350.0</v>
      </c>
      <c r="M34" s="1">
        <v>350.0</v>
      </c>
      <c r="N34" s="5">
        <v>42256.0</v>
      </c>
      <c r="O34" s="1" t="s">
        <v>28</v>
      </c>
      <c r="P34" s="1" t="s">
        <v>29</v>
      </c>
      <c r="Q34" s="1" t="s">
        <v>910</v>
      </c>
      <c r="R34" s="1" t="s">
        <v>912</v>
      </c>
      <c r="S34" s="1" t="s">
        <v>48</v>
      </c>
    </row>
    <row r="35">
      <c r="A35" s="1">
        <v>34.0</v>
      </c>
      <c r="B35" s="1" t="s">
        <v>84</v>
      </c>
      <c r="C35" s="1" t="s">
        <v>23</v>
      </c>
      <c r="D35" s="1">
        <v>0.0</v>
      </c>
      <c r="E35" s="1">
        <v>100.0</v>
      </c>
      <c r="F35" s="1">
        <v>1.0</v>
      </c>
      <c r="H35" s="1" t="s">
        <v>84</v>
      </c>
      <c r="I35" s="4">
        <v>46199.01739583333</v>
      </c>
      <c r="J35" s="1" t="s">
        <v>26</v>
      </c>
      <c r="K35" s="1">
        <v>100.0</v>
      </c>
      <c r="L35" s="1">
        <v>90.0</v>
      </c>
      <c r="M35" s="1">
        <v>90.0</v>
      </c>
      <c r="N35" s="5">
        <v>42329.0</v>
      </c>
      <c r="O35" s="1" t="s">
        <v>28</v>
      </c>
      <c r="P35" s="1" t="s">
        <v>29</v>
      </c>
      <c r="Q35" s="1" t="s">
        <v>86</v>
      </c>
      <c r="R35" s="1">
        <v>47.0</v>
      </c>
      <c r="S35" s="1" t="s">
        <v>34</v>
      </c>
    </row>
    <row r="36">
      <c r="A36" s="1">
        <v>35.0</v>
      </c>
      <c r="B36" s="1" t="s">
        <v>914</v>
      </c>
      <c r="C36" s="1" t="s">
        <v>23</v>
      </c>
      <c r="D36" s="1">
        <v>0.0</v>
      </c>
      <c r="E36" s="1">
        <v>90.0</v>
      </c>
      <c r="F36" s="1">
        <v>0.35</v>
      </c>
      <c r="H36" s="1" t="s">
        <v>914</v>
      </c>
      <c r="I36" s="4">
        <v>46213.309479166666</v>
      </c>
      <c r="J36" s="1" t="s">
        <v>916</v>
      </c>
      <c r="K36" s="1">
        <v>100.0</v>
      </c>
      <c r="L36" s="1">
        <v>40.0</v>
      </c>
      <c r="M36" s="1">
        <v>40.0</v>
      </c>
      <c r="N36" s="5">
        <v>42265.0</v>
      </c>
      <c r="O36" s="1" t="s">
        <v>917</v>
      </c>
      <c r="P36" s="1" t="s">
        <v>29</v>
      </c>
      <c r="Q36" s="1" t="s">
        <v>918</v>
      </c>
      <c r="R36" s="1">
        <v>5.0</v>
      </c>
      <c r="S36" s="1" t="s">
        <v>34</v>
      </c>
    </row>
    <row r="37">
      <c r="A37" s="1">
        <v>36.0</v>
      </c>
      <c r="B37" s="1" t="s">
        <v>920</v>
      </c>
      <c r="C37" s="1" t="s">
        <v>23</v>
      </c>
      <c r="D37" s="1">
        <v>0.0</v>
      </c>
      <c r="E37" s="1">
        <v>90.0</v>
      </c>
      <c r="F37" s="1">
        <v>0.02</v>
      </c>
      <c r="H37" s="1" t="s">
        <v>140</v>
      </c>
      <c r="I37" s="4">
        <v>46215.33388888889</v>
      </c>
      <c r="J37" s="1" t="s">
        <v>74</v>
      </c>
      <c r="K37" s="1">
        <v>8500.0</v>
      </c>
      <c r="L37" s="1">
        <v>300.0</v>
      </c>
      <c r="M37" s="1">
        <v>300.0</v>
      </c>
      <c r="N37" s="5">
        <v>43844.0</v>
      </c>
      <c r="O37" s="1" t="s">
        <v>40</v>
      </c>
      <c r="P37" s="1" t="s">
        <v>29</v>
      </c>
      <c r="Q37" s="1" t="s">
        <v>923</v>
      </c>
      <c r="R37" s="1">
        <v>47.0</v>
      </c>
      <c r="S37" s="1" t="s">
        <v>43</v>
      </c>
    </row>
    <row r="38">
      <c r="A38" s="1">
        <v>37.0</v>
      </c>
      <c r="B38" s="1" t="s">
        <v>89</v>
      </c>
      <c r="C38" s="1" t="s">
        <v>23</v>
      </c>
      <c r="D38" s="1">
        <v>0.0</v>
      </c>
      <c r="E38" s="1">
        <v>90.0</v>
      </c>
      <c r="F38" s="1">
        <v>0.8</v>
      </c>
      <c r="H38" s="1" t="s">
        <v>84</v>
      </c>
      <c r="I38" s="4">
        <v>46217.63798611111</v>
      </c>
      <c r="J38" s="1" t="s">
        <v>90</v>
      </c>
      <c r="K38" s="1">
        <v>100.0</v>
      </c>
      <c r="L38" s="1">
        <v>40.0</v>
      </c>
      <c r="M38" s="1">
        <v>40.0</v>
      </c>
      <c r="N38" s="5">
        <v>42452.0</v>
      </c>
      <c r="O38" s="1" t="s">
        <v>91</v>
      </c>
      <c r="P38" s="1" t="s">
        <v>29</v>
      </c>
      <c r="Q38" s="1" t="s">
        <v>92</v>
      </c>
      <c r="S38" s="1" t="s">
        <v>76</v>
      </c>
    </row>
    <row r="39">
      <c r="A39" s="1">
        <v>38.0</v>
      </c>
      <c r="B39" s="1" t="s">
        <v>926</v>
      </c>
      <c r="C39" s="1" t="s">
        <v>23</v>
      </c>
      <c r="D39" s="1">
        <v>0.0</v>
      </c>
      <c r="E39" s="1">
        <v>90.0</v>
      </c>
      <c r="F39" s="1">
        <v>0.02</v>
      </c>
      <c r="H39" s="1" t="s">
        <v>36</v>
      </c>
      <c r="I39" s="4">
        <v>46205.54221064815</v>
      </c>
      <c r="J39" s="1" t="s">
        <v>74</v>
      </c>
      <c r="K39" s="1">
        <v>14000.0</v>
      </c>
      <c r="L39" s="1">
        <v>250.0</v>
      </c>
      <c r="M39" s="1">
        <v>250.0</v>
      </c>
      <c r="N39" s="5">
        <v>42493.0</v>
      </c>
      <c r="O39" s="1" t="s">
        <v>524</v>
      </c>
      <c r="P39" s="1" t="s">
        <v>29</v>
      </c>
      <c r="Q39" s="1" t="s">
        <v>930</v>
      </c>
      <c r="R39" s="1">
        <v>45.0</v>
      </c>
      <c r="S39" s="1" t="s">
        <v>43</v>
      </c>
    </row>
    <row r="40">
      <c r="A40" s="1">
        <v>39.0</v>
      </c>
      <c r="B40" s="1" t="s">
        <v>931</v>
      </c>
      <c r="C40" s="1" t="s">
        <v>23</v>
      </c>
      <c r="D40" s="1">
        <v>19.0</v>
      </c>
      <c r="E40" s="1">
        <v>90.0</v>
      </c>
      <c r="F40" s="1">
        <v>0.6</v>
      </c>
      <c r="H40" s="1" t="s">
        <v>45</v>
      </c>
      <c r="I40" s="4">
        <v>46212.88119212963</v>
      </c>
      <c r="J40" s="1" t="s">
        <v>26</v>
      </c>
      <c r="K40" s="1">
        <v>90.0</v>
      </c>
      <c r="L40" s="1">
        <v>250.0</v>
      </c>
      <c r="M40" s="1">
        <v>250.0</v>
      </c>
      <c r="N40" s="5">
        <v>42257.0</v>
      </c>
      <c r="O40" s="1" t="s">
        <v>28</v>
      </c>
      <c r="P40" s="1" t="s">
        <v>29</v>
      </c>
      <c r="Q40" s="1" t="s">
        <v>935</v>
      </c>
      <c r="R40" s="1">
        <v>32.0</v>
      </c>
      <c r="S40" s="1" t="s">
        <v>936</v>
      </c>
    </row>
    <row r="41">
      <c r="A41" s="1">
        <v>40.0</v>
      </c>
      <c r="B41" s="1" t="s">
        <v>938</v>
      </c>
      <c r="C41" s="1" t="s">
        <v>23</v>
      </c>
      <c r="D41" s="1">
        <v>0.0</v>
      </c>
      <c r="E41" s="1">
        <v>80.0</v>
      </c>
      <c r="F41" s="1">
        <v>0.6</v>
      </c>
      <c r="H41" s="1" t="s">
        <v>938</v>
      </c>
      <c r="I41" s="4">
        <v>46230.61384259259</v>
      </c>
      <c r="J41" s="1" t="s">
        <v>26</v>
      </c>
      <c r="K41" s="1">
        <v>4700.0</v>
      </c>
      <c r="L41" s="1">
        <v>20.0</v>
      </c>
      <c r="M41" s="1">
        <v>20.0</v>
      </c>
      <c r="N41" s="5">
        <v>43889.0</v>
      </c>
      <c r="O41" s="1" t="s">
        <v>28</v>
      </c>
      <c r="P41" s="1" t="s">
        <v>29</v>
      </c>
      <c r="Q41" s="1" t="s">
        <v>941</v>
      </c>
      <c r="R41" s="1">
        <v>57.0</v>
      </c>
      <c r="S41" s="1" t="s">
        <v>34</v>
      </c>
    </row>
    <row r="42">
      <c r="A42" s="1">
        <v>41.0</v>
      </c>
      <c r="B42" s="1" t="s">
        <v>121</v>
      </c>
      <c r="C42" s="1" t="s">
        <v>23</v>
      </c>
      <c r="D42" s="1">
        <v>0.0</v>
      </c>
      <c r="E42" s="1">
        <v>80.0</v>
      </c>
      <c r="F42" s="1">
        <v>0.9</v>
      </c>
      <c r="H42" s="1" t="s">
        <v>121</v>
      </c>
      <c r="I42" s="4">
        <v>46211.08121527778</v>
      </c>
      <c r="J42" s="1" t="s">
        <v>126</v>
      </c>
      <c r="K42" s="1">
        <v>150.0</v>
      </c>
      <c r="L42" s="1">
        <v>60.0</v>
      </c>
      <c r="M42" s="1">
        <v>60.0</v>
      </c>
      <c r="N42" s="5">
        <v>42275.0</v>
      </c>
      <c r="O42" s="1" t="s">
        <v>28</v>
      </c>
      <c r="P42" s="1" t="s">
        <v>29</v>
      </c>
      <c r="Q42" s="1" t="s">
        <v>130</v>
      </c>
      <c r="S42" s="1" t="s">
        <v>76</v>
      </c>
    </row>
    <row r="43">
      <c r="A43" s="1">
        <v>42.0</v>
      </c>
      <c r="B43" s="1" t="s">
        <v>946</v>
      </c>
      <c r="C43" s="1" t="s">
        <v>23</v>
      </c>
      <c r="D43" s="1">
        <v>0.0</v>
      </c>
      <c r="E43" s="1">
        <v>80.0</v>
      </c>
      <c r="F43" s="1">
        <v>0.01</v>
      </c>
      <c r="G43" s="1">
        <v>1.34</v>
      </c>
      <c r="H43" s="1" t="s">
        <v>140</v>
      </c>
      <c r="I43" s="4">
        <v>46227.51291666667</v>
      </c>
      <c r="J43" s="1" t="s">
        <v>74</v>
      </c>
      <c r="K43" s="1">
        <v>80.0</v>
      </c>
      <c r="L43" s="1">
        <v>300.0</v>
      </c>
      <c r="M43" s="1">
        <v>300.0</v>
      </c>
      <c r="N43" s="5">
        <v>42264.0</v>
      </c>
      <c r="O43" s="1" t="s">
        <v>40</v>
      </c>
      <c r="P43" s="1" t="s">
        <v>29</v>
      </c>
      <c r="Q43" s="1" t="s">
        <v>949</v>
      </c>
      <c r="R43" s="1">
        <v>58.0</v>
      </c>
      <c r="S43" s="1" t="s">
        <v>43</v>
      </c>
    </row>
    <row r="44">
      <c r="A44" s="1">
        <v>43.0</v>
      </c>
      <c r="B44" s="1" t="s">
        <v>96</v>
      </c>
      <c r="C44" s="1" t="s">
        <v>23</v>
      </c>
      <c r="D44" s="1">
        <v>0.0</v>
      </c>
      <c r="E44" s="1">
        <v>70.0</v>
      </c>
      <c r="F44" s="1">
        <v>0.3</v>
      </c>
      <c r="G44" s="1">
        <v>0.85</v>
      </c>
      <c r="H44" s="1" t="s">
        <v>96</v>
      </c>
      <c r="I44" s="4">
        <v>46231.83555555555</v>
      </c>
      <c r="J44" s="1" t="s">
        <v>98</v>
      </c>
      <c r="K44" s="1">
        <v>70.0</v>
      </c>
      <c r="L44" s="1">
        <v>20.0</v>
      </c>
      <c r="M44" s="1">
        <v>20.0</v>
      </c>
      <c r="N44" s="5">
        <v>42303.0</v>
      </c>
      <c r="O44" s="1" t="s">
        <v>28</v>
      </c>
      <c r="P44" s="1" t="s">
        <v>29</v>
      </c>
      <c r="Q44" s="1" t="s">
        <v>99</v>
      </c>
      <c r="R44" s="1" t="s">
        <v>100</v>
      </c>
      <c r="S44" s="1" t="s">
        <v>83</v>
      </c>
    </row>
    <row r="45">
      <c r="A45" s="1">
        <v>44.0</v>
      </c>
      <c r="B45" s="1" t="s">
        <v>952</v>
      </c>
      <c r="C45" s="1" t="s">
        <v>23</v>
      </c>
      <c r="D45" s="1">
        <v>3.0</v>
      </c>
      <c r="E45" s="1">
        <v>70.0</v>
      </c>
      <c r="F45" s="1">
        <v>0.4</v>
      </c>
      <c r="H45" s="1" t="s">
        <v>954</v>
      </c>
      <c r="I45" s="4">
        <v>46226.39050925926</v>
      </c>
      <c r="J45" s="1" t="s">
        <v>740</v>
      </c>
      <c r="K45" s="1">
        <v>13000.0</v>
      </c>
      <c r="L45" s="1">
        <v>20.0</v>
      </c>
      <c r="M45" s="1">
        <v>20.0</v>
      </c>
      <c r="N45" s="5">
        <v>43447.0</v>
      </c>
      <c r="O45" s="1" t="s">
        <v>28</v>
      </c>
      <c r="P45" s="1" t="s">
        <v>29</v>
      </c>
      <c r="Q45" s="1" t="s">
        <v>956</v>
      </c>
      <c r="R45" s="1">
        <v>60.0</v>
      </c>
      <c r="S45" s="1" t="s">
        <v>48</v>
      </c>
    </row>
    <row r="46">
      <c r="A46" s="1">
        <v>45.0</v>
      </c>
      <c r="B46" s="1" t="s">
        <v>957</v>
      </c>
      <c r="C46" s="1" t="s">
        <v>23</v>
      </c>
      <c r="D46" s="1">
        <v>13.0</v>
      </c>
      <c r="E46" s="1">
        <v>70.0</v>
      </c>
      <c r="F46" s="1">
        <v>1.0</v>
      </c>
      <c r="H46" s="1" t="s">
        <v>958</v>
      </c>
      <c r="I46" s="4">
        <v>46228.50609953704</v>
      </c>
      <c r="J46" s="1" t="s">
        <v>26</v>
      </c>
      <c r="K46" s="1">
        <v>3900.0</v>
      </c>
      <c r="L46" s="1">
        <v>11000.0</v>
      </c>
      <c r="M46" s="1">
        <v>11000.0</v>
      </c>
      <c r="N46" s="5">
        <v>42718.0</v>
      </c>
      <c r="O46" s="1" t="s">
        <v>91</v>
      </c>
      <c r="P46" s="1" t="s">
        <v>29</v>
      </c>
      <c r="Q46" s="1" t="s">
        <v>961</v>
      </c>
      <c r="S46" s="1" t="s">
        <v>34</v>
      </c>
    </row>
    <row r="47">
      <c r="A47" s="1">
        <v>46.0</v>
      </c>
      <c r="B47" s="1" t="s">
        <v>133</v>
      </c>
      <c r="C47" s="1" t="s">
        <v>23</v>
      </c>
      <c r="D47" s="1">
        <v>0.0</v>
      </c>
      <c r="E47" s="1">
        <v>70.0</v>
      </c>
      <c r="F47" s="1">
        <v>1.4</v>
      </c>
      <c r="H47" s="1" t="s">
        <v>133</v>
      </c>
      <c r="I47" s="4">
        <v>46216.916666666664</v>
      </c>
      <c r="J47" s="1" t="s">
        <v>26</v>
      </c>
      <c r="K47" s="1">
        <v>80.0</v>
      </c>
      <c r="L47" s="1">
        <v>50.0</v>
      </c>
      <c r="M47" s="1">
        <v>50.0</v>
      </c>
      <c r="N47" s="5">
        <v>42345.0</v>
      </c>
      <c r="O47" s="1" t="s">
        <v>65</v>
      </c>
      <c r="P47" s="1" t="s">
        <v>29</v>
      </c>
      <c r="Q47" s="1" t="s">
        <v>138</v>
      </c>
      <c r="R47" s="1" t="s">
        <v>139</v>
      </c>
      <c r="S47" s="1" t="s">
        <v>34</v>
      </c>
    </row>
    <row r="48">
      <c r="A48" s="1">
        <v>47.0</v>
      </c>
      <c r="B48" s="1" t="s">
        <v>61</v>
      </c>
      <c r="C48" s="1" t="s">
        <v>23</v>
      </c>
      <c r="D48" s="1">
        <v>17.0</v>
      </c>
      <c r="E48" s="1">
        <v>70.0</v>
      </c>
      <c r="F48" s="1">
        <v>1.4</v>
      </c>
      <c r="G48" s="1">
        <v>0.98</v>
      </c>
      <c r="H48" s="1" t="s">
        <v>61</v>
      </c>
      <c r="I48" s="4">
        <v>46203.49953703704</v>
      </c>
      <c r="J48" s="1" t="s">
        <v>26</v>
      </c>
      <c r="K48" s="1">
        <v>70.0</v>
      </c>
      <c r="L48" s="1">
        <v>40.0</v>
      </c>
      <c r="M48" s="1">
        <v>40.0</v>
      </c>
      <c r="N48" s="5">
        <v>42333.0</v>
      </c>
      <c r="O48" s="1" t="s">
        <v>28</v>
      </c>
      <c r="P48" s="1" t="s">
        <v>29</v>
      </c>
      <c r="Q48" s="1" t="s">
        <v>153</v>
      </c>
      <c r="R48" s="1" t="s">
        <v>155</v>
      </c>
      <c r="S48" s="1" t="s">
        <v>34</v>
      </c>
    </row>
    <row r="49">
      <c r="A49" s="1">
        <v>48.0</v>
      </c>
      <c r="B49" s="1" t="s">
        <v>967</v>
      </c>
      <c r="C49" s="1" t="s">
        <v>23</v>
      </c>
      <c r="D49" s="1">
        <v>43.0</v>
      </c>
      <c r="E49" s="1">
        <v>60.0</v>
      </c>
      <c r="F49" s="1">
        <v>0.5</v>
      </c>
      <c r="H49" s="1" t="s">
        <v>967</v>
      </c>
      <c r="I49" s="4">
        <v>46207.91405092592</v>
      </c>
      <c r="J49" s="1" t="s">
        <v>126</v>
      </c>
      <c r="K49" s="1">
        <v>4000.0</v>
      </c>
      <c r="L49" s="1">
        <v>50.0</v>
      </c>
      <c r="M49" s="1">
        <v>50.0</v>
      </c>
      <c r="N49" s="5">
        <v>42392.0</v>
      </c>
      <c r="O49" s="1" t="s">
        <v>91</v>
      </c>
      <c r="P49" s="1" t="s">
        <v>29</v>
      </c>
      <c r="Q49" s="1" t="s">
        <v>969</v>
      </c>
      <c r="R49" s="1">
        <v>48.0</v>
      </c>
      <c r="S49" s="1" t="s">
        <v>76</v>
      </c>
    </row>
    <row r="50">
      <c r="A50" s="1">
        <v>49.0</v>
      </c>
      <c r="B50" s="1" t="s">
        <v>971</v>
      </c>
      <c r="C50" s="1" t="s">
        <v>23</v>
      </c>
      <c r="D50" s="1">
        <v>0.0</v>
      </c>
      <c r="E50" s="1">
        <v>60.0</v>
      </c>
      <c r="F50" s="1">
        <v>0.5</v>
      </c>
      <c r="H50" s="1" t="s">
        <v>971</v>
      </c>
      <c r="I50" s="4">
        <v>46224.41849537037</v>
      </c>
      <c r="J50" s="1" t="s">
        <v>740</v>
      </c>
      <c r="K50" s="1">
        <v>24000.0</v>
      </c>
      <c r="L50" s="1">
        <v>10.0</v>
      </c>
      <c r="M50" s="1">
        <v>10.0</v>
      </c>
      <c r="N50" s="5">
        <v>42599.0</v>
      </c>
      <c r="O50" s="1" t="s">
        <v>28</v>
      </c>
      <c r="P50" s="1" t="s">
        <v>29</v>
      </c>
      <c r="Q50" s="1" t="s">
        <v>974</v>
      </c>
      <c r="S50" s="1" t="s">
        <v>975</v>
      </c>
    </row>
    <row r="51">
      <c r="A51" s="1">
        <v>50.0</v>
      </c>
      <c r="B51" s="1" t="s">
        <v>976</v>
      </c>
      <c r="C51" s="1" t="s">
        <v>23</v>
      </c>
      <c r="D51" s="1">
        <v>0.0</v>
      </c>
      <c r="E51" s="1">
        <v>60.0</v>
      </c>
      <c r="F51" s="1">
        <v>0.02</v>
      </c>
      <c r="H51" s="1" t="s">
        <v>822</v>
      </c>
      <c r="I51" s="4">
        <v>46210.928298611114</v>
      </c>
      <c r="K51" s="1">
        <v>60.0</v>
      </c>
      <c r="L51" s="1">
        <v>150.0</v>
      </c>
      <c r="M51" s="1">
        <v>150.0</v>
      </c>
      <c r="N51" s="5">
        <v>42746.0</v>
      </c>
      <c r="O51" s="1" t="s">
        <v>143</v>
      </c>
      <c r="P51" s="1" t="s">
        <v>29</v>
      </c>
      <c r="Q51" s="1" t="s">
        <v>979</v>
      </c>
      <c r="R51" s="1">
        <v>24.0</v>
      </c>
      <c r="S51" s="1" t="s">
        <v>43</v>
      </c>
    </row>
    <row r="52">
      <c r="A52" s="1">
        <v>51.0</v>
      </c>
      <c r="B52" s="1" t="s">
        <v>980</v>
      </c>
      <c r="C52" s="1" t="s">
        <v>23</v>
      </c>
      <c r="D52" s="1">
        <v>30.0</v>
      </c>
      <c r="E52" s="1">
        <v>60.0</v>
      </c>
      <c r="F52" s="1">
        <v>0.8</v>
      </c>
      <c r="H52" s="1" t="s">
        <v>35</v>
      </c>
      <c r="I52" s="4">
        <v>46219.55498842592</v>
      </c>
      <c r="J52" s="1" t="s">
        <v>740</v>
      </c>
      <c r="K52" s="1">
        <v>3100.0</v>
      </c>
      <c r="L52" s="1">
        <v>300.0</v>
      </c>
      <c r="M52" s="1">
        <v>14000.0</v>
      </c>
      <c r="N52" s="5">
        <v>42253.0</v>
      </c>
      <c r="O52" s="1" t="s">
        <v>621</v>
      </c>
      <c r="P52" s="1" t="s">
        <v>29</v>
      </c>
      <c r="Q52" s="1" t="s">
        <v>983</v>
      </c>
      <c r="S52" s="1" t="s">
        <v>985</v>
      </c>
    </row>
    <row r="53">
      <c r="A53" s="1">
        <v>52.0</v>
      </c>
      <c r="B53" s="1" t="s">
        <v>987</v>
      </c>
      <c r="C53" s="1" t="s">
        <v>23</v>
      </c>
      <c r="D53" s="1">
        <v>0.0</v>
      </c>
      <c r="E53" s="1">
        <v>60.0</v>
      </c>
      <c r="F53" s="1">
        <v>0.6</v>
      </c>
      <c r="H53" s="1" t="s">
        <v>22</v>
      </c>
      <c r="I53" s="4">
        <v>46204.76923611111</v>
      </c>
      <c r="J53" s="1" t="s">
        <v>26</v>
      </c>
      <c r="K53" s="1">
        <v>500.0</v>
      </c>
      <c r="L53" s="1">
        <v>150.0</v>
      </c>
      <c r="M53" s="1">
        <v>200.0</v>
      </c>
      <c r="N53" s="5">
        <v>43844.0</v>
      </c>
      <c r="O53" s="1" t="s">
        <v>28</v>
      </c>
      <c r="P53" s="1" t="s">
        <v>29</v>
      </c>
      <c r="Q53" s="1" t="s">
        <v>990</v>
      </c>
      <c r="R53" s="1">
        <v>53.0</v>
      </c>
      <c r="S53" s="1" t="s">
        <v>34</v>
      </c>
    </row>
    <row r="54">
      <c r="A54" s="1">
        <v>53.0</v>
      </c>
      <c r="B54" s="1" t="s">
        <v>992</v>
      </c>
      <c r="C54" s="1" t="s">
        <v>23</v>
      </c>
      <c r="D54" s="1">
        <v>0.0</v>
      </c>
      <c r="E54" s="1">
        <v>50.0</v>
      </c>
      <c r="F54" s="1">
        <v>0.5</v>
      </c>
      <c r="H54" s="1" t="s">
        <v>993</v>
      </c>
      <c r="I54" s="4">
        <v>46208.20278935185</v>
      </c>
      <c r="J54" s="1" t="s">
        <v>26</v>
      </c>
      <c r="K54" s="1">
        <v>1000.0</v>
      </c>
      <c r="L54" s="1">
        <v>800.0</v>
      </c>
      <c r="M54" s="1">
        <v>800.0</v>
      </c>
      <c r="N54" s="5">
        <v>42248.0</v>
      </c>
      <c r="O54" s="1" t="s">
        <v>28</v>
      </c>
      <c r="P54" s="1" t="s">
        <v>29</v>
      </c>
      <c r="Q54" s="1" t="s">
        <v>996</v>
      </c>
      <c r="R54" s="1">
        <v>25.0</v>
      </c>
      <c r="S54" s="1" t="s">
        <v>48</v>
      </c>
    </row>
    <row r="55">
      <c r="A55" s="1">
        <v>54.0</v>
      </c>
      <c r="B55" s="1" t="s">
        <v>215</v>
      </c>
      <c r="C55" s="1" t="s">
        <v>23</v>
      </c>
      <c r="D55" s="1">
        <v>0.0</v>
      </c>
      <c r="E55" s="1">
        <v>50.0</v>
      </c>
      <c r="F55" s="1">
        <v>1.1</v>
      </c>
      <c r="H55" s="1" t="s">
        <v>215</v>
      </c>
      <c r="I55" s="4">
        <v>46207.31528935185</v>
      </c>
      <c r="J55" s="1" t="s">
        <v>26</v>
      </c>
      <c r="K55" s="1">
        <v>50.0</v>
      </c>
      <c r="L55" s="1">
        <v>10.0</v>
      </c>
      <c r="M55" s="1">
        <v>10.0</v>
      </c>
      <c r="N55" s="5">
        <v>42278.0</v>
      </c>
      <c r="O55" s="1" t="s">
        <v>28</v>
      </c>
      <c r="P55" s="1" t="s">
        <v>29</v>
      </c>
      <c r="Q55" s="1" t="s">
        <v>228</v>
      </c>
      <c r="R55" s="1">
        <v>21.0</v>
      </c>
      <c r="S55" s="1" t="s">
        <v>34</v>
      </c>
    </row>
    <row r="56">
      <c r="A56" s="1">
        <v>55.0</v>
      </c>
      <c r="B56" s="1" t="s">
        <v>1001</v>
      </c>
      <c r="C56" s="1" t="s">
        <v>23</v>
      </c>
      <c r="D56" s="1">
        <v>0.0</v>
      </c>
      <c r="E56" s="1">
        <v>50.0</v>
      </c>
      <c r="H56" s="1" t="s">
        <v>1002</v>
      </c>
      <c r="I56" s="4">
        <v>46206.34715277778</v>
      </c>
      <c r="J56" s="1" t="s">
        <v>26</v>
      </c>
      <c r="K56" s="1">
        <v>350.0</v>
      </c>
      <c r="L56" s="1">
        <v>100.0</v>
      </c>
      <c r="M56" s="1">
        <v>100.0</v>
      </c>
      <c r="N56" s="5">
        <v>42251.0</v>
      </c>
      <c r="O56" s="1" t="s">
        <v>28</v>
      </c>
      <c r="P56" s="1" t="s">
        <v>29</v>
      </c>
      <c r="Q56" s="1" t="s">
        <v>1004</v>
      </c>
      <c r="S56" s="1" t="s">
        <v>76</v>
      </c>
    </row>
    <row r="57">
      <c r="A57" s="1">
        <v>56.0</v>
      </c>
      <c r="B57" s="1" t="s">
        <v>1006</v>
      </c>
      <c r="C57" s="1" t="s">
        <v>23</v>
      </c>
      <c r="D57" s="1">
        <v>0.0</v>
      </c>
      <c r="E57" s="1">
        <v>50.0</v>
      </c>
      <c r="F57" s="1">
        <v>1.0</v>
      </c>
      <c r="H57" s="1" t="s">
        <v>777</v>
      </c>
      <c r="I57" s="4">
        <v>46217.446388888886</v>
      </c>
      <c r="J57" s="1" t="s">
        <v>740</v>
      </c>
      <c r="K57" s="1">
        <v>90.0</v>
      </c>
      <c r="L57" s="1">
        <v>80.0</v>
      </c>
      <c r="M57" s="1">
        <v>80.0</v>
      </c>
      <c r="N57" s="5">
        <v>42452.0</v>
      </c>
      <c r="O57" s="1" t="s">
        <v>91</v>
      </c>
      <c r="P57" s="1" t="s">
        <v>29</v>
      </c>
      <c r="Q57" s="1" t="s">
        <v>1010</v>
      </c>
      <c r="S57" s="1" t="s">
        <v>76</v>
      </c>
    </row>
    <row r="58">
      <c r="A58" s="1">
        <v>57.0</v>
      </c>
      <c r="B58" s="1" t="s">
        <v>1012</v>
      </c>
      <c r="C58" s="1" t="s">
        <v>23</v>
      </c>
      <c r="D58" s="1">
        <v>0.0</v>
      </c>
      <c r="E58" s="1">
        <v>50.0</v>
      </c>
      <c r="F58" s="1">
        <v>0.7</v>
      </c>
      <c r="H58" s="1" t="s">
        <v>50</v>
      </c>
      <c r="I58" s="4">
        <v>46209.73136574074</v>
      </c>
      <c r="J58" s="1" t="s">
        <v>1014</v>
      </c>
      <c r="K58" s="1">
        <v>5200.0</v>
      </c>
      <c r="L58" s="1">
        <v>1400.0</v>
      </c>
      <c r="M58" s="1">
        <v>1500.0</v>
      </c>
      <c r="N58" s="5">
        <v>43125.0</v>
      </c>
      <c r="O58" s="1" t="s">
        <v>28</v>
      </c>
      <c r="P58" s="1" t="s">
        <v>29</v>
      </c>
      <c r="Q58" s="1" t="s">
        <v>1017</v>
      </c>
      <c r="R58" s="1" t="s">
        <v>1018</v>
      </c>
      <c r="S58" s="1" t="s">
        <v>34</v>
      </c>
    </row>
    <row r="59">
      <c r="A59" s="1">
        <v>58.0</v>
      </c>
      <c r="B59" s="1" t="s">
        <v>1019</v>
      </c>
      <c r="C59" s="1" t="s">
        <v>23</v>
      </c>
      <c r="D59" s="1">
        <v>0.0</v>
      </c>
      <c r="E59" s="1">
        <v>50.0</v>
      </c>
      <c r="F59" s="1">
        <v>0.5</v>
      </c>
      <c r="H59" s="1" t="s">
        <v>1019</v>
      </c>
      <c r="I59" s="4">
        <v>46208.048159722224</v>
      </c>
      <c r="J59" s="1" t="s">
        <v>1021</v>
      </c>
      <c r="K59" s="1">
        <v>1600.0</v>
      </c>
      <c r="L59" s="1">
        <v>10.0</v>
      </c>
      <c r="M59" s="1">
        <v>10.0</v>
      </c>
      <c r="N59" s="5">
        <v>43136.0</v>
      </c>
      <c r="O59" s="1" t="s">
        <v>28</v>
      </c>
      <c r="P59" s="1" t="s">
        <v>29</v>
      </c>
      <c r="Q59" s="1" t="s">
        <v>1024</v>
      </c>
      <c r="R59" s="1">
        <v>46.0</v>
      </c>
      <c r="S59" s="1" t="s">
        <v>76</v>
      </c>
    </row>
    <row r="60">
      <c r="A60" s="1">
        <v>59.0</v>
      </c>
      <c r="B60" s="1" t="s">
        <v>1025</v>
      </c>
      <c r="C60" s="1" t="s">
        <v>23</v>
      </c>
      <c r="D60" s="1">
        <v>12.0</v>
      </c>
      <c r="E60" s="1">
        <v>40.0</v>
      </c>
      <c r="F60" s="1">
        <v>0.6</v>
      </c>
      <c r="H60" s="1" t="s">
        <v>45</v>
      </c>
      <c r="I60" s="4">
        <v>46205.053298611114</v>
      </c>
      <c r="J60" s="1" t="s">
        <v>26</v>
      </c>
      <c r="K60" s="1">
        <v>40.0</v>
      </c>
      <c r="L60" s="1">
        <v>70.0</v>
      </c>
      <c r="M60" s="1">
        <v>70.0</v>
      </c>
      <c r="N60" s="5">
        <v>44668.0</v>
      </c>
      <c r="O60" s="1" t="s">
        <v>28</v>
      </c>
      <c r="P60" s="1" t="s">
        <v>29</v>
      </c>
      <c r="Q60" s="1" t="s">
        <v>1029</v>
      </c>
      <c r="R60" s="1">
        <v>26.0</v>
      </c>
      <c r="S60" s="1" t="s">
        <v>48</v>
      </c>
    </row>
    <row r="61">
      <c r="A61" s="1">
        <v>60.0</v>
      </c>
      <c r="B61" s="1" t="s">
        <v>1030</v>
      </c>
      <c r="C61" s="1" t="s">
        <v>23</v>
      </c>
      <c r="D61" s="1">
        <v>45.0</v>
      </c>
      <c r="E61" s="1">
        <v>40.0</v>
      </c>
      <c r="F61" s="1">
        <v>0.8</v>
      </c>
      <c r="H61" s="1" t="s">
        <v>1031</v>
      </c>
      <c r="I61" s="4">
        <v>46229.49561342593</v>
      </c>
      <c r="J61" s="1" t="s">
        <v>26</v>
      </c>
      <c r="K61" s="1">
        <v>700.0</v>
      </c>
      <c r="L61" s="1">
        <v>2100.0</v>
      </c>
      <c r="M61" s="1">
        <v>2300.0</v>
      </c>
      <c r="N61" s="5">
        <v>42982.0</v>
      </c>
      <c r="O61" s="1" t="s">
        <v>91</v>
      </c>
      <c r="P61" s="1" t="s">
        <v>29</v>
      </c>
      <c r="Q61" s="1" t="s">
        <v>1033</v>
      </c>
      <c r="S61" s="1" t="s">
        <v>1034</v>
      </c>
    </row>
    <row r="62">
      <c r="A62" s="1">
        <v>61.0</v>
      </c>
      <c r="B62" s="1" t="s">
        <v>1036</v>
      </c>
      <c r="C62" s="1" t="s">
        <v>23</v>
      </c>
      <c r="D62" s="1">
        <v>0.0</v>
      </c>
      <c r="E62" s="1">
        <v>40.0</v>
      </c>
      <c r="F62" s="1">
        <v>0.02</v>
      </c>
      <c r="H62" s="1" t="s">
        <v>1038</v>
      </c>
      <c r="I62" s="4">
        <v>46209.02954861111</v>
      </c>
      <c r="K62" s="1">
        <v>50.0</v>
      </c>
      <c r="L62" s="1">
        <v>30.0</v>
      </c>
      <c r="M62" s="1">
        <v>30.0</v>
      </c>
      <c r="N62" s="5">
        <v>43841.0</v>
      </c>
      <c r="O62" s="1" t="s">
        <v>143</v>
      </c>
      <c r="P62" s="1" t="s">
        <v>29</v>
      </c>
      <c r="Q62" s="1" t="s">
        <v>1039</v>
      </c>
      <c r="S62" s="1" t="s">
        <v>43</v>
      </c>
    </row>
    <row r="63">
      <c r="A63" s="1">
        <v>62.0</v>
      </c>
      <c r="B63" s="1" t="s">
        <v>1041</v>
      </c>
      <c r="C63" s="1" t="s">
        <v>23</v>
      </c>
      <c r="D63" s="1">
        <v>0.0</v>
      </c>
      <c r="E63" s="1">
        <v>40.0</v>
      </c>
      <c r="F63" s="1">
        <v>0.02</v>
      </c>
      <c r="H63" s="1" t="s">
        <v>140</v>
      </c>
      <c r="I63" s="4">
        <v>46203.551574074074</v>
      </c>
      <c r="K63" s="1">
        <v>40.0</v>
      </c>
      <c r="L63" s="1">
        <v>250.0</v>
      </c>
      <c r="M63" s="1">
        <v>250.0</v>
      </c>
      <c r="N63" s="5">
        <v>42298.0</v>
      </c>
      <c r="O63" s="1" t="s">
        <v>143</v>
      </c>
      <c r="P63" s="1" t="s">
        <v>29</v>
      </c>
      <c r="Q63" s="1" t="s">
        <v>1044</v>
      </c>
      <c r="S63" s="1" t="s">
        <v>43</v>
      </c>
    </row>
    <row r="64">
      <c r="A64" s="1">
        <v>63.0</v>
      </c>
      <c r="B64" s="1" t="s">
        <v>1045</v>
      </c>
      <c r="C64" s="1" t="s">
        <v>23</v>
      </c>
      <c r="D64" s="1">
        <v>0.0</v>
      </c>
      <c r="E64" s="1">
        <v>40.0</v>
      </c>
      <c r="G64" s="1">
        <v>0.75</v>
      </c>
      <c r="H64" s="1" t="s">
        <v>562</v>
      </c>
      <c r="I64" s="4">
        <v>46230.8930787037</v>
      </c>
      <c r="J64" s="1" t="s">
        <v>1047</v>
      </c>
      <c r="K64" s="1">
        <v>400.0</v>
      </c>
      <c r="L64" s="1">
        <v>50.0</v>
      </c>
      <c r="M64" s="1">
        <v>50.0</v>
      </c>
      <c r="N64" s="5">
        <v>42378.0</v>
      </c>
      <c r="O64" s="1" t="s">
        <v>1048</v>
      </c>
      <c r="P64" s="1" t="s">
        <v>29</v>
      </c>
      <c r="Q64" s="1" t="s">
        <v>1050</v>
      </c>
      <c r="R64" s="1">
        <v>29.0</v>
      </c>
      <c r="S64" s="1" t="s">
        <v>76</v>
      </c>
    </row>
    <row r="65">
      <c r="A65" s="1">
        <v>64.0</v>
      </c>
      <c r="B65" s="1" t="s">
        <v>1052</v>
      </c>
      <c r="C65" s="1" t="s">
        <v>23</v>
      </c>
      <c r="D65" s="1">
        <v>22.0</v>
      </c>
      <c r="E65" s="1">
        <v>40.0</v>
      </c>
      <c r="F65" s="1">
        <v>0.35</v>
      </c>
      <c r="H65" s="1" t="s">
        <v>1053</v>
      </c>
      <c r="I65" s="4">
        <v>46226.22210648148</v>
      </c>
      <c r="J65" s="1" t="s">
        <v>26</v>
      </c>
      <c r="K65" s="1">
        <v>40.0</v>
      </c>
      <c r="L65" s="1">
        <v>20.0</v>
      </c>
      <c r="M65" s="1">
        <v>20.0</v>
      </c>
      <c r="N65" s="5">
        <v>42313.0</v>
      </c>
      <c r="O65" s="1" t="s">
        <v>91</v>
      </c>
      <c r="P65" s="1" t="s">
        <v>29</v>
      </c>
      <c r="Q65" s="1" t="s">
        <v>1055</v>
      </c>
      <c r="S65" s="1" t="s">
        <v>83</v>
      </c>
    </row>
    <row r="66">
      <c r="A66" s="1">
        <v>65.0</v>
      </c>
      <c r="B66" s="1" t="s">
        <v>1057</v>
      </c>
      <c r="C66" s="1" t="s">
        <v>23</v>
      </c>
      <c r="D66" s="1">
        <v>21.0</v>
      </c>
      <c r="E66" s="1">
        <v>40.0</v>
      </c>
      <c r="F66" s="1">
        <v>1.0</v>
      </c>
      <c r="H66" s="1" t="s">
        <v>1057</v>
      </c>
      <c r="I66" s="4">
        <v>46221.80065972222</v>
      </c>
      <c r="J66" s="1" t="s">
        <v>1059</v>
      </c>
      <c r="K66" s="1">
        <v>250.0</v>
      </c>
      <c r="L66" s="1">
        <v>10.0</v>
      </c>
      <c r="M66" s="1">
        <v>10.0</v>
      </c>
      <c r="N66" s="5">
        <v>42327.0</v>
      </c>
      <c r="O66" s="1" t="s">
        <v>218</v>
      </c>
      <c r="P66" s="1" t="s">
        <v>29</v>
      </c>
      <c r="Q66" s="1" t="s">
        <v>1062</v>
      </c>
      <c r="S66" s="1" t="s">
        <v>369</v>
      </c>
    </row>
    <row r="67">
      <c r="A67" s="1">
        <v>66.0</v>
      </c>
      <c r="B67" s="1" t="s">
        <v>1065</v>
      </c>
      <c r="C67" s="1" t="s">
        <v>23</v>
      </c>
      <c r="D67" s="1">
        <v>0.0</v>
      </c>
      <c r="E67" s="1">
        <v>40.0</v>
      </c>
      <c r="F67" s="1">
        <v>0.6</v>
      </c>
      <c r="H67" s="1" t="s">
        <v>12</v>
      </c>
      <c r="I67" s="4">
        <v>46202.607094907406</v>
      </c>
      <c r="J67" s="1" t="s">
        <v>26</v>
      </c>
      <c r="K67" s="1">
        <v>6900.0</v>
      </c>
      <c r="L67" s="1">
        <v>60.0</v>
      </c>
      <c r="M67" s="1">
        <v>60.0</v>
      </c>
      <c r="N67" s="5">
        <v>42648.0</v>
      </c>
      <c r="O67" s="1" t="s">
        <v>28</v>
      </c>
      <c r="P67" s="1" t="s">
        <v>29</v>
      </c>
      <c r="Q67" s="1" t="s">
        <v>1069</v>
      </c>
      <c r="S67" s="1" t="s">
        <v>76</v>
      </c>
    </row>
    <row r="68">
      <c r="A68" s="1">
        <v>67.0</v>
      </c>
      <c r="B68" s="1" t="s">
        <v>305</v>
      </c>
      <c r="C68" s="1" t="s">
        <v>23</v>
      </c>
      <c r="D68" s="1">
        <v>0.0</v>
      </c>
      <c r="E68" s="1">
        <v>40.0</v>
      </c>
      <c r="F68" s="1">
        <v>0.6</v>
      </c>
      <c r="H68" s="1" t="s">
        <v>305</v>
      </c>
      <c r="I68" s="4">
        <v>46227.621712962966</v>
      </c>
      <c r="J68" s="1" t="s">
        <v>126</v>
      </c>
      <c r="K68" s="1">
        <v>40.0</v>
      </c>
      <c r="L68" s="1">
        <v>10.0</v>
      </c>
      <c r="M68" s="1">
        <v>10.0</v>
      </c>
      <c r="N68" s="5">
        <v>42270.0</v>
      </c>
      <c r="O68" s="1" t="s">
        <v>28</v>
      </c>
      <c r="P68" s="1" t="s">
        <v>29</v>
      </c>
      <c r="Q68" s="1" t="s">
        <v>321</v>
      </c>
      <c r="R68" s="1" t="s">
        <v>322</v>
      </c>
      <c r="S68" s="1" t="s">
        <v>48</v>
      </c>
    </row>
    <row r="69">
      <c r="A69" s="1">
        <v>68.0</v>
      </c>
      <c r="B69" s="1" t="s">
        <v>1079</v>
      </c>
      <c r="C69" s="1" t="s">
        <v>23</v>
      </c>
      <c r="D69" s="1">
        <v>19.0</v>
      </c>
      <c r="E69" s="1">
        <v>40.0</v>
      </c>
      <c r="F69" s="1">
        <v>0.4</v>
      </c>
      <c r="H69" s="1" t="s">
        <v>1082</v>
      </c>
      <c r="I69" s="4">
        <v>46204.12265046296</v>
      </c>
      <c r="J69" s="1" t="s">
        <v>26</v>
      </c>
      <c r="K69" s="1">
        <v>2100.0</v>
      </c>
      <c r="L69" s="1">
        <v>200.0</v>
      </c>
      <c r="M69" s="1">
        <v>200.0</v>
      </c>
      <c r="N69" s="5">
        <v>43842.0</v>
      </c>
      <c r="O69" s="1" t="s">
        <v>28</v>
      </c>
      <c r="P69" s="1" t="s">
        <v>29</v>
      </c>
      <c r="Q69" s="1" t="s">
        <v>1086</v>
      </c>
      <c r="R69" s="1">
        <v>24.0</v>
      </c>
      <c r="S69" s="1" t="s">
        <v>83</v>
      </c>
    </row>
    <row r="70">
      <c r="A70" s="1">
        <v>69.0</v>
      </c>
      <c r="B70" s="1" t="s">
        <v>137</v>
      </c>
      <c r="C70" s="1" t="s">
        <v>23</v>
      </c>
      <c r="D70" s="1">
        <v>0.0</v>
      </c>
      <c r="E70" s="1">
        <v>30.0</v>
      </c>
      <c r="F70" s="1">
        <v>0.01</v>
      </c>
      <c r="H70" s="1" t="s">
        <v>140</v>
      </c>
      <c r="I70" s="4">
        <v>46202.814618055556</v>
      </c>
      <c r="J70" s="1" t="s">
        <v>74</v>
      </c>
      <c r="K70" s="1">
        <v>30.0</v>
      </c>
      <c r="L70" s="1">
        <v>250.0</v>
      </c>
      <c r="M70" s="1">
        <v>250.0</v>
      </c>
      <c r="N70" s="5">
        <v>42408.0</v>
      </c>
      <c r="O70" s="1" t="s">
        <v>40</v>
      </c>
      <c r="P70" s="1" t="s">
        <v>29</v>
      </c>
      <c r="Q70" s="1" t="s">
        <v>141</v>
      </c>
      <c r="S70" s="1" t="s">
        <v>43</v>
      </c>
    </row>
    <row r="71">
      <c r="A71" s="1">
        <v>70.0</v>
      </c>
      <c r="B71" s="1" t="s">
        <v>1094</v>
      </c>
      <c r="C71" s="1" t="s">
        <v>23</v>
      </c>
      <c r="D71" s="1">
        <v>16.0</v>
      </c>
      <c r="E71" s="1">
        <v>30.0</v>
      </c>
      <c r="F71" s="1">
        <v>0.6</v>
      </c>
      <c r="H71" s="1" t="s">
        <v>993</v>
      </c>
      <c r="I71" s="4">
        <v>46233.31837962963</v>
      </c>
      <c r="J71" s="1" t="s">
        <v>26</v>
      </c>
      <c r="K71" s="1">
        <v>4700.0</v>
      </c>
      <c r="L71" s="1">
        <v>100.0</v>
      </c>
      <c r="M71" s="1">
        <v>100.0</v>
      </c>
      <c r="N71" s="5">
        <v>43840.0</v>
      </c>
      <c r="O71" s="1" t="s">
        <v>28</v>
      </c>
      <c r="P71" s="1" t="s">
        <v>29</v>
      </c>
      <c r="Q71" s="1" t="s">
        <v>1099</v>
      </c>
      <c r="R71" s="1">
        <v>20.0</v>
      </c>
      <c r="S71" s="1" t="s">
        <v>975</v>
      </c>
    </row>
    <row r="72">
      <c r="A72" s="1">
        <v>71.0</v>
      </c>
      <c r="B72" s="1" t="s">
        <v>393</v>
      </c>
      <c r="C72" s="1" t="s">
        <v>23</v>
      </c>
      <c r="D72" s="1">
        <v>0.0</v>
      </c>
      <c r="E72" s="1">
        <v>30.0</v>
      </c>
      <c r="F72" s="1">
        <v>1.1</v>
      </c>
      <c r="H72" s="1" t="s">
        <v>215</v>
      </c>
      <c r="I72" s="4">
        <v>46213.30144675926</v>
      </c>
      <c r="J72" s="1" t="s">
        <v>26</v>
      </c>
      <c r="K72" s="1">
        <v>30.0</v>
      </c>
      <c r="L72" s="1">
        <v>20.0</v>
      </c>
      <c r="M72" s="1">
        <v>20.0</v>
      </c>
      <c r="N72" s="5">
        <v>42446.0</v>
      </c>
      <c r="O72" s="1" t="s">
        <v>28</v>
      </c>
      <c r="P72" s="1" t="s">
        <v>29</v>
      </c>
      <c r="Q72" s="1" t="s">
        <v>399</v>
      </c>
      <c r="S72" s="1" t="s">
        <v>34</v>
      </c>
    </row>
    <row r="73">
      <c r="A73" s="1">
        <v>72.0</v>
      </c>
      <c r="B73" s="1" t="s">
        <v>1107</v>
      </c>
      <c r="C73" s="1" t="s">
        <v>23</v>
      </c>
      <c r="D73" s="1">
        <v>0.0</v>
      </c>
      <c r="E73" s="1">
        <v>30.0</v>
      </c>
      <c r="F73" s="1">
        <v>0.02</v>
      </c>
      <c r="G73" s="1">
        <v>1.12</v>
      </c>
      <c r="H73" s="1" t="s">
        <v>822</v>
      </c>
      <c r="I73" s="4">
        <v>46220.88894675926</v>
      </c>
      <c r="K73" s="1">
        <v>30.0</v>
      </c>
      <c r="L73" s="1">
        <v>150.0</v>
      </c>
      <c r="M73" s="1">
        <v>150.0</v>
      </c>
      <c r="N73" s="5">
        <v>42305.0</v>
      </c>
      <c r="O73" s="1" t="s">
        <v>40</v>
      </c>
      <c r="P73" s="1" t="s">
        <v>29</v>
      </c>
      <c r="Q73" s="1" t="s">
        <v>1114</v>
      </c>
      <c r="R73" s="1">
        <v>38.0</v>
      </c>
      <c r="S73" s="1" t="s">
        <v>43</v>
      </c>
    </row>
    <row r="74">
      <c r="A74" s="1">
        <v>73.0</v>
      </c>
      <c r="B74" s="1" t="s">
        <v>1117</v>
      </c>
      <c r="C74" s="1" t="s">
        <v>23</v>
      </c>
      <c r="D74" s="1">
        <v>0.0</v>
      </c>
      <c r="E74" s="1">
        <v>30.0</v>
      </c>
      <c r="F74" s="1">
        <v>0.6</v>
      </c>
      <c r="H74" s="1" t="s">
        <v>1119</v>
      </c>
      <c r="I74" s="4">
        <v>46231.325150462966</v>
      </c>
      <c r="J74" s="1" t="s">
        <v>740</v>
      </c>
      <c r="K74" s="1">
        <v>1700.0</v>
      </c>
      <c r="L74" s="1">
        <v>10.0</v>
      </c>
      <c r="M74" s="1">
        <v>10.0</v>
      </c>
      <c r="N74" s="5">
        <v>43843.0</v>
      </c>
      <c r="O74" s="1" t="s">
        <v>28</v>
      </c>
      <c r="P74" s="1" t="s">
        <v>29</v>
      </c>
      <c r="Q74" s="1" t="s">
        <v>1123</v>
      </c>
      <c r="R74" s="1">
        <v>19.0</v>
      </c>
      <c r="S74" s="1" t="s">
        <v>936</v>
      </c>
    </row>
    <row r="75">
      <c r="A75" s="1">
        <v>74.0</v>
      </c>
      <c r="B75" s="1" t="s">
        <v>1126</v>
      </c>
      <c r="C75" s="1" t="s">
        <v>23</v>
      </c>
      <c r="D75" s="1">
        <v>0.0</v>
      </c>
      <c r="E75" s="1">
        <v>30.0</v>
      </c>
      <c r="F75" s="1">
        <v>0.02</v>
      </c>
      <c r="H75" s="1" t="s">
        <v>684</v>
      </c>
      <c r="I75" s="4">
        <v>46198.74644675926</v>
      </c>
      <c r="J75" s="1" t="s">
        <v>74</v>
      </c>
      <c r="K75" s="1">
        <v>30.0</v>
      </c>
      <c r="L75" s="1">
        <v>300.0</v>
      </c>
      <c r="M75" s="1">
        <v>300.0</v>
      </c>
      <c r="N75" s="5">
        <v>42298.0</v>
      </c>
      <c r="O75" s="1" t="s">
        <v>524</v>
      </c>
      <c r="P75" s="1" t="s">
        <v>29</v>
      </c>
      <c r="Q75" s="1" t="s">
        <v>1132</v>
      </c>
      <c r="S75" s="1" t="s">
        <v>43</v>
      </c>
    </row>
    <row r="76">
      <c r="A76" s="1">
        <v>75.0</v>
      </c>
      <c r="B76" s="1" t="s">
        <v>1134</v>
      </c>
      <c r="C76" s="1" t="s">
        <v>23</v>
      </c>
      <c r="D76" s="1">
        <v>9.0</v>
      </c>
      <c r="E76" s="1">
        <v>30.0</v>
      </c>
      <c r="F76" s="1">
        <v>0.8</v>
      </c>
      <c r="H76" s="1" t="s">
        <v>1137</v>
      </c>
      <c r="I76" s="4">
        <v>46228.46876157408</v>
      </c>
      <c r="J76" s="1" t="s">
        <v>1139</v>
      </c>
      <c r="K76" s="1">
        <v>1600.0</v>
      </c>
      <c r="L76" s="1">
        <v>20.0</v>
      </c>
      <c r="M76" s="1">
        <v>20.0</v>
      </c>
      <c r="N76" s="5">
        <v>42530.0</v>
      </c>
      <c r="O76" s="1" t="s">
        <v>28</v>
      </c>
      <c r="P76" s="1" t="s">
        <v>29</v>
      </c>
      <c r="Q76" s="1" t="s">
        <v>1143</v>
      </c>
      <c r="R76" s="1">
        <v>15.0</v>
      </c>
      <c r="S76" s="1" t="s">
        <v>34</v>
      </c>
    </row>
    <row r="77">
      <c r="A77" s="1">
        <v>76.0</v>
      </c>
      <c r="B77" s="1" t="s">
        <v>446</v>
      </c>
      <c r="C77" s="1" t="s">
        <v>23</v>
      </c>
      <c r="D77" s="1">
        <v>0.0</v>
      </c>
      <c r="E77" s="1">
        <v>30.0</v>
      </c>
      <c r="F77" s="1">
        <v>0.9</v>
      </c>
      <c r="H77" s="1" t="s">
        <v>446</v>
      </c>
      <c r="I77" s="4">
        <v>46212.83866898148</v>
      </c>
      <c r="J77" s="1" t="s">
        <v>26</v>
      </c>
      <c r="K77" s="1">
        <v>80.0</v>
      </c>
      <c r="L77" s="1">
        <v>0.0</v>
      </c>
      <c r="M77" s="1">
        <v>0.0</v>
      </c>
      <c r="N77" s="5">
        <v>42305.0</v>
      </c>
      <c r="O77" s="1" t="s">
        <v>28</v>
      </c>
      <c r="P77" s="1" t="s">
        <v>29</v>
      </c>
      <c r="Q77" s="1" t="s">
        <v>456</v>
      </c>
      <c r="S77" s="1" t="s">
        <v>34</v>
      </c>
    </row>
    <row r="78">
      <c r="A78" s="1">
        <v>77.0</v>
      </c>
      <c r="B78" s="1" t="s">
        <v>1151</v>
      </c>
      <c r="C78" s="1" t="s">
        <v>23</v>
      </c>
      <c r="D78" s="1">
        <v>0.0</v>
      </c>
      <c r="E78" s="1">
        <v>30.0</v>
      </c>
      <c r="F78" s="1">
        <v>0.6</v>
      </c>
      <c r="H78" s="1" t="s">
        <v>50</v>
      </c>
      <c r="I78" s="4">
        <v>46211.87939814815</v>
      </c>
      <c r="J78" s="1" t="s">
        <v>1153</v>
      </c>
      <c r="K78" s="1">
        <v>450.0</v>
      </c>
      <c r="L78" s="1">
        <v>1400.0</v>
      </c>
      <c r="M78" s="1">
        <v>1500.0</v>
      </c>
      <c r="N78" s="5">
        <v>43898.0</v>
      </c>
      <c r="O78" s="1" t="s">
        <v>28</v>
      </c>
      <c r="P78" s="1" t="s">
        <v>29</v>
      </c>
      <c r="Q78" s="1" t="s">
        <v>1154</v>
      </c>
      <c r="R78" s="1">
        <v>9.0</v>
      </c>
      <c r="S78" s="1" t="s">
        <v>34</v>
      </c>
    </row>
    <row r="79">
      <c r="A79" s="1">
        <v>78.0</v>
      </c>
      <c r="B79" s="1" t="s">
        <v>1155</v>
      </c>
      <c r="C79" s="1" t="s">
        <v>23</v>
      </c>
      <c r="D79" s="1">
        <v>3.0</v>
      </c>
      <c r="E79" s="1">
        <v>20.0</v>
      </c>
      <c r="F79" s="1">
        <v>0.35</v>
      </c>
      <c r="G79" s="1">
        <v>1.14</v>
      </c>
      <c r="H79" s="1" t="s">
        <v>1155</v>
      </c>
      <c r="I79" s="4">
        <v>46217.08578703704</v>
      </c>
      <c r="J79" s="1" t="s">
        <v>26</v>
      </c>
      <c r="K79" s="1">
        <v>20.0</v>
      </c>
      <c r="L79" s="1">
        <v>0.0</v>
      </c>
      <c r="M79" s="1">
        <v>0.0</v>
      </c>
      <c r="N79" s="5">
        <v>42375.0</v>
      </c>
      <c r="O79" s="1" t="s">
        <v>91</v>
      </c>
      <c r="P79" s="1" t="s">
        <v>29</v>
      </c>
      <c r="Q79" s="1" t="s">
        <v>1157</v>
      </c>
      <c r="R79" s="1" t="s">
        <v>1158</v>
      </c>
      <c r="S79" s="1" t="s">
        <v>1159</v>
      </c>
    </row>
    <row r="80">
      <c r="A80" s="1">
        <v>79.0</v>
      </c>
      <c r="B80" s="1" t="s">
        <v>1160</v>
      </c>
      <c r="C80" s="1" t="s">
        <v>23</v>
      </c>
      <c r="D80" s="1">
        <v>22.0</v>
      </c>
      <c r="E80" s="1">
        <v>20.0</v>
      </c>
      <c r="G80" s="1">
        <v>0.66</v>
      </c>
      <c r="H80" s="1" t="s">
        <v>1161</v>
      </c>
      <c r="I80" s="4">
        <v>46205.783171296294</v>
      </c>
      <c r="J80" s="1" t="s">
        <v>26</v>
      </c>
      <c r="K80" s="1">
        <v>1100.0</v>
      </c>
      <c r="L80" s="1">
        <v>20.0</v>
      </c>
      <c r="M80" s="1">
        <v>30.0</v>
      </c>
      <c r="N80" s="5">
        <v>42334.0</v>
      </c>
      <c r="O80" s="1" t="s">
        <v>28</v>
      </c>
      <c r="P80" s="1" t="s">
        <v>29</v>
      </c>
      <c r="Q80" s="1" t="s">
        <v>1162</v>
      </c>
      <c r="R80" s="1">
        <v>12.0</v>
      </c>
      <c r="S80" s="1" t="s">
        <v>76</v>
      </c>
    </row>
    <row r="81">
      <c r="A81" s="1">
        <v>80.0</v>
      </c>
      <c r="B81" s="1" t="s">
        <v>1163</v>
      </c>
      <c r="C81" s="1" t="s">
        <v>23</v>
      </c>
      <c r="D81" s="1">
        <v>1.0</v>
      </c>
      <c r="E81" s="1">
        <v>20.0</v>
      </c>
      <c r="F81" s="1">
        <v>0.45</v>
      </c>
      <c r="H81" s="1" t="s">
        <v>878</v>
      </c>
      <c r="I81" s="4">
        <v>46233.345300925925</v>
      </c>
      <c r="J81" s="1" t="s">
        <v>26</v>
      </c>
      <c r="K81" s="1">
        <v>3200.0</v>
      </c>
      <c r="L81" s="1">
        <v>30.0</v>
      </c>
      <c r="M81" s="1">
        <v>30.0</v>
      </c>
      <c r="N81" s="5">
        <v>43843.0</v>
      </c>
      <c r="O81" s="1" t="s">
        <v>28</v>
      </c>
      <c r="P81" s="1" t="s">
        <v>29</v>
      </c>
      <c r="Q81" s="1" t="s">
        <v>1164</v>
      </c>
      <c r="R81" s="1">
        <v>17.0</v>
      </c>
      <c r="S81" s="1" t="s">
        <v>83</v>
      </c>
    </row>
    <row r="82">
      <c r="A82" s="1">
        <v>81.0</v>
      </c>
      <c r="B82" s="1" t="s">
        <v>1165</v>
      </c>
      <c r="C82" s="1" t="s">
        <v>23</v>
      </c>
      <c r="D82" s="1">
        <v>0.0</v>
      </c>
      <c r="E82" s="1">
        <v>20.0</v>
      </c>
      <c r="F82" s="1">
        <v>0.6</v>
      </c>
      <c r="H82" s="1" t="s">
        <v>967</v>
      </c>
      <c r="I82" s="4">
        <v>46202.87886574074</v>
      </c>
      <c r="J82" s="1" t="s">
        <v>269</v>
      </c>
      <c r="K82" s="1">
        <v>1900.0</v>
      </c>
      <c r="L82" s="1">
        <v>50.0</v>
      </c>
      <c r="M82" s="1">
        <v>50.0</v>
      </c>
      <c r="N82" s="5">
        <v>42512.0</v>
      </c>
      <c r="O82" s="1" t="s">
        <v>28</v>
      </c>
      <c r="P82" s="1" t="s">
        <v>29</v>
      </c>
      <c r="Q82" s="1" t="s">
        <v>1166</v>
      </c>
      <c r="R82" s="1">
        <v>7.0</v>
      </c>
      <c r="S82" s="1" t="s">
        <v>34</v>
      </c>
    </row>
    <row r="83">
      <c r="A83" s="1">
        <v>82.0</v>
      </c>
      <c r="B83" s="1" t="s">
        <v>1167</v>
      </c>
      <c r="C83" s="1" t="s">
        <v>23</v>
      </c>
      <c r="D83" s="1">
        <v>0.0</v>
      </c>
      <c r="E83" s="1">
        <v>10.0</v>
      </c>
      <c r="F83" s="1">
        <v>0.02</v>
      </c>
      <c r="H83" s="1" t="s">
        <v>1168</v>
      </c>
      <c r="I83" s="4">
        <v>46214.99034722222</v>
      </c>
      <c r="J83" s="1" t="s">
        <v>74</v>
      </c>
      <c r="K83" s="1">
        <v>50.0</v>
      </c>
      <c r="L83" s="1">
        <v>2300.0</v>
      </c>
      <c r="M83" s="1">
        <v>2400.0</v>
      </c>
      <c r="N83" s="5">
        <v>42278.0</v>
      </c>
      <c r="O83" s="1" t="s">
        <v>143</v>
      </c>
      <c r="P83" s="1" t="s">
        <v>29</v>
      </c>
      <c r="Q83" s="1" t="s">
        <v>1169</v>
      </c>
      <c r="R83" s="1">
        <v>3.0</v>
      </c>
      <c r="S83" s="1" t="s">
        <v>43</v>
      </c>
    </row>
    <row r="84">
      <c r="A84" s="1">
        <v>83.0</v>
      </c>
      <c r="B84" s="1" t="s">
        <v>1170</v>
      </c>
      <c r="C84" s="1" t="s">
        <v>23</v>
      </c>
      <c r="D84" s="1">
        <v>0.0</v>
      </c>
      <c r="E84" s="1">
        <v>10.0</v>
      </c>
      <c r="F84" s="1">
        <v>0.7</v>
      </c>
      <c r="G84" s="1">
        <v>0.6</v>
      </c>
      <c r="H84" s="1" t="s">
        <v>1052</v>
      </c>
      <c r="I84" s="4">
        <v>46233.1727662037</v>
      </c>
      <c r="J84" s="1" t="s">
        <v>1171</v>
      </c>
      <c r="K84" s="1">
        <v>10.0</v>
      </c>
      <c r="L84" s="1">
        <v>20.0</v>
      </c>
      <c r="M84" s="1">
        <v>20.0</v>
      </c>
      <c r="N84" s="5">
        <v>42251.0</v>
      </c>
      <c r="O84" s="1" t="s">
        <v>1172</v>
      </c>
      <c r="P84" s="1" t="s">
        <v>29</v>
      </c>
      <c r="Q84" s="1" t="s">
        <v>1173</v>
      </c>
      <c r="S84" s="1" t="s">
        <v>34</v>
      </c>
    </row>
    <row r="85">
      <c r="A85" s="1">
        <v>84.0</v>
      </c>
      <c r="B85" s="1" t="s">
        <v>1175</v>
      </c>
      <c r="C85" s="1" t="s">
        <v>23</v>
      </c>
      <c r="D85" s="1">
        <v>14.0</v>
      </c>
      <c r="E85" s="1">
        <v>10.0</v>
      </c>
      <c r="H85" s="1" t="s">
        <v>1031</v>
      </c>
      <c r="I85" s="4">
        <v>46194.66232638889</v>
      </c>
      <c r="J85" s="1" t="s">
        <v>126</v>
      </c>
      <c r="K85" s="1">
        <v>80.0</v>
      </c>
      <c r="L85" s="1">
        <v>2200.0</v>
      </c>
      <c r="M85" s="1">
        <v>2300.0</v>
      </c>
      <c r="N85" s="5">
        <v>42677.0</v>
      </c>
      <c r="O85" s="1" t="s">
        <v>91</v>
      </c>
      <c r="P85" s="1" t="s">
        <v>29</v>
      </c>
      <c r="Q85" s="1" t="s">
        <v>1176</v>
      </c>
      <c r="R85" s="1">
        <v>11.0</v>
      </c>
      <c r="S85" s="1" t="s">
        <v>936</v>
      </c>
    </row>
    <row r="86">
      <c r="A86" s="1">
        <v>85.0</v>
      </c>
      <c r="B86" s="1" t="s">
        <v>1177</v>
      </c>
      <c r="C86" s="1" t="s">
        <v>23</v>
      </c>
      <c r="D86" s="1">
        <v>24.0</v>
      </c>
      <c r="E86" s="1">
        <v>10.0</v>
      </c>
      <c r="F86" s="1">
        <v>1.0</v>
      </c>
      <c r="H86" s="1" t="s">
        <v>1178</v>
      </c>
      <c r="I86" s="4">
        <v>46220.551030092596</v>
      </c>
      <c r="J86" s="1" t="s">
        <v>26</v>
      </c>
      <c r="K86" s="1">
        <v>10.0</v>
      </c>
      <c r="L86" s="1">
        <v>20.0</v>
      </c>
      <c r="M86" s="1">
        <v>20.0</v>
      </c>
      <c r="N86" s="5">
        <v>42282.0</v>
      </c>
      <c r="O86" s="1" t="s">
        <v>91</v>
      </c>
      <c r="P86" s="1" t="s">
        <v>29</v>
      </c>
      <c r="Q86" s="1" t="s">
        <v>1179</v>
      </c>
      <c r="R86" s="1">
        <v>3.0</v>
      </c>
      <c r="S86" s="1" t="s">
        <v>76</v>
      </c>
    </row>
    <row r="87">
      <c r="A87" s="1">
        <v>86.0</v>
      </c>
      <c r="B87" s="1" t="s">
        <v>1180</v>
      </c>
      <c r="C87" s="1" t="s">
        <v>23</v>
      </c>
      <c r="D87" s="1">
        <v>0.0</v>
      </c>
      <c r="E87" s="1">
        <v>10.0</v>
      </c>
      <c r="F87" s="1">
        <v>0.03</v>
      </c>
      <c r="H87" s="1" t="s">
        <v>140</v>
      </c>
      <c r="I87" s="4">
        <v>46216.30925925926</v>
      </c>
      <c r="J87" s="1" t="s">
        <v>74</v>
      </c>
      <c r="K87" s="1">
        <v>30.0</v>
      </c>
      <c r="L87" s="1">
        <v>300.0</v>
      </c>
      <c r="M87" s="1">
        <v>300.0</v>
      </c>
      <c r="N87" s="5">
        <v>43901.0</v>
      </c>
      <c r="O87" s="1" t="s">
        <v>524</v>
      </c>
      <c r="P87" s="1" t="s">
        <v>29</v>
      </c>
      <c r="Q87" s="1" t="s">
        <v>1181</v>
      </c>
      <c r="R87" s="1">
        <v>4.0</v>
      </c>
      <c r="S87" s="1" t="s">
        <v>43</v>
      </c>
    </row>
    <row r="88">
      <c r="A88" s="1">
        <v>87.0</v>
      </c>
      <c r="B88" s="1" t="s">
        <v>1182</v>
      </c>
      <c r="C88" s="1" t="s">
        <v>23</v>
      </c>
      <c r="D88" s="1">
        <v>0.0</v>
      </c>
      <c r="E88" s="1">
        <v>10.0</v>
      </c>
      <c r="F88" s="1">
        <v>0.03</v>
      </c>
      <c r="H88" s="1" t="s">
        <v>1183</v>
      </c>
      <c r="I88" s="4">
        <v>46214.53800925926</v>
      </c>
      <c r="K88" s="1">
        <v>10.0</v>
      </c>
      <c r="L88" s="1">
        <v>0.0</v>
      </c>
      <c r="M88" s="1">
        <v>0.0</v>
      </c>
      <c r="N88" s="5">
        <v>42294.0</v>
      </c>
      <c r="O88" s="1" t="s">
        <v>94</v>
      </c>
      <c r="P88" s="1" t="s">
        <v>29</v>
      </c>
      <c r="Q88" s="1" t="s">
        <v>1184</v>
      </c>
      <c r="S88" s="1" t="s">
        <v>43</v>
      </c>
    </row>
    <row r="89">
      <c r="A89" s="1">
        <v>88.0</v>
      </c>
      <c r="B89" s="1" t="s">
        <v>1185</v>
      </c>
      <c r="C89" s="1" t="s">
        <v>23</v>
      </c>
      <c r="D89" s="1">
        <v>0.0</v>
      </c>
      <c r="F89" s="1">
        <v>0.07</v>
      </c>
      <c r="H89" s="1" t="s">
        <v>36</v>
      </c>
      <c r="I89" s="4">
        <v>46200.87353009259</v>
      </c>
      <c r="J89" s="1" t="s">
        <v>74</v>
      </c>
      <c r="K89" s="1">
        <v>50.0</v>
      </c>
      <c r="L89" s="1">
        <v>250.0</v>
      </c>
      <c r="M89" s="1">
        <v>250.0</v>
      </c>
      <c r="N89" s="5">
        <v>42481.0</v>
      </c>
      <c r="O89" s="1" t="s">
        <v>143</v>
      </c>
      <c r="P89" s="1" t="s">
        <v>29</v>
      </c>
      <c r="Q89" s="1" t="s">
        <v>1186</v>
      </c>
      <c r="R89" s="1">
        <v>2.0</v>
      </c>
      <c r="S89" s="1" t="s">
        <v>43</v>
      </c>
    </row>
    <row r="90">
      <c r="A90" s="1">
        <v>89.0</v>
      </c>
      <c r="B90" s="1" t="s">
        <v>1187</v>
      </c>
      <c r="C90" s="1" t="s">
        <v>23</v>
      </c>
      <c r="D90" s="1">
        <v>0.0</v>
      </c>
      <c r="H90" s="1" t="s">
        <v>1052</v>
      </c>
      <c r="I90" s="4">
        <v>46228.79184027778</v>
      </c>
      <c r="J90" s="1" t="s">
        <v>1189</v>
      </c>
      <c r="L90" s="1">
        <v>20.0</v>
      </c>
      <c r="M90" s="1">
        <v>20.0</v>
      </c>
      <c r="N90" s="5">
        <v>45101.0</v>
      </c>
      <c r="O90" s="1" t="s">
        <v>1172</v>
      </c>
      <c r="P90" s="1" t="s">
        <v>29</v>
      </c>
      <c r="Q90" s="1" t="s">
        <v>284</v>
      </c>
      <c r="R90" s="1">
        <v>1.0</v>
      </c>
      <c r="S90" s="1" t="s">
        <v>34</v>
      </c>
    </row>
    <row r="91">
      <c r="A91" s="1">
        <v>90.0</v>
      </c>
      <c r="B91" s="1" t="s">
        <v>691</v>
      </c>
      <c r="C91" s="1" t="s">
        <v>23</v>
      </c>
      <c r="D91" s="1">
        <v>0.0</v>
      </c>
      <c r="F91" s="1">
        <v>0.9</v>
      </c>
      <c r="H91" s="1" t="s">
        <v>446</v>
      </c>
      <c r="I91" s="4">
        <v>46224.04127314815</v>
      </c>
      <c r="J91" s="1" t="s">
        <v>26</v>
      </c>
      <c r="L91" s="1">
        <v>0.0</v>
      </c>
      <c r="M91" s="1">
        <v>0.0</v>
      </c>
      <c r="N91" s="5">
        <v>42410.0</v>
      </c>
      <c r="O91" s="1" t="s">
        <v>28</v>
      </c>
      <c r="P91" s="1" t="s">
        <v>29</v>
      </c>
      <c r="Q91" s="1" t="s">
        <v>698</v>
      </c>
      <c r="S91" s="1" t="s">
        <v>34</v>
      </c>
    </row>
    <row r="92">
      <c r="A92" s="1">
        <v>91.0</v>
      </c>
      <c r="B92" s="1" t="s">
        <v>1190</v>
      </c>
      <c r="C92" s="1" t="s">
        <v>23</v>
      </c>
      <c r="D92" s="1">
        <v>0.0</v>
      </c>
      <c r="F92" s="1">
        <v>0.05</v>
      </c>
      <c r="H92" s="1" t="s">
        <v>1190</v>
      </c>
      <c r="I92" s="4">
        <v>46206.23869212963</v>
      </c>
      <c r="J92" s="1" t="s">
        <v>74</v>
      </c>
      <c r="L92" s="1">
        <v>10.0</v>
      </c>
      <c r="M92" s="1">
        <v>10.0</v>
      </c>
      <c r="N92" s="5">
        <v>44857.0</v>
      </c>
      <c r="O92" s="1" t="s">
        <v>143</v>
      </c>
      <c r="Q92" s="1" t="s">
        <v>1191</v>
      </c>
      <c r="R92" s="1">
        <v>1.0</v>
      </c>
      <c r="S92" s="1" t="s">
        <v>1192</v>
      </c>
    </row>
    <row r="93">
      <c r="A93" s="1">
        <v>92.0</v>
      </c>
      <c r="B93" s="1" t="s">
        <v>1193</v>
      </c>
      <c r="C93" s="1" t="s">
        <v>23</v>
      </c>
      <c r="D93" s="1">
        <v>0.0</v>
      </c>
      <c r="H93" s="1" t="s">
        <v>1194</v>
      </c>
      <c r="I93" s="4">
        <v>46203.80578703704</v>
      </c>
      <c r="L93" s="1">
        <v>0.0</v>
      </c>
      <c r="M93" s="1">
        <v>0.0</v>
      </c>
      <c r="N93" s="5">
        <v>44887.0</v>
      </c>
      <c r="O93" s="1" t="s">
        <v>143</v>
      </c>
      <c r="Q93" s="1" t="s">
        <v>300</v>
      </c>
      <c r="S93" s="1" t="s">
        <v>1195</v>
      </c>
    </row>
    <row r="94">
      <c r="A94" s="1">
        <v>93.0</v>
      </c>
      <c r="B94" s="1" t="s">
        <v>666</v>
      </c>
      <c r="C94" s="1" t="s">
        <v>23</v>
      </c>
      <c r="D94" s="1">
        <v>2.0</v>
      </c>
      <c r="H94" s="1" t="s">
        <v>49</v>
      </c>
      <c r="I94" s="4">
        <v>45370.89986111111</v>
      </c>
      <c r="J94" s="1" t="s">
        <v>667</v>
      </c>
      <c r="L94" s="1">
        <v>150.0</v>
      </c>
      <c r="N94" s="5"/>
    </row>
    <row r="95">
      <c r="N95" s="5"/>
    </row>
    <row r="96">
      <c r="N96" s="5"/>
    </row>
    <row r="97">
      <c r="N97" s="5"/>
    </row>
    <row r="98">
      <c r="N98" s="5"/>
    </row>
    <row r="99">
      <c r="N99" s="5"/>
    </row>
    <row r="100">
      <c r="I100" s="4"/>
      <c r="N100" s="5"/>
    </row>
    <row r="101">
      <c r="N101" s="5"/>
    </row>
    <row r="102">
      <c r="N102" s="5"/>
    </row>
    <row r="103">
      <c r="N103" s="5"/>
    </row>
    <row r="104">
      <c r="N104" s="5"/>
    </row>
    <row r="105">
      <c r="N105" s="5"/>
    </row>
    <row r="106">
      <c r="N106" s="5"/>
    </row>
    <row r="107">
      <c r="N107" s="5"/>
    </row>
    <row r="108">
      <c r="N108" s="5"/>
    </row>
    <row r="109">
      <c r="N109" s="5"/>
    </row>
    <row r="110">
      <c r="N110" s="5"/>
    </row>
    <row r="111">
      <c r="N111" s="5"/>
    </row>
    <row r="112">
      <c r="N112" s="5"/>
    </row>
    <row r="113">
      <c r="N113" s="5"/>
    </row>
    <row r="114">
      <c r="N114" s="5"/>
    </row>
    <row r="115">
      <c r="N115" s="5"/>
    </row>
    <row r="116">
      <c r="N116" s="5"/>
    </row>
    <row r="117">
      <c r="N117" s="5"/>
    </row>
    <row r="118">
      <c r="N118" s="5"/>
    </row>
    <row r="119">
      <c r="N119" s="5"/>
    </row>
    <row r="120">
      <c r="N120" s="5"/>
    </row>
    <row r="121">
      <c r="N121" s="5"/>
    </row>
    <row r="122">
      <c r="N122" s="5"/>
    </row>
    <row r="123">
      <c r="N123" s="5"/>
    </row>
    <row r="124">
      <c r="N124" s="5"/>
    </row>
    <row r="125">
      <c r="N125" s="5"/>
    </row>
    <row r="126">
      <c r="N126" s="5"/>
    </row>
    <row r="127">
      <c r="N127" s="5"/>
    </row>
    <row r="128">
      <c r="N128" s="5"/>
    </row>
    <row r="129">
      <c r="N129" s="5"/>
    </row>
    <row r="130">
      <c r="N130" s="5"/>
    </row>
    <row r="131">
      <c r="N131" s="5"/>
    </row>
    <row r="132">
      <c r="N132" s="5"/>
    </row>
    <row r="133">
      <c r="N133" s="5"/>
    </row>
    <row r="134">
      <c r="N134" s="5"/>
    </row>
    <row r="135">
      <c r="N135" s="5"/>
    </row>
    <row r="136">
      <c r="N136" s="5"/>
    </row>
    <row r="137">
      <c r="N137" s="5"/>
    </row>
    <row r="138">
      <c r="N138" s="5"/>
    </row>
    <row r="139">
      <c r="N139" s="5"/>
    </row>
    <row r="140">
      <c r="N140" s="5"/>
    </row>
    <row r="141">
      <c r="N141" s="5"/>
    </row>
    <row r="142">
      <c r="N142" s="5"/>
    </row>
    <row r="143">
      <c r="N143" s="5"/>
    </row>
    <row r="144">
      <c r="N144" s="5"/>
    </row>
    <row r="145">
      <c r="N145" s="5"/>
    </row>
    <row r="146">
      <c r="N146" s="5"/>
    </row>
    <row r="147">
      <c r="N147" s="5"/>
    </row>
    <row r="148">
      <c r="N148" s="5"/>
    </row>
    <row r="149">
      <c r="N149" s="5"/>
    </row>
    <row r="150">
      <c r="N150" s="5"/>
    </row>
    <row r="151">
      <c r="N151" s="5"/>
    </row>
    <row r="152">
      <c r="N152" s="5"/>
    </row>
    <row r="153">
      <c r="N153" s="5"/>
    </row>
    <row r="154">
      <c r="N154" s="5"/>
    </row>
    <row r="155">
      <c r="N155" s="5"/>
    </row>
    <row r="156">
      <c r="N156" s="5"/>
    </row>
    <row r="157">
      <c r="N157" s="5"/>
    </row>
    <row r="158">
      <c r="N158" s="5"/>
    </row>
    <row r="159">
      <c r="N159" s="5"/>
    </row>
    <row r="160">
      <c r="N160" s="5"/>
    </row>
    <row r="161">
      <c r="N161" s="5"/>
    </row>
    <row r="162">
      <c r="N162" s="5"/>
    </row>
    <row r="163">
      <c r="N163" s="5"/>
    </row>
    <row r="164">
      <c r="N164" s="5"/>
    </row>
    <row r="165">
      <c r="N165" s="5"/>
    </row>
    <row r="166">
      <c r="N166" s="5"/>
    </row>
    <row r="167">
      <c r="N167" s="5"/>
    </row>
    <row r="168">
      <c r="N168" s="5"/>
    </row>
    <row r="169">
      <c r="N169" s="5"/>
    </row>
    <row r="170">
      <c r="N170" s="5"/>
    </row>
    <row r="171">
      <c r="N171" s="5"/>
    </row>
    <row r="172">
      <c r="N172" s="5"/>
    </row>
    <row r="173">
      <c r="N173" s="5"/>
    </row>
    <row r="174">
      <c r="N174" s="5"/>
    </row>
    <row r="175">
      <c r="N175" s="5"/>
    </row>
    <row r="176">
      <c r="N176" s="5"/>
    </row>
    <row r="177">
      <c r="N177" s="5"/>
    </row>
    <row r="178">
      <c r="N178" s="5"/>
    </row>
    <row r="179">
      <c r="N179" s="5"/>
    </row>
    <row r="180">
      <c r="N180" s="5"/>
    </row>
    <row r="181">
      <c r="N181" s="5"/>
    </row>
    <row r="182">
      <c r="N182" s="5"/>
    </row>
    <row r="183">
      <c r="N183" s="5"/>
    </row>
    <row r="184">
      <c r="N184" s="5"/>
    </row>
    <row r="185">
      <c r="N185" s="5"/>
    </row>
    <row r="186">
      <c r="N186" s="5"/>
    </row>
    <row r="187">
      <c r="N187" s="5"/>
    </row>
    <row r="188">
      <c r="N188" s="5"/>
    </row>
    <row r="189">
      <c r="N189" s="5"/>
    </row>
    <row r="190">
      <c r="N190" s="5"/>
    </row>
    <row r="191">
      <c r="N191" s="5"/>
    </row>
    <row r="192">
      <c r="N192" s="5"/>
    </row>
    <row r="193">
      <c r="N193" s="5"/>
    </row>
    <row r="194">
      <c r="N194" s="5"/>
    </row>
    <row r="195">
      <c r="N195" s="5"/>
    </row>
    <row r="196">
      <c r="N196" s="5"/>
    </row>
    <row r="197">
      <c r="N197" s="5"/>
    </row>
    <row r="198">
      <c r="N198" s="5"/>
    </row>
    <row r="199">
      <c r="N199" s="5"/>
    </row>
    <row r="200">
      <c r="N200" s="5"/>
    </row>
    <row r="201">
      <c r="N201" s="5"/>
    </row>
    <row r="202">
      <c r="N202" s="5"/>
    </row>
    <row r="203">
      <c r="N203" s="5"/>
    </row>
    <row r="204">
      <c r="N204" s="5"/>
    </row>
    <row r="205">
      <c r="N205" s="5"/>
    </row>
    <row r="206">
      <c r="N206" s="5"/>
    </row>
    <row r="207">
      <c r="N207" s="5"/>
    </row>
    <row r="208">
      <c r="N208" s="5"/>
    </row>
    <row r="209">
      <c r="N209" s="5"/>
    </row>
    <row r="210">
      <c r="N210" s="5"/>
    </row>
    <row r="211">
      <c r="N211" s="5"/>
    </row>
    <row r="212">
      <c r="N212" s="5"/>
    </row>
    <row r="213">
      <c r="N213" s="5"/>
    </row>
    <row r="214">
      <c r="N214" s="5"/>
    </row>
    <row r="215">
      <c r="N215" s="5"/>
    </row>
    <row r="216">
      <c r="N216" s="5"/>
    </row>
    <row r="217">
      <c r="N217" s="5"/>
    </row>
    <row r="218">
      <c r="N218" s="5"/>
    </row>
    <row r="219">
      <c r="N219" s="5"/>
    </row>
    <row r="220">
      <c r="N220" s="5"/>
    </row>
    <row r="221">
      <c r="N221" s="5"/>
    </row>
    <row r="222">
      <c r="N222" s="5"/>
    </row>
    <row r="223">
      <c r="N223" s="5"/>
    </row>
    <row r="224">
      <c r="N224" s="5"/>
    </row>
    <row r="225">
      <c r="N225" s="5"/>
    </row>
    <row r="226">
      <c r="N226" s="5"/>
    </row>
    <row r="227">
      <c r="N227" s="5"/>
    </row>
    <row r="228">
      <c r="N228" s="5"/>
    </row>
    <row r="229">
      <c r="N229" s="5"/>
    </row>
    <row r="230">
      <c r="N230" s="5"/>
    </row>
    <row r="231">
      <c r="N231" s="5"/>
    </row>
    <row r="232">
      <c r="N232" s="5"/>
    </row>
    <row r="233">
      <c r="N233" s="5"/>
    </row>
    <row r="234">
      <c r="N234" s="5"/>
    </row>
    <row r="235">
      <c r="N235" s="5"/>
    </row>
    <row r="236">
      <c r="N236" s="5"/>
    </row>
    <row r="237">
      <c r="N237" s="5"/>
    </row>
    <row r="238">
      <c r="N238" s="5"/>
    </row>
    <row r="239">
      <c r="N239" s="5"/>
    </row>
    <row r="240">
      <c r="N240" s="5"/>
    </row>
    <row r="241">
      <c r="N241" s="5"/>
    </row>
    <row r="242">
      <c r="N242" s="5"/>
    </row>
    <row r="243">
      <c r="N243" s="5"/>
    </row>
    <row r="244">
      <c r="N244" s="5"/>
    </row>
    <row r="245">
      <c r="N245" s="5"/>
    </row>
    <row r="246">
      <c r="N246" s="5"/>
    </row>
    <row r="247">
      <c r="N247" s="5"/>
    </row>
    <row r="248">
      <c r="N248" s="5"/>
    </row>
    <row r="249">
      <c r="N249" s="5"/>
    </row>
    <row r="250">
      <c r="N250" s="5"/>
    </row>
    <row r="251">
      <c r="N251" s="5"/>
    </row>
    <row r="252">
      <c r="N252" s="5"/>
    </row>
    <row r="253">
      <c r="N253" s="5"/>
    </row>
    <row r="254">
      <c r="N254" s="5"/>
    </row>
    <row r="255">
      <c r="N255" s="5"/>
    </row>
    <row r="256">
      <c r="N256" s="5"/>
    </row>
    <row r="257">
      <c r="N257" s="5"/>
    </row>
    <row r="258">
      <c r="N258" s="5"/>
    </row>
    <row r="259">
      <c r="N259" s="5"/>
    </row>
    <row r="260">
      <c r="N260" s="5"/>
    </row>
    <row r="261">
      <c r="I261" s="4"/>
    </row>
    <row r="262">
      <c r="N262" s="5"/>
    </row>
    <row r="263">
      <c r="N263" s="5"/>
    </row>
    <row r="264">
      <c r="N264" s="5"/>
    </row>
    <row r="265">
      <c r="N265" s="5"/>
    </row>
    <row r="266">
      <c r="N266" s="5"/>
    </row>
    <row r="267">
      <c r="N267" s="5"/>
    </row>
    <row r="268">
      <c r="N268" s="5"/>
    </row>
    <row r="269">
      <c r="N269" s="5"/>
    </row>
    <row r="270">
      <c r="N270" s="5"/>
    </row>
    <row r="271">
      <c r="N271" s="5"/>
    </row>
    <row r="272">
      <c r="N272" s="5"/>
    </row>
    <row r="273">
      <c r="N273" s="5"/>
    </row>
    <row r="274">
      <c r="N274" s="5"/>
    </row>
    <row r="275">
      <c r="N275" s="5"/>
    </row>
    <row r="276">
      <c r="N276" s="5"/>
    </row>
    <row r="277">
      <c r="N277" s="5"/>
    </row>
    <row r="278">
      <c r="N278" s="5"/>
    </row>
    <row r="279">
      <c r="N279" s="5"/>
    </row>
    <row r="280">
      <c r="N280" s="5"/>
    </row>
    <row r="281">
      <c r="N281" s="5"/>
    </row>
    <row r="282">
      <c r="N282" s="5"/>
    </row>
    <row r="283">
      <c r="N283" s="5"/>
    </row>
    <row r="284">
      <c r="N284" s="5"/>
    </row>
    <row r="285">
      <c r="N285" s="5"/>
    </row>
    <row r="286">
      <c r="N286" s="5"/>
    </row>
    <row r="287">
      <c r="N287" s="5"/>
    </row>
    <row r="288">
      <c r="N288" s="5"/>
    </row>
    <row r="289">
      <c r="N289" s="5"/>
    </row>
    <row r="290">
      <c r="N290" s="5"/>
    </row>
    <row r="291">
      <c r="N291" s="5"/>
    </row>
    <row r="292">
      <c r="N292" s="5"/>
    </row>
    <row r="293">
      <c r="N293" s="5"/>
    </row>
    <row r="294">
      <c r="N294" s="5"/>
    </row>
    <row r="295">
      <c r="N295" s="5"/>
    </row>
    <row r="296">
      <c r="N296" s="5"/>
    </row>
    <row r="297">
      <c r="N297" s="5"/>
    </row>
    <row r="298">
      <c r="N298" s="5"/>
    </row>
    <row r="299">
      <c r="N299" s="5"/>
    </row>
    <row r="300">
      <c r="N300" s="5"/>
    </row>
    <row r="301">
      <c r="N301" s="5"/>
    </row>
    <row r="302">
      <c r="N302" s="5"/>
    </row>
    <row r="303">
      <c r="N303" s="5"/>
    </row>
    <row r="304">
      <c r="N304" s="5"/>
    </row>
    <row r="305">
      <c r="N305" s="5"/>
    </row>
    <row r="306">
      <c r="N306" s="5"/>
    </row>
    <row r="307">
      <c r="N307" s="5"/>
    </row>
    <row r="308">
      <c r="N308" s="5"/>
    </row>
    <row r="309">
      <c r="N309" s="5"/>
    </row>
    <row r="310">
      <c r="N310" s="5"/>
    </row>
    <row r="311">
      <c r="N311" s="5"/>
    </row>
    <row r="312">
      <c r="N312" s="5"/>
    </row>
    <row r="313">
      <c r="N313" s="5"/>
    </row>
    <row r="314">
      <c r="N314" s="5"/>
    </row>
    <row r="315">
      <c r="N315" s="5"/>
    </row>
    <row r="316">
      <c r="N316" s="5"/>
    </row>
    <row r="317">
      <c r="N317" s="5"/>
    </row>
    <row r="318">
      <c r="N318" s="5"/>
    </row>
    <row r="319">
      <c r="N319" s="5"/>
    </row>
    <row r="320">
      <c r="N320" s="5"/>
    </row>
    <row r="321">
      <c r="N321" s="5"/>
    </row>
    <row r="322">
      <c r="N322" s="5"/>
    </row>
    <row r="323">
      <c r="N323" s="5"/>
    </row>
    <row r="324">
      <c r="N324" s="5"/>
    </row>
    <row r="325">
      <c r="N325" s="5"/>
    </row>
    <row r="326">
      <c r="N326" s="5"/>
    </row>
    <row r="327">
      <c r="N327" s="5"/>
    </row>
    <row r="328">
      <c r="N328" s="5"/>
    </row>
    <row r="329">
      <c r="N329" s="5"/>
    </row>
    <row r="330">
      <c r="N330" s="5"/>
    </row>
    <row r="331">
      <c r="N331" s="5"/>
    </row>
    <row r="332">
      <c r="N332" s="5"/>
    </row>
    <row r="333">
      <c r="N333" s="5"/>
    </row>
    <row r="334">
      <c r="N334" s="5"/>
    </row>
    <row r="335">
      <c r="N335" s="5"/>
    </row>
    <row r="336">
      <c r="N336" s="5"/>
    </row>
    <row r="337">
      <c r="N337" s="5"/>
    </row>
    <row r="338">
      <c r="N338" s="5"/>
    </row>
    <row r="339">
      <c r="N339" s="5"/>
    </row>
    <row r="340">
      <c r="N340" s="5"/>
    </row>
    <row r="341">
      <c r="N341" s="5"/>
    </row>
    <row r="342">
      <c r="N342" s="5"/>
    </row>
    <row r="343">
      <c r="N343" s="5"/>
    </row>
    <row r="344">
      <c r="N344" s="5"/>
    </row>
    <row r="345">
      <c r="N345" s="5"/>
    </row>
    <row r="346">
      <c r="N346" s="5"/>
    </row>
    <row r="347">
      <c r="N347" s="5"/>
    </row>
    <row r="348">
      <c r="N348" s="5"/>
    </row>
    <row r="349">
      <c r="N349" s="5"/>
    </row>
    <row r="350">
      <c r="N350" s="5"/>
    </row>
    <row r="351">
      <c r="N351" s="5"/>
    </row>
    <row r="352">
      <c r="N352" s="5"/>
    </row>
    <row r="353">
      <c r="N353" s="5"/>
    </row>
    <row r="354">
      <c r="N354" s="5"/>
    </row>
    <row r="355">
      <c r="N355" s="5"/>
    </row>
    <row r="356">
      <c r="N356" s="5"/>
    </row>
  </sheetData>
  <autoFilter ref="$A$1:$Z$1000"/>
  <drawing r:id="rId1"/>
</worksheet>
</file>