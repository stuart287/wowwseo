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racket 1 - Locations" sheetId="2" r:id="rId6"/>
    <sheet state="visible" name="Bracket 2 - Core Plumbing" sheetId="3" r:id="rId7"/>
    <sheet state="visible" name="Bracket 3 - Emergency Repairs" sheetId="4" r:id="rId8"/>
    <sheet state="visible" name="Bracket 4 - Drain Geyser Leak" sheetId="5" r:id="rId9"/>
    <sheet state="visible" name="Bracket 5 - Electrical" sheetId="6" r:id="rId10"/>
    <sheet state="visible" name="Bracket 6 - HVAC Refrigeration" sheetId="7" r:id="rId11"/>
    <sheet state="visible" name="Bracket 7 - Property Types" sheetId="8" r:id="rId12"/>
    <sheet state="visible" name="Bracket 8 - Trust Comparisons" sheetId="9" r:id="rId13"/>
    <sheet state="visible" name="Bracket 9 - Questions" sheetId="10" r:id="rId14"/>
    <sheet state="visible" name="All Export Terms" sheetId="11" r:id="rId15"/>
  </sheets>
  <definedNames/>
  <calcPr/>
</workbook>
</file>

<file path=xl/sharedStrings.xml><?xml version="1.0" encoding="utf-8"?>
<sst xmlns="http://schemas.openxmlformats.org/spreadsheetml/2006/main" count="454" uniqueCount="226">
  <si>
    <t>Plum Plumbers - Seed Term Brainstorming</t>
  </si>
  <si>
    <t>plumber cape town</t>
  </si>
  <si>
    <t>plumbers</t>
  </si>
  <si>
    <t>plumbing services</t>
  </si>
  <si>
    <t>plumber</t>
  </si>
  <si>
    <t>plumbing company</t>
  </si>
  <si>
    <t>plumbing contractors</t>
  </si>
  <si>
    <t>emergency plumber</t>
  </si>
  <si>
    <t>residential plumber</t>
  </si>
  <si>
    <t>commercial plumber</t>
  </si>
  <si>
    <t>blocked drain plumber</t>
  </si>
  <si>
    <t>geyser repair</t>
  </si>
  <si>
    <t>maintenance plumber</t>
  </si>
  <si>
    <t>leak detection plumber</t>
  </si>
  <si>
    <t>plumbing repairs</t>
  </si>
  <si>
    <t>electrician</t>
  </si>
  <si>
    <t>plumbing installation</t>
  </si>
  <si>
    <t>aircon repairs</t>
  </si>
  <si>
    <t>plumbing inspection</t>
  </si>
  <si>
    <t>24 hour plumber</t>
  </si>
  <si>
    <t>refrigeration services</t>
  </si>
  <si>
    <t>Combined - base phrase + modifier</t>
  </si>
  <si>
    <t>burst pipe repair</t>
  </si>
  <si>
    <t>leaking pipe repair</t>
  </si>
  <si>
    <t>leaking tap repair</t>
  </si>
  <si>
    <t>blocked toilet plumber</t>
  </si>
  <si>
    <t>toilet repair</t>
  </si>
  <si>
    <t>Client</t>
  </si>
  <si>
    <t>bathroom plumbing repair</t>
  </si>
  <si>
    <t>kitchen plumbing repair</t>
  </si>
  <si>
    <t>Plum Plumbers</t>
  </si>
  <si>
    <t>water leak repair</t>
  </si>
  <si>
    <t>Combined - modifier + base phrase</t>
  </si>
  <si>
    <t>Website</t>
  </si>
  <si>
    <t>www.plumplumbers.com</t>
  </si>
  <si>
    <t>modifier</t>
  </si>
  <si>
    <t>base phrase + modifier</t>
  </si>
  <si>
    <t>Market</t>
  </si>
  <si>
    <t>Cape Town, South Africa</t>
  </si>
  <si>
    <t>Audit section</t>
  </si>
  <si>
    <t>Content Audit - Keyword Research</t>
  </si>
  <si>
    <t>modifier + base phrase</t>
  </si>
  <si>
    <t>Source context</t>
  </si>
  <si>
    <t>Onboarding answers: plumbing company expanding into electrical, air conditioning, and refrigeration services.</t>
  </si>
  <si>
    <t>emergency</t>
  </si>
  <si>
    <t>cape town</t>
  </si>
  <si>
    <t>Cape Town</t>
  </si>
  <si>
    <t>Reference format</t>
  </si>
  <si>
    <t>Modelled on Pikeland Property Group Seed Term Brainstorming bracket tabs.</t>
  </si>
  <si>
    <t>How to use</t>
  </si>
  <si>
    <t>1. Review each bracket tab for seed relevance and remove off-intent phrases before Ahrefs export.</t>
  </si>
  <si>
    <t>2. Use the green combined columns for copy/paste keyword lists.</t>
  </si>
  <si>
    <t>3. Use All Export Terms for one de-duplicated list across all brackets.</t>
  </si>
  <si>
    <t>4. Prioritise local service, emergency, and commercial-intent terms for the audit recommendations.</t>
  </si>
  <si>
    <t>near me</t>
  </si>
  <si>
    <t>Cape Town CBD</t>
  </si>
  <si>
    <t>24 hour</t>
  </si>
  <si>
    <t>urgent</t>
  </si>
  <si>
    <t>same day</t>
  </si>
  <si>
    <t>Southern Suburbs</t>
  </si>
  <si>
    <t>Atlantic Seaboard</t>
  </si>
  <si>
    <t>after hours</t>
  </si>
  <si>
    <t>local</t>
  </si>
  <si>
    <t>Northern Suburbs</t>
  </si>
  <si>
    <t>weekend</t>
  </si>
  <si>
    <t>affordable</t>
  </si>
  <si>
    <t>Durbanville</t>
  </si>
  <si>
    <t>call out</t>
  </si>
  <si>
    <t>professional</t>
  </si>
  <si>
    <t>Bellville</t>
  </si>
  <si>
    <t>qualified</t>
  </si>
  <si>
    <t>cost</t>
  </si>
  <si>
    <t>Claremont</t>
  </si>
  <si>
    <t>licensed</t>
  </si>
  <si>
    <t>quote</t>
  </si>
  <si>
    <t>Wynberg</t>
  </si>
  <si>
    <t>reliable</t>
  </si>
  <si>
    <t>fast</t>
  </si>
  <si>
    <t>Plumstead</t>
  </si>
  <si>
    <t>Constantia</t>
  </si>
  <si>
    <t>maintenance</t>
  </si>
  <si>
    <t>Tokai</t>
  </si>
  <si>
    <t>repair</t>
  </si>
  <si>
    <t>Rondebosch</t>
  </si>
  <si>
    <t>installation</t>
  </si>
  <si>
    <t>residential</t>
  </si>
  <si>
    <t>Newlands</t>
  </si>
  <si>
    <t>service</t>
  </si>
  <si>
    <t>commercial</t>
  </si>
  <si>
    <t>Sea Point</t>
  </si>
  <si>
    <t>contractor</t>
  </si>
  <si>
    <t>Green Point</t>
  </si>
  <si>
    <t>company</t>
  </si>
  <si>
    <t>Camps Bay</t>
  </si>
  <si>
    <t>Hout Bay</t>
  </si>
  <si>
    <t>best</t>
  </si>
  <si>
    <t>Woodstock</t>
  </si>
  <si>
    <t>top rated</t>
  </si>
  <si>
    <t>Observatory</t>
  </si>
  <si>
    <t>trusted</t>
  </si>
  <si>
    <t>Maitland</t>
  </si>
  <si>
    <t>Table View</t>
  </si>
  <si>
    <t>Milnerton</t>
  </si>
  <si>
    <t>Muizenberg</t>
  </si>
  <si>
    <t>Fish Hoek</t>
  </si>
  <si>
    <t>South Africa</t>
  </si>
  <si>
    <t>blocked drain</t>
  </si>
  <si>
    <t>drain cleaning</t>
  </si>
  <si>
    <t>drain unblocking</t>
  </si>
  <si>
    <t>drain inspection</t>
  </si>
  <si>
    <t>geyser replacement</t>
  </si>
  <si>
    <t>burst geyser</t>
  </si>
  <si>
    <t>leak detection</t>
  </si>
  <si>
    <t>water leak detection</t>
  </si>
  <si>
    <t>pipe repair</t>
  </si>
  <si>
    <t>specialist</t>
  </si>
  <si>
    <t>CCTV</t>
  </si>
  <si>
    <t>high pressure jetting</t>
  </si>
  <si>
    <t>replacement</t>
  </si>
  <si>
    <t>electrician cape town</t>
  </si>
  <si>
    <t>electrical services</t>
  </si>
  <si>
    <t>electrical repairs</t>
  </si>
  <si>
    <t>emergency electrician</t>
  </si>
  <si>
    <t>residential electrician</t>
  </si>
  <si>
    <t>commercial electrician</t>
  </si>
  <si>
    <t>electrical contractor</t>
  </si>
  <si>
    <t>electrical compliance certificate</t>
  </si>
  <si>
    <t>electrical installation</t>
  </si>
  <si>
    <t>electrical maintenance</t>
  </si>
  <si>
    <t>COC</t>
  </si>
  <si>
    <t>inspection</t>
  </si>
  <si>
    <t>air conditioning</t>
  </si>
  <si>
    <t>air conditioning repair</t>
  </si>
  <si>
    <t>aircon repair</t>
  </si>
  <si>
    <t>aircon installation</t>
  </si>
  <si>
    <t>aircon service</t>
  </si>
  <si>
    <t>HVAC services</t>
  </si>
  <si>
    <t>refrigeration repair</t>
  </si>
  <si>
    <t>commercial refrigeration</t>
  </si>
  <si>
    <t>fridge repair</t>
  </si>
  <si>
    <t>cold room repair</t>
  </si>
  <si>
    <t>emergency plumbing</t>
  </si>
  <si>
    <t>geyser repairs</t>
  </si>
  <si>
    <t>air conditioning services</t>
  </si>
  <si>
    <t>home</t>
  </si>
  <si>
    <t>house</t>
  </si>
  <si>
    <t>apartment</t>
  </si>
  <si>
    <t>flat</t>
  </si>
  <si>
    <t>townhouse</t>
  </si>
  <si>
    <t>office</t>
  </si>
  <si>
    <t>shop</t>
  </si>
  <si>
    <t>technician</t>
  </si>
  <si>
    <t>restaurant</t>
  </si>
  <si>
    <t>hotel</t>
  </si>
  <si>
    <t>guesthouse</t>
  </si>
  <si>
    <t>school</t>
  </si>
  <si>
    <t>body corporate</t>
  </si>
  <si>
    <t>landlord</t>
  </si>
  <si>
    <t>tenant</t>
  </si>
  <si>
    <t>estate agent</t>
  </si>
  <si>
    <t>property manager</t>
  </si>
  <si>
    <t>commercial property</t>
  </si>
  <si>
    <t>residential property</t>
  </si>
  <si>
    <t>business</t>
  </si>
  <si>
    <t>building</t>
  </si>
  <si>
    <t>plumbers cape town</t>
  </si>
  <si>
    <t>plumbing company cape town</t>
  </si>
  <si>
    <t>emergency plumber cape town</t>
  </si>
  <si>
    <t>drain surgeon cape town</t>
  </si>
  <si>
    <t>absolute plumbing cape town</t>
  </si>
  <si>
    <t>schmidhauser plumbing</t>
  </si>
  <si>
    <t>bosman plumbers</t>
  </si>
  <si>
    <t>plumber near me</t>
  </si>
  <si>
    <t>aircon repair cape town</t>
  </si>
  <si>
    <t>reviews</t>
  </si>
  <si>
    <t>review</t>
  </si>
  <si>
    <t>reputable</t>
  </si>
  <si>
    <t>prices</t>
  </si>
  <si>
    <t>complaints</t>
  </si>
  <si>
    <t>alternatives</t>
  </si>
  <si>
    <t>vs</t>
  </si>
  <si>
    <t>compare</t>
  </si>
  <si>
    <t>certified</t>
  </si>
  <si>
    <t>insured</t>
  </si>
  <si>
    <t>plumber cost</t>
  </si>
  <si>
    <t>burst pipe</t>
  </si>
  <si>
    <t>electrical COC</t>
  </si>
  <si>
    <t>plumbing maintenance</t>
  </si>
  <si>
    <t>how much does</t>
  </si>
  <si>
    <t>what is</t>
  </si>
  <si>
    <t>when to call a</t>
  </si>
  <si>
    <t>who fixes</t>
  </si>
  <si>
    <t>how to choose</t>
  </si>
  <si>
    <t>how long does</t>
  </si>
  <si>
    <t>why is my</t>
  </si>
  <si>
    <t>can a plumber fix</t>
  </si>
  <si>
    <t>do I need</t>
  </si>
  <si>
    <t>signs you need</t>
  </si>
  <si>
    <t>cost of</t>
  </si>
  <si>
    <t>best way to fix</t>
  </si>
  <si>
    <t>how to prevent</t>
  </si>
  <si>
    <t>what causes</t>
  </si>
  <si>
    <t>is it safe to</t>
  </si>
  <si>
    <t>emergency help for</t>
  </si>
  <si>
    <t>same day help for</t>
  </si>
  <si>
    <t>near me for</t>
  </si>
  <si>
    <t>Locations base + modifier</t>
  </si>
  <si>
    <t>Locations modifier + base</t>
  </si>
  <si>
    <t>Core Plumbing base + modifier</t>
  </si>
  <si>
    <t>Core Plumbing modifier + base</t>
  </si>
  <si>
    <t>Emergency Repairs base + modifier</t>
  </si>
  <si>
    <t>Emergency Repairs modifier + base</t>
  </si>
  <si>
    <t>Drain/Geyser/Leak base + modifier</t>
  </si>
  <si>
    <t>Drain/Geyser/Leak modifier + base</t>
  </si>
  <si>
    <t>Electrical base + modifier</t>
  </si>
  <si>
    <t>Electrical modifier + base</t>
  </si>
  <si>
    <t>HVAC/Refrigeration base + modifier</t>
  </si>
  <si>
    <t>HVAC/Refrigeration modifier + base</t>
  </si>
  <si>
    <t>Property Types base + modifier</t>
  </si>
  <si>
    <t>Property Types modifier + base</t>
  </si>
  <si>
    <t>Trust/Comparisons base + modifier</t>
  </si>
  <si>
    <t>Trust/Comparisons modifier + base</t>
  </si>
  <si>
    <t>Questions base + modifier</t>
  </si>
  <si>
    <t>Questions modifier + base</t>
  </si>
  <si>
    <t/>
  </si>
  <si>
    <t>All unique export terms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</si>
</sst>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17365D"/>
      <name val="Montserrat"/>
    </font>
    <font>
      <b/>
      <sz val="16.0"/>
      <color rgb="FFFFFFFF"/>
      <name val="Montserrat"/>
    </font>
    <font>
      <color theme="1"/>
      <name val="Montserrat"/>
    </font>
    <font>
      <b/>
      <sz val="11.0"/>
      <color theme="1"/>
      <name val="Montserrat"/>
    </font>
    <font>
      <sz val="11.0"/>
      <color theme="1"/>
      <name val="Montserrat"/>
    </font>
    <font>
      <b/>
      <sz val="11.0"/>
      <color rgb="FFFFFFFF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17365D"/>
        <bgColor rgb="FF17365D"/>
      </patternFill>
    </fill>
    <fill>
      <patternFill patternType="solid">
        <fgColor rgb="FFEAF7EA"/>
        <bgColor rgb="FFEAF7EA"/>
      </patternFill>
    </fill>
    <fill>
      <patternFill patternType="solid">
        <fgColor rgb="FFFFF7E6"/>
        <bgColor rgb="FFFFF7E6"/>
      </patternFill>
    </fill>
    <fill>
      <patternFill patternType="solid">
        <fgColor rgb="FFF8FBFF"/>
        <bgColor rgb="FFF8FBFF"/>
      </patternFill>
    </fill>
  </fills>
  <borders count="14">
    <border/>
    <border>
      <left style="medium">
        <color rgb="FFB6C2D9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E2E8F0"/>
      </left>
      <right style="medium">
        <color rgb="FFB6C2D9"/>
      </right>
      <top style="medium">
        <color rgb="FFB6C2D9"/>
      </top>
      <bottom style="thin">
        <color rgb="FFE2E8F0"/>
      </bottom>
    </border>
    <border>
      <left style="medium">
        <color rgb="FFB6C2D9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medium">
        <color rgb="FFB6C2D9"/>
      </right>
      <top style="thin">
        <color rgb="FFE2E8F0"/>
      </top>
      <bottom style="medium">
        <color rgb="FFB6C2D9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0" fillId="3" fontId="2" numFmtId="0" xfId="0" applyFill="1" applyFont="1"/>
    <xf borderId="0" fillId="0" fontId="3" numFmtId="0" xfId="0" applyFont="1"/>
    <xf borderId="2" fillId="4" fontId="1" numFmtId="0" xfId="0" applyAlignment="1" applyBorder="1" applyFill="1" applyFont="1">
      <alignment shrinkToFit="0" wrapText="1"/>
    </xf>
    <xf borderId="3" fillId="2" fontId="4" numFmtId="0" xfId="0" applyBorder="1" applyFont="1"/>
    <xf borderId="3" fillId="0" fontId="5" numFmtId="0" xfId="0" applyBorder="1" applyFont="1"/>
    <xf borderId="4" fillId="4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6" fillId="2" fontId="1" numFmtId="0" xfId="0" applyAlignment="1" applyBorder="1" applyFont="1">
      <alignment shrinkToFit="0" wrapText="1"/>
    </xf>
    <xf borderId="6" fillId="4" fontId="1" numFmtId="0" xfId="0" applyAlignment="1" applyBorder="1" applyFont="1">
      <alignment shrinkToFit="0" wrapText="1"/>
    </xf>
    <xf borderId="7" fillId="4" fontId="1" numFmtId="0" xfId="0" applyAlignment="1" applyBorder="1" applyFont="1">
      <alignment shrinkToFit="0" wrapText="1"/>
    </xf>
    <xf borderId="8" fillId="5" fontId="5" numFmtId="0" xfId="0" applyBorder="1" applyFill="1" applyFont="1"/>
    <xf borderId="9" fillId="6" fontId="5" numFmtId="0" xfId="0" applyBorder="1" applyFill="1" applyFont="1"/>
    <xf borderId="0" fillId="4" fontId="5" numFmtId="0" xfId="0" applyAlignment="1" applyFont="1">
      <alignment shrinkToFit="0" wrapText="1"/>
    </xf>
    <xf borderId="9" fillId="4" fontId="5" numFmtId="0" xfId="0" applyBorder="1" applyFont="1"/>
    <xf borderId="9" fillId="0" fontId="5" numFmtId="0" xfId="0" applyBorder="1" applyFont="1"/>
    <xf borderId="10" fillId="4" fontId="5" numFmtId="0" xfId="0" applyBorder="1" applyFont="1"/>
    <xf borderId="8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2" fillId="4" fontId="5" numFmtId="0" xfId="0" applyBorder="1" applyFont="1"/>
    <xf borderId="13" fillId="4" fontId="5" numFmtId="0" xfId="0" applyBorder="1" applyFont="1"/>
    <xf borderId="3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75"/>
    <col customWidth="1" min="2" max="2" width="77.75"/>
    <col customWidth="1" min="3" max="26" width="8.63"/>
  </cols>
  <sheetData>
    <row r="1">
      <c r="A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27</v>
      </c>
      <c r="B3" s="7" t="s">
        <v>30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33</v>
      </c>
      <c r="B4" s="7" t="s">
        <v>34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37</v>
      </c>
      <c r="B5" s="7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39</v>
      </c>
      <c r="B6" s="7" t="s">
        <v>40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42</v>
      </c>
      <c r="B7" s="7" t="s">
        <v>43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47</v>
      </c>
      <c r="B8" s="7" t="s">
        <v>48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49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50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 t="s">
        <v>51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52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 t="s">
        <v>53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2" t="s">
        <v>2</v>
      </c>
      <c r="C1" s="2" t="s">
        <v>4</v>
      </c>
      <c r="D1" s="2" t="s">
        <v>5</v>
      </c>
      <c r="E1" s="2" t="s">
        <v>7</v>
      </c>
      <c r="F1" s="2" t="s">
        <v>10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20</v>
      </c>
      <c r="L1" s="5" t="s">
        <v>21</v>
      </c>
      <c r="M1" s="2"/>
      <c r="N1" s="2" t="s">
        <v>2</v>
      </c>
      <c r="O1" s="2" t="s">
        <v>4</v>
      </c>
      <c r="P1" s="2" t="s">
        <v>5</v>
      </c>
      <c r="Q1" s="2" t="s">
        <v>7</v>
      </c>
      <c r="R1" s="2" t="s">
        <v>10</v>
      </c>
      <c r="S1" s="2" t="s">
        <v>11</v>
      </c>
      <c r="T1" s="2" t="s">
        <v>13</v>
      </c>
      <c r="U1" s="2" t="s">
        <v>15</v>
      </c>
      <c r="V1" s="2" t="s">
        <v>17</v>
      </c>
      <c r="W1" s="2" t="s">
        <v>20</v>
      </c>
      <c r="X1" s="8" t="s">
        <v>32</v>
      </c>
      <c r="Y1" s="4"/>
      <c r="Z1" s="4"/>
    </row>
    <row r="2">
      <c r="A2" s="9" t="s">
        <v>35</v>
      </c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41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4"/>
      <c r="Z2" s="4"/>
    </row>
    <row r="3">
      <c r="A3" s="13" t="s">
        <v>46</v>
      </c>
      <c r="B3" s="14" t="str">
        <f t="shared" ref="B3:K3" si="1">IF($A3="","",IF(OR(ISNUMBER(SEARCH(LOWER($A3),LOWER(B$1))),AND(RIGHT(LOWER($A3),1)="s",ISNUMBER(SEARCH(LEFT(LOWER($A3),LEN($A3)-1),LOWER(B$1))))),B$1,B$1&amp;" "&amp;$A3))</f>
        <v>plumbers Cape Town</v>
      </c>
      <c r="C3" s="14" t="str">
        <f t="shared" si="1"/>
        <v>plumber Cape Town</v>
      </c>
      <c r="D3" s="14" t="str">
        <f t="shared" si="1"/>
        <v>plumbing company Cape Town</v>
      </c>
      <c r="E3" s="14" t="str">
        <f t="shared" si="1"/>
        <v>emergency plumber Cape Town</v>
      </c>
      <c r="F3" s="14" t="str">
        <f t="shared" si="1"/>
        <v>blocked drain plumber Cape Town</v>
      </c>
      <c r="G3" s="14" t="str">
        <f t="shared" si="1"/>
        <v>geyser repair Cape Town</v>
      </c>
      <c r="H3" s="14" t="str">
        <f t="shared" si="1"/>
        <v>leak detection plumber Cape Town</v>
      </c>
      <c r="I3" s="14" t="str">
        <f t="shared" si="1"/>
        <v>electrician Cape Town</v>
      </c>
      <c r="J3" s="14" t="str">
        <f t="shared" si="1"/>
        <v>aircon repairs Cape Town</v>
      </c>
      <c r="K3" s="14" t="str">
        <f t="shared" si="1"/>
        <v>refrigeration services Cape Town</v>
      </c>
      <c r="L3" s="16" t="str">
        <f>IFERROR(__xludf.DUMMYFUNCTION("SORT(UNIQUE(FILTER(FLATTEN(B3:K82),FLATTEN(B3:K82)&lt;&gt;"""")))"),"aircon repairs Atlantic Seaboard")</f>
        <v>aircon repairs Atlantic Seaboard</v>
      </c>
      <c r="M3" s="17"/>
      <c r="N3" s="14" t="str">
        <f t="shared" ref="N3:W3" si="2">IF($A3="","",IF(OR(ISNUMBER(SEARCH(LOWER($A3),LOWER(N$1))),AND(RIGHT(LOWER($A3),1)="s",ISNUMBER(SEARCH(LEFT(LOWER($A3),LEN($A3)-1),LOWER(N$1))))),N$1,$A3&amp;" "&amp;N$1))</f>
        <v>Cape Town plumbers</v>
      </c>
      <c r="O3" s="14" t="str">
        <f t="shared" si="2"/>
        <v>Cape Town plumber</v>
      </c>
      <c r="P3" s="14" t="str">
        <f t="shared" si="2"/>
        <v>Cape Town plumbing company</v>
      </c>
      <c r="Q3" s="14" t="str">
        <f t="shared" si="2"/>
        <v>Cape Town emergency plumber</v>
      </c>
      <c r="R3" s="14" t="str">
        <f t="shared" si="2"/>
        <v>Cape Town blocked drain plumber</v>
      </c>
      <c r="S3" s="14" t="str">
        <f t="shared" si="2"/>
        <v>Cape Town geyser repair</v>
      </c>
      <c r="T3" s="14" t="str">
        <f t="shared" si="2"/>
        <v>Cape Town leak detection plumber</v>
      </c>
      <c r="U3" s="14" t="str">
        <f t="shared" si="2"/>
        <v>Cape Town electrician</v>
      </c>
      <c r="V3" s="14" t="str">
        <f t="shared" si="2"/>
        <v>Cape Town aircon repairs</v>
      </c>
      <c r="W3" s="14" t="str">
        <f t="shared" si="2"/>
        <v>Cape Town refrigeration services</v>
      </c>
      <c r="X3" s="18" t="str">
        <f>IFERROR(__xludf.DUMMYFUNCTION("SORT(UNIQUE(FILTER(FLATTEN(N3:W82),FLATTEN(N3:W82)&lt;&gt;"""")))"),"Atlantic Seaboard aircon repairs")</f>
        <v>Atlantic Seaboard aircon repairs</v>
      </c>
      <c r="Y3" s="4"/>
      <c r="Z3" s="4"/>
    </row>
    <row r="4">
      <c r="A4" s="13" t="s">
        <v>55</v>
      </c>
      <c r="B4" s="14" t="str">
        <f t="shared" ref="B4:K4" si="3">IF($A4="","",IF(OR(ISNUMBER(SEARCH(LOWER($A4),LOWER(B$1))),AND(RIGHT(LOWER($A4),1)="s",ISNUMBER(SEARCH(LEFT(LOWER($A4),LEN($A4)-1),LOWER(B$1))))),B$1,B$1&amp;" "&amp;$A4))</f>
        <v>plumbers Cape Town CBD</v>
      </c>
      <c r="C4" s="14" t="str">
        <f t="shared" si="3"/>
        <v>plumber Cape Town CBD</v>
      </c>
      <c r="D4" s="14" t="str">
        <f t="shared" si="3"/>
        <v>plumbing company Cape Town CBD</v>
      </c>
      <c r="E4" s="14" t="str">
        <f t="shared" si="3"/>
        <v>emergency plumber Cape Town CBD</v>
      </c>
      <c r="F4" s="14" t="str">
        <f t="shared" si="3"/>
        <v>blocked drain plumber Cape Town CBD</v>
      </c>
      <c r="G4" s="14" t="str">
        <f t="shared" si="3"/>
        <v>geyser repair Cape Town CBD</v>
      </c>
      <c r="H4" s="14" t="str">
        <f t="shared" si="3"/>
        <v>leak detection plumber Cape Town CBD</v>
      </c>
      <c r="I4" s="14" t="str">
        <f t="shared" si="3"/>
        <v>electrician Cape Town CBD</v>
      </c>
      <c r="J4" s="14" t="str">
        <f t="shared" si="3"/>
        <v>aircon repairs Cape Town CBD</v>
      </c>
      <c r="K4" s="14" t="str">
        <f t="shared" si="3"/>
        <v>refrigeration services Cape Town CBD</v>
      </c>
      <c r="L4" s="16" t="str">
        <f>IFERROR(__xludf.DUMMYFUNCTION("""COMPUTED_VALUE"""),"aircon repairs Bellville")</f>
        <v>aircon repairs Bellville</v>
      </c>
      <c r="M4" s="17"/>
      <c r="N4" s="14" t="str">
        <f t="shared" ref="N4:W4" si="4">IF($A4="","",IF(OR(ISNUMBER(SEARCH(LOWER($A4),LOWER(N$1))),AND(RIGHT(LOWER($A4),1)="s",ISNUMBER(SEARCH(LEFT(LOWER($A4),LEN($A4)-1),LOWER(N$1))))),N$1,$A4&amp;" "&amp;N$1))</f>
        <v>Cape Town CBD plumbers</v>
      </c>
      <c r="O4" s="14" t="str">
        <f t="shared" si="4"/>
        <v>Cape Town CBD plumber</v>
      </c>
      <c r="P4" s="14" t="str">
        <f t="shared" si="4"/>
        <v>Cape Town CBD plumbing company</v>
      </c>
      <c r="Q4" s="14" t="str">
        <f t="shared" si="4"/>
        <v>Cape Town CBD emergency plumber</v>
      </c>
      <c r="R4" s="14" t="str">
        <f t="shared" si="4"/>
        <v>Cape Town CBD blocked drain plumber</v>
      </c>
      <c r="S4" s="14" t="str">
        <f t="shared" si="4"/>
        <v>Cape Town CBD geyser repair</v>
      </c>
      <c r="T4" s="14" t="str">
        <f t="shared" si="4"/>
        <v>Cape Town CBD leak detection plumber</v>
      </c>
      <c r="U4" s="14" t="str">
        <f t="shared" si="4"/>
        <v>Cape Town CBD electrician</v>
      </c>
      <c r="V4" s="14" t="str">
        <f t="shared" si="4"/>
        <v>Cape Town CBD aircon repairs</v>
      </c>
      <c r="W4" s="14" t="str">
        <f t="shared" si="4"/>
        <v>Cape Town CBD refrigeration services</v>
      </c>
      <c r="X4" s="18" t="str">
        <f>IFERROR(__xludf.DUMMYFUNCTION("""COMPUTED_VALUE"""),"Atlantic Seaboard blocked drain plumber")</f>
        <v>Atlantic Seaboard blocked drain plumber</v>
      </c>
      <c r="Y4" s="4"/>
      <c r="Z4" s="4"/>
    </row>
    <row r="5">
      <c r="A5" s="13" t="s">
        <v>59</v>
      </c>
      <c r="B5" s="14" t="str">
        <f t="shared" ref="B5:K5" si="5">IF($A5="","",IF(OR(ISNUMBER(SEARCH(LOWER($A5),LOWER(B$1))),AND(RIGHT(LOWER($A5),1)="s",ISNUMBER(SEARCH(LEFT(LOWER($A5),LEN($A5)-1),LOWER(B$1))))),B$1,B$1&amp;" "&amp;$A5))</f>
        <v>plumbers Southern Suburbs</v>
      </c>
      <c r="C5" s="14" t="str">
        <f t="shared" si="5"/>
        <v>plumber Southern Suburbs</v>
      </c>
      <c r="D5" s="14" t="str">
        <f t="shared" si="5"/>
        <v>plumbing company Southern Suburbs</v>
      </c>
      <c r="E5" s="14" t="str">
        <f t="shared" si="5"/>
        <v>emergency plumber Southern Suburbs</v>
      </c>
      <c r="F5" s="14" t="str">
        <f t="shared" si="5"/>
        <v>blocked drain plumber Southern Suburbs</v>
      </c>
      <c r="G5" s="14" t="str">
        <f t="shared" si="5"/>
        <v>geyser repair Southern Suburbs</v>
      </c>
      <c r="H5" s="14" t="str">
        <f t="shared" si="5"/>
        <v>leak detection plumber Southern Suburbs</v>
      </c>
      <c r="I5" s="14" t="str">
        <f t="shared" si="5"/>
        <v>electrician Southern Suburbs</v>
      </c>
      <c r="J5" s="14" t="str">
        <f t="shared" si="5"/>
        <v>aircon repairs Southern Suburbs</v>
      </c>
      <c r="K5" s="14" t="str">
        <f t="shared" si="5"/>
        <v>refrigeration services Southern Suburbs</v>
      </c>
      <c r="L5" s="16" t="str">
        <f>IFERROR(__xludf.DUMMYFUNCTION("""COMPUTED_VALUE"""),"aircon repairs Camps Bay")</f>
        <v>aircon repairs Camps Bay</v>
      </c>
      <c r="M5" s="17"/>
      <c r="N5" s="14" t="str">
        <f t="shared" ref="N5:W5" si="6">IF($A5="","",IF(OR(ISNUMBER(SEARCH(LOWER($A5),LOWER(N$1))),AND(RIGHT(LOWER($A5),1)="s",ISNUMBER(SEARCH(LEFT(LOWER($A5),LEN($A5)-1),LOWER(N$1))))),N$1,$A5&amp;" "&amp;N$1))</f>
        <v>Southern Suburbs plumbers</v>
      </c>
      <c r="O5" s="14" t="str">
        <f t="shared" si="6"/>
        <v>Southern Suburbs plumber</v>
      </c>
      <c r="P5" s="14" t="str">
        <f t="shared" si="6"/>
        <v>Southern Suburbs plumbing company</v>
      </c>
      <c r="Q5" s="14" t="str">
        <f t="shared" si="6"/>
        <v>Southern Suburbs emergency plumber</v>
      </c>
      <c r="R5" s="14" t="str">
        <f t="shared" si="6"/>
        <v>Southern Suburbs blocked drain plumber</v>
      </c>
      <c r="S5" s="14" t="str">
        <f t="shared" si="6"/>
        <v>Southern Suburbs geyser repair</v>
      </c>
      <c r="T5" s="14" t="str">
        <f t="shared" si="6"/>
        <v>Southern Suburbs leak detection plumber</v>
      </c>
      <c r="U5" s="14" t="str">
        <f t="shared" si="6"/>
        <v>Southern Suburbs electrician</v>
      </c>
      <c r="V5" s="14" t="str">
        <f t="shared" si="6"/>
        <v>Southern Suburbs aircon repairs</v>
      </c>
      <c r="W5" s="14" t="str">
        <f t="shared" si="6"/>
        <v>Southern Suburbs refrigeration services</v>
      </c>
      <c r="X5" s="18" t="str">
        <f>IFERROR(__xludf.DUMMYFUNCTION("""COMPUTED_VALUE"""),"Atlantic Seaboard electrician")</f>
        <v>Atlantic Seaboard electrician</v>
      </c>
      <c r="Y5" s="4"/>
      <c r="Z5" s="4"/>
    </row>
    <row r="6">
      <c r="A6" s="13" t="s">
        <v>60</v>
      </c>
      <c r="B6" s="14" t="str">
        <f t="shared" ref="B6:K6" si="7">IF($A6="","",IF(OR(ISNUMBER(SEARCH(LOWER($A6),LOWER(B$1))),AND(RIGHT(LOWER($A6),1)="s",ISNUMBER(SEARCH(LEFT(LOWER($A6),LEN($A6)-1),LOWER(B$1))))),B$1,B$1&amp;" "&amp;$A6))</f>
        <v>plumbers Atlantic Seaboard</v>
      </c>
      <c r="C6" s="14" t="str">
        <f t="shared" si="7"/>
        <v>plumber Atlantic Seaboard</v>
      </c>
      <c r="D6" s="14" t="str">
        <f t="shared" si="7"/>
        <v>plumbing company Atlantic Seaboard</v>
      </c>
      <c r="E6" s="14" t="str">
        <f t="shared" si="7"/>
        <v>emergency plumber Atlantic Seaboard</v>
      </c>
      <c r="F6" s="14" t="str">
        <f t="shared" si="7"/>
        <v>blocked drain plumber Atlantic Seaboard</v>
      </c>
      <c r="G6" s="14" t="str">
        <f t="shared" si="7"/>
        <v>geyser repair Atlantic Seaboard</v>
      </c>
      <c r="H6" s="14" t="str">
        <f t="shared" si="7"/>
        <v>leak detection plumber Atlantic Seaboard</v>
      </c>
      <c r="I6" s="14" t="str">
        <f t="shared" si="7"/>
        <v>electrician Atlantic Seaboard</v>
      </c>
      <c r="J6" s="14" t="str">
        <f t="shared" si="7"/>
        <v>aircon repairs Atlantic Seaboard</v>
      </c>
      <c r="K6" s="14" t="str">
        <f t="shared" si="7"/>
        <v>refrigeration services Atlantic Seaboard</v>
      </c>
      <c r="L6" s="16" t="str">
        <f>IFERROR(__xludf.DUMMYFUNCTION("""COMPUTED_VALUE"""),"aircon repairs Cape Town")</f>
        <v>aircon repairs Cape Town</v>
      </c>
      <c r="M6" s="17"/>
      <c r="N6" s="14" t="str">
        <f t="shared" ref="N6:W6" si="8">IF($A6="","",IF(OR(ISNUMBER(SEARCH(LOWER($A6),LOWER(N$1))),AND(RIGHT(LOWER($A6),1)="s",ISNUMBER(SEARCH(LEFT(LOWER($A6),LEN($A6)-1),LOWER(N$1))))),N$1,$A6&amp;" "&amp;N$1))</f>
        <v>Atlantic Seaboard plumbers</v>
      </c>
      <c r="O6" s="14" t="str">
        <f t="shared" si="8"/>
        <v>Atlantic Seaboard plumber</v>
      </c>
      <c r="P6" s="14" t="str">
        <f t="shared" si="8"/>
        <v>Atlantic Seaboard plumbing company</v>
      </c>
      <c r="Q6" s="14" t="str">
        <f t="shared" si="8"/>
        <v>Atlantic Seaboard emergency plumber</v>
      </c>
      <c r="R6" s="14" t="str">
        <f t="shared" si="8"/>
        <v>Atlantic Seaboard blocked drain plumber</v>
      </c>
      <c r="S6" s="14" t="str">
        <f t="shared" si="8"/>
        <v>Atlantic Seaboard geyser repair</v>
      </c>
      <c r="T6" s="14" t="str">
        <f t="shared" si="8"/>
        <v>Atlantic Seaboard leak detection plumber</v>
      </c>
      <c r="U6" s="14" t="str">
        <f t="shared" si="8"/>
        <v>Atlantic Seaboard electrician</v>
      </c>
      <c r="V6" s="14" t="str">
        <f t="shared" si="8"/>
        <v>Atlantic Seaboard aircon repairs</v>
      </c>
      <c r="W6" s="14" t="str">
        <f t="shared" si="8"/>
        <v>Atlantic Seaboard refrigeration services</v>
      </c>
      <c r="X6" s="18" t="str">
        <f>IFERROR(__xludf.DUMMYFUNCTION("""COMPUTED_VALUE"""),"Atlantic Seaboard emergency plumber")</f>
        <v>Atlantic Seaboard emergency plumber</v>
      </c>
      <c r="Y6" s="4"/>
      <c r="Z6" s="4"/>
    </row>
    <row r="7">
      <c r="A7" s="13" t="s">
        <v>63</v>
      </c>
      <c r="B7" s="14" t="str">
        <f t="shared" ref="B7:K7" si="9">IF($A7="","",IF(OR(ISNUMBER(SEARCH(LOWER($A7),LOWER(B$1))),AND(RIGHT(LOWER($A7),1)="s",ISNUMBER(SEARCH(LEFT(LOWER($A7),LEN($A7)-1),LOWER(B$1))))),B$1,B$1&amp;" "&amp;$A7))</f>
        <v>plumbers Northern Suburbs</v>
      </c>
      <c r="C7" s="14" t="str">
        <f t="shared" si="9"/>
        <v>plumber Northern Suburbs</v>
      </c>
      <c r="D7" s="14" t="str">
        <f t="shared" si="9"/>
        <v>plumbing company Northern Suburbs</v>
      </c>
      <c r="E7" s="14" t="str">
        <f t="shared" si="9"/>
        <v>emergency plumber Northern Suburbs</v>
      </c>
      <c r="F7" s="14" t="str">
        <f t="shared" si="9"/>
        <v>blocked drain plumber Northern Suburbs</v>
      </c>
      <c r="G7" s="14" t="str">
        <f t="shared" si="9"/>
        <v>geyser repair Northern Suburbs</v>
      </c>
      <c r="H7" s="14" t="str">
        <f t="shared" si="9"/>
        <v>leak detection plumber Northern Suburbs</v>
      </c>
      <c r="I7" s="14" t="str">
        <f t="shared" si="9"/>
        <v>electrician Northern Suburbs</v>
      </c>
      <c r="J7" s="14" t="str">
        <f t="shared" si="9"/>
        <v>aircon repairs Northern Suburbs</v>
      </c>
      <c r="K7" s="14" t="str">
        <f t="shared" si="9"/>
        <v>refrigeration services Northern Suburbs</v>
      </c>
      <c r="L7" s="16" t="str">
        <f>IFERROR(__xludf.DUMMYFUNCTION("""COMPUTED_VALUE"""),"aircon repairs Cape Town CBD")</f>
        <v>aircon repairs Cape Town CBD</v>
      </c>
      <c r="M7" s="17"/>
      <c r="N7" s="14" t="str">
        <f t="shared" ref="N7:W7" si="10">IF($A7="","",IF(OR(ISNUMBER(SEARCH(LOWER($A7),LOWER(N$1))),AND(RIGHT(LOWER($A7),1)="s",ISNUMBER(SEARCH(LEFT(LOWER($A7),LEN($A7)-1),LOWER(N$1))))),N$1,$A7&amp;" "&amp;N$1))</f>
        <v>Northern Suburbs plumbers</v>
      </c>
      <c r="O7" s="14" t="str">
        <f t="shared" si="10"/>
        <v>Northern Suburbs plumber</v>
      </c>
      <c r="P7" s="14" t="str">
        <f t="shared" si="10"/>
        <v>Northern Suburbs plumbing company</v>
      </c>
      <c r="Q7" s="14" t="str">
        <f t="shared" si="10"/>
        <v>Northern Suburbs emergency plumber</v>
      </c>
      <c r="R7" s="14" t="str">
        <f t="shared" si="10"/>
        <v>Northern Suburbs blocked drain plumber</v>
      </c>
      <c r="S7" s="14" t="str">
        <f t="shared" si="10"/>
        <v>Northern Suburbs geyser repair</v>
      </c>
      <c r="T7" s="14" t="str">
        <f t="shared" si="10"/>
        <v>Northern Suburbs leak detection plumber</v>
      </c>
      <c r="U7" s="14" t="str">
        <f t="shared" si="10"/>
        <v>Northern Suburbs electrician</v>
      </c>
      <c r="V7" s="14" t="str">
        <f t="shared" si="10"/>
        <v>Northern Suburbs aircon repairs</v>
      </c>
      <c r="W7" s="14" t="str">
        <f t="shared" si="10"/>
        <v>Northern Suburbs refrigeration services</v>
      </c>
      <c r="X7" s="18" t="str">
        <f>IFERROR(__xludf.DUMMYFUNCTION("""COMPUTED_VALUE"""),"Atlantic Seaboard geyser repair")</f>
        <v>Atlantic Seaboard geyser repair</v>
      </c>
      <c r="Y7" s="4"/>
      <c r="Z7" s="4"/>
    </row>
    <row r="8">
      <c r="A8" s="13" t="s">
        <v>66</v>
      </c>
      <c r="B8" s="14" t="str">
        <f t="shared" ref="B8:K8" si="11">IF($A8="","",IF(OR(ISNUMBER(SEARCH(LOWER($A8),LOWER(B$1))),AND(RIGHT(LOWER($A8),1)="s",ISNUMBER(SEARCH(LEFT(LOWER($A8),LEN($A8)-1),LOWER(B$1))))),B$1,B$1&amp;" "&amp;$A8))</f>
        <v>plumbers Durbanville</v>
      </c>
      <c r="C8" s="14" t="str">
        <f t="shared" si="11"/>
        <v>plumber Durbanville</v>
      </c>
      <c r="D8" s="14" t="str">
        <f t="shared" si="11"/>
        <v>plumbing company Durbanville</v>
      </c>
      <c r="E8" s="14" t="str">
        <f t="shared" si="11"/>
        <v>emergency plumber Durbanville</v>
      </c>
      <c r="F8" s="14" t="str">
        <f t="shared" si="11"/>
        <v>blocked drain plumber Durbanville</v>
      </c>
      <c r="G8" s="14" t="str">
        <f t="shared" si="11"/>
        <v>geyser repair Durbanville</v>
      </c>
      <c r="H8" s="14" t="str">
        <f t="shared" si="11"/>
        <v>leak detection plumber Durbanville</v>
      </c>
      <c r="I8" s="14" t="str">
        <f t="shared" si="11"/>
        <v>electrician Durbanville</v>
      </c>
      <c r="J8" s="14" t="str">
        <f t="shared" si="11"/>
        <v>aircon repairs Durbanville</v>
      </c>
      <c r="K8" s="14" t="str">
        <f t="shared" si="11"/>
        <v>refrigeration services Durbanville</v>
      </c>
      <c r="L8" s="16" t="str">
        <f>IFERROR(__xludf.DUMMYFUNCTION("""COMPUTED_VALUE"""),"aircon repairs Claremont")</f>
        <v>aircon repairs Claremont</v>
      </c>
      <c r="M8" s="17"/>
      <c r="N8" s="14" t="str">
        <f t="shared" ref="N8:W8" si="12">IF($A8="","",IF(OR(ISNUMBER(SEARCH(LOWER($A8),LOWER(N$1))),AND(RIGHT(LOWER($A8),1)="s",ISNUMBER(SEARCH(LEFT(LOWER($A8),LEN($A8)-1),LOWER(N$1))))),N$1,$A8&amp;" "&amp;N$1))</f>
        <v>Durbanville plumbers</v>
      </c>
      <c r="O8" s="14" t="str">
        <f t="shared" si="12"/>
        <v>Durbanville plumber</v>
      </c>
      <c r="P8" s="14" t="str">
        <f t="shared" si="12"/>
        <v>Durbanville plumbing company</v>
      </c>
      <c r="Q8" s="14" t="str">
        <f t="shared" si="12"/>
        <v>Durbanville emergency plumber</v>
      </c>
      <c r="R8" s="14" t="str">
        <f t="shared" si="12"/>
        <v>Durbanville blocked drain plumber</v>
      </c>
      <c r="S8" s="14" t="str">
        <f t="shared" si="12"/>
        <v>Durbanville geyser repair</v>
      </c>
      <c r="T8" s="14" t="str">
        <f t="shared" si="12"/>
        <v>Durbanville leak detection plumber</v>
      </c>
      <c r="U8" s="14" t="str">
        <f t="shared" si="12"/>
        <v>Durbanville electrician</v>
      </c>
      <c r="V8" s="14" t="str">
        <f t="shared" si="12"/>
        <v>Durbanville aircon repairs</v>
      </c>
      <c r="W8" s="14" t="str">
        <f t="shared" si="12"/>
        <v>Durbanville refrigeration services</v>
      </c>
      <c r="X8" s="18" t="str">
        <f>IFERROR(__xludf.DUMMYFUNCTION("""COMPUTED_VALUE"""),"Atlantic Seaboard leak detection plumber")</f>
        <v>Atlantic Seaboard leak detection plumber</v>
      </c>
      <c r="Y8" s="4"/>
      <c r="Z8" s="4"/>
    </row>
    <row r="9">
      <c r="A9" s="13" t="s">
        <v>69</v>
      </c>
      <c r="B9" s="14" t="str">
        <f t="shared" ref="B9:K9" si="13">IF($A9="","",IF(OR(ISNUMBER(SEARCH(LOWER($A9),LOWER(B$1))),AND(RIGHT(LOWER($A9),1)="s",ISNUMBER(SEARCH(LEFT(LOWER($A9),LEN($A9)-1),LOWER(B$1))))),B$1,B$1&amp;" "&amp;$A9))</f>
        <v>plumbers Bellville</v>
      </c>
      <c r="C9" s="14" t="str">
        <f t="shared" si="13"/>
        <v>plumber Bellville</v>
      </c>
      <c r="D9" s="14" t="str">
        <f t="shared" si="13"/>
        <v>plumbing company Bellville</v>
      </c>
      <c r="E9" s="14" t="str">
        <f t="shared" si="13"/>
        <v>emergency plumber Bellville</v>
      </c>
      <c r="F9" s="14" t="str">
        <f t="shared" si="13"/>
        <v>blocked drain plumber Bellville</v>
      </c>
      <c r="G9" s="14" t="str">
        <f t="shared" si="13"/>
        <v>geyser repair Bellville</v>
      </c>
      <c r="H9" s="14" t="str">
        <f t="shared" si="13"/>
        <v>leak detection plumber Bellville</v>
      </c>
      <c r="I9" s="14" t="str">
        <f t="shared" si="13"/>
        <v>electrician Bellville</v>
      </c>
      <c r="J9" s="14" t="str">
        <f t="shared" si="13"/>
        <v>aircon repairs Bellville</v>
      </c>
      <c r="K9" s="14" t="str">
        <f t="shared" si="13"/>
        <v>refrigeration services Bellville</v>
      </c>
      <c r="L9" s="16" t="str">
        <f>IFERROR(__xludf.DUMMYFUNCTION("""COMPUTED_VALUE"""),"aircon repairs Constantia")</f>
        <v>aircon repairs Constantia</v>
      </c>
      <c r="M9" s="17"/>
      <c r="N9" s="14" t="str">
        <f t="shared" ref="N9:W9" si="14">IF($A9="","",IF(OR(ISNUMBER(SEARCH(LOWER($A9),LOWER(N$1))),AND(RIGHT(LOWER($A9),1)="s",ISNUMBER(SEARCH(LEFT(LOWER($A9),LEN($A9)-1),LOWER(N$1))))),N$1,$A9&amp;" "&amp;N$1))</f>
        <v>Bellville plumbers</v>
      </c>
      <c r="O9" s="14" t="str">
        <f t="shared" si="14"/>
        <v>Bellville plumber</v>
      </c>
      <c r="P9" s="14" t="str">
        <f t="shared" si="14"/>
        <v>Bellville plumbing company</v>
      </c>
      <c r="Q9" s="14" t="str">
        <f t="shared" si="14"/>
        <v>Bellville emergency plumber</v>
      </c>
      <c r="R9" s="14" t="str">
        <f t="shared" si="14"/>
        <v>Bellville blocked drain plumber</v>
      </c>
      <c r="S9" s="14" t="str">
        <f t="shared" si="14"/>
        <v>Bellville geyser repair</v>
      </c>
      <c r="T9" s="14" t="str">
        <f t="shared" si="14"/>
        <v>Bellville leak detection plumber</v>
      </c>
      <c r="U9" s="14" t="str">
        <f t="shared" si="14"/>
        <v>Bellville electrician</v>
      </c>
      <c r="V9" s="14" t="str">
        <f t="shared" si="14"/>
        <v>Bellville aircon repairs</v>
      </c>
      <c r="W9" s="14" t="str">
        <f t="shared" si="14"/>
        <v>Bellville refrigeration services</v>
      </c>
      <c r="X9" s="18" t="str">
        <f>IFERROR(__xludf.DUMMYFUNCTION("""COMPUTED_VALUE"""),"Atlantic Seaboard plumber")</f>
        <v>Atlantic Seaboard plumber</v>
      </c>
      <c r="Y9" s="4"/>
      <c r="Z9" s="4"/>
    </row>
    <row r="10">
      <c r="A10" s="13" t="s">
        <v>72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plumbers Claremont</v>
      </c>
      <c r="C10" s="14" t="str">
        <f t="shared" si="15"/>
        <v>plumber Claremont</v>
      </c>
      <c r="D10" s="14" t="str">
        <f t="shared" si="15"/>
        <v>plumbing company Claremont</v>
      </c>
      <c r="E10" s="14" t="str">
        <f t="shared" si="15"/>
        <v>emergency plumber Claremont</v>
      </c>
      <c r="F10" s="14" t="str">
        <f t="shared" si="15"/>
        <v>blocked drain plumber Claremont</v>
      </c>
      <c r="G10" s="14" t="str">
        <f t="shared" si="15"/>
        <v>geyser repair Claremont</v>
      </c>
      <c r="H10" s="14" t="str">
        <f t="shared" si="15"/>
        <v>leak detection plumber Claremont</v>
      </c>
      <c r="I10" s="14" t="str">
        <f t="shared" si="15"/>
        <v>electrician Claremont</v>
      </c>
      <c r="J10" s="14" t="str">
        <f t="shared" si="15"/>
        <v>aircon repairs Claremont</v>
      </c>
      <c r="K10" s="14" t="str">
        <f t="shared" si="15"/>
        <v>refrigeration services Claremont</v>
      </c>
      <c r="L10" s="16" t="str">
        <f>IFERROR(__xludf.DUMMYFUNCTION("""COMPUTED_VALUE"""),"aircon repairs Durbanville")</f>
        <v>aircon repairs Durbanville</v>
      </c>
      <c r="M10" s="17"/>
      <c r="N10" s="14" t="str">
        <f t="shared" ref="N10:W10" si="16">IF($A10="","",IF(OR(ISNUMBER(SEARCH(LOWER($A10),LOWER(N$1))),AND(RIGHT(LOWER($A10),1)="s",ISNUMBER(SEARCH(LEFT(LOWER($A10),LEN($A10)-1),LOWER(N$1))))),N$1,$A10&amp;" "&amp;N$1))</f>
        <v>Claremont plumbers</v>
      </c>
      <c r="O10" s="14" t="str">
        <f t="shared" si="16"/>
        <v>Claremont plumber</v>
      </c>
      <c r="P10" s="14" t="str">
        <f t="shared" si="16"/>
        <v>Claremont plumbing company</v>
      </c>
      <c r="Q10" s="14" t="str">
        <f t="shared" si="16"/>
        <v>Claremont emergency plumber</v>
      </c>
      <c r="R10" s="14" t="str">
        <f t="shared" si="16"/>
        <v>Claremont blocked drain plumber</v>
      </c>
      <c r="S10" s="14" t="str">
        <f t="shared" si="16"/>
        <v>Claremont geyser repair</v>
      </c>
      <c r="T10" s="14" t="str">
        <f t="shared" si="16"/>
        <v>Claremont leak detection plumber</v>
      </c>
      <c r="U10" s="14" t="str">
        <f t="shared" si="16"/>
        <v>Claremont electrician</v>
      </c>
      <c r="V10" s="14" t="str">
        <f t="shared" si="16"/>
        <v>Claremont aircon repairs</v>
      </c>
      <c r="W10" s="14" t="str">
        <f t="shared" si="16"/>
        <v>Claremont refrigeration services</v>
      </c>
      <c r="X10" s="18" t="str">
        <f>IFERROR(__xludf.DUMMYFUNCTION("""COMPUTED_VALUE"""),"Atlantic Seaboard plumbers")</f>
        <v>Atlantic Seaboard plumbers</v>
      </c>
      <c r="Y10" s="4"/>
      <c r="Z10" s="4"/>
    </row>
    <row r="11">
      <c r="A11" s="13" t="s">
        <v>75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plumbers Wynberg</v>
      </c>
      <c r="C11" s="14" t="str">
        <f t="shared" si="17"/>
        <v>plumber Wynberg</v>
      </c>
      <c r="D11" s="14" t="str">
        <f t="shared" si="17"/>
        <v>plumbing company Wynberg</v>
      </c>
      <c r="E11" s="14" t="str">
        <f t="shared" si="17"/>
        <v>emergency plumber Wynberg</v>
      </c>
      <c r="F11" s="14" t="str">
        <f t="shared" si="17"/>
        <v>blocked drain plumber Wynberg</v>
      </c>
      <c r="G11" s="14" t="str">
        <f t="shared" si="17"/>
        <v>geyser repair Wynberg</v>
      </c>
      <c r="H11" s="14" t="str">
        <f t="shared" si="17"/>
        <v>leak detection plumber Wynberg</v>
      </c>
      <c r="I11" s="14" t="str">
        <f t="shared" si="17"/>
        <v>electrician Wynberg</v>
      </c>
      <c r="J11" s="14" t="str">
        <f t="shared" si="17"/>
        <v>aircon repairs Wynberg</v>
      </c>
      <c r="K11" s="14" t="str">
        <f t="shared" si="17"/>
        <v>refrigeration services Wynberg</v>
      </c>
      <c r="L11" s="16" t="str">
        <f>IFERROR(__xludf.DUMMYFUNCTION("""COMPUTED_VALUE"""),"aircon repairs Fish Hoek")</f>
        <v>aircon repairs Fish Hoek</v>
      </c>
      <c r="M11" s="17"/>
      <c r="N11" s="14" t="str">
        <f t="shared" ref="N11:W11" si="18">IF($A11="","",IF(OR(ISNUMBER(SEARCH(LOWER($A11),LOWER(N$1))),AND(RIGHT(LOWER($A11),1)="s",ISNUMBER(SEARCH(LEFT(LOWER($A11),LEN($A11)-1),LOWER(N$1))))),N$1,$A11&amp;" "&amp;N$1))</f>
        <v>Wynberg plumbers</v>
      </c>
      <c r="O11" s="14" t="str">
        <f t="shared" si="18"/>
        <v>Wynberg plumber</v>
      </c>
      <c r="P11" s="14" t="str">
        <f t="shared" si="18"/>
        <v>Wynberg plumbing company</v>
      </c>
      <c r="Q11" s="14" t="str">
        <f t="shared" si="18"/>
        <v>Wynberg emergency plumber</v>
      </c>
      <c r="R11" s="14" t="str">
        <f t="shared" si="18"/>
        <v>Wynberg blocked drain plumber</v>
      </c>
      <c r="S11" s="14" t="str">
        <f t="shared" si="18"/>
        <v>Wynberg geyser repair</v>
      </c>
      <c r="T11" s="14" t="str">
        <f t="shared" si="18"/>
        <v>Wynberg leak detection plumber</v>
      </c>
      <c r="U11" s="14" t="str">
        <f t="shared" si="18"/>
        <v>Wynberg electrician</v>
      </c>
      <c r="V11" s="14" t="str">
        <f t="shared" si="18"/>
        <v>Wynberg aircon repairs</v>
      </c>
      <c r="W11" s="14" t="str">
        <f t="shared" si="18"/>
        <v>Wynberg refrigeration services</v>
      </c>
      <c r="X11" s="18" t="str">
        <f>IFERROR(__xludf.DUMMYFUNCTION("""COMPUTED_VALUE"""),"Atlantic Seaboard plumbing company")</f>
        <v>Atlantic Seaboard plumbing company</v>
      </c>
      <c r="Y11" s="4"/>
      <c r="Z11" s="4"/>
    </row>
    <row r="12">
      <c r="A12" s="13" t="s">
        <v>78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plumbers Plumstead</v>
      </c>
      <c r="C12" s="14" t="str">
        <f t="shared" si="19"/>
        <v>plumber Plumstead</v>
      </c>
      <c r="D12" s="14" t="str">
        <f t="shared" si="19"/>
        <v>plumbing company Plumstead</v>
      </c>
      <c r="E12" s="14" t="str">
        <f t="shared" si="19"/>
        <v>emergency plumber Plumstead</v>
      </c>
      <c r="F12" s="14" t="str">
        <f t="shared" si="19"/>
        <v>blocked drain plumber Plumstead</v>
      </c>
      <c r="G12" s="14" t="str">
        <f t="shared" si="19"/>
        <v>geyser repair Plumstead</v>
      </c>
      <c r="H12" s="14" t="str">
        <f t="shared" si="19"/>
        <v>leak detection plumber Plumstead</v>
      </c>
      <c r="I12" s="14" t="str">
        <f t="shared" si="19"/>
        <v>electrician Plumstead</v>
      </c>
      <c r="J12" s="14" t="str">
        <f t="shared" si="19"/>
        <v>aircon repairs Plumstead</v>
      </c>
      <c r="K12" s="14" t="str">
        <f t="shared" si="19"/>
        <v>refrigeration services Plumstead</v>
      </c>
      <c r="L12" s="16" t="str">
        <f>IFERROR(__xludf.DUMMYFUNCTION("""COMPUTED_VALUE"""),"aircon repairs Green Point")</f>
        <v>aircon repairs Green Point</v>
      </c>
      <c r="M12" s="17"/>
      <c r="N12" s="14" t="str">
        <f t="shared" ref="N12:W12" si="20">IF($A12="","",IF(OR(ISNUMBER(SEARCH(LOWER($A12),LOWER(N$1))),AND(RIGHT(LOWER($A12),1)="s",ISNUMBER(SEARCH(LEFT(LOWER($A12),LEN($A12)-1),LOWER(N$1))))),N$1,$A12&amp;" "&amp;N$1))</f>
        <v>Plumstead plumbers</v>
      </c>
      <c r="O12" s="14" t="str">
        <f t="shared" si="20"/>
        <v>Plumstead plumber</v>
      </c>
      <c r="P12" s="14" t="str">
        <f t="shared" si="20"/>
        <v>Plumstead plumbing company</v>
      </c>
      <c r="Q12" s="14" t="str">
        <f t="shared" si="20"/>
        <v>Plumstead emergency plumber</v>
      </c>
      <c r="R12" s="14" t="str">
        <f t="shared" si="20"/>
        <v>Plumstead blocked drain plumber</v>
      </c>
      <c r="S12" s="14" t="str">
        <f t="shared" si="20"/>
        <v>Plumstead geyser repair</v>
      </c>
      <c r="T12" s="14" t="str">
        <f t="shared" si="20"/>
        <v>Plumstead leak detection plumber</v>
      </c>
      <c r="U12" s="14" t="str">
        <f t="shared" si="20"/>
        <v>Plumstead electrician</v>
      </c>
      <c r="V12" s="14" t="str">
        <f t="shared" si="20"/>
        <v>Plumstead aircon repairs</v>
      </c>
      <c r="W12" s="14" t="str">
        <f t="shared" si="20"/>
        <v>Plumstead refrigeration services</v>
      </c>
      <c r="X12" s="18" t="str">
        <f>IFERROR(__xludf.DUMMYFUNCTION("""COMPUTED_VALUE"""),"Atlantic Seaboard refrigeration services")</f>
        <v>Atlantic Seaboard refrigeration services</v>
      </c>
      <c r="Y12" s="4"/>
      <c r="Z12" s="4"/>
    </row>
    <row r="13">
      <c r="A13" s="13" t="s">
        <v>79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plumbers Constantia</v>
      </c>
      <c r="C13" s="14" t="str">
        <f t="shared" si="21"/>
        <v>plumber Constantia</v>
      </c>
      <c r="D13" s="14" t="str">
        <f t="shared" si="21"/>
        <v>plumbing company Constantia</v>
      </c>
      <c r="E13" s="14" t="str">
        <f t="shared" si="21"/>
        <v>emergency plumber Constantia</v>
      </c>
      <c r="F13" s="14" t="str">
        <f t="shared" si="21"/>
        <v>blocked drain plumber Constantia</v>
      </c>
      <c r="G13" s="14" t="str">
        <f t="shared" si="21"/>
        <v>geyser repair Constantia</v>
      </c>
      <c r="H13" s="14" t="str">
        <f t="shared" si="21"/>
        <v>leak detection plumber Constantia</v>
      </c>
      <c r="I13" s="14" t="str">
        <f t="shared" si="21"/>
        <v>electrician Constantia</v>
      </c>
      <c r="J13" s="14" t="str">
        <f t="shared" si="21"/>
        <v>aircon repairs Constantia</v>
      </c>
      <c r="K13" s="14" t="str">
        <f t="shared" si="21"/>
        <v>refrigeration services Constantia</v>
      </c>
      <c r="L13" s="16" t="str">
        <f>IFERROR(__xludf.DUMMYFUNCTION("""COMPUTED_VALUE"""),"aircon repairs Hout Bay")</f>
        <v>aircon repairs Hout Bay</v>
      </c>
      <c r="M13" s="17"/>
      <c r="N13" s="14" t="str">
        <f t="shared" ref="N13:W13" si="22">IF($A13="","",IF(OR(ISNUMBER(SEARCH(LOWER($A13),LOWER(N$1))),AND(RIGHT(LOWER($A13),1)="s",ISNUMBER(SEARCH(LEFT(LOWER($A13),LEN($A13)-1),LOWER(N$1))))),N$1,$A13&amp;" "&amp;N$1))</f>
        <v>Constantia plumbers</v>
      </c>
      <c r="O13" s="14" t="str">
        <f t="shared" si="22"/>
        <v>Constantia plumber</v>
      </c>
      <c r="P13" s="14" t="str">
        <f t="shared" si="22"/>
        <v>Constantia plumbing company</v>
      </c>
      <c r="Q13" s="14" t="str">
        <f t="shared" si="22"/>
        <v>Constantia emergency plumber</v>
      </c>
      <c r="R13" s="14" t="str">
        <f t="shared" si="22"/>
        <v>Constantia blocked drain plumber</v>
      </c>
      <c r="S13" s="14" t="str">
        <f t="shared" si="22"/>
        <v>Constantia geyser repair</v>
      </c>
      <c r="T13" s="14" t="str">
        <f t="shared" si="22"/>
        <v>Constantia leak detection plumber</v>
      </c>
      <c r="U13" s="14" t="str">
        <f t="shared" si="22"/>
        <v>Constantia electrician</v>
      </c>
      <c r="V13" s="14" t="str">
        <f t="shared" si="22"/>
        <v>Constantia aircon repairs</v>
      </c>
      <c r="W13" s="14" t="str">
        <f t="shared" si="22"/>
        <v>Constantia refrigeration services</v>
      </c>
      <c r="X13" s="18" t="str">
        <f>IFERROR(__xludf.DUMMYFUNCTION("""COMPUTED_VALUE"""),"Bellville aircon repairs")</f>
        <v>Bellville aircon repairs</v>
      </c>
      <c r="Y13" s="4"/>
      <c r="Z13" s="4"/>
    </row>
    <row r="14">
      <c r="A14" s="13" t="s">
        <v>81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plumbers Tokai</v>
      </c>
      <c r="C14" s="14" t="str">
        <f t="shared" si="23"/>
        <v>plumber Tokai</v>
      </c>
      <c r="D14" s="14" t="str">
        <f t="shared" si="23"/>
        <v>plumbing company Tokai</v>
      </c>
      <c r="E14" s="14" t="str">
        <f t="shared" si="23"/>
        <v>emergency plumber Tokai</v>
      </c>
      <c r="F14" s="14" t="str">
        <f t="shared" si="23"/>
        <v>blocked drain plumber Tokai</v>
      </c>
      <c r="G14" s="14" t="str">
        <f t="shared" si="23"/>
        <v>geyser repair Tokai</v>
      </c>
      <c r="H14" s="14" t="str">
        <f t="shared" si="23"/>
        <v>leak detection plumber Tokai</v>
      </c>
      <c r="I14" s="14" t="str">
        <f t="shared" si="23"/>
        <v>electrician Tokai</v>
      </c>
      <c r="J14" s="14" t="str">
        <f t="shared" si="23"/>
        <v>aircon repairs Tokai</v>
      </c>
      <c r="K14" s="14" t="str">
        <f t="shared" si="23"/>
        <v>refrigeration services Tokai</v>
      </c>
      <c r="L14" s="16" t="str">
        <f>IFERROR(__xludf.DUMMYFUNCTION("""COMPUTED_VALUE"""),"aircon repairs Maitland")</f>
        <v>aircon repairs Maitland</v>
      </c>
      <c r="M14" s="17"/>
      <c r="N14" s="14" t="str">
        <f t="shared" ref="N14:W14" si="24">IF($A14="","",IF(OR(ISNUMBER(SEARCH(LOWER($A14),LOWER(N$1))),AND(RIGHT(LOWER($A14),1)="s",ISNUMBER(SEARCH(LEFT(LOWER($A14),LEN($A14)-1),LOWER(N$1))))),N$1,$A14&amp;" "&amp;N$1))</f>
        <v>Tokai plumbers</v>
      </c>
      <c r="O14" s="14" t="str">
        <f t="shared" si="24"/>
        <v>Tokai plumber</v>
      </c>
      <c r="P14" s="14" t="str">
        <f t="shared" si="24"/>
        <v>Tokai plumbing company</v>
      </c>
      <c r="Q14" s="14" t="str">
        <f t="shared" si="24"/>
        <v>Tokai emergency plumber</v>
      </c>
      <c r="R14" s="14" t="str">
        <f t="shared" si="24"/>
        <v>Tokai blocked drain plumber</v>
      </c>
      <c r="S14" s="14" t="str">
        <f t="shared" si="24"/>
        <v>Tokai geyser repair</v>
      </c>
      <c r="T14" s="14" t="str">
        <f t="shared" si="24"/>
        <v>Tokai leak detection plumber</v>
      </c>
      <c r="U14" s="14" t="str">
        <f t="shared" si="24"/>
        <v>Tokai electrician</v>
      </c>
      <c r="V14" s="14" t="str">
        <f t="shared" si="24"/>
        <v>Tokai aircon repairs</v>
      </c>
      <c r="W14" s="14" t="str">
        <f t="shared" si="24"/>
        <v>Tokai refrigeration services</v>
      </c>
      <c r="X14" s="18" t="str">
        <f>IFERROR(__xludf.DUMMYFUNCTION("""COMPUTED_VALUE"""),"Bellville blocked drain plumber")</f>
        <v>Bellville blocked drain plumber</v>
      </c>
      <c r="Y14" s="4"/>
      <c r="Z14" s="4"/>
    </row>
    <row r="15">
      <c r="A15" s="13" t="s">
        <v>83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plumbers Rondebosch</v>
      </c>
      <c r="C15" s="14" t="str">
        <f t="shared" si="25"/>
        <v>plumber Rondebosch</v>
      </c>
      <c r="D15" s="14" t="str">
        <f t="shared" si="25"/>
        <v>plumbing company Rondebosch</v>
      </c>
      <c r="E15" s="14" t="str">
        <f t="shared" si="25"/>
        <v>emergency plumber Rondebosch</v>
      </c>
      <c r="F15" s="14" t="str">
        <f t="shared" si="25"/>
        <v>blocked drain plumber Rondebosch</v>
      </c>
      <c r="G15" s="14" t="str">
        <f t="shared" si="25"/>
        <v>geyser repair Rondebosch</v>
      </c>
      <c r="H15" s="14" t="str">
        <f t="shared" si="25"/>
        <v>leak detection plumber Rondebosch</v>
      </c>
      <c r="I15" s="14" t="str">
        <f t="shared" si="25"/>
        <v>electrician Rondebosch</v>
      </c>
      <c r="J15" s="14" t="str">
        <f t="shared" si="25"/>
        <v>aircon repairs Rondebosch</v>
      </c>
      <c r="K15" s="14" t="str">
        <f t="shared" si="25"/>
        <v>refrigeration services Rondebosch</v>
      </c>
      <c r="L15" s="16" t="str">
        <f>IFERROR(__xludf.DUMMYFUNCTION("""COMPUTED_VALUE"""),"aircon repairs Milnerton")</f>
        <v>aircon repairs Milnerton</v>
      </c>
      <c r="M15" s="17"/>
      <c r="N15" s="14" t="str">
        <f t="shared" ref="N15:W15" si="26">IF($A15="","",IF(OR(ISNUMBER(SEARCH(LOWER($A15),LOWER(N$1))),AND(RIGHT(LOWER($A15),1)="s",ISNUMBER(SEARCH(LEFT(LOWER($A15),LEN($A15)-1),LOWER(N$1))))),N$1,$A15&amp;" "&amp;N$1))</f>
        <v>Rondebosch plumbers</v>
      </c>
      <c r="O15" s="14" t="str">
        <f t="shared" si="26"/>
        <v>Rondebosch plumber</v>
      </c>
      <c r="P15" s="14" t="str">
        <f t="shared" si="26"/>
        <v>Rondebosch plumbing company</v>
      </c>
      <c r="Q15" s="14" t="str">
        <f t="shared" si="26"/>
        <v>Rondebosch emergency plumber</v>
      </c>
      <c r="R15" s="14" t="str">
        <f t="shared" si="26"/>
        <v>Rondebosch blocked drain plumber</v>
      </c>
      <c r="S15" s="14" t="str">
        <f t="shared" si="26"/>
        <v>Rondebosch geyser repair</v>
      </c>
      <c r="T15" s="14" t="str">
        <f t="shared" si="26"/>
        <v>Rondebosch leak detection plumber</v>
      </c>
      <c r="U15" s="14" t="str">
        <f t="shared" si="26"/>
        <v>Rondebosch electrician</v>
      </c>
      <c r="V15" s="14" t="str">
        <f t="shared" si="26"/>
        <v>Rondebosch aircon repairs</v>
      </c>
      <c r="W15" s="14" t="str">
        <f t="shared" si="26"/>
        <v>Rondebosch refrigeration services</v>
      </c>
      <c r="X15" s="18" t="str">
        <f>IFERROR(__xludf.DUMMYFUNCTION("""COMPUTED_VALUE"""),"Bellville electrician")</f>
        <v>Bellville electrician</v>
      </c>
      <c r="Y15" s="4"/>
      <c r="Z15" s="4"/>
    </row>
    <row r="16">
      <c r="A16" s="13" t="s">
        <v>86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plumbers Newlands</v>
      </c>
      <c r="C16" s="14" t="str">
        <f t="shared" si="27"/>
        <v>plumber Newlands</v>
      </c>
      <c r="D16" s="14" t="str">
        <f t="shared" si="27"/>
        <v>plumbing company Newlands</v>
      </c>
      <c r="E16" s="14" t="str">
        <f t="shared" si="27"/>
        <v>emergency plumber Newlands</v>
      </c>
      <c r="F16" s="14" t="str">
        <f t="shared" si="27"/>
        <v>blocked drain plumber Newlands</v>
      </c>
      <c r="G16" s="14" t="str">
        <f t="shared" si="27"/>
        <v>geyser repair Newlands</v>
      </c>
      <c r="H16" s="14" t="str">
        <f t="shared" si="27"/>
        <v>leak detection plumber Newlands</v>
      </c>
      <c r="I16" s="14" t="str">
        <f t="shared" si="27"/>
        <v>electrician Newlands</v>
      </c>
      <c r="J16" s="14" t="str">
        <f t="shared" si="27"/>
        <v>aircon repairs Newlands</v>
      </c>
      <c r="K16" s="14" t="str">
        <f t="shared" si="27"/>
        <v>refrigeration services Newlands</v>
      </c>
      <c r="L16" s="16" t="str">
        <f>IFERROR(__xludf.DUMMYFUNCTION("""COMPUTED_VALUE"""),"aircon repairs Muizenberg")</f>
        <v>aircon repairs Muizenberg</v>
      </c>
      <c r="M16" s="17"/>
      <c r="N16" s="14" t="str">
        <f t="shared" ref="N16:W16" si="28">IF($A16="","",IF(OR(ISNUMBER(SEARCH(LOWER($A16),LOWER(N$1))),AND(RIGHT(LOWER($A16),1)="s",ISNUMBER(SEARCH(LEFT(LOWER($A16),LEN($A16)-1),LOWER(N$1))))),N$1,$A16&amp;" "&amp;N$1))</f>
        <v>Newlands plumbers</v>
      </c>
      <c r="O16" s="14" t="str">
        <f t="shared" si="28"/>
        <v>Newlands plumber</v>
      </c>
      <c r="P16" s="14" t="str">
        <f t="shared" si="28"/>
        <v>Newlands plumbing company</v>
      </c>
      <c r="Q16" s="14" t="str">
        <f t="shared" si="28"/>
        <v>Newlands emergency plumber</v>
      </c>
      <c r="R16" s="14" t="str">
        <f t="shared" si="28"/>
        <v>Newlands blocked drain plumber</v>
      </c>
      <c r="S16" s="14" t="str">
        <f t="shared" si="28"/>
        <v>Newlands geyser repair</v>
      </c>
      <c r="T16" s="14" t="str">
        <f t="shared" si="28"/>
        <v>Newlands leak detection plumber</v>
      </c>
      <c r="U16" s="14" t="str">
        <f t="shared" si="28"/>
        <v>Newlands electrician</v>
      </c>
      <c r="V16" s="14" t="str">
        <f t="shared" si="28"/>
        <v>Newlands aircon repairs</v>
      </c>
      <c r="W16" s="14" t="str">
        <f t="shared" si="28"/>
        <v>Newlands refrigeration services</v>
      </c>
      <c r="X16" s="18" t="str">
        <f>IFERROR(__xludf.DUMMYFUNCTION("""COMPUTED_VALUE"""),"Bellville emergency plumber")</f>
        <v>Bellville emergency plumber</v>
      </c>
      <c r="Y16" s="4"/>
      <c r="Z16" s="4"/>
    </row>
    <row r="17">
      <c r="A17" s="13" t="s">
        <v>89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plumbers Sea Point</v>
      </c>
      <c r="C17" s="14" t="str">
        <f t="shared" si="29"/>
        <v>plumber Sea Point</v>
      </c>
      <c r="D17" s="14" t="str">
        <f t="shared" si="29"/>
        <v>plumbing company Sea Point</v>
      </c>
      <c r="E17" s="14" t="str">
        <f t="shared" si="29"/>
        <v>emergency plumber Sea Point</v>
      </c>
      <c r="F17" s="14" t="str">
        <f t="shared" si="29"/>
        <v>blocked drain plumber Sea Point</v>
      </c>
      <c r="G17" s="14" t="str">
        <f t="shared" si="29"/>
        <v>geyser repair Sea Point</v>
      </c>
      <c r="H17" s="14" t="str">
        <f t="shared" si="29"/>
        <v>leak detection plumber Sea Point</v>
      </c>
      <c r="I17" s="14" t="str">
        <f t="shared" si="29"/>
        <v>electrician Sea Point</v>
      </c>
      <c r="J17" s="14" t="str">
        <f t="shared" si="29"/>
        <v>aircon repairs Sea Point</v>
      </c>
      <c r="K17" s="14" t="str">
        <f t="shared" si="29"/>
        <v>refrigeration services Sea Point</v>
      </c>
      <c r="L17" s="16" t="str">
        <f>IFERROR(__xludf.DUMMYFUNCTION("""COMPUTED_VALUE"""),"aircon repairs Newlands")</f>
        <v>aircon repairs Newlands</v>
      </c>
      <c r="M17" s="17"/>
      <c r="N17" s="14" t="str">
        <f t="shared" ref="N17:W17" si="30">IF($A17="","",IF(OR(ISNUMBER(SEARCH(LOWER($A17),LOWER(N$1))),AND(RIGHT(LOWER($A17),1)="s",ISNUMBER(SEARCH(LEFT(LOWER($A17),LEN($A17)-1),LOWER(N$1))))),N$1,$A17&amp;" "&amp;N$1))</f>
        <v>Sea Point plumbers</v>
      </c>
      <c r="O17" s="14" t="str">
        <f t="shared" si="30"/>
        <v>Sea Point plumber</v>
      </c>
      <c r="P17" s="14" t="str">
        <f t="shared" si="30"/>
        <v>Sea Point plumbing company</v>
      </c>
      <c r="Q17" s="14" t="str">
        <f t="shared" si="30"/>
        <v>Sea Point emergency plumber</v>
      </c>
      <c r="R17" s="14" t="str">
        <f t="shared" si="30"/>
        <v>Sea Point blocked drain plumber</v>
      </c>
      <c r="S17" s="14" t="str">
        <f t="shared" si="30"/>
        <v>Sea Point geyser repair</v>
      </c>
      <c r="T17" s="14" t="str">
        <f t="shared" si="30"/>
        <v>Sea Point leak detection plumber</v>
      </c>
      <c r="U17" s="14" t="str">
        <f t="shared" si="30"/>
        <v>Sea Point electrician</v>
      </c>
      <c r="V17" s="14" t="str">
        <f t="shared" si="30"/>
        <v>Sea Point aircon repairs</v>
      </c>
      <c r="W17" s="14" t="str">
        <f t="shared" si="30"/>
        <v>Sea Point refrigeration services</v>
      </c>
      <c r="X17" s="18" t="str">
        <f>IFERROR(__xludf.DUMMYFUNCTION("""COMPUTED_VALUE"""),"Bellville geyser repair")</f>
        <v>Bellville geyser repair</v>
      </c>
      <c r="Y17" s="4"/>
      <c r="Z17" s="4"/>
    </row>
    <row r="18">
      <c r="A18" s="13" t="s">
        <v>91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plumbers Green Point</v>
      </c>
      <c r="C18" s="14" t="str">
        <f t="shared" si="31"/>
        <v>plumber Green Point</v>
      </c>
      <c r="D18" s="14" t="str">
        <f t="shared" si="31"/>
        <v>plumbing company Green Point</v>
      </c>
      <c r="E18" s="14" t="str">
        <f t="shared" si="31"/>
        <v>emergency plumber Green Point</v>
      </c>
      <c r="F18" s="14" t="str">
        <f t="shared" si="31"/>
        <v>blocked drain plumber Green Point</v>
      </c>
      <c r="G18" s="14" t="str">
        <f t="shared" si="31"/>
        <v>geyser repair Green Point</v>
      </c>
      <c r="H18" s="14" t="str">
        <f t="shared" si="31"/>
        <v>leak detection plumber Green Point</v>
      </c>
      <c r="I18" s="14" t="str">
        <f t="shared" si="31"/>
        <v>electrician Green Point</v>
      </c>
      <c r="J18" s="14" t="str">
        <f t="shared" si="31"/>
        <v>aircon repairs Green Point</v>
      </c>
      <c r="K18" s="14" t="str">
        <f t="shared" si="31"/>
        <v>refrigeration services Green Point</v>
      </c>
      <c r="L18" s="16" t="str">
        <f>IFERROR(__xludf.DUMMYFUNCTION("""COMPUTED_VALUE"""),"aircon repairs Northern Suburbs")</f>
        <v>aircon repairs Northern Suburbs</v>
      </c>
      <c r="M18" s="17"/>
      <c r="N18" s="14" t="str">
        <f t="shared" ref="N18:W18" si="32">IF($A18="","",IF(OR(ISNUMBER(SEARCH(LOWER($A18),LOWER(N$1))),AND(RIGHT(LOWER($A18),1)="s",ISNUMBER(SEARCH(LEFT(LOWER($A18),LEN($A18)-1),LOWER(N$1))))),N$1,$A18&amp;" "&amp;N$1))</f>
        <v>Green Point plumbers</v>
      </c>
      <c r="O18" s="14" t="str">
        <f t="shared" si="32"/>
        <v>Green Point plumber</v>
      </c>
      <c r="P18" s="14" t="str">
        <f t="shared" si="32"/>
        <v>Green Point plumbing company</v>
      </c>
      <c r="Q18" s="14" t="str">
        <f t="shared" si="32"/>
        <v>Green Point emergency plumber</v>
      </c>
      <c r="R18" s="14" t="str">
        <f t="shared" si="32"/>
        <v>Green Point blocked drain plumber</v>
      </c>
      <c r="S18" s="14" t="str">
        <f t="shared" si="32"/>
        <v>Green Point geyser repair</v>
      </c>
      <c r="T18" s="14" t="str">
        <f t="shared" si="32"/>
        <v>Green Point leak detection plumber</v>
      </c>
      <c r="U18" s="14" t="str">
        <f t="shared" si="32"/>
        <v>Green Point electrician</v>
      </c>
      <c r="V18" s="14" t="str">
        <f t="shared" si="32"/>
        <v>Green Point aircon repairs</v>
      </c>
      <c r="W18" s="14" t="str">
        <f t="shared" si="32"/>
        <v>Green Point refrigeration services</v>
      </c>
      <c r="X18" s="18" t="str">
        <f>IFERROR(__xludf.DUMMYFUNCTION("""COMPUTED_VALUE"""),"Bellville leak detection plumber")</f>
        <v>Bellville leak detection plumber</v>
      </c>
      <c r="Y18" s="4"/>
      <c r="Z18" s="4"/>
    </row>
    <row r="19">
      <c r="A19" s="13" t="s">
        <v>93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plumbers Camps Bay</v>
      </c>
      <c r="C19" s="14" t="str">
        <f t="shared" si="33"/>
        <v>plumber Camps Bay</v>
      </c>
      <c r="D19" s="14" t="str">
        <f t="shared" si="33"/>
        <v>plumbing company Camps Bay</v>
      </c>
      <c r="E19" s="14" t="str">
        <f t="shared" si="33"/>
        <v>emergency plumber Camps Bay</v>
      </c>
      <c r="F19" s="14" t="str">
        <f t="shared" si="33"/>
        <v>blocked drain plumber Camps Bay</v>
      </c>
      <c r="G19" s="14" t="str">
        <f t="shared" si="33"/>
        <v>geyser repair Camps Bay</v>
      </c>
      <c r="H19" s="14" t="str">
        <f t="shared" si="33"/>
        <v>leak detection plumber Camps Bay</v>
      </c>
      <c r="I19" s="14" t="str">
        <f t="shared" si="33"/>
        <v>electrician Camps Bay</v>
      </c>
      <c r="J19" s="14" t="str">
        <f t="shared" si="33"/>
        <v>aircon repairs Camps Bay</v>
      </c>
      <c r="K19" s="14" t="str">
        <f t="shared" si="33"/>
        <v>refrigeration services Camps Bay</v>
      </c>
      <c r="L19" s="16" t="str">
        <f>IFERROR(__xludf.DUMMYFUNCTION("""COMPUTED_VALUE"""),"aircon repairs Observatory")</f>
        <v>aircon repairs Observatory</v>
      </c>
      <c r="M19" s="17"/>
      <c r="N19" s="14" t="str">
        <f t="shared" ref="N19:W19" si="34">IF($A19="","",IF(OR(ISNUMBER(SEARCH(LOWER($A19),LOWER(N$1))),AND(RIGHT(LOWER($A19),1)="s",ISNUMBER(SEARCH(LEFT(LOWER($A19),LEN($A19)-1),LOWER(N$1))))),N$1,$A19&amp;" "&amp;N$1))</f>
        <v>Camps Bay plumbers</v>
      </c>
      <c r="O19" s="14" t="str">
        <f t="shared" si="34"/>
        <v>Camps Bay plumber</v>
      </c>
      <c r="P19" s="14" t="str">
        <f t="shared" si="34"/>
        <v>Camps Bay plumbing company</v>
      </c>
      <c r="Q19" s="14" t="str">
        <f t="shared" si="34"/>
        <v>Camps Bay emergency plumber</v>
      </c>
      <c r="R19" s="14" t="str">
        <f t="shared" si="34"/>
        <v>Camps Bay blocked drain plumber</v>
      </c>
      <c r="S19" s="14" t="str">
        <f t="shared" si="34"/>
        <v>Camps Bay geyser repair</v>
      </c>
      <c r="T19" s="14" t="str">
        <f t="shared" si="34"/>
        <v>Camps Bay leak detection plumber</v>
      </c>
      <c r="U19" s="14" t="str">
        <f t="shared" si="34"/>
        <v>Camps Bay electrician</v>
      </c>
      <c r="V19" s="14" t="str">
        <f t="shared" si="34"/>
        <v>Camps Bay aircon repairs</v>
      </c>
      <c r="W19" s="14" t="str">
        <f t="shared" si="34"/>
        <v>Camps Bay refrigeration services</v>
      </c>
      <c r="X19" s="18" t="str">
        <f>IFERROR(__xludf.DUMMYFUNCTION("""COMPUTED_VALUE"""),"Bellville plumber")</f>
        <v>Bellville plumber</v>
      </c>
      <c r="Y19" s="4"/>
      <c r="Z19" s="4"/>
    </row>
    <row r="20">
      <c r="A20" s="13" t="s">
        <v>94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plumbers Hout Bay</v>
      </c>
      <c r="C20" s="14" t="str">
        <f t="shared" si="35"/>
        <v>plumber Hout Bay</v>
      </c>
      <c r="D20" s="14" t="str">
        <f t="shared" si="35"/>
        <v>plumbing company Hout Bay</v>
      </c>
      <c r="E20" s="14" t="str">
        <f t="shared" si="35"/>
        <v>emergency plumber Hout Bay</v>
      </c>
      <c r="F20" s="14" t="str">
        <f t="shared" si="35"/>
        <v>blocked drain plumber Hout Bay</v>
      </c>
      <c r="G20" s="14" t="str">
        <f t="shared" si="35"/>
        <v>geyser repair Hout Bay</v>
      </c>
      <c r="H20" s="14" t="str">
        <f t="shared" si="35"/>
        <v>leak detection plumber Hout Bay</v>
      </c>
      <c r="I20" s="14" t="str">
        <f t="shared" si="35"/>
        <v>electrician Hout Bay</v>
      </c>
      <c r="J20" s="14" t="str">
        <f t="shared" si="35"/>
        <v>aircon repairs Hout Bay</v>
      </c>
      <c r="K20" s="14" t="str">
        <f t="shared" si="35"/>
        <v>refrigeration services Hout Bay</v>
      </c>
      <c r="L20" s="16" t="str">
        <f>IFERROR(__xludf.DUMMYFUNCTION("""COMPUTED_VALUE"""),"aircon repairs Plumstead")</f>
        <v>aircon repairs Plumstead</v>
      </c>
      <c r="M20" s="17"/>
      <c r="N20" s="14" t="str">
        <f t="shared" ref="N20:W20" si="36">IF($A20="","",IF(OR(ISNUMBER(SEARCH(LOWER($A20),LOWER(N$1))),AND(RIGHT(LOWER($A20),1)="s",ISNUMBER(SEARCH(LEFT(LOWER($A20),LEN($A20)-1),LOWER(N$1))))),N$1,$A20&amp;" "&amp;N$1))</f>
        <v>Hout Bay plumbers</v>
      </c>
      <c r="O20" s="14" t="str">
        <f t="shared" si="36"/>
        <v>Hout Bay plumber</v>
      </c>
      <c r="P20" s="14" t="str">
        <f t="shared" si="36"/>
        <v>Hout Bay plumbing company</v>
      </c>
      <c r="Q20" s="14" t="str">
        <f t="shared" si="36"/>
        <v>Hout Bay emergency plumber</v>
      </c>
      <c r="R20" s="14" t="str">
        <f t="shared" si="36"/>
        <v>Hout Bay blocked drain plumber</v>
      </c>
      <c r="S20" s="14" t="str">
        <f t="shared" si="36"/>
        <v>Hout Bay geyser repair</v>
      </c>
      <c r="T20" s="14" t="str">
        <f t="shared" si="36"/>
        <v>Hout Bay leak detection plumber</v>
      </c>
      <c r="U20" s="14" t="str">
        <f t="shared" si="36"/>
        <v>Hout Bay electrician</v>
      </c>
      <c r="V20" s="14" t="str">
        <f t="shared" si="36"/>
        <v>Hout Bay aircon repairs</v>
      </c>
      <c r="W20" s="14" t="str">
        <f t="shared" si="36"/>
        <v>Hout Bay refrigeration services</v>
      </c>
      <c r="X20" s="18" t="str">
        <f>IFERROR(__xludf.DUMMYFUNCTION("""COMPUTED_VALUE"""),"Bellville plumbers")</f>
        <v>Bellville plumbers</v>
      </c>
      <c r="Y20" s="4"/>
      <c r="Z20" s="4"/>
    </row>
    <row r="21" ht="15.75" customHeight="1">
      <c r="A21" s="13" t="s">
        <v>96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plumbers Woodstock</v>
      </c>
      <c r="C21" s="14" t="str">
        <f t="shared" si="37"/>
        <v>plumber Woodstock</v>
      </c>
      <c r="D21" s="14" t="str">
        <f t="shared" si="37"/>
        <v>plumbing company Woodstock</v>
      </c>
      <c r="E21" s="14" t="str">
        <f t="shared" si="37"/>
        <v>emergency plumber Woodstock</v>
      </c>
      <c r="F21" s="14" t="str">
        <f t="shared" si="37"/>
        <v>blocked drain plumber Woodstock</v>
      </c>
      <c r="G21" s="14" t="str">
        <f t="shared" si="37"/>
        <v>geyser repair Woodstock</v>
      </c>
      <c r="H21" s="14" t="str">
        <f t="shared" si="37"/>
        <v>leak detection plumber Woodstock</v>
      </c>
      <c r="I21" s="14" t="str">
        <f t="shared" si="37"/>
        <v>electrician Woodstock</v>
      </c>
      <c r="J21" s="14" t="str">
        <f t="shared" si="37"/>
        <v>aircon repairs Woodstock</v>
      </c>
      <c r="K21" s="14" t="str">
        <f t="shared" si="37"/>
        <v>refrigeration services Woodstock</v>
      </c>
      <c r="L21" s="16" t="str">
        <f>IFERROR(__xludf.DUMMYFUNCTION("""COMPUTED_VALUE"""),"aircon repairs Rondebosch")</f>
        <v>aircon repairs Rondebosch</v>
      </c>
      <c r="M21" s="17"/>
      <c r="N21" s="14" t="str">
        <f t="shared" ref="N21:W21" si="38">IF($A21="","",IF(OR(ISNUMBER(SEARCH(LOWER($A21),LOWER(N$1))),AND(RIGHT(LOWER($A21),1)="s",ISNUMBER(SEARCH(LEFT(LOWER($A21),LEN($A21)-1),LOWER(N$1))))),N$1,$A21&amp;" "&amp;N$1))</f>
        <v>Woodstock plumbers</v>
      </c>
      <c r="O21" s="14" t="str">
        <f t="shared" si="38"/>
        <v>Woodstock plumber</v>
      </c>
      <c r="P21" s="14" t="str">
        <f t="shared" si="38"/>
        <v>Woodstock plumbing company</v>
      </c>
      <c r="Q21" s="14" t="str">
        <f t="shared" si="38"/>
        <v>Woodstock emergency plumber</v>
      </c>
      <c r="R21" s="14" t="str">
        <f t="shared" si="38"/>
        <v>Woodstock blocked drain plumber</v>
      </c>
      <c r="S21" s="14" t="str">
        <f t="shared" si="38"/>
        <v>Woodstock geyser repair</v>
      </c>
      <c r="T21" s="14" t="str">
        <f t="shared" si="38"/>
        <v>Woodstock leak detection plumber</v>
      </c>
      <c r="U21" s="14" t="str">
        <f t="shared" si="38"/>
        <v>Woodstock electrician</v>
      </c>
      <c r="V21" s="14" t="str">
        <f t="shared" si="38"/>
        <v>Woodstock aircon repairs</v>
      </c>
      <c r="W21" s="14" t="str">
        <f t="shared" si="38"/>
        <v>Woodstock refrigeration services</v>
      </c>
      <c r="X21" s="18" t="str">
        <f>IFERROR(__xludf.DUMMYFUNCTION("""COMPUTED_VALUE"""),"Bellville plumbing company")</f>
        <v>Bellville plumbing company</v>
      </c>
      <c r="Y21" s="4"/>
      <c r="Z21" s="4"/>
    </row>
    <row r="22" ht="15.75" customHeight="1">
      <c r="A22" s="13" t="s">
        <v>98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plumbers Observatory</v>
      </c>
      <c r="C22" s="14" t="str">
        <f t="shared" si="39"/>
        <v>plumber Observatory</v>
      </c>
      <c r="D22" s="14" t="str">
        <f t="shared" si="39"/>
        <v>plumbing company Observatory</v>
      </c>
      <c r="E22" s="14" t="str">
        <f t="shared" si="39"/>
        <v>emergency plumber Observatory</v>
      </c>
      <c r="F22" s="14" t="str">
        <f t="shared" si="39"/>
        <v>blocked drain plumber Observatory</v>
      </c>
      <c r="G22" s="14" t="str">
        <f t="shared" si="39"/>
        <v>geyser repair Observatory</v>
      </c>
      <c r="H22" s="14" t="str">
        <f t="shared" si="39"/>
        <v>leak detection plumber Observatory</v>
      </c>
      <c r="I22" s="14" t="str">
        <f t="shared" si="39"/>
        <v>electrician Observatory</v>
      </c>
      <c r="J22" s="14" t="str">
        <f t="shared" si="39"/>
        <v>aircon repairs Observatory</v>
      </c>
      <c r="K22" s="14" t="str">
        <f t="shared" si="39"/>
        <v>refrigeration services Observatory</v>
      </c>
      <c r="L22" s="16" t="str">
        <f>IFERROR(__xludf.DUMMYFUNCTION("""COMPUTED_VALUE"""),"aircon repairs Sea Point")</f>
        <v>aircon repairs Sea Point</v>
      </c>
      <c r="M22" s="17"/>
      <c r="N22" s="14" t="str">
        <f t="shared" ref="N22:W22" si="40">IF($A22="","",IF(OR(ISNUMBER(SEARCH(LOWER($A22),LOWER(N$1))),AND(RIGHT(LOWER($A22),1)="s",ISNUMBER(SEARCH(LEFT(LOWER($A22),LEN($A22)-1),LOWER(N$1))))),N$1,$A22&amp;" "&amp;N$1))</f>
        <v>Observatory plumbers</v>
      </c>
      <c r="O22" s="14" t="str">
        <f t="shared" si="40"/>
        <v>Observatory plumber</v>
      </c>
      <c r="P22" s="14" t="str">
        <f t="shared" si="40"/>
        <v>Observatory plumbing company</v>
      </c>
      <c r="Q22" s="14" t="str">
        <f t="shared" si="40"/>
        <v>Observatory emergency plumber</v>
      </c>
      <c r="R22" s="14" t="str">
        <f t="shared" si="40"/>
        <v>Observatory blocked drain plumber</v>
      </c>
      <c r="S22" s="14" t="str">
        <f t="shared" si="40"/>
        <v>Observatory geyser repair</v>
      </c>
      <c r="T22" s="14" t="str">
        <f t="shared" si="40"/>
        <v>Observatory leak detection plumber</v>
      </c>
      <c r="U22" s="14" t="str">
        <f t="shared" si="40"/>
        <v>Observatory electrician</v>
      </c>
      <c r="V22" s="14" t="str">
        <f t="shared" si="40"/>
        <v>Observatory aircon repairs</v>
      </c>
      <c r="W22" s="14" t="str">
        <f t="shared" si="40"/>
        <v>Observatory refrigeration services</v>
      </c>
      <c r="X22" s="18" t="str">
        <f>IFERROR(__xludf.DUMMYFUNCTION("""COMPUTED_VALUE"""),"Bellville refrigeration services")</f>
        <v>Bellville refrigeration services</v>
      </c>
      <c r="Y22" s="4"/>
      <c r="Z22" s="4"/>
    </row>
    <row r="23" ht="15.75" customHeight="1">
      <c r="A23" s="13" t="s">
        <v>100</v>
      </c>
      <c r="B23" s="14" t="str">
        <f t="shared" ref="B23:K23" si="41">IF($A23="","",IF(OR(ISNUMBER(SEARCH(LOWER($A23),LOWER(B$1))),AND(RIGHT(LOWER($A23),1)="s",ISNUMBER(SEARCH(LEFT(LOWER($A23),LEN($A23)-1),LOWER(B$1))))),B$1,B$1&amp;" "&amp;$A23))</f>
        <v>plumbers Maitland</v>
      </c>
      <c r="C23" s="14" t="str">
        <f t="shared" si="41"/>
        <v>plumber Maitland</v>
      </c>
      <c r="D23" s="14" t="str">
        <f t="shared" si="41"/>
        <v>plumbing company Maitland</v>
      </c>
      <c r="E23" s="14" t="str">
        <f t="shared" si="41"/>
        <v>emergency plumber Maitland</v>
      </c>
      <c r="F23" s="14" t="str">
        <f t="shared" si="41"/>
        <v>blocked drain plumber Maitland</v>
      </c>
      <c r="G23" s="14" t="str">
        <f t="shared" si="41"/>
        <v>geyser repair Maitland</v>
      </c>
      <c r="H23" s="14" t="str">
        <f t="shared" si="41"/>
        <v>leak detection plumber Maitland</v>
      </c>
      <c r="I23" s="14" t="str">
        <f t="shared" si="41"/>
        <v>electrician Maitland</v>
      </c>
      <c r="J23" s="14" t="str">
        <f t="shared" si="41"/>
        <v>aircon repairs Maitland</v>
      </c>
      <c r="K23" s="14" t="str">
        <f t="shared" si="41"/>
        <v>refrigeration services Maitland</v>
      </c>
      <c r="L23" s="16" t="str">
        <f>IFERROR(__xludf.DUMMYFUNCTION("""COMPUTED_VALUE"""),"aircon repairs South Africa")</f>
        <v>aircon repairs South Africa</v>
      </c>
      <c r="M23" s="17"/>
      <c r="N23" s="14" t="str">
        <f t="shared" ref="N23:W23" si="42">IF($A23="","",IF(OR(ISNUMBER(SEARCH(LOWER($A23),LOWER(N$1))),AND(RIGHT(LOWER($A23),1)="s",ISNUMBER(SEARCH(LEFT(LOWER($A23),LEN($A23)-1),LOWER(N$1))))),N$1,$A23&amp;" "&amp;N$1))</f>
        <v>Maitland plumbers</v>
      </c>
      <c r="O23" s="14" t="str">
        <f t="shared" si="42"/>
        <v>Maitland plumber</v>
      </c>
      <c r="P23" s="14" t="str">
        <f t="shared" si="42"/>
        <v>Maitland plumbing company</v>
      </c>
      <c r="Q23" s="14" t="str">
        <f t="shared" si="42"/>
        <v>Maitland emergency plumber</v>
      </c>
      <c r="R23" s="14" t="str">
        <f t="shared" si="42"/>
        <v>Maitland blocked drain plumber</v>
      </c>
      <c r="S23" s="14" t="str">
        <f t="shared" si="42"/>
        <v>Maitland geyser repair</v>
      </c>
      <c r="T23" s="14" t="str">
        <f t="shared" si="42"/>
        <v>Maitland leak detection plumber</v>
      </c>
      <c r="U23" s="14" t="str">
        <f t="shared" si="42"/>
        <v>Maitland electrician</v>
      </c>
      <c r="V23" s="14" t="str">
        <f t="shared" si="42"/>
        <v>Maitland aircon repairs</v>
      </c>
      <c r="W23" s="14" t="str">
        <f t="shared" si="42"/>
        <v>Maitland refrigeration services</v>
      </c>
      <c r="X23" s="18" t="str">
        <f>IFERROR(__xludf.DUMMYFUNCTION("""COMPUTED_VALUE"""),"Camps Bay aircon repairs")</f>
        <v>Camps Bay aircon repairs</v>
      </c>
      <c r="Y23" s="4"/>
      <c r="Z23" s="4"/>
    </row>
    <row r="24" ht="15.75" customHeight="1">
      <c r="A24" s="13" t="s">
        <v>101</v>
      </c>
      <c r="B24" s="14" t="str">
        <f t="shared" ref="B24:K24" si="43">IF($A24="","",IF(OR(ISNUMBER(SEARCH(LOWER($A24),LOWER(B$1))),AND(RIGHT(LOWER($A24),1)="s",ISNUMBER(SEARCH(LEFT(LOWER($A24),LEN($A24)-1),LOWER(B$1))))),B$1,B$1&amp;" "&amp;$A24))</f>
        <v>plumbers Table View</v>
      </c>
      <c r="C24" s="14" t="str">
        <f t="shared" si="43"/>
        <v>plumber Table View</v>
      </c>
      <c r="D24" s="14" t="str">
        <f t="shared" si="43"/>
        <v>plumbing company Table View</v>
      </c>
      <c r="E24" s="14" t="str">
        <f t="shared" si="43"/>
        <v>emergency plumber Table View</v>
      </c>
      <c r="F24" s="14" t="str">
        <f t="shared" si="43"/>
        <v>blocked drain plumber Table View</v>
      </c>
      <c r="G24" s="14" t="str">
        <f t="shared" si="43"/>
        <v>geyser repair Table View</v>
      </c>
      <c r="H24" s="14" t="str">
        <f t="shared" si="43"/>
        <v>leak detection plumber Table View</v>
      </c>
      <c r="I24" s="14" t="str">
        <f t="shared" si="43"/>
        <v>electrician Table View</v>
      </c>
      <c r="J24" s="14" t="str">
        <f t="shared" si="43"/>
        <v>aircon repairs Table View</v>
      </c>
      <c r="K24" s="14" t="str">
        <f t="shared" si="43"/>
        <v>refrigeration services Table View</v>
      </c>
      <c r="L24" s="16" t="str">
        <f>IFERROR(__xludf.DUMMYFUNCTION("""COMPUTED_VALUE"""),"aircon repairs Southern Suburbs")</f>
        <v>aircon repairs Southern Suburbs</v>
      </c>
      <c r="M24" s="17"/>
      <c r="N24" s="14" t="str">
        <f t="shared" ref="N24:W24" si="44">IF($A24="","",IF(OR(ISNUMBER(SEARCH(LOWER($A24),LOWER(N$1))),AND(RIGHT(LOWER($A24),1)="s",ISNUMBER(SEARCH(LEFT(LOWER($A24),LEN($A24)-1),LOWER(N$1))))),N$1,$A24&amp;" "&amp;N$1))</f>
        <v>Table View plumbers</v>
      </c>
      <c r="O24" s="14" t="str">
        <f t="shared" si="44"/>
        <v>Table View plumber</v>
      </c>
      <c r="P24" s="14" t="str">
        <f t="shared" si="44"/>
        <v>Table View plumbing company</v>
      </c>
      <c r="Q24" s="14" t="str">
        <f t="shared" si="44"/>
        <v>Table View emergency plumber</v>
      </c>
      <c r="R24" s="14" t="str">
        <f t="shared" si="44"/>
        <v>Table View blocked drain plumber</v>
      </c>
      <c r="S24" s="14" t="str">
        <f t="shared" si="44"/>
        <v>Table View geyser repair</v>
      </c>
      <c r="T24" s="14" t="str">
        <f t="shared" si="44"/>
        <v>Table View leak detection plumber</v>
      </c>
      <c r="U24" s="14" t="str">
        <f t="shared" si="44"/>
        <v>Table View electrician</v>
      </c>
      <c r="V24" s="14" t="str">
        <f t="shared" si="44"/>
        <v>Table View aircon repairs</v>
      </c>
      <c r="W24" s="14" t="str">
        <f t="shared" si="44"/>
        <v>Table View refrigeration services</v>
      </c>
      <c r="X24" s="18" t="str">
        <f>IFERROR(__xludf.DUMMYFUNCTION("""COMPUTED_VALUE"""),"Camps Bay blocked drain plumber")</f>
        <v>Camps Bay blocked drain plumber</v>
      </c>
      <c r="Y24" s="4"/>
      <c r="Z24" s="4"/>
    </row>
    <row r="25" ht="15.75" customHeight="1">
      <c r="A25" s="13" t="s">
        <v>102</v>
      </c>
      <c r="B25" s="14" t="str">
        <f t="shared" ref="B25:K25" si="45">IF($A25="","",IF(OR(ISNUMBER(SEARCH(LOWER($A25),LOWER(B$1))),AND(RIGHT(LOWER($A25),1)="s",ISNUMBER(SEARCH(LEFT(LOWER($A25),LEN($A25)-1),LOWER(B$1))))),B$1,B$1&amp;" "&amp;$A25))</f>
        <v>plumbers Milnerton</v>
      </c>
      <c r="C25" s="14" t="str">
        <f t="shared" si="45"/>
        <v>plumber Milnerton</v>
      </c>
      <c r="D25" s="14" t="str">
        <f t="shared" si="45"/>
        <v>plumbing company Milnerton</v>
      </c>
      <c r="E25" s="14" t="str">
        <f t="shared" si="45"/>
        <v>emergency plumber Milnerton</v>
      </c>
      <c r="F25" s="14" t="str">
        <f t="shared" si="45"/>
        <v>blocked drain plumber Milnerton</v>
      </c>
      <c r="G25" s="14" t="str">
        <f t="shared" si="45"/>
        <v>geyser repair Milnerton</v>
      </c>
      <c r="H25" s="14" t="str">
        <f t="shared" si="45"/>
        <v>leak detection plumber Milnerton</v>
      </c>
      <c r="I25" s="14" t="str">
        <f t="shared" si="45"/>
        <v>electrician Milnerton</v>
      </c>
      <c r="J25" s="14" t="str">
        <f t="shared" si="45"/>
        <v>aircon repairs Milnerton</v>
      </c>
      <c r="K25" s="14" t="str">
        <f t="shared" si="45"/>
        <v>refrigeration services Milnerton</v>
      </c>
      <c r="L25" s="16" t="str">
        <f>IFERROR(__xludf.DUMMYFUNCTION("""COMPUTED_VALUE"""),"aircon repairs Table View")</f>
        <v>aircon repairs Table View</v>
      </c>
      <c r="M25" s="17"/>
      <c r="N25" s="14" t="str">
        <f t="shared" ref="N25:W25" si="46">IF($A25="","",IF(OR(ISNUMBER(SEARCH(LOWER($A25),LOWER(N$1))),AND(RIGHT(LOWER($A25),1)="s",ISNUMBER(SEARCH(LEFT(LOWER($A25),LEN($A25)-1),LOWER(N$1))))),N$1,$A25&amp;" "&amp;N$1))</f>
        <v>Milnerton plumbers</v>
      </c>
      <c r="O25" s="14" t="str">
        <f t="shared" si="46"/>
        <v>Milnerton plumber</v>
      </c>
      <c r="P25" s="14" t="str">
        <f t="shared" si="46"/>
        <v>Milnerton plumbing company</v>
      </c>
      <c r="Q25" s="14" t="str">
        <f t="shared" si="46"/>
        <v>Milnerton emergency plumber</v>
      </c>
      <c r="R25" s="14" t="str">
        <f t="shared" si="46"/>
        <v>Milnerton blocked drain plumber</v>
      </c>
      <c r="S25" s="14" t="str">
        <f t="shared" si="46"/>
        <v>Milnerton geyser repair</v>
      </c>
      <c r="T25" s="14" t="str">
        <f t="shared" si="46"/>
        <v>Milnerton leak detection plumber</v>
      </c>
      <c r="U25" s="14" t="str">
        <f t="shared" si="46"/>
        <v>Milnerton electrician</v>
      </c>
      <c r="V25" s="14" t="str">
        <f t="shared" si="46"/>
        <v>Milnerton aircon repairs</v>
      </c>
      <c r="W25" s="14" t="str">
        <f t="shared" si="46"/>
        <v>Milnerton refrigeration services</v>
      </c>
      <c r="X25" s="18" t="str">
        <f>IFERROR(__xludf.DUMMYFUNCTION("""COMPUTED_VALUE"""),"Camps Bay electrician")</f>
        <v>Camps Bay electrician</v>
      </c>
      <c r="Y25" s="4"/>
      <c r="Z25" s="4"/>
    </row>
    <row r="26" ht="15.75" customHeight="1">
      <c r="A26" s="13" t="s">
        <v>103</v>
      </c>
      <c r="B26" s="14" t="str">
        <f t="shared" ref="B26:K26" si="47">IF($A26="","",IF(OR(ISNUMBER(SEARCH(LOWER($A26),LOWER(B$1))),AND(RIGHT(LOWER($A26),1)="s",ISNUMBER(SEARCH(LEFT(LOWER($A26),LEN($A26)-1),LOWER(B$1))))),B$1,B$1&amp;" "&amp;$A26))</f>
        <v>plumbers Muizenberg</v>
      </c>
      <c r="C26" s="14" t="str">
        <f t="shared" si="47"/>
        <v>plumber Muizenberg</v>
      </c>
      <c r="D26" s="14" t="str">
        <f t="shared" si="47"/>
        <v>plumbing company Muizenberg</v>
      </c>
      <c r="E26" s="14" t="str">
        <f t="shared" si="47"/>
        <v>emergency plumber Muizenberg</v>
      </c>
      <c r="F26" s="14" t="str">
        <f t="shared" si="47"/>
        <v>blocked drain plumber Muizenberg</v>
      </c>
      <c r="G26" s="14" t="str">
        <f t="shared" si="47"/>
        <v>geyser repair Muizenberg</v>
      </c>
      <c r="H26" s="14" t="str">
        <f t="shared" si="47"/>
        <v>leak detection plumber Muizenberg</v>
      </c>
      <c r="I26" s="14" t="str">
        <f t="shared" si="47"/>
        <v>electrician Muizenberg</v>
      </c>
      <c r="J26" s="14" t="str">
        <f t="shared" si="47"/>
        <v>aircon repairs Muizenberg</v>
      </c>
      <c r="K26" s="14" t="str">
        <f t="shared" si="47"/>
        <v>refrigeration services Muizenberg</v>
      </c>
      <c r="L26" s="16" t="str">
        <f>IFERROR(__xludf.DUMMYFUNCTION("""COMPUTED_VALUE"""),"aircon repairs Tokai")</f>
        <v>aircon repairs Tokai</v>
      </c>
      <c r="M26" s="17"/>
      <c r="N26" s="14" t="str">
        <f t="shared" ref="N26:W26" si="48">IF($A26="","",IF(OR(ISNUMBER(SEARCH(LOWER($A26),LOWER(N$1))),AND(RIGHT(LOWER($A26),1)="s",ISNUMBER(SEARCH(LEFT(LOWER($A26),LEN($A26)-1),LOWER(N$1))))),N$1,$A26&amp;" "&amp;N$1))</f>
        <v>Muizenberg plumbers</v>
      </c>
      <c r="O26" s="14" t="str">
        <f t="shared" si="48"/>
        <v>Muizenberg plumber</v>
      </c>
      <c r="P26" s="14" t="str">
        <f t="shared" si="48"/>
        <v>Muizenberg plumbing company</v>
      </c>
      <c r="Q26" s="14" t="str">
        <f t="shared" si="48"/>
        <v>Muizenberg emergency plumber</v>
      </c>
      <c r="R26" s="14" t="str">
        <f t="shared" si="48"/>
        <v>Muizenberg blocked drain plumber</v>
      </c>
      <c r="S26" s="14" t="str">
        <f t="shared" si="48"/>
        <v>Muizenberg geyser repair</v>
      </c>
      <c r="T26" s="14" t="str">
        <f t="shared" si="48"/>
        <v>Muizenberg leak detection plumber</v>
      </c>
      <c r="U26" s="14" t="str">
        <f t="shared" si="48"/>
        <v>Muizenberg electrician</v>
      </c>
      <c r="V26" s="14" t="str">
        <f t="shared" si="48"/>
        <v>Muizenberg aircon repairs</v>
      </c>
      <c r="W26" s="14" t="str">
        <f t="shared" si="48"/>
        <v>Muizenberg refrigeration services</v>
      </c>
      <c r="X26" s="18" t="str">
        <f>IFERROR(__xludf.DUMMYFUNCTION("""COMPUTED_VALUE"""),"Camps Bay emergency plumber")</f>
        <v>Camps Bay emergency plumber</v>
      </c>
      <c r="Y26" s="4"/>
      <c r="Z26" s="4"/>
    </row>
    <row r="27" ht="15.75" customHeight="1">
      <c r="A27" s="13" t="s">
        <v>104</v>
      </c>
      <c r="B27" s="14" t="str">
        <f t="shared" ref="B27:K27" si="49">IF($A27="","",IF(OR(ISNUMBER(SEARCH(LOWER($A27),LOWER(B$1))),AND(RIGHT(LOWER($A27),1)="s",ISNUMBER(SEARCH(LEFT(LOWER($A27),LEN($A27)-1),LOWER(B$1))))),B$1,B$1&amp;" "&amp;$A27))</f>
        <v>plumbers Fish Hoek</v>
      </c>
      <c r="C27" s="14" t="str">
        <f t="shared" si="49"/>
        <v>plumber Fish Hoek</v>
      </c>
      <c r="D27" s="14" t="str">
        <f t="shared" si="49"/>
        <v>plumbing company Fish Hoek</v>
      </c>
      <c r="E27" s="14" t="str">
        <f t="shared" si="49"/>
        <v>emergency plumber Fish Hoek</v>
      </c>
      <c r="F27" s="14" t="str">
        <f t="shared" si="49"/>
        <v>blocked drain plumber Fish Hoek</v>
      </c>
      <c r="G27" s="14" t="str">
        <f t="shared" si="49"/>
        <v>geyser repair Fish Hoek</v>
      </c>
      <c r="H27" s="14" t="str">
        <f t="shared" si="49"/>
        <v>leak detection plumber Fish Hoek</v>
      </c>
      <c r="I27" s="14" t="str">
        <f t="shared" si="49"/>
        <v>electrician Fish Hoek</v>
      </c>
      <c r="J27" s="14" t="str">
        <f t="shared" si="49"/>
        <v>aircon repairs Fish Hoek</v>
      </c>
      <c r="K27" s="14" t="str">
        <f t="shared" si="49"/>
        <v>refrigeration services Fish Hoek</v>
      </c>
      <c r="L27" s="16" t="str">
        <f>IFERROR(__xludf.DUMMYFUNCTION("""COMPUTED_VALUE"""),"aircon repairs Woodstock")</f>
        <v>aircon repairs Woodstock</v>
      </c>
      <c r="M27" s="17"/>
      <c r="N27" s="14" t="str">
        <f t="shared" ref="N27:W27" si="50">IF($A27="","",IF(OR(ISNUMBER(SEARCH(LOWER($A27),LOWER(N$1))),AND(RIGHT(LOWER($A27),1)="s",ISNUMBER(SEARCH(LEFT(LOWER($A27),LEN($A27)-1),LOWER(N$1))))),N$1,$A27&amp;" "&amp;N$1))</f>
        <v>Fish Hoek plumbers</v>
      </c>
      <c r="O27" s="14" t="str">
        <f t="shared" si="50"/>
        <v>Fish Hoek plumber</v>
      </c>
      <c r="P27" s="14" t="str">
        <f t="shared" si="50"/>
        <v>Fish Hoek plumbing company</v>
      </c>
      <c r="Q27" s="14" t="str">
        <f t="shared" si="50"/>
        <v>Fish Hoek emergency plumber</v>
      </c>
      <c r="R27" s="14" t="str">
        <f t="shared" si="50"/>
        <v>Fish Hoek blocked drain plumber</v>
      </c>
      <c r="S27" s="14" t="str">
        <f t="shared" si="50"/>
        <v>Fish Hoek geyser repair</v>
      </c>
      <c r="T27" s="14" t="str">
        <f t="shared" si="50"/>
        <v>Fish Hoek leak detection plumber</v>
      </c>
      <c r="U27" s="14" t="str">
        <f t="shared" si="50"/>
        <v>Fish Hoek electrician</v>
      </c>
      <c r="V27" s="14" t="str">
        <f t="shared" si="50"/>
        <v>Fish Hoek aircon repairs</v>
      </c>
      <c r="W27" s="14" t="str">
        <f t="shared" si="50"/>
        <v>Fish Hoek refrigeration services</v>
      </c>
      <c r="X27" s="18" t="str">
        <f>IFERROR(__xludf.DUMMYFUNCTION("""COMPUTED_VALUE"""),"Camps Bay geyser repair")</f>
        <v>Camps Bay geyser repair</v>
      </c>
      <c r="Y27" s="4"/>
      <c r="Z27" s="4"/>
    </row>
    <row r="28" ht="15.75" customHeight="1">
      <c r="A28" s="13" t="s">
        <v>105</v>
      </c>
      <c r="B28" s="14" t="str">
        <f t="shared" ref="B28:K28" si="51">IF($A28="","",IF(OR(ISNUMBER(SEARCH(LOWER($A28),LOWER(B$1))),AND(RIGHT(LOWER($A28),1)="s",ISNUMBER(SEARCH(LEFT(LOWER($A28),LEN($A28)-1),LOWER(B$1))))),B$1,B$1&amp;" "&amp;$A28))</f>
        <v>plumbers South Africa</v>
      </c>
      <c r="C28" s="14" t="str">
        <f t="shared" si="51"/>
        <v>plumber South Africa</v>
      </c>
      <c r="D28" s="14" t="str">
        <f t="shared" si="51"/>
        <v>plumbing company South Africa</v>
      </c>
      <c r="E28" s="14" t="str">
        <f t="shared" si="51"/>
        <v>emergency plumber South Africa</v>
      </c>
      <c r="F28" s="14" t="str">
        <f t="shared" si="51"/>
        <v>blocked drain plumber South Africa</v>
      </c>
      <c r="G28" s="14" t="str">
        <f t="shared" si="51"/>
        <v>geyser repair South Africa</v>
      </c>
      <c r="H28" s="14" t="str">
        <f t="shared" si="51"/>
        <v>leak detection plumber South Africa</v>
      </c>
      <c r="I28" s="14" t="str">
        <f t="shared" si="51"/>
        <v>electrician South Africa</v>
      </c>
      <c r="J28" s="14" t="str">
        <f t="shared" si="51"/>
        <v>aircon repairs South Africa</v>
      </c>
      <c r="K28" s="14" t="str">
        <f t="shared" si="51"/>
        <v>refrigeration services South Africa</v>
      </c>
      <c r="L28" s="16" t="str">
        <f>IFERROR(__xludf.DUMMYFUNCTION("""COMPUTED_VALUE"""),"aircon repairs Wynberg")</f>
        <v>aircon repairs Wynberg</v>
      </c>
      <c r="M28" s="17"/>
      <c r="N28" s="14" t="str">
        <f t="shared" ref="N28:W28" si="52">IF($A28="","",IF(OR(ISNUMBER(SEARCH(LOWER($A28),LOWER(N$1))),AND(RIGHT(LOWER($A28),1)="s",ISNUMBER(SEARCH(LEFT(LOWER($A28),LEN($A28)-1),LOWER(N$1))))),N$1,$A28&amp;" "&amp;N$1))</f>
        <v>South Africa plumbers</v>
      </c>
      <c r="O28" s="14" t="str">
        <f t="shared" si="52"/>
        <v>South Africa plumber</v>
      </c>
      <c r="P28" s="14" t="str">
        <f t="shared" si="52"/>
        <v>South Africa plumbing company</v>
      </c>
      <c r="Q28" s="14" t="str">
        <f t="shared" si="52"/>
        <v>South Africa emergency plumber</v>
      </c>
      <c r="R28" s="14" t="str">
        <f t="shared" si="52"/>
        <v>South Africa blocked drain plumber</v>
      </c>
      <c r="S28" s="14" t="str">
        <f t="shared" si="52"/>
        <v>South Africa geyser repair</v>
      </c>
      <c r="T28" s="14" t="str">
        <f t="shared" si="52"/>
        <v>South Africa leak detection plumber</v>
      </c>
      <c r="U28" s="14" t="str">
        <f t="shared" si="52"/>
        <v>South Africa electrician</v>
      </c>
      <c r="V28" s="14" t="str">
        <f t="shared" si="52"/>
        <v>South Africa aircon repairs</v>
      </c>
      <c r="W28" s="14" t="str">
        <f t="shared" si="52"/>
        <v>South Africa refrigeration services</v>
      </c>
      <c r="X28" s="18" t="str">
        <f>IFERROR(__xludf.DUMMYFUNCTION("""COMPUTED_VALUE"""),"Camps Bay leak detection plumber")</f>
        <v>Camps Bay leak detection plumber</v>
      </c>
      <c r="Y28" s="4"/>
      <c r="Z28" s="4"/>
    </row>
    <row r="29" ht="15.75" customHeight="1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6" t="str">
        <f>IFERROR(__xludf.DUMMYFUNCTION("""COMPUTED_VALUE"""),"blocked drain plumber Atlantic Seaboard")</f>
        <v>blocked drain plumber Atlantic Seaboard</v>
      </c>
      <c r="M29" s="17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8" t="str">
        <f>IFERROR(__xludf.DUMMYFUNCTION("""COMPUTED_VALUE"""),"Camps Bay plumber")</f>
        <v>Camps Bay plumber</v>
      </c>
      <c r="Y29" s="4"/>
      <c r="Z29" s="4"/>
    </row>
    <row r="30" ht="15.75" customHeight="1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6" t="str">
        <f>IFERROR(__xludf.DUMMYFUNCTION("""COMPUTED_VALUE"""),"blocked drain plumber Bellville")</f>
        <v>blocked drain plumber Bellville</v>
      </c>
      <c r="M30" s="17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8" t="str">
        <f>IFERROR(__xludf.DUMMYFUNCTION("""COMPUTED_VALUE"""),"Camps Bay plumbers")</f>
        <v>Camps Bay plumbers</v>
      </c>
      <c r="Y30" s="4"/>
      <c r="Z30" s="4"/>
    </row>
    <row r="31" ht="15.75" customHeight="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6" t="str">
        <f>IFERROR(__xludf.DUMMYFUNCTION("""COMPUTED_VALUE"""),"blocked drain plumber Camps Bay")</f>
        <v>blocked drain plumber Camps Bay</v>
      </c>
      <c r="M31" s="17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8" t="str">
        <f>IFERROR(__xludf.DUMMYFUNCTION("""COMPUTED_VALUE"""),"Camps Bay plumbing company")</f>
        <v>Camps Bay plumbing company</v>
      </c>
      <c r="Y31" s="4"/>
      <c r="Z31" s="4"/>
    </row>
    <row r="32" ht="15.75" customHeight="1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6" t="str">
        <f>IFERROR(__xludf.DUMMYFUNCTION("""COMPUTED_VALUE"""),"blocked drain plumber Cape Town")</f>
        <v>blocked drain plumber Cape Town</v>
      </c>
      <c r="M32" s="17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8" t="str">
        <f>IFERROR(__xludf.DUMMYFUNCTION("""COMPUTED_VALUE"""),"Camps Bay refrigeration services")</f>
        <v>Camps Bay refrigeration services</v>
      </c>
      <c r="Y32" s="4"/>
      <c r="Z32" s="4"/>
    </row>
    <row r="33" ht="15.75" customHeight="1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6" t="str">
        <f>IFERROR(__xludf.DUMMYFUNCTION("""COMPUTED_VALUE"""),"blocked drain plumber Cape Town CBD")</f>
        <v>blocked drain plumber Cape Town CBD</v>
      </c>
      <c r="M33" s="17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8" t="str">
        <f>IFERROR(__xludf.DUMMYFUNCTION("""COMPUTED_VALUE"""),"Cape Town aircon repairs")</f>
        <v>Cape Town aircon repairs</v>
      </c>
      <c r="Y33" s="4"/>
      <c r="Z33" s="4"/>
    </row>
    <row r="34" ht="15.75" customHeight="1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6" t="str">
        <f>IFERROR(__xludf.DUMMYFUNCTION("""COMPUTED_VALUE"""),"blocked drain plumber Claremont")</f>
        <v>blocked drain plumber Claremont</v>
      </c>
      <c r="M34" s="17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8" t="str">
        <f>IFERROR(__xludf.DUMMYFUNCTION("""COMPUTED_VALUE"""),"Cape Town blocked drain plumber")</f>
        <v>Cape Town blocked drain plumber</v>
      </c>
      <c r="Y34" s="4"/>
      <c r="Z34" s="4"/>
    </row>
    <row r="35" ht="15.75" customHeight="1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6" t="str">
        <f>IFERROR(__xludf.DUMMYFUNCTION("""COMPUTED_VALUE"""),"blocked drain plumber Constantia")</f>
        <v>blocked drain plumber Constantia</v>
      </c>
      <c r="M35" s="17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8" t="str">
        <f>IFERROR(__xludf.DUMMYFUNCTION("""COMPUTED_VALUE"""),"Cape Town CBD aircon repairs")</f>
        <v>Cape Town CBD aircon repairs</v>
      </c>
      <c r="Y35" s="4"/>
      <c r="Z35" s="4"/>
    </row>
    <row r="36" ht="15.75" customHeight="1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6" t="str">
        <f>IFERROR(__xludf.DUMMYFUNCTION("""COMPUTED_VALUE"""),"blocked drain plumber Durbanville")</f>
        <v>blocked drain plumber Durbanville</v>
      </c>
      <c r="M36" s="17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8" t="str">
        <f>IFERROR(__xludf.DUMMYFUNCTION("""COMPUTED_VALUE"""),"Cape Town CBD blocked drain plumber")</f>
        <v>Cape Town CBD blocked drain plumber</v>
      </c>
      <c r="Y36" s="4"/>
      <c r="Z36" s="4"/>
    </row>
    <row r="37" ht="15.75" customHeight="1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6" t="str">
        <f>IFERROR(__xludf.DUMMYFUNCTION("""COMPUTED_VALUE"""),"blocked drain plumber Fish Hoek")</f>
        <v>blocked drain plumber Fish Hoek</v>
      </c>
      <c r="M37" s="17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8" t="str">
        <f>IFERROR(__xludf.DUMMYFUNCTION("""COMPUTED_VALUE"""),"Cape Town CBD electrician")</f>
        <v>Cape Town CBD electrician</v>
      </c>
      <c r="Y37" s="4"/>
      <c r="Z37" s="4"/>
    </row>
    <row r="38" ht="15.75" customHeight="1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6" t="str">
        <f>IFERROR(__xludf.DUMMYFUNCTION("""COMPUTED_VALUE"""),"blocked drain plumber Green Point")</f>
        <v>blocked drain plumber Green Point</v>
      </c>
      <c r="M38" s="17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8" t="str">
        <f>IFERROR(__xludf.DUMMYFUNCTION("""COMPUTED_VALUE"""),"Cape Town CBD emergency plumber")</f>
        <v>Cape Town CBD emergency plumber</v>
      </c>
      <c r="Y38" s="4"/>
      <c r="Z38" s="4"/>
    </row>
    <row r="39" ht="15.75" customHeight="1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6" t="str">
        <f>IFERROR(__xludf.DUMMYFUNCTION("""COMPUTED_VALUE"""),"blocked drain plumber Hout Bay")</f>
        <v>blocked drain plumber Hout Bay</v>
      </c>
      <c r="M39" s="17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8" t="str">
        <f>IFERROR(__xludf.DUMMYFUNCTION("""COMPUTED_VALUE"""),"Cape Town CBD geyser repair")</f>
        <v>Cape Town CBD geyser repair</v>
      </c>
      <c r="Y39" s="4"/>
      <c r="Z39" s="4"/>
    </row>
    <row r="40" ht="15.75" customHeight="1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6" t="str">
        <f>IFERROR(__xludf.DUMMYFUNCTION("""COMPUTED_VALUE"""),"blocked drain plumber Maitland")</f>
        <v>blocked drain plumber Maitland</v>
      </c>
      <c r="M40" s="17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8" t="str">
        <f>IFERROR(__xludf.DUMMYFUNCTION("""COMPUTED_VALUE"""),"Cape Town CBD leak detection plumber")</f>
        <v>Cape Town CBD leak detection plumber</v>
      </c>
      <c r="Y40" s="4"/>
      <c r="Z40" s="4"/>
    </row>
    <row r="41" ht="15.75" customHeight="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6" t="str">
        <f>IFERROR(__xludf.DUMMYFUNCTION("""COMPUTED_VALUE"""),"blocked drain plumber Milnerton")</f>
        <v>blocked drain plumber Milnerton</v>
      </c>
      <c r="M41" s="17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8" t="str">
        <f>IFERROR(__xludf.DUMMYFUNCTION("""COMPUTED_VALUE"""),"Cape Town CBD plumber")</f>
        <v>Cape Town CBD plumber</v>
      </c>
      <c r="Y41" s="4"/>
      <c r="Z41" s="4"/>
    </row>
    <row r="42" ht="15.75" customHeight="1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6" t="str">
        <f>IFERROR(__xludf.DUMMYFUNCTION("""COMPUTED_VALUE"""),"blocked drain plumber Muizenberg")</f>
        <v>blocked drain plumber Muizenberg</v>
      </c>
      <c r="M42" s="17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8" t="str">
        <f>IFERROR(__xludf.DUMMYFUNCTION("""COMPUTED_VALUE"""),"Cape Town CBD plumbers")</f>
        <v>Cape Town CBD plumbers</v>
      </c>
      <c r="Y42" s="4"/>
      <c r="Z42" s="4"/>
    </row>
    <row r="43" ht="15.75" customHeight="1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6" t="str">
        <f>IFERROR(__xludf.DUMMYFUNCTION("""COMPUTED_VALUE"""),"blocked drain plumber Newlands")</f>
        <v>blocked drain plumber Newlands</v>
      </c>
      <c r="M43" s="17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8" t="str">
        <f>IFERROR(__xludf.DUMMYFUNCTION("""COMPUTED_VALUE"""),"Cape Town CBD plumbing company")</f>
        <v>Cape Town CBD plumbing company</v>
      </c>
      <c r="Y43" s="4"/>
      <c r="Z43" s="4"/>
    </row>
    <row r="44" ht="15.75" customHeight="1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6" t="str">
        <f>IFERROR(__xludf.DUMMYFUNCTION("""COMPUTED_VALUE"""),"blocked drain plumber Northern Suburbs")</f>
        <v>blocked drain plumber Northern Suburbs</v>
      </c>
      <c r="M44" s="17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8" t="str">
        <f>IFERROR(__xludf.DUMMYFUNCTION("""COMPUTED_VALUE"""),"Cape Town CBD refrigeration services")</f>
        <v>Cape Town CBD refrigeration services</v>
      </c>
      <c r="Y44" s="4"/>
      <c r="Z44" s="4"/>
    </row>
    <row r="45" ht="15.75" customHeight="1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6" t="str">
        <f>IFERROR(__xludf.DUMMYFUNCTION("""COMPUTED_VALUE"""),"blocked drain plumber Observatory")</f>
        <v>blocked drain plumber Observatory</v>
      </c>
      <c r="M45" s="17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8" t="str">
        <f>IFERROR(__xludf.DUMMYFUNCTION("""COMPUTED_VALUE"""),"Cape Town electrician")</f>
        <v>Cape Town electrician</v>
      </c>
      <c r="Y45" s="4"/>
      <c r="Z45" s="4"/>
    </row>
    <row r="46" ht="15.75" customHeight="1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6" t="str">
        <f>IFERROR(__xludf.DUMMYFUNCTION("""COMPUTED_VALUE"""),"blocked drain plumber Plumstead")</f>
        <v>blocked drain plumber Plumstead</v>
      </c>
      <c r="M46" s="17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8" t="str">
        <f>IFERROR(__xludf.DUMMYFUNCTION("""COMPUTED_VALUE"""),"Cape Town emergency plumber")</f>
        <v>Cape Town emergency plumber</v>
      </c>
      <c r="Y46" s="4"/>
      <c r="Z46" s="4"/>
    </row>
    <row r="47" ht="15.75" customHeight="1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6" t="str">
        <f>IFERROR(__xludf.DUMMYFUNCTION("""COMPUTED_VALUE"""),"blocked drain plumber Rondebosch")</f>
        <v>blocked drain plumber Rondebosch</v>
      </c>
      <c r="M47" s="17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8" t="str">
        <f>IFERROR(__xludf.DUMMYFUNCTION("""COMPUTED_VALUE"""),"Cape Town geyser repair")</f>
        <v>Cape Town geyser repair</v>
      </c>
      <c r="Y47" s="4"/>
      <c r="Z47" s="4"/>
    </row>
    <row r="48" ht="15.75" customHeight="1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6" t="str">
        <f>IFERROR(__xludf.DUMMYFUNCTION("""COMPUTED_VALUE"""),"blocked drain plumber Sea Point")</f>
        <v>blocked drain plumber Sea Point</v>
      </c>
      <c r="M48" s="17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8" t="str">
        <f>IFERROR(__xludf.DUMMYFUNCTION("""COMPUTED_VALUE"""),"Cape Town leak detection plumber")</f>
        <v>Cape Town leak detection plumber</v>
      </c>
      <c r="Y48" s="4"/>
      <c r="Z48" s="4"/>
    </row>
    <row r="49" ht="15.75" customHeight="1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6" t="str">
        <f>IFERROR(__xludf.DUMMYFUNCTION("""COMPUTED_VALUE"""),"blocked drain plumber South Africa")</f>
        <v>blocked drain plumber South Africa</v>
      </c>
      <c r="M49" s="17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8" t="str">
        <f>IFERROR(__xludf.DUMMYFUNCTION("""COMPUTED_VALUE"""),"Cape Town plumber")</f>
        <v>Cape Town plumber</v>
      </c>
      <c r="Y49" s="4"/>
      <c r="Z49" s="4"/>
    </row>
    <row r="50" ht="15.75" customHeight="1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6" t="str">
        <f>IFERROR(__xludf.DUMMYFUNCTION("""COMPUTED_VALUE"""),"blocked drain plumber Southern Suburbs")</f>
        <v>blocked drain plumber Southern Suburbs</v>
      </c>
      <c r="M50" s="17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8" t="str">
        <f>IFERROR(__xludf.DUMMYFUNCTION("""COMPUTED_VALUE"""),"Cape Town plumbers")</f>
        <v>Cape Town plumbers</v>
      </c>
      <c r="Y50" s="4"/>
      <c r="Z50" s="4"/>
    </row>
    <row r="51" ht="15.75" customHeight="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6" t="str">
        <f>IFERROR(__xludf.DUMMYFUNCTION("""COMPUTED_VALUE"""),"blocked drain plumber Table View")</f>
        <v>blocked drain plumber Table View</v>
      </c>
      <c r="M51" s="17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8" t="str">
        <f>IFERROR(__xludf.DUMMYFUNCTION("""COMPUTED_VALUE"""),"Cape Town plumbing company")</f>
        <v>Cape Town plumbing company</v>
      </c>
      <c r="Y51" s="4"/>
      <c r="Z51" s="4"/>
    </row>
    <row r="52" ht="15.75" customHeight="1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6" t="str">
        <f>IFERROR(__xludf.DUMMYFUNCTION("""COMPUTED_VALUE"""),"blocked drain plumber Tokai")</f>
        <v>blocked drain plumber Tokai</v>
      </c>
      <c r="M52" s="17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8" t="str">
        <f>IFERROR(__xludf.DUMMYFUNCTION("""COMPUTED_VALUE"""),"Cape Town refrigeration services")</f>
        <v>Cape Town refrigeration services</v>
      </c>
      <c r="Y52" s="4"/>
      <c r="Z52" s="4"/>
    </row>
    <row r="53" ht="15.75" customHeight="1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6" t="str">
        <f>IFERROR(__xludf.DUMMYFUNCTION("""COMPUTED_VALUE"""),"blocked drain plumber Woodstock")</f>
        <v>blocked drain plumber Woodstock</v>
      </c>
      <c r="M53" s="17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8" t="str">
        <f>IFERROR(__xludf.DUMMYFUNCTION("""COMPUTED_VALUE"""),"Claremont aircon repairs")</f>
        <v>Claremont aircon repairs</v>
      </c>
      <c r="Y53" s="4"/>
      <c r="Z53" s="4"/>
    </row>
    <row r="54" ht="15.75" customHeight="1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6" t="str">
        <f>IFERROR(__xludf.DUMMYFUNCTION("""COMPUTED_VALUE"""),"blocked drain plumber Wynberg")</f>
        <v>blocked drain plumber Wynberg</v>
      </c>
      <c r="M54" s="17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8" t="str">
        <f>IFERROR(__xludf.DUMMYFUNCTION("""COMPUTED_VALUE"""),"Claremont blocked drain plumber")</f>
        <v>Claremont blocked drain plumber</v>
      </c>
      <c r="Y54" s="4"/>
      <c r="Z54" s="4"/>
    </row>
    <row r="55" ht="15.75" customHeight="1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6" t="str">
        <f>IFERROR(__xludf.DUMMYFUNCTION("""COMPUTED_VALUE"""),"electrician Atlantic Seaboard")</f>
        <v>electrician Atlantic Seaboard</v>
      </c>
      <c r="M55" s="17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8" t="str">
        <f>IFERROR(__xludf.DUMMYFUNCTION("""COMPUTED_VALUE"""),"Claremont electrician")</f>
        <v>Claremont electrician</v>
      </c>
      <c r="Y55" s="4"/>
      <c r="Z55" s="4"/>
    </row>
    <row r="56" ht="15.75" customHeight="1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6" t="str">
        <f>IFERROR(__xludf.DUMMYFUNCTION("""COMPUTED_VALUE"""),"electrician Bellville")</f>
        <v>electrician Bellville</v>
      </c>
      <c r="M56" s="17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8" t="str">
        <f>IFERROR(__xludf.DUMMYFUNCTION("""COMPUTED_VALUE"""),"Claremont emergency plumber")</f>
        <v>Claremont emergency plumber</v>
      </c>
      <c r="Y56" s="4"/>
      <c r="Z56" s="4"/>
    </row>
    <row r="57" ht="15.75" customHeight="1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6" t="str">
        <f>IFERROR(__xludf.DUMMYFUNCTION("""COMPUTED_VALUE"""),"electrician Camps Bay")</f>
        <v>electrician Camps Bay</v>
      </c>
      <c r="M57" s="17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8" t="str">
        <f>IFERROR(__xludf.DUMMYFUNCTION("""COMPUTED_VALUE"""),"Claremont geyser repair")</f>
        <v>Claremont geyser repair</v>
      </c>
      <c r="Y57" s="4"/>
      <c r="Z57" s="4"/>
    </row>
    <row r="58" ht="15.75" customHeight="1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6" t="str">
        <f>IFERROR(__xludf.DUMMYFUNCTION("""COMPUTED_VALUE"""),"electrician Cape Town")</f>
        <v>electrician Cape Town</v>
      </c>
      <c r="M58" s="17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8" t="str">
        <f>IFERROR(__xludf.DUMMYFUNCTION("""COMPUTED_VALUE"""),"Claremont leak detection plumber")</f>
        <v>Claremont leak detection plumber</v>
      </c>
      <c r="Y58" s="4"/>
      <c r="Z58" s="4"/>
    </row>
    <row r="59" ht="15.75" customHeight="1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6" t="str">
        <f>IFERROR(__xludf.DUMMYFUNCTION("""COMPUTED_VALUE"""),"electrician Cape Town CBD")</f>
        <v>electrician Cape Town CBD</v>
      </c>
      <c r="M59" s="17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8" t="str">
        <f>IFERROR(__xludf.DUMMYFUNCTION("""COMPUTED_VALUE"""),"Claremont plumber")</f>
        <v>Claremont plumber</v>
      </c>
      <c r="Y59" s="4"/>
      <c r="Z59" s="4"/>
    </row>
    <row r="60" ht="15.75" customHeight="1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6" t="str">
        <f>IFERROR(__xludf.DUMMYFUNCTION("""COMPUTED_VALUE"""),"electrician Claremont")</f>
        <v>electrician Claremont</v>
      </c>
      <c r="M60" s="17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8" t="str">
        <f>IFERROR(__xludf.DUMMYFUNCTION("""COMPUTED_VALUE"""),"Claremont plumbers")</f>
        <v>Claremont plumbers</v>
      </c>
      <c r="Y60" s="4"/>
      <c r="Z60" s="4"/>
    </row>
    <row r="61" ht="15.75" customHeight="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6" t="str">
        <f>IFERROR(__xludf.DUMMYFUNCTION("""COMPUTED_VALUE"""),"electrician Constantia")</f>
        <v>electrician Constantia</v>
      </c>
      <c r="M61" s="17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8" t="str">
        <f>IFERROR(__xludf.DUMMYFUNCTION("""COMPUTED_VALUE"""),"Claremont plumbing company")</f>
        <v>Claremont plumbing company</v>
      </c>
      <c r="Y61" s="4"/>
      <c r="Z61" s="4"/>
    </row>
    <row r="62" ht="15.75" customHeight="1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6" t="str">
        <f>IFERROR(__xludf.DUMMYFUNCTION("""COMPUTED_VALUE"""),"electrician Durbanville")</f>
        <v>electrician Durbanville</v>
      </c>
      <c r="M62" s="17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8" t="str">
        <f>IFERROR(__xludf.DUMMYFUNCTION("""COMPUTED_VALUE"""),"Claremont refrigeration services")</f>
        <v>Claremont refrigeration services</v>
      </c>
      <c r="Y62" s="4"/>
      <c r="Z62" s="4"/>
    </row>
    <row r="63" ht="15.75" customHeight="1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6" t="str">
        <f>IFERROR(__xludf.DUMMYFUNCTION("""COMPUTED_VALUE"""),"electrician Fish Hoek")</f>
        <v>electrician Fish Hoek</v>
      </c>
      <c r="M63" s="17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8" t="str">
        <f>IFERROR(__xludf.DUMMYFUNCTION("""COMPUTED_VALUE"""),"Constantia aircon repairs")</f>
        <v>Constantia aircon repairs</v>
      </c>
      <c r="Y63" s="4"/>
      <c r="Z63" s="4"/>
    </row>
    <row r="64" ht="15.75" customHeight="1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6" t="str">
        <f>IFERROR(__xludf.DUMMYFUNCTION("""COMPUTED_VALUE"""),"electrician Green Point")</f>
        <v>electrician Green Point</v>
      </c>
      <c r="M64" s="17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8" t="str">
        <f>IFERROR(__xludf.DUMMYFUNCTION("""COMPUTED_VALUE"""),"Constantia blocked drain plumber")</f>
        <v>Constantia blocked drain plumber</v>
      </c>
      <c r="Y64" s="4"/>
      <c r="Z64" s="4"/>
    </row>
    <row r="65" ht="15.75" customHeight="1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6" t="str">
        <f>IFERROR(__xludf.DUMMYFUNCTION("""COMPUTED_VALUE"""),"electrician Hout Bay")</f>
        <v>electrician Hout Bay</v>
      </c>
      <c r="M65" s="17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8" t="str">
        <f>IFERROR(__xludf.DUMMYFUNCTION("""COMPUTED_VALUE"""),"Constantia electrician")</f>
        <v>Constantia electrician</v>
      </c>
      <c r="Y65" s="4"/>
      <c r="Z65" s="4"/>
    </row>
    <row r="66" ht="15.75" customHeight="1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6" t="str">
        <f>IFERROR(__xludf.DUMMYFUNCTION("""COMPUTED_VALUE"""),"electrician Maitland")</f>
        <v>electrician Maitland</v>
      </c>
      <c r="M66" s="17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8" t="str">
        <f>IFERROR(__xludf.DUMMYFUNCTION("""COMPUTED_VALUE"""),"Constantia emergency plumber")</f>
        <v>Constantia emergency plumber</v>
      </c>
      <c r="Y66" s="4"/>
      <c r="Z66" s="4"/>
    </row>
    <row r="67" ht="15.75" customHeight="1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6" t="str">
        <f>IFERROR(__xludf.DUMMYFUNCTION("""COMPUTED_VALUE"""),"electrician Milnerton")</f>
        <v>electrician Milnerton</v>
      </c>
      <c r="M67" s="17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8" t="str">
        <f>IFERROR(__xludf.DUMMYFUNCTION("""COMPUTED_VALUE"""),"Constantia geyser repair")</f>
        <v>Constantia geyser repair</v>
      </c>
      <c r="Y67" s="4"/>
      <c r="Z67" s="4"/>
    </row>
    <row r="68" ht="15.75" customHeight="1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6" t="str">
        <f>IFERROR(__xludf.DUMMYFUNCTION("""COMPUTED_VALUE"""),"electrician Muizenberg")</f>
        <v>electrician Muizenberg</v>
      </c>
      <c r="M68" s="17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8" t="str">
        <f>IFERROR(__xludf.DUMMYFUNCTION("""COMPUTED_VALUE"""),"Constantia leak detection plumber")</f>
        <v>Constantia leak detection plumber</v>
      </c>
      <c r="Y68" s="4"/>
      <c r="Z68" s="4"/>
    </row>
    <row r="69" ht="15.75" customHeight="1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6" t="str">
        <f>IFERROR(__xludf.DUMMYFUNCTION("""COMPUTED_VALUE"""),"electrician Newlands")</f>
        <v>electrician Newlands</v>
      </c>
      <c r="M69" s="17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8" t="str">
        <f>IFERROR(__xludf.DUMMYFUNCTION("""COMPUTED_VALUE"""),"Constantia plumber")</f>
        <v>Constantia plumber</v>
      </c>
      <c r="Y69" s="4"/>
      <c r="Z69" s="4"/>
    </row>
    <row r="70" ht="15.75" customHeight="1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6" t="str">
        <f>IFERROR(__xludf.DUMMYFUNCTION("""COMPUTED_VALUE"""),"electrician Northern Suburbs")</f>
        <v>electrician Northern Suburbs</v>
      </c>
      <c r="M70" s="17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8" t="str">
        <f>IFERROR(__xludf.DUMMYFUNCTION("""COMPUTED_VALUE"""),"Constantia plumbers")</f>
        <v>Constantia plumbers</v>
      </c>
      <c r="Y70" s="4"/>
      <c r="Z70" s="4"/>
    </row>
    <row r="71" ht="15.75" customHeight="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6" t="str">
        <f>IFERROR(__xludf.DUMMYFUNCTION("""COMPUTED_VALUE"""),"electrician Observatory")</f>
        <v>electrician Observatory</v>
      </c>
      <c r="M71" s="17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8" t="str">
        <f>IFERROR(__xludf.DUMMYFUNCTION("""COMPUTED_VALUE"""),"Constantia plumbing company")</f>
        <v>Constantia plumbing company</v>
      </c>
      <c r="Y71" s="4"/>
      <c r="Z71" s="4"/>
    </row>
    <row r="72" ht="15.75" customHeight="1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6" t="str">
        <f>IFERROR(__xludf.DUMMYFUNCTION("""COMPUTED_VALUE"""),"electrician Plumstead")</f>
        <v>electrician Plumstead</v>
      </c>
      <c r="M72" s="17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8" t="str">
        <f>IFERROR(__xludf.DUMMYFUNCTION("""COMPUTED_VALUE"""),"Constantia refrigeration services")</f>
        <v>Constantia refrigeration services</v>
      </c>
      <c r="Y72" s="4"/>
      <c r="Z72" s="4"/>
    </row>
    <row r="73" ht="15.75" customHeight="1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6" t="str">
        <f>IFERROR(__xludf.DUMMYFUNCTION("""COMPUTED_VALUE"""),"electrician Rondebosch")</f>
        <v>electrician Rondebosch</v>
      </c>
      <c r="M73" s="17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8" t="str">
        <f>IFERROR(__xludf.DUMMYFUNCTION("""COMPUTED_VALUE"""),"Durbanville aircon repairs")</f>
        <v>Durbanville aircon repairs</v>
      </c>
      <c r="Y73" s="4"/>
      <c r="Z73" s="4"/>
    </row>
    <row r="74" ht="15.75" customHeight="1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6" t="str">
        <f>IFERROR(__xludf.DUMMYFUNCTION("""COMPUTED_VALUE"""),"electrician Sea Point")</f>
        <v>electrician Sea Point</v>
      </c>
      <c r="M74" s="17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8" t="str">
        <f>IFERROR(__xludf.DUMMYFUNCTION("""COMPUTED_VALUE"""),"Durbanville blocked drain plumber")</f>
        <v>Durbanville blocked drain plumber</v>
      </c>
      <c r="Y74" s="4"/>
      <c r="Z74" s="4"/>
    </row>
    <row r="75" ht="15.75" customHeight="1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6" t="str">
        <f>IFERROR(__xludf.DUMMYFUNCTION("""COMPUTED_VALUE"""),"electrician South Africa")</f>
        <v>electrician South Africa</v>
      </c>
      <c r="M75" s="17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8" t="str">
        <f>IFERROR(__xludf.DUMMYFUNCTION("""COMPUTED_VALUE"""),"Durbanville electrician")</f>
        <v>Durbanville electrician</v>
      </c>
      <c r="Y75" s="4"/>
      <c r="Z75" s="4"/>
    </row>
    <row r="76" ht="15.75" customHeight="1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6" t="str">
        <f>IFERROR(__xludf.DUMMYFUNCTION("""COMPUTED_VALUE"""),"electrician Southern Suburbs")</f>
        <v>electrician Southern Suburbs</v>
      </c>
      <c r="M76" s="17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8" t="str">
        <f>IFERROR(__xludf.DUMMYFUNCTION("""COMPUTED_VALUE"""),"Durbanville emergency plumber")</f>
        <v>Durbanville emergency plumber</v>
      </c>
      <c r="Y76" s="4"/>
      <c r="Z76" s="4"/>
    </row>
    <row r="77" ht="15.75" customHeight="1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6" t="str">
        <f>IFERROR(__xludf.DUMMYFUNCTION("""COMPUTED_VALUE"""),"electrician Table View")</f>
        <v>electrician Table View</v>
      </c>
      <c r="M77" s="17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8" t="str">
        <f>IFERROR(__xludf.DUMMYFUNCTION("""COMPUTED_VALUE"""),"Durbanville geyser repair")</f>
        <v>Durbanville geyser repair</v>
      </c>
      <c r="Y77" s="4"/>
      <c r="Z77" s="4"/>
    </row>
    <row r="78" ht="15.75" customHeight="1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6" t="str">
        <f>IFERROR(__xludf.DUMMYFUNCTION("""COMPUTED_VALUE"""),"electrician Tokai")</f>
        <v>electrician Tokai</v>
      </c>
      <c r="M78" s="17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8" t="str">
        <f>IFERROR(__xludf.DUMMYFUNCTION("""COMPUTED_VALUE"""),"Durbanville leak detection plumber")</f>
        <v>Durbanville leak detection plumber</v>
      </c>
      <c r="Y78" s="4"/>
      <c r="Z78" s="4"/>
    </row>
    <row r="79" ht="15.75" customHeight="1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6" t="str">
        <f>IFERROR(__xludf.DUMMYFUNCTION("""COMPUTED_VALUE"""),"electrician Woodstock")</f>
        <v>electrician Woodstock</v>
      </c>
      <c r="M79" s="17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8" t="str">
        <f>IFERROR(__xludf.DUMMYFUNCTION("""COMPUTED_VALUE"""),"Durbanville plumber")</f>
        <v>Durbanville plumber</v>
      </c>
      <c r="Y79" s="4"/>
      <c r="Z79" s="4"/>
    </row>
    <row r="80" ht="15.75" customHeight="1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6" t="str">
        <f>IFERROR(__xludf.DUMMYFUNCTION("""COMPUTED_VALUE"""),"electrician Wynberg")</f>
        <v>electrician Wynberg</v>
      </c>
      <c r="M80" s="17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8" t="str">
        <f>IFERROR(__xludf.DUMMYFUNCTION("""COMPUTED_VALUE"""),"Durbanville plumbers")</f>
        <v>Durbanville plumbers</v>
      </c>
      <c r="Y80" s="4"/>
      <c r="Z80" s="4"/>
    </row>
    <row r="81" ht="15.75" customHeight="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6" t="str">
        <f>IFERROR(__xludf.DUMMYFUNCTION("""COMPUTED_VALUE"""),"emergency plumber Atlantic Seaboard")</f>
        <v>emergency plumber Atlantic Seaboard</v>
      </c>
      <c r="M81" s="17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8" t="str">
        <f>IFERROR(__xludf.DUMMYFUNCTION("""COMPUTED_VALUE"""),"Durbanville plumbing company")</f>
        <v>Durbanville plumbing company</v>
      </c>
      <c r="Y81" s="4"/>
      <c r="Z81" s="4"/>
    </row>
    <row r="82" ht="15.75" customHeight="1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6" t="str">
        <f>IFERROR(__xludf.DUMMYFUNCTION("""COMPUTED_VALUE"""),"emergency plumber Bellville")</f>
        <v>emergency plumber Bellville</v>
      </c>
      <c r="M82" s="17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8" t="str">
        <f>IFERROR(__xludf.DUMMYFUNCTION("""COMPUTED_VALUE"""),"Durbanville refrigeration services")</f>
        <v>Durbanville refrigeration services</v>
      </c>
      <c r="Y82" s="4"/>
      <c r="Z82" s="4"/>
    </row>
    <row r="83" ht="15.7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6" t="str">
        <f>IFERROR(__xludf.DUMMYFUNCTION("""COMPUTED_VALUE"""),"emergency plumber Camps Bay")</f>
        <v>emergency plumber Camps Bay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8" t="str">
        <f>IFERROR(__xludf.DUMMYFUNCTION("""COMPUTED_VALUE"""),"Fish Hoek aircon repairs")</f>
        <v>Fish Hoek aircon repairs</v>
      </c>
      <c r="Y83" s="4"/>
      <c r="Z83" s="4"/>
    </row>
    <row r="84" ht="15.7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 t="str">
        <f>IFERROR(__xludf.DUMMYFUNCTION("""COMPUTED_VALUE"""),"emergency plumber Cape Town")</f>
        <v>emergency plumber Cape Town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8" t="str">
        <f>IFERROR(__xludf.DUMMYFUNCTION("""COMPUTED_VALUE"""),"Fish Hoek blocked drain plumber")</f>
        <v>Fish Hoek blocked drain plumber</v>
      </c>
      <c r="Y84" s="4"/>
      <c r="Z84" s="4"/>
    </row>
    <row r="85" ht="15.7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6" t="str">
        <f>IFERROR(__xludf.DUMMYFUNCTION("""COMPUTED_VALUE"""),"emergency plumber Cape Town CBD")</f>
        <v>emergency plumber Cape Town CBD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8" t="str">
        <f>IFERROR(__xludf.DUMMYFUNCTION("""COMPUTED_VALUE"""),"Fish Hoek electrician")</f>
        <v>Fish Hoek electrician</v>
      </c>
      <c r="Y85" s="4"/>
      <c r="Z85" s="4"/>
    </row>
    <row r="86" ht="15.7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 t="str">
        <f>IFERROR(__xludf.DUMMYFUNCTION("""COMPUTED_VALUE"""),"emergency plumber Claremont")</f>
        <v>emergency plumber Claremont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8" t="str">
        <f>IFERROR(__xludf.DUMMYFUNCTION("""COMPUTED_VALUE"""),"Fish Hoek emergency plumber")</f>
        <v>Fish Hoek emergency plumber</v>
      </c>
      <c r="Y86" s="4"/>
      <c r="Z86" s="4"/>
    </row>
    <row r="87" ht="15.7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 t="str">
        <f>IFERROR(__xludf.DUMMYFUNCTION("""COMPUTED_VALUE"""),"emergency plumber Constantia")</f>
        <v>emergency plumber Constantia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8" t="str">
        <f>IFERROR(__xludf.DUMMYFUNCTION("""COMPUTED_VALUE"""),"Fish Hoek geyser repair")</f>
        <v>Fish Hoek geyser repair</v>
      </c>
      <c r="Y87" s="4"/>
      <c r="Z87" s="4"/>
    </row>
    <row r="88" ht="15.7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 t="str">
        <f>IFERROR(__xludf.DUMMYFUNCTION("""COMPUTED_VALUE"""),"emergency plumber Durbanville")</f>
        <v>emergency plumber Durbanville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8" t="str">
        <f>IFERROR(__xludf.DUMMYFUNCTION("""COMPUTED_VALUE"""),"Fish Hoek leak detection plumber")</f>
        <v>Fish Hoek leak detection plumber</v>
      </c>
      <c r="Y88" s="4"/>
      <c r="Z88" s="4"/>
    </row>
    <row r="89" ht="15.7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 t="str">
        <f>IFERROR(__xludf.DUMMYFUNCTION("""COMPUTED_VALUE"""),"emergency plumber Fish Hoek")</f>
        <v>emergency plumber Fish Hoek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8" t="str">
        <f>IFERROR(__xludf.DUMMYFUNCTION("""COMPUTED_VALUE"""),"Fish Hoek plumber")</f>
        <v>Fish Hoek plumber</v>
      </c>
      <c r="Y89" s="4"/>
      <c r="Z89" s="4"/>
    </row>
    <row r="90" ht="15.75" customHeight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 t="str">
        <f>IFERROR(__xludf.DUMMYFUNCTION("""COMPUTED_VALUE"""),"emergency plumber Green Point")</f>
        <v>emergency plumber Green Point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8" t="str">
        <f>IFERROR(__xludf.DUMMYFUNCTION("""COMPUTED_VALUE"""),"Fish Hoek plumbers")</f>
        <v>Fish Hoek plumbers</v>
      </c>
      <c r="Y90" s="4"/>
      <c r="Z90" s="4"/>
    </row>
    <row r="91" ht="15.75" customHeight="1">
      <c r="A91" s="1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6" t="str">
        <f>IFERROR(__xludf.DUMMYFUNCTION("""COMPUTED_VALUE"""),"emergency plumber Hout Bay")</f>
        <v>emergency plumber Hout Bay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 t="str">
        <f>IFERROR(__xludf.DUMMYFUNCTION("""COMPUTED_VALUE"""),"Fish Hoek plumbing company")</f>
        <v>Fish Hoek plumbing company</v>
      </c>
      <c r="Y91" s="4"/>
      <c r="Z91" s="4"/>
    </row>
    <row r="92" ht="15.75" customHeight="1">
      <c r="A92" s="1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 t="str">
        <f>IFERROR(__xludf.DUMMYFUNCTION("""COMPUTED_VALUE"""),"emergency plumber Maitland")</f>
        <v>emergency plumber Maitland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8" t="str">
        <f>IFERROR(__xludf.DUMMYFUNCTION("""COMPUTED_VALUE"""),"Fish Hoek refrigeration services")</f>
        <v>Fish Hoek refrigeration services</v>
      </c>
      <c r="Y92" s="4"/>
      <c r="Z92" s="4"/>
    </row>
    <row r="93" ht="15.75" customHeight="1">
      <c r="A93" s="1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6" t="str">
        <f>IFERROR(__xludf.DUMMYFUNCTION("""COMPUTED_VALUE"""),"emergency plumber Milnerton")</f>
        <v>emergency plumber Milnerton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8" t="str">
        <f>IFERROR(__xludf.DUMMYFUNCTION("""COMPUTED_VALUE"""),"Green Point aircon repairs")</f>
        <v>Green Point aircon repairs</v>
      </c>
      <c r="Y93" s="4"/>
      <c r="Z93" s="4"/>
    </row>
    <row r="94" ht="15.75" customHeight="1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6" t="str">
        <f>IFERROR(__xludf.DUMMYFUNCTION("""COMPUTED_VALUE"""),"emergency plumber Muizenberg")</f>
        <v>emergency plumber Muizenberg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8" t="str">
        <f>IFERROR(__xludf.DUMMYFUNCTION("""COMPUTED_VALUE"""),"Green Point blocked drain plumber")</f>
        <v>Green Point blocked drain plumber</v>
      </c>
      <c r="Y94" s="4"/>
      <c r="Z94" s="4"/>
    </row>
    <row r="95" ht="15.75" customHeight="1">
      <c r="A95" s="1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 t="str">
        <f>IFERROR(__xludf.DUMMYFUNCTION("""COMPUTED_VALUE"""),"emergency plumber Newlands")</f>
        <v>emergency plumber Newlands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8" t="str">
        <f>IFERROR(__xludf.DUMMYFUNCTION("""COMPUTED_VALUE"""),"Green Point electrician")</f>
        <v>Green Point electrician</v>
      </c>
      <c r="Y95" s="4"/>
      <c r="Z95" s="4"/>
    </row>
    <row r="96" ht="15.75" customHeight="1">
      <c r="A96" s="1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6" t="str">
        <f>IFERROR(__xludf.DUMMYFUNCTION("""COMPUTED_VALUE"""),"emergency plumber Northern Suburbs")</f>
        <v>emergency plumber Northern Suburbs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 t="str">
        <f>IFERROR(__xludf.DUMMYFUNCTION("""COMPUTED_VALUE"""),"Green Point emergency plumber")</f>
        <v>Green Point emergency plumber</v>
      </c>
      <c r="Y96" s="4"/>
      <c r="Z96" s="4"/>
    </row>
    <row r="97" ht="15.75" customHeight="1">
      <c r="A97" s="1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6" t="str">
        <f>IFERROR(__xludf.DUMMYFUNCTION("""COMPUTED_VALUE"""),"emergency plumber Observatory")</f>
        <v>emergency plumber Observatory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8" t="str">
        <f>IFERROR(__xludf.DUMMYFUNCTION("""COMPUTED_VALUE"""),"Green Point geyser repair")</f>
        <v>Green Point geyser repair</v>
      </c>
      <c r="Y97" s="4"/>
      <c r="Z97" s="4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 t="str">
        <f>IFERROR(__xludf.DUMMYFUNCTION("""COMPUTED_VALUE"""),"emergency plumber Plumstead")</f>
        <v>emergency plumber Plumstead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 t="str">
        <f>IFERROR(__xludf.DUMMYFUNCTION("""COMPUTED_VALUE"""),"Green Point leak detection plumber")</f>
        <v>Green Point leak detection plumber</v>
      </c>
      <c r="Y98" s="4"/>
      <c r="Z98" s="4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 t="str">
        <f>IFERROR(__xludf.DUMMYFUNCTION("""COMPUTED_VALUE"""),"emergency plumber Rondebosch")</f>
        <v>emergency plumber Rondebosch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8" t="str">
        <f>IFERROR(__xludf.DUMMYFUNCTION("""COMPUTED_VALUE"""),"Green Point plumber")</f>
        <v>Green Point plumber</v>
      </c>
      <c r="Y99" s="4"/>
      <c r="Z99" s="4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6" t="str">
        <f>IFERROR(__xludf.DUMMYFUNCTION("""COMPUTED_VALUE"""),"emergency plumber Sea Point")</f>
        <v>emergency plumber Sea Point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8" t="str">
        <f>IFERROR(__xludf.DUMMYFUNCTION("""COMPUTED_VALUE"""),"Green Point plumbers")</f>
        <v>Green Point plumbers</v>
      </c>
      <c r="Y100" s="4"/>
      <c r="Z100" s="4"/>
    </row>
    <row r="101" ht="15.75" customHeight="1">
      <c r="A101" s="1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 t="str">
        <f>IFERROR(__xludf.DUMMYFUNCTION("""COMPUTED_VALUE"""),"emergency plumber South Africa")</f>
        <v>emergency plumber South Africa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8" t="str">
        <f>IFERROR(__xludf.DUMMYFUNCTION("""COMPUTED_VALUE"""),"Green Point plumbing company")</f>
        <v>Green Point plumbing company</v>
      </c>
      <c r="Y101" s="4"/>
      <c r="Z101" s="4"/>
    </row>
    <row r="102" ht="15.75" customHeight="1">
      <c r="A102" s="1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 t="str">
        <f>IFERROR(__xludf.DUMMYFUNCTION("""COMPUTED_VALUE"""),"emergency plumber Southern Suburbs")</f>
        <v>emergency plumber Southern Suburbs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8" t="str">
        <f>IFERROR(__xludf.DUMMYFUNCTION("""COMPUTED_VALUE"""),"Green Point refrigeration services")</f>
        <v>Green Point refrigeration services</v>
      </c>
      <c r="Y102" s="4"/>
      <c r="Z102" s="4"/>
    </row>
    <row r="103" ht="15.75" customHeight="1">
      <c r="A103" s="1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 t="str">
        <f>IFERROR(__xludf.DUMMYFUNCTION("""COMPUTED_VALUE"""),"emergency plumber Table View")</f>
        <v>emergency plumber Table View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 t="str">
        <f>IFERROR(__xludf.DUMMYFUNCTION("""COMPUTED_VALUE"""),"Hout Bay aircon repairs")</f>
        <v>Hout Bay aircon repairs</v>
      </c>
      <c r="Y103" s="4"/>
      <c r="Z103" s="4"/>
    </row>
    <row r="104" ht="15.75" customHeight="1">
      <c r="A104" s="1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6" t="str">
        <f>IFERROR(__xludf.DUMMYFUNCTION("""COMPUTED_VALUE"""),"emergency plumber Tokai")</f>
        <v>emergency plumber Tokai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8" t="str">
        <f>IFERROR(__xludf.DUMMYFUNCTION("""COMPUTED_VALUE"""),"Hout Bay blocked drain plumber")</f>
        <v>Hout Bay blocked drain plumber</v>
      </c>
      <c r="Y104" s="4"/>
      <c r="Z104" s="4"/>
    </row>
    <row r="105" ht="15.75" customHeight="1">
      <c r="A105" s="1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 t="str">
        <f>IFERROR(__xludf.DUMMYFUNCTION("""COMPUTED_VALUE"""),"emergency plumber Woodstock")</f>
        <v>emergency plumber Woodstock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 t="str">
        <f>IFERROR(__xludf.DUMMYFUNCTION("""COMPUTED_VALUE"""),"Hout Bay electrician")</f>
        <v>Hout Bay electrician</v>
      </c>
      <c r="Y105" s="4"/>
      <c r="Z105" s="4"/>
    </row>
    <row r="106" ht="15.75" customHeight="1">
      <c r="A106" s="1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6" t="str">
        <f>IFERROR(__xludf.DUMMYFUNCTION("""COMPUTED_VALUE"""),"emergency plumber Wynberg")</f>
        <v>emergency plumber Wynberg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8" t="str">
        <f>IFERROR(__xludf.DUMMYFUNCTION("""COMPUTED_VALUE"""),"Hout Bay emergency plumber")</f>
        <v>Hout Bay emergency plumber</v>
      </c>
      <c r="Y106" s="4"/>
      <c r="Z106" s="4"/>
    </row>
    <row r="107" ht="15.75" customHeight="1">
      <c r="A107" s="1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tr">
        <f>IFERROR(__xludf.DUMMYFUNCTION("""COMPUTED_VALUE"""),"geyser repair Atlantic Seaboard")</f>
        <v>geyser repair Atlantic Seaboard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 t="str">
        <f>IFERROR(__xludf.DUMMYFUNCTION("""COMPUTED_VALUE"""),"Hout Bay geyser repair")</f>
        <v>Hout Bay geyser repair</v>
      </c>
      <c r="Y107" s="4"/>
      <c r="Z107" s="4"/>
    </row>
    <row r="108" ht="15.75" customHeight="1">
      <c r="A108" s="1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6" t="str">
        <f>IFERROR(__xludf.DUMMYFUNCTION("""COMPUTED_VALUE"""),"geyser repair Bellville")</f>
        <v>geyser repair Bellville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8" t="str">
        <f>IFERROR(__xludf.DUMMYFUNCTION("""COMPUTED_VALUE"""),"Hout Bay leak detection plumber")</f>
        <v>Hout Bay leak detection plumber</v>
      </c>
      <c r="Y108" s="4"/>
      <c r="Z108" s="4"/>
    </row>
    <row r="109" ht="15.75" customHeight="1">
      <c r="A109" s="1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6" t="str">
        <f>IFERROR(__xludf.DUMMYFUNCTION("""COMPUTED_VALUE"""),"geyser repair Camps Bay")</f>
        <v>geyser repair Camps Bay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 t="str">
        <f>IFERROR(__xludf.DUMMYFUNCTION("""COMPUTED_VALUE"""),"Hout Bay plumber")</f>
        <v>Hout Bay plumber</v>
      </c>
      <c r="Y109" s="4"/>
      <c r="Z109" s="4"/>
    </row>
    <row r="110" ht="15.75" customHeight="1">
      <c r="A110" s="1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6" t="str">
        <f>IFERROR(__xludf.DUMMYFUNCTION("""COMPUTED_VALUE"""),"geyser repair Cape Town")</f>
        <v>geyser repair Cape Town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8" t="str">
        <f>IFERROR(__xludf.DUMMYFUNCTION("""COMPUTED_VALUE"""),"Hout Bay plumbers")</f>
        <v>Hout Bay plumbers</v>
      </c>
      <c r="Y110" s="4"/>
      <c r="Z110" s="4"/>
    </row>
    <row r="111" ht="15.75" customHeight="1">
      <c r="A111" s="1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6" t="str">
        <f>IFERROR(__xludf.DUMMYFUNCTION("""COMPUTED_VALUE"""),"geyser repair Cape Town CBD")</f>
        <v>geyser repair Cape Town CBD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 t="str">
        <f>IFERROR(__xludf.DUMMYFUNCTION("""COMPUTED_VALUE"""),"Hout Bay plumbing company")</f>
        <v>Hout Bay plumbing company</v>
      </c>
      <c r="Y111" s="4"/>
      <c r="Z111" s="4"/>
    </row>
    <row r="112" ht="15.75" customHeight="1">
      <c r="A112" s="1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6" t="str">
        <f>IFERROR(__xludf.DUMMYFUNCTION("""COMPUTED_VALUE"""),"geyser repair Claremont")</f>
        <v>geyser repair Claremont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 t="str">
        <f>IFERROR(__xludf.DUMMYFUNCTION("""COMPUTED_VALUE"""),"Hout Bay refrigeration services")</f>
        <v>Hout Bay refrigeration services</v>
      </c>
      <c r="Y112" s="4"/>
      <c r="Z112" s="4"/>
    </row>
    <row r="113" ht="15.75" customHeight="1">
      <c r="A113" s="1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6" t="str">
        <f>IFERROR(__xludf.DUMMYFUNCTION("""COMPUTED_VALUE"""),"geyser repair Constantia")</f>
        <v>geyser repair Constantia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8" t="str">
        <f>IFERROR(__xludf.DUMMYFUNCTION("""COMPUTED_VALUE"""),"Maitland aircon repairs")</f>
        <v>Maitland aircon repairs</v>
      </c>
      <c r="Y113" s="4"/>
      <c r="Z113" s="4"/>
    </row>
    <row r="114" ht="15.75" customHeight="1">
      <c r="A114" s="1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6" t="str">
        <f>IFERROR(__xludf.DUMMYFUNCTION("""COMPUTED_VALUE"""),"geyser repair Durbanville")</f>
        <v>geyser repair Durbanville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8" t="str">
        <f>IFERROR(__xludf.DUMMYFUNCTION("""COMPUTED_VALUE"""),"Maitland blocked drain plumber")</f>
        <v>Maitland blocked drain plumber</v>
      </c>
      <c r="Y114" s="4"/>
      <c r="Z114" s="4"/>
    </row>
    <row r="115" ht="15.75" customHeight="1">
      <c r="A115" s="1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6" t="str">
        <f>IFERROR(__xludf.DUMMYFUNCTION("""COMPUTED_VALUE"""),"geyser repair Fish Hoek")</f>
        <v>geyser repair Fish Hoek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8" t="str">
        <f>IFERROR(__xludf.DUMMYFUNCTION("""COMPUTED_VALUE"""),"Maitland electrician")</f>
        <v>Maitland electrician</v>
      </c>
      <c r="Y115" s="4"/>
      <c r="Z115" s="4"/>
    </row>
    <row r="116" ht="15.75" customHeight="1">
      <c r="A116" s="1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6" t="str">
        <f>IFERROR(__xludf.DUMMYFUNCTION("""COMPUTED_VALUE"""),"geyser repair Green Point")</f>
        <v>geyser repair Green Point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8" t="str">
        <f>IFERROR(__xludf.DUMMYFUNCTION("""COMPUTED_VALUE"""),"Maitland emergency plumber")</f>
        <v>Maitland emergency plumber</v>
      </c>
      <c r="Y116" s="4"/>
      <c r="Z116" s="4"/>
    </row>
    <row r="117" ht="15.75" customHeight="1">
      <c r="A117" s="1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6" t="str">
        <f>IFERROR(__xludf.DUMMYFUNCTION("""COMPUTED_VALUE"""),"geyser repair Hout Bay")</f>
        <v>geyser repair Hout Bay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8" t="str">
        <f>IFERROR(__xludf.DUMMYFUNCTION("""COMPUTED_VALUE"""),"Maitland geyser repair")</f>
        <v>Maitland geyser repair</v>
      </c>
      <c r="Y117" s="4"/>
      <c r="Z117" s="4"/>
    </row>
    <row r="118" ht="15.7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 t="str">
        <f>IFERROR(__xludf.DUMMYFUNCTION("""COMPUTED_VALUE"""),"geyser repair Maitland")</f>
        <v>geyser repair Maitland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8" t="str">
        <f>IFERROR(__xludf.DUMMYFUNCTION("""COMPUTED_VALUE"""),"Maitland leak detection plumber")</f>
        <v>Maitland leak detection plumber</v>
      </c>
      <c r="Y118" s="4"/>
      <c r="Z118" s="4"/>
    </row>
    <row r="119" ht="15.75" customHeight="1">
      <c r="A119" s="1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6" t="str">
        <f>IFERROR(__xludf.DUMMYFUNCTION("""COMPUTED_VALUE"""),"geyser repair Milnerton")</f>
        <v>geyser repair Milnerton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 t="str">
        <f>IFERROR(__xludf.DUMMYFUNCTION("""COMPUTED_VALUE"""),"Maitland plumber")</f>
        <v>Maitland plumber</v>
      </c>
      <c r="Y119" s="4"/>
      <c r="Z119" s="4"/>
    </row>
    <row r="120" ht="15.75" customHeigh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 t="str">
        <f>IFERROR(__xludf.DUMMYFUNCTION("""COMPUTED_VALUE"""),"geyser repair Muizenberg")</f>
        <v>geyser repair Muizenberg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3" t="str">
        <f>IFERROR(__xludf.DUMMYFUNCTION("""COMPUTED_VALUE"""),"Maitland plumbers")</f>
        <v>Maitland plumbers</v>
      </c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 t="str">
        <f>IFERROR(__xludf.DUMMYFUNCTION("""COMPUTED_VALUE"""),"geyser repair Newlands")</f>
        <v>geyser repair Newlands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tr">
        <f>IFERROR(__xludf.DUMMYFUNCTION("""COMPUTED_VALUE"""),"Maitland plumbing company")</f>
        <v>Maitland plumbing company</v>
      </c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 t="str">
        <f>IFERROR(__xludf.DUMMYFUNCTION("""COMPUTED_VALUE"""),"geyser repair Northern Suburbs")</f>
        <v>geyser repair Northern Suburbs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tr">
        <f>IFERROR(__xludf.DUMMYFUNCTION("""COMPUTED_VALUE"""),"Maitland refrigeration services")</f>
        <v>Maitland refrigeration services</v>
      </c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 t="str">
        <f>IFERROR(__xludf.DUMMYFUNCTION("""COMPUTED_VALUE"""),"geyser repair Observatory")</f>
        <v>geyser repair Observatory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 t="str">
        <f>IFERROR(__xludf.DUMMYFUNCTION("""COMPUTED_VALUE"""),"Milnerton aircon repairs")</f>
        <v>Milnerton aircon repairs</v>
      </c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 t="str">
        <f>IFERROR(__xludf.DUMMYFUNCTION("""COMPUTED_VALUE"""),"geyser repair Plumstead")</f>
        <v>geyser repair Plumstead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tr">
        <f>IFERROR(__xludf.DUMMYFUNCTION("""COMPUTED_VALUE"""),"Milnerton blocked drain plumber")</f>
        <v>Milnerton blocked drain plumber</v>
      </c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tr">
        <f>IFERROR(__xludf.DUMMYFUNCTION("""COMPUTED_VALUE"""),"geyser repair Rondebosch")</f>
        <v>geyser repair Rondebosch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str">
        <f>IFERROR(__xludf.DUMMYFUNCTION("""COMPUTED_VALUE"""),"Milnerton electrician")</f>
        <v>Milnerton electrician</v>
      </c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tr">
        <f>IFERROR(__xludf.DUMMYFUNCTION("""COMPUTED_VALUE"""),"geyser repair Sea Point")</f>
        <v>geyser repair Sea Point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tr">
        <f>IFERROR(__xludf.DUMMYFUNCTION("""COMPUTED_VALUE"""),"Milnerton emergency plumber")</f>
        <v>Milnerton emergency plumber</v>
      </c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 t="str">
        <f>IFERROR(__xludf.DUMMYFUNCTION("""COMPUTED_VALUE"""),"geyser repair South Africa")</f>
        <v>geyser repair South Africa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tr">
        <f>IFERROR(__xludf.DUMMYFUNCTION("""COMPUTED_VALUE"""),"Milnerton geyser repair")</f>
        <v>Milnerton geyser repair</v>
      </c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 t="str">
        <f>IFERROR(__xludf.DUMMYFUNCTION("""COMPUTED_VALUE"""),"geyser repair Southern Suburbs")</f>
        <v>geyser repair Southern Suburbs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 t="str">
        <f>IFERROR(__xludf.DUMMYFUNCTION("""COMPUTED_VALUE"""),"Milnerton leak detection plumber")</f>
        <v>Milnerton leak detection plumber</v>
      </c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 t="str">
        <f>IFERROR(__xludf.DUMMYFUNCTION("""COMPUTED_VALUE"""),"geyser repair Table View")</f>
        <v>geyser repair Table View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tr">
        <f>IFERROR(__xludf.DUMMYFUNCTION("""COMPUTED_VALUE"""),"Milnerton plumber")</f>
        <v>Milnerton plumber</v>
      </c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 t="str">
        <f>IFERROR(__xludf.DUMMYFUNCTION("""COMPUTED_VALUE"""),"geyser repair Tokai")</f>
        <v>geyser repair Tokai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tr">
        <f>IFERROR(__xludf.DUMMYFUNCTION("""COMPUTED_VALUE"""),"Milnerton plumbers")</f>
        <v>Milnerton plumbers</v>
      </c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 t="str">
        <f>IFERROR(__xludf.DUMMYFUNCTION("""COMPUTED_VALUE"""),"geyser repair Woodstock")</f>
        <v>geyser repair Woodstock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tr">
        <f>IFERROR(__xludf.DUMMYFUNCTION("""COMPUTED_VALUE"""),"Milnerton plumbing company")</f>
        <v>Milnerton plumbing company</v>
      </c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 t="str">
        <f>IFERROR(__xludf.DUMMYFUNCTION("""COMPUTED_VALUE"""),"geyser repair Wynberg")</f>
        <v>geyser repair Wynberg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tr">
        <f>IFERROR(__xludf.DUMMYFUNCTION("""COMPUTED_VALUE"""),"Milnerton refrigeration services")</f>
        <v>Milnerton refrigeration services</v>
      </c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tr">
        <f>IFERROR(__xludf.DUMMYFUNCTION("""COMPUTED_VALUE"""),"leak detection plumber Atlantic Seaboard")</f>
        <v>leak detection plumber Atlantic Seaboard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tr">
        <f>IFERROR(__xludf.DUMMYFUNCTION("""COMPUTED_VALUE"""),"Muizenberg aircon repairs")</f>
        <v>Muizenberg aircon repairs</v>
      </c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tr">
        <f>IFERROR(__xludf.DUMMYFUNCTION("""COMPUTED_VALUE"""),"leak detection plumber Bellville")</f>
        <v>leak detection plumber Bellville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 t="str">
        <f>IFERROR(__xludf.DUMMYFUNCTION("""COMPUTED_VALUE"""),"Muizenberg blocked drain plumber")</f>
        <v>Muizenberg blocked drain plumber</v>
      </c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 t="str">
        <f>IFERROR(__xludf.DUMMYFUNCTION("""COMPUTED_VALUE"""),"leak detection plumber Camps Bay")</f>
        <v>leak detection plumber Camps Bay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str">
        <f>IFERROR(__xludf.DUMMYFUNCTION("""COMPUTED_VALUE"""),"Muizenberg electrician")</f>
        <v>Muizenberg electrician</v>
      </c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tr">
        <f>IFERROR(__xludf.DUMMYFUNCTION("""COMPUTED_VALUE"""),"leak detection plumber Cape Town")</f>
        <v>leak detection plumber Cape Town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str">
        <f>IFERROR(__xludf.DUMMYFUNCTION("""COMPUTED_VALUE"""),"Muizenberg emergency plumber")</f>
        <v>Muizenberg emergency plumber</v>
      </c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tr">
        <f>IFERROR(__xludf.DUMMYFUNCTION("""COMPUTED_VALUE"""),"leak detection plumber Cape Town CBD")</f>
        <v>leak detection plumber Cape Town CBD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tr">
        <f>IFERROR(__xludf.DUMMYFUNCTION("""COMPUTED_VALUE"""),"Muizenberg geyser repair")</f>
        <v>Muizenberg geyser repair</v>
      </c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 t="str">
        <f>IFERROR(__xludf.DUMMYFUNCTION("""COMPUTED_VALUE"""),"leak detection plumber Claremont")</f>
        <v>leak detection plumber Claremont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tr">
        <f>IFERROR(__xludf.DUMMYFUNCTION("""COMPUTED_VALUE"""),"Muizenberg leak detection plumber")</f>
        <v>Muizenberg leak detection plumber</v>
      </c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 t="str">
        <f>IFERROR(__xludf.DUMMYFUNCTION("""COMPUTED_VALUE"""),"leak detection plumber Constantia")</f>
        <v>leak detection plumber Constantia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tr">
        <f>IFERROR(__xludf.DUMMYFUNCTION("""COMPUTED_VALUE"""),"Muizenberg plumber")</f>
        <v>Muizenberg plumber</v>
      </c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 t="str">
        <f>IFERROR(__xludf.DUMMYFUNCTION("""COMPUTED_VALUE"""),"leak detection plumber Durbanville")</f>
        <v>leak detection plumber Durbanville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tr">
        <f>IFERROR(__xludf.DUMMYFUNCTION("""COMPUTED_VALUE"""),"Muizenberg plumbers")</f>
        <v>Muizenberg plumbers</v>
      </c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 t="str">
        <f>IFERROR(__xludf.DUMMYFUNCTION("""COMPUTED_VALUE"""),"leak detection plumber Fish Hoek")</f>
        <v>leak detection plumber Fish Hoek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str">
        <f>IFERROR(__xludf.DUMMYFUNCTION("""COMPUTED_VALUE"""),"Muizenberg plumbing company")</f>
        <v>Muizenberg plumbing company</v>
      </c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 t="str">
        <f>IFERROR(__xludf.DUMMYFUNCTION("""COMPUTED_VALUE"""),"leak detection plumber Green Point")</f>
        <v>leak detection plumber Green Point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tr">
        <f>IFERROR(__xludf.DUMMYFUNCTION("""COMPUTED_VALUE"""),"Muizenberg refrigeration services")</f>
        <v>Muizenberg refrigeration services</v>
      </c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 t="str">
        <f>IFERROR(__xludf.DUMMYFUNCTION("""COMPUTED_VALUE"""),"leak detection plumber Hout Bay")</f>
        <v>leak detection plumber Hout Bay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tr">
        <f>IFERROR(__xludf.DUMMYFUNCTION("""COMPUTED_VALUE"""),"Newlands aircon repairs")</f>
        <v>Newlands aircon repairs</v>
      </c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 t="str">
        <f>IFERROR(__xludf.DUMMYFUNCTION("""COMPUTED_VALUE"""),"leak detection plumber Maitland")</f>
        <v>leak detection plumber Maitland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 t="str">
        <f>IFERROR(__xludf.DUMMYFUNCTION("""COMPUTED_VALUE"""),"Newlands blocked drain plumber")</f>
        <v>Newlands blocked drain plumber</v>
      </c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 t="str">
        <f>IFERROR(__xludf.DUMMYFUNCTION("""COMPUTED_VALUE"""),"leak detection plumber Milnerton")</f>
        <v>leak detection plumber Milnerton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str">
        <f>IFERROR(__xludf.DUMMYFUNCTION("""COMPUTED_VALUE"""),"Newlands electrician")</f>
        <v>Newlands electrician</v>
      </c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 t="str">
        <f>IFERROR(__xludf.DUMMYFUNCTION("""COMPUTED_VALUE"""),"leak detection plumber Muizenberg")</f>
        <v>leak detection plumber Muizenberg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 t="str">
        <f>IFERROR(__xludf.DUMMYFUNCTION("""COMPUTED_VALUE"""),"Newlands emergency plumber")</f>
        <v>Newlands emergency plumber</v>
      </c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tr">
        <f>IFERROR(__xludf.DUMMYFUNCTION("""COMPUTED_VALUE"""),"leak detection plumber Newlands")</f>
        <v>leak detection plumber Newlands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tr">
        <f>IFERROR(__xludf.DUMMYFUNCTION("""COMPUTED_VALUE"""),"Newlands geyser repair")</f>
        <v>Newlands geyser repair</v>
      </c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tr">
        <f>IFERROR(__xludf.DUMMYFUNCTION("""COMPUTED_VALUE"""),"leak detection plumber Northern Suburbs")</f>
        <v>leak detection plumber Northern Suburbs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str">
        <f>IFERROR(__xludf.DUMMYFUNCTION("""COMPUTED_VALUE"""),"Newlands leak detection plumber")</f>
        <v>Newlands leak detection plumber</v>
      </c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 t="str">
        <f>IFERROR(__xludf.DUMMYFUNCTION("""COMPUTED_VALUE"""),"leak detection plumber Observatory")</f>
        <v>leak detection plumber Observatory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 t="str">
        <f>IFERROR(__xludf.DUMMYFUNCTION("""COMPUTED_VALUE"""),"Newlands plumber")</f>
        <v>Newlands plumber</v>
      </c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 t="str">
        <f>IFERROR(__xludf.DUMMYFUNCTION("""COMPUTED_VALUE"""),"leak detection plumber Plumstead")</f>
        <v>leak detection plumber Plumstead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 t="str">
        <f>IFERROR(__xludf.DUMMYFUNCTION("""COMPUTED_VALUE"""),"Newlands plumbers")</f>
        <v>Newlands plumbers</v>
      </c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 t="str">
        <f>IFERROR(__xludf.DUMMYFUNCTION("""COMPUTED_VALUE"""),"leak detection plumber Rondebosch")</f>
        <v>leak detection plumber Rondebosch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tr">
        <f>IFERROR(__xludf.DUMMYFUNCTION("""COMPUTED_VALUE"""),"Newlands plumbing company")</f>
        <v>Newlands plumbing company</v>
      </c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 t="str">
        <f>IFERROR(__xludf.DUMMYFUNCTION("""COMPUTED_VALUE"""),"leak detection plumber Sea Point")</f>
        <v>leak detection plumber Sea Point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 t="str">
        <f>IFERROR(__xludf.DUMMYFUNCTION("""COMPUTED_VALUE"""),"Newlands refrigeration services")</f>
        <v>Newlands refrigeration services</v>
      </c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 t="str">
        <f>IFERROR(__xludf.DUMMYFUNCTION("""COMPUTED_VALUE"""),"leak detection plumber South Africa")</f>
        <v>leak detection plumber South Africa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str">
        <f>IFERROR(__xludf.DUMMYFUNCTION("""COMPUTED_VALUE"""),"Northern Suburbs aircon repairs")</f>
        <v>Northern Suburbs aircon repairs</v>
      </c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 t="str">
        <f>IFERROR(__xludf.DUMMYFUNCTION("""COMPUTED_VALUE"""),"leak detection plumber Southern Suburbs")</f>
        <v>leak detection plumber Southern Suburbs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tr">
        <f>IFERROR(__xludf.DUMMYFUNCTION("""COMPUTED_VALUE"""),"Northern Suburbs blocked drain plumber")</f>
        <v>Northern Suburbs blocked drain plumber</v>
      </c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 t="str">
        <f>IFERROR(__xludf.DUMMYFUNCTION("""COMPUTED_VALUE"""),"leak detection plumber Table View")</f>
        <v>leak detection plumber Table View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tr">
        <f>IFERROR(__xludf.DUMMYFUNCTION("""COMPUTED_VALUE"""),"Northern Suburbs electrician")</f>
        <v>Northern Suburbs electrician</v>
      </c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 t="str">
        <f>IFERROR(__xludf.DUMMYFUNCTION("""COMPUTED_VALUE"""),"leak detection plumber Tokai")</f>
        <v>leak detection plumber Tokai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 t="str">
        <f>IFERROR(__xludf.DUMMYFUNCTION("""COMPUTED_VALUE"""),"Northern Suburbs emergency plumber")</f>
        <v>Northern Suburbs emergency plumber</v>
      </c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tr">
        <f>IFERROR(__xludf.DUMMYFUNCTION("""COMPUTED_VALUE"""),"leak detection plumber Woodstock")</f>
        <v>leak detection plumber Woodstock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 t="str">
        <f>IFERROR(__xludf.DUMMYFUNCTION("""COMPUTED_VALUE"""),"Northern Suburbs geyser repair")</f>
        <v>Northern Suburbs geyser repair</v>
      </c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tr">
        <f>IFERROR(__xludf.DUMMYFUNCTION("""COMPUTED_VALUE"""),"leak detection plumber Wynberg")</f>
        <v>leak detection plumber Wynberg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 t="str">
        <f>IFERROR(__xludf.DUMMYFUNCTION("""COMPUTED_VALUE"""),"Northern Suburbs leak detection plumber")</f>
        <v>Northern Suburbs leak detection plumber</v>
      </c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 t="str">
        <f>IFERROR(__xludf.DUMMYFUNCTION("""COMPUTED_VALUE"""),"plumber Atlantic Seaboard")</f>
        <v>plumber Atlantic Seaboard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str">
        <f>IFERROR(__xludf.DUMMYFUNCTION("""COMPUTED_VALUE"""),"Northern Suburbs plumber")</f>
        <v>Northern Suburbs plumber</v>
      </c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 t="str">
        <f>IFERROR(__xludf.DUMMYFUNCTION("""COMPUTED_VALUE"""),"plumber Bellville")</f>
        <v>plumber Bellville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 t="str">
        <f>IFERROR(__xludf.DUMMYFUNCTION("""COMPUTED_VALUE"""),"Northern Suburbs plumbers")</f>
        <v>Northern Suburbs plumbers</v>
      </c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 t="str">
        <f>IFERROR(__xludf.DUMMYFUNCTION("""COMPUTED_VALUE"""),"plumber Camps Bay")</f>
        <v>plumber Camps Bay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 t="str">
        <f>IFERROR(__xludf.DUMMYFUNCTION("""COMPUTED_VALUE"""),"Northern Suburbs plumbing company")</f>
        <v>Northern Suburbs plumbing company</v>
      </c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 t="str">
        <f>IFERROR(__xludf.DUMMYFUNCTION("""COMPUTED_VALUE"""),"plumber Cape Town")</f>
        <v>plumber Cape Town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 t="str">
        <f>IFERROR(__xludf.DUMMYFUNCTION("""COMPUTED_VALUE"""),"Northern Suburbs refrigeration services")</f>
        <v>Northern Suburbs refrigeration services</v>
      </c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 t="str">
        <f>IFERROR(__xludf.DUMMYFUNCTION("""COMPUTED_VALUE"""),"plumber Cape Town CBD")</f>
        <v>plumber Cape Town CBD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 t="str">
        <f>IFERROR(__xludf.DUMMYFUNCTION("""COMPUTED_VALUE"""),"Observatory aircon repairs")</f>
        <v>Observatory aircon repairs</v>
      </c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 t="str">
        <f>IFERROR(__xludf.DUMMYFUNCTION("""COMPUTED_VALUE"""),"plumber Claremont")</f>
        <v>plumber Claremont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tr">
        <f>IFERROR(__xludf.DUMMYFUNCTION("""COMPUTED_VALUE"""),"Observatory blocked drain plumber")</f>
        <v>Observatory blocked drain plumber</v>
      </c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 t="str">
        <f>IFERROR(__xludf.DUMMYFUNCTION("""COMPUTED_VALUE"""),"plumber Constantia")</f>
        <v>plumber Constantia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tr">
        <f>IFERROR(__xludf.DUMMYFUNCTION("""COMPUTED_VALUE"""),"Observatory electrician")</f>
        <v>Observatory electrician</v>
      </c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tr">
        <f>IFERROR(__xludf.DUMMYFUNCTION("""COMPUTED_VALUE"""),"plumber Durbanville")</f>
        <v>plumber Durbanville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tr">
        <f>IFERROR(__xludf.DUMMYFUNCTION("""COMPUTED_VALUE"""),"Observatory emergency plumber")</f>
        <v>Observatory emergency plumber</v>
      </c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tr">
        <f>IFERROR(__xludf.DUMMYFUNCTION("""COMPUTED_VALUE"""),"plumber Fish Hoek")</f>
        <v>plumber Fish Hoek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f>IFERROR(__xludf.DUMMYFUNCTION("""COMPUTED_VALUE"""),"Observatory geyser repair")</f>
        <v>Observatory geyser repair</v>
      </c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 t="str">
        <f>IFERROR(__xludf.DUMMYFUNCTION("""COMPUTED_VALUE"""),"plumber Green Point")</f>
        <v>plumber Green Point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tr">
        <f>IFERROR(__xludf.DUMMYFUNCTION("""COMPUTED_VALUE"""),"Observatory leak detection plumber")</f>
        <v>Observatory leak detection plumber</v>
      </c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 t="str">
        <f>IFERROR(__xludf.DUMMYFUNCTION("""COMPUTED_VALUE"""),"plumber Hout Bay")</f>
        <v>plumber Hout Bay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tr">
        <f>IFERROR(__xludf.DUMMYFUNCTION("""COMPUTED_VALUE"""),"Observatory plumber")</f>
        <v>Observatory plumber</v>
      </c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 t="str">
        <f>IFERROR(__xludf.DUMMYFUNCTION("""COMPUTED_VALUE"""),"plumber Maitland")</f>
        <v>plumber Maitland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tr">
        <f>IFERROR(__xludf.DUMMYFUNCTION("""COMPUTED_VALUE"""),"Observatory plumbers")</f>
        <v>Observatory plumbers</v>
      </c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 t="str">
        <f>IFERROR(__xludf.DUMMYFUNCTION("""COMPUTED_VALUE"""),"plumber Milnerton")</f>
        <v>plumber Milnerton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tr">
        <f>IFERROR(__xludf.DUMMYFUNCTION("""COMPUTED_VALUE"""),"Observatory plumbing company")</f>
        <v>Observatory plumbing company</v>
      </c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tr">
        <f>IFERROR(__xludf.DUMMYFUNCTION("""COMPUTED_VALUE"""),"plumber Muizenberg")</f>
        <v>plumber Muizenberg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tr">
        <f>IFERROR(__xludf.DUMMYFUNCTION("""COMPUTED_VALUE"""),"Observatory refrigeration services")</f>
        <v>Observatory refrigeration services</v>
      </c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 t="str">
        <f>IFERROR(__xludf.DUMMYFUNCTION("""COMPUTED_VALUE"""),"plumber Newlands")</f>
        <v>plumber Newlands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str">
        <f>IFERROR(__xludf.DUMMYFUNCTION("""COMPUTED_VALUE"""),"Plumstead aircon repairs")</f>
        <v>Plumstead aircon repairs</v>
      </c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 t="str">
        <f>IFERROR(__xludf.DUMMYFUNCTION("""COMPUTED_VALUE"""),"plumber Northern Suburbs")</f>
        <v>plumber Northern Suburbs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str">
        <f>IFERROR(__xludf.DUMMYFUNCTION("""COMPUTED_VALUE"""),"Plumstead blocked drain plumber")</f>
        <v>Plumstead blocked drain plumber</v>
      </c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tr">
        <f>IFERROR(__xludf.DUMMYFUNCTION("""COMPUTED_VALUE"""),"plumber Observatory")</f>
        <v>plumber Observatory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str">
        <f>IFERROR(__xludf.DUMMYFUNCTION("""COMPUTED_VALUE"""),"Plumstead electrician")</f>
        <v>Plumstead electrician</v>
      </c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 t="str">
        <f>IFERROR(__xludf.DUMMYFUNCTION("""COMPUTED_VALUE"""),"plumber Plumstead")</f>
        <v>plumber Plumstead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 t="str">
        <f>IFERROR(__xludf.DUMMYFUNCTION("""COMPUTED_VALUE"""),"Plumstead emergency plumber")</f>
        <v>Plumstead emergency plumber</v>
      </c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 t="str">
        <f>IFERROR(__xludf.DUMMYFUNCTION("""COMPUTED_VALUE"""),"plumber Rondebosch")</f>
        <v>plumber Rondebosch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 t="str">
        <f>IFERROR(__xludf.DUMMYFUNCTION("""COMPUTED_VALUE"""),"Plumstead geyser repair")</f>
        <v>Plumstead geyser repair</v>
      </c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 t="str">
        <f>IFERROR(__xludf.DUMMYFUNCTION("""COMPUTED_VALUE"""),"plumber Sea Point")</f>
        <v>plumber Sea Point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tr">
        <f>IFERROR(__xludf.DUMMYFUNCTION("""COMPUTED_VALUE"""),"Plumstead leak detection plumber")</f>
        <v>Plumstead leak detection plumber</v>
      </c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tr">
        <f>IFERROR(__xludf.DUMMYFUNCTION("""COMPUTED_VALUE"""),"plumber South Africa")</f>
        <v>plumber South Africa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tr">
        <f>IFERROR(__xludf.DUMMYFUNCTION("""COMPUTED_VALUE"""),"Plumstead plumber")</f>
        <v>Plumstead plumber</v>
      </c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 t="str">
        <f>IFERROR(__xludf.DUMMYFUNCTION("""COMPUTED_VALUE"""),"plumber Southern Suburbs")</f>
        <v>plumber Southern Suburbs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tr">
        <f>IFERROR(__xludf.DUMMYFUNCTION("""COMPUTED_VALUE"""),"Plumstead plumbers")</f>
        <v>Plumstead plumbers</v>
      </c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tr">
        <f>IFERROR(__xludf.DUMMYFUNCTION("""COMPUTED_VALUE"""),"plumber Table View")</f>
        <v>plumber Table View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 t="str">
        <f>IFERROR(__xludf.DUMMYFUNCTION("""COMPUTED_VALUE"""),"Plumstead plumbing company")</f>
        <v>Plumstead plumbing company</v>
      </c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 t="str">
        <f>IFERROR(__xludf.DUMMYFUNCTION("""COMPUTED_VALUE"""),"plumber Tokai")</f>
        <v>plumber Tokai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tr">
        <f>IFERROR(__xludf.DUMMYFUNCTION("""COMPUTED_VALUE"""),"Plumstead refrigeration services")</f>
        <v>Plumstead refrigeration services</v>
      </c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 t="str">
        <f>IFERROR(__xludf.DUMMYFUNCTION("""COMPUTED_VALUE"""),"plumber Woodstock")</f>
        <v>plumber Woodstock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 t="str">
        <f>IFERROR(__xludf.DUMMYFUNCTION("""COMPUTED_VALUE"""),"Rondebosch aircon repairs")</f>
        <v>Rondebosch aircon repairs</v>
      </c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 t="str">
        <f>IFERROR(__xludf.DUMMYFUNCTION("""COMPUTED_VALUE"""),"plumber Wynberg")</f>
        <v>plumber Wynberg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 t="str">
        <f>IFERROR(__xludf.DUMMYFUNCTION("""COMPUTED_VALUE"""),"Rondebosch blocked drain plumber")</f>
        <v>Rondebosch blocked drain plumber</v>
      </c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 t="str">
        <f>IFERROR(__xludf.DUMMYFUNCTION("""COMPUTED_VALUE"""),"plumbers Atlantic Seaboard")</f>
        <v>plumbers Atlantic Seaboard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 t="str">
        <f>IFERROR(__xludf.DUMMYFUNCTION("""COMPUTED_VALUE"""),"Rondebosch electrician")</f>
        <v>Rondebosch electrician</v>
      </c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 t="str">
        <f>IFERROR(__xludf.DUMMYFUNCTION("""COMPUTED_VALUE"""),"plumbers Bellville")</f>
        <v>plumbers Bellville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 t="str">
        <f>IFERROR(__xludf.DUMMYFUNCTION("""COMPUTED_VALUE"""),"Rondebosch emergency plumber")</f>
        <v>Rondebosch emergency plumber</v>
      </c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 t="str">
        <f>IFERROR(__xludf.DUMMYFUNCTION("""COMPUTED_VALUE"""),"plumbers Camps Bay")</f>
        <v>plumbers Camps Bay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 t="str">
        <f>IFERROR(__xludf.DUMMYFUNCTION("""COMPUTED_VALUE"""),"Rondebosch geyser repair")</f>
        <v>Rondebosch geyser repair</v>
      </c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 t="str">
        <f>IFERROR(__xludf.DUMMYFUNCTION("""COMPUTED_VALUE"""),"plumbers Cape Town")</f>
        <v>plumbers Cape Town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 t="str">
        <f>IFERROR(__xludf.DUMMYFUNCTION("""COMPUTED_VALUE"""),"Rondebosch leak detection plumber")</f>
        <v>Rondebosch leak detection plumber</v>
      </c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 t="str">
        <f>IFERROR(__xludf.DUMMYFUNCTION("""COMPUTED_VALUE"""),"plumbers Cape Town CBD")</f>
        <v>plumbers Cape Town CBD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 t="str">
        <f>IFERROR(__xludf.DUMMYFUNCTION("""COMPUTED_VALUE"""),"Rondebosch plumber")</f>
        <v>Rondebosch plumber</v>
      </c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 t="str">
        <f>IFERROR(__xludf.DUMMYFUNCTION("""COMPUTED_VALUE"""),"plumbers Claremont")</f>
        <v>plumbers Claremont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 t="str">
        <f>IFERROR(__xludf.DUMMYFUNCTION("""COMPUTED_VALUE"""),"Rondebosch plumbers")</f>
        <v>Rondebosch plumbers</v>
      </c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 t="str">
        <f>IFERROR(__xludf.DUMMYFUNCTION("""COMPUTED_VALUE"""),"plumbers Constantia")</f>
        <v>plumbers Constantia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 t="str">
        <f>IFERROR(__xludf.DUMMYFUNCTION("""COMPUTED_VALUE"""),"Rondebosch plumbing company")</f>
        <v>Rondebosch plumbing company</v>
      </c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 t="str">
        <f>IFERROR(__xludf.DUMMYFUNCTION("""COMPUTED_VALUE"""),"plumbers Durbanville")</f>
        <v>plumbers Durbanville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str">
        <f>IFERROR(__xludf.DUMMYFUNCTION("""COMPUTED_VALUE"""),"Rondebosch refrigeration services")</f>
        <v>Rondebosch refrigeration services</v>
      </c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 t="str">
        <f>IFERROR(__xludf.DUMMYFUNCTION("""COMPUTED_VALUE"""),"plumbers Fish Hoek")</f>
        <v>plumbers Fish Hoek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 t="str">
        <f>IFERROR(__xludf.DUMMYFUNCTION("""COMPUTED_VALUE"""),"Sea Point aircon repairs")</f>
        <v>Sea Point aircon repairs</v>
      </c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 t="str">
        <f>IFERROR(__xludf.DUMMYFUNCTION("""COMPUTED_VALUE"""),"plumbers Green Point")</f>
        <v>plumbers Green Point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 t="str">
        <f>IFERROR(__xludf.DUMMYFUNCTION("""COMPUTED_VALUE"""),"Sea Point blocked drain plumber")</f>
        <v>Sea Point blocked drain plumber</v>
      </c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 t="str">
        <f>IFERROR(__xludf.DUMMYFUNCTION("""COMPUTED_VALUE"""),"plumbers Hout Bay")</f>
        <v>plumbers Hout Bay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 t="str">
        <f>IFERROR(__xludf.DUMMYFUNCTION("""COMPUTED_VALUE"""),"Sea Point electrician")</f>
        <v>Sea Point electrician</v>
      </c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 t="str">
        <f>IFERROR(__xludf.DUMMYFUNCTION("""COMPUTED_VALUE"""),"plumbers Maitland")</f>
        <v>plumbers Maitland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str">
        <f>IFERROR(__xludf.DUMMYFUNCTION("""COMPUTED_VALUE"""),"Sea Point emergency plumber")</f>
        <v>Sea Point emergency plumber</v>
      </c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 t="str">
        <f>IFERROR(__xludf.DUMMYFUNCTION("""COMPUTED_VALUE"""),"plumbers Milnerton")</f>
        <v>plumbers Milnerton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 t="str">
        <f>IFERROR(__xludf.DUMMYFUNCTION("""COMPUTED_VALUE"""),"Sea Point geyser repair")</f>
        <v>Sea Point geyser repair</v>
      </c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 t="str">
        <f>IFERROR(__xludf.DUMMYFUNCTION("""COMPUTED_VALUE"""),"plumbers Muizenberg")</f>
        <v>plumbers Muizenberg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 t="str">
        <f>IFERROR(__xludf.DUMMYFUNCTION("""COMPUTED_VALUE"""),"Sea Point leak detection plumber")</f>
        <v>Sea Point leak detection plumber</v>
      </c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 t="str">
        <f>IFERROR(__xludf.DUMMYFUNCTION("""COMPUTED_VALUE"""),"plumbers Newlands")</f>
        <v>plumbers Newlands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 t="str">
        <f>IFERROR(__xludf.DUMMYFUNCTION("""COMPUTED_VALUE"""),"Sea Point plumber")</f>
        <v>Sea Point plumber</v>
      </c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 t="str">
        <f>IFERROR(__xludf.DUMMYFUNCTION("""COMPUTED_VALUE"""),"plumbers Northern Suburbs")</f>
        <v>plumbers Northern Suburbs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 t="str">
        <f>IFERROR(__xludf.DUMMYFUNCTION("""COMPUTED_VALUE"""),"Sea Point plumbers")</f>
        <v>Sea Point plumbers</v>
      </c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 t="str">
        <f>IFERROR(__xludf.DUMMYFUNCTION("""COMPUTED_VALUE"""),"plumbers Observatory")</f>
        <v>plumbers Observatory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tr">
        <f>IFERROR(__xludf.DUMMYFUNCTION("""COMPUTED_VALUE"""),"Sea Point plumbing company")</f>
        <v>Sea Point plumbing company</v>
      </c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 t="str">
        <f>IFERROR(__xludf.DUMMYFUNCTION("""COMPUTED_VALUE"""),"plumbers Plumstead")</f>
        <v>plumbers Plumstead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 t="str">
        <f>IFERROR(__xludf.DUMMYFUNCTION("""COMPUTED_VALUE"""),"Sea Point refrigeration services")</f>
        <v>Sea Point refrigeration services</v>
      </c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 t="str">
        <f>IFERROR(__xludf.DUMMYFUNCTION("""COMPUTED_VALUE"""),"plumbers Rondebosch")</f>
        <v>plumbers Rondebosch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 t="str">
        <f>IFERROR(__xludf.DUMMYFUNCTION("""COMPUTED_VALUE"""),"South Africa aircon repairs")</f>
        <v>South Africa aircon repairs</v>
      </c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 t="str">
        <f>IFERROR(__xludf.DUMMYFUNCTION("""COMPUTED_VALUE"""),"plumbers Sea Point")</f>
        <v>plumbers Sea Point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 t="str">
        <f>IFERROR(__xludf.DUMMYFUNCTION("""COMPUTED_VALUE"""),"South Africa blocked drain plumber")</f>
        <v>South Africa blocked drain plumber</v>
      </c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 t="str">
        <f>IFERROR(__xludf.DUMMYFUNCTION("""COMPUTED_VALUE"""),"plumbers South Africa")</f>
        <v>plumbers South Africa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 t="str">
        <f>IFERROR(__xludf.DUMMYFUNCTION("""COMPUTED_VALUE"""),"South Africa electrician")</f>
        <v>South Africa electrician</v>
      </c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 t="str">
        <f>IFERROR(__xludf.DUMMYFUNCTION("""COMPUTED_VALUE"""),"plumbers Southern Suburbs")</f>
        <v>plumbers Southern Suburbs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 t="str">
        <f>IFERROR(__xludf.DUMMYFUNCTION("""COMPUTED_VALUE"""),"South Africa emergency plumber")</f>
        <v>South Africa emergency plumber</v>
      </c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 t="str">
        <f>IFERROR(__xludf.DUMMYFUNCTION("""COMPUTED_VALUE"""),"plumbers Table View")</f>
        <v>plumbers Table View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 t="str">
        <f>IFERROR(__xludf.DUMMYFUNCTION("""COMPUTED_VALUE"""),"South Africa geyser repair")</f>
        <v>South Africa geyser repair</v>
      </c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 t="str">
        <f>IFERROR(__xludf.DUMMYFUNCTION("""COMPUTED_VALUE"""),"plumbers Tokai")</f>
        <v>plumbers Tokai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 t="str">
        <f>IFERROR(__xludf.DUMMYFUNCTION("""COMPUTED_VALUE"""),"South Africa leak detection plumber")</f>
        <v>South Africa leak detection plumber</v>
      </c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 t="str">
        <f>IFERROR(__xludf.DUMMYFUNCTION("""COMPUTED_VALUE"""),"plumbers Woodstock")</f>
        <v>plumbers Woodstock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 t="str">
        <f>IFERROR(__xludf.DUMMYFUNCTION("""COMPUTED_VALUE"""),"South Africa plumber")</f>
        <v>South Africa plumber</v>
      </c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 t="str">
        <f>IFERROR(__xludf.DUMMYFUNCTION("""COMPUTED_VALUE"""),"plumbers Wynberg")</f>
        <v>plumbers Wynberg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 t="str">
        <f>IFERROR(__xludf.DUMMYFUNCTION("""COMPUTED_VALUE"""),"South Africa plumbers")</f>
        <v>South Africa plumbers</v>
      </c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 t="str">
        <f>IFERROR(__xludf.DUMMYFUNCTION("""COMPUTED_VALUE"""),"plumbing company Atlantic Seaboard")</f>
        <v>plumbing company Atlantic Seaboard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 t="str">
        <f>IFERROR(__xludf.DUMMYFUNCTION("""COMPUTED_VALUE"""),"South Africa plumbing company")</f>
        <v>South Africa plumbing company</v>
      </c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 t="str">
        <f>IFERROR(__xludf.DUMMYFUNCTION("""COMPUTED_VALUE"""),"plumbing company Bellville")</f>
        <v>plumbing company Bellville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 t="str">
        <f>IFERROR(__xludf.DUMMYFUNCTION("""COMPUTED_VALUE"""),"South Africa refrigeration services")</f>
        <v>South Africa refrigeration services</v>
      </c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 t="str">
        <f>IFERROR(__xludf.DUMMYFUNCTION("""COMPUTED_VALUE"""),"plumbing company Camps Bay")</f>
        <v>plumbing company Camps Bay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 t="str">
        <f>IFERROR(__xludf.DUMMYFUNCTION("""COMPUTED_VALUE"""),"Southern Suburbs aircon repairs")</f>
        <v>Southern Suburbs aircon repairs</v>
      </c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 t="str">
        <f>IFERROR(__xludf.DUMMYFUNCTION("""COMPUTED_VALUE"""),"plumbing company Cape Town")</f>
        <v>plumbing company Cape Town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 t="str">
        <f>IFERROR(__xludf.DUMMYFUNCTION("""COMPUTED_VALUE"""),"Southern Suburbs blocked drain plumber")</f>
        <v>Southern Suburbs blocked drain plumber</v>
      </c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 t="str">
        <f>IFERROR(__xludf.DUMMYFUNCTION("""COMPUTED_VALUE"""),"plumbing company Cape Town CBD")</f>
        <v>plumbing company Cape Town CBD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 t="str">
        <f>IFERROR(__xludf.DUMMYFUNCTION("""COMPUTED_VALUE"""),"Southern Suburbs electrician")</f>
        <v>Southern Suburbs electrician</v>
      </c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 t="str">
        <f>IFERROR(__xludf.DUMMYFUNCTION("""COMPUTED_VALUE"""),"plumbing company Claremont")</f>
        <v>plumbing company Claremont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 t="str">
        <f>IFERROR(__xludf.DUMMYFUNCTION("""COMPUTED_VALUE"""),"Southern Suburbs emergency plumber")</f>
        <v>Southern Suburbs emergency plumber</v>
      </c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 t="str">
        <f>IFERROR(__xludf.DUMMYFUNCTION("""COMPUTED_VALUE"""),"plumbing company Constantia")</f>
        <v>plumbing company Constantia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 t="str">
        <f>IFERROR(__xludf.DUMMYFUNCTION("""COMPUTED_VALUE"""),"Southern Suburbs geyser repair")</f>
        <v>Southern Suburbs geyser repair</v>
      </c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 t="str">
        <f>IFERROR(__xludf.DUMMYFUNCTION("""COMPUTED_VALUE"""),"plumbing company Durbanville")</f>
        <v>plumbing company Durbanville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 t="str">
        <f>IFERROR(__xludf.DUMMYFUNCTION("""COMPUTED_VALUE"""),"Southern Suburbs leak detection plumber")</f>
        <v>Southern Suburbs leak detection plumber</v>
      </c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 t="str">
        <f>IFERROR(__xludf.DUMMYFUNCTION("""COMPUTED_VALUE"""),"plumbing company Fish Hoek")</f>
        <v>plumbing company Fish Hoek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 t="str">
        <f>IFERROR(__xludf.DUMMYFUNCTION("""COMPUTED_VALUE"""),"Southern Suburbs plumber")</f>
        <v>Southern Suburbs plumber</v>
      </c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 t="str">
        <f>IFERROR(__xludf.DUMMYFUNCTION("""COMPUTED_VALUE"""),"plumbing company Green Point")</f>
        <v>plumbing company Green Point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 t="str">
        <f>IFERROR(__xludf.DUMMYFUNCTION("""COMPUTED_VALUE"""),"Southern Suburbs plumbers")</f>
        <v>Southern Suburbs plumbers</v>
      </c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 t="str">
        <f>IFERROR(__xludf.DUMMYFUNCTION("""COMPUTED_VALUE"""),"plumbing company Hout Bay")</f>
        <v>plumbing company Hout Bay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 t="str">
        <f>IFERROR(__xludf.DUMMYFUNCTION("""COMPUTED_VALUE"""),"Southern Suburbs plumbing company")</f>
        <v>Southern Suburbs plumbing company</v>
      </c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 t="str">
        <f>IFERROR(__xludf.DUMMYFUNCTION("""COMPUTED_VALUE"""),"plumbing company Maitland")</f>
        <v>plumbing company Maitland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 t="str">
        <f>IFERROR(__xludf.DUMMYFUNCTION("""COMPUTED_VALUE"""),"Southern Suburbs refrigeration services")</f>
        <v>Southern Suburbs refrigeration services</v>
      </c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 t="str">
        <f>IFERROR(__xludf.DUMMYFUNCTION("""COMPUTED_VALUE"""),"plumbing company Milnerton")</f>
        <v>plumbing company Milnerton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 t="str">
        <f>IFERROR(__xludf.DUMMYFUNCTION("""COMPUTED_VALUE"""),"Table View aircon repairs")</f>
        <v>Table View aircon repairs</v>
      </c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 t="str">
        <f>IFERROR(__xludf.DUMMYFUNCTION("""COMPUTED_VALUE"""),"plumbing company Muizenberg")</f>
        <v>plumbing company Muizenberg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 t="str">
        <f>IFERROR(__xludf.DUMMYFUNCTION("""COMPUTED_VALUE"""),"Table View blocked drain plumber")</f>
        <v>Table View blocked drain plumber</v>
      </c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 t="str">
        <f>IFERROR(__xludf.DUMMYFUNCTION("""COMPUTED_VALUE"""),"plumbing company Newlands")</f>
        <v>plumbing company Newlands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 t="str">
        <f>IFERROR(__xludf.DUMMYFUNCTION("""COMPUTED_VALUE"""),"Table View electrician")</f>
        <v>Table View electrician</v>
      </c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 t="str">
        <f>IFERROR(__xludf.DUMMYFUNCTION("""COMPUTED_VALUE"""),"plumbing company Northern Suburbs")</f>
        <v>plumbing company Northern Suburbs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 t="str">
        <f>IFERROR(__xludf.DUMMYFUNCTION("""COMPUTED_VALUE"""),"Table View emergency plumber")</f>
        <v>Table View emergency plumber</v>
      </c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 t="str">
        <f>IFERROR(__xludf.DUMMYFUNCTION("""COMPUTED_VALUE"""),"plumbing company Observatory")</f>
        <v>plumbing company Observatory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 t="str">
        <f>IFERROR(__xludf.DUMMYFUNCTION("""COMPUTED_VALUE"""),"Table View geyser repair")</f>
        <v>Table View geyser repair</v>
      </c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 t="str">
        <f>IFERROR(__xludf.DUMMYFUNCTION("""COMPUTED_VALUE"""),"plumbing company Plumstead")</f>
        <v>plumbing company Plumstead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 t="str">
        <f>IFERROR(__xludf.DUMMYFUNCTION("""COMPUTED_VALUE"""),"Table View leak detection plumber")</f>
        <v>Table View leak detection plumber</v>
      </c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 t="str">
        <f>IFERROR(__xludf.DUMMYFUNCTION("""COMPUTED_VALUE"""),"plumbing company Rondebosch")</f>
        <v>plumbing company Rondebosch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 t="str">
        <f>IFERROR(__xludf.DUMMYFUNCTION("""COMPUTED_VALUE"""),"Table View plumber")</f>
        <v>Table View plumber</v>
      </c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 t="str">
        <f>IFERROR(__xludf.DUMMYFUNCTION("""COMPUTED_VALUE"""),"plumbing company Sea Point")</f>
        <v>plumbing company Sea Point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 t="str">
        <f>IFERROR(__xludf.DUMMYFUNCTION("""COMPUTED_VALUE"""),"Table View plumbers")</f>
        <v>Table View plumbers</v>
      </c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 t="str">
        <f>IFERROR(__xludf.DUMMYFUNCTION("""COMPUTED_VALUE"""),"plumbing company South Africa")</f>
        <v>plumbing company South Africa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 t="str">
        <f>IFERROR(__xludf.DUMMYFUNCTION("""COMPUTED_VALUE"""),"Table View plumbing company")</f>
        <v>Table View plumbing company</v>
      </c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 t="str">
        <f>IFERROR(__xludf.DUMMYFUNCTION("""COMPUTED_VALUE"""),"plumbing company Southern Suburbs")</f>
        <v>plumbing company Southern Suburbs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 t="str">
        <f>IFERROR(__xludf.DUMMYFUNCTION("""COMPUTED_VALUE"""),"Table View refrigeration services")</f>
        <v>Table View refrigeration services</v>
      </c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 t="str">
        <f>IFERROR(__xludf.DUMMYFUNCTION("""COMPUTED_VALUE"""),"plumbing company Table View")</f>
        <v>plumbing company Table View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 t="str">
        <f>IFERROR(__xludf.DUMMYFUNCTION("""COMPUTED_VALUE"""),"Tokai aircon repairs")</f>
        <v>Tokai aircon repairs</v>
      </c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 t="str">
        <f>IFERROR(__xludf.DUMMYFUNCTION("""COMPUTED_VALUE"""),"plumbing company Tokai")</f>
        <v>plumbing company Tokai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 t="str">
        <f>IFERROR(__xludf.DUMMYFUNCTION("""COMPUTED_VALUE"""),"Tokai blocked drain plumber")</f>
        <v>Tokai blocked drain plumber</v>
      </c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 t="str">
        <f>IFERROR(__xludf.DUMMYFUNCTION("""COMPUTED_VALUE"""),"plumbing company Woodstock")</f>
        <v>plumbing company Woodstock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 t="str">
        <f>IFERROR(__xludf.DUMMYFUNCTION("""COMPUTED_VALUE"""),"Tokai electrician")</f>
        <v>Tokai electrician</v>
      </c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 t="str">
        <f>IFERROR(__xludf.DUMMYFUNCTION("""COMPUTED_VALUE"""),"plumbing company Wynberg")</f>
        <v>plumbing company Wynberg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 t="str">
        <f>IFERROR(__xludf.DUMMYFUNCTION("""COMPUTED_VALUE"""),"Tokai emergency plumber")</f>
        <v>Tokai emergency plumber</v>
      </c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 t="str">
        <f>IFERROR(__xludf.DUMMYFUNCTION("""COMPUTED_VALUE"""),"refrigeration services Atlantic Seaboard")</f>
        <v>refrigeration services Atlantic Seaboard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 t="str">
        <f>IFERROR(__xludf.DUMMYFUNCTION("""COMPUTED_VALUE"""),"Tokai geyser repair")</f>
        <v>Tokai geyser repair</v>
      </c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 t="str">
        <f>IFERROR(__xludf.DUMMYFUNCTION("""COMPUTED_VALUE"""),"refrigeration services Bellville")</f>
        <v>refrigeration services Bellville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 t="str">
        <f>IFERROR(__xludf.DUMMYFUNCTION("""COMPUTED_VALUE"""),"Tokai leak detection plumber")</f>
        <v>Tokai leak detection plumber</v>
      </c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 t="str">
        <f>IFERROR(__xludf.DUMMYFUNCTION("""COMPUTED_VALUE"""),"refrigeration services Camps Bay")</f>
        <v>refrigeration services Camps Bay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 t="str">
        <f>IFERROR(__xludf.DUMMYFUNCTION("""COMPUTED_VALUE"""),"Tokai plumber")</f>
        <v>Tokai plumber</v>
      </c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 t="str">
        <f>IFERROR(__xludf.DUMMYFUNCTION("""COMPUTED_VALUE"""),"refrigeration services Cape Town")</f>
        <v>refrigeration services Cape Town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 t="str">
        <f>IFERROR(__xludf.DUMMYFUNCTION("""COMPUTED_VALUE"""),"Tokai plumbers")</f>
        <v>Tokai plumbers</v>
      </c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 t="str">
        <f>IFERROR(__xludf.DUMMYFUNCTION("""COMPUTED_VALUE"""),"refrigeration services Cape Town CBD")</f>
        <v>refrigeration services Cape Town CBD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 t="str">
        <f>IFERROR(__xludf.DUMMYFUNCTION("""COMPUTED_VALUE"""),"Tokai plumbing company")</f>
        <v>Tokai plumbing company</v>
      </c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 t="str">
        <f>IFERROR(__xludf.DUMMYFUNCTION("""COMPUTED_VALUE"""),"refrigeration services Claremont")</f>
        <v>refrigeration services Claremont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 t="str">
        <f>IFERROR(__xludf.DUMMYFUNCTION("""COMPUTED_VALUE"""),"Tokai refrigeration services")</f>
        <v>Tokai refrigeration services</v>
      </c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 t="str">
        <f>IFERROR(__xludf.DUMMYFUNCTION("""COMPUTED_VALUE"""),"refrigeration services Constantia")</f>
        <v>refrigeration services Constantia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 t="str">
        <f>IFERROR(__xludf.DUMMYFUNCTION("""COMPUTED_VALUE"""),"Woodstock aircon repairs")</f>
        <v>Woodstock aircon repairs</v>
      </c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 t="str">
        <f>IFERROR(__xludf.DUMMYFUNCTION("""COMPUTED_VALUE"""),"refrigeration services Durbanville")</f>
        <v>refrigeration services Durbanville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 t="str">
        <f>IFERROR(__xludf.DUMMYFUNCTION("""COMPUTED_VALUE"""),"Woodstock blocked drain plumber")</f>
        <v>Woodstock blocked drain plumber</v>
      </c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 t="str">
        <f>IFERROR(__xludf.DUMMYFUNCTION("""COMPUTED_VALUE"""),"refrigeration services Fish Hoek")</f>
        <v>refrigeration services Fish Hoek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 t="str">
        <f>IFERROR(__xludf.DUMMYFUNCTION("""COMPUTED_VALUE"""),"Woodstock electrician")</f>
        <v>Woodstock electrician</v>
      </c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 t="str">
        <f>IFERROR(__xludf.DUMMYFUNCTION("""COMPUTED_VALUE"""),"refrigeration services Green Point")</f>
        <v>refrigeration services Green Point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 t="str">
        <f>IFERROR(__xludf.DUMMYFUNCTION("""COMPUTED_VALUE"""),"Woodstock emergency plumber")</f>
        <v>Woodstock emergency plumber</v>
      </c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 t="str">
        <f>IFERROR(__xludf.DUMMYFUNCTION("""COMPUTED_VALUE"""),"refrigeration services Hout Bay")</f>
        <v>refrigeration services Hout Bay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 t="str">
        <f>IFERROR(__xludf.DUMMYFUNCTION("""COMPUTED_VALUE"""),"Woodstock geyser repair")</f>
        <v>Woodstock geyser repair</v>
      </c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 t="str">
        <f>IFERROR(__xludf.DUMMYFUNCTION("""COMPUTED_VALUE"""),"refrigeration services Maitland")</f>
        <v>refrigeration services Maitland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 t="str">
        <f>IFERROR(__xludf.DUMMYFUNCTION("""COMPUTED_VALUE"""),"Woodstock leak detection plumber")</f>
        <v>Woodstock leak detection plumber</v>
      </c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 t="str">
        <f>IFERROR(__xludf.DUMMYFUNCTION("""COMPUTED_VALUE"""),"refrigeration services Milnerton")</f>
        <v>refrigeration services Milnerton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 t="str">
        <f>IFERROR(__xludf.DUMMYFUNCTION("""COMPUTED_VALUE"""),"Woodstock plumber")</f>
        <v>Woodstock plumber</v>
      </c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 t="str">
        <f>IFERROR(__xludf.DUMMYFUNCTION("""COMPUTED_VALUE"""),"refrigeration services Muizenberg")</f>
        <v>refrigeration services Muizenberg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 t="str">
        <f>IFERROR(__xludf.DUMMYFUNCTION("""COMPUTED_VALUE"""),"Woodstock plumbers")</f>
        <v>Woodstock plumbers</v>
      </c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 t="str">
        <f>IFERROR(__xludf.DUMMYFUNCTION("""COMPUTED_VALUE"""),"refrigeration services Newlands")</f>
        <v>refrigeration services Newlands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 t="str">
        <f>IFERROR(__xludf.DUMMYFUNCTION("""COMPUTED_VALUE"""),"Woodstock plumbing company")</f>
        <v>Woodstock plumbing company</v>
      </c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 t="str">
        <f>IFERROR(__xludf.DUMMYFUNCTION("""COMPUTED_VALUE"""),"refrigeration services Northern Suburbs")</f>
        <v>refrigeration services Northern Suburbs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 t="str">
        <f>IFERROR(__xludf.DUMMYFUNCTION("""COMPUTED_VALUE"""),"Woodstock refrigeration services")</f>
        <v>Woodstock refrigeration services</v>
      </c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 t="str">
        <f>IFERROR(__xludf.DUMMYFUNCTION("""COMPUTED_VALUE"""),"refrigeration services Observatory")</f>
        <v>refrigeration services Observatory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 t="str">
        <f>IFERROR(__xludf.DUMMYFUNCTION("""COMPUTED_VALUE"""),"Wynberg aircon repairs")</f>
        <v>Wynberg aircon repairs</v>
      </c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 t="str">
        <f>IFERROR(__xludf.DUMMYFUNCTION("""COMPUTED_VALUE"""),"refrigeration services Plumstead")</f>
        <v>refrigeration services Plumstead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 t="str">
        <f>IFERROR(__xludf.DUMMYFUNCTION("""COMPUTED_VALUE"""),"Wynberg blocked drain plumber")</f>
        <v>Wynberg blocked drain plumber</v>
      </c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 t="str">
        <f>IFERROR(__xludf.DUMMYFUNCTION("""COMPUTED_VALUE"""),"refrigeration services Rondebosch")</f>
        <v>refrigeration services Rondebosch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 t="str">
        <f>IFERROR(__xludf.DUMMYFUNCTION("""COMPUTED_VALUE"""),"Wynberg electrician")</f>
        <v>Wynberg electrician</v>
      </c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 t="str">
        <f>IFERROR(__xludf.DUMMYFUNCTION("""COMPUTED_VALUE"""),"refrigeration services Sea Point")</f>
        <v>refrigeration services Sea Point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 t="str">
        <f>IFERROR(__xludf.DUMMYFUNCTION("""COMPUTED_VALUE"""),"Wynberg emergency plumber")</f>
        <v>Wynberg emergency plumber</v>
      </c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 t="str">
        <f>IFERROR(__xludf.DUMMYFUNCTION("""COMPUTED_VALUE"""),"refrigeration services South Africa")</f>
        <v>refrigeration services South Africa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 t="str">
        <f>IFERROR(__xludf.DUMMYFUNCTION("""COMPUTED_VALUE"""),"Wynberg geyser repair")</f>
        <v>Wynberg geyser repair</v>
      </c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 t="str">
        <f>IFERROR(__xludf.DUMMYFUNCTION("""COMPUTED_VALUE"""),"refrigeration services Southern Suburbs")</f>
        <v>refrigeration services Southern Suburbs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 t="str">
        <f>IFERROR(__xludf.DUMMYFUNCTION("""COMPUTED_VALUE"""),"Wynberg leak detection plumber")</f>
        <v>Wynberg leak detection plumber</v>
      </c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 t="str">
        <f>IFERROR(__xludf.DUMMYFUNCTION("""COMPUTED_VALUE"""),"refrigeration services Table View")</f>
        <v>refrigeration services Table View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 t="str">
        <f>IFERROR(__xludf.DUMMYFUNCTION("""COMPUTED_VALUE"""),"Wynberg plumber")</f>
        <v>Wynberg plumber</v>
      </c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 t="str">
        <f>IFERROR(__xludf.DUMMYFUNCTION("""COMPUTED_VALUE"""),"refrigeration services Tokai")</f>
        <v>refrigeration services Tokai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 t="str">
        <f>IFERROR(__xludf.DUMMYFUNCTION("""COMPUTED_VALUE"""),"Wynberg plumbers")</f>
        <v>Wynberg plumbers</v>
      </c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 t="str">
        <f>IFERROR(__xludf.DUMMYFUNCTION("""COMPUTED_VALUE"""),"refrigeration services Woodstock")</f>
        <v>refrigeration services Woodstock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 t="str">
        <f>IFERROR(__xludf.DUMMYFUNCTION("""COMPUTED_VALUE"""),"Wynberg plumbing company")</f>
        <v>Wynberg plumbing company</v>
      </c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 t="str">
        <f>IFERROR(__xludf.DUMMYFUNCTION("""COMPUTED_VALUE"""),"refrigeration services Wynberg")</f>
        <v>refrigeration services Wynberg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 t="str">
        <f>IFERROR(__xludf.DUMMYFUNCTION("""COMPUTED_VALUE"""),"Wynberg refrigeration services")</f>
        <v>Wynberg refrigeration services</v>
      </c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2" t="s">
        <v>1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12</v>
      </c>
      <c r="I1" s="2" t="s">
        <v>14</v>
      </c>
      <c r="J1" s="2" t="s">
        <v>16</v>
      </c>
      <c r="K1" s="2" t="s">
        <v>18</v>
      </c>
      <c r="L1" s="5" t="s">
        <v>21</v>
      </c>
      <c r="M1" s="2"/>
      <c r="N1" s="2" t="s">
        <v>1</v>
      </c>
      <c r="O1" s="2" t="s">
        <v>3</v>
      </c>
      <c r="P1" s="2" t="s">
        <v>5</v>
      </c>
      <c r="Q1" s="2" t="s">
        <v>6</v>
      </c>
      <c r="R1" s="2" t="s">
        <v>8</v>
      </c>
      <c r="S1" s="2" t="s">
        <v>9</v>
      </c>
      <c r="T1" s="2" t="s">
        <v>12</v>
      </c>
      <c r="U1" s="2" t="s">
        <v>14</v>
      </c>
      <c r="V1" s="2" t="s">
        <v>16</v>
      </c>
      <c r="W1" s="2" t="s">
        <v>18</v>
      </c>
      <c r="X1" s="8" t="s">
        <v>32</v>
      </c>
      <c r="Y1" s="4"/>
      <c r="Z1" s="4"/>
    </row>
    <row r="2">
      <c r="A2" s="9" t="s">
        <v>35</v>
      </c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41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4"/>
      <c r="Z2" s="4"/>
    </row>
    <row r="3">
      <c r="A3" s="13" t="s">
        <v>44</v>
      </c>
      <c r="B3" s="14" t="str">
        <f t="shared" ref="B3:K3" si="1">IF($A3="","",IF(OR(ISNUMBER(SEARCH(LOWER($A3),LOWER(B$1))),AND(RIGHT(LOWER($A3),1)="s",ISNUMBER(SEARCH(LEFT(LOWER($A3),LEN($A3)-1),LOWER(B$1))))),B$1,B$1&amp;" "&amp;$A3))</f>
        <v>plumber cape town emergency</v>
      </c>
      <c r="C3" s="14" t="str">
        <f t="shared" si="1"/>
        <v>plumbing services emergency</v>
      </c>
      <c r="D3" s="14" t="str">
        <f t="shared" si="1"/>
        <v>plumbing company emergency</v>
      </c>
      <c r="E3" s="14" t="str">
        <f t="shared" si="1"/>
        <v>plumbing contractors emergency</v>
      </c>
      <c r="F3" s="14" t="str">
        <f t="shared" si="1"/>
        <v>residential plumber emergency</v>
      </c>
      <c r="G3" s="14" t="str">
        <f t="shared" si="1"/>
        <v>commercial plumber emergency</v>
      </c>
      <c r="H3" s="14" t="str">
        <f t="shared" si="1"/>
        <v>maintenance plumber emergency</v>
      </c>
      <c r="I3" s="14" t="str">
        <f t="shared" si="1"/>
        <v>plumbing repairs emergency</v>
      </c>
      <c r="J3" s="14" t="str">
        <f t="shared" si="1"/>
        <v>plumbing installation emergency</v>
      </c>
      <c r="K3" s="14" t="str">
        <f t="shared" si="1"/>
        <v>plumbing inspection emergency</v>
      </c>
      <c r="L3" s="16" t="str">
        <f>IFERROR(__xludf.DUMMYFUNCTION("SORT(UNIQUE(FILTER(FLATTEN(B3:K82),FLATTEN(B3:K82)&lt;&gt;"""")))"),"commercial plumber 24 hour")</f>
        <v>commercial plumber 24 hour</v>
      </c>
      <c r="M3" s="17"/>
      <c r="N3" s="14" t="str">
        <f t="shared" ref="N3:W3" si="2">IF($A3="","",IF(OR(ISNUMBER(SEARCH(LOWER($A3),LOWER(N$1))),AND(RIGHT(LOWER($A3),1)="s",ISNUMBER(SEARCH(LEFT(LOWER($A3),LEN($A3)-1),LOWER(N$1))))),N$1,$A3&amp;" "&amp;N$1))</f>
        <v>emergency plumber cape town</v>
      </c>
      <c r="O3" s="14" t="str">
        <f t="shared" si="2"/>
        <v>emergency plumbing services</v>
      </c>
      <c r="P3" s="14" t="str">
        <f t="shared" si="2"/>
        <v>emergency plumbing company</v>
      </c>
      <c r="Q3" s="14" t="str">
        <f t="shared" si="2"/>
        <v>emergency plumbing contractors</v>
      </c>
      <c r="R3" s="14" t="str">
        <f t="shared" si="2"/>
        <v>emergency residential plumber</v>
      </c>
      <c r="S3" s="14" t="str">
        <f t="shared" si="2"/>
        <v>emergency commercial plumber</v>
      </c>
      <c r="T3" s="14" t="str">
        <f t="shared" si="2"/>
        <v>emergency maintenance plumber</v>
      </c>
      <c r="U3" s="14" t="str">
        <f t="shared" si="2"/>
        <v>emergency plumbing repairs</v>
      </c>
      <c r="V3" s="14" t="str">
        <f t="shared" si="2"/>
        <v>emergency plumbing installation</v>
      </c>
      <c r="W3" s="14" t="str">
        <f t="shared" si="2"/>
        <v>emergency plumbing inspection</v>
      </c>
      <c r="X3" s="18" t="str">
        <f>IFERROR(__xludf.DUMMYFUNCTION("SORT(UNIQUE(FILTER(FLATTEN(N3:W82),FLATTEN(N3:W82)&lt;&gt;"""")))"),"24 hour commercial plumber")</f>
        <v>24 hour commercial plumber</v>
      </c>
      <c r="Y3" s="4"/>
      <c r="Z3" s="4"/>
    </row>
    <row r="4">
      <c r="A4" s="13" t="s">
        <v>56</v>
      </c>
      <c r="B4" s="14" t="str">
        <f t="shared" ref="B4:K4" si="3">IF($A4="","",IF(OR(ISNUMBER(SEARCH(LOWER($A4),LOWER(B$1))),AND(RIGHT(LOWER($A4),1)="s",ISNUMBER(SEARCH(LEFT(LOWER($A4),LEN($A4)-1),LOWER(B$1))))),B$1,B$1&amp;" "&amp;$A4))</f>
        <v>plumber cape town 24 hour</v>
      </c>
      <c r="C4" s="14" t="str">
        <f t="shared" si="3"/>
        <v>plumbing services 24 hour</v>
      </c>
      <c r="D4" s="14" t="str">
        <f t="shared" si="3"/>
        <v>plumbing company 24 hour</v>
      </c>
      <c r="E4" s="14" t="str">
        <f t="shared" si="3"/>
        <v>plumbing contractors 24 hour</v>
      </c>
      <c r="F4" s="14" t="str">
        <f t="shared" si="3"/>
        <v>residential plumber 24 hour</v>
      </c>
      <c r="G4" s="14" t="str">
        <f t="shared" si="3"/>
        <v>commercial plumber 24 hour</v>
      </c>
      <c r="H4" s="14" t="str">
        <f t="shared" si="3"/>
        <v>maintenance plumber 24 hour</v>
      </c>
      <c r="I4" s="14" t="str">
        <f t="shared" si="3"/>
        <v>plumbing repairs 24 hour</v>
      </c>
      <c r="J4" s="14" t="str">
        <f t="shared" si="3"/>
        <v>plumbing installation 24 hour</v>
      </c>
      <c r="K4" s="14" t="str">
        <f t="shared" si="3"/>
        <v>plumbing inspection 24 hour</v>
      </c>
      <c r="L4" s="16" t="str">
        <f>IFERROR(__xludf.DUMMYFUNCTION("""COMPUTED_VALUE"""),"commercial plumber affordable")</f>
        <v>commercial plumber affordable</v>
      </c>
      <c r="M4" s="17"/>
      <c r="N4" s="14" t="str">
        <f t="shared" ref="N4:W4" si="4">IF($A4="","",IF(OR(ISNUMBER(SEARCH(LOWER($A4),LOWER(N$1))),AND(RIGHT(LOWER($A4),1)="s",ISNUMBER(SEARCH(LEFT(LOWER($A4),LEN($A4)-1),LOWER(N$1))))),N$1,$A4&amp;" "&amp;N$1))</f>
        <v>24 hour plumber cape town</v>
      </c>
      <c r="O4" s="14" t="str">
        <f t="shared" si="4"/>
        <v>24 hour plumbing services</v>
      </c>
      <c r="P4" s="14" t="str">
        <f t="shared" si="4"/>
        <v>24 hour plumbing company</v>
      </c>
      <c r="Q4" s="14" t="str">
        <f t="shared" si="4"/>
        <v>24 hour plumbing contractors</v>
      </c>
      <c r="R4" s="14" t="str">
        <f t="shared" si="4"/>
        <v>24 hour residential plumber</v>
      </c>
      <c r="S4" s="14" t="str">
        <f t="shared" si="4"/>
        <v>24 hour commercial plumber</v>
      </c>
      <c r="T4" s="14" t="str">
        <f t="shared" si="4"/>
        <v>24 hour maintenance plumber</v>
      </c>
      <c r="U4" s="14" t="str">
        <f t="shared" si="4"/>
        <v>24 hour plumbing repairs</v>
      </c>
      <c r="V4" s="14" t="str">
        <f t="shared" si="4"/>
        <v>24 hour plumbing installation</v>
      </c>
      <c r="W4" s="14" t="str">
        <f t="shared" si="4"/>
        <v>24 hour plumbing inspection</v>
      </c>
      <c r="X4" s="18" t="str">
        <f>IFERROR(__xludf.DUMMYFUNCTION("""COMPUTED_VALUE"""),"24 hour maintenance plumber")</f>
        <v>24 hour maintenance plumber</v>
      </c>
      <c r="Y4" s="4"/>
      <c r="Z4" s="4"/>
    </row>
    <row r="5">
      <c r="A5" s="13" t="s">
        <v>58</v>
      </c>
      <c r="B5" s="14" t="str">
        <f t="shared" ref="B5:K5" si="5">IF($A5="","",IF(OR(ISNUMBER(SEARCH(LOWER($A5),LOWER(B$1))),AND(RIGHT(LOWER($A5),1)="s",ISNUMBER(SEARCH(LEFT(LOWER($A5),LEN($A5)-1),LOWER(B$1))))),B$1,B$1&amp;" "&amp;$A5))</f>
        <v>plumber cape town same day</v>
      </c>
      <c r="C5" s="14" t="str">
        <f t="shared" si="5"/>
        <v>plumbing services same day</v>
      </c>
      <c r="D5" s="14" t="str">
        <f t="shared" si="5"/>
        <v>plumbing company same day</v>
      </c>
      <c r="E5" s="14" t="str">
        <f t="shared" si="5"/>
        <v>plumbing contractors same day</v>
      </c>
      <c r="F5" s="14" t="str">
        <f t="shared" si="5"/>
        <v>residential plumber same day</v>
      </c>
      <c r="G5" s="14" t="str">
        <f t="shared" si="5"/>
        <v>commercial plumber same day</v>
      </c>
      <c r="H5" s="14" t="str">
        <f t="shared" si="5"/>
        <v>maintenance plumber same day</v>
      </c>
      <c r="I5" s="14" t="str">
        <f t="shared" si="5"/>
        <v>plumbing repairs same day</v>
      </c>
      <c r="J5" s="14" t="str">
        <f t="shared" si="5"/>
        <v>plumbing installation same day</v>
      </c>
      <c r="K5" s="14" t="str">
        <f t="shared" si="5"/>
        <v>plumbing inspection same day</v>
      </c>
      <c r="L5" s="16" t="str">
        <f>IFERROR(__xludf.DUMMYFUNCTION("""COMPUTED_VALUE"""),"commercial plumber after hours")</f>
        <v>commercial plumber after hours</v>
      </c>
      <c r="M5" s="17"/>
      <c r="N5" s="14" t="str">
        <f t="shared" ref="N5:W5" si="6">IF($A5="","",IF(OR(ISNUMBER(SEARCH(LOWER($A5),LOWER(N$1))),AND(RIGHT(LOWER($A5),1)="s",ISNUMBER(SEARCH(LEFT(LOWER($A5),LEN($A5)-1),LOWER(N$1))))),N$1,$A5&amp;" "&amp;N$1))</f>
        <v>same day plumber cape town</v>
      </c>
      <c r="O5" s="14" t="str">
        <f t="shared" si="6"/>
        <v>same day plumbing services</v>
      </c>
      <c r="P5" s="14" t="str">
        <f t="shared" si="6"/>
        <v>same day plumbing company</v>
      </c>
      <c r="Q5" s="14" t="str">
        <f t="shared" si="6"/>
        <v>same day plumbing contractors</v>
      </c>
      <c r="R5" s="14" t="str">
        <f t="shared" si="6"/>
        <v>same day residential plumber</v>
      </c>
      <c r="S5" s="14" t="str">
        <f t="shared" si="6"/>
        <v>same day commercial plumber</v>
      </c>
      <c r="T5" s="14" t="str">
        <f t="shared" si="6"/>
        <v>same day maintenance plumber</v>
      </c>
      <c r="U5" s="14" t="str">
        <f t="shared" si="6"/>
        <v>same day plumbing repairs</v>
      </c>
      <c r="V5" s="14" t="str">
        <f t="shared" si="6"/>
        <v>same day plumbing installation</v>
      </c>
      <c r="W5" s="14" t="str">
        <f t="shared" si="6"/>
        <v>same day plumbing inspection</v>
      </c>
      <c r="X5" s="18" t="str">
        <f>IFERROR(__xludf.DUMMYFUNCTION("""COMPUTED_VALUE"""),"24 hour plumber cape town")</f>
        <v>24 hour plumber cape town</v>
      </c>
      <c r="Y5" s="4"/>
      <c r="Z5" s="4"/>
    </row>
    <row r="6">
      <c r="A6" s="13" t="s">
        <v>54</v>
      </c>
      <c r="B6" s="14" t="str">
        <f t="shared" ref="B6:K6" si="7">IF($A6="","",IF(OR(ISNUMBER(SEARCH(LOWER($A6),LOWER(B$1))),AND(RIGHT(LOWER($A6),1)="s",ISNUMBER(SEARCH(LEFT(LOWER($A6),LEN($A6)-1),LOWER(B$1))))),B$1,B$1&amp;" "&amp;$A6))</f>
        <v>plumber cape town near me</v>
      </c>
      <c r="C6" s="14" t="str">
        <f t="shared" si="7"/>
        <v>plumbing services near me</v>
      </c>
      <c r="D6" s="14" t="str">
        <f t="shared" si="7"/>
        <v>plumbing company near me</v>
      </c>
      <c r="E6" s="14" t="str">
        <f t="shared" si="7"/>
        <v>plumbing contractors near me</v>
      </c>
      <c r="F6" s="14" t="str">
        <f t="shared" si="7"/>
        <v>residential plumber near me</v>
      </c>
      <c r="G6" s="14" t="str">
        <f t="shared" si="7"/>
        <v>commercial plumber near me</v>
      </c>
      <c r="H6" s="14" t="str">
        <f t="shared" si="7"/>
        <v>maintenance plumber near me</v>
      </c>
      <c r="I6" s="14" t="str">
        <f t="shared" si="7"/>
        <v>plumbing repairs near me</v>
      </c>
      <c r="J6" s="14" t="str">
        <f t="shared" si="7"/>
        <v>plumbing installation near me</v>
      </c>
      <c r="K6" s="14" t="str">
        <f t="shared" si="7"/>
        <v>plumbing inspection near me</v>
      </c>
      <c r="L6" s="16" t="str">
        <f>IFERROR(__xludf.DUMMYFUNCTION("""COMPUTED_VALUE"""),"commercial plumber best")</f>
        <v>commercial plumber best</v>
      </c>
      <c r="M6" s="17"/>
      <c r="N6" s="14" t="str">
        <f t="shared" ref="N6:W6" si="8">IF($A6="","",IF(OR(ISNUMBER(SEARCH(LOWER($A6),LOWER(N$1))),AND(RIGHT(LOWER($A6),1)="s",ISNUMBER(SEARCH(LEFT(LOWER($A6),LEN($A6)-1),LOWER(N$1))))),N$1,$A6&amp;" "&amp;N$1))</f>
        <v>near me plumber cape town</v>
      </c>
      <c r="O6" s="14" t="str">
        <f t="shared" si="8"/>
        <v>near me plumbing services</v>
      </c>
      <c r="P6" s="14" t="str">
        <f t="shared" si="8"/>
        <v>near me plumbing company</v>
      </c>
      <c r="Q6" s="14" t="str">
        <f t="shared" si="8"/>
        <v>near me plumbing contractors</v>
      </c>
      <c r="R6" s="14" t="str">
        <f t="shared" si="8"/>
        <v>near me residential plumber</v>
      </c>
      <c r="S6" s="14" t="str">
        <f t="shared" si="8"/>
        <v>near me commercial plumber</v>
      </c>
      <c r="T6" s="14" t="str">
        <f t="shared" si="8"/>
        <v>near me maintenance plumber</v>
      </c>
      <c r="U6" s="14" t="str">
        <f t="shared" si="8"/>
        <v>near me plumbing repairs</v>
      </c>
      <c r="V6" s="14" t="str">
        <f t="shared" si="8"/>
        <v>near me plumbing installation</v>
      </c>
      <c r="W6" s="14" t="str">
        <f t="shared" si="8"/>
        <v>near me plumbing inspection</v>
      </c>
      <c r="X6" s="18" t="str">
        <f>IFERROR(__xludf.DUMMYFUNCTION("""COMPUTED_VALUE"""),"24 hour plumbing company")</f>
        <v>24 hour plumbing company</v>
      </c>
      <c r="Y6" s="4"/>
      <c r="Z6" s="4"/>
    </row>
    <row r="7">
      <c r="A7" s="13" t="s">
        <v>62</v>
      </c>
      <c r="B7" s="14" t="str">
        <f t="shared" ref="B7:K7" si="9">IF($A7="","",IF(OR(ISNUMBER(SEARCH(LOWER($A7),LOWER(B$1))),AND(RIGHT(LOWER($A7),1)="s",ISNUMBER(SEARCH(LEFT(LOWER($A7),LEN($A7)-1),LOWER(B$1))))),B$1,B$1&amp;" "&amp;$A7))</f>
        <v>plumber cape town local</v>
      </c>
      <c r="C7" s="14" t="str">
        <f t="shared" si="9"/>
        <v>plumbing services local</v>
      </c>
      <c r="D7" s="14" t="str">
        <f t="shared" si="9"/>
        <v>plumbing company local</v>
      </c>
      <c r="E7" s="14" t="str">
        <f t="shared" si="9"/>
        <v>plumbing contractors local</v>
      </c>
      <c r="F7" s="14" t="str">
        <f t="shared" si="9"/>
        <v>residential plumber local</v>
      </c>
      <c r="G7" s="14" t="str">
        <f t="shared" si="9"/>
        <v>commercial plumber local</v>
      </c>
      <c r="H7" s="14" t="str">
        <f t="shared" si="9"/>
        <v>maintenance plumber local</v>
      </c>
      <c r="I7" s="14" t="str">
        <f t="shared" si="9"/>
        <v>plumbing repairs local</v>
      </c>
      <c r="J7" s="14" t="str">
        <f t="shared" si="9"/>
        <v>plumbing installation local</v>
      </c>
      <c r="K7" s="14" t="str">
        <f t="shared" si="9"/>
        <v>plumbing inspection local</v>
      </c>
      <c r="L7" s="16" t="str">
        <f>IFERROR(__xludf.DUMMYFUNCTION("""COMPUTED_VALUE"""),"commercial plumber call out")</f>
        <v>commercial plumber call out</v>
      </c>
      <c r="M7" s="17"/>
      <c r="N7" s="14" t="str">
        <f t="shared" ref="N7:W7" si="10">IF($A7="","",IF(OR(ISNUMBER(SEARCH(LOWER($A7),LOWER(N$1))),AND(RIGHT(LOWER($A7),1)="s",ISNUMBER(SEARCH(LEFT(LOWER($A7),LEN($A7)-1),LOWER(N$1))))),N$1,$A7&amp;" "&amp;N$1))</f>
        <v>local plumber cape town</v>
      </c>
      <c r="O7" s="14" t="str">
        <f t="shared" si="10"/>
        <v>local plumbing services</v>
      </c>
      <c r="P7" s="14" t="str">
        <f t="shared" si="10"/>
        <v>local plumbing company</v>
      </c>
      <c r="Q7" s="14" t="str">
        <f t="shared" si="10"/>
        <v>local plumbing contractors</v>
      </c>
      <c r="R7" s="14" t="str">
        <f t="shared" si="10"/>
        <v>local residential plumber</v>
      </c>
      <c r="S7" s="14" t="str">
        <f t="shared" si="10"/>
        <v>local commercial plumber</v>
      </c>
      <c r="T7" s="14" t="str">
        <f t="shared" si="10"/>
        <v>local maintenance plumber</v>
      </c>
      <c r="U7" s="14" t="str">
        <f t="shared" si="10"/>
        <v>local plumbing repairs</v>
      </c>
      <c r="V7" s="14" t="str">
        <f t="shared" si="10"/>
        <v>local plumbing installation</v>
      </c>
      <c r="W7" s="14" t="str">
        <f t="shared" si="10"/>
        <v>local plumbing inspection</v>
      </c>
      <c r="X7" s="18" t="str">
        <f>IFERROR(__xludf.DUMMYFUNCTION("""COMPUTED_VALUE"""),"24 hour plumbing contractors")</f>
        <v>24 hour plumbing contractors</v>
      </c>
      <c r="Y7" s="4"/>
      <c r="Z7" s="4"/>
    </row>
    <row r="8">
      <c r="A8" s="13" t="s">
        <v>65</v>
      </c>
      <c r="B8" s="14" t="str">
        <f t="shared" ref="B8:K8" si="11">IF($A8="","",IF(OR(ISNUMBER(SEARCH(LOWER($A8),LOWER(B$1))),AND(RIGHT(LOWER($A8),1)="s",ISNUMBER(SEARCH(LEFT(LOWER($A8),LEN($A8)-1),LOWER(B$1))))),B$1,B$1&amp;" "&amp;$A8))</f>
        <v>plumber cape town affordable</v>
      </c>
      <c r="C8" s="14" t="str">
        <f t="shared" si="11"/>
        <v>plumbing services affordable</v>
      </c>
      <c r="D8" s="14" t="str">
        <f t="shared" si="11"/>
        <v>plumbing company affordable</v>
      </c>
      <c r="E8" s="14" t="str">
        <f t="shared" si="11"/>
        <v>plumbing contractors affordable</v>
      </c>
      <c r="F8" s="14" t="str">
        <f t="shared" si="11"/>
        <v>residential plumber affordable</v>
      </c>
      <c r="G8" s="14" t="str">
        <f t="shared" si="11"/>
        <v>commercial plumber affordable</v>
      </c>
      <c r="H8" s="14" t="str">
        <f t="shared" si="11"/>
        <v>maintenance plumber affordable</v>
      </c>
      <c r="I8" s="14" t="str">
        <f t="shared" si="11"/>
        <v>plumbing repairs affordable</v>
      </c>
      <c r="J8" s="14" t="str">
        <f t="shared" si="11"/>
        <v>plumbing installation affordable</v>
      </c>
      <c r="K8" s="14" t="str">
        <f t="shared" si="11"/>
        <v>plumbing inspection affordable</v>
      </c>
      <c r="L8" s="16" t="str">
        <f>IFERROR(__xludf.DUMMYFUNCTION("""COMPUTED_VALUE"""),"commercial plumber company")</f>
        <v>commercial plumber company</v>
      </c>
      <c r="M8" s="17"/>
      <c r="N8" s="14" t="str">
        <f t="shared" ref="N8:W8" si="12">IF($A8="","",IF(OR(ISNUMBER(SEARCH(LOWER($A8),LOWER(N$1))),AND(RIGHT(LOWER($A8),1)="s",ISNUMBER(SEARCH(LEFT(LOWER($A8),LEN($A8)-1),LOWER(N$1))))),N$1,$A8&amp;" "&amp;N$1))</f>
        <v>affordable plumber cape town</v>
      </c>
      <c r="O8" s="14" t="str">
        <f t="shared" si="12"/>
        <v>affordable plumbing services</v>
      </c>
      <c r="P8" s="14" t="str">
        <f t="shared" si="12"/>
        <v>affordable plumbing company</v>
      </c>
      <c r="Q8" s="14" t="str">
        <f t="shared" si="12"/>
        <v>affordable plumbing contractors</v>
      </c>
      <c r="R8" s="14" t="str">
        <f t="shared" si="12"/>
        <v>affordable residential plumber</v>
      </c>
      <c r="S8" s="14" t="str">
        <f t="shared" si="12"/>
        <v>affordable commercial plumber</v>
      </c>
      <c r="T8" s="14" t="str">
        <f t="shared" si="12"/>
        <v>affordable maintenance plumber</v>
      </c>
      <c r="U8" s="14" t="str">
        <f t="shared" si="12"/>
        <v>affordable plumbing repairs</v>
      </c>
      <c r="V8" s="14" t="str">
        <f t="shared" si="12"/>
        <v>affordable plumbing installation</v>
      </c>
      <c r="W8" s="14" t="str">
        <f t="shared" si="12"/>
        <v>affordable plumbing inspection</v>
      </c>
      <c r="X8" s="18" t="str">
        <f>IFERROR(__xludf.DUMMYFUNCTION("""COMPUTED_VALUE"""),"24 hour plumbing inspection")</f>
        <v>24 hour plumbing inspection</v>
      </c>
      <c r="Y8" s="4"/>
      <c r="Z8" s="4"/>
    </row>
    <row r="9">
      <c r="A9" s="13" t="s">
        <v>68</v>
      </c>
      <c r="B9" s="14" t="str">
        <f t="shared" ref="B9:K9" si="13">IF($A9="","",IF(OR(ISNUMBER(SEARCH(LOWER($A9),LOWER(B$1))),AND(RIGHT(LOWER($A9),1)="s",ISNUMBER(SEARCH(LEFT(LOWER($A9),LEN($A9)-1),LOWER(B$1))))),B$1,B$1&amp;" "&amp;$A9))</f>
        <v>plumber cape town professional</v>
      </c>
      <c r="C9" s="14" t="str">
        <f t="shared" si="13"/>
        <v>plumbing services professional</v>
      </c>
      <c r="D9" s="14" t="str">
        <f t="shared" si="13"/>
        <v>plumbing company professional</v>
      </c>
      <c r="E9" s="14" t="str">
        <f t="shared" si="13"/>
        <v>plumbing contractors professional</v>
      </c>
      <c r="F9" s="14" t="str">
        <f t="shared" si="13"/>
        <v>residential plumber professional</v>
      </c>
      <c r="G9" s="14" t="str">
        <f t="shared" si="13"/>
        <v>commercial plumber professional</v>
      </c>
      <c r="H9" s="14" t="str">
        <f t="shared" si="13"/>
        <v>maintenance plumber professional</v>
      </c>
      <c r="I9" s="14" t="str">
        <f t="shared" si="13"/>
        <v>plumbing repairs professional</v>
      </c>
      <c r="J9" s="14" t="str">
        <f t="shared" si="13"/>
        <v>plumbing installation professional</v>
      </c>
      <c r="K9" s="14" t="str">
        <f t="shared" si="13"/>
        <v>plumbing inspection professional</v>
      </c>
      <c r="L9" s="16" t="str">
        <f>IFERROR(__xludf.DUMMYFUNCTION("""COMPUTED_VALUE"""),"commercial plumber contractor")</f>
        <v>commercial plumber contractor</v>
      </c>
      <c r="M9" s="17"/>
      <c r="N9" s="14" t="str">
        <f t="shared" ref="N9:W9" si="14">IF($A9="","",IF(OR(ISNUMBER(SEARCH(LOWER($A9),LOWER(N$1))),AND(RIGHT(LOWER($A9),1)="s",ISNUMBER(SEARCH(LEFT(LOWER($A9),LEN($A9)-1),LOWER(N$1))))),N$1,$A9&amp;" "&amp;N$1))</f>
        <v>professional plumber cape town</v>
      </c>
      <c r="O9" s="14" t="str">
        <f t="shared" si="14"/>
        <v>professional plumbing services</v>
      </c>
      <c r="P9" s="14" t="str">
        <f t="shared" si="14"/>
        <v>professional plumbing company</v>
      </c>
      <c r="Q9" s="14" t="str">
        <f t="shared" si="14"/>
        <v>professional plumbing contractors</v>
      </c>
      <c r="R9" s="14" t="str">
        <f t="shared" si="14"/>
        <v>professional residential plumber</v>
      </c>
      <c r="S9" s="14" t="str">
        <f t="shared" si="14"/>
        <v>professional commercial plumber</v>
      </c>
      <c r="T9" s="14" t="str">
        <f t="shared" si="14"/>
        <v>professional maintenance plumber</v>
      </c>
      <c r="U9" s="14" t="str">
        <f t="shared" si="14"/>
        <v>professional plumbing repairs</v>
      </c>
      <c r="V9" s="14" t="str">
        <f t="shared" si="14"/>
        <v>professional plumbing installation</v>
      </c>
      <c r="W9" s="14" t="str">
        <f t="shared" si="14"/>
        <v>professional plumbing inspection</v>
      </c>
      <c r="X9" s="18" t="str">
        <f>IFERROR(__xludf.DUMMYFUNCTION("""COMPUTED_VALUE"""),"24 hour plumbing installation")</f>
        <v>24 hour plumbing installation</v>
      </c>
      <c r="Y9" s="4"/>
      <c r="Z9" s="4"/>
    </row>
    <row r="10">
      <c r="A10" s="13" t="s">
        <v>70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plumber cape town qualified</v>
      </c>
      <c r="C10" s="14" t="str">
        <f t="shared" si="15"/>
        <v>plumbing services qualified</v>
      </c>
      <c r="D10" s="14" t="str">
        <f t="shared" si="15"/>
        <v>plumbing company qualified</v>
      </c>
      <c r="E10" s="14" t="str">
        <f t="shared" si="15"/>
        <v>plumbing contractors qualified</v>
      </c>
      <c r="F10" s="14" t="str">
        <f t="shared" si="15"/>
        <v>residential plumber qualified</v>
      </c>
      <c r="G10" s="14" t="str">
        <f t="shared" si="15"/>
        <v>commercial plumber qualified</v>
      </c>
      <c r="H10" s="14" t="str">
        <f t="shared" si="15"/>
        <v>maintenance plumber qualified</v>
      </c>
      <c r="I10" s="14" t="str">
        <f t="shared" si="15"/>
        <v>plumbing repairs qualified</v>
      </c>
      <c r="J10" s="14" t="str">
        <f t="shared" si="15"/>
        <v>plumbing installation qualified</v>
      </c>
      <c r="K10" s="14" t="str">
        <f t="shared" si="15"/>
        <v>plumbing inspection qualified</v>
      </c>
      <c r="L10" s="16" t="str">
        <f>IFERROR(__xludf.DUMMYFUNCTION("""COMPUTED_VALUE"""),"commercial plumber cost")</f>
        <v>commercial plumber cost</v>
      </c>
      <c r="M10" s="17"/>
      <c r="N10" s="14" t="str">
        <f t="shared" ref="N10:W10" si="16">IF($A10="","",IF(OR(ISNUMBER(SEARCH(LOWER($A10),LOWER(N$1))),AND(RIGHT(LOWER($A10),1)="s",ISNUMBER(SEARCH(LEFT(LOWER($A10),LEN($A10)-1),LOWER(N$1))))),N$1,$A10&amp;" "&amp;N$1))</f>
        <v>qualified plumber cape town</v>
      </c>
      <c r="O10" s="14" t="str">
        <f t="shared" si="16"/>
        <v>qualified plumbing services</v>
      </c>
      <c r="P10" s="14" t="str">
        <f t="shared" si="16"/>
        <v>qualified plumbing company</v>
      </c>
      <c r="Q10" s="14" t="str">
        <f t="shared" si="16"/>
        <v>qualified plumbing contractors</v>
      </c>
      <c r="R10" s="14" t="str">
        <f t="shared" si="16"/>
        <v>qualified residential plumber</v>
      </c>
      <c r="S10" s="14" t="str">
        <f t="shared" si="16"/>
        <v>qualified commercial plumber</v>
      </c>
      <c r="T10" s="14" t="str">
        <f t="shared" si="16"/>
        <v>qualified maintenance plumber</v>
      </c>
      <c r="U10" s="14" t="str">
        <f t="shared" si="16"/>
        <v>qualified plumbing repairs</v>
      </c>
      <c r="V10" s="14" t="str">
        <f t="shared" si="16"/>
        <v>qualified plumbing installation</v>
      </c>
      <c r="W10" s="14" t="str">
        <f t="shared" si="16"/>
        <v>qualified plumbing inspection</v>
      </c>
      <c r="X10" s="18" t="str">
        <f>IFERROR(__xludf.DUMMYFUNCTION("""COMPUTED_VALUE"""),"24 hour plumbing repairs")</f>
        <v>24 hour plumbing repairs</v>
      </c>
      <c r="Y10" s="4"/>
      <c r="Z10" s="4"/>
    </row>
    <row r="11">
      <c r="A11" s="13" t="s">
        <v>73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plumber cape town licensed</v>
      </c>
      <c r="C11" s="14" t="str">
        <f t="shared" si="17"/>
        <v>plumbing services licensed</v>
      </c>
      <c r="D11" s="14" t="str">
        <f t="shared" si="17"/>
        <v>plumbing company licensed</v>
      </c>
      <c r="E11" s="14" t="str">
        <f t="shared" si="17"/>
        <v>plumbing contractors licensed</v>
      </c>
      <c r="F11" s="14" t="str">
        <f t="shared" si="17"/>
        <v>residential plumber licensed</v>
      </c>
      <c r="G11" s="14" t="str">
        <f t="shared" si="17"/>
        <v>commercial plumber licensed</v>
      </c>
      <c r="H11" s="14" t="str">
        <f t="shared" si="17"/>
        <v>maintenance plumber licensed</v>
      </c>
      <c r="I11" s="14" t="str">
        <f t="shared" si="17"/>
        <v>plumbing repairs licensed</v>
      </c>
      <c r="J11" s="14" t="str">
        <f t="shared" si="17"/>
        <v>plumbing installation licensed</v>
      </c>
      <c r="K11" s="14" t="str">
        <f t="shared" si="17"/>
        <v>plumbing inspection licensed</v>
      </c>
      <c r="L11" s="16" t="str">
        <f>IFERROR(__xludf.DUMMYFUNCTION("""COMPUTED_VALUE"""),"commercial plumber emergency")</f>
        <v>commercial plumber emergency</v>
      </c>
      <c r="M11" s="17"/>
      <c r="N11" s="14" t="str">
        <f t="shared" ref="N11:W11" si="18">IF($A11="","",IF(OR(ISNUMBER(SEARCH(LOWER($A11),LOWER(N$1))),AND(RIGHT(LOWER($A11),1)="s",ISNUMBER(SEARCH(LEFT(LOWER($A11),LEN($A11)-1),LOWER(N$1))))),N$1,$A11&amp;" "&amp;N$1))</f>
        <v>licensed plumber cape town</v>
      </c>
      <c r="O11" s="14" t="str">
        <f t="shared" si="18"/>
        <v>licensed plumbing services</v>
      </c>
      <c r="P11" s="14" t="str">
        <f t="shared" si="18"/>
        <v>licensed plumbing company</v>
      </c>
      <c r="Q11" s="14" t="str">
        <f t="shared" si="18"/>
        <v>licensed plumbing contractors</v>
      </c>
      <c r="R11" s="14" t="str">
        <f t="shared" si="18"/>
        <v>licensed residential plumber</v>
      </c>
      <c r="S11" s="14" t="str">
        <f t="shared" si="18"/>
        <v>licensed commercial plumber</v>
      </c>
      <c r="T11" s="14" t="str">
        <f t="shared" si="18"/>
        <v>licensed maintenance plumber</v>
      </c>
      <c r="U11" s="14" t="str">
        <f t="shared" si="18"/>
        <v>licensed plumbing repairs</v>
      </c>
      <c r="V11" s="14" t="str">
        <f t="shared" si="18"/>
        <v>licensed plumbing installation</v>
      </c>
      <c r="W11" s="14" t="str">
        <f t="shared" si="18"/>
        <v>licensed plumbing inspection</v>
      </c>
      <c r="X11" s="18" t="str">
        <f>IFERROR(__xludf.DUMMYFUNCTION("""COMPUTED_VALUE"""),"24 hour plumbing services")</f>
        <v>24 hour plumbing services</v>
      </c>
      <c r="Y11" s="4"/>
      <c r="Z11" s="4"/>
    </row>
    <row r="12">
      <c r="A12" s="13" t="s">
        <v>76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plumber cape town reliable</v>
      </c>
      <c r="C12" s="14" t="str">
        <f t="shared" si="19"/>
        <v>plumbing services reliable</v>
      </c>
      <c r="D12" s="14" t="str">
        <f t="shared" si="19"/>
        <v>plumbing company reliable</v>
      </c>
      <c r="E12" s="14" t="str">
        <f t="shared" si="19"/>
        <v>plumbing contractors reliable</v>
      </c>
      <c r="F12" s="14" t="str">
        <f t="shared" si="19"/>
        <v>residential plumber reliable</v>
      </c>
      <c r="G12" s="14" t="str">
        <f t="shared" si="19"/>
        <v>commercial plumber reliable</v>
      </c>
      <c r="H12" s="14" t="str">
        <f t="shared" si="19"/>
        <v>maintenance plumber reliable</v>
      </c>
      <c r="I12" s="14" t="str">
        <f t="shared" si="19"/>
        <v>plumbing repairs reliable</v>
      </c>
      <c r="J12" s="14" t="str">
        <f t="shared" si="19"/>
        <v>plumbing installation reliable</v>
      </c>
      <c r="K12" s="14" t="str">
        <f t="shared" si="19"/>
        <v>plumbing inspection reliable</v>
      </c>
      <c r="L12" s="16" t="str">
        <f>IFERROR(__xludf.DUMMYFUNCTION("""COMPUTED_VALUE"""),"commercial plumber installation")</f>
        <v>commercial plumber installation</v>
      </c>
      <c r="M12" s="17"/>
      <c r="N12" s="14" t="str">
        <f t="shared" ref="N12:W12" si="20">IF($A12="","",IF(OR(ISNUMBER(SEARCH(LOWER($A12),LOWER(N$1))),AND(RIGHT(LOWER($A12),1)="s",ISNUMBER(SEARCH(LEFT(LOWER($A12),LEN($A12)-1),LOWER(N$1))))),N$1,$A12&amp;" "&amp;N$1))</f>
        <v>reliable plumber cape town</v>
      </c>
      <c r="O12" s="14" t="str">
        <f t="shared" si="20"/>
        <v>reliable plumbing services</v>
      </c>
      <c r="P12" s="14" t="str">
        <f t="shared" si="20"/>
        <v>reliable plumbing company</v>
      </c>
      <c r="Q12" s="14" t="str">
        <f t="shared" si="20"/>
        <v>reliable plumbing contractors</v>
      </c>
      <c r="R12" s="14" t="str">
        <f t="shared" si="20"/>
        <v>reliable residential plumber</v>
      </c>
      <c r="S12" s="14" t="str">
        <f t="shared" si="20"/>
        <v>reliable commercial plumber</v>
      </c>
      <c r="T12" s="14" t="str">
        <f t="shared" si="20"/>
        <v>reliable maintenance plumber</v>
      </c>
      <c r="U12" s="14" t="str">
        <f t="shared" si="20"/>
        <v>reliable plumbing repairs</v>
      </c>
      <c r="V12" s="14" t="str">
        <f t="shared" si="20"/>
        <v>reliable plumbing installation</v>
      </c>
      <c r="W12" s="14" t="str">
        <f t="shared" si="20"/>
        <v>reliable plumbing inspection</v>
      </c>
      <c r="X12" s="18" t="str">
        <f>IFERROR(__xludf.DUMMYFUNCTION("""COMPUTED_VALUE"""),"24 hour residential plumber")</f>
        <v>24 hour residential plumber</v>
      </c>
      <c r="Y12" s="4"/>
      <c r="Z12" s="4"/>
    </row>
    <row r="13">
      <c r="A13" s="13" t="s">
        <v>67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plumber cape town call out</v>
      </c>
      <c r="C13" s="14" t="str">
        <f t="shared" si="21"/>
        <v>plumbing services call out</v>
      </c>
      <c r="D13" s="14" t="str">
        <f t="shared" si="21"/>
        <v>plumbing company call out</v>
      </c>
      <c r="E13" s="14" t="str">
        <f t="shared" si="21"/>
        <v>plumbing contractors call out</v>
      </c>
      <c r="F13" s="14" t="str">
        <f t="shared" si="21"/>
        <v>residential plumber call out</v>
      </c>
      <c r="G13" s="14" t="str">
        <f t="shared" si="21"/>
        <v>commercial plumber call out</v>
      </c>
      <c r="H13" s="14" t="str">
        <f t="shared" si="21"/>
        <v>maintenance plumber call out</v>
      </c>
      <c r="I13" s="14" t="str">
        <f t="shared" si="21"/>
        <v>plumbing repairs call out</v>
      </c>
      <c r="J13" s="14" t="str">
        <f t="shared" si="21"/>
        <v>plumbing installation call out</v>
      </c>
      <c r="K13" s="14" t="str">
        <f t="shared" si="21"/>
        <v>plumbing inspection call out</v>
      </c>
      <c r="L13" s="16" t="str">
        <f>IFERROR(__xludf.DUMMYFUNCTION("""COMPUTED_VALUE"""),"commercial plumber licensed")</f>
        <v>commercial plumber licensed</v>
      </c>
      <c r="M13" s="17"/>
      <c r="N13" s="14" t="str">
        <f t="shared" ref="N13:W13" si="22">IF($A13="","",IF(OR(ISNUMBER(SEARCH(LOWER($A13),LOWER(N$1))),AND(RIGHT(LOWER($A13),1)="s",ISNUMBER(SEARCH(LEFT(LOWER($A13),LEN($A13)-1),LOWER(N$1))))),N$1,$A13&amp;" "&amp;N$1))</f>
        <v>call out plumber cape town</v>
      </c>
      <c r="O13" s="14" t="str">
        <f t="shared" si="22"/>
        <v>call out plumbing services</v>
      </c>
      <c r="P13" s="14" t="str">
        <f t="shared" si="22"/>
        <v>call out plumbing company</v>
      </c>
      <c r="Q13" s="14" t="str">
        <f t="shared" si="22"/>
        <v>call out plumbing contractors</v>
      </c>
      <c r="R13" s="14" t="str">
        <f t="shared" si="22"/>
        <v>call out residential plumber</v>
      </c>
      <c r="S13" s="14" t="str">
        <f t="shared" si="22"/>
        <v>call out commercial plumber</v>
      </c>
      <c r="T13" s="14" t="str">
        <f t="shared" si="22"/>
        <v>call out maintenance plumber</v>
      </c>
      <c r="U13" s="14" t="str">
        <f t="shared" si="22"/>
        <v>call out plumbing repairs</v>
      </c>
      <c r="V13" s="14" t="str">
        <f t="shared" si="22"/>
        <v>call out plumbing installation</v>
      </c>
      <c r="W13" s="14" t="str">
        <f t="shared" si="22"/>
        <v>call out plumbing inspection</v>
      </c>
      <c r="X13" s="18" t="str">
        <f>IFERROR(__xludf.DUMMYFUNCTION("""COMPUTED_VALUE"""),"affordable commercial plumber")</f>
        <v>affordable commercial plumber</v>
      </c>
      <c r="Y13" s="4"/>
      <c r="Z13" s="4"/>
    </row>
    <row r="14">
      <c r="A14" s="13" t="s">
        <v>61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plumber cape town after hours</v>
      </c>
      <c r="C14" s="14" t="str">
        <f t="shared" si="23"/>
        <v>plumbing services after hours</v>
      </c>
      <c r="D14" s="14" t="str">
        <f t="shared" si="23"/>
        <v>plumbing company after hours</v>
      </c>
      <c r="E14" s="14" t="str">
        <f t="shared" si="23"/>
        <v>plumbing contractors after hours</v>
      </c>
      <c r="F14" s="14" t="str">
        <f t="shared" si="23"/>
        <v>residential plumber after hours</v>
      </c>
      <c r="G14" s="14" t="str">
        <f t="shared" si="23"/>
        <v>commercial plumber after hours</v>
      </c>
      <c r="H14" s="14" t="str">
        <f t="shared" si="23"/>
        <v>maintenance plumber after hours</v>
      </c>
      <c r="I14" s="14" t="str">
        <f t="shared" si="23"/>
        <v>plumbing repairs after hours</v>
      </c>
      <c r="J14" s="14" t="str">
        <f t="shared" si="23"/>
        <v>plumbing installation after hours</v>
      </c>
      <c r="K14" s="14" t="str">
        <f t="shared" si="23"/>
        <v>plumbing inspection after hours</v>
      </c>
      <c r="L14" s="16" t="str">
        <f>IFERROR(__xludf.DUMMYFUNCTION("""COMPUTED_VALUE"""),"commercial plumber local")</f>
        <v>commercial plumber local</v>
      </c>
      <c r="M14" s="17"/>
      <c r="N14" s="14" t="str">
        <f t="shared" ref="N14:W14" si="24">IF($A14="","",IF(OR(ISNUMBER(SEARCH(LOWER($A14),LOWER(N$1))),AND(RIGHT(LOWER($A14),1)="s",ISNUMBER(SEARCH(LEFT(LOWER($A14),LEN($A14)-1),LOWER(N$1))))),N$1,$A14&amp;" "&amp;N$1))</f>
        <v>after hours plumber cape town</v>
      </c>
      <c r="O14" s="14" t="str">
        <f t="shared" si="24"/>
        <v>after hours plumbing services</v>
      </c>
      <c r="P14" s="14" t="str">
        <f t="shared" si="24"/>
        <v>after hours plumbing company</v>
      </c>
      <c r="Q14" s="14" t="str">
        <f t="shared" si="24"/>
        <v>after hours plumbing contractors</v>
      </c>
      <c r="R14" s="14" t="str">
        <f t="shared" si="24"/>
        <v>after hours residential plumber</v>
      </c>
      <c r="S14" s="14" t="str">
        <f t="shared" si="24"/>
        <v>after hours commercial plumber</v>
      </c>
      <c r="T14" s="14" t="str">
        <f t="shared" si="24"/>
        <v>after hours maintenance plumber</v>
      </c>
      <c r="U14" s="14" t="str">
        <f t="shared" si="24"/>
        <v>after hours plumbing repairs</v>
      </c>
      <c r="V14" s="14" t="str">
        <f t="shared" si="24"/>
        <v>after hours plumbing installation</v>
      </c>
      <c r="W14" s="14" t="str">
        <f t="shared" si="24"/>
        <v>after hours plumbing inspection</v>
      </c>
      <c r="X14" s="18" t="str">
        <f>IFERROR(__xludf.DUMMYFUNCTION("""COMPUTED_VALUE"""),"affordable maintenance plumber")</f>
        <v>affordable maintenance plumber</v>
      </c>
      <c r="Y14" s="4"/>
      <c r="Z14" s="4"/>
    </row>
    <row r="15">
      <c r="A15" s="13" t="s">
        <v>80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plumber cape town maintenance</v>
      </c>
      <c r="C15" s="14" t="str">
        <f t="shared" si="25"/>
        <v>plumbing services maintenance</v>
      </c>
      <c r="D15" s="14" t="str">
        <f t="shared" si="25"/>
        <v>plumbing company maintenance</v>
      </c>
      <c r="E15" s="14" t="str">
        <f t="shared" si="25"/>
        <v>plumbing contractors maintenance</v>
      </c>
      <c r="F15" s="14" t="str">
        <f t="shared" si="25"/>
        <v>residential plumber maintenance</v>
      </c>
      <c r="G15" s="14" t="str">
        <f t="shared" si="25"/>
        <v>commercial plumber maintenance</v>
      </c>
      <c r="H15" s="14" t="str">
        <f t="shared" si="25"/>
        <v>maintenance plumber</v>
      </c>
      <c r="I15" s="14" t="str">
        <f t="shared" si="25"/>
        <v>plumbing repairs maintenance</v>
      </c>
      <c r="J15" s="14" t="str">
        <f t="shared" si="25"/>
        <v>plumbing installation maintenance</v>
      </c>
      <c r="K15" s="14" t="str">
        <f t="shared" si="25"/>
        <v>plumbing inspection maintenance</v>
      </c>
      <c r="L15" s="16" t="str">
        <f>IFERROR(__xludf.DUMMYFUNCTION("""COMPUTED_VALUE"""),"commercial plumber maintenance")</f>
        <v>commercial plumber maintenance</v>
      </c>
      <c r="M15" s="17"/>
      <c r="N15" s="14" t="str">
        <f t="shared" ref="N15:W15" si="26">IF($A15="","",IF(OR(ISNUMBER(SEARCH(LOWER($A15),LOWER(N$1))),AND(RIGHT(LOWER($A15),1)="s",ISNUMBER(SEARCH(LEFT(LOWER($A15),LEN($A15)-1),LOWER(N$1))))),N$1,$A15&amp;" "&amp;N$1))</f>
        <v>maintenance plumber cape town</v>
      </c>
      <c r="O15" s="14" t="str">
        <f t="shared" si="26"/>
        <v>maintenance plumbing services</v>
      </c>
      <c r="P15" s="14" t="str">
        <f t="shared" si="26"/>
        <v>maintenance plumbing company</v>
      </c>
      <c r="Q15" s="14" t="str">
        <f t="shared" si="26"/>
        <v>maintenance plumbing contractors</v>
      </c>
      <c r="R15" s="14" t="str">
        <f t="shared" si="26"/>
        <v>maintenance residential plumber</v>
      </c>
      <c r="S15" s="14" t="str">
        <f t="shared" si="26"/>
        <v>maintenance commercial plumber</v>
      </c>
      <c r="T15" s="14" t="str">
        <f t="shared" si="26"/>
        <v>maintenance plumber</v>
      </c>
      <c r="U15" s="14" t="str">
        <f t="shared" si="26"/>
        <v>maintenance plumbing repairs</v>
      </c>
      <c r="V15" s="14" t="str">
        <f t="shared" si="26"/>
        <v>maintenance plumbing installation</v>
      </c>
      <c r="W15" s="14" t="str">
        <f t="shared" si="26"/>
        <v>maintenance plumbing inspection</v>
      </c>
      <c r="X15" s="18" t="str">
        <f>IFERROR(__xludf.DUMMYFUNCTION("""COMPUTED_VALUE"""),"affordable plumber cape town")</f>
        <v>affordable plumber cape town</v>
      </c>
      <c r="Y15" s="4"/>
      <c r="Z15" s="4"/>
    </row>
    <row r="16">
      <c r="A16" s="13" t="s">
        <v>82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plumber cape town repair</v>
      </c>
      <c r="C16" s="14" t="str">
        <f t="shared" si="27"/>
        <v>plumbing services repair</v>
      </c>
      <c r="D16" s="14" t="str">
        <f t="shared" si="27"/>
        <v>plumbing company repair</v>
      </c>
      <c r="E16" s="14" t="str">
        <f t="shared" si="27"/>
        <v>plumbing contractors repair</v>
      </c>
      <c r="F16" s="14" t="str">
        <f t="shared" si="27"/>
        <v>residential plumber repair</v>
      </c>
      <c r="G16" s="14" t="str">
        <f t="shared" si="27"/>
        <v>commercial plumber repair</v>
      </c>
      <c r="H16" s="14" t="str">
        <f t="shared" si="27"/>
        <v>maintenance plumber repair</v>
      </c>
      <c r="I16" s="14" t="str">
        <f t="shared" si="27"/>
        <v>plumbing repairs</v>
      </c>
      <c r="J16" s="14" t="str">
        <f t="shared" si="27"/>
        <v>plumbing installation repair</v>
      </c>
      <c r="K16" s="14" t="str">
        <f t="shared" si="27"/>
        <v>plumbing inspection repair</v>
      </c>
      <c r="L16" s="16" t="str">
        <f>IFERROR(__xludf.DUMMYFUNCTION("""COMPUTED_VALUE"""),"commercial plumber near me")</f>
        <v>commercial plumber near me</v>
      </c>
      <c r="M16" s="17"/>
      <c r="N16" s="14" t="str">
        <f t="shared" ref="N16:W16" si="28">IF($A16="","",IF(OR(ISNUMBER(SEARCH(LOWER($A16),LOWER(N$1))),AND(RIGHT(LOWER($A16),1)="s",ISNUMBER(SEARCH(LEFT(LOWER($A16),LEN($A16)-1),LOWER(N$1))))),N$1,$A16&amp;" "&amp;N$1))</f>
        <v>repair plumber cape town</v>
      </c>
      <c r="O16" s="14" t="str">
        <f t="shared" si="28"/>
        <v>repair plumbing services</v>
      </c>
      <c r="P16" s="14" t="str">
        <f t="shared" si="28"/>
        <v>repair plumbing company</v>
      </c>
      <c r="Q16" s="14" t="str">
        <f t="shared" si="28"/>
        <v>repair plumbing contractors</v>
      </c>
      <c r="R16" s="14" t="str">
        <f t="shared" si="28"/>
        <v>repair residential plumber</v>
      </c>
      <c r="S16" s="14" t="str">
        <f t="shared" si="28"/>
        <v>repair commercial plumber</v>
      </c>
      <c r="T16" s="14" t="str">
        <f t="shared" si="28"/>
        <v>repair maintenance plumber</v>
      </c>
      <c r="U16" s="14" t="str">
        <f t="shared" si="28"/>
        <v>plumbing repairs</v>
      </c>
      <c r="V16" s="14" t="str">
        <f t="shared" si="28"/>
        <v>repair plumbing installation</v>
      </c>
      <c r="W16" s="14" t="str">
        <f t="shared" si="28"/>
        <v>repair plumbing inspection</v>
      </c>
      <c r="X16" s="18" t="str">
        <f>IFERROR(__xludf.DUMMYFUNCTION("""COMPUTED_VALUE"""),"affordable plumbing company")</f>
        <v>affordable plumbing company</v>
      </c>
      <c r="Y16" s="4"/>
      <c r="Z16" s="4"/>
    </row>
    <row r="17">
      <c r="A17" s="13" t="s">
        <v>84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plumber cape town installation</v>
      </c>
      <c r="C17" s="14" t="str">
        <f t="shared" si="29"/>
        <v>plumbing services installation</v>
      </c>
      <c r="D17" s="14" t="str">
        <f t="shared" si="29"/>
        <v>plumbing company installation</v>
      </c>
      <c r="E17" s="14" t="str">
        <f t="shared" si="29"/>
        <v>plumbing contractors installation</v>
      </c>
      <c r="F17" s="14" t="str">
        <f t="shared" si="29"/>
        <v>residential plumber installation</v>
      </c>
      <c r="G17" s="14" t="str">
        <f t="shared" si="29"/>
        <v>commercial plumber installation</v>
      </c>
      <c r="H17" s="14" t="str">
        <f t="shared" si="29"/>
        <v>maintenance plumber installation</v>
      </c>
      <c r="I17" s="14" t="str">
        <f t="shared" si="29"/>
        <v>plumbing repairs installation</v>
      </c>
      <c r="J17" s="14" t="str">
        <f t="shared" si="29"/>
        <v>plumbing installation</v>
      </c>
      <c r="K17" s="14" t="str">
        <f t="shared" si="29"/>
        <v>plumbing inspection installation</v>
      </c>
      <c r="L17" s="16" t="str">
        <f>IFERROR(__xludf.DUMMYFUNCTION("""COMPUTED_VALUE"""),"commercial plumber professional")</f>
        <v>commercial plumber professional</v>
      </c>
      <c r="M17" s="17"/>
      <c r="N17" s="14" t="str">
        <f t="shared" ref="N17:W17" si="30">IF($A17="","",IF(OR(ISNUMBER(SEARCH(LOWER($A17),LOWER(N$1))),AND(RIGHT(LOWER($A17),1)="s",ISNUMBER(SEARCH(LEFT(LOWER($A17),LEN($A17)-1),LOWER(N$1))))),N$1,$A17&amp;" "&amp;N$1))</f>
        <v>installation plumber cape town</v>
      </c>
      <c r="O17" s="14" t="str">
        <f t="shared" si="30"/>
        <v>installation plumbing services</v>
      </c>
      <c r="P17" s="14" t="str">
        <f t="shared" si="30"/>
        <v>installation plumbing company</v>
      </c>
      <c r="Q17" s="14" t="str">
        <f t="shared" si="30"/>
        <v>installation plumbing contractors</v>
      </c>
      <c r="R17" s="14" t="str">
        <f t="shared" si="30"/>
        <v>installation residential plumber</v>
      </c>
      <c r="S17" s="14" t="str">
        <f t="shared" si="30"/>
        <v>installation commercial plumber</v>
      </c>
      <c r="T17" s="14" t="str">
        <f t="shared" si="30"/>
        <v>installation maintenance plumber</v>
      </c>
      <c r="U17" s="14" t="str">
        <f t="shared" si="30"/>
        <v>installation plumbing repairs</v>
      </c>
      <c r="V17" s="14" t="str">
        <f t="shared" si="30"/>
        <v>plumbing installation</v>
      </c>
      <c r="W17" s="14" t="str">
        <f t="shared" si="30"/>
        <v>installation plumbing inspection</v>
      </c>
      <c r="X17" s="18" t="str">
        <f>IFERROR(__xludf.DUMMYFUNCTION("""COMPUTED_VALUE"""),"affordable plumbing contractors")</f>
        <v>affordable plumbing contractors</v>
      </c>
      <c r="Y17" s="4"/>
      <c r="Z17" s="4"/>
    </row>
    <row r="18">
      <c r="A18" s="13" t="s">
        <v>87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plumber cape town service</v>
      </c>
      <c r="C18" s="14" t="str">
        <f t="shared" si="31"/>
        <v>plumbing services</v>
      </c>
      <c r="D18" s="14" t="str">
        <f t="shared" si="31"/>
        <v>plumbing company service</v>
      </c>
      <c r="E18" s="14" t="str">
        <f t="shared" si="31"/>
        <v>plumbing contractors service</v>
      </c>
      <c r="F18" s="14" t="str">
        <f t="shared" si="31"/>
        <v>residential plumber service</v>
      </c>
      <c r="G18" s="14" t="str">
        <f t="shared" si="31"/>
        <v>commercial plumber service</v>
      </c>
      <c r="H18" s="14" t="str">
        <f t="shared" si="31"/>
        <v>maintenance plumber service</v>
      </c>
      <c r="I18" s="14" t="str">
        <f t="shared" si="31"/>
        <v>plumbing repairs service</v>
      </c>
      <c r="J18" s="14" t="str">
        <f t="shared" si="31"/>
        <v>plumbing installation service</v>
      </c>
      <c r="K18" s="14" t="str">
        <f t="shared" si="31"/>
        <v>plumbing inspection service</v>
      </c>
      <c r="L18" s="16" t="str">
        <f>IFERROR(__xludf.DUMMYFUNCTION("""COMPUTED_VALUE"""),"commercial plumber qualified")</f>
        <v>commercial plumber qualified</v>
      </c>
      <c r="M18" s="17"/>
      <c r="N18" s="14" t="str">
        <f t="shared" ref="N18:W18" si="32">IF($A18="","",IF(OR(ISNUMBER(SEARCH(LOWER($A18),LOWER(N$1))),AND(RIGHT(LOWER($A18),1)="s",ISNUMBER(SEARCH(LEFT(LOWER($A18),LEN($A18)-1),LOWER(N$1))))),N$1,$A18&amp;" "&amp;N$1))</f>
        <v>service plumber cape town</v>
      </c>
      <c r="O18" s="14" t="str">
        <f t="shared" si="32"/>
        <v>plumbing services</v>
      </c>
      <c r="P18" s="14" t="str">
        <f t="shared" si="32"/>
        <v>service plumbing company</v>
      </c>
      <c r="Q18" s="14" t="str">
        <f t="shared" si="32"/>
        <v>service plumbing contractors</v>
      </c>
      <c r="R18" s="14" t="str">
        <f t="shared" si="32"/>
        <v>service residential plumber</v>
      </c>
      <c r="S18" s="14" t="str">
        <f t="shared" si="32"/>
        <v>service commercial plumber</v>
      </c>
      <c r="T18" s="14" t="str">
        <f t="shared" si="32"/>
        <v>service maintenance plumber</v>
      </c>
      <c r="U18" s="14" t="str">
        <f t="shared" si="32"/>
        <v>service plumbing repairs</v>
      </c>
      <c r="V18" s="14" t="str">
        <f t="shared" si="32"/>
        <v>service plumbing installation</v>
      </c>
      <c r="W18" s="14" t="str">
        <f t="shared" si="32"/>
        <v>service plumbing inspection</v>
      </c>
      <c r="X18" s="18" t="str">
        <f>IFERROR(__xludf.DUMMYFUNCTION("""COMPUTED_VALUE"""),"affordable plumbing inspection")</f>
        <v>affordable plumbing inspection</v>
      </c>
      <c r="Y18" s="4"/>
      <c r="Z18" s="4"/>
    </row>
    <row r="19">
      <c r="A19" s="13" t="s">
        <v>90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plumber cape town contractor</v>
      </c>
      <c r="C19" s="14" t="str">
        <f t="shared" si="33"/>
        <v>plumbing services contractor</v>
      </c>
      <c r="D19" s="14" t="str">
        <f t="shared" si="33"/>
        <v>plumbing company contractor</v>
      </c>
      <c r="E19" s="14" t="str">
        <f t="shared" si="33"/>
        <v>plumbing contractors</v>
      </c>
      <c r="F19" s="14" t="str">
        <f t="shared" si="33"/>
        <v>residential plumber contractor</v>
      </c>
      <c r="G19" s="14" t="str">
        <f t="shared" si="33"/>
        <v>commercial plumber contractor</v>
      </c>
      <c r="H19" s="14" t="str">
        <f t="shared" si="33"/>
        <v>maintenance plumber contractor</v>
      </c>
      <c r="I19" s="14" t="str">
        <f t="shared" si="33"/>
        <v>plumbing repairs contractor</v>
      </c>
      <c r="J19" s="14" t="str">
        <f t="shared" si="33"/>
        <v>plumbing installation contractor</v>
      </c>
      <c r="K19" s="14" t="str">
        <f t="shared" si="33"/>
        <v>plumbing inspection contractor</v>
      </c>
      <c r="L19" s="16" t="str">
        <f>IFERROR(__xludf.DUMMYFUNCTION("""COMPUTED_VALUE"""),"commercial plumber quote")</f>
        <v>commercial plumber quote</v>
      </c>
      <c r="M19" s="17"/>
      <c r="N19" s="14" t="str">
        <f t="shared" ref="N19:W19" si="34">IF($A19="","",IF(OR(ISNUMBER(SEARCH(LOWER($A19),LOWER(N$1))),AND(RIGHT(LOWER($A19),1)="s",ISNUMBER(SEARCH(LEFT(LOWER($A19),LEN($A19)-1),LOWER(N$1))))),N$1,$A19&amp;" "&amp;N$1))</f>
        <v>contractor plumber cape town</v>
      </c>
      <c r="O19" s="14" t="str">
        <f t="shared" si="34"/>
        <v>contractor plumbing services</v>
      </c>
      <c r="P19" s="14" t="str">
        <f t="shared" si="34"/>
        <v>contractor plumbing company</v>
      </c>
      <c r="Q19" s="14" t="str">
        <f t="shared" si="34"/>
        <v>plumbing contractors</v>
      </c>
      <c r="R19" s="14" t="str">
        <f t="shared" si="34"/>
        <v>contractor residential plumber</v>
      </c>
      <c r="S19" s="14" t="str">
        <f t="shared" si="34"/>
        <v>contractor commercial plumber</v>
      </c>
      <c r="T19" s="14" t="str">
        <f t="shared" si="34"/>
        <v>contractor maintenance plumber</v>
      </c>
      <c r="U19" s="14" t="str">
        <f t="shared" si="34"/>
        <v>contractor plumbing repairs</v>
      </c>
      <c r="V19" s="14" t="str">
        <f t="shared" si="34"/>
        <v>contractor plumbing installation</v>
      </c>
      <c r="W19" s="14" t="str">
        <f t="shared" si="34"/>
        <v>contractor plumbing inspection</v>
      </c>
      <c r="X19" s="18" t="str">
        <f>IFERROR(__xludf.DUMMYFUNCTION("""COMPUTED_VALUE"""),"affordable plumbing installation")</f>
        <v>affordable plumbing installation</v>
      </c>
      <c r="Y19" s="4"/>
      <c r="Z19" s="4"/>
    </row>
    <row r="20">
      <c r="A20" s="13" t="s">
        <v>92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plumber cape town company</v>
      </c>
      <c r="C20" s="14" t="str">
        <f t="shared" si="35"/>
        <v>plumbing services company</v>
      </c>
      <c r="D20" s="14" t="str">
        <f t="shared" si="35"/>
        <v>plumbing company</v>
      </c>
      <c r="E20" s="14" t="str">
        <f t="shared" si="35"/>
        <v>plumbing contractors company</v>
      </c>
      <c r="F20" s="14" t="str">
        <f t="shared" si="35"/>
        <v>residential plumber company</v>
      </c>
      <c r="G20" s="14" t="str">
        <f t="shared" si="35"/>
        <v>commercial plumber company</v>
      </c>
      <c r="H20" s="14" t="str">
        <f t="shared" si="35"/>
        <v>maintenance plumber company</v>
      </c>
      <c r="I20" s="14" t="str">
        <f t="shared" si="35"/>
        <v>plumbing repairs company</v>
      </c>
      <c r="J20" s="14" t="str">
        <f t="shared" si="35"/>
        <v>plumbing installation company</v>
      </c>
      <c r="K20" s="14" t="str">
        <f t="shared" si="35"/>
        <v>plumbing inspection company</v>
      </c>
      <c r="L20" s="16" t="str">
        <f>IFERROR(__xludf.DUMMYFUNCTION("""COMPUTED_VALUE"""),"commercial plumber reliable")</f>
        <v>commercial plumber reliable</v>
      </c>
      <c r="M20" s="17"/>
      <c r="N20" s="14" t="str">
        <f t="shared" ref="N20:W20" si="36">IF($A20="","",IF(OR(ISNUMBER(SEARCH(LOWER($A20),LOWER(N$1))),AND(RIGHT(LOWER($A20),1)="s",ISNUMBER(SEARCH(LEFT(LOWER($A20),LEN($A20)-1),LOWER(N$1))))),N$1,$A20&amp;" "&amp;N$1))</f>
        <v>company plumber cape town</v>
      </c>
      <c r="O20" s="14" t="str">
        <f t="shared" si="36"/>
        <v>company plumbing services</v>
      </c>
      <c r="P20" s="14" t="str">
        <f t="shared" si="36"/>
        <v>plumbing company</v>
      </c>
      <c r="Q20" s="14" t="str">
        <f t="shared" si="36"/>
        <v>company plumbing contractors</v>
      </c>
      <c r="R20" s="14" t="str">
        <f t="shared" si="36"/>
        <v>company residential plumber</v>
      </c>
      <c r="S20" s="14" t="str">
        <f t="shared" si="36"/>
        <v>company commercial plumber</v>
      </c>
      <c r="T20" s="14" t="str">
        <f t="shared" si="36"/>
        <v>company maintenance plumber</v>
      </c>
      <c r="U20" s="14" t="str">
        <f t="shared" si="36"/>
        <v>company plumbing repairs</v>
      </c>
      <c r="V20" s="14" t="str">
        <f t="shared" si="36"/>
        <v>company plumbing installation</v>
      </c>
      <c r="W20" s="14" t="str">
        <f t="shared" si="36"/>
        <v>company plumbing inspection</v>
      </c>
      <c r="X20" s="18" t="str">
        <f>IFERROR(__xludf.DUMMYFUNCTION("""COMPUTED_VALUE"""),"affordable plumbing repairs")</f>
        <v>affordable plumbing repairs</v>
      </c>
      <c r="Y20" s="4"/>
      <c r="Z20" s="4"/>
    </row>
    <row r="21" ht="15.75" customHeight="1">
      <c r="A21" s="13" t="s">
        <v>71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plumber cape town cost</v>
      </c>
      <c r="C21" s="14" t="str">
        <f t="shared" si="37"/>
        <v>plumbing services cost</v>
      </c>
      <c r="D21" s="14" t="str">
        <f t="shared" si="37"/>
        <v>plumbing company cost</v>
      </c>
      <c r="E21" s="14" t="str">
        <f t="shared" si="37"/>
        <v>plumbing contractors cost</v>
      </c>
      <c r="F21" s="14" t="str">
        <f t="shared" si="37"/>
        <v>residential plumber cost</v>
      </c>
      <c r="G21" s="14" t="str">
        <f t="shared" si="37"/>
        <v>commercial plumber cost</v>
      </c>
      <c r="H21" s="14" t="str">
        <f t="shared" si="37"/>
        <v>maintenance plumber cost</v>
      </c>
      <c r="I21" s="14" t="str">
        <f t="shared" si="37"/>
        <v>plumbing repairs cost</v>
      </c>
      <c r="J21" s="14" t="str">
        <f t="shared" si="37"/>
        <v>plumbing installation cost</v>
      </c>
      <c r="K21" s="14" t="str">
        <f t="shared" si="37"/>
        <v>plumbing inspection cost</v>
      </c>
      <c r="L21" s="16" t="str">
        <f>IFERROR(__xludf.DUMMYFUNCTION("""COMPUTED_VALUE"""),"commercial plumber repair")</f>
        <v>commercial plumber repair</v>
      </c>
      <c r="M21" s="17"/>
      <c r="N21" s="14" t="str">
        <f t="shared" ref="N21:W21" si="38">IF($A21="","",IF(OR(ISNUMBER(SEARCH(LOWER($A21),LOWER(N$1))),AND(RIGHT(LOWER($A21),1)="s",ISNUMBER(SEARCH(LEFT(LOWER($A21),LEN($A21)-1),LOWER(N$1))))),N$1,$A21&amp;" "&amp;N$1))</f>
        <v>cost plumber cape town</v>
      </c>
      <c r="O21" s="14" t="str">
        <f t="shared" si="38"/>
        <v>cost plumbing services</v>
      </c>
      <c r="P21" s="14" t="str">
        <f t="shared" si="38"/>
        <v>cost plumbing company</v>
      </c>
      <c r="Q21" s="14" t="str">
        <f t="shared" si="38"/>
        <v>cost plumbing contractors</v>
      </c>
      <c r="R21" s="14" t="str">
        <f t="shared" si="38"/>
        <v>cost residential plumber</v>
      </c>
      <c r="S21" s="14" t="str">
        <f t="shared" si="38"/>
        <v>cost commercial plumber</v>
      </c>
      <c r="T21" s="14" t="str">
        <f t="shared" si="38"/>
        <v>cost maintenance plumber</v>
      </c>
      <c r="U21" s="14" t="str">
        <f t="shared" si="38"/>
        <v>cost plumbing repairs</v>
      </c>
      <c r="V21" s="14" t="str">
        <f t="shared" si="38"/>
        <v>cost plumbing installation</v>
      </c>
      <c r="W21" s="14" t="str">
        <f t="shared" si="38"/>
        <v>cost plumbing inspection</v>
      </c>
      <c r="X21" s="18" t="str">
        <f>IFERROR(__xludf.DUMMYFUNCTION("""COMPUTED_VALUE"""),"affordable plumbing services")</f>
        <v>affordable plumbing services</v>
      </c>
      <c r="Y21" s="4"/>
      <c r="Z21" s="4"/>
    </row>
    <row r="22" ht="15.75" customHeight="1">
      <c r="A22" s="13" t="s">
        <v>74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plumber cape town quote</v>
      </c>
      <c r="C22" s="14" t="str">
        <f t="shared" si="39"/>
        <v>plumbing services quote</v>
      </c>
      <c r="D22" s="14" t="str">
        <f t="shared" si="39"/>
        <v>plumbing company quote</v>
      </c>
      <c r="E22" s="14" t="str">
        <f t="shared" si="39"/>
        <v>plumbing contractors quote</v>
      </c>
      <c r="F22" s="14" t="str">
        <f t="shared" si="39"/>
        <v>residential plumber quote</v>
      </c>
      <c r="G22" s="14" t="str">
        <f t="shared" si="39"/>
        <v>commercial plumber quote</v>
      </c>
      <c r="H22" s="14" t="str">
        <f t="shared" si="39"/>
        <v>maintenance plumber quote</v>
      </c>
      <c r="I22" s="14" t="str">
        <f t="shared" si="39"/>
        <v>plumbing repairs quote</v>
      </c>
      <c r="J22" s="14" t="str">
        <f t="shared" si="39"/>
        <v>plumbing installation quote</v>
      </c>
      <c r="K22" s="14" t="str">
        <f t="shared" si="39"/>
        <v>plumbing inspection quote</v>
      </c>
      <c r="L22" s="16" t="str">
        <f>IFERROR(__xludf.DUMMYFUNCTION("""COMPUTED_VALUE"""),"commercial plumber same day")</f>
        <v>commercial plumber same day</v>
      </c>
      <c r="M22" s="17"/>
      <c r="N22" s="14" t="str">
        <f t="shared" ref="N22:W22" si="40">IF($A22="","",IF(OR(ISNUMBER(SEARCH(LOWER($A22),LOWER(N$1))),AND(RIGHT(LOWER($A22),1)="s",ISNUMBER(SEARCH(LEFT(LOWER($A22),LEN($A22)-1),LOWER(N$1))))),N$1,$A22&amp;" "&amp;N$1))</f>
        <v>quote plumber cape town</v>
      </c>
      <c r="O22" s="14" t="str">
        <f t="shared" si="40"/>
        <v>quote plumbing services</v>
      </c>
      <c r="P22" s="14" t="str">
        <f t="shared" si="40"/>
        <v>quote plumbing company</v>
      </c>
      <c r="Q22" s="14" t="str">
        <f t="shared" si="40"/>
        <v>quote plumbing contractors</v>
      </c>
      <c r="R22" s="14" t="str">
        <f t="shared" si="40"/>
        <v>quote residential plumber</v>
      </c>
      <c r="S22" s="14" t="str">
        <f t="shared" si="40"/>
        <v>quote commercial plumber</v>
      </c>
      <c r="T22" s="14" t="str">
        <f t="shared" si="40"/>
        <v>quote maintenance plumber</v>
      </c>
      <c r="U22" s="14" t="str">
        <f t="shared" si="40"/>
        <v>quote plumbing repairs</v>
      </c>
      <c r="V22" s="14" t="str">
        <f t="shared" si="40"/>
        <v>quote plumbing installation</v>
      </c>
      <c r="W22" s="14" t="str">
        <f t="shared" si="40"/>
        <v>quote plumbing inspection</v>
      </c>
      <c r="X22" s="18" t="str">
        <f>IFERROR(__xludf.DUMMYFUNCTION("""COMPUTED_VALUE"""),"affordable residential plumber")</f>
        <v>affordable residential plumber</v>
      </c>
      <c r="Y22" s="4"/>
      <c r="Z22" s="4"/>
    </row>
    <row r="23" ht="15.75" customHeight="1">
      <c r="A23" s="13" t="s">
        <v>95</v>
      </c>
      <c r="B23" s="14" t="str">
        <f t="shared" ref="B23:K23" si="41">IF($A23="","",IF(OR(ISNUMBER(SEARCH(LOWER($A23),LOWER(B$1))),AND(RIGHT(LOWER($A23),1)="s",ISNUMBER(SEARCH(LEFT(LOWER($A23),LEN($A23)-1),LOWER(B$1))))),B$1,B$1&amp;" "&amp;$A23))</f>
        <v>plumber cape town best</v>
      </c>
      <c r="C23" s="14" t="str">
        <f t="shared" si="41"/>
        <v>plumbing services best</v>
      </c>
      <c r="D23" s="14" t="str">
        <f t="shared" si="41"/>
        <v>plumbing company best</v>
      </c>
      <c r="E23" s="14" t="str">
        <f t="shared" si="41"/>
        <v>plumbing contractors best</v>
      </c>
      <c r="F23" s="14" t="str">
        <f t="shared" si="41"/>
        <v>residential plumber best</v>
      </c>
      <c r="G23" s="14" t="str">
        <f t="shared" si="41"/>
        <v>commercial plumber best</v>
      </c>
      <c r="H23" s="14" t="str">
        <f t="shared" si="41"/>
        <v>maintenance plumber best</v>
      </c>
      <c r="I23" s="14" t="str">
        <f t="shared" si="41"/>
        <v>plumbing repairs best</v>
      </c>
      <c r="J23" s="14" t="str">
        <f t="shared" si="41"/>
        <v>plumbing installation best</v>
      </c>
      <c r="K23" s="14" t="str">
        <f t="shared" si="41"/>
        <v>plumbing inspection best</v>
      </c>
      <c r="L23" s="16" t="str">
        <f>IFERROR(__xludf.DUMMYFUNCTION("""COMPUTED_VALUE"""),"commercial plumber service")</f>
        <v>commercial plumber service</v>
      </c>
      <c r="M23" s="17"/>
      <c r="N23" s="14" t="str">
        <f t="shared" ref="N23:W23" si="42">IF($A23="","",IF(OR(ISNUMBER(SEARCH(LOWER($A23),LOWER(N$1))),AND(RIGHT(LOWER($A23),1)="s",ISNUMBER(SEARCH(LEFT(LOWER($A23),LEN($A23)-1),LOWER(N$1))))),N$1,$A23&amp;" "&amp;N$1))</f>
        <v>best plumber cape town</v>
      </c>
      <c r="O23" s="14" t="str">
        <f t="shared" si="42"/>
        <v>best plumbing services</v>
      </c>
      <c r="P23" s="14" t="str">
        <f t="shared" si="42"/>
        <v>best plumbing company</v>
      </c>
      <c r="Q23" s="14" t="str">
        <f t="shared" si="42"/>
        <v>best plumbing contractors</v>
      </c>
      <c r="R23" s="14" t="str">
        <f t="shared" si="42"/>
        <v>best residential plumber</v>
      </c>
      <c r="S23" s="14" t="str">
        <f t="shared" si="42"/>
        <v>best commercial plumber</v>
      </c>
      <c r="T23" s="14" t="str">
        <f t="shared" si="42"/>
        <v>best maintenance plumber</v>
      </c>
      <c r="U23" s="14" t="str">
        <f t="shared" si="42"/>
        <v>best plumbing repairs</v>
      </c>
      <c r="V23" s="14" t="str">
        <f t="shared" si="42"/>
        <v>best plumbing installation</v>
      </c>
      <c r="W23" s="14" t="str">
        <f t="shared" si="42"/>
        <v>best plumbing inspection</v>
      </c>
      <c r="X23" s="18" t="str">
        <f>IFERROR(__xludf.DUMMYFUNCTION("""COMPUTED_VALUE"""),"after hours commercial plumber")</f>
        <v>after hours commercial plumber</v>
      </c>
      <c r="Y23" s="4"/>
      <c r="Z23" s="4"/>
    </row>
    <row r="24" ht="15.75" customHeight="1">
      <c r="A24" s="13" t="s">
        <v>97</v>
      </c>
      <c r="B24" s="14" t="str">
        <f t="shared" ref="B24:K24" si="43">IF($A24="","",IF(OR(ISNUMBER(SEARCH(LOWER($A24),LOWER(B$1))),AND(RIGHT(LOWER($A24),1)="s",ISNUMBER(SEARCH(LEFT(LOWER($A24),LEN($A24)-1),LOWER(B$1))))),B$1,B$1&amp;" "&amp;$A24))</f>
        <v>plumber cape town top rated</v>
      </c>
      <c r="C24" s="14" t="str">
        <f t="shared" si="43"/>
        <v>plumbing services top rated</v>
      </c>
      <c r="D24" s="14" t="str">
        <f t="shared" si="43"/>
        <v>plumbing company top rated</v>
      </c>
      <c r="E24" s="14" t="str">
        <f t="shared" si="43"/>
        <v>plumbing contractors top rated</v>
      </c>
      <c r="F24" s="14" t="str">
        <f t="shared" si="43"/>
        <v>residential plumber top rated</v>
      </c>
      <c r="G24" s="14" t="str">
        <f t="shared" si="43"/>
        <v>commercial plumber top rated</v>
      </c>
      <c r="H24" s="14" t="str">
        <f t="shared" si="43"/>
        <v>maintenance plumber top rated</v>
      </c>
      <c r="I24" s="14" t="str">
        <f t="shared" si="43"/>
        <v>plumbing repairs top rated</v>
      </c>
      <c r="J24" s="14" t="str">
        <f t="shared" si="43"/>
        <v>plumbing installation top rated</v>
      </c>
      <c r="K24" s="14" t="str">
        <f t="shared" si="43"/>
        <v>plumbing inspection top rated</v>
      </c>
      <c r="L24" s="16" t="str">
        <f>IFERROR(__xludf.DUMMYFUNCTION("""COMPUTED_VALUE"""),"commercial plumber top rated")</f>
        <v>commercial plumber top rated</v>
      </c>
      <c r="M24" s="17"/>
      <c r="N24" s="14" t="str">
        <f t="shared" ref="N24:W24" si="44">IF($A24="","",IF(OR(ISNUMBER(SEARCH(LOWER($A24),LOWER(N$1))),AND(RIGHT(LOWER($A24),1)="s",ISNUMBER(SEARCH(LEFT(LOWER($A24),LEN($A24)-1),LOWER(N$1))))),N$1,$A24&amp;" "&amp;N$1))</f>
        <v>top rated plumber cape town</v>
      </c>
      <c r="O24" s="14" t="str">
        <f t="shared" si="44"/>
        <v>top rated plumbing services</v>
      </c>
      <c r="P24" s="14" t="str">
        <f t="shared" si="44"/>
        <v>top rated plumbing company</v>
      </c>
      <c r="Q24" s="14" t="str">
        <f t="shared" si="44"/>
        <v>top rated plumbing contractors</v>
      </c>
      <c r="R24" s="14" t="str">
        <f t="shared" si="44"/>
        <v>top rated residential plumber</v>
      </c>
      <c r="S24" s="14" t="str">
        <f t="shared" si="44"/>
        <v>top rated commercial plumber</v>
      </c>
      <c r="T24" s="14" t="str">
        <f t="shared" si="44"/>
        <v>top rated maintenance plumber</v>
      </c>
      <c r="U24" s="14" t="str">
        <f t="shared" si="44"/>
        <v>top rated plumbing repairs</v>
      </c>
      <c r="V24" s="14" t="str">
        <f t="shared" si="44"/>
        <v>top rated plumbing installation</v>
      </c>
      <c r="W24" s="14" t="str">
        <f t="shared" si="44"/>
        <v>top rated plumbing inspection</v>
      </c>
      <c r="X24" s="18" t="str">
        <f>IFERROR(__xludf.DUMMYFUNCTION("""COMPUTED_VALUE"""),"after hours maintenance plumber")</f>
        <v>after hours maintenance plumber</v>
      </c>
      <c r="Y24" s="4"/>
      <c r="Z24" s="4"/>
    </row>
    <row r="25" ht="15.75" customHeight="1">
      <c r="A25" s="13" t="s">
        <v>99</v>
      </c>
      <c r="B25" s="14" t="str">
        <f t="shared" ref="B25:K25" si="45">IF($A25="","",IF(OR(ISNUMBER(SEARCH(LOWER($A25),LOWER(B$1))),AND(RIGHT(LOWER($A25),1)="s",ISNUMBER(SEARCH(LEFT(LOWER($A25),LEN($A25)-1),LOWER(B$1))))),B$1,B$1&amp;" "&amp;$A25))</f>
        <v>plumber cape town trusted</v>
      </c>
      <c r="C25" s="14" t="str">
        <f t="shared" si="45"/>
        <v>plumbing services trusted</v>
      </c>
      <c r="D25" s="14" t="str">
        <f t="shared" si="45"/>
        <v>plumbing company trusted</v>
      </c>
      <c r="E25" s="14" t="str">
        <f t="shared" si="45"/>
        <v>plumbing contractors trusted</v>
      </c>
      <c r="F25" s="14" t="str">
        <f t="shared" si="45"/>
        <v>residential plumber trusted</v>
      </c>
      <c r="G25" s="14" t="str">
        <f t="shared" si="45"/>
        <v>commercial plumber trusted</v>
      </c>
      <c r="H25" s="14" t="str">
        <f t="shared" si="45"/>
        <v>maintenance plumber trusted</v>
      </c>
      <c r="I25" s="14" t="str">
        <f t="shared" si="45"/>
        <v>plumbing repairs trusted</v>
      </c>
      <c r="J25" s="14" t="str">
        <f t="shared" si="45"/>
        <v>plumbing installation trusted</v>
      </c>
      <c r="K25" s="14" t="str">
        <f t="shared" si="45"/>
        <v>plumbing inspection trusted</v>
      </c>
      <c r="L25" s="16" t="str">
        <f>IFERROR(__xludf.DUMMYFUNCTION("""COMPUTED_VALUE"""),"commercial plumber trusted")</f>
        <v>commercial plumber trusted</v>
      </c>
      <c r="M25" s="17"/>
      <c r="N25" s="14" t="str">
        <f t="shared" ref="N25:W25" si="46">IF($A25="","",IF(OR(ISNUMBER(SEARCH(LOWER($A25),LOWER(N$1))),AND(RIGHT(LOWER($A25),1)="s",ISNUMBER(SEARCH(LEFT(LOWER($A25),LEN($A25)-1),LOWER(N$1))))),N$1,$A25&amp;" "&amp;N$1))</f>
        <v>trusted plumber cape town</v>
      </c>
      <c r="O25" s="14" t="str">
        <f t="shared" si="46"/>
        <v>trusted plumbing services</v>
      </c>
      <c r="P25" s="14" t="str">
        <f t="shared" si="46"/>
        <v>trusted plumbing company</v>
      </c>
      <c r="Q25" s="14" t="str">
        <f t="shared" si="46"/>
        <v>trusted plumbing contractors</v>
      </c>
      <c r="R25" s="14" t="str">
        <f t="shared" si="46"/>
        <v>trusted residential plumber</v>
      </c>
      <c r="S25" s="14" t="str">
        <f t="shared" si="46"/>
        <v>trusted commercial plumber</v>
      </c>
      <c r="T25" s="14" t="str">
        <f t="shared" si="46"/>
        <v>trusted maintenance plumber</v>
      </c>
      <c r="U25" s="14" t="str">
        <f t="shared" si="46"/>
        <v>trusted plumbing repairs</v>
      </c>
      <c r="V25" s="14" t="str">
        <f t="shared" si="46"/>
        <v>trusted plumbing installation</v>
      </c>
      <c r="W25" s="14" t="str">
        <f t="shared" si="46"/>
        <v>trusted plumbing inspection</v>
      </c>
      <c r="X25" s="18" t="str">
        <f>IFERROR(__xludf.DUMMYFUNCTION("""COMPUTED_VALUE"""),"after hours plumber cape town")</f>
        <v>after hours plumber cape town</v>
      </c>
      <c r="Y25" s="4"/>
      <c r="Z25" s="4"/>
    </row>
    <row r="26" ht="15.75" customHeight="1">
      <c r="A26" s="13"/>
      <c r="B26" s="14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14" t="str">
        <f t="shared" si="47"/>
        <v/>
      </c>
      <c r="D26" s="14" t="str">
        <f t="shared" si="47"/>
        <v/>
      </c>
      <c r="E26" s="14" t="str">
        <f t="shared" si="47"/>
        <v/>
      </c>
      <c r="F26" s="14" t="str">
        <f t="shared" si="47"/>
        <v/>
      </c>
      <c r="G26" s="14" t="str">
        <f t="shared" si="47"/>
        <v/>
      </c>
      <c r="H26" s="14" t="str">
        <f t="shared" si="47"/>
        <v/>
      </c>
      <c r="I26" s="14" t="str">
        <f t="shared" si="47"/>
        <v/>
      </c>
      <c r="J26" s="14" t="str">
        <f t="shared" si="47"/>
        <v/>
      </c>
      <c r="K26" s="14" t="str">
        <f t="shared" si="47"/>
        <v/>
      </c>
      <c r="L26" s="16" t="str">
        <f>IFERROR(__xludf.DUMMYFUNCTION("""COMPUTED_VALUE"""),"maintenance plumber")</f>
        <v>maintenance plumber</v>
      </c>
      <c r="M26" s="17"/>
      <c r="N26" s="14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14" t="str">
        <f t="shared" si="48"/>
        <v/>
      </c>
      <c r="P26" s="14" t="str">
        <f t="shared" si="48"/>
        <v/>
      </c>
      <c r="Q26" s="14" t="str">
        <f t="shared" si="48"/>
        <v/>
      </c>
      <c r="R26" s="14" t="str">
        <f t="shared" si="48"/>
        <v/>
      </c>
      <c r="S26" s="14" t="str">
        <f t="shared" si="48"/>
        <v/>
      </c>
      <c r="T26" s="14" t="str">
        <f t="shared" si="48"/>
        <v/>
      </c>
      <c r="U26" s="14" t="str">
        <f t="shared" si="48"/>
        <v/>
      </c>
      <c r="V26" s="14" t="str">
        <f t="shared" si="48"/>
        <v/>
      </c>
      <c r="W26" s="14" t="str">
        <f t="shared" si="48"/>
        <v/>
      </c>
      <c r="X26" s="18" t="str">
        <f>IFERROR(__xludf.DUMMYFUNCTION("""COMPUTED_VALUE"""),"after hours plumbing company")</f>
        <v>after hours plumbing company</v>
      </c>
      <c r="Y26" s="4"/>
      <c r="Z26" s="4"/>
    </row>
    <row r="27" ht="15.75" customHeight="1">
      <c r="A27" s="13"/>
      <c r="B27" s="14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14" t="str">
        <f t="shared" si="49"/>
        <v/>
      </c>
      <c r="D27" s="14" t="str">
        <f t="shared" si="49"/>
        <v/>
      </c>
      <c r="E27" s="14" t="str">
        <f t="shared" si="49"/>
        <v/>
      </c>
      <c r="F27" s="14" t="str">
        <f t="shared" si="49"/>
        <v/>
      </c>
      <c r="G27" s="14" t="str">
        <f t="shared" si="49"/>
        <v/>
      </c>
      <c r="H27" s="14" t="str">
        <f t="shared" si="49"/>
        <v/>
      </c>
      <c r="I27" s="14" t="str">
        <f t="shared" si="49"/>
        <v/>
      </c>
      <c r="J27" s="14" t="str">
        <f t="shared" si="49"/>
        <v/>
      </c>
      <c r="K27" s="14" t="str">
        <f t="shared" si="49"/>
        <v/>
      </c>
      <c r="L27" s="16" t="str">
        <f>IFERROR(__xludf.DUMMYFUNCTION("""COMPUTED_VALUE"""),"maintenance plumber 24 hour")</f>
        <v>maintenance plumber 24 hour</v>
      </c>
      <c r="M27" s="17"/>
      <c r="N27" s="14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14" t="str">
        <f t="shared" si="50"/>
        <v/>
      </c>
      <c r="P27" s="14" t="str">
        <f t="shared" si="50"/>
        <v/>
      </c>
      <c r="Q27" s="14" t="str">
        <f t="shared" si="50"/>
        <v/>
      </c>
      <c r="R27" s="14" t="str">
        <f t="shared" si="50"/>
        <v/>
      </c>
      <c r="S27" s="14" t="str">
        <f t="shared" si="50"/>
        <v/>
      </c>
      <c r="T27" s="14" t="str">
        <f t="shared" si="50"/>
        <v/>
      </c>
      <c r="U27" s="14" t="str">
        <f t="shared" si="50"/>
        <v/>
      </c>
      <c r="V27" s="14" t="str">
        <f t="shared" si="50"/>
        <v/>
      </c>
      <c r="W27" s="14" t="str">
        <f t="shared" si="50"/>
        <v/>
      </c>
      <c r="X27" s="18" t="str">
        <f>IFERROR(__xludf.DUMMYFUNCTION("""COMPUTED_VALUE"""),"after hours plumbing contractors")</f>
        <v>after hours plumbing contractors</v>
      </c>
      <c r="Y27" s="4"/>
      <c r="Z27" s="4"/>
    </row>
    <row r="28" ht="15.75" customHeight="1">
      <c r="A28" s="13"/>
      <c r="B28" s="14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14" t="str">
        <f t="shared" si="51"/>
        <v/>
      </c>
      <c r="D28" s="14" t="str">
        <f t="shared" si="51"/>
        <v/>
      </c>
      <c r="E28" s="14" t="str">
        <f t="shared" si="51"/>
        <v/>
      </c>
      <c r="F28" s="14" t="str">
        <f t="shared" si="51"/>
        <v/>
      </c>
      <c r="G28" s="14" t="str">
        <f t="shared" si="51"/>
        <v/>
      </c>
      <c r="H28" s="14" t="str">
        <f t="shared" si="51"/>
        <v/>
      </c>
      <c r="I28" s="14" t="str">
        <f t="shared" si="51"/>
        <v/>
      </c>
      <c r="J28" s="14" t="str">
        <f t="shared" si="51"/>
        <v/>
      </c>
      <c r="K28" s="14" t="str">
        <f t="shared" si="51"/>
        <v/>
      </c>
      <c r="L28" s="16" t="str">
        <f>IFERROR(__xludf.DUMMYFUNCTION("""COMPUTED_VALUE"""),"maintenance plumber affordable")</f>
        <v>maintenance plumber affordable</v>
      </c>
      <c r="M28" s="17"/>
      <c r="N28" s="14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14" t="str">
        <f t="shared" si="52"/>
        <v/>
      </c>
      <c r="P28" s="14" t="str">
        <f t="shared" si="52"/>
        <v/>
      </c>
      <c r="Q28" s="14" t="str">
        <f t="shared" si="52"/>
        <v/>
      </c>
      <c r="R28" s="14" t="str">
        <f t="shared" si="52"/>
        <v/>
      </c>
      <c r="S28" s="14" t="str">
        <f t="shared" si="52"/>
        <v/>
      </c>
      <c r="T28" s="14" t="str">
        <f t="shared" si="52"/>
        <v/>
      </c>
      <c r="U28" s="14" t="str">
        <f t="shared" si="52"/>
        <v/>
      </c>
      <c r="V28" s="14" t="str">
        <f t="shared" si="52"/>
        <v/>
      </c>
      <c r="W28" s="14" t="str">
        <f t="shared" si="52"/>
        <v/>
      </c>
      <c r="X28" s="18" t="str">
        <f>IFERROR(__xludf.DUMMYFUNCTION("""COMPUTED_VALUE"""),"after hours plumbing inspection")</f>
        <v>after hours plumbing inspection</v>
      </c>
      <c r="Y28" s="4"/>
      <c r="Z28" s="4"/>
    </row>
    <row r="29" ht="15.75" customHeight="1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6" t="str">
        <f>IFERROR(__xludf.DUMMYFUNCTION("""COMPUTED_VALUE"""),"maintenance plumber after hours")</f>
        <v>maintenance plumber after hours</v>
      </c>
      <c r="M29" s="17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8" t="str">
        <f>IFERROR(__xludf.DUMMYFUNCTION("""COMPUTED_VALUE"""),"after hours plumbing installation")</f>
        <v>after hours plumbing installation</v>
      </c>
      <c r="Y29" s="4"/>
      <c r="Z29" s="4"/>
    </row>
    <row r="30" ht="15.75" customHeight="1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6" t="str">
        <f>IFERROR(__xludf.DUMMYFUNCTION("""COMPUTED_VALUE"""),"maintenance plumber best")</f>
        <v>maintenance plumber best</v>
      </c>
      <c r="M30" s="17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8" t="str">
        <f>IFERROR(__xludf.DUMMYFUNCTION("""COMPUTED_VALUE"""),"after hours plumbing repairs")</f>
        <v>after hours plumbing repairs</v>
      </c>
      <c r="Y30" s="4"/>
      <c r="Z30" s="4"/>
    </row>
    <row r="31" ht="15.75" customHeight="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6" t="str">
        <f>IFERROR(__xludf.DUMMYFUNCTION("""COMPUTED_VALUE"""),"maintenance plumber call out")</f>
        <v>maintenance plumber call out</v>
      </c>
      <c r="M31" s="17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8" t="str">
        <f>IFERROR(__xludf.DUMMYFUNCTION("""COMPUTED_VALUE"""),"after hours plumbing services")</f>
        <v>after hours plumbing services</v>
      </c>
      <c r="Y31" s="4"/>
      <c r="Z31" s="4"/>
    </row>
    <row r="32" ht="15.75" customHeight="1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6" t="str">
        <f>IFERROR(__xludf.DUMMYFUNCTION("""COMPUTED_VALUE"""),"maintenance plumber company")</f>
        <v>maintenance plumber company</v>
      </c>
      <c r="M32" s="17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8" t="str">
        <f>IFERROR(__xludf.DUMMYFUNCTION("""COMPUTED_VALUE"""),"after hours residential plumber")</f>
        <v>after hours residential plumber</v>
      </c>
      <c r="Y32" s="4"/>
      <c r="Z32" s="4"/>
    </row>
    <row r="33" ht="15.75" customHeight="1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6" t="str">
        <f>IFERROR(__xludf.DUMMYFUNCTION("""COMPUTED_VALUE"""),"maintenance plumber contractor")</f>
        <v>maintenance plumber contractor</v>
      </c>
      <c r="M33" s="17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8" t="str">
        <f>IFERROR(__xludf.DUMMYFUNCTION("""COMPUTED_VALUE"""),"best commercial plumber")</f>
        <v>best commercial plumber</v>
      </c>
      <c r="Y33" s="4"/>
      <c r="Z33" s="4"/>
    </row>
    <row r="34" ht="15.75" customHeight="1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6" t="str">
        <f>IFERROR(__xludf.DUMMYFUNCTION("""COMPUTED_VALUE"""),"maintenance plumber cost")</f>
        <v>maintenance plumber cost</v>
      </c>
      <c r="M34" s="17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8" t="str">
        <f>IFERROR(__xludf.DUMMYFUNCTION("""COMPUTED_VALUE"""),"best maintenance plumber")</f>
        <v>best maintenance plumber</v>
      </c>
      <c r="Y34" s="4"/>
      <c r="Z34" s="4"/>
    </row>
    <row r="35" ht="15.75" customHeight="1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6" t="str">
        <f>IFERROR(__xludf.DUMMYFUNCTION("""COMPUTED_VALUE"""),"maintenance plumber emergency")</f>
        <v>maintenance plumber emergency</v>
      </c>
      <c r="M35" s="17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8" t="str">
        <f>IFERROR(__xludf.DUMMYFUNCTION("""COMPUTED_VALUE"""),"best plumber cape town")</f>
        <v>best plumber cape town</v>
      </c>
      <c r="Y35" s="4"/>
      <c r="Z35" s="4"/>
    </row>
    <row r="36" ht="15.75" customHeight="1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6" t="str">
        <f>IFERROR(__xludf.DUMMYFUNCTION("""COMPUTED_VALUE"""),"maintenance plumber installation")</f>
        <v>maintenance plumber installation</v>
      </c>
      <c r="M36" s="17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8" t="str">
        <f>IFERROR(__xludf.DUMMYFUNCTION("""COMPUTED_VALUE"""),"best plumbing company")</f>
        <v>best plumbing company</v>
      </c>
      <c r="Y36" s="4"/>
      <c r="Z36" s="4"/>
    </row>
    <row r="37" ht="15.75" customHeight="1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6" t="str">
        <f>IFERROR(__xludf.DUMMYFUNCTION("""COMPUTED_VALUE"""),"maintenance plumber licensed")</f>
        <v>maintenance plumber licensed</v>
      </c>
      <c r="M37" s="17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8" t="str">
        <f>IFERROR(__xludf.DUMMYFUNCTION("""COMPUTED_VALUE"""),"best plumbing contractors")</f>
        <v>best plumbing contractors</v>
      </c>
      <c r="Y37" s="4"/>
      <c r="Z37" s="4"/>
    </row>
    <row r="38" ht="15.75" customHeight="1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6" t="str">
        <f>IFERROR(__xludf.DUMMYFUNCTION("""COMPUTED_VALUE"""),"maintenance plumber local")</f>
        <v>maintenance plumber local</v>
      </c>
      <c r="M38" s="17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8" t="str">
        <f>IFERROR(__xludf.DUMMYFUNCTION("""COMPUTED_VALUE"""),"best plumbing inspection")</f>
        <v>best plumbing inspection</v>
      </c>
      <c r="Y38" s="4"/>
      <c r="Z38" s="4"/>
    </row>
    <row r="39" ht="15.75" customHeight="1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6" t="str">
        <f>IFERROR(__xludf.DUMMYFUNCTION("""COMPUTED_VALUE"""),"maintenance plumber near me")</f>
        <v>maintenance plumber near me</v>
      </c>
      <c r="M39" s="17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8" t="str">
        <f>IFERROR(__xludf.DUMMYFUNCTION("""COMPUTED_VALUE"""),"best plumbing installation")</f>
        <v>best plumbing installation</v>
      </c>
      <c r="Y39" s="4"/>
      <c r="Z39" s="4"/>
    </row>
    <row r="40" ht="15.75" customHeight="1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6" t="str">
        <f>IFERROR(__xludf.DUMMYFUNCTION("""COMPUTED_VALUE"""),"maintenance plumber professional")</f>
        <v>maintenance plumber professional</v>
      </c>
      <c r="M40" s="17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8" t="str">
        <f>IFERROR(__xludf.DUMMYFUNCTION("""COMPUTED_VALUE"""),"best plumbing repairs")</f>
        <v>best plumbing repairs</v>
      </c>
      <c r="Y40" s="4"/>
      <c r="Z40" s="4"/>
    </row>
    <row r="41" ht="15.75" customHeight="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6" t="str">
        <f>IFERROR(__xludf.DUMMYFUNCTION("""COMPUTED_VALUE"""),"maintenance plumber qualified")</f>
        <v>maintenance plumber qualified</v>
      </c>
      <c r="M41" s="17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8" t="str">
        <f>IFERROR(__xludf.DUMMYFUNCTION("""COMPUTED_VALUE"""),"best plumbing services")</f>
        <v>best plumbing services</v>
      </c>
      <c r="Y41" s="4"/>
      <c r="Z41" s="4"/>
    </row>
    <row r="42" ht="15.75" customHeight="1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6" t="str">
        <f>IFERROR(__xludf.DUMMYFUNCTION("""COMPUTED_VALUE"""),"maintenance plumber quote")</f>
        <v>maintenance plumber quote</v>
      </c>
      <c r="M42" s="17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8" t="str">
        <f>IFERROR(__xludf.DUMMYFUNCTION("""COMPUTED_VALUE"""),"best residential plumber")</f>
        <v>best residential plumber</v>
      </c>
      <c r="Y42" s="4"/>
      <c r="Z42" s="4"/>
    </row>
    <row r="43" ht="15.75" customHeight="1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6" t="str">
        <f>IFERROR(__xludf.DUMMYFUNCTION("""COMPUTED_VALUE"""),"maintenance plumber reliable")</f>
        <v>maintenance plumber reliable</v>
      </c>
      <c r="M43" s="17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8" t="str">
        <f>IFERROR(__xludf.DUMMYFUNCTION("""COMPUTED_VALUE"""),"call out commercial plumber")</f>
        <v>call out commercial plumber</v>
      </c>
      <c r="Y43" s="4"/>
      <c r="Z43" s="4"/>
    </row>
    <row r="44" ht="15.75" customHeight="1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6" t="str">
        <f>IFERROR(__xludf.DUMMYFUNCTION("""COMPUTED_VALUE"""),"maintenance plumber repair")</f>
        <v>maintenance plumber repair</v>
      </c>
      <c r="M44" s="17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8" t="str">
        <f>IFERROR(__xludf.DUMMYFUNCTION("""COMPUTED_VALUE"""),"call out maintenance plumber")</f>
        <v>call out maintenance plumber</v>
      </c>
      <c r="Y44" s="4"/>
      <c r="Z44" s="4"/>
    </row>
    <row r="45" ht="15.75" customHeight="1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6" t="str">
        <f>IFERROR(__xludf.DUMMYFUNCTION("""COMPUTED_VALUE"""),"maintenance plumber same day")</f>
        <v>maintenance plumber same day</v>
      </c>
      <c r="M45" s="17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8" t="str">
        <f>IFERROR(__xludf.DUMMYFUNCTION("""COMPUTED_VALUE"""),"call out plumber cape town")</f>
        <v>call out plumber cape town</v>
      </c>
      <c r="Y45" s="4"/>
      <c r="Z45" s="4"/>
    </row>
    <row r="46" ht="15.75" customHeight="1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6" t="str">
        <f>IFERROR(__xludf.DUMMYFUNCTION("""COMPUTED_VALUE"""),"maintenance plumber service")</f>
        <v>maintenance plumber service</v>
      </c>
      <c r="M46" s="17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8" t="str">
        <f>IFERROR(__xludf.DUMMYFUNCTION("""COMPUTED_VALUE"""),"call out plumbing company")</f>
        <v>call out plumbing company</v>
      </c>
      <c r="Y46" s="4"/>
      <c r="Z46" s="4"/>
    </row>
    <row r="47" ht="15.75" customHeight="1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6" t="str">
        <f>IFERROR(__xludf.DUMMYFUNCTION("""COMPUTED_VALUE"""),"maintenance plumber top rated")</f>
        <v>maintenance plumber top rated</v>
      </c>
      <c r="M47" s="17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8" t="str">
        <f>IFERROR(__xludf.DUMMYFUNCTION("""COMPUTED_VALUE"""),"call out plumbing contractors")</f>
        <v>call out plumbing contractors</v>
      </c>
      <c r="Y47" s="4"/>
      <c r="Z47" s="4"/>
    </row>
    <row r="48" ht="15.75" customHeight="1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6" t="str">
        <f>IFERROR(__xludf.DUMMYFUNCTION("""COMPUTED_VALUE"""),"maintenance plumber trusted")</f>
        <v>maintenance plumber trusted</v>
      </c>
      <c r="M48" s="17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8" t="str">
        <f>IFERROR(__xludf.DUMMYFUNCTION("""COMPUTED_VALUE"""),"call out plumbing inspection")</f>
        <v>call out plumbing inspection</v>
      </c>
      <c r="Y48" s="4"/>
      <c r="Z48" s="4"/>
    </row>
    <row r="49" ht="15.75" customHeight="1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6" t="str">
        <f>IFERROR(__xludf.DUMMYFUNCTION("""COMPUTED_VALUE"""),"plumber cape town 24 hour")</f>
        <v>plumber cape town 24 hour</v>
      </c>
      <c r="M49" s="17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8" t="str">
        <f>IFERROR(__xludf.DUMMYFUNCTION("""COMPUTED_VALUE"""),"call out plumbing installation")</f>
        <v>call out plumbing installation</v>
      </c>
      <c r="Y49" s="4"/>
      <c r="Z49" s="4"/>
    </row>
    <row r="50" ht="15.75" customHeight="1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6" t="str">
        <f>IFERROR(__xludf.DUMMYFUNCTION("""COMPUTED_VALUE"""),"plumber cape town affordable")</f>
        <v>plumber cape town affordable</v>
      </c>
      <c r="M50" s="17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8" t="str">
        <f>IFERROR(__xludf.DUMMYFUNCTION("""COMPUTED_VALUE"""),"call out plumbing repairs")</f>
        <v>call out plumbing repairs</v>
      </c>
      <c r="Y50" s="4"/>
      <c r="Z50" s="4"/>
    </row>
    <row r="51" ht="15.75" customHeight="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6" t="str">
        <f>IFERROR(__xludf.DUMMYFUNCTION("""COMPUTED_VALUE"""),"plumber cape town after hours")</f>
        <v>plumber cape town after hours</v>
      </c>
      <c r="M51" s="17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8" t="str">
        <f>IFERROR(__xludf.DUMMYFUNCTION("""COMPUTED_VALUE"""),"call out plumbing services")</f>
        <v>call out plumbing services</v>
      </c>
      <c r="Y51" s="4"/>
      <c r="Z51" s="4"/>
    </row>
    <row r="52" ht="15.75" customHeight="1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6" t="str">
        <f>IFERROR(__xludf.DUMMYFUNCTION("""COMPUTED_VALUE"""),"plumber cape town best")</f>
        <v>plumber cape town best</v>
      </c>
      <c r="M52" s="17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8" t="str">
        <f>IFERROR(__xludf.DUMMYFUNCTION("""COMPUTED_VALUE"""),"call out residential plumber")</f>
        <v>call out residential plumber</v>
      </c>
      <c r="Y52" s="4"/>
      <c r="Z52" s="4"/>
    </row>
    <row r="53" ht="15.75" customHeight="1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6" t="str">
        <f>IFERROR(__xludf.DUMMYFUNCTION("""COMPUTED_VALUE"""),"plumber cape town call out")</f>
        <v>plumber cape town call out</v>
      </c>
      <c r="M53" s="17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8" t="str">
        <f>IFERROR(__xludf.DUMMYFUNCTION("""COMPUTED_VALUE"""),"company commercial plumber")</f>
        <v>company commercial plumber</v>
      </c>
      <c r="Y53" s="4"/>
      <c r="Z53" s="4"/>
    </row>
    <row r="54" ht="15.75" customHeight="1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6" t="str">
        <f>IFERROR(__xludf.DUMMYFUNCTION("""COMPUTED_VALUE"""),"plumber cape town company")</f>
        <v>plumber cape town company</v>
      </c>
      <c r="M54" s="17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8" t="str">
        <f>IFERROR(__xludf.DUMMYFUNCTION("""COMPUTED_VALUE"""),"company maintenance plumber")</f>
        <v>company maintenance plumber</v>
      </c>
      <c r="Y54" s="4"/>
      <c r="Z54" s="4"/>
    </row>
    <row r="55" ht="15.75" customHeight="1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6" t="str">
        <f>IFERROR(__xludf.DUMMYFUNCTION("""COMPUTED_VALUE"""),"plumber cape town contractor")</f>
        <v>plumber cape town contractor</v>
      </c>
      <c r="M55" s="17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8" t="str">
        <f>IFERROR(__xludf.DUMMYFUNCTION("""COMPUTED_VALUE"""),"company plumber cape town")</f>
        <v>company plumber cape town</v>
      </c>
      <c r="Y55" s="4"/>
      <c r="Z55" s="4"/>
    </row>
    <row r="56" ht="15.75" customHeight="1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6" t="str">
        <f>IFERROR(__xludf.DUMMYFUNCTION("""COMPUTED_VALUE"""),"plumber cape town cost")</f>
        <v>plumber cape town cost</v>
      </c>
      <c r="M56" s="17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8" t="str">
        <f>IFERROR(__xludf.DUMMYFUNCTION("""COMPUTED_VALUE"""),"company plumbing contractors")</f>
        <v>company plumbing contractors</v>
      </c>
      <c r="Y56" s="4"/>
      <c r="Z56" s="4"/>
    </row>
    <row r="57" ht="15.75" customHeight="1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6" t="str">
        <f>IFERROR(__xludf.DUMMYFUNCTION("""COMPUTED_VALUE"""),"plumber cape town emergency")</f>
        <v>plumber cape town emergency</v>
      </c>
      <c r="M57" s="17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8" t="str">
        <f>IFERROR(__xludf.DUMMYFUNCTION("""COMPUTED_VALUE"""),"company plumbing inspection")</f>
        <v>company plumbing inspection</v>
      </c>
      <c r="Y57" s="4"/>
      <c r="Z57" s="4"/>
    </row>
    <row r="58" ht="15.75" customHeight="1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6" t="str">
        <f>IFERROR(__xludf.DUMMYFUNCTION("""COMPUTED_VALUE"""),"plumber cape town installation")</f>
        <v>plumber cape town installation</v>
      </c>
      <c r="M58" s="17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8" t="str">
        <f>IFERROR(__xludf.DUMMYFUNCTION("""COMPUTED_VALUE"""),"company plumbing installation")</f>
        <v>company plumbing installation</v>
      </c>
      <c r="Y58" s="4"/>
      <c r="Z58" s="4"/>
    </row>
    <row r="59" ht="15.75" customHeight="1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6" t="str">
        <f>IFERROR(__xludf.DUMMYFUNCTION("""COMPUTED_VALUE"""),"plumber cape town licensed")</f>
        <v>plumber cape town licensed</v>
      </c>
      <c r="M59" s="17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8" t="str">
        <f>IFERROR(__xludf.DUMMYFUNCTION("""COMPUTED_VALUE"""),"company plumbing repairs")</f>
        <v>company plumbing repairs</v>
      </c>
      <c r="Y59" s="4"/>
      <c r="Z59" s="4"/>
    </row>
    <row r="60" ht="15.75" customHeight="1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6" t="str">
        <f>IFERROR(__xludf.DUMMYFUNCTION("""COMPUTED_VALUE"""),"plumber cape town local")</f>
        <v>plumber cape town local</v>
      </c>
      <c r="M60" s="17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8" t="str">
        <f>IFERROR(__xludf.DUMMYFUNCTION("""COMPUTED_VALUE"""),"company plumbing services")</f>
        <v>company plumbing services</v>
      </c>
      <c r="Y60" s="4"/>
      <c r="Z60" s="4"/>
    </row>
    <row r="61" ht="15.75" customHeight="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6" t="str">
        <f>IFERROR(__xludf.DUMMYFUNCTION("""COMPUTED_VALUE"""),"plumber cape town maintenance")</f>
        <v>plumber cape town maintenance</v>
      </c>
      <c r="M61" s="17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8" t="str">
        <f>IFERROR(__xludf.DUMMYFUNCTION("""COMPUTED_VALUE"""),"company residential plumber")</f>
        <v>company residential plumber</v>
      </c>
      <c r="Y61" s="4"/>
      <c r="Z61" s="4"/>
    </row>
    <row r="62" ht="15.75" customHeight="1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6" t="str">
        <f>IFERROR(__xludf.DUMMYFUNCTION("""COMPUTED_VALUE"""),"plumber cape town near me")</f>
        <v>plumber cape town near me</v>
      </c>
      <c r="M62" s="17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8" t="str">
        <f>IFERROR(__xludf.DUMMYFUNCTION("""COMPUTED_VALUE"""),"contractor commercial plumber")</f>
        <v>contractor commercial plumber</v>
      </c>
      <c r="Y62" s="4"/>
      <c r="Z62" s="4"/>
    </row>
    <row r="63" ht="15.75" customHeight="1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6" t="str">
        <f>IFERROR(__xludf.DUMMYFUNCTION("""COMPUTED_VALUE"""),"plumber cape town professional")</f>
        <v>plumber cape town professional</v>
      </c>
      <c r="M63" s="17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8" t="str">
        <f>IFERROR(__xludf.DUMMYFUNCTION("""COMPUTED_VALUE"""),"contractor maintenance plumber")</f>
        <v>contractor maintenance plumber</v>
      </c>
      <c r="Y63" s="4"/>
      <c r="Z63" s="4"/>
    </row>
    <row r="64" ht="15.75" customHeight="1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6" t="str">
        <f>IFERROR(__xludf.DUMMYFUNCTION("""COMPUTED_VALUE"""),"plumber cape town qualified")</f>
        <v>plumber cape town qualified</v>
      </c>
      <c r="M64" s="17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8" t="str">
        <f>IFERROR(__xludf.DUMMYFUNCTION("""COMPUTED_VALUE"""),"contractor plumber cape town")</f>
        <v>contractor plumber cape town</v>
      </c>
      <c r="Y64" s="4"/>
      <c r="Z64" s="4"/>
    </row>
    <row r="65" ht="15.75" customHeight="1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6" t="str">
        <f>IFERROR(__xludf.DUMMYFUNCTION("""COMPUTED_VALUE"""),"plumber cape town quote")</f>
        <v>plumber cape town quote</v>
      </c>
      <c r="M65" s="17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8" t="str">
        <f>IFERROR(__xludf.DUMMYFUNCTION("""COMPUTED_VALUE"""),"contractor plumbing company")</f>
        <v>contractor plumbing company</v>
      </c>
      <c r="Y65" s="4"/>
      <c r="Z65" s="4"/>
    </row>
    <row r="66" ht="15.75" customHeight="1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6" t="str">
        <f>IFERROR(__xludf.DUMMYFUNCTION("""COMPUTED_VALUE"""),"plumber cape town reliable")</f>
        <v>plumber cape town reliable</v>
      </c>
      <c r="M66" s="17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8" t="str">
        <f>IFERROR(__xludf.DUMMYFUNCTION("""COMPUTED_VALUE"""),"contractor plumbing inspection")</f>
        <v>contractor plumbing inspection</v>
      </c>
      <c r="Y66" s="4"/>
      <c r="Z66" s="4"/>
    </row>
    <row r="67" ht="15.75" customHeight="1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6" t="str">
        <f>IFERROR(__xludf.DUMMYFUNCTION("""COMPUTED_VALUE"""),"plumber cape town repair")</f>
        <v>plumber cape town repair</v>
      </c>
      <c r="M67" s="17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8" t="str">
        <f>IFERROR(__xludf.DUMMYFUNCTION("""COMPUTED_VALUE"""),"contractor plumbing installation")</f>
        <v>contractor plumbing installation</v>
      </c>
      <c r="Y67" s="4"/>
      <c r="Z67" s="4"/>
    </row>
    <row r="68" ht="15.75" customHeight="1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6" t="str">
        <f>IFERROR(__xludf.DUMMYFUNCTION("""COMPUTED_VALUE"""),"plumber cape town same day")</f>
        <v>plumber cape town same day</v>
      </c>
      <c r="M68" s="17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8" t="str">
        <f>IFERROR(__xludf.DUMMYFUNCTION("""COMPUTED_VALUE"""),"contractor plumbing repairs")</f>
        <v>contractor plumbing repairs</v>
      </c>
      <c r="Y68" s="4"/>
      <c r="Z68" s="4"/>
    </row>
    <row r="69" ht="15.75" customHeight="1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6" t="str">
        <f>IFERROR(__xludf.DUMMYFUNCTION("""COMPUTED_VALUE"""),"plumber cape town service")</f>
        <v>plumber cape town service</v>
      </c>
      <c r="M69" s="17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8" t="str">
        <f>IFERROR(__xludf.DUMMYFUNCTION("""COMPUTED_VALUE"""),"contractor plumbing services")</f>
        <v>contractor plumbing services</v>
      </c>
      <c r="Y69" s="4"/>
      <c r="Z69" s="4"/>
    </row>
    <row r="70" ht="15.75" customHeight="1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6" t="str">
        <f>IFERROR(__xludf.DUMMYFUNCTION("""COMPUTED_VALUE"""),"plumber cape town top rated")</f>
        <v>plumber cape town top rated</v>
      </c>
      <c r="M70" s="17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8" t="str">
        <f>IFERROR(__xludf.DUMMYFUNCTION("""COMPUTED_VALUE"""),"contractor residential plumber")</f>
        <v>contractor residential plumber</v>
      </c>
      <c r="Y70" s="4"/>
      <c r="Z70" s="4"/>
    </row>
    <row r="71" ht="15.75" customHeight="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6" t="str">
        <f>IFERROR(__xludf.DUMMYFUNCTION("""COMPUTED_VALUE"""),"plumber cape town trusted")</f>
        <v>plumber cape town trusted</v>
      </c>
      <c r="M71" s="17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8" t="str">
        <f>IFERROR(__xludf.DUMMYFUNCTION("""COMPUTED_VALUE"""),"cost commercial plumber")</f>
        <v>cost commercial plumber</v>
      </c>
      <c r="Y71" s="4"/>
      <c r="Z71" s="4"/>
    </row>
    <row r="72" ht="15.75" customHeight="1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6" t="str">
        <f>IFERROR(__xludf.DUMMYFUNCTION("""COMPUTED_VALUE"""),"plumbing company")</f>
        <v>plumbing company</v>
      </c>
      <c r="M72" s="17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8" t="str">
        <f>IFERROR(__xludf.DUMMYFUNCTION("""COMPUTED_VALUE"""),"cost maintenance plumber")</f>
        <v>cost maintenance plumber</v>
      </c>
      <c r="Y72" s="4"/>
      <c r="Z72" s="4"/>
    </row>
    <row r="73" ht="15.75" customHeight="1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6" t="str">
        <f>IFERROR(__xludf.DUMMYFUNCTION("""COMPUTED_VALUE"""),"plumbing company 24 hour")</f>
        <v>plumbing company 24 hour</v>
      </c>
      <c r="M73" s="17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8" t="str">
        <f>IFERROR(__xludf.DUMMYFUNCTION("""COMPUTED_VALUE"""),"cost plumber cape town")</f>
        <v>cost plumber cape town</v>
      </c>
      <c r="Y73" s="4"/>
      <c r="Z73" s="4"/>
    </row>
    <row r="74" ht="15.75" customHeight="1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6" t="str">
        <f>IFERROR(__xludf.DUMMYFUNCTION("""COMPUTED_VALUE"""),"plumbing company affordable")</f>
        <v>plumbing company affordable</v>
      </c>
      <c r="M74" s="17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8" t="str">
        <f>IFERROR(__xludf.DUMMYFUNCTION("""COMPUTED_VALUE"""),"cost plumbing company")</f>
        <v>cost plumbing company</v>
      </c>
      <c r="Y74" s="4"/>
      <c r="Z74" s="4"/>
    </row>
    <row r="75" ht="15.75" customHeight="1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6" t="str">
        <f>IFERROR(__xludf.DUMMYFUNCTION("""COMPUTED_VALUE"""),"plumbing company after hours")</f>
        <v>plumbing company after hours</v>
      </c>
      <c r="M75" s="17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8" t="str">
        <f>IFERROR(__xludf.DUMMYFUNCTION("""COMPUTED_VALUE"""),"cost plumbing contractors")</f>
        <v>cost plumbing contractors</v>
      </c>
      <c r="Y75" s="4"/>
      <c r="Z75" s="4"/>
    </row>
    <row r="76" ht="15.75" customHeight="1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6" t="str">
        <f>IFERROR(__xludf.DUMMYFUNCTION("""COMPUTED_VALUE"""),"plumbing company best")</f>
        <v>plumbing company best</v>
      </c>
      <c r="M76" s="17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8" t="str">
        <f>IFERROR(__xludf.DUMMYFUNCTION("""COMPUTED_VALUE"""),"cost plumbing inspection")</f>
        <v>cost plumbing inspection</v>
      </c>
      <c r="Y76" s="4"/>
      <c r="Z76" s="4"/>
    </row>
    <row r="77" ht="15.75" customHeight="1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6" t="str">
        <f>IFERROR(__xludf.DUMMYFUNCTION("""COMPUTED_VALUE"""),"plumbing company call out")</f>
        <v>plumbing company call out</v>
      </c>
      <c r="M77" s="17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8" t="str">
        <f>IFERROR(__xludf.DUMMYFUNCTION("""COMPUTED_VALUE"""),"cost plumbing installation")</f>
        <v>cost plumbing installation</v>
      </c>
      <c r="Y77" s="4"/>
      <c r="Z77" s="4"/>
    </row>
    <row r="78" ht="15.75" customHeight="1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6" t="str">
        <f>IFERROR(__xludf.DUMMYFUNCTION("""COMPUTED_VALUE"""),"plumbing company contractor")</f>
        <v>plumbing company contractor</v>
      </c>
      <c r="M78" s="17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8" t="str">
        <f>IFERROR(__xludf.DUMMYFUNCTION("""COMPUTED_VALUE"""),"cost plumbing repairs")</f>
        <v>cost plumbing repairs</v>
      </c>
      <c r="Y78" s="4"/>
      <c r="Z78" s="4"/>
    </row>
    <row r="79" ht="15.75" customHeight="1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6" t="str">
        <f>IFERROR(__xludf.DUMMYFUNCTION("""COMPUTED_VALUE"""),"plumbing company cost")</f>
        <v>plumbing company cost</v>
      </c>
      <c r="M79" s="17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8" t="str">
        <f>IFERROR(__xludf.DUMMYFUNCTION("""COMPUTED_VALUE"""),"cost plumbing services")</f>
        <v>cost plumbing services</v>
      </c>
      <c r="Y79" s="4"/>
      <c r="Z79" s="4"/>
    </row>
    <row r="80" ht="15.75" customHeight="1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6" t="str">
        <f>IFERROR(__xludf.DUMMYFUNCTION("""COMPUTED_VALUE"""),"plumbing company emergency")</f>
        <v>plumbing company emergency</v>
      </c>
      <c r="M80" s="17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8" t="str">
        <f>IFERROR(__xludf.DUMMYFUNCTION("""COMPUTED_VALUE"""),"cost residential plumber")</f>
        <v>cost residential plumber</v>
      </c>
      <c r="Y80" s="4"/>
      <c r="Z80" s="4"/>
    </row>
    <row r="81" ht="15.75" customHeight="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6" t="str">
        <f>IFERROR(__xludf.DUMMYFUNCTION("""COMPUTED_VALUE"""),"plumbing company installation")</f>
        <v>plumbing company installation</v>
      </c>
      <c r="M81" s="17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8" t="str">
        <f>IFERROR(__xludf.DUMMYFUNCTION("""COMPUTED_VALUE"""),"emergency commercial plumber")</f>
        <v>emergency commercial plumber</v>
      </c>
      <c r="Y81" s="4"/>
      <c r="Z81" s="4"/>
    </row>
    <row r="82" ht="15.75" customHeight="1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6" t="str">
        <f>IFERROR(__xludf.DUMMYFUNCTION("""COMPUTED_VALUE"""),"plumbing company licensed")</f>
        <v>plumbing company licensed</v>
      </c>
      <c r="M82" s="17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8" t="str">
        <f>IFERROR(__xludf.DUMMYFUNCTION("""COMPUTED_VALUE"""),"emergency maintenance plumber")</f>
        <v>emergency maintenance plumber</v>
      </c>
      <c r="Y82" s="4"/>
      <c r="Z82" s="4"/>
    </row>
    <row r="83" ht="15.7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6" t="str">
        <f>IFERROR(__xludf.DUMMYFUNCTION("""COMPUTED_VALUE"""),"plumbing company local")</f>
        <v>plumbing company local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8" t="str">
        <f>IFERROR(__xludf.DUMMYFUNCTION("""COMPUTED_VALUE"""),"emergency plumber cape town")</f>
        <v>emergency plumber cape town</v>
      </c>
      <c r="Y83" s="4"/>
      <c r="Z83" s="4"/>
    </row>
    <row r="84" ht="15.7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 t="str">
        <f>IFERROR(__xludf.DUMMYFUNCTION("""COMPUTED_VALUE"""),"plumbing company maintenance")</f>
        <v>plumbing company maintenance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8" t="str">
        <f>IFERROR(__xludf.DUMMYFUNCTION("""COMPUTED_VALUE"""),"emergency plumbing company")</f>
        <v>emergency plumbing company</v>
      </c>
      <c r="Y84" s="4"/>
      <c r="Z84" s="4"/>
    </row>
    <row r="85" ht="15.7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6" t="str">
        <f>IFERROR(__xludf.DUMMYFUNCTION("""COMPUTED_VALUE"""),"plumbing company near me")</f>
        <v>plumbing company near me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8" t="str">
        <f>IFERROR(__xludf.DUMMYFUNCTION("""COMPUTED_VALUE"""),"emergency plumbing contractors")</f>
        <v>emergency plumbing contractors</v>
      </c>
      <c r="Y85" s="4"/>
      <c r="Z85" s="4"/>
    </row>
    <row r="86" ht="15.7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 t="str">
        <f>IFERROR(__xludf.DUMMYFUNCTION("""COMPUTED_VALUE"""),"plumbing company professional")</f>
        <v>plumbing company professional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8" t="str">
        <f>IFERROR(__xludf.DUMMYFUNCTION("""COMPUTED_VALUE"""),"emergency plumbing inspection")</f>
        <v>emergency plumbing inspection</v>
      </c>
      <c r="Y86" s="4"/>
      <c r="Z86" s="4"/>
    </row>
    <row r="87" ht="15.7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 t="str">
        <f>IFERROR(__xludf.DUMMYFUNCTION("""COMPUTED_VALUE"""),"plumbing company qualified")</f>
        <v>plumbing company qualified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8" t="str">
        <f>IFERROR(__xludf.DUMMYFUNCTION("""COMPUTED_VALUE"""),"emergency plumbing installation")</f>
        <v>emergency plumbing installation</v>
      </c>
      <c r="Y87" s="4"/>
      <c r="Z87" s="4"/>
    </row>
    <row r="88" ht="15.7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 t="str">
        <f>IFERROR(__xludf.DUMMYFUNCTION("""COMPUTED_VALUE"""),"plumbing company quote")</f>
        <v>plumbing company quote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8" t="str">
        <f>IFERROR(__xludf.DUMMYFUNCTION("""COMPUTED_VALUE"""),"emergency plumbing repairs")</f>
        <v>emergency plumbing repairs</v>
      </c>
      <c r="Y88" s="4"/>
      <c r="Z88" s="4"/>
    </row>
    <row r="89" ht="15.7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 t="str">
        <f>IFERROR(__xludf.DUMMYFUNCTION("""COMPUTED_VALUE"""),"plumbing company reliable")</f>
        <v>plumbing company reliable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8" t="str">
        <f>IFERROR(__xludf.DUMMYFUNCTION("""COMPUTED_VALUE"""),"emergency plumbing services")</f>
        <v>emergency plumbing services</v>
      </c>
      <c r="Y89" s="4"/>
      <c r="Z89" s="4"/>
    </row>
    <row r="90" ht="15.75" customHeight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 t="str">
        <f>IFERROR(__xludf.DUMMYFUNCTION("""COMPUTED_VALUE"""),"plumbing company repair")</f>
        <v>plumbing company repair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8" t="str">
        <f>IFERROR(__xludf.DUMMYFUNCTION("""COMPUTED_VALUE"""),"emergency residential plumber")</f>
        <v>emergency residential plumber</v>
      </c>
      <c r="Y90" s="4"/>
      <c r="Z90" s="4"/>
    </row>
    <row r="91" ht="15.75" customHeight="1">
      <c r="A91" s="1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6" t="str">
        <f>IFERROR(__xludf.DUMMYFUNCTION("""COMPUTED_VALUE"""),"plumbing company same day")</f>
        <v>plumbing company same day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 t="str">
        <f>IFERROR(__xludf.DUMMYFUNCTION("""COMPUTED_VALUE"""),"installation commercial plumber")</f>
        <v>installation commercial plumber</v>
      </c>
      <c r="Y91" s="4"/>
      <c r="Z91" s="4"/>
    </row>
    <row r="92" ht="15.75" customHeight="1">
      <c r="A92" s="1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 t="str">
        <f>IFERROR(__xludf.DUMMYFUNCTION("""COMPUTED_VALUE"""),"plumbing company service")</f>
        <v>plumbing company service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8" t="str">
        <f>IFERROR(__xludf.DUMMYFUNCTION("""COMPUTED_VALUE"""),"installation maintenance plumber")</f>
        <v>installation maintenance plumber</v>
      </c>
      <c r="Y92" s="4"/>
      <c r="Z92" s="4"/>
    </row>
    <row r="93" ht="15.75" customHeight="1">
      <c r="A93" s="1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6" t="str">
        <f>IFERROR(__xludf.DUMMYFUNCTION("""COMPUTED_VALUE"""),"plumbing company top rated")</f>
        <v>plumbing company top rated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8" t="str">
        <f>IFERROR(__xludf.DUMMYFUNCTION("""COMPUTED_VALUE"""),"installation plumber cape town")</f>
        <v>installation plumber cape town</v>
      </c>
      <c r="Y93" s="4"/>
      <c r="Z93" s="4"/>
    </row>
    <row r="94" ht="15.75" customHeight="1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6" t="str">
        <f>IFERROR(__xludf.DUMMYFUNCTION("""COMPUTED_VALUE"""),"plumbing company trusted")</f>
        <v>plumbing company trusted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8" t="str">
        <f>IFERROR(__xludf.DUMMYFUNCTION("""COMPUTED_VALUE"""),"installation plumbing company")</f>
        <v>installation plumbing company</v>
      </c>
      <c r="Y94" s="4"/>
      <c r="Z94" s="4"/>
    </row>
    <row r="95" ht="15.75" customHeight="1">
      <c r="A95" s="1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 t="str">
        <f>IFERROR(__xludf.DUMMYFUNCTION("""COMPUTED_VALUE"""),"plumbing contractors")</f>
        <v>plumbing contractors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8" t="str">
        <f>IFERROR(__xludf.DUMMYFUNCTION("""COMPUTED_VALUE"""),"installation plumbing contractors")</f>
        <v>installation plumbing contractors</v>
      </c>
      <c r="Y95" s="4"/>
      <c r="Z95" s="4"/>
    </row>
    <row r="96" ht="15.75" customHeight="1">
      <c r="A96" s="1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6" t="str">
        <f>IFERROR(__xludf.DUMMYFUNCTION("""COMPUTED_VALUE"""),"plumbing contractors 24 hour")</f>
        <v>plumbing contractors 24 hour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 t="str">
        <f>IFERROR(__xludf.DUMMYFUNCTION("""COMPUTED_VALUE"""),"installation plumbing inspection")</f>
        <v>installation plumbing inspection</v>
      </c>
      <c r="Y96" s="4"/>
      <c r="Z96" s="4"/>
    </row>
    <row r="97" ht="15.75" customHeight="1">
      <c r="A97" s="1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6" t="str">
        <f>IFERROR(__xludf.DUMMYFUNCTION("""COMPUTED_VALUE"""),"plumbing contractors affordable")</f>
        <v>plumbing contractors affordable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8" t="str">
        <f>IFERROR(__xludf.DUMMYFUNCTION("""COMPUTED_VALUE"""),"installation plumbing repairs")</f>
        <v>installation plumbing repairs</v>
      </c>
      <c r="Y97" s="4"/>
      <c r="Z97" s="4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 t="str">
        <f>IFERROR(__xludf.DUMMYFUNCTION("""COMPUTED_VALUE"""),"plumbing contractors after hours")</f>
        <v>plumbing contractors after hours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 t="str">
        <f>IFERROR(__xludf.DUMMYFUNCTION("""COMPUTED_VALUE"""),"installation plumbing services")</f>
        <v>installation plumbing services</v>
      </c>
      <c r="Y98" s="4"/>
      <c r="Z98" s="4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 t="str">
        <f>IFERROR(__xludf.DUMMYFUNCTION("""COMPUTED_VALUE"""),"plumbing contractors best")</f>
        <v>plumbing contractors best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8" t="str">
        <f>IFERROR(__xludf.DUMMYFUNCTION("""COMPUTED_VALUE"""),"installation residential plumber")</f>
        <v>installation residential plumber</v>
      </c>
      <c r="Y99" s="4"/>
      <c r="Z99" s="4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6" t="str">
        <f>IFERROR(__xludf.DUMMYFUNCTION("""COMPUTED_VALUE"""),"plumbing contractors call out")</f>
        <v>plumbing contractors call out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8" t="str">
        <f>IFERROR(__xludf.DUMMYFUNCTION("""COMPUTED_VALUE"""),"licensed commercial plumber")</f>
        <v>licensed commercial plumber</v>
      </c>
      <c r="Y100" s="4"/>
      <c r="Z100" s="4"/>
    </row>
    <row r="101" ht="15.75" customHeight="1">
      <c r="A101" s="1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 t="str">
        <f>IFERROR(__xludf.DUMMYFUNCTION("""COMPUTED_VALUE"""),"plumbing contractors company")</f>
        <v>plumbing contractors company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8" t="str">
        <f>IFERROR(__xludf.DUMMYFUNCTION("""COMPUTED_VALUE"""),"licensed maintenance plumber")</f>
        <v>licensed maintenance plumber</v>
      </c>
      <c r="Y101" s="4"/>
      <c r="Z101" s="4"/>
    </row>
    <row r="102" ht="15.75" customHeight="1">
      <c r="A102" s="1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 t="str">
        <f>IFERROR(__xludf.DUMMYFUNCTION("""COMPUTED_VALUE"""),"plumbing contractors cost")</f>
        <v>plumbing contractors cost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8" t="str">
        <f>IFERROR(__xludf.DUMMYFUNCTION("""COMPUTED_VALUE"""),"licensed plumber cape town")</f>
        <v>licensed plumber cape town</v>
      </c>
      <c r="Y102" s="4"/>
      <c r="Z102" s="4"/>
    </row>
    <row r="103" ht="15.75" customHeight="1">
      <c r="A103" s="1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 t="str">
        <f>IFERROR(__xludf.DUMMYFUNCTION("""COMPUTED_VALUE"""),"plumbing contractors emergency")</f>
        <v>plumbing contractors emergency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 t="str">
        <f>IFERROR(__xludf.DUMMYFUNCTION("""COMPUTED_VALUE"""),"licensed plumbing company")</f>
        <v>licensed plumbing company</v>
      </c>
      <c r="Y103" s="4"/>
      <c r="Z103" s="4"/>
    </row>
    <row r="104" ht="15.75" customHeight="1">
      <c r="A104" s="1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6" t="str">
        <f>IFERROR(__xludf.DUMMYFUNCTION("""COMPUTED_VALUE"""),"plumbing contractors installation")</f>
        <v>plumbing contractors installation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8" t="str">
        <f>IFERROR(__xludf.DUMMYFUNCTION("""COMPUTED_VALUE"""),"licensed plumbing contractors")</f>
        <v>licensed plumbing contractors</v>
      </c>
      <c r="Y104" s="4"/>
      <c r="Z104" s="4"/>
    </row>
    <row r="105" ht="15.75" customHeight="1">
      <c r="A105" s="1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 t="str">
        <f>IFERROR(__xludf.DUMMYFUNCTION("""COMPUTED_VALUE"""),"plumbing contractors licensed")</f>
        <v>plumbing contractors licensed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 t="str">
        <f>IFERROR(__xludf.DUMMYFUNCTION("""COMPUTED_VALUE"""),"licensed plumbing inspection")</f>
        <v>licensed plumbing inspection</v>
      </c>
      <c r="Y105" s="4"/>
      <c r="Z105" s="4"/>
    </row>
    <row r="106" ht="15.75" customHeight="1">
      <c r="A106" s="1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6" t="str">
        <f>IFERROR(__xludf.DUMMYFUNCTION("""COMPUTED_VALUE"""),"plumbing contractors local")</f>
        <v>plumbing contractors local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8" t="str">
        <f>IFERROR(__xludf.DUMMYFUNCTION("""COMPUTED_VALUE"""),"licensed plumbing installation")</f>
        <v>licensed plumbing installation</v>
      </c>
      <c r="Y106" s="4"/>
      <c r="Z106" s="4"/>
    </row>
    <row r="107" ht="15.75" customHeight="1">
      <c r="A107" s="1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tr">
        <f>IFERROR(__xludf.DUMMYFUNCTION("""COMPUTED_VALUE"""),"plumbing contractors maintenance")</f>
        <v>plumbing contractors maintenance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 t="str">
        <f>IFERROR(__xludf.DUMMYFUNCTION("""COMPUTED_VALUE"""),"licensed plumbing repairs")</f>
        <v>licensed plumbing repairs</v>
      </c>
      <c r="Y107" s="4"/>
      <c r="Z107" s="4"/>
    </row>
    <row r="108" ht="15.75" customHeight="1">
      <c r="A108" s="1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6" t="str">
        <f>IFERROR(__xludf.DUMMYFUNCTION("""COMPUTED_VALUE"""),"plumbing contractors near me")</f>
        <v>plumbing contractors near me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8" t="str">
        <f>IFERROR(__xludf.DUMMYFUNCTION("""COMPUTED_VALUE"""),"licensed plumbing services")</f>
        <v>licensed plumbing services</v>
      </c>
      <c r="Y108" s="4"/>
      <c r="Z108" s="4"/>
    </row>
    <row r="109" ht="15.75" customHeight="1">
      <c r="A109" s="1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6" t="str">
        <f>IFERROR(__xludf.DUMMYFUNCTION("""COMPUTED_VALUE"""),"plumbing contractors professional")</f>
        <v>plumbing contractors professional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 t="str">
        <f>IFERROR(__xludf.DUMMYFUNCTION("""COMPUTED_VALUE"""),"licensed residential plumber")</f>
        <v>licensed residential plumber</v>
      </c>
      <c r="Y109" s="4"/>
      <c r="Z109" s="4"/>
    </row>
    <row r="110" ht="15.75" customHeight="1">
      <c r="A110" s="1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6" t="str">
        <f>IFERROR(__xludf.DUMMYFUNCTION("""COMPUTED_VALUE"""),"plumbing contractors qualified")</f>
        <v>plumbing contractors qualified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8" t="str">
        <f>IFERROR(__xludf.DUMMYFUNCTION("""COMPUTED_VALUE"""),"local commercial plumber")</f>
        <v>local commercial plumber</v>
      </c>
      <c r="Y110" s="4"/>
      <c r="Z110" s="4"/>
    </row>
    <row r="111" ht="15.75" customHeight="1">
      <c r="A111" s="1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6" t="str">
        <f>IFERROR(__xludf.DUMMYFUNCTION("""COMPUTED_VALUE"""),"plumbing contractors quote")</f>
        <v>plumbing contractors quote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 t="str">
        <f>IFERROR(__xludf.DUMMYFUNCTION("""COMPUTED_VALUE"""),"local maintenance plumber")</f>
        <v>local maintenance plumber</v>
      </c>
      <c r="Y111" s="4"/>
      <c r="Z111" s="4"/>
    </row>
    <row r="112" ht="15.75" customHeight="1">
      <c r="A112" s="1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6" t="str">
        <f>IFERROR(__xludf.DUMMYFUNCTION("""COMPUTED_VALUE"""),"plumbing contractors reliable")</f>
        <v>plumbing contractors reliable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 t="str">
        <f>IFERROR(__xludf.DUMMYFUNCTION("""COMPUTED_VALUE"""),"local plumber cape town")</f>
        <v>local plumber cape town</v>
      </c>
      <c r="Y112" s="4"/>
      <c r="Z112" s="4"/>
    </row>
    <row r="113" ht="15.75" customHeight="1">
      <c r="A113" s="1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6" t="str">
        <f>IFERROR(__xludf.DUMMYFUNCTION("""COMPUTED_VALUE"""),"plumbing contractors repair")</f>
        <v>plumbing contractors repair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8" t="str">
        <f>IFERROR(__xludf.DUMMYFUNCTION("""COMPUTED_VALUE"""),"local plumbing company")</f>
        <v>local plumbing company</v>
      </c>
      <c r="Y113" s="4"/>
      <c r="Z113" s="4"/>
    </row>
    <row r="114" ht="15.75" customHeight="1">
      <c r="A114" s="1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6" t="str">
        <f>IFERROR(__xludf.DUMMYFUNCTION("""COMPUTED_VALUE"""),"plumbing contractors same day")</f>
        <v>plumbing contractors same day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8" t="str">
        <f>IFERROR(__xludf.DUMMYFUNCTION("""COMPUTED_VALUE"""),"local plumbing contractors")</f>
        <v>local plumbing contractors</v>
      </c>
      <c r="Y114" s="4"/>
      <c r="Z114" s="4"/>
    </row>
    <row r="115" ht="15.75" customHeight="1">
      <c r="A115" s="1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6" t="str">
        <f>IFERROR(__xludf.DUMMYFUNCTION("""COMPUTED_VALUE"""),"plumbing contractors service")</f>
        <v>plumbing contractors service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8" t="str">
        <f>IFERROR(__xludf.DUMMYFUNCTION("""COMPUTED_VALUE"""),"local plumbing inspection")</f>
        <v>local plumbing inspection</v>
      </c>
      <c r="Y115" s="4"/>
      <c r="Z115" s="4"/>
    </row>
    <row r="116" ht="15.75" customHeight="1">
      <c r="A116" s="1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6" t="str">
        <f>IFERROR(__xludf.DUMMYFUNCTION("""COMPUTED_VALUE"""),"plumbing contractors top rated")</f>
        <v>plumbing contractors top rated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8" t="str">
        <f>IFERROR(__xludf.DUMMYFUNCTION("""COMPUTED_VALUE"""),"local plumbing installation")</f>
        <v>local plumbing installation</v>
      </c>
      <c r="Y116" s="4"/>
      <c r="Z116" s="4"/>
    </row>
    <row r="117" ht="15.75" customHeight="1">
      <c r="A117" s="1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6" t="str">
        <f>IFERROR(__xludf.DUMMYFUNCTION("""COMPUTED_VALUE"""),"plumbing contractors trusted")</f>
        <v>plumbing contractors trusted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8" t="str">
        <f>IFERROR(__xludf.DUMMYFUNCTION("""COMPUTED_VALUE"""),"local plumbing repairs")</f>
        <v>local plumbing repairs</v>
      </c>
      <c r="Y117" s="4"/>
      <c r="Z117" s="4"/>
    </row>
    <row r="118" ht="15.7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 t="str">
        <f>IFERROR(__xludf.DUMMYFUNCTION("""COMPUTED_VALUE"""),"plumbing inspection 24 hour")</f>
        <v>plumbing inspection 24 hour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8" t="str">
        <f>IFERROR(__xludf.DUMMYFUNCTION("""COMPUTED_VALUE"""),"local plumbing services")</f>
        <v>local plumbing services</v>
      </c>
      <c r="Y118" s="4"/>
      <c r="Z118" s="4"/>
    </row>
    <row r="119" ht="15.75" customHeight="1">
      <c r="A119" s="1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6" t="str">
        <f>IFERROR(__xludf.DUMMYFUNCTION("""COMPUTED_VALUE"""),"plumbing inspection affordable")</f>
        <v>plumbing inspection affordable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 t="str">
        <f>IFERROR(__xludf.DUMMYFUNCTION("""COMPUTED_VALUE"""),"local residential plumber")</f>
        <v>local residential plumber</v>
      </c>
      <c r="Y119" s="4"/>
      <c r="Z119" s="4"/>
    </row>
    <row r="120" ht="15.75" customHeigh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 t="str">
        <f>IFERROR(__xludf.DUMMYFUNCTION("""COMPUTED_VALUE"""),"plumbing inspection after hours")</f>
        <v>plumbing inspection after hours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3" t="str">
        <f>IFERROR(__xludf.DUMMYFUNCTION("""COMPUTED_VALUE"""),"maintenance commercial plumber")</f>
        <v>maintenance commercial plumber</v>
      </c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 t="str">
        <f>IFERROR(__xludf.DUMMYFUNCTION("""COMPUTED_VALUE"""),"plumbing inspection best")</f>
        <v>plumbing inspection best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tr">
        <f>IFERROR(__xludf.DUMMYFUNCTION("""COMPUTED_VALUE"""),"maintenance plumber")</f>
        <v>maintenance plumber</v>
      </c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 t="str">
        <f>IFERROR(__xludf.DUMMYFUNCTION("""COMPUTED_VALUE"""),"plumbing inspection call out")</f>
        <v>plumbing inspection call out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tr">
        <f>IFERROR(__xludf.DUMMYFUNCTION("""COMPUTED_VALUE"""),"maintenance plumber cape town")</f>
        <v>maintenance plumber cape town</v>
      </c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 t="str">
        <f>IFERROR(__xludf.DUMMYFUNCTION("""COMPUTED_VALUE"""),"plumbing inspection company")</f>
        <v>plumbing inspection company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 t="str">
        <f>IFERROR(__xludf.DUMMYFUNCTION("""COMPUTED_VALUE"""),"maintenance plumbing company")</f>
        <v>maintenance plumbing company</v>
      </c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 t="str">
        <f>IFERROR(__xludf.DUMMYFUNCTION("""COMPUTED_VALUE"""),"plumbing inspection contractor")</f>
        <v>plumbing inspection contractor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tr">
        <f>IFERROR(__xludf.DUMMYFUNCTION("""COMPUTED_VALUE"""),"maintenance plumbing contractors")</f>
        <v>maintenance plumbing contractors</v>
      </c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tr">
        <f>IFERROR(__xludf.DUMMYFUNCTION("""COMPUTED_VALUE"""),"plumbing inspection cost")</f>
        <v>plumbing inspection cost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str">
        <f>IFERROR(__xludf.DUMMYFUNCTION("""COMPUTED_VALUE"""),"maintenance plumbing inspection")</f>
        <v>maintenance plumbing inspection</v>
      </c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tr">
        <f>IFERROR(__xludf.DUMMYFUNCTION("""COMPUTED_VALUE"""),"plumbing inspection emergency")</f>
        <v>plumbing inspection emergency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tr">
        <f>IFERROR(__xludf.DUMMYFUNCTION("""COMPUTED_VALUE"""),"maintenance plumbing installation")</f>
        <v>maintenance plumbing installation</v>
      </c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 t="str">
        <f>IFERROR(__xludf.DUMMYFUNCTION("""COMPUTED_VALUE"""),"plumbing inspection installation")</f>
        <v>plumbing inspection installation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tr">
        <f>IFERROR(__xludf.DUMMYFUNCTION("""COMPUTED_VALUE"""),"maintenance plumbing repairs")</f>
        <v>maintenance plumbing repairs</v>
      </c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 t="str">
        <f>IFERROR(__xludf.DUMMYFUNCTION("""COMPUTED_VALUE"""),"plumbing inspection licensed")</f>
        <v>plumbing inspection licensed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 t="str">
        <f>IFERROR(__xludf.DUMMYFUNCTION("""COMPUTED_VALUE"""),"maintenance plumbing services")</f>
        <v>maintenance plumbing services</v>
      </c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 t="str">
        <f>IFERROR(__xludf.DUMMYFUNCTION("""COMPUTED_VALUE"""),"plumbing inspection local")</f>
        <v>plumbing inspection local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tr">
        <f>IFERROR(__xludf.DUMMYFUNCTION("""COMPUTED_VALUE"""),"maintenance residential plumber")</f>
        <v>maintenance residential plumber</v>
      </c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 t="str">
        <f>IFERROR(__xludf.DUMMYFUNCTION("""COMPUTED_VALUE"""),"plumbing inspection maintenance")</f>
        <v>plumbing inspection maintenance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tr">
        <f>IFERROR(__xludf.DUMMYFUNCTION("""COMPUTED_VALUE"""),"near me commercial plumber")</f>
        <v>near me commercial plumber</v>
      </c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 t="str">
        <f>IFERROR(__xludf.DUMMYFUNCTION("""COMPUTED_VALUE"""),"plumbing inspection near me")</f>
        <v>plumbing inspection near me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tr">
        <f>IFERROR(__xludf.DUMMYFUNCTION("""COMPUTED_VALUE"""),"near me maintenance plumber")</f>
        <v>near me maintenance plumber</v>
      </c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 t="str">
        <f>IFERROR(__xludf.DUMMYFUNCTION("""COMPUTED_VALUE"""),"plumbing inspection professional")</f>
        <v>plumbing inspection professional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tr">
        <f>IFERROR(__xludf.DUMMYFUNCTION("""COMPUTED_VALUE"""),"near me plumber cape town")</f>
        <v>near me plumber cape town</v>
      </c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tr">
        <f>IFERROR(__xludf.DUMMYFUNCTION("""COMPUTED_VALUE"""),"plumbing inspection qualified")</f>
        <v>plumbing inspection qualified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tr">
        <f>IFERROR(__xludf.DUMMYFUNCTION("""COMPUTED_VALUE"""),"near me plumbing company")</f>
        <v>near me plumbing company</v>
      </c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tr">
        <f>IFERROR(__xludf.DUMMYFUNCTION("""COMPUTED_VALUE"""),"plumbing inspection quote")</f>
        <v>plumbing inspection quote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 t="str">
        <f>IFERROR(__xludf.DUMMYFUNCTION("""COMPUTED_VALUE"""),"near me plumbing contractors")</f>
        <v>near me plumbing contractors</v>
      </c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 t="str">
        <f>IFERROR(__xludf.DUMMYFUNCTION("""COMPUTED_VALUE"""),"plumbing inspection reliable")</f>
        <v>plumbing inspection reliable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str">
        <f>IFERROR(__xludf.DUMMYFUNCTION("""COMPUTED_VALUE"""),"near me plumbing inspection")</f>
        <v>near me plumbing inspection</v>
      </c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tr">
        <f>IFERROR(__xludf.DUMMYFUNCTION("""COMPUTED_VALUE"""),"plumbing inspection repair")</f>
        <v>plumbing inspection repair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str">
        <f>IFERROR(__xludf.DUMMYFUNCTION("""COMPUTED_VALUE"""),"near me plumbing installation")</f>
        <v>near me plumbing installation</v>
      </c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tr">
        <f>IFERROR(__xludf.DUMMYFUNCTION("""COMPUTED_VALUE"""),"plumbing inspection same day")</f>
        <v>plumbing inspection same day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tr">
        <f>IFERROR(__xludf.DUMMYFUNCTION("""COMPUTED_VALUE"""),"near me plumbing repairs")</f>
        <v>near me plumbing repairs</v>
      </c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 t="str">
        <f>IFERROR(__xludf.DUMMYFUNCTION("""COMPUTED_VALUE"""),"plumbing inspection service")</f>
        <v>plumbing inspection service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tr">
        <f>IFERROR(__xludf.DUMMYFUNCTION("""COMPUTED_VALUE"""),"near me plumbing services")</f>
        <v>near me plumbing services</v>
      </c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 t="str">
        <f>IFERROR(__xludf.DUMMYFUNCTION("""COMPUTED_VALUE"""),"plumbing inspection top rated")</f>
        <v>plumbing inspection top rated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tr">
        <f>IFERROR(__xludf.DUMMYFUNCTION("""COMPUTED_VALUE"""),"near me residential plumber")</f>
        <v>near me residential plumber</v>
      </c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 t="str">
        <f>IFERROR(__xludf.DUMMYFUNCTION("""COMPUTED_VALUE"""),"plumbing inspection trusted")</f>
        <v>plumbing inspection trusted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tr">
        <f>IFERROR(__xludf.DUMMYFUNCTION("""COMPUTED_VALUE"""),"plumbing company")</f>
        <v>plumbing company</v>
      </c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 t="str">
        <f>IFERROR(__xludf.DUMMYFUNCTION("""COMPUTED_VALUE"""),"plumbing installation")</f>
        <v>plumbing installation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str">
        <f>IFERROR(__xludf.DUMMYFUNCTION("""COMPUTED_VALUE"""),"plumbing contractors")</f>
        <v>plumbing contractors</v>
      </c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 t="str">
        <f>IFERROR(__xludf.DUMMYFUNCTION("""COMPUTED_VALUE"""),"plumbing installation 24 hour")</f>
        <v>plumbing installation 24 hour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tr">
        <f>IFERROR(__xludf.DUMMYFUNCTION("""COMPUTED_VALUE"""),"plumbing installation")</f>
        <v>plumbing installation</v>
      </c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 t="str">
        <f>IFERROR(__xludf.DUMMYFUNCTION("""COMPUTED_VALUE"""),"plumbing installation affordable")</f>
        <v>plumbing installation affordable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tr">
        <f>IFERROR(__xludf.DUMMYFUNCTION("""COMPUTED_VALUE"""),"plumbing repairs")</f>
        <v>plumbing repairs</v>
      </c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 t="str">
        <f>IFERROR(__xludf.DUMMYFUNCTION("""COMPUTED_VALUE"""),"plumbing installation after hours")</f>
        <v>plumbing installation after hours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 t="str">
        <f>IFERROR(__xludf.DUMMYFUNCTION("""COMPUTED_VALUE"""),"plumbing services")</f>
        <v>plumbing services</v>
      </c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 t="str">
        <f>IFERROR(__xludf.DUMMYFUNCTION("""COMPUTED_VALUE"""),"plumbing installation best")</f>
        <v>plumbing installation best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str">
        <f>IFERROR(__xludf.DUMMYFUNCTION("""COMPUTED_VALUE"""),"professional commercial plumber")</f>
        <v>professional commercial plumber</v>
      </c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 t="str">
        <f>IFERROR(__xludf.DUMMYFUNCTION("""COMPUTED_VALUE"""),"plumbing installation call out")</f>
        <v>plumbing installation call out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 t="str">
        <f>IFERROR(__xludf.DUMMYFUNCTION("""COMPUTED_VALUE"""),"professional maintenance plumber")</f>
        <v>professional maintenance plumber</v>
      </c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tr">
        <f>IFERROR(__xludf.DUMMYFUNCTION("""COMPUTED_VALUE"""),"plumbing installation company")</f>
        <v>plumbing installation company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tr">
        <f>IFERROR(__xludf.DUMMYFUNCTION("""COMPUTED_VALUE"""),"professional plumber cape town")</f>
        <v>professional plumber cape town</v>
      </c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tr">
        <f>IFERROR(__xludf.DUMMYFUNCTION("""COMPUTED_VALUE"""),"plumbing installation contractor")</f>
        <v>plumbing installation contractor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str">
        <f>IFERROR(__xludf.DUMMYFUNCTION("""COMPUTED_VALUE"""),"professional plumbing company")</f>
        <v>professional plumbing company</v>
      </c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 t="str">
        <f>IFERROR(__xludf.DUMMYFUNCTION("""COMPUTED_VALUE"""),"plumbing installation cost")</f>
        <v>plumbing installation cost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 t="str">
        <f>IFERROR(__xludf.DUMMYFUNCTION("""COMPUTED_VALUE"""),"professional plumbing contractors")</f>
        <v>professional plumbing contractors</v>
      </c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 t="str">
        <f>IFERROR(__xludf.DUMMYFUNCTION("""COMPUTED_VALUE"""),"plumbing installation emergency")</f>
        <v>plumbing installation emergency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 t="str">
        <f>IFERROR(__xludf.DUMMYFUNCTION("""COMPUTED_VALUE"""),"professional plumbing inspection")</f>
        <v>professional plumbing inspection</v>
      </c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 t="str">
        <f>IFERROR(__xludf.DUMMYFUNCTION("""COMPUTED_VALUE"""),"plumbing installation licensed")</f>
        <v>plumbing installation licensed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tr">
        <f>IFERROR(__xludf.DUMMYFUNCTION("""COMPUTED_VALUE"""),"professional plumbing installation")</f>
        <v>professional plumbing installation</v>
      </c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 t="str">
        <f>IFERROR(__xludf.DUMMYFUNCTION("""COMPUTED_VALUE"""),"plumbing installation local")</f>
        <v>plumbing installation local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 t="str">
        <f>IFERROR(__xludf.DUMMYFUNCTION("""COMPUTED_VALUE"""),"professional plumbing repairs")</f>
        <v>professional plumbing repairs</v>
      </c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 t="str">
        <f>IFERROR(__xludf.DUMMYFUNCTION("""COMPUTED_VALUE"""),"plumbing installation maintenance")</f>
        <v>plumbing installation maintenance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str">
        <f>IFERROR(__xludf.DUMMYFUNCTION("""COMPUTED_VALUE"""),"professional plumbing services")</f>
        <v>professional plumbing services</v>
      </c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 t="str">
        <f>IFERROR(__xludf.DUMMYFUNCTION("""COMPUTED_VALUE"""),"plumbing installation near me")</f>
        <v>plumbing installation near me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tr">
        <f>IFERROR(__xludf.DUMMYFUNCTION("""COMPUTED_VALUE"""),"professional residential plumber")</f>
        <v>professional residential plumber</v>
      </c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 t="str">
        <f>IFERROR(__xludf.DUMMYFUNCTION("""COMPUTED_VALUE"""),"plumbing installation professional")</f>
        <v>plumbing installation professional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tr">
        <f>IFERROR(__xludf.DUMMYFUNCTION("""COMPUTED_VALUE"""),"qualified commercial plumber")</f>
        <v>qualified commercial plumber</v>
      </c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 t="str">
        <f>IFERROR(__xludf.DUMMYFUNCTION("""COMPUTED_VALUE"""),"plumbing installation qualified")</f>
        <v>plumbing installation qualified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 t="str">
        <f>IFERROR(__xludf.DUMMYFUNCTION("""COMPUTED_VALUE"""),"qualified maintenance plumber")</f>
        <v>qualified maintenance plumber</v>
      </c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tr">
        <f>IFERROR(__xludf.DUMMYFUNCTION("""COMPUTED_VALUE"""),"plumbing installation quote")</f>
        <v>plumbing installation quote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 t="str">
        <f>IFERROR(__xludf.DUMMYFUNCTION("""COMPUTED_VALUE"""),"qualified plumber cape town")</f>
        <v>qualified plumber cape town</v>
      </c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tr">
        <f>IFERROR(__xludf.DUMMYFUNCTION("""COMPUTED_VALUE"""),"plumbing installation reliable")</f>
        <v>plumbing installation reliable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 t="str">
        <f>IFERROR(__xludf.DUMMYFUNCTION("""COMPUTED_VALUE"""),"qualified plumbing company")</f>
        <v>qualified plumbing company</v>
      </c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 t="str">
        <f>IFERROR(__xludf.DUMMYFUNCTION("""COMPUTED_VALUE"""),"plumbing installation repair")</f>
        <v>plumbing installation repair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str">
        <f>IFERROR(__xludf.DUMMYFUNCTION("""COMPUTED_VALUE"""),"qualified plumbing contractors")</f>
        <v>qualified plumbing contractors</v>
      </c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 t="str">
        <f>IFERROR(__xludf.DUMMYFUNCTION("""COMPUTED_VALUE"""),"plumbing installation same day")</f>
        <v>plumbing installation same day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 t="str">
        <f>IFERROR(__xludf.DUMMYFUNCTION("""COMPUTED_VALUE"""),"qualified plumbing inspection")</f>
        <v>qualified plumbing inspection</v>
      </c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 t="str">
        <f>IFERROR(__xludf.DUMMYFUNCTION("""COMPUTED_VALUE"""),"plumbing installation service")</f>
        <v>plumbing installation service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 t="str">
        <f>IFERROR(__xludf.DUMMYFUNCTION("""COMPUTED_VALUE"""),"qualified plumbing installation")</f>
        <v>qualified plumbing installation</v>
      </c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 t="str">
        <f>IFERROR(__xludf.DUMMYFUNCTION("""COMPUTED_VALUE"""),"plumbing installation top rated")</f>
        <v>plumbing installation top rated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 t="str">
        <f>IFERROR(__xludf.DUMMYFUNCTION("""COMPUTED_VALUE"""),"qualified plumbing repairs")</f>
        <v>qualified plumbing repairs</v>
      </c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 t="str">
        <f>IFERROR(__xludf.DUMMYFUNCTION("""COMPUTED_VALUE"""),"plumbing installation trusted")</f>
        <v>plumbing installation trusted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 t="str">
        <f>IFERROR(__xludf.DUMMYFUNCTION("""COMPUTED_VALUE"""),"qualified plumbing services")</f>
        <v>qualified plumbing services</v>
      </c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 t="str">
        <f>IFERROR(__xludf.DUMMYFUNCTION("""COMPUTED_VALUE"""),"plumbing repairs")</f>
        <v>plumbing repairs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tr">
        <f>IFERROR(__xludf.DUMMYFUNCTION("""COMPUTED_VALUE"""),"qualified residential plumber")</f>
        <v>qualified residential plumber</v>
      </c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 t="str">
        <f>IFERROR(__xludf.DUMMYFUNCTION("""COMPUTED_VALUE"""),"plumbing repairs 24 hour")</f>
        <v>plumbing repairs 24 hour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tr">
        <f>IFERROR(__xludf.DUMMYFUNCTION("""COMPUTED_VALUE"""),"quote commercial plumber")</f>
        <v>quote commercial plumber</v>
      </c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tr">
        <f>IFERROR(__xludf.DUMMYFUNCTION("""COMPUTED_VALUE"""),"plumbing repairs affordable")</f>
        <v>plumbing repairs affordable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tr">
        <f>IFERROR(__xludf.DUMMYFUNCTION("""COMPUTED_VALUE"""),"quote maintenance plumber")</f>
        <v>quote maintenance plumber</v>
      </c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tr">
        <f>IFERROR(__xludf.DUMMYFUNCTION("""COMPUTED_VALUE"""),"plumbing repairs after hours")</f>
        <v>plumbing repairs after hours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f>IFERROR(__xludf.DUMMYFUNCTION("""COMPUTED_VALUE"""),"quote plumber cape town")</f>
        <v>quote plumber cape town</v>
      </c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 t="str">
        <f>IFERROR(__xludf.DUMMYFUNCTION("""COMPUTED_VALUE"""),"plumbing repairs best")</f>
        <v>plumbing repairs best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tr">
        <f>IFERROR(__xludf.DUMMYFUNCTION("""COMPUTED_VALUE"""),"quote plumbing company")</f>
        <v>quote plumbing company</v>
      </c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 t="str">
        <f>IFERROR(__xludf.DUMMYFUNCTION("""COMPUTED_VALUE"""),"plumbing repairs call out")</f>
        <v>plumbing repairs call out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tr">
        <f>IFERROR(__xludf.DUMMYFUNCTION("""COMPUTED_VALUE"""),"quote plumbing contractors")</f>
        <v>quote plumbing contractors</v>
      </c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 t="str">
        <f>IFERROR(__xludf.DUMMYFUNCTION("""COMPUTED_VALUE"""),"plumbing repairs company")</f>
        <v>plumbing repairs company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tr">
        <f>IFERROR(__xludf.DUMMYFUNCTION("""COMPUTED_VALUE"""),"quote plumbing inspection")</f>
        <v>quote plumbing inspection</v>
      </c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 t="str">
        <f>IFERROR(__xludf.DUMMYFUNCTION("""COMPUTED_VALUE"""),"plumbing repairs contractor")</f>
        <v>plumbing repairs contractor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tr">
        <f>IFERROR(__xludf.DUMMYFUNCTION("""COMPUTED_VALUE"""),"quote plumbing installation")</f>
        <v>quote plumbing installation</v>
      </c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tr">
        <f>IFERROR(__xludf.DUMMYFUNCTION("""COMPUTED_VALUE"""),"plumbing repairs cost")</f>
        <v>plumbing repairs cost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tr">
        <f>IFERROR(__xludf.DUMMYFUNCTION("""COMPUTED_VALUE"""),"quote plumbing repairs")</f>
        <v>quote plumbing repairs</v>
      </c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 t="str">
        <f>IFERROR(__xludf.DUMMYFUNCTION("""COMPUTED_VALUE"""),"plumbing repairs emergency")</f>
        <v>plumbing repairs emergency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str">
        <f>IFERROR(__xludf.DUMMYFUNCTION("""COMPUTED_VALUE"""),"quote plumbing services")</f>
        <v>quote plumbing services</v>
      </c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 t="str">
        <f>IFERROR(__xludf.DUMMYFUNCTION("""COMPUTED_VALUE"""),"plumbing repairs installation")</f>
        <v>plumbing repairs installation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str">
        <f>IFERROR(__xludf.DUMMYFUNCTION("""COMPUTED_VALUE"""),"quote residential plumber")</f>
        <v>quote residential plumber</v>
      </c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tr">
        <f>IFERROR(__xludf.DUMMYFUNCTION("""COMPUTED_VALUE"""),"plumbing repairs licensed")</f>
        <v>plumbing repairs licensed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str">
        <f>IFERROR(__xludf.DUMMYFUNCTION("""COMPUTED_VALUE"""),"reliable commercial plumber")</f>
        <v>reliable commercial plumber</v>
      </c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 t="str">
        <f>IFERROR(__xludf.DUMMYFUNCTION("""COMPUTED_VALUE"""),"plumbing repairs local")</f>
        <v>plumbing repairs local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 t="str">
        <f>IFERROR(__xludf.DUMMYFUNCTION("""COMPUTED_VALUE"""),"reliable maintenance plumber")</f>
        <v>reliable maintenance plumber</v>
      </c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 t="str">
        <f>IFERROR(__xludf.DUMMYFUNCTION("""COMPUTED_VALUE"""),"plumbing repairs maintenance")</f>
        <v>plumbing repairs maintenance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 t="str">
        <f>IFERROR(__xludf.DUMMYFUNCTION("""COMPUTED_VALUE"""),"reliable plumber cape town")</f>
        <v>reliable plumber cape town</v>
      </c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 t="str">
        <f>IFERROR(__xludf.DUMMYFUNCTION("""COMPUTED_VALUE"""),"plumbing repairs near me")</f>
        <v>plumbing repairs near me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tr">
        <f>IFERROR(__xludf.DUMMYFUNCTION("""COMPUTED_VALUE"""),"reliable plumbing company")</f>
        <v>reliable plumbing company</v>
      </c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tr">
        <f>IFERROR(__xludf.DUMMYFUNCTION("""COMPUTED_VALUE"""),"plumbing repairs professional")</f>
        <v>plumbing repairs professional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tr">
        <f>IFERROR(__xludf.DUMMYFUNCTION("""COMPUTED_VALUE"""),"reliable plumbing contractors")</f>
        <v>reliable plumbing contractors</v>
      </c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 t="str">
        <f>IFERROR(__xludf.DUMMYFUNCTION("""COMPUTED_VALUE"""),"plumbing repairs qualified")</f>
        <v>plumbing repairs qualified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tr">
        <f>IFERROR(__xludf.DUMMYFUNCTION("""COMPUTED_VALUE"""),"reliable plumbing inspection")</f>
        <v>reliable plumbing inspection</v>
      </c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tr">
        <f>IFERROR(__xludf.DUMMYFUNCTION("""COMPUTED_VALUE"""),"plumbing repairs quote")</f>
        <v>plumbing repairs quote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 t="str">
        <f>IFERROR(__xludf.DUMMYFUNCTION("""COMPUTED_VALUE"""),"reliable plumbing installation")</f>
        <v>reliable plumbing installation</v>
      </c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 t="str">
        <f>IFERROR(__xludf.DUMMYFUNCTION("""COMPUTED_VALUE"""),"plumbing repairs reliable")</f>
        <v>plumbing repairs reliable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tr">
        <f>IFERROR(__xludf.DUMMYFUNCTION("""COMPUTED_VALUE"""),"reliable plumbing repairs")</f>
        <v>reliable plumbing repairs</v>
      </c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 t="str">
        <f>IFERROR(__xludf.DUMMYFUNCTION("""COMPUTED_VALUE"""),"plumbing repairs same day")</f>
        <v>plumbing repairs same day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 t="str">
        <f>IFERROR(__xludf.DUMMYFUNCTION("""COMPUTED_VALUE"""),"reliable plumbing services")</f>
        <v>reliable plumbing services</v>
      </c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 t="str">
        <f>IFERROR(__xludf.DUMMYFUNCTION("""COMPUTED_VALUE"""),"plumbing repairs service")</f>
        <v>plumbing repairs service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 t="str">
        <f>IFERROR(__xludf.DUMMYFUNCTION("""COMPUTED_VALUE"""),"reliable residential plumber")</f>
        <v>reliable residential plumber</v>
      </c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 t="str">
        <f>IFERROR(__xludf.DUMMYFUNCTION("""COMPUTED_VALUE"""),"plumbing repairs top rated")</f>
        <v>plumbing repairs top rated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 t="str">
        <f>IFERROR(__xludf.DUMMYFUNCTION("""COMPUTED_VALUE"""),"repair commercial plumber")</f>
        <v>repair commercial plumber</v>
      </c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 t="str">
        <f>IFERROR(__xludf.DUMMYFUNCTION("""COMPUTED_VALUE"""),"plumbing repairs trusted")</f>
        <v>plumbing repairs trusted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 t="str">
        <f>IFERROR(__xludf.DUMMYFUNCTION("""COMPUTED_VALUE"""),"repair maintenance plumber")</f>
        <v>repair maintenance plumber</v>
      </c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 t="str">
        <f>IFERROR(__xludf.DUMMYFUNCTION("""COMPUTED_VALUE"""),"plumbing services")</f>
        <v>plumbing services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 t="str">
        <f>IFERROR(__xludf.DUMMYFUNCTION("""COMPUTED_VALUE"""),"repair plumber cape town")</f>
        <v>repair plumber cape town</v>
      </c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 t="str">
        <f>IFERROR(__xludf.DUMMYFUNCTION("""COMPUTED_VALUE"""),"plumbing services 24 hour")</f>
        <v>plumbing services 24 hour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 t="str">
        <f>IFERROR(__xludf.DUMMYFUNCTION("""COMPUTED_VALUE"""),"repair plumbing company")</f>
        <v>repair plumbing company</v>
      </c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 t="str">
        <f>IFERROR(__xludf.DUMMYFUNCTION("""COMPUTED_VALUE"""),"plumbing services affordable")</f>
        <v>plumbing services affordable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 t="str">
        <f>IFERROR(__xludf.DUMMYFUNCTION("""COMPUTED_VALUE"""),"repair plumbing contractors")</f>
        <v>repair plumbing contractors</v>
      </c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 t="str">
        <f>IFERROR(__xludf.DUMMYFUNCTION("""COMPUTED_VALUE"""),"plumbing services after hours")</f>
        <v>plumbing services after hours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 t="str">
        <f>IFERROR(__xludf.DUMMYFUNCTION("""COMPUTED_VALUE"""),"repair plumbing inspection")</f>
        <v>repair plumbing inspection</v>
      </c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 t="str">
        <f>IFERROR(__xludf.DUMMYFUNCTION("""COMPUTED_VALUE"""),"plumbing services best")</f>
        <v>plumbing services best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 t="str">
        <f>IFERROR(__xludf.DUMMYFUNCTION("""COMPUTED_VALUE"""),"repair plumbing installation")</f>
        <v>repair plumbing installation</v>
      </c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 t="str">
        <f>IFERROR(__xludf.DUMMYFUNCTION("""COMPUTED_VALUE"""),"plumbing services call out")</f>
        <v>plumbing services call out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str">
        <f>IFERROR(__xludf.DUMMYFUNCTION("""COMPUTED_VALUE"""),"repair plumbing services")</f>
        <v>repair plumbing services</v>
      </c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 t="str">
        <f>IFERROR(__xludf.DUMMYFUNCTION("""COMPUTED_VALUE"""),"plumbing services company")</f>
        <v>plumbing services company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 t="str">
        <f>IFERROR(__xludf.DUMMYFUNCTION("""COMPUTED_VALUE"""),"repair residential plumber")</f>
        <v>repair residential plumber</v>
      </c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 t="str">
        <f>IFERROR(__xludf.DUMMYFUNCTION("""COMPUTED_VALUE"""),"plumbing services contractor")</f>
        <v>plumbing services contractor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 t="str">
        <f>IFERROR(__xludf.DUMMYFUNCTION("""COMPUTED_VALUE"""),"same day commercial plumber")</f>
        <v>same day commercial plumber</v>
      </c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 t="str">
        <f>IFERROR(__xludf.DUMMYFUNCTION("""COMPUTED_VALUE"""),"plumbing services cost")</f>
        <v>plumbing services cost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 t="str">
        <f>IFERROR(__xludf.DUMMYFUNCTION("""COMPUTED_VALUE"""),"same day maintenance plumber")</f>
        <v>same day maintenance plumber</v>
      </c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 t="str">
        <f>IFERROR(__xludf.DUMMYFUNCTION("""COMPUTED_VALUE"""),"plumbing services emergency")</f>
        <v>plumbing services emergency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str">
        <f>IFERROR(__xludf.DUMMYFUNCTION("""COMPUTED_VALUE"""),"same day plumber cape town")</f>
        <v>same day plumber cape town</v>
      </c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 t="str">
        <f>IFERROR(__xludf.DUMMYFUNCTION("""COMPUTED_VALUE"""),"plumbing services installation")</f>
        <v>plumbing services installation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 t="str">
        <f>IFERROR(__xludf.DUMMYFUNCTION("""COMPUTED_VALUE"""),"same day plumbing company")</f>
        <v>same day plumbing company</v>
      </c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 t="str">
        <f>IFERROR(__xludf.DUMMYFUNCTION("""COMPUTED_VALUE"""),"plumbing services licensed")</f>
        <v>plumbing services licensed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 t="str">
        <f>IFERROR(__xludf.DUMMYFUNCTION("""COMPUTED_VALUE"""),"same day plumbing contractors")</f>
        <v>same day plumbing contractors</v>
      </c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 t="str">
        <f>IFERROR(__xludf.DUMMYFUNCTION("""COMPUTED_VALUE"""),"plumbing services local")</f>
        <v>plumbing services local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 t="str">
        <f>IFERROR(__xludf.DUMMYFUNCTION("""COMPUTED_VALUE"""),"same day plumbing inspection")</f>
        <v>same day plumbing inspection</v>
      </c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 t="str">
        <f>IFERROR(__xludf.DUMMYFUNCTION("""COMPUTED_VALUE"""),"plumbing services maintenance")</f>
        <v>plumbing services maintenance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 t="str">
        <f>IFERROR(__xludf.DUMMYFUNCTION("""COMPUTED_VALUE"""),"same day plumbing installation")</f>
        <v>same day plumbing installation</v>
      </c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 t="str">
        <f>IFERROR(__xludf.DUMMYFUNCTION("""COMPUTED_VALUE"""),"plumbing services near me")</f>
        <v>plumbing services near me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tr">
        <f>IFERROR(__xludf.DUMMYFUNCTION("""COMPUTED_VALUE"""),"same day plumbing repairs")</f>
        <v>same day plumbing repairs</v>
      </c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 t="str">
        <f>IFERROR(__xludf.DUMMYFUNCTION("""COMPUTED_VALUE"""),"plumbing services professional")</f>
        <v>plumbing services professional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 t="str">
        <f>IFERROR(__xludf.DUMMYFUNCTION("""COMPUTED_VALUE"""),"same day plumbing services")</f>
        <v>same day plumbing services</v>
      </c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 t="str">
        <f>IFERROR(__xludf.DUMMYFUNCTION("""COMPUTED_VALUE"""),"plumbing services qualified")</f>
        <v>plumbing services qualified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 t="str">
        <f>IFERROR(__xludf.DUMMYFUNCTION("""COMPUTED_VALUE"""),"same day residential plumber")</f>
        <v>same day residential plumber</v>
      </c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 t="str">
        <f>IFERROR(__xludf.DUMMYFUNCTION("""COMPUTED_VALUE"""),"plumbing services quote")</f>
        <v>plumbing services quote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 t="str">
        <f>IFERROR(__xludf.DUMMYFUNCTION("""COMPUTED_VALUE"""),"service commercial plumber")</f>
        <v>service commercial plumber</v>
      </c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 t="str">
        <f>IFERROR(__xludf.DUMMYFUNCTION("""COMPUTED_VALUE"""),"plumbing services reliable")</f>
        <v>plumbing services reliable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 t="str">
        <f>IFERROR(__xludf.DUMMYFUNCTION("""COMPUTED_VALUE"""),"service maintenance plumber")</f>
        <v>service maintenance plumber</v>
      </c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 t="str">
        <f>IFERROR(__xludf.DUMMYFUNCTION("""COMPUTED_VALUE"""),"plumbing services repair")</f>
        <v>plumbing services repair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 t="str">
        <f>IFERROR(__xludf.DUMMYFUNCTION("""COMPUTED_VALUE"""),"service plumber cape town")</f>
        <v>service plumber cape town</v>
      </c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 t="str">
        <f>IFERROR(__xludf.DUMMYFUNCTION("""COMPUTED_VALUE"""),"plumbing services same day")</f>
        <v>plumbing services same day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 t="str">
        <f>IFERROR(__xludf.DUMMYFUNCTION("""COMPUTED_VALUE"""),"service plumbing company")</f>
        <v>service plumbing company</v>
      </c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 t="str">
        <f>IFERROR(__xludf.DUMMYFUNCTION("""COMPUTED_VALUE"""),"plumbing services top rated")</f>
        <v>plumbing services top rated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 t="str">
        <f>IFERROR(__xludf.DUMMYFUNCTION("""COMPUTED_VALUE"""),"service plumbing contractors")</f>
        <v>service plumbing contractors</v>
      </c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 t="str">
        <f>IFERROR(__xludf.DUMMYFUNCTION("""COMPUTED_VALUE"""),"plumbing services trusted")</f>
        <v>plumbing services trusted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 t="str">
        <f>IFERROR(__xludf.DUMMYFUNCTION("""COMPUTED_VALUE"""),"service plumbing inspection")</f>
        <v>service plumbing inspection</v>
      </c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 t="str">
        <f>IFERROR(__xludf.DUMMYFUNCTION("""COMPUTED_VALUE"""),"residential plumber 24 hour")</f>
        <v>residential plumber 24 hour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 t="str">
        <f>IFERROR(__xludf.DUMMYFUNCTION("""COMPUTED_VALUE"""),"service plumbing installation")</f>
        <v>service plumbing installation</v>
      </c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 t="str">
        <f>IFERROR(__xludf.DUMMYFUNCTION("""COMPUTED_VALUE"""),"residential plumber affordable")</f>
        <v>residential plumber affordable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 t="str">
        <f>IFERROR(__xludf.DUMMYFUNCTION("""COMPUTED_VALUE"""),"service plumbing repairs")</f>
        <v>service plumbing repairs</v>
      </c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 t="str">
        <f>IFERROR(__xludf.DUMMYFUNCTION("""COMPUTED_VALUE"""),"residential plumber after hours")</f>
        <v>residential plumber after hours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 t="str">
        <f>IFERROR(__xludf.DUMMYFUNCTION("""COMPUTED_VALUE"""),"service residential plumber")</f>
        <v>service residential plumber</v>
      </c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 t="str">
        <f>IFERROR(__xludf.DUMMYFUNCTION("""COMPUTED_VALUE"""),"residential plumber best")</f>
        <v>residential plumber best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 t="str">
        <f>IFERROR(__xludf.DUMMYFUNCTION("""COMPUTED_VALUE"""),"top rated commercial plumber")</f>
        <v>top rated commercial plumber</v>
      </c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 t="str">
        <f>IFERROR(__xludf.DUMMYFUNCTION("""COMPUTED_VALUE"""),"residential plumber call out")</f>
        <v>residential plumber call out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 t="str">
        <f>IFERROR(__xludf.DUMMYFUNCTION("""COMPUTED_VALUE"""),"top rated maintenance plumber")</f>
        <v>top rated maintenance plumber</v>
      </c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 t="str">
        <f>IFERROR(__xludf.DUMMYFUNCTION("""COMPUTED_VALUE"""),"residential plumber company")</f>
        <v>residential plumber company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 t="str">
        <f>IFERROR(__xludf.DUMMYFUNCTION("""COMPUTED_VALUE"""),"top rated plumber cape town")</f>
        <v>top rated plumber cape town</v>
      </c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 t="str">
        <f>IFERROR(__xludf.DUMMYFUNCTION("""COMPUTED_VALUE"""),"residential plumber contractor")</f>
        <v>residential plumber contractor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 t="str">
        <f>IFERROR(__xludf.DUMMYFUNCTION("""COMPUTED_VALUE"""),"top rated plumbing company")</f>
        <v>top rated plumbing company</v>
      </c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 t="str">
        <f>IFERROR(__xludf.DUMMYFUNCTION("""COMPUTED_VALUE"""),"residential plumber cost")</f>
        <v>residential plumber cost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 t="str">
        <f>IFERROR(__xludf.DUMMYFUNCTION("""COMPUTED_VALUE"""),"top rated plumbing contractors")</f>
        <v>top rated plumbing contractors</v>
      </c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 t="str">
        <f>IFERROR(__xludf.DUMMYFUNCTION("""COMPUTED_VALUE"""),"residential plumber emergency")</f>
        <v>residential plumber emergency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 t="str">
        <f>IFERROR(__xludf.DUMMYFUNCTION("""COMPUTED_VALUE"""),"top rated plumbing inspection")</f>
        <v>top rated plumbing inspection</v>
      </c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 t="str">
        <f>IFERROR(__xludf.DUMMYFUNCTION("""COMPUTED_VALUE"""),"residential plumber installation")</f>
        <v>residential plumber installation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 t="str">
        <f>IFERROR(__xludf.DUMMYFUNCTION("""COMPUTED_VALUE"""),"top rated plumbing installation")</f>
        <v>top rated plumbing installation</v>
      </c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 t="str">
        <f>IFERROR(__xludf.DUMMYFUNCTION("""COMPUTED_VALUE"""),"residential plumber licensed")</f>
        <v>residential plumber licensed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 t="str">
        <f>IFERROR(__xludf.DUMMYFUNCTION("""COMPUTED_VALUE"""),"top rated plumbing repairs")</f>
        <v>top rated plumbing repairs</v>
      </c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 t="str">
        <f>IFERROR(__xludf.DUMMYFUNCTION("""COMPUTED_VALUE"""),"residential plumber local")</f>
        <v>residential plumber local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 t="str">
        <f>IFERROR(__xludf.DUMMYFUNCTION("""COMPUTED_VALUE"""),"top rated plumbing services")</f>
        <v>top rated plumbing services</v>
      </c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 t="str">
        <f>IFERROR(__xludf.DUMMYFUNCTION("""COMPUTED_VALUE"""),"residential plumber maintenance")</f>
        <v>residential plumber maintenance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 t="str">
        <f>IFERROR(__xludf.DUMMYFUNCTION("""COMPUTED_VALUE"""),"top rated residential plumber")</f>
        <v>top rated residential plumber</v>
      </c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 t="str">
        <f>IFERROR(__xludf.DUMMYFUNCTION("""COMPUTED_VALUE"""),"residential plumber near me")</f>
        <v>residential plumber near me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 t="str">
        <f>IFERROR(__xludf.DUMMYFUNCTION("""COMPUTED_VALUE"""),"trusted commercial plumber")</f>
        <v>trusted commercial plumber</v>
      </c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 t="str">
        <f>IFERROR(__xludf.DUMMYFUNCTION("""COMPUTED_VALUE"""),"residential plumber professional")</f>
        <v>residential plumber professional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 t="str">
        <f>IFERROR(__xludf.DUMMYFUNCTION("""COMPUTED_VALUE"""),"trusted maintenance plumber")</f>
        <v>trusted maintenance plumber</v>
      </c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 t="str">
        <f>IFERROR(__xludf.DUMMYFUNCTION("""COMPUTED_VALUE"""),"residential plumber qualified")</f>
        <v>residential plumber qualified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 t="str">
        <f>IFERROR(__xludf.DUMMYFUNCTION("""COMPUTED_VALUE"""),"trusted plumber cape town")</f>
        <v>trusted plumber cape town</v>
      </c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 t="str">
        <f>IFERROR(__xludf.DUMMYFUNCTION("""COMPUTED_VALUE"""),"residential plumber quote")</f>
        <v>residential plumber quote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 t="str">
        <f>IFERROR(__xludf.DUMMYFUNCTION("""COMPUTED_VALUE"""),"trusted plumbing company")</f>
        <v>trusted plumbing company</v>
      </c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 t="str">
        <f>IFERROR(__xludf.DUMMYFUNCTION("""COMPUTED_VALUE"""),"residential plumber reliable")</f>
        <v>residential plumber reliable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 t="str">
        <f>IFERROR(__xludf.DUMMYFUNCTION("""COMPUTED_VALUE"""),"trusted plumbing contractors")</f>
        <v>trusted plumbing contractors</v>
      </c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 t="str">
        <f>IFERROR(__xludf.DUMMYFUNCTION("""COMPUTED_VALUE"""),"residential plumber repair")</f>
        <v>residential plumber repair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 t="str">
        <f>IFERROR(__xludf.DUMMYFUNCTION("""COMPUTED_VALUE"""),"trusted plumbing inspection")</f>
        <v>trusted plumbing inspection</v>
      </c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 t="str">
        <f>IFERROR(__xludf.DUMMYFUNCTION("""COMPUTED_VALUE"""),"residential plumber same day")</f>
        <v>residential plumber same day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 t="str">
        <f>IFERROR(__xludf.DUMMYFUNCTION("""COMPUTED_VALUE"""),"trusted plumbing installation")</f>
        <v>trusted plumbing installation</v>
      </c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 t="str">
        <f>IFERROR(__xludf.DUMMYFUNCTION("""COMPUTED_VALUE"""),"residential plumber service")</f>
        <v>residential plumber service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 t="str">
        <f>IFERROR(__xludf.DUMMYFUNCTION("""COMPUTED_VALUE"""),"trusted plumbing repairs")</f>
        <v>trusted plumbing repairs</v>
      </c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 t="str">
        <f>IFERROR(__xludf.DUMMYFUNCTION("""COMPUTED_VALUE"""),"residential plumber top rated")</f>
        <v>residential plumber top rated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 t="str">
        <f>IFERROR(__xludf.DUMMYFUNCTION("""COMPUTED_VALUE"""),"trusted plumbing services")</f>
        <v>trusted plumbing services</v>
      </c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 t="str">
        <f>IFERROR(__xludf.DUMMYFUNCTION("""COMPUTED_VALUE"""),"residential plumber trusted")</f>
        <v>residential plumber trusted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 t="str">
        <f>IFERROR(__xludf.DUMMYFUNCTION("""COMPUTED_VALUE"""),"trusted residential plumber")</f>
        <v>trusted residential plumber</v>
      </c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2" t="s">
        <v>7</v>
      </c>
      <c r="C1" s="2" t="s">
        <v>19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28</v>
      </c>
      <c r="J1" s="2" t="s">
        <v>29</v>
      </c>
      <c r="K1" s="2" t="s">
        <v>31</v>
      </c>
      <c r="L1" s="5" t="s">
        <v>21</v>
      </c>
      <c r="M1" s="2"/>
      <c r="N1" s="2" t="s">
        <v>7</v>
      </c>
      <c r="O1" s="2" t="s">
        <v>19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28</v>
      </c>
      <c r="V1" s="2" t="s">
        <v>29</v>
      </c>
      <c r="W1" s="2" t="s">
        <v>31</v>
      </c>
      <c r="X1" s="8" t="s">
        <v>32</v>
      </c>
      <c r="Y1" s="4"/>
      <c r="Z1" s="4"/>
    </row>
    <row r="2">
      <c r="A2" s="9" t="s">
        <v>35</v>
      </c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41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4"/>
      <c r="Z2" s="4"/>
    </row>
    <row r="3">
      <c r="A3" s="13" t="s">
        <v>45</v>
      </c>
      <c r="B3" s="14" t="str">
        <f t="shared" ref="B3:K3" si="1">IF($A3="","",IF(OR(ISNUMBER(SEARCH(LOWER($A3),LOWER(B$1))),AND(RIGHT(LOWER($A3),1)="s",ISNUMBER(SEARCH(LEFT(LOWER($A3),LEN($A3)-1),LOWER(B$1))))),B$1,B$1&amp;" "&amp;$A3))</f>
        <v>emergency plumber cape town</v>
      </c>
      <c r="C3" s="14" t="str">
        <f t="shared" si="1"/>
        <v>24 hour plumber cape town</v>
      </c>
      <c r="D3" s="14" t="str">
        <f t="shared" si="1"/>
        <v>burst pipe repair cape town</v>
      </c>
      <c r="E3" s="14" t="str">
        <f t="shared" si="1"/>
        <v>leaking pipe repair cape town</v>
      </c>
      <c r="F3" s="14" t="str">
        <f t="shared" si="1"/>
        <v>leaking tap repair cape town</v>
      </c>
      <c r="G3" s="14" t="str">
        <f t="shared" si="1"/>
        <v>blocked toilet plumber cape town</v>
      </c>
      <c r="H3" s="14" t="str">
        <f t="shared" si="1"/>
        <v>toilet repair cape town</v>
      </c>
      <c r="I3" s="14" t="str">
        <f t="shared" si="1"/>
        <v>bathroom plumbing repair cape town</v>
      </c>
      <c r="J3" s="14" t="str">
        <f t="shared" si="1"/>
        <v>kitchen plumbing repair cape town</v>
      </c>
      <c r="K3" s="14" t="str">
        <f t="shared" si="1"/>
        <v>water leak repair cape town</v>
      </c>
      <c r="L3" s="16" t="str">
        <f>IFERROR(__xludf.DUMMYFUNCTION("SORT(UNIQUE(FILTER(FLATTEN(B3:K82),FLATTEN(B3:K82)&lt;&gt;"""")))"),"24 hour plumber")</f>
        <v>24 hour plumber</v>
      </c>
      <c r="M3" s="17"/>
      <c r="N3" s="14" t="str">
        <f t="shared" ref="N3:W3" si="2">IF($A3="","",IF(OR(ISNUMBER(SEARCH(LOWER($A3),LOWER(N$1))),AND(RIGHT(LOWER($A3),1)="s",ISNUMBER(SEARCH(LEFT(LOWER($A3),LEN($A3)-1),LOWER(N$1))))),N$1,$A3&amp;" "&amp;N$1))</f>
        <v>cape town emergency plumber</v>
      </c>
      <c r="O3" s="14" t="str">
        <f t="shared" si="2"/>
        <v>cape town 24 hour plumber</v>
      </c>
      <c r="P3" s="14" t="str">
        <f t="shared" si="2"/>
        <v>cape town burst pipe repair</v>
      </c>
      <c r="Q3" s="14" t="str">
        <f t="shared" si="2"/>
        <v>cape town leaking pipe repair</v>
      </c>
      <c r="R3" s="14" t="str">
        <f t="shared" si="2"/>
        <v>cape town leaking tap repair</v>
      </c>
      <c r="S3" s="14" t="str">
        <f t="shared" si="2"/>
        <v>cape town blocked toilet plumber</v>
      </c>
      <c r="T3" s="14" t="str">
        <f t="shared" si="2"/>
        <v>cape town toilet repair</v>
      </c>
      <c r="U3" s="14" t="str">
        <f t="shared" si="2"/>
        <v>cape town bathroom plumbing repair</v>
      </c>
      <c r="V3" s="14" t="str">
        <f t="shared" si="2"/>
        <v>cape town kitchen plumbing repair</v>
      </c>
      <c r="W3" s="14" t="str">
        <f t="shared" si="2"/>
        <v>cape town water leak repair</v>
      </c>
      <c r="X3" s="18" t="str">
        <f>IFERROR(__xludf.DUMMYFUNCTION("SORT(UNIQUE(FILTER(FLATTEN(N3:W82),FLATTEN(N3:W82)&lt;&gt;"""")))"),"24 hour plumber")</f>
        <v>24 hour plumber</v>
      </c>
      <c r="Y3" s="4"/>
      <c r="Z3" s="4"/>
    </row>
    <row r="4">
      <c r="A4" s="13" t="s">
        <v>54</v>
      </c>
      <c r="B4" s="14" t="str">
        <f t="shared" ref="B4:K4" si="3">IF($A4="","",IF(OR(ISNUMBER(SEARCH(LOWER($A4),LOWER(B$1))),AND(RIGHT(LOWER($A4),1)="s",ISNUMBER(SEARCH(LEFT(LOWER($A4),LEN($A4)-1),LOWER(B$1))))),B$1,B$1&amp;" "&amp;$A4))</f>
        <v>emergency plumber near me</v>
      </c>
      <c r="C4" s="14" t="str">
        <f t="shared" si="3"/>
        <v>24 hour plumber near me</v>
      </c>
      <c r="D4" s="14" t="str">
        <f t="shared" si="3"/>
        <v>burst pipe repair near me</v>
      </c>
      <c r="E4" s="14" t="str">
        <f t="shared" si="3"/>
        <v>leaking pipe repair near me</v>
      </c>
      <c r="F4" s="14" t="str">
        <f t="shared" si="3"/>
        <v>leaking tap repair near me</v>
      </c>
      <c r="G4" s="14" t="str">
        <f t="shared" si="3"/>
        <v>blocked toilet plumber near me</v>
      </c>
      <c r="H4" s="14" t="str">
        <f t="shared" si="3"/>
        <v>toilet repair near me</v>
      </c>
      <c r="I4" s="14" t="str">
        <f t="shared" si="3"/>
        <v>bathroom plumbing repair near me</v>
      </c>
      <c r="J4" s="14" t="str">
        <f t="shared" si="3"/>
        <v>kitchen plumbing repair near me</v>
      </c>
      <c r="K4" s="14" t="str">
        <f t="shared" si="3"/>
        <v>water leak repair near me</v>
      </c>
      <c r="L4" s="16" t="str">
        <f>IFERROR(__xludf.DUMMYFUNCTION("""COMPUTED_VALUE"""),"24 hour plumber after hours")</f>
        <v>24 hour plumber after hours</v>
      </c>
      <c r="M4" s="17"/>
      <c r="N4" s="14" t="str">
        <f t="shared" ref="N4:W4" si="4">IF($A4="","",IF(OR(ISNUMBER(SEARCH(LOWER($A4),LOWER(N$1))),AND(RIGHT(LOWER($A4),1)="s",ISNUMBER(SEARCH(LEFT(LOWER($A4),LEN($A4)-1),LOWER(N$1))))),N$1,$A4&amp;" "&amp;N$1))</f>
        <v>near me emergency plumber</v>
      </c>
      <c r="O4" s="14" t="str">
        <f t="shared" si="4"/>
        <v>near me 24 hour plumber</v>
      </c>
      <c r="P4" s="14" t="str">
        <f t="shared" si="4"/>
        <v>near me burst pipe repair</v>
      </c>
      <c r="Q4" s="14" t="str">
        <f t="shared" si="4"/>
        <v>near me leaking pipe repair</v>
      </c>
      <c r="R4" s="14" t="str">
        <f t="shared" si="4"/>
        <v>near me leaking tap repair</v>
      </c>
      <c r="S4" s="14" t="str">
        <f t="shared" si="4"/>
        <v>near me blocked toilet plumber</v>
      </c>
      <c r="T4" s="14" t="str">
        <f t="shared" si="4"/>
        <v>near me toilet repair</v>
      </c>
      <c r="U4" s="14" t="str">
        <f t="shared" si="4"/>
        <v>near me bathroom plumbing repair</v>
      </c>
      <c r="V4" s="14" t="str">
        <f t="shared" si="4"/>
        <v>near me kitchen plumbing repair</v>
      </c>
      <c r="W4" s="14" t="str">
        <f t="shared" si="4"/>
        <v>near me water leak repair</v>
      </c>
      <c r="X4" s="18" t="str">
        <f>IFERROR(__xludf.DUMMYFUNCTION("""COMPUTED_VALUE"""),"after hours 24 hour plumber")</f>
        <v>after hours 24 hour plumber</v>
      </c>
      <c r="Y4" s="4"/>
      <c r="Z4" s="4"/>
    </row>
    <row r="5">
      <c r="A5" s="13" t="s">
        <v>57</v>
      </c>
      <c r="B5" s="14" t="str">
        <f t="shared" ref="B5:K5" si="5">IF($A5="","",IF(OR(ISNUMBER(SEARCH(LOWER($A5),LOWER(B$1))),AND(RIGHT(LOWER($A5),1)="s",ISNUMBER(SEARCH(LEFT(LOWER($A5),LEN($A5)-1),LOWER(B$1))))),B$1,B$1&amp;" "&amp;$A5))</f>
        <v>emergency plumber urgent</v>
      </c>
      <c r="C5" s="14" t="str">
        <f t="shared" si="5"/>
        <v>24 hour plumber urgent</v>
      </c>
      <c r="D5" s="14" t="str">
        <f t="shared" si="5"/>
        <v>burst pipe repair urgent</v>
      </c>
      <c r="E5" s="14" t="str">
        <f t="shared" si="5"/>
        <v>leaking pipe repair urgent</v>
      </c>
      <c r="F5" s="14" t="str">
        <f t="shared" si="5"/>
        <v>leaking tap repair urgent</v>
      </c>
      <c r="G5" s="14" t="str">
        <f t="shared" si="5"/>
        <v>blocked toilet plumber urgent</v>
      </c>
      <c r="H5" s="14" t="str">
        <f t="shared" si="5"/>
        <v>toilet repair urgent</v>
      </c>
      <c r="I5" s="14" t="str">
        <f t="shared" si="5"/>
        <v>bathroom plumbing repair urgent</v>
      </c>
      <c r="J5" s="14" t="str">
        <f t="shared" si="5"/>
        <v>kitchen plumbing repair urgent</v>
      </c>
      <c r="K5" s="14" t="str">
        <f t="shared" si="5"/>
        <v>water leak repair urgent</v>
      </c>
      <c r="L5" s="16" t="str">
        <f>IFERROR(__xludf.DUMMYFUNCTION("""COMPUTED_VALUE"""),"24 hour plumber call out")</f>
        <v>24 hour plumber call out</v>
      </c>
      <c r="M5" s="17"/>
      <c r="N5" s="14" t="str">
        <f t="shared" ref="N5:W5" si="6">IF($A5="","",IF(OR(ISNUMBER(SEARCH(LOWER($A5),LOWER(N$1))),AND(RIGHT(LOWER($A5),1)="s",ISNUMBER(SEARCH(LEFT(LOWER($A5),LEN($A5)-1),LOWER(N$1))))),N$1,$A5&amp;" "&amp;N$1))</f>
        <v>urgent emergency plumber</v>
      </c>
      <c r="O5" s="14" t="str">
        <f t="shared" si="6"/>
        <v>urgent 24 hour plumber</v>
      </c>
      <c r="P5" s="14" t="str">
        <f t="shared" si="6"/>
        <v>urgent burst pipe repair</v>
      </c>
      <c r="Q5" s="14" t="str">
        <f t="shared" si="6"/>
        <v>urgent leaking pipe repair</v>
      </c>
      <c r="R5" s="14" t="str">
        <f t="shared" si="6"/>
        <v>urgent leaking tap repair</v>
      </c>
      <c r="S5" s="14" t="str">
        <f t="shared" si="6"/>
        <v>urgent blocked toilet plumber</v>
      </c>
      <c r="T5" s="14" t="str">
        <f t="shared" si="6"/>
        <v>urgent toilet repair</v>
      </c>
      <c r="U5" s="14" t="str">
        <f t="shared" si="6"/>
        <v>urgent bathroom plumbing repair</v>
      </c>
      <c r="V5" s="14" t="str">
        <f t="shared" si="6"/>
        <v>urgent kitchen plumbing repair</v>
      </c>
      <c r="W5" s="14" t="str">
        <f t="shared" si="6"/>
        <v>urgent water leak repair</v>
      </c>
      <c r="X5" s="18" t="str">
        <f>IFERROR(__xludf.DUMMYFUNCTION("""COMPUTED_VALUE"""),"after hours bathroom plumbing repair")</f>
        <v>after hours bathroom plumbing repair</v>
      </c>
      <c r="Y5" s="4"/>
      <c r="Z5" s="4"/>
    </row>
    <row r="6">
      <c r="A6" s="13" t="s">
        <v>58</v>
      </c>
      <c r="B6" s="14" t="str">
        <f t="shared" ref="B6:K6" si="7">IF($A6="","",IF(OR(ISNUMBER(SEARCH(LOWER($A6),LOWER(B$1))),AND(RIGHT(LOWER($A6),1)="s",ISNUMBER(SEARCH(LEFT(LOWER($A6),LEN($A6)-1),LOWER(B$1))))),B$1,B$1&amp;" "&amp;$A6))</f>
        <v>emergency plumber same day</v>
      </c>
      <c r="C6" s="14" t="str">
        <f t="shared" si="7"/>
        <v>24 hour plumber same day</v>
      </c>
      <c r="D6" s="14" t="str">
        <f t="shared" si="7"/>
        <v>burst pipe repair same day</v>
      </c>
      <c r="E6" s="14" t="str">
        <f t="shared" si="7"/>
        <v>leaking pipe repair same day</v>
      </c>
      <c r="F6" s="14" t="str">
        <f t="shared" si="7"/>
        <v>leaking tap repair same day</v>
      </c>
      <c r="G6" s="14" t="str">
        <f t="shared" si="7"/>
        <v>blocked toilet plumber same day</v>
      </c>
      <c r="H6" s="14" t="str">
        <f t="shared" si="7"/>
        <v>toilet repair same day</v>
      </c>
      <c r="I6" s="14" t="str">
        <f t="shared" si="7"/>
        <v>bathroom plumbing repair same day</v>
      </c>
      <c r="J6" s="14" t="str">
        <f t="shared" si="7"/>
        <v>kitchen plumbing repair same day</v>
      </c>
      <c r="K6" s="14" t="str">
        <f t="shared" si="7"/>
        <v>water leak repair same day</v>
      </c>
      <c r="L6" s="16" t="str">
        <f>IFERROR(__xludf.DUMMYFUNCTION("""COMPUTED_VALUE"""),"24 hour plumber cape town")</f>
        <v>24 hour plumber cape town</v>
      </c>
      <c r="M6" s="17"/>
      <c r="N6" s="14" t="str">
        <f t="shared" ref="N6:W6" si="8">IF($A6="","",IF(OR(ISNUMBER(SEARCH(LOWER($A6),LOWER(N$1))),AND(RIGHT(LOWER($A6),1)="s",ISNUMBER(SEARCH(LEFT(LOWER($A6),LEN($A6)-1),LOWER(N$1))))),N$1,$A6&amp;" "&amp;N$1))</f>
        <v>same day emergency plumber</v>
      </c>
      <c r="O6" s="14" t="str">
        <f t="shared" si="8"/>
        <v>same day 24 hour plumber</v>
      </c>
      <c r="P6" s="14" t="str">
        <f t="shared" si="8"/>
        <v>same day burst pipe repair</v>
      </c>
      <c r="Q6" s="14" t="str">
        <f t="shared" si="8"/>
        <v>same day leaking pipe repair</v>
      </c>
      <c r="R6" s="14" t="str">
        <f t="shared" si="8"/>
        <v>same day leaking tap repair</v>
      </c>
      <c r="S6" s="14" t="str">
        <f t="shared" si="8"/>
        <v>same day blocked toilet plumber</v>
      </c>
      <c r="T6" s="14" t="str">
        <f t="shared" si="8"/>
        <v>same day toilet repair</v>
      </c>
      <c r="U6" s="14" t="str">
        <f t="shared" si="8"/>
        <v>same day bathroom plumbing repair</v>
      </c>
      <c r="V6" s="14" t="str">
        <f t="shared" si="8"/>
        <v>same day kitchen plumbing repair</v>
      </c>
      <c r="W6" s="14" t="str">
        <f t="shared" si="8"/>
        <v>same day water leak repair</v>
      </c>
      <c r="X6" s="18" t="str">
        <f>IFERROR(__xludf.DUMMYFUNCTION("""COMPUTED_VALUE"""),"after hours blocked toilet plumber")</f>
        <v>after hours blocked toilet plumber</v>
      </c>
      <c r="Y6" s="4"/>
      <c r="Z6" s="4"/>
    </row>
    <row r="7">
      <c r="A7" s="13" t="s">
        <v>61</v>
      </c>
      <c r="B7" s="14" t="str">
        <f t="shared" ref="B7:K7" si="9">IF($A7="","",IF(OR(ISNUMBER(SEARCH(LOWER($A7),LOWER(B$1))),AND(RIGHT(LOWER($A7),1)="s",ISNUMBER(SEARCH(LEFT(LOWER($A7),LEN($A7)-1),LOWER(B$1))))),B$1,B$1&amp;" "&amp;$A7))</f>
        <v>emergency plumber after hours</v>
      </c>
      <c r="C7" s="14" t="str">
        <f t="shared" si="9"/>
        <v>24 hour plumber after hours</v>
      </c>
      <c r="D7" s="14" t="str">
        <f t="shared" si="9"/>
        <v>burst pipe repair after hours</v>
      </c>
      <c r="E7" s="14" t="str">
        <f t="shared" si="9"/>
        <v>leaking pipe repair after hours</v>
      </c>
      <c r="F7" s="14" t="str">
        <f t="shared" si="9"/>
        <v>leaking tap repair after hours</v>
      </c>
      <c r="G7" s="14" t="str">
        <f t="shared" si="9"/>
        <v>blocked toilet plumber after hours</v>
      </c>
      <c r="H7" s="14" t="str">
        <f t="shared" si="9"/>
        <v>toilet repair after hours</v>
      </c>
      <c r="I7" s="14" t="str">
        <f t="shared" si="9"/>
        <v>bathroom plumbing repair after hours</v>
      </c>
      <c r="J7" s="14" t="str">
        <f t="shared" si="9"/>
        <v>kitchen plumbing repair after hours</v>
      </c>
      <c r="K7" s="14" t="str">
        <f t="shared" si="9"/>
        <v>water leak repair after hours</v>
      </c>
      <c r="L7" s="16" t="str">
        <f>IFERROR(__xludf.DUMMYFUNCTION("""COMPUTED_VALUE"""),"24 hour plumber commercial")</f>
        <v>24 hour plumber commercial</v>
      </c>
      <c r="M7" s="17"/>
      <c r="N7" s="14" t="str">
        <f t="shared" ref="N7:W7" si="10">IF($A7="","",IF(OR(ISNUMBER(SEARCH(LOWER($A7),LOWER(N$1))),AND(RIGHT(LOWER($A7),1)="s",ISNUMBER(SEARCH(LEFT(LOWER($A7),LEN($A7)-1),LOWER(N$1))))),N$1,$A7&amp;" "&amp;N$1))</f>
        <v>after hours emergency plumber</v>
      </c>
      <c r="O7" s="14" t="str">
        <f t="shared" si="10"/>
        <v>after hours 24 hour plumber</v>
      </c>
      <c r="P7" s="14" t="str">
        <f t="shared" si="10"/>
        <v>after hours burst pipe repair</v>
      </c>
      <c r="Q7" s="14" t="str">
        <f t="shared" si="10"/>
        <v>after hours leaking pipe repair</v>
      </c>
      <c r="R7" s="14" t="str">
        <f t="shared" si="10"/>
        <v>after hours leaking tap repair</v>
      </c>
      <c r="S7" s="14" t="str">
        <f t="shared" si="10"/>
        <v>after hours blocked toilet plumber</v>
      </c>
      <c r="T7" s="14" t="str">
        <f t="shared" si="10"/>
        <v>after hours toilet repair</v>
      </c>
      <c r="U7" s="14" t="str">
        <f t="shared" si="10"/>
        <v>after hours bathroom plumbing repair</v>
      </c>
      <c r="V7" s="14" t="str">
        <f t="shared" si="10"/>
        <v>after hours kitchen plumbing repair</v>
      </c>
      <c r="W7" s="14" t="str">
        <f t="shared" si="10"/>
        <v>after hours water leak repair</v>
      </c>
      <c r="X7" s="18" t="str">
        <f>IFERROR(__xludf.DUMMYFUNCTION("""COMPUTED_VALUE"""),"after hours burst pipe repair")</f>
        <v>after hours burst pipe repair</v>
      </c>
      <c r="Y7" s="4"/>
      <c r="Z7" s="4"/>
    </row>
    <row r="8">
      <c r="A8" s="13" t="s">
        <v>64</v>
      </c>
      <c r="B8" s="14" t="str">
        <f t="shared" ref="B8:K8" si="11">IF($A8="","",IF(OR(ISNUMBER(SEARCH(LOWER($A8),LOWER(B$1))),AND(RIGHT(LOWER($A8),1)="s",ISNUMBER(SEARCH(LEFT(LOWER($A8),LEN($A8)-1),LOWER(B$1))))),B$1,B$1&amp;" "&amp;$A8))</f>
        <v>emergency plumber weekend</v>
      </c>
      <c r="C8" s="14" t="str">
        <f t="shared" si="11"/>
        <v>24 hour plumber weekend</v>
      </c>
      <c r="D8" s="14" t="str">
        <f t="shared" si="11"/>
        <v>burst pipe repair weekend</v>
      </c>
      <c r="E8" s="14" t="str">
        <f t="shared" si="11"/>
        <v>leaking pipe repair weekend</v>
      </c>
      <c r="F8" s="14" t="str">
        <f t="shared" si="11"/>
        <v>leaking tap repair weekend</v>
      </c>
      <c r="G8" s="14" t="str">
        <f t="shared" si="11"/>
        <v>blocked toilet plumber weekend</v>
      </c>
      <c r="H8" s="14" t="str">
        <f t="shared" si="11"/>
        <v>toilet repair weekend</v>
      </c>
      <c r="I8" s="14" t="str">
        <f t="shared" si="11"/>
        <v>bathroom plumbing repair weekend</v>
      </c>
      <c r="J8" s="14" t="str">
        <f t="shared" si="11"/>
        <v>kitchen plumbing repair weekend</v>
      </c>
      <c r="K8" s="14" t="str">
        <f t="shared" si="11"/>
        <v>water leak repair weekend</v>
      </c>
      <c r="L8" s="16" t="str">
        <f>IFERROR(__xludf.DUMMYFUNCTION("""COMPUTED_VALUE"""),"24 hour plumber company")</f>
        <v>24 hour plumber company</v>
      </c>
      <c r="M8" s="17"/>
      <c r="N8" s="14" t="str">
        <f t="shared" ref="N8:W8" si="12">IF($A8="","",IF(OR(ISNUMBER(SEARCH(LOWER($A8),LOWER(N$1))),AND(RIGHT(LOWER($A8),1)="s",ISNUMBER(SEARCH(LEFT(LOWER($A8),LEN($A8)-1),LOWER(N$1))))),N$1,$A8&amp;" "&amp;N$1))</f>
        <v>weekend emergency plumber</v>
      </c>
      <c r="O8" s="14" t="str">
        <f t="shared" si="12"/>
        <v>weekend 24 hour plumber</v>
      </c>
      <c r="P8" s="14" t="str">
        <f t="shared" si="12"/>
        <v>weekend burst pipe repair</v>
      </c>
      <c r="Q8" s="14" t="str">
        <f t="shared" si="12"/>
        <v>weekend leaking pipe repair</v>
      </c>
      <c r="R8" s="14" t="str">
        <f t="shared" si="12"/>
        <v>weekend leaking tap repair</v>
      </c>
      <c r="S8" s="14" t="str">
        <f t="shared" si="12"/>
        <v>weekend blocked toilet plumber</v>
      </c>
      <c r="T8" s="14" t="str">
        <f t="shared" si="12"/>
        <v>weekend toilet repair</v>
      </c>
      <c r="U8" s="14" t="str">
        <f t="shared" si="12"/>
        <v>weekend bathroom plumbing repair</v>
      </c>
      <c r="V8" s="14" t="str">
        <f t="shared" si="12"/>
        <v>weekend kitchen plumbing repair</v>
      </c>
      <c r="W8" s="14" t="str">
        <f t="shared" si="12"/>
        <v>weekend water leak repair</v>
      </c>
      <c r="X8" s="18" t="str">
        <f>IFERROR(__xludf.DUMMYFUNCTION("""COMPUTED_VALUE"""),"after hours emergency plumber")</f>
        <v>after hours emergency plumber</v>
      </c>
      <c r="Y8" s="4"/>
      <c r="Z8" s="4"/>
    </row>
    <row r="9">
      <c r="A9" s="13" t="s">
        <v>67</v>
      </c>
      <c r="B9" s="14" t="str">
        <f t="shared" ref="B9:K9" si="13">IF($A9="","",IF(OR(ISNUMBER(SEARCH(LOWER($A9),LOWER(B$1))),AND(RIGHT(LOWER($A9),1)="s",ISNUMBER(SEARCH(LEFT(LOWER($A9),LEN($A9)-1),LOWER(B$1))))),B$1,B$1&amp;" "&amp;$A9))</f>
        <v>emergency plumber call out</v>
      </c>
      <c r="C9" s="14" t="str">
        <f t="shared" si="13"/>
        <v>24 hour plumber call out</v>
      </c>
      <c r="D9" s="14" t="str">
        <f t="shared" si="13"/>
        <v>burst pipe repair call out</v>
      </c>
      <c r="E9" s="14" t="str">
        <f t="shared" si="13"/>
        <v>leaking pipe repair call out</v>
      </c>
      <c r="F9" s="14" t="str">
        <f t="shared" si="13"/>
        <v>leaking tap repair call out</v>
      </c>
      <c r="G9" s="14" t="str">
        <f t="shared" si="13"/>
        <v>blocked toilet plumber call out</v>
      </c>
      <c r="H9" s="14" t="str">
        <f t="shared" si="13"/>
        <v>toilet repair call out</v>
      </c>
      <c r="I9" s="14" t="str">
        <f t="shared" si="13"/>
        <v>bathroom plumbing repair call out</v>
      </c>
      <c r="J9" s="14" t="str">
        <f t="shared" si="13"/>
        <v>kitchen plumbing repair call out</v>
      </c>
      <c r="K9" s="14" t="str">
        <f t="shared" si="13"/>
        <v>water leak repair call out</v>
      </c>
      <c r="L9" s="16" t="str">
        <f>IFERROR(__xludf.DUMMYFUNCTION("""COMPUTED_VALUE"""),"24 hour plumber cost")</f>
        <v>24 hour plumber cost</v>
      </c>
      <c r="M9" s="17"/>
      <c r="N9" s="14" t="str">
        <f t="shared" ref="N9:W9" si="14">IF($A9="","",IF(OR(ISNUMBER(SEARCH(LOWER($A9),LOWER(N$1))),AND(RIGHT(LOWER($A9),1)="s",ISNUMBER(SEARCH(LEFT(LOWER($A9),LEN($A9)-1),LOWER(N$1))))),N$1,$A9&amp;" "&amp;N$1))</f>
        <v>call out emergency plumber</v>
      </c>
      <c r="O9" s="14" t="str">
        <f t="shared" si="14"/>
        <v>call out 24 hour plumber</v>
      </c>
      <c r="P9" s="14" t="str">
        <f t="shared" si="14"/>
        <v>call out burst pipe repair</v>
      </c>
      <c r="Q9" s="14" t="str">
        <f t="shared" si="14"/>
        <v>call out leaking pipe repair</v>
      </c>
      <c r="R9" s="14" t="str">
        <f t="shared" si="14"/>
        <v>call out leaking tap repair</v>
      </c>
      <c r="S9" s="14" t="str">
        <f t="shared" si="14"/>
        <v>call out blocked toilet plumber</v>
      </c>
      <c r="T9" s="14" t="str">
        <f t="shared" si="14"/>
        <v>call out toilet repair</v>
      </c>
      <c r="U9" s="14" t="str">
        <f t="shared" si="14"/>
        <v>call out bathroom plumbing repair</v>
      </c>
      <c r="V9" s="14" t="str">
        <f t="shared" si="14"/>
        <v>call out kitchen plumbing repair</v>
      </c>
      <c r="W9" s="14" t="str">
        <f t="shared" si="14"/>
        <v>call out water leak repair</v>
      </c>
      <c r="X9" s="18" t="str">
        <f>IFERROR(__xludf.DUMMYFUNCTION("""COMPUTED_VALUE"""),"after hours kitchen plumbing repair")</f>
        <v>after hours kitchen plumbing repair</v>
      </c>
      <c r="Y9" s="4"/>
      <c r="Z9" s="4"/>
    </row>
    <row r="10">
      <c r="A10" s="13" t="s">
        <v>71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emergency plumber cost</v>
      </c>
      <c r="C10" s="14" t="str">
        <f t="shared" si="15"/>
        <v>24 hour plumber cost</v>
      </c>
      <c r="D10" s="14" t="str">
        <f t="shared" si="15"/>
        <v>burst pipe repair cost</v>
      </c>
      <c r="E10" s="14" t="str">
        <f t="shared" si="15"/>
        <v>leaking pipe repair cost</v>
      </c>
      <c r="F10" s="14" t="str">
        <f t="shared" si="15"/>
        <v>leaking tap repair cost</v>
      </c>
      <c r="G10" s="14" t="str">
        <f t="shared" si="15"/>
        <v>blocked toilet plumber cost</v>
      </c>
      <c r="H10" s="14" t="str">
        <f t="shared" si="15"/>
        <v>toilet repair cost</v>
      </c>
      <c r="I10" s="14" t="str">
        <f t="shared" si="15"/>
        <v>bathroom plumbing repair cost</v>
      </c>
      <c r="J10" s="14" t="str">
        <f t="shared" si="15"/>
        <v>kitchen plumbing repair cost</v>
      </c>
      <c r="K10" s="14" t="str">
        <f t="shared" si="15"/>
        <v>water leak repair cost</v>
      </c>
      <c r="L10" s="16" t="str">
        <f>IFERROR(__xludf.DUMMYFUNCTION("""COMPUTED_VALUE"""),"24 hour plumber emergency")</f>
        <v>24 hour plumber emergency</v>
      </c>
      <c r="M10" s="17"/>
      <c r="N10" s="14" t="str">
        <f t="shared" ref="N10:W10" si="16">IF($A10="","",IF(OR(ISNUMBER(SEARCH(LOWER($A10),LOWER(N$1))),AND(RIGHT(LOWER($A10),1)="s",ISNUMBER(SEARCH(LEFT(LOWER($A10),LEN($A10)-1),LOWER(N$1))))),N$1,$A10&amp;" "&amp;N$1))</f>
        <v>cost emergency plumber</v>
      </c>
      <c r="O10" s="14" t="str">
        <f t="shared" si="16"/>
        <v>cost 24 hour plumber</v>
      </c>
      <c r="P10" s="14" t="str">
        <f t="shared" si="16"/>
        <v>cost burst pipe repair</v>
      </c>
      <c r="Q10" s="14" t="str">
        <f t="shared" si="16"/>
        <v>cost leaking pipe repair</v>
      </c>
      <c r="R10" s="14" t="str">
        <f t="shared" si="16"/>
        <v>cost leaking tap repair</v>
      </c>
      <c r="S10" s="14" t="str">
        <f t="shared" si="16"/>
        <v>cost blocked toilet plumber</v>
      </c>
      <c r="T10" s="14" t="str">
        <f t="shared" si="16"/>
        <v>cost toilet repair</v>
      </c>
      <c r="U10" s="14" t="str">
        <f t="shared" si="16"/>
        <v>cost bathroom plumbing repair</v>
      </c>
      <c r="V10" s="14" t="str">
        <f t="shared" si="16"/>
        <v>cost kitchen plumbing repair</v>
      </c>
      <c r="W10" s="14" t="str">
        <f t="shared" si="16"/>
        <v>cost water leak repair</v>
      </c>
      <c r="X10" s="18" t="str">
        <f>IFERROR(__xludf.DUMMYFUNCTION("""COMPUTED_VALUE"""),"after hours leaking pipe repair")</f>
        <v>after hours leaking pipe repair</v>
      </c>
      <c r="Y10" s="4"/>
      <c r="Z10" s="4"/>
    </row>
    <row r="11">
      <c r="A11" s="13" t="s">
        <v>74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emergency plumber quote</v>
      </c>
      <c r="C11" s="14" t="str">
        <f t="shared" si="17"/>
        <v>24 hour plumber quote</v>
      </c>
      <c r="D11" s="14" t="str">
        <f t="shared" si="17"/>
        <v>burst pipe repair quote</v>
      </c>
      <c r="E11" s="14" t="str">
        <f t="shared" si="17"/>
        <v>leaking pipe repair quote</v>
      </c>
      <c r="F11" s="14" t="str">
        <f t="shared" si="17"/>
        <v>leaking tap repair quote</v>
      </c>
      <c r="G11" s="14" t="str">
        <f t="shared" si="17"/>
        <v>blocked toilet plumber quote</v>
      </c>
      <c r="H11" s="14" t="str">
        <f t="shared" si="17"/>
        <v>toilet repair quote</v>
      </c>
      <c r="I11" s="14" t="str">
        <f t="shared" si="17"/>
        <v>bathroom plumbing repair quote</v>
      </c>
      <c r="J11" s="14" t="str">
        <f t="shared" si="17"/>
        <v>kitchen plumbing repair quote</v>
      </c>
      <c r="K11" s="14" t="str">
        <f t="shared" si="17"/>
        <v>water leak repair quote</v>
      </c>
      <c r="L11" s="16" t="str">
        <f>IFERROR(__xludf.DUMMYFUNCTION("""COMPUTED_VALUE"""),"24 hour plumber fast")</f>
        <v>24 hour plumber fast</v>
      </c>
      <c r="M11" s="17"/>
      <c r="N11" s="14" t="str">
        <f t="shared" ref="N11:W11" si="18">IF($A11="","",IF(OR(ISNUMBER(SEARCH(LOWER($A11),LOWER(N$1))),AND(RIGHT(LOWER($A11),1)="s",ISNUMBER(SEARCH(LEFT(LOWER($A11),LEN($A11)-1),LOWER(N$1))))),N$1,$A11&amp;" "&amp;N$1))</f>
        <v>quote emergency plumber</v>
      </c>
      <c r="O11" s="14" t="str">
        <f t="shared" si="18"/>
        <v>quote 24 hour plumber</v>
      </c>
      <c r="P11" s="14" t="str">
        <f t="shared" si="18"/>
        <v>quote burst pipe repair</v>
      </c>
      <c r="Q11" s="14" t="str">
        <f t="shared" si="18"/>
        <v>quote leaking pipe repair</v>
      </c>
      <c r="R11" s="14" t="str">
        <f t="shared" si="18"/>
        <v>quote leaking tap repair</v>
      </c>
      <c r="S11" s="14" t="str">
        <f t="shared" si="18"/>
        <v>quote blocked toilet plumber</v>
      </c>
      <c r="T11" s="14" t="str">
        <f t="shared" si="18"/>
        <v>quote toilet repair</v>
      </c>
      <c r="U11" s="14" t="str">
        <f t="shared" si="18"/>
        <v>quote bathroom plumbing repair</v>
      </c>
      <c r="V11" s="14" t="str">
        <f t="shared" si="18"/>
        <v>quote kitchen plumbing repair</v>
      </c>
      <c r="W11" s="14" t="str">
        <f t="shared" si="18"/>
        <v>quote water leak repair</v>
      </c>
      <c r="X11" s="18" t="str">
        <f>IFERROR(__xludf.DUMMYFUNCTION("""COMPUTED_VALUE"""),"after hours leaking tap repair")</f>
        <v>after hours leaking tap repair</v>
      </c>
      <c r="Y11" s="4"/>
      <c r="Z11" s="4"/>
    </row>
    <row r="12">
      <c r="A12" s="13" t="s">
        <v>77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emergency plumber fast</v>
      </c>
      <c r="C12" s="14" t="str">
        <f t="shared" si="19"/>
        <v>24 hour plumber fast</v>
      </c>
      <c r="D12" s="14" t="str">
        <f t="shared" si="19"/>
        <v>burst pipe repair fast</v>
      </c>
      <c r="E12" s="14" t="str">
        <f t="shared" si="19"/>
        <v>leaking pipe repair fast</v>
      </c>
      <c r="F12" s="14" t="str">
        <f t="shared" si="19"/>
        <v>leaking tap repair fast</v>
      </c>
      <c r="G12" s="14" t="str">
        <f t="shared" si="19"/>
        <v>blocked toilet plumber fast</v>
      </c>
      <c r="H12" s="14" t="str">
        <f t="shared" si="19"/>
        <v>toilet repair fast</v>
      </c>
      <c r="I12" s="14" t="str">
        <f t="shared" si="19"/>
        <v>bathroom plumbing repair fast</v>
      </c>
      <c r="J12" s="14" t="str">
        <f t="shared" si="19"/>
        <v>kitchen plumbing repair fast</v>
      </c>
      <c r="K12" s="14" t="str">
        <f t="shared" si="19"/>
        <v>water leak repair fast</v>
      </c>
      <c r="L12" s="16" t="str">
        <f>IFERROR(__xludf.DUMMYFUNCTION("""COMPUTED_VALUE"""),"24 hour plumber local")</f>
        <v>24 hour plumber local</v>
      </c>
      <c r="M12" s="17"/>
      <c r="N12" s="14" t="str">
        <f t="shared" ref="N12:W12" si="20">IF($A12="","",IF(OR(ISNUMBER(SEARCH(LOWER($A12),LOWER(N$1))),AND(RIGHT(LOWER($A12),1)="s",ISNUMBER(SEARCH(LEFT(LOWER($A12),LEN($A12)-1),LOWER(N$1))))),N$1,$A12&amp;" "&amp;N$1))</f>
        <v>fast emergency plumber</v>
      </c>
      <c r="O12" s="14" t="str">
        <f t="shared" si="20"/>
        <v>fast 24 hour plumber</v>
      </c>
      <c r="P12" s="14" t="str">
        <f t="shared" si="20"/>
        <v>fast burst pipe repair</v>
      </c>
      <c r="Q12" s="14" t="str">
        <f t="shared" si="20"/>
        <v>fast leaking pipe repair</v>
      </c>
      <c r="R12" s="14" t="str">
        <f t="shared" si="20"/>
        <v>fast leaking tap repair</v>
      </c>
      <c r="S12" s="14" t="str">
        <f t="shared" si="20"/>
        <v>fast blocked toilet plumber</v>
      </c>
      <c r="T12" s="14" t="str">
        <f t="shared" si="20"/>
        <v>fast toilet repair</v>
      </c>
      <c r="U12" s="14" t="str">
        <f t="shared" si="20"/>
        <v>fast bathroom plumbing repair</v>
      </c>
      <c r="V12" s="14" t="str">
        <f t="shared" si="20"/>
        <v>fast kitchen plumbing repair</v>
      </c>
      <c r="W12" s="14" t="str">
        <f t="shared" si="20"/>
        <v>fast water leak repair</v>
      </c>
      <c r="X12" s="18" t="str">
        <f>IFERROR(__xludf.DUMMYFUNCTION("""COMPUTED_VALUE"""),"after hours toilet repair")</f>
        <v>after hours toilet repair</v>
      </c>
      <c r="Y12" s="4"/>
      <c r="Z12" s="4"/>
    </row>
    <row r="13">
      <c r="A13" s="13" t="s">
        <v>62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emergency plumber local</v>
      </c>
      <c r="C13" s="14" t="str">
        <f t="shared" si="21"/>
        <v>24 hour plumber local</v>
      </c>
      <c r="D13" s="14" t="str">
        <f t="shared" si="21"/>
        <v>burst pipe repair local</v>
      </c>
      <c r="E13" s="14" t="str">
        <f t="shared" si="21"/>
        <v>leaking pipe repair local</v>
      </c>
      <c r="F13" s="14" t="str">
        <f t="shared" si="21"/>
        <v>leaking tap repair local</v>
      </c>
      <c r="G13" s="14" t="str">
        <f t="shared" si="21"/>
        <v>blocked toilet plumber local</v>
      </c>
      <c r="H13" s="14" t="str">
        <f t="shared" si="21"/>
        <v>toilet repair local</v>
      </c>
      <c r="I13" s="14" t="str">
        <f t="shared" si="21"/>
        <v>bathroom plumbing repair local</v>
      </c>
      <c r="J13" s="14" t="str">
        <f t="shared" si="21"/>
        <v>kitchen plumbing repair local</v>
      </c>
      <c r="K13" s="14" t="str">
        <f t="shared" si="21"/>
        <v>water leak repair local</v>
      </c>
      <c r="L13" s="16" t="str">
        <f>IFERROR(__xludf.DUMMYFUNCTION("""COMPUTED_VALUE"""),"24 hour plumber near me")</f>
        <v>24 hour plumber near me</v>
      </c>
      <c r="M13" s="17"/>
      <c r="N13" s="14" t="str">
        <f t="shared" ref="N13:W13" si="22">IF($A13="","",IF(OR(ISNUMBER(SEARCH(LOWER($A13),LOWER(N$1))),AND(RIGHT(LOWER($A13),1)="s",ISNUMBER(SEARCH(LEFT(LOWER($A13),LEN($A13)-1),LOWER(N$1))))),N$1,$A13&amp;" "&amp;N$1))</f>
        <v>local emergency plumber</v>
      </c>
      <c r="O13" s="14" t="str">
        <f t="shared" si="22"/>
        <v>local 24 hour plumber</v>
      </c>
      <c r="P13" s="14" t="str">
        <f t="shared" si="22"/>
        <v>local burst pipe repair</v>
      </c>
      <c r="Q13" s="14" t="str">
        <f t="shared" si="22"/>
        <v>local leaking pipe repair</v>
      </c>
      <c r="R13" s="14" t="str">
        <f t="shared" si="22"/>
        <v>local leaking tap repair</v>
      </c>
      <c r="S13" s="14" t="str">
        <f t="shared" si="22"/>
        <v>local blocked toilet plumber</v>
      </c>
      <c r="T13" s="14" t="str">
        <f t="shared" si="22"/>
        <v>local toilet repair</v>
      </c>
      <c r="U13" s="14" t="str">
        <f t="shared" si="22"/>
        <v>local bathroom plumbing repair</v>
      </c>
      <c r="V13" s="14" t="str">
        <f t="shared" si="22"/>
        <v>local kitchen plumbing repair</v>
      </c>
      <c r="W13" s="14" t="str">
        <f t="shared" si="22"/>
        <v>local water leak repair</v>
      </c>
      <c r="X13" s="18" t="str">
        <f>IFERROR(__xludf.DUMMYFUNCTION("""COMPUTED_VALUE"""),"after hours water leak repair")</f>
        <v>after hours water leak repair</v>
      </c>
      <c r="Y13" s="4"/>
      <c r="Z13" s="4"/>
    </row>
    <row r="14">
      <c r="A14" s="13" t="s">
        <v>76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emergency plumber reliable</v>
      </c>
      <c r="C14" s="14" t="str">
        <f t="shared" si="23"/>
        <v>24 hour plumber reliable</v>
      </c>
      <c r="D14" s="14" t="str">
        <f t="shared" si="23"/>
        <v>burst pipe repair reliable</v>
      </c>
      <c r="E14" s="14" t="str">
        <f t="shared" si="23"/>
        <v>leaking pipe repair reliable</v>
      </c>
      <c r="F14" s="14" t="str">
        <f t="shared" si="23"/>
        <v>leaking tap repair reliable</v>
      </c>
      <c r="G14" s="14" t="str">
        <f t="shared" si="23"/>
        <v>blocked toilet plumber reliable</v>
      </c>
      <c r="H14" s="14" t="str">
        <f t="shared" si="23"/>
        <v>toilet repair reliable</v>
      </c>
      <c r="I14" s="14" t="str">
        <f t="shared" si="23"/>
        <v>bathroom plumbing repair reliable</v>
      </c>
      <c r="J14" s="14" t="str">
        <f t="shared" si="23"/>
        <v>kitchen plumbing repair reliable</v>
      </c>
      <c r="K14" s="14" t="str">
        <f t="shared" si="23"/>
        <v>water leak repair reliable</v>
      </c>
      <c r="L14" s="16" t="str">
        <f>IFERROR(__xludf.DUMMYFUNCTION("""COMPUTED_VALUE"""),"24 hour plumber professional")</f>
        <v>24 hour plumber professional</v>
      </c>
      <c r="M14" s="17"/>
      <c r="N14" s="14" t="str">
        <f t="shared" ref="N14:W14" si="24">IF($A14="","",IF(OR(ISNUMBER(SEARCH(LOWER($A14),LOWER(N$1))),AND(RIGHT(LOWER($A14),1)="s",ISNUMBER(SEARCH(LEFT(LOWER($A14),LEN($A14)-1),LOWER(N$1))))),N$1,$A14&amp;" "&amp;N$1))</f>
        <v>reliable emergency plumber</v>
      </c>
      <c r="O14" s="14" t="str">
        <f t="shared" si="24"/>
        <v>reliable 24 hour plumber</v>
      </c>
      <c r="P14" s="14" t="str">
        <f t="shared" si="24"/>
        <v>reliable burst pipe repair</v>
      </c>
      <c r="Q14" s="14" t="str">
        <f t="shared" si="24"/>
        <v>reliable leaking pipe repair</v>
      </c>
      <c r="R14" s="14" t="str">
        <f t="shared" si="24"/>
        <v>reliable leaking tap repair</v>
      </c>
      <c r="S14" s="14" t="str">
        <f t="shared" si="24"/>
        <v>reliable blocked toilet plumber</v>
      </c>
      <c r="T14" s="14" t="str">
        <f t="shared" si="24"/>
        <v>reliable toilet repair</v>
      </c>
      <c r="U14" s="14" t="str">
        <f t="shared" si="24"/>
        <v>reliable bathroom plumbing repair</v>
      </c>
      <c r="V14" s="14" t="str">
        <f t="shared" si="24"/>
        <v>reliable kitchen plumbing repair</v>
      </c>
      <c r="W14" s="14" t="str">
        <f t="shared" si="24"/>
        <v>reliable water leak repair</v>
      </c>
      <c r="X14" s="18" t="str">
        <f>IFERROR(__xludf.DUMMYFUNCTION("""COMPUTED_VALUE"""),"bathroom plumbing repair")</f>
        <v>bathroom plumbing repair</v>
      </c>
      <c r="Y14" s="4"/>
      <c r="Z14" s="4"/>
    </row>
    <row r="15">
      <c r="A15" s="13" t="s">
        <v>68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emergency plumber professional</v>
      </c>
      <c r="C15" s="14" t="str">
        <f t="shared" si="25"/>
        <v>24 hour plumber professional</v>
      </c>
      <c r="D15" s="14" t="str">
        <f t="shared" si="25"/>
        <v>burst pipe repair professional</v>
      </c>
      <c r="E15" s="14" t="str">
        <f t="shared" si="25"/>
        <v>leaking pipe repair professional</v>
      </c>
      <c r="F15" s="14" t="str">
        <f t="shared" si="25"/>
        <v>leaking tap repair professional</v>
      </c>
      <c r="G15" s="14" t="str">
        <f t="shared" si="25"/>
        <v>blocked toilet plumber professional</v>
      </c>
      <c r="H15" s="14" t="str">
        <f t="shared" si="25"/>
        <v>toilet repair professional</v>
      </c>
      <c r="I15" s="14" t="str">
        <f t="shared" si="25"/>
        <v>bathroom plumbing repair professional</v>
      </c>
      <c r="J15" s="14" t="str">
        <f t="shared" si="25"/>
        <v>kitchen plumbing repair professional</v>
      </c>
      <c r="K15" s="14" t="str">
        <f t="shared" si="25"/>
        <v>water leak repair professional</v>
      </c>
      <c r="L15" s="16" t="str">
        <f>IFERROR(__xludf.DUMMYFUNCTION("""COMPUTED_VALUE"""),"24 hour plumber quote")</f>
        <v>24 hour plumber quote</v>
      </c>
      <c r="M15" s="17"/>
      <c r="N15" s="14" t="str">
        <f t="shared" ref="N15:W15" si="26">IF($A15="","",IF(OR(ISNUMBER(SEARCH(LOWER($A15),LOWER(N$1))),AND(RIGHT(LOWER($A15),1)="s",ISNUMBER(SEARCH(LEFT(LOWER($A15),LEN($A15)-1),LOWER(N$1))))),N$1,$A15&amp;" "&amp;N$1))</f>
        <v>professional emergency plumber</v>
      </c>
      <c r="O15" s="14" t="str">
        <f t="shared" si="26"/>
        <v>professional 24 hour plumber</v>
      </c>
      <c r="P15" s="14" t="str">
        <f t="shared" si="26"/>
        <v>professional burst pipe repair</v>
      </c>
      <c r="Q15" s="14" t="str">
        <f t="shared" si="26"/>
        <v>professional leaking pipe repair</v>
      </c>
      <c r="R15" s="14" t="str">
        <f t="shared" si="26"/>
        <v>professional leaking tap repair</v>
      </c>
      <c r="S15" s="14" t="str">
        <f t="shared" si="26"/>
        <v>professional blocked toilet plumber</v>
      </c>
      <c r="T15" s="14" t="str">
        <f t="shared" si="26"/>
        <v>professional toilet repair</v>
      </c>
      <c r="U15" s="14" t="str">
        <f t="shared" si="26"/>
        <v>professional bathroom plumbing repair</v>
      </c>
      <c r="V15" s="14" t="str">
        <f t="shared" si="26"/>
        <v>professional kitchen plumbing repair</v>
      </c>
      <c r="W15" s="14" t="str">
        <f t="shared" si="26"/>
        <v>professional water leak repair</v>
      </c>
      <c r="X15" s="18" t="str">
        <f>IFERROR(__xludf.DUMMYFUNCTION("""COMPUTED_VALUE"""),"blocked toilet plumber")</f>
        <v>blocked toilet plumber</v>
      </c>
      <c r="Y15" s="4"/>
      <c r="Z15" s="4"/>
    </row>
    <row r="16">
      <c r="A16" s="13" t="s">
        <v>85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emergency plumber residential</v>
      </c>
      <c r="C16" s="14" t="str">
        <f t="shared" si="27"/>
        <v>24 hour plumber residential</v>
      </c>
      <c r="D16" s="14" t="str">
        <f t="shared" si="27"/>
        <v>burst pipe repair residential</v>
      </c>
      <c r="E16" s="14" t="str">
        <f t="shared" si="27"/>
        <v>leaking pipe repair residential</v>
      </c>
      <c r="F16" s="14" t="str">
        <f t="shared" si="27"/>
        <v>leaking tap repair residential</v>
      </c>
      <c r="G16" s="14" t="str">
        <f t="shared" si="27"/>
        <v>blocked toilet plumber residential</v>
      </c>
      <c r="H16" s="14" t="str">
        <f t="shared" si="27"/>
        <v>toilet repair residential</v>
      </c>
      <c r="I16" s="14" t="str">
        <f t="shared" si="27"/>
        <v>bathroom plumbing repair residential</v>
      </c>
      <c r="J16" s="14" t="str">
        <f t="shared" si="27"/>
        <v>kitchen plumbing repair residential</v>
      </c>
      <c r="K16" s="14" t="str">
        <f t="shared" si="27"/>
        <v>water leak repair residential</v>
      </c>
      <c r="L16" s="16" t="str">
        <f>IFERROR(__xludf.DUMMYFUNCTION("""COMPUTED_VALUE"""),"24 hour plumber reliable")</f>
        <v>24 hour plumber reliable</v>
      </c>
      <c r="M16" s="17"/>
      <c r="N16" s="14" t="str">
        <f t="shared" ref="N16:W16" si="28">IF($A16="","",IF(OR(ISNUMBER(SEARCH(LOWER($A16),LOWER(N$1))),AND(RIGHT(LOWER($A16),1)="s",ISNUMBER(SEARCH(LEFT(LOWER($A16),LEN($A16)-1),LOWER(N$1))))),N$1,$A16&amp;" "&amp;N$1))</f>
        <v>residential emergency plumber</v>
      </c>
      <c r="O16" s="14" t="str">
        <f t="shared" si="28"/>
        <v>residential 24 hour plumber</v>
      </c>
      <c r="P16" s="14" t="str">
        <f t="shared" si="28"/>
        <v>residential burst pipe repair</v>
      </c>
      <c r="Q16" s="14" t="str">
        <f t="shared" si="28"/>
        <v>residential leaking pipe repair</v>
      </c>
      <c r="R16" s="14" t="str">
        <f t="shared" si="28"/>
        <v>residential leaking tap repair</v>
      </c>
      <c r="S16" s="14" t="str">
        <f t="shared" si="28"/>
        <v>residential blocked toilet plumber</v>
      </c>
      <c r="T16" s="14" t="str">
        <f t="shared" si="28"/>
        <v>residential toilet repair</v>
      </c>
      <c r="U16" s="14" t="str">
        <f t="shared" si="28"/>
        <v>residential bathroom plumbing repair</v>
      </c>
      <c r="V16" s="14" t="str">
        <f t="shared" si="28"/>
        <v>residential kitchen plumbing repair</v>
      </c>
      <c r="W16" s="14" t="str">
        <f t="shared" si="28"/>
        <v>residential water leak repair</v>
      </c>
      <c r="X16" s="18" t="str">
        <f>IFERROR(__xludf.DUMMYFUNCTION("""COMPUTED_VALUE"""),"burst pipe repair")</f>
        <v>burst pipe repair</v>
      </c>
      <c r="Y16" s="4"/>
      <c r="Z16" s="4"/>
    </row>
    <row r="17">
      <c r="A17" s="13" t="s">
        <v>88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emergency plumber commercial</v>
      </c>
      <c r="C17" s="14" t="str">
        <f t="shared" si="29"/>
        <v>24 hour plumber commercial</v>
      </c>
      <c r="D17" s="14" t="str">
        <f t="shared" si="29"/>
        <v>burst pipe repair commercial</v>
      </c>
      <c r="E17" s="14" t="str">
        <f t="shared" si="29"/>
        <v>leaking pipe repair commercial</v>
      </c>
      <c r="F17" s="14" t="str">
        <f t="shared" si="29"/>
        <v>leaking tap repair commercial</v>
      </c>
      <c r="G17" s="14" t="str">
        <f t="shared" si="29"/>
        <v>blocked toilet plumber commercial</v>
      </c>
      <c r="H17" s="14" t="str">
        <f t="shared" si="29"/>
        <v>toilet repair commercial</v>
      </c>
      <c r="I17" s="14" t="str">
        <f t="shared" si="29"/>
        <v>bathroom plumbing repair commercial</v>
      </c>
      <c r="J17" s="14" t="str">
        <f t="shared" si="29"/>
        <v>kitchen plumbing repair commercial</v>
      </c>
      <c r="K17" s="14" t="str">
        <f t="shared" si="29"/>
        <v>water leak repair commercial</v>
      </c>
      <c r="L17" s="16" t="str">
        <f>IFERROR(__xludf.DUMMYFUNCTION("""COMPUTED_VALUE"""),"24 hour plumber repair")</f>
        <v>24 hour plumber repair</v>
      </c>
      <c r="M17" s="17"/>
      <c r="N17" s="14" t="str">
        <f t="shared" ref="N17:W17" si="30">IF($A17="","",IF(OR(ISNUMBER(SEARCH(LOWER($A17),LOWER(N$1))),AND(RIGHT(LOWER($A17),1)="s",ISNUMBER(SEARCH(LEFT(LOWER($A17),LEN($A17)-1),LOWER(N$1))))),N$1,$A17&amp;" "&amp;N$1))</f>
        <v>commercial emergency plumber</v>
      </c>
      <c r="O17" s="14" t="str">
        <f t="shared" si="30"/>
        <v>commercial 24 hour plumber</v>
      </c>
      <c r="P17" s="14" t="str">
        <f t="shared" si="30"/>
        <v>commercial burst pipe repair</v>
      </c>
      <c r="Q17" s="14" t="str">
        <f t="shared" si="30"/>
        <v>commercial leaking pipe repair</v>
      </c>
      <c r="R17" s="14" t="str">
        <f t="shared" si="30"/>
        <v>commercial leaking tap repair</v>
      </c>
      <c r="S17" s="14" t="str">
        <f t="shared" si="30"/>
        <v>commercial blocked toilet plumber</v>
      </c>
      <c r="T17" s="14" t="str">
        <f t="shared" si="30"/>
        <v>commercial toilet repair</v>
      </c>
      <c r="U17" s="14" t="str">
        <f t="shared" si="30"/>
        <v>commercial bathroom plumbing repair</v>
      </c>
      <c r="V17" s="14" t="str">
        <f t="shared" si="30"/>
        <v>commercial kitchen plumbing repair</v>
      </c>
      <c r="W17" s="14" t="str">
        <f t="shared" si="30"/>
        <v>commercial water leak repair</v>
      </c>
      <c r="X17" s="18" t="str">
        <f>IFERROR(__xludf.DUMMYFUNCTION("""COMPUTED_VALUE"""),"call out 24 hour plumber")</f>
        <v>call out 24 hour plumber</v>
      </c>
      <c r="Y17" s="4"/>
      <c r="Z17" s="4"/>
    </row>
    <row r="18">
      <c r="A18" s="13" t="s">
        <v>4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emergency plumber</v>
      </c>
      <c r="C18" s="14" t="str">
        <f t="shared" si="31"/>
        <v>24 hour plumber</v>
      </c>
      <c r="D18" s="14" t="str">
        <f t="shared" si="31"/>
        <v>burst pipe repair plumber</v>
      </c>
      <c r="E18" s="14" t="str">
        <f t="shared" si="31"/>
        <v>leaking pipe repair plumber</v>
      </c>
      <c r="F18" s="14" t="str">
        <f t="shared" si="31"/>
        <v>leaking tap repair plumber</v>
      </c>
      <c r="G18" s="14" t="str">
        <f t="shared" si="31"/>
        <v>blocked toilet plumber</v>
      </c>
      <c r="H18" s="14" t="str">
        <f t="shared" si="31"/>
        <v>toilet repair plumber</v>
      </c>
      <c r="I18" s="14" t="str">
        <f t="shared" si="31"/>
        <v>bathroom plumbing repair plumber</v>
      </c>
      <c r="J18" s="14" t="str">
        <f t="shared" si="31"/>
        <v>kitchen plumbing repair plumber</v>
      </c>
      <c r="K18" s="14" t="str">
        <f t="shared" si="31"/>
        <v>water leak repair plumber</v>
      </c>
      <c r="L18" s="16" t="str">
        <f>IFERROR(__xludf.DUMMYFUNCTION("""COMPUTED_VALUE"""),"24 hour plumber residential")</f>
        <v>24 hour plumber residential</v>
      </c>
      <c r="M18" s="17"/>
      <c r="N18" s="14" t="str">
        <f t="shared" ref="N18:W18" si="32">IF($A18="","",IF(OR(ISNUMBER(SEARCH(LOWER($A18),LOWER(N$1))),AND(RIGHT(LOWER($A18),1)="s",ISNUMBER(SEARCH(LEFT(LOWER($A18),LEN($A18)-1),LOWER(N$1))))),N$1,$A18&amp;" "&amp;N$1))</f>
        <v>emergency plumber</v>
      </c>
      <c r="O18" s="14" t="str">
        <f t="shared" si="32"/>
        <v>24 hour plumber</v>
      </c>
      <c r="P18" s="14" t="str">
        <f t="shared" si="32"/>
        <v>plumber burst pipe repair</v>
      </c>
      <c r="Q18" s="14" t="str">
        <f t="shared" si="32"/>
        <v>plumber leaking pipe repair</v>
      </c>
      <c r="R18" s="14" t="str">
        <f t="shared" si="32"/>
        <v>plumber leaking tap repair</v>
      </c>
      <c r="S18" s="14" t="str">
        <f t="shared" si="32"/>
        <v>blocked toilet plumber</v>
      </c>
      <c r="T18" s="14" t="str">
        <f t="shared" si="32"/>
        <v>plumber toilet repair</v>
      </c>
      <c r="U18" s="14" t="str">
        <f t="shared" si="32"/>
        <v>plumber bathroom plumbing repair</v>
      </c>
      <c r="V18" s="14" t="str">
        <f t="shared" si="32"/>
        <v>plumber kitchen plumbing repair</v>
      </c>
      <c r="W18" s="14" t="str">
        <f t="shared" si="32"/>
        <v>plumber water leak repair</v>
      </c>
      <c r="X18" s="18" t="str">
        <f>IFERROR(__xludf.DUMMYFUNCTION("""COMPUTED_VALUE"""),"call out bathroom plumbing repair")</f>
        <v>call out bathroom plumbing repair</v>
      </c>
      <c r="Y18" s="4"/>
      <c r="Z18" s="4"/>
    </row>
    <row r="19">
      <c r="A19" s="13" t="s">
        <v>87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emergency plumber service</v>
      </c>
      <c r="C19" s="14" t="str">
        <f t="shared" si="33"/>
        <v>24 hour plumber service</v>
      </c>
      <c r="D19" s="14" t="str">
        <f t="shared" si="33"/>
        <v>burst pipe repair service</v>
      </c>
      <c r="E19" s="14" t="str">
        <f t="shared" si="33"/>
        <v>leaking pipe repair service</v>
      </c>
      <c r="F19" s="14" t="str">
        <f t="shared" si="33"/>
        <v>leaking tap repair service</v>
      </c>
      <c r="G19" s="14" t="str">
        <f t="shared" si="33"/>
        <v>blocked toilet plumber service</v>
      </c>
      <c r="H19" s="14" t="str">
        <f t="shared" si="33"/>
        <v>toilet repair service</v>
      </c>
      <c r="I19" s="14" t="str">
        <f t="shared" si="33"/>
        <v>bathroom plumbing repair service</v>
      </c>
      <c r="J19" s="14" t="str">
        <f t="shared" si="33"/>
        <v>kitchen plumbing repair service</v>
      </c>
      <c r="K19" s="14" t="str">
        <f t="shared" si="33"/>
        <v>water leak repair service</v>
      </c>
      <c r="L19" s="16" t="str">
        <f>IFERROR(__xludf.DUMMYFUNCTION("""COMPUTED_VALUE"""),"24 hour plumber same day")</f>
        <v>24 hour plumber same day</v>
      </c>
      <c r="M19" s="17"/>
      <c r="N19" s="14" t="str">
        <f t="shared" ref="N19:W19" si="34">IF($A19="","",IF(OR(ISNUMBER(SEARCH(LOWER($A19),LOWER(N$1))),AND(RIGHT(LOWER($A19),1)="s",ISNUMBER(SEARCH(LEFT(LOWER($A19),LEN($A19)-1),LOWER(N$1))))),N$1,$A19&amp;" "&amp;N$1))</f>
        <v>service emergency plumber</v>
      </c>
      <c r="O19" s="14" t="str">
        <f t="shared" si="34"/>
        <v>service 24 hour plumber</v>
      </c>
      <c r="P19" s="14" t="str">
        <f t="shared" si="34"/>
        <v>service burst pipe repair</v>
      </c>
      <c r="Q19" s="14" t="str">
        <f t="shared" si="34"/>
        <v>service leaking pipe repair</v>
      </c>
      <c r="R19" s="14" t="str">
        <f t="shared" si="34"/>
        <v>service leaking tap repair</v>
      </c>
      <c r="S19" s="14" t="str">
        <f t="shared" si="34"/>
        <v>service blocked toilet plumber</v>
      </c>
      <c r="T19" s="14" t="str">
        <f t="shared" si="34"/>
        <v>service toilet repair</v>
      </c>
      <c r="U19" s="14" t="str">
        <f t="shared" si="34"/>
        <v>service bathroom plumbing repair</v>
      </c>
      <c r="V19" s="14" t="str">
        <f t="shared" si="34"/>
        <v>service kitchen plumbing repair</v>
      </c>
      <c r="W19" s="14" t="str">
        <f t="shared" si="34"/>
        <v>service water leak repair</v>
      </c>
      <c r="X19" s="18" t="str">
        <f>IFERROR(__xludf.DUMMYFUNCTION("""COMPUTED_VALUE"""),"call out blocked toilet plumber")</f>
        <v>call out blocked toilet plumber</v>
      </c>
      <c r="Y19" s="4"/>
      <c r="Z19" s="4"/>
    </row>
    <row r="20">
      <c r="A20" s="13" t="s">
        <v>92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emergency plumber company</v>
      </c>
      <c r="C20" s="14" t="str">
        <f t="shared" si="35"/>
        <v>24 hour plumber company</v>
      </c>
      <c r="D20" s="14" t="str">
        <f t="shared" si="35"/>
        <v>burst pipe repair company</v>
      </c>
      <c r="E20" s="14" t="str">
        <f t="shared" si="35"/>
        <v>leaking pipe repair company</v>
      </c>
      <c r="F20" s="14" t="str">
        <f t="shared" si="35"/>
        <v>leaking tap repair company</v>
      </c>
      <c r="G20" s="14" t="str">
        <f t="shared" si="35"/>
        <v>blocked toilet plumber company</v>
      </c>
      <c r="H20" s="14" t="str">
        <f t="shared" si="35"/>
        <v>toilet repair company</v>
      </c>
      <c r="I20" s="14" t="str">
        <f t="shared" si="35"/>
        <v>bathroom plumbing repair company</v>
      </c>
      <c r="J20" s="14" t="str">
        <f t="shared" si="35"/>
        <v>kitchen plumbing repair company</v>
      </c>
      <c r="K20" s="14" t="str">
        <f t="shared" si="35"/>
        <v>water leak repair company</v>
      </c>
      <c r="L20" s="16" t="str">
        <f>IFERROR(__xludf.DUMMYFUNCTION("""COMPUTED_VALUE"""),"24 hour plumber service")</f>
        <v>24 hour plumber service</v>
      </c>
      <c r="M20" s="17"/>
      <c r="N20" s="14" t="str">
        <f t="shared" ref="N20:W20" si="36">IF($A20="","",IF(OR(ISNUMBER(SEARCH(LOWER($A20),LOWER(N$1))),AND(RIGHT(LOWER($A20),1)="s",ISNUMBER(SEARCH(LEFT(LOWER($A20),LEN($A20)-1),LOWER(N$1))))),N$1,$A20&amp;" "&amp;N$1))</f>
        <v>company emergency plumber</v>
      </c>
      <c r="O20" s="14" t="str">
        <f t="shared" si="36"/>
        <v>company 24 hour plumber</v>
      </c>
      <c r="P20" s="14" t="str">
        <f t="shared" si="36"/>
        <v>company burst pipe repair</v>
      </c>
      <c r="Q20" s="14" t="str">
        <f t="shared" si="36"/>
        <v>company leaking pipe repair</v>
      </c>
      <c r="R20" s="14" t="str">
        <f t="shared" si="36"/>
        <v>company leaking tap repair</v>
      </c>
      <c r="S20" s="14" t="str">
        <f t="shared" si="36"/>
        <v>company blocked toilet plumber</v>
      </c>
      <c r="T20" s="14" t="str">
        <f t="shared" si="36"/>
        <v>company toilet repair</v>
      </c>
      <c r="U20" s="14" t="str">
        <f t="shared" si="36"/>
        <v>company bathroom plumbing repair</v>
      </c>
      <c r="V20" s="14" t="str">
        <f t="shared" si="36"/>
        <v>company kitchen plumbing repair</v>
      </c>
      <c r="W20" s="14" t="str">
        <f t="shared" si="36"/>
        <v>company water leak repair</v>
      </c>
      <c r="X20" s="18" t="str">
        <f>IFERROR(__xludf.DUMMYFUNCTION("""COMPUTED_VALUE"""),"call out burst pipe repair")</f>
        <v>call out burst pipe repair</v>
      </c>
      <c r="Y20" s="4"/>
      <c r="Z20" s="4"/>
    </row>
    <row r="21" ht="15.75" customHeight="1">
      <c r="A21" s="13" t="s">
        <v>44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emergency plumber</v>
      </c>
      <c r="C21" s="14" t="str">
        <f t="shared" si="37"/>
        <v>24 hour plumber emergency</v>
      </c>
      <c r="D21" s="14" t="str">
        <f t="shared" si="37"/>
        <v>burst pipe repair emergency</v>
      </c>
      <c r="E21" s="14" t="str">
        <f t="shared" si="37"/>
        <v>leaking pipe repair emergency</v>
      </c>
      <c r="F21" s="14" t="str">
        <f t="shared" si="37"/>
        <v>leaking tap repair emergency</v>
      </c>
      <c r="G21" s="14" t="str">
        <f t="shared" si="37"/>
        <v>blocked toilet plumber emergency</v>
      </c>
      <c r="H21" s="14" t="str">
        <f t="shared" si="37"/>
        <v>toilet repair emergency</v>
      </c>
      <c r="I21" s="14" t="str">
        <f t="shared" si="37"/>
        <v>bathroom plumbing repair emergency</v>
      </c>
      <c r="J21" s="14" t="str">
        <f t="shared" si="37"/>
        <v>kitchen plumbing repair emergency</v>
      </c>
      <c r="K21" s="14" t="str">
        <f t="shared" si="37"/>
        <v>water leak repair emergency</v>
      </c>
      <c r="L21" s="16" t="str">
        <f>IFERROR(__xludf.DUMMYFUNCTION("""COMPUTED_VALUE"""),"24 hour plumber urgent")</f>
        <v>24 hour plumber urgent</v>
      </c>
      <c r="M21" s="17"/>
      <c r="N21" s="14" t="str">
        <f t="shared" ref="N21:W21" si="38">IF($A21="","",IF(OR(ISNUMBER(SEARCH(LOWER($A21),LOWER(N$1))),AND(RIGHT(LOWER($A21),1)="s",ISNUMBER(SEARCH(LEFT(LOWER($A21),LEN($A21)-1),LOWER(N$1))))),N$1,$A21&amp;" "&amp;N$1))</f>
        <v>emergency plumber</v>
      </c>
      <c r="O21" s="14" t="str">
        <f t="shared" si="38"/>
        <v>emergency 24 hour plumber</v>
      </c>
      <c r="P21" s="14" t="str">
        <f t="shared" si="38"/>
        <v>emergency burst pipe repair</v>
      </c>
      <c r="Q21" s="14" t="str">
        <f t="shared" si="38"/>
        <v>emergency leaking pipe repair</v>
      </c>
      <c r="R21" s="14" t="str">
        <f t="shared" si="38"/>
        <v>emergency leaking tap repair</v>
      </c>
      <c r="S21" s="14" t="str">
        <f t="shared" si="38"/>
        <v>emergency blocked toilet plumber</v>
      </c>
      <c r="T21" s="14" t="str">
        <f t="shared" si="38"/>
        <v>emergency toilet repair</v>
      </c>
      <c r="U21" s="14" t="str">
        <f t="shared" si="38"/>
        <v>emergency bathroom plumbing repair</v>
      </c>
      <c r="V21" s="14" t="str">
        <f t="shared" si="38"/>
        <v>emergency kitchen plumbing repair</v>
      </c>
      <c r="W21" s="14" t="str">
        <f t="shared" si="38"/>
        <v>emergency water leak repair</v>
      </c>
      <c r="X21" s="18" t="str">
        <f>IFERROR(__xludf.DUMMYFUNCTION("""COMPUTED_VALUE"""),"call out emergency plumber")</f>
        <v>call out emergency plumber</v>
      </c>
      <c r="Y21" s="4"/>
      <c r="Z21" s="4"/>
    </row>
    <row r="22" ht="15.75" customHeight="1">
      <c r="A22" s="13" t="s">
        <v>82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emergency plumber repair</v>
      </c>
      <c r="C22" s="14" t="str">
        <f t="shared" si="39"/>
        <v>24 hour plumber repair</v>
      </c>
      <c r="D22" s="14" t="str">
        <f t="shared" si="39"/>
        <v>burst pipe repair</v>
      </c>
      <c r="E22" s="14" t="str">
        <f t="shared" si="39"/>
        <v>leaking pipe repair</v>
      </c>
      <c r="F22" s="14" t="str">
        <f t="shared" si="39"/>
        <v>leaking tap repair</v>
      </c>
      <c r="G22" s="14" t="str">
        <f t="shared" si="39"/>
        <v>blocked toilet plumber repair</v>
      </c>
      <c r="H22" s="14" t="str">
        <f t="shared" si="39"/>
        <v>toilet repair</v>
      </c>
      <c r="I22" s="14" t="str">
        <f t="shared" si="39"/>
        <v>bathroom plumbing repair</v>
      </c>
      <c r="J22" s="14" t="str">
        <f t="shared" si="39"/>
        <v>kitchen plumbing repair</v>
      </c>
      <c r="K22" s="14" t="str">
        <f t="shared" si="39"/>
        <v>water leak repair</v>
      </c>
      <c r="L22" s="16" t="str">
        <f>IFERROR(__xludf.DUMMYFUNCTION("""COMPUTED_VALUE"""),"24 hour plumber weekend")</f>
        <v>24 hour plumber weekend</v>
      </c>
      <c r="M22" s="17"/>
      <c r="N22" s="14" t="str">
        <f t="shared" ref="N22:W22" si="40">IF($A22="","",IF(OR(ISNUMBER(SEARCH(LOWER($A22),LOWER(N$1))),AND(RIGHT(LOWER($A22),1)="s",ISNUMBER(SEARCH(LEFT(LOWER($A22),LEN($A22)-1),LOWER(N$1))))),N$1,$A22&amp;" "&amp;N$1))</f>
        <v>repair emergency plumber</v>
      </c>
      <c r="O22" s="14" t="str">
        <f t="shared" si="40"/>
        <v>repair 24 hour plumber</v>
      </c>
      <c r="P22" s="14" t="str">
        <f t="shared" si="40"/>
        <v>burst pipe repair</v>
      </c>
      <c r="Q22" s="14" t="str">
        <f t="shared" si="40"/>
        <v>leaking pipe repair</v>
      </c>
      <c r="R22" s="14" t="str">
        <f t="shared" si="40"/>
        <v>leaking tap repair</v>
      </c>
      <c r="S22" s="14" t="str">
        <f t="shared" si="40"/>
        <v>repair blocked toilet plumber</v>
      </c>
      <c r="T22" s="14" t="str">
        <f t="shared" si="40"/>
        <v>toilet repair</v>
      </c>
      <c r="U22" s="14" t="str">
        <f t="shared" si="40"/>
        <v>bathroom plumbing repair</v>
      </c>
      <c r="V22" s="14" t="str">
        <f t="shared" si="40"/>
        <v>kitchen plumbing repair</v>
      </c>
      <c r="W22" s="14" t="str">
        <f t="shared" si="40"/>
        <v>water leak repair</v>
      </c>
      <c r="X22" s="18" t="str">
        <f>IFERROR(__xludf.DUMMYFUNCTION("""COMPUTED_VALUE"""),"call out kitchen plumbing repair")</f>
        <v>call out kitchen plumbing repair</v>
      </c>
      <c r="Y22" s="4"/>
      <c r="Z22" s="4"/>
    </row>
    <row r="23" ht="15.75" customHeight="1">
      <c r="A23" s="13"/>
      <c r="B23" s="14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14" t="str">
        <f t="shared" si="41"/>
        <v/>
      </c>
      <c r="D23" s="14" t="str">
        <f t="shared" si="41"/>
        <v/>
      </c>
      <c r="E23" s="14" t="str">
        <f t="shared" si="41"/>
        <v/>
      </c>
      <c r="F23" s="14" t="str">
        <f t="shared" si="41"/>
        <v/>
      </c>
      <c r="G23" s="14" t="str">
        <f t="shared" si="41"/>
        <v/>
      </c>
      <c r="H23" s="14" t="str">
        <f t="shared" si="41"/>
        <v/>
      </c>
      <c r="I23" s="14" t="str">
        <f t="shared" si="41"/>
        <v/>
      </c>
      <c r="J23" s="14" t="str">
        <f t="shared" si="41"/>
        <v/>
      </c>
      <c r="K23" s="14" t="str">
        <f t="shared" si="41"/>
        <v/>
      </c>
      <c r="L23" s="16" t="str">
        <f>IFERROR(__xludf.DUMMYFUNCTION("""COMPUTED_VALUE"""),"bathroom plumbing repair")</f>
        <v>bathroom plumbing repair</v>
      </c>
      <c r="M23" s="17"/>
      <c r="N23" s="14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14" t="str">
        <f t="shared" si="42"/>
        <v/>
      </c>
      <c r="P23" s="14" t="str">
        <f t="shared" si="42"/>
        <v/>
      </c>
      <c r="Q23" s="14" t="str">
        <f t="shared" si="42"/>
        <v/>
      </c>
      <c r="R23" s="14" t="str">
        <f t="shared" si="42"/>
        <v/>
      </c>
      <c r="S23" s="14" t="str">
        <f t="shared" si="42"/>
        <v/>
      </c>
      <c r="T23" s="14" t="str">
        <f t="shared" si="42"/>
        <v/>
      </c>
      <c r="U23" s="14" t="str">
        <f t="shared" si="42"/>
        <v/>
      </c>
      <c r="V23" s="14" t="str">
        <f t="shared" si="42"/>
        <v/>
      </c>
      <c r="W23" s="14" t="str">
        <f t="shared" si="42"/>
        <v/>
      </c>
      <c r="X23" s="18" t="str">
        <f>IFERROR(__xludf.DUMMYFUNCTION("""COMPUTED_VALUE"""),"call out leaking pipe repair")</f>
        <v>call out leaking pipe repair</v>
      </c>
      <c r="Y23" s="4"/>
      <c r="Z23" s="4"/>
    </row>
    <row r="24" ht="15.75" customHeight="1">
      <c r="A24" s="13"/>
      <c r="B24" s="14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14" t="str">
        <f t="shared" si="43"/>
        <v/>
      </c>
      <c r="D24" s="14" t="str">
        <f t="shared" si="43"/>
        <v/>
      </c>
      <c r="E24" s="14" t="str">
        <f t="shared" si="43"/>
        <v/>
      </c>
      <c r="F24" s="14" t="str">
        <f t="shared" si="43"/>
        <v/>
      </c>
      <c r="G24" s="14" t="str">
        <f t="shared" si="43"/>
        <v/>
      </c>
      <c r="H24" s="14" t="str">
        <f t="shared" si="43"/>
        <v/>
      </c>
      <c r="I24" s="14" t="str">
        <f t="shared" si="43"/>
        <v/>
      </c>
      <c r="J24" s="14" t="str">
        <f t="shared" si="43"/>
        <v/>
      </c>
      <c r="K24" s="14" t="str">
        <f t="shared" si="43"/>
        <v/>
      </c>
      <c r="L24" s="16" t="str">
        <f>IFERROR(__xludf.DUMMYFUNCTION("""COMPUTED_VALUE"""),"bathroom plumbing repair after hours")</f>
        <v>bathroom plumbing repair after hours</v>
      </c>
      <c r="M24" s="17"/>
      <c r="N24" s="14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14" t="str">
        <f t="shared" si="44"/>
        <v/>
      </c>
      <c r="P24" s="14" t="str">
        <f t="shared" si="44"/>
        <v/>
      </c>
      <c r="Q24" s="14" t="str">
        <f t="shared" si="44"/>
        <v/>
      </c>
      <c r="R24" s="14" t="str">
        <f t="shared" si="44"/>
        <v/>
      </c>
      <c r="S24" s="14" t="str">
        <f t="shared" si="44"/>
        <v/>
      </c>
      <c r="T24" s="14" t="str">
        <f t="shared" si="44"/>
        <v/>
      </c>
      <c r="U24" s="14" t="str">
        <f t="shared" si="44"/>
        <v/>
      </c>
      <c r="V24" s="14" t="str">
        <f t="shared" si="44"/>
        <v/>
      </c>
      <c r="W24" s="14" t="str">
        <f t="shared" si="44"/>
        <v/>
      </c>
      <c r="X24" s="18" t="str">
        <f>IFERROR(__xludf.DUMMYFUNCTION("""COMPUTED_VALUE"""),"call out leaking tap repair")</f>
        <v>call out leaking tap repair</v>
      </c>
      <c r="Y24" s="4"/>
      <c r="Z24" s="4"/>
    </row>
    <row r="25" ht="15.75" customHeight="1">
      <c r="A25" s="13"/>
      <c r="B25" s="14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14" t="str">
        <f t="shared" si="45"/>
        <v/>
      </c>
      <c r="D25" s="14" t="str">
        <f t="shared" si="45"/>
        <v/>
      </c>
      <c r="E25" s="14" t="str">
        <f t="shared" si="45"/>
        <v/>
      </c>
      <c r="F25" s="14" t="str">
        <f t="shared" si="45"/>
        <v/>
      </c>
      <c r="G25" s="14" t="str">
        <f t="shared" si="45"/>
        <v/>
      </c>
      <c r="H25" s="14" t="str">
        <f t="shared" si="45"/>
        <v/>
      </c>
      <c r="I25" s="14" t="str">
        <f t="shared" si="45"/>
        <v/>
      </c>
      <c r="J25" s="14" t="str">
        <f t="shared" si="45"/>
        <v/>
      </c>
      <c r="K25" s="14" t="str">
        <f t="shared" si="45"/>
        <v/>
      </c>
      <c r="L25" s="16" t="str">
        <f>IFERROR(__xludf.DUMMYFUNCTION("""COMPUTED_VALUE"""),"bathroom plumbing repair call out")</f>
        <v>bathroom plumbing repair call out</v>
      </c>
      <c r="M25" s="17"/>
      <c r="N25" s="14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14" t="str">
        <f t="shared" si="46"/>
        <v/>
      </c>
      <c r="P25" s="14" t="str">
        <f t="shared" si="46"/>
        <v/>
      </c>
      <c r="Q25" s="14" t="str">
        <f t="shared" si="46"/>
        <v/>
      </c>
      <c r="R25" s="14" t="str">
        <f t="shared" si="46"/>
        <v/>
      </c>
      <c r="S25" s="14" t="str">
        <f t="shared" si="46"/>
        <v/>
      </c>
      <c r="T25" s="14" t="str">
        <f t="shared" si="46"/>
        <v/>
      </c>
      <c r="U25" s="14" t="str">
        <f t="shared" si="46"/>
        <v/>
      </c>
      <c r="V25" s="14" t="str">
        <f t="shared" si="46"/>
        <v/>
      </c>
      <c r="W25" s="14" t="str">
        <f t="shared" si="46"/>
        <v/>
      </c>
      <c r="X25" s="18" t="str">
        <f>IFERROR(__xludf.DUMMYFUNCTION("""COMPUTED_VALUE"""),"call out toilet repair")</f>
        <v>call out toilet repair</v>
      </c>
      <c r="Y25" s="4"/>
      <c r="Z25" s="4"/>
    </row>
    <row r="26" ht="15.75" customHeight="1">
      <c r="A26" s="13"/>
      <c r="B26" s="14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14" t="str">
        <f t="shared" si="47"/>
        <v/>
      </c>
      <c r="D26" s="14" t="str">
        <f t="shared" si="47"/>
        <v/>
      </c>
      <c r="E26" s="14" t="str">
        <f t="shared" si="47"/>
        <v/>
      </c>
      <c r="F26" s="14" t="str">
        <f t="shared" si="47"/>
        <v/>
      </c>
      <c r="G26" s="14" t="str">
        <f t="shared" si="47"/>
        <v/>
      </c>
      <c r="H26" s="14" t="str">
        <f t="shared" si="47"/>
        <v/>
      </c>
      <c r="I26" s="14" t="str">
        <f t="shared" si="47"/>
        <v/>
      </c>
      <c r="J26" s="14" t="str">
        <f t="shared" si="47"/>
        <v/>
      </c>
      <c r="K26" s="14" t="str">
        <f t="shared" si="47"/>
        <v/>
      </c>
      <c r="L26" s="16" t="str">
        <f>IFERROR(__xludf.DUMMYFUNCTION("""COMPUTED_VALUE"""),"bathroom plumbing repair cape town")</f>
        <v>bathroom plumbing repair cape town</v>
      </c>
      <c r="M26" s="17"/>
      <c r="N26" s="14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14" t="str">
        <f t="shared" si="48"/>
        <v/>
      </c>
      <c r="P26" s="14" t="str">
        <f t="shared" si="48"/>
        <v/>
      </c>
      <c r="Q26" s="14" t="str">
        <f t="shared" si="48"/>
        <v/>
      </c>
      <c r="R26" s="14" t="str">
        <f t="shared" si="48"/>
        <v/>
      </c>
      <c r="S26" s="14" t="str">
        <f t="shared" si="48"/>
        <v/>
      </c>
      <c r="T26" s="14" t="str">
        <f t="shared" si="48"/>
        <v/>
      </c>
      <c r="U26" s="14" t="str">
        <f t="shared" si="48"/>
        <v/>
      </c>
      <c r="V26" s="14" t="str">
        <f t="shared" si="48"/>
        <v/>
      </c>
      <c r="W26" s="14" t="str">
        <f t="shared" si="48"/>
        <v/>
      </c>
      <c r="X26" s="18" t="str">
        <f>IFERROR(__xludf.DUMMYFUNCTION("""COMPUTED_VALUE"""),"call out water leak repair")</f>
        <v>call out water leak repair</v>
      </c>
      <c r="Y26" s="4"/>
      <c r="Z26" s="4"/>
    </row>
    <row r="27" ht="15.75" customHeight="1">
      <c r="A27" s="13"/>
      <c r="B27" s="14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14" t="str">
        <f t="shared" si="49"/>
        <v/>
      </c>
      <c r="D27" s="14" t="str">
        <f t="shared" si="49"/>
        <v/>
      </c>
      <c r="E27" s="14" t="str">
        <f t="shared" si="49"/>
        <v/>
      </c>
      <c r="F27" s="14" t="str">
        <f t="shared" si="49"/>
        <v/>
      </c>
      <c r="G27" s="14" t="str">
        <f t="shared" si="49"/>
        <v/>
      </c>
      <c r="H27" s="14" t="str">
        <f t="shared" si="49"/>
        <v/>
      </c>
      <c r="I27" s="14" t="str">
        <f t="shared" si="49"/>
        <v/>
      </c>
      <c r="J27" s="14" t="str">
        <f t="shared" si="49"/>
        <v/>
      </c>
      <c r="K27" s="14" t="str">
        <f t="shared" si="49"/>
        <v/>
      </c>
      <c r="L27" s="16" t="str">
        <f>IFERROR(__xludf.DUMMYFUNCTION("""COMPUTED_VALUE"""),"bathroom plumbing repair commercial")</f>
        <v>bathroom plumbing repair commercial</v>
      </c>
      <c r="M27" s="17"/>
      <c r="N27" s="14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14" t="str">
        <f t="shared" si="50"/>
        <v/>
      </c>
      <c r="P27" s="14" t="str">
        <f t="shared" si="50"/>
        <v/>
      </c>
      <c r="Q27" s="14" t="str">
        <f t="shared" si="50"/>
        <v/>
      </c>
      <c r="R27" s="14" t="str">
        <f t="shared" si="50"/>
        <v/>
      </c>
      <c r="S27" s="14" t="str">
        <f t="shared" si="50"/>
        <v/>
      </c>
      <c r="T27" s="14" t="str">
        <f t="shared" si="50"/>
        <v/>
      </c>
      <c r="U27" s="14" t="str">
        <f t="shared" si="50"/>
        <v/>
      </c>
      <c r="V27" s="14" t="str">
        <f t="shared" si="50"/>
        <v/>
      </c>
      <c r="W27" s="14" t="str">
        <f t="shared" si="50"/>
        <v/>
      </c>
      <c r="X27" s="18" t="str">
        <f>IFERROR(__xludf.DUMMYFUNCTION("""COMPUTED_VALUE"""),"cape town 24 hour plumber")</f>
        <v>cape town 24 hour plumber</v>
      </c>
      <c r="Y27" s="4"/>
      <c r="Z27" s="4"/>
    </row>
    <row r="28" ht="15.75" customHeight="1">
      <c r="A28" s="13"/>
      <c r="B28" s="14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14" t="str">
        <f t="shared" si="51"/>
        <v/>
      </c>
      <c r="D28" s="14" t="str">
        <f t="shared" si="51"/>
        <v/>
      </c>
      <c r="E28" s="14" t="str">
        <f t="shared" si="51"/>
        <v/>
      </c>
      <c r="F28" s="14" t="str">
        <f t="shared" si="51"/>
        <v/>
      </c>
      <c r="G28" s="14" t="str">
        <f t="shared" si="51"/>
        <v/>
      </c>
      <c r="H28" s="14" t="str">
        <f t="shared" si="51"/>
        <v/>
      </c>
      <c r="I28" s="14" t="str">
        <f t="shared" si="51"/>
        <v/>
      </c>
      <c r="J28" s="14" t="str">
        <f t="shared" si="51"/>
        <v/>
      </c>
      <c r="K28" s="14" t="str">
        <f t="shared" si="51"/>
        <v/>
      </c>
      <c r="L28" s="16" t="str">
        <f>IFERROR(__xludf.DUMMYFUNCTION("""COMPUTED_VALUE"""),"bathroom plumbing repair company")</f>
        <v>bathroom plumbing repair company</v>
      </c>
      <c r="M28" s="17"/>
      <c r="N28" s="14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14" t="str">
        <f t="shared" si="52"/>
        <v/>
      </c>
      <c r="P28" s="14" t="str">
        <f t="shared" si="52"/>
        <v/>
      </c>
      <c r="Q28" s="14" t="str">
        <f t="shared" si="52"/>
        <v/>
      </c>
      <c r="R28" s="14" t="str">
        <f t="shared" si="52"/>
        <v/>
      </c>
      <c r="S28" s="14" t="str">
        <f t="shared" si="52"/>
        <v/>
      </c>
      <c r="T28" s="14" t="str">
        <f t="shared" si="52"/>
        <v/>
      </c>
      <c r="U28" s="14" t="str">
        <f t="shared" si="52"/>
        <v/>
      </c>
      <c r="V28" s="14" t="str">
        <f t="shared" si="52"/>
        <v/>
      </c>
      <c r="W28" s="14" t="str">
        <f t="shared" si="52"/>
        <v/>
      </c>
      <c r="X28" s="18" t="str">
        <f>IFERROR(__xludf.DUMMYFUNCTION("""COMPUTED_VALUE"""),"cape town bathroom plumbing repair")</f>
        <v>cape town bathroom plumbing repair</v>
      </c>
      <c r="Y28" s="4"/>
      <c r="Z28" s="4"/>
    </row>
    <row r="29" ht="15.75" customHeight="1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6" t="str">
        <f>IFERROR(__xludf.DUMMYFUNCTION("""COMPUTED_VALUE"""),"bathroom plumbing repair cost")</f>
        <v>bathroom plumbing repair cost</v>
      </c>
      <c r="M29" s="17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8" t="str">
        <f>IFERROR(__xludf.DUMMYFUNCTION("""COMPUTED_VALUE"""),"cape town blocked toilet plumber")</f>
        <v>cape town blocked toilet plumber</v>
      </c>
      <c r="Y29" s="4"/>
      <c r="Z29" s="4"/>
    </row>
    <row r="30" ht="15.75" customHeight="1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6" t="str">
        <f>IFERROR(__xludf.DUMMYFUNCTION("""COMPUTED_VALUE"""),"bathroom plumbing repair emergency")</f>
        <v>bathroom plumbing repair emergency</v>
      </c>
      <c r="M30" s="17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8" t="str">
        <f>IFERROR(__xludf.DUMMYFUNCTION("""COMPUTED_VALUE"""),"cape town burst pipe repair")</f>
        <v>cape town burst pipe repair</v>
      </c>
      <c r="Y30" s="4"/>
      <c r="Z30" s="4"/>
    </row>
    <row r="31" ht="15.75" customHeight="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6" t="str">
        <f>IFERROR(__xludf.DUMMYFUNCTION("""COMPUTED_VALUE"""),"bathroom plumbing repair fast")</f>
        <v>bathroom plumbing repair fast</v>
      </c>
      <c r="M31" s="17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8" t="str">
        <f>IFERROR(__xludf.DUMMYFUNCTION("""COMPUTED_VALUE"""),"cape town emergency plumber")</f>
        <v>cape town emergency plumber</v>
      </c>
      <c r="Y31" s="4"/>
      <c r="Z31" s="4"/>
    </row>
    <row r="32" ht="15.75" customHeight="1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6" t="str">
        <f>IFERROR(__xludf.DUMMYFUNCTION("""COMPUTED_VALUE"""),"bathroom plumbing repair local")</f>
        <v>bathroom plumbing repair local</v>
      </c>
      <c r="M32" s="17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8" t="str">
        <f>IFERROR(__xludf.DUMMYFUNCTION("""COMPUTED_VALUE"""),"cape town kitchen plumbing repair")</f>
        <v>cape town kitchen plumbing repair</v>
      </c>
      <c r="Y32" s="4"/>
      <c r="Z32" s="4"/>
    </row>
    <row r="33" ht="15.75" customHeight="1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6" t="str">
        <f>IFERROR(__xludf.DUMMYFUNCTION("""COMPUTED_VALUE"""),"bathroom plumbing repair near me")</f>
        <v>bathroom plumbing repair near me</v>
      </c>
      <c r="M33" s="17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8" t="str">
        <f>IFERROR(__xludf.DUMMYFUNCTION("""COMPUTED_VALUE"""),"cape town leaking pipe repair")</f>
        <v>cape town leaking pipe repair</v>
      </c>
      <c r="Y33" s="4"/>
      <c r="Z33" s="4"/>
    </row>
    <row r="34" ht="15.75" customHeight="1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6" t="str">
        <f>IFERROR(__xludf.DUMMYFUNCTION("""COMPUTED_VALUE"""),"bathroom plumbing repair plumber")</f>
        <v>bathroom plumbing repair plumber</v>
      </c>
      <c r="M34" s="17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8" t="str">
        <f>IFERROR(__xludf.DUMMYFUNCTION("""COMPUTED_VALUE"""),"cape town leaking tap repair")</f>
        <v>cape town leaking tap repair</v>
      </c>
      <c r="Y34" s="4"/>
      <c r="Z34" s="4"/>
    </row>
    <row r="35" ht="15.75" customHeight="1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6" t="str">
        <f>IFERROR(__xludf.DUMMYFUNCTION("""COMPUTED_VALUE"""),"bathroom plumbing repair professional")</f>
        <v>bathroom plumbing repair professional</v>
      </c>
      <c r="M35" s="17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8" t="str">
        <f>IFERROR(__xludf.DUMMYFUNCTION("""COMPUTED_VALUE"""),"cape town toilet repair")</f>
        <v>cape town toilet repair</v>
      </c>
      <c r="Y35" s="4"/>
      <c r="Z35" s="4"/>
    </row>
    <row r="36" ht="15.75" customHeight="1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6" t="str">
        <f>IFERROR(__xludf.DUMMYFUNCTION("""COMPUTED_VALUE"""),"bathroom plumbing repair quote")</f>
        <v>bathroom plumbing repair quote</v>
      </c>
      <c r="M36" s="17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8" t="str">
        <f>IFERROR(__xludf.DUMMYFUNCTION("""COMPUTED_VALUE"""),"cape town water leak repair")</f>
        <v>cape town water leak repair</v>
      </c>
      <c r="Y36" s="4"/>
      <c r="Z36" s="4"/>
    </row>
    <row r="37" ht="15.75" customHeight="1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6" t="str">
        <f>IFERROR(__xludf.DUMMYFUNCTION("""COMPUTED_VALUE"""),"bathroom plumbing repair reliable")</f>
        <v>bathroom plumbing repair reliable</v>
      </c>
      <c r="M37" s="17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8" t="str">
        <f>IFERROR(__xludf.DUMMYFUNCTION("""COMPUTED_VALUE"""),"commercial 24 hour plumber")</f>
        <v>commercial 24 hour plumber</v>
      </c>
      <c r="Y37" s="4"/>
      <c r="Z37" s="4"/>
    </row>
    <row r="38" ht="15.75" customHeight="1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6" t="str">
        <f>IFERROR(__xludf.DUMMYFUNCTION("""COMPUTED_VALUE"""),"bathroom plumbing repair residential")</f>
        <v>bathroom plumbing repair residential</v>
      </c>
      <c r="M38" s="17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8" t="str">
        <f>IFERROR(__xludf.DUMMYFUNCTION("""COMPUTED_VALUE"""),"commercial bathroom plumbing repair")</f>
        <v>commercial bathroom plumbing repair</v>
      </c>
      <c r="Y38" s="4"/>
      <c r="Z38" s="4"/>
    </row>
    <row r="39" ht="15.75" customHeight="1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6" t="str">
        <f>IFERROR(__xludf.DUMMYFUNCTION("""COMPUTED_VALUE"""),"bathroom plumbing repair same day")</f>
        <v>bathroom plumbing repair same day</v>
      </c>
      <c r="M39" s="17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8" t="str">
        <f>IFERROR(__xludf.DUMMYFUNCTION("""COMPUTED_VALUE"""),"commercial blocked toilet plumber")</f>
        <v>commercial blocked toilet plumber</v>
      </c>
      <c r="Y39" s="4"/>
      <c r="Z39" s="4"/>
    </row>
    <row r="40" ht="15.75" customHeight="1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6" t="str">
        <f>IFERROR(__xludf.DUMMYFUNCTION("""COMPUTED_VALUE"""),"bathroom plumbing repair service")</f>
        <v>bathroom plumbing repair service</v>
      </c>
      <c r="M40" s="17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8" t="str">
        <f>IFERROR(__xludf.DUMMYFUNCTION("""COMPUTED_VALUE"""),"commercial burst pipe repair")</f>
        <v>commercial burst pipe repair</v>
      </c>
      <c r="Y40" s="4"/>
      <c r="Z40" s="4"/>
    </row>
    <row r="41" ht="15.75" customHeight="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6" t="str">
        <f>IFERROR(__xludf.DUMMYFUNCTION("""COMPUTED_VALUE"""),"bathroom plumbing repair urgent")</f>
        <v>bathroom plumbing repair urgent</v>
      </c>
      <c r="M41" s="17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8" t="str">
        <f>IFERROR(__xludf.DUMMYFUNCTION("""COMPUTED_VALUE"""),"commercial emergency plumber")</f>
        <v>commercial emergency plumber</v>
      </c>
      <c r="Y41" s="4"/>
      <c r="Z41" s="4"/>
    </row>
    <row r="42" ht="15.75" customHeight="1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6" t="str">
        <f>IFERROR(__xludf.DUMMYFUNCTION("""COMPUTED_VALUE"""),"bathroom plumbing repair weekend")</f>
        <v>bathroom plumbing repair weekend</v>
      </c>
      <c r="M42" s="17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8" t="str">
        <f>IFERROR(__xludf.DUMMYFUNCTION("""COMPUTED_VALUE"""),"commercial kitchen plumbing repair")</f>
        <v>commercial kitchen plumbing repair</v>
      </c>
      <c r="Y42" s="4"/>
      <c r="Z42" s="4"/>
    </row>
    <row r="43" ht="15.75" customHeight="1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6" t="str">
        <f>IFERROR(__xludf.DUMMYFUNCTION("""COMPUTED_VALUE"""),"blocked toilet plumber")</f>
        <v>blocked toilet plumber</v>
      </c>
      <c r="M43" s="17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8" t="str">
        <f>IFERROR(__xludf.DUMMYFUNCTION("""COMPUTED_VALUE"""),"commercial leaking pipe repair")</f>
        <v>commercial leaking pipe repair</v>
      </c>
      <c r="Y43" s="4"/>
      <c r="Z43" s="4"/>
    </row>
    <row r="44" ht="15.75" customHeight="1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6" t="str">
        <f>IFERROR(__xludf.DUMMYFUNCTION("""COMPUTED_VALUE"""),"blocked toilet plumber after hours")</f>
        <v>blocked toilet plumber after hours</v>
      </c>
      <c r="M44" s="17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8" t="str">
        <f>IFERROR(__xludf.DUMMYFUNCTION("""COMPUTED_VALUE"""),"commercial leaking tap repair")</f>
        <v>commercial leaking tap repair</v>
      </c>
      <c r="Y44" s="4"/>
      <c r="Z44" s="4"/>
    </row>
    <row r="45" ht="15.75" customHeight="1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6" t="str">
        <f>IFERROR(__xludf.DUMMYFUNCTION("""COMPUTED_VALUE"""),"blocked toilet plumber call out")</f>
        <v>blocked toilet plumber call out</v>
      </c>
      <c r="M45" s="17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8" t="str">
        <f>IFERROR(__xludf.DUMMYFUNCTION("""COMPUTED_VALUE"""),"commercial toilet repair")</f>
        <v>commercial toilet repair</v>
      </c>
      <c r="Y45" s="4"/>
      <c r="Z45" s="4"/>
    </row>
    <row r="46" ht="15.75" customHeight="1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6" t="str">
        <f>IFERROR(__xludf.DUMMYFUNCTION("""COMPUTED_VALUE"""),"blocked toilet plumber cape town")</f>
        <v>blocked toilet plumber cape town</v>
      </c>
      <c r="M46" s="17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8" t="str">
        <f>IFERROR(__xludf.DUMMYFUNCTION("""COMPUTED_VALUE"""),"commercial water leak repair")</f>
        <v>commercial water leak repair</v>
      </c>
      <c r="Y46" s="4"/>
      <c r="Z46" s="4"/>
    </row>
    <row r="47" ht="15.75" customHeight="1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6" t="str">
        <f>IFERROR(__xludf.DUMMYFUNCTION("""COMPUTED_VALUE"""),"blocked toilet plumber commercial")</f>
        <v>blocked toilet plumber commercial</v>
      </c>
      <c r="M47" s="17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8" t="str">
        <f>IFERROR(__xludf.DUMMYFUNCTION("""COMPUTED_VALUE"""),"company 24 hour plumber")</f>
        <v>company 24 hour plumber</v>
      </c>
      <c r="Y47" s="4"/>
      <c r="Z47" s="4"/>
    </row>
    <row r="48" ht="15.75" customHeight="1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6" t="str">
        <f>IFERROR(__xludf.DUMMYFUNCTION("""COMPUTED_VALUE"""),"blocked toilet plumber company")</f>
        <v>blocked toilet plumber company</v>
      </c>
      <c r="M48" s="17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8" t="str">
        <f>IFERROR(__xludf.DUMMYFUNCTION("""COMPUTED_VALUE"""),"company bathroom plumbing repair")</f>
        <v>company bathroom plumbing repair</v>
      </c>
      <c r="Y48" s="4"/>
      <c r="Z48" s="4"/>
    </row>
    <row r="49" ht="15.75" customHeight="1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6" t="str">
        <f>IFERROR(__xludf.DUMMYFUNCTION("""COMPUTED_VALUE"""),"blocked toilet plumber cost")</f>
        <v>blocked toilet plumber cost</v>
      </c>
      <c r="M49" s="17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8" t="str">
        <f>IFERROR(__xludf.DUMMYFUNCTION("""COMPUTED_VALUE"""),"company blocked toilet plumber")</f>
        <v>company blocked toilet plumber</v>
      </c>
      <c r="Y49" s="4"/>
      <c r="Z49" s="4"/>
    </row>
    <row r="50" ht="15.75" customHeight="1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6" t="str">
        <f>IFERROR(__xludf.DUMMYFUNCTION("""COMPUTED_VALUE"""),"blocked toilet plumber emergency")</f>
        <v>blocked toilet plumber emergency</v>
      </c>
      <c r="M50" s="17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8" t="str">
        <f>IFERROR(__xludf.DUMMYFUNCTION("""COMPUTED_VALUE"""),"company burst pipe repair")</f>
        <v>company burst pipe repair</v>
      </c>
      <c r="Y50" s="4"/>
      <c r="Z50" s="4"/>
    </row>
    <row r="51" ht="15.75" customHeight="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6" t="str">
        <f>IFERROR(__xludf.DUMMYFUNCTION("""COMPUTED_VALUE"""),"blocked toilet plumber fast")</f>
        <v>blocked toilet plumber fast</v>
      </c>
      <c r="M51" s="17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8" t="str">
        <f>IFERROR(__xludf.DUMMYFUNCTION("""COMPUTED_VALUE"""),"company emergency plumber")</f>
        <v>company emergency plumber</v>
      </c>
      <c r="Y51" s="4"/>
      <c r="Z51" s="4"/>
    </row>
    <row r="52" ht="15.75" customHeight="1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6" t="str">
        <f>IFERROR(__xludf.DUMMYFUNCTION("""COMPUTED_VALUE"""),"blocked toilet plumber local")</f>
        <v>blocked toilet plumber local</v>
      </c>
      <c r="M52" s="17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8" t="str">
        <f>IFERROR(__xludf.DUMMYFUNCTION("""COMPUTED_VALUE"""),"company kitchen plumbing repair")</f>
        <v>company kitchen plumbing repair</v>
      </c>
      <c r="Y52" s="4"/>
      <c r="Z52" s="4"/>
    </row>
    <row r="53" ht="15.75" customHeight="1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6" t="str">
        <f>IFERROR(__xludf.DUMMYFUNCTION("""COMPUTED_VALUE"""),"blocked toilet plumber near me")</f>
        <v>blocked toilet plumber near me</v>
      </c>
      <c r="M53" s="17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8" t="str">
        <f>IFERROR(__xludf.DUMMYFUNCTION("""COMPUTED_VALUE"""),"company leaking pipe repair")</f>
        <v>company leaking pipe repair</v>
      </c>
      <c r="Y53" s="4"/>
      <c r="Z53" s="4"/>
    </row>
    <row r="54" ht="15.75" customHeight="1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6" t="str">
        <f>IFERROR(__xludf.DUMMYFUNCTION("""COMPUTED_VALUE"""),"blocked toilet plumber professional")</f>
        <v>blocked toilet plumber professional</v>
      </c>
      <c r="M54" s="17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8" t="str">
        <f>IFERROR(__xludf.DUMMYFUNCTION("""COMPUTED_VALUE"""),"company leaking tap repair")</f>
        <v>company leaking tap repair</v>
      </c>
      <c r="Y54" s="4"/>
      <c r="Z54" s="4"/>
    </row>
    <row r="55" ht="15.75" customHeight="1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6" t="str">
        <f>IFERROR(__xludf.DUMMYFUNCTION("""COMPUTED_VALUE"""),"blocked toilet plumber quote")</f>
        <v>blocked toilet plumber quote</v>
      </c>
      <c r="M55" s="17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8" t="str">
        <f>IFERROR(__xludf.DUMMYFUNCTION("""COMPUTED_VALUE"""),"company toilet repair")</f>
        <v>company toilet repair</v>
      </c>
      <c r="Y55" s="4"/>
      <c r="Z55" s="4"/>
    </row>
    <row r="56" ht="15.75" customHeight="1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6" t="str">
        <f>IFERROR(__xludf.DUMMYFUNCTION("""COMPUTED_VALUE"""),"blocked toilet plumber reliable")</f>
        <v>blocked toilet plumber reliable</v>
      </c>
      <c r="M56" s="17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8" t="str">
        <f>IFERROR(__xludf.DUMMYFUNCTION("""COMPUTED_VALUE"""),"company water leak repair")</f>
        <v>company water leak repair</v>
      </c>
      <c r="Y56" s="4"/>
      <c r="Z56" s="4"/>
    </row>
    <row r="57" ht="15.75" customHeight="1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6" t="str">
        <f>IFERROR(__xludf.DUMMYFUNCTION("""COMPUTED_VALUE"""),"blocked toilet plumber repair")</f>
        <v>blocked toilet plumber repair</v>
      </c>
      <c r="M57" s="17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8" t="str">
        <f>IFERROR(__xludf.DUMMYFUNCTION("""COMPUTED_VALUE"""),"cost 24 hour plumber")</f>
        <v>cost 24 hour plumber</v>
      </c>
      <c r="Y57" s="4"/>
      <c r="Z57" s="4"/>
    </row>
    <row r="58" ht="15.75" customHeight="1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6" t="str">
        <f>IFERROR(__xludf.DUMMYFUNCTION("""COMPUTED_VALUE"""),"blocked toilet plumber residential")</f>
        <v>blocked toilet plumber residential</v>
      </c>
      <c r="M58" s="17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8" t="str">
        <f>IFERROR(__xludf.DUMMYFUNCTION("""COMPUTED_VALUE"""),"cost bathroom plumbing repair")</f>
        <v>cost bathroom plumbing repair</v>
      </c>
      <c r="Y58" s="4"/>
      <c r="Z58" s="4"/>
    </row>
    <row r="59" ht="15.75" customHeight="1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6" t="str">
        <f>IFERROR(__xludf.DUMMYFUNCTION("""COMPUTED_VALUE"""),"blocked toilet plumber same day")</f>
        <v>blocked toilet plumber same day</v>
      </c>
      <c r="M59" s="17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8" t="str">
        <f>IFERROR(__xludf.DUMMYFUNCTION("""COMPUTED_VALUE"""),"cost blocked toilet plumber")</f>
        <v>cost blocked toilet plumber</v>
      </c>
      <c r="Y59" s="4"/>
      <c r="Z59" s="4"/>
    </row>
    <row r="60" ht="15.75" customHeight="1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6" t="str">
        <f>IFERROR(__xludf.DUMMYFUNCTION("""COMPUTED_VALUE"""),"blocked toilet plumber service")</f>
        <v>blocked toilet plumber service</v>
      </c>
      <c r="M60" s="17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8" t="str">
        <f>IFERROR(__xludf.DUMMYFUNCTION("""COMPUTED_VALUE"""),"cost burst pipe repair")</f>
        <v>cost burst pipe repair</v>
      </c>
      <c r="Y60" s="4"/>
      <c r="Z60" s="4"/>
    </row>
    <row r="61" ht="15.75" customHeight="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6" t="str">
        <f>IFERROR(__xludf.DUMMYFUNCTION("""COMPUTED_VALUE"""),"blocked toilet plumber urgent")</f>
        <v>blocked toilet plumber urgent</v>
      </c>
      <c r="M61" s="17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8" t="str">
        <f>IFERROR(__xludf.DUMMYFUNCTION("""COMPUTED_VALUE"""),"cost emergency plumber")</f>
        <v>cost emergency plumber</v>
      </c>
      <c r="Y61" s="4"/>
      <c r="Z61" s="4"/>
    </row>
    <row r="62" ht="15.75" customHeight="1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6" t="str">
        <f>IFERROR(__xludf.DUMMYFUNCTION("""COMPUTED_VALUE"""),"blocked toilet plumber weekend")</f>
        <v>blocked toilet plumber weekend</v>
      </c>
      <c r="M62" s="17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8" t="str">
        <f>IFERROR(__xludf.DUMMYFUNCTION("""COMPUTED_VALUE"""),"cost kitchen plumbing repair")</f>
        <v>cost kitchen plumbing repair</v>
      </c>
      <c r="Y62" s="4"/>
      <c r="Z62" s="4"/>
    </row>
    <row r="63" ht="15.75" customHeight="1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6" t="str">
        <f>IFERROR(__xludf.DUMMYFUNCTION("""COMPUTED_VALUE"""),"burst pipe repair")</f>
        <v>burst pipe repair</v>
      </c>
      <c r="M63" s="17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8" t="str">
        <f>IFERROR(__xludf.DUMMYFUNCTION("""COMPUTED_VALUE"""),"cost leaking pipe repair")</f>
        <v>cost leaking pipe repair</v>
      </c>
      <c r="Y63" s="4"/>
      <c r="Z63" s="4"/>
    </row>
    <row r="64" ht="15.75" customHeight="1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6" t="str">
        <f>IFERROR(__xludf.DUMMYFUNCTION("""COMPUTED_VALUE"""),"burst pipe repair after hours")</f>
        <v>burst pipe repair after hours</v>
      </c>
      <c r="M64" s="17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8" t="str">
        <f>IFERROR(__xludf.DUMMYFUNCTION("""COMPUTED_VALUE"""),"cost leaking tap repair")</f>
        <v>cost leaking tap repair</v>
      </c>
      <c r="Y64" s="4"/>
      <c r="Z64" s="4"/>
    </row>
    <row r="65" ht="15.75" customHeight="1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6" t="str">
        <f>IFERROR(__xludf.DUMMYFUNCTION("""COMPUTED_VALUE"""),"burst pipe repair call out")</f>
        <v>burst pipe repair call out</v>
      </c>
      <c r="M65" s="17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8" t="str">
        <f>IFERROR(__xludf.DUMMYFUNCTION("""COMPUTED_VALUE"""),"cost toilet repair")</f>
        <v>cost toilet repair</v>
      </c>
      <c r="Y65" s="4"/>
      <c r="Z65" s="4"/>
    </row>
    <row r="66" ht="15.75" customHeight="1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6" t="str">
        <f>IFERROR(__xludf.DUMMYFUNCTION("""COMPUTED_VALUE"""),"burst pipe repair cape town")</f>
        <v>burst pipe repair cape town</v>
      </c>
      <c r="M66" s="17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8" t="str">
        <f>IFERROR(__xludf.DUMMYFUNCTION("""COMPUTED_VALUE"""),"cost water leak repair")</f>
        <v>cost water leak repair</v>
      </c>
      <c r="Y66" s="4"/>
      <c r="Z66" s="4"/>
    </row>
    <row r="67" ht="15.75" customHeight="1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6" t="str">
        <f>IFERROR(__xludf.DUMMYFUNCTION("""COMPUTED_VALUE"""),"burst pipe repair commercial")</f>
        <v>burst pipe repair commercial</v>
      </c>
      <c r="M67" s="17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8" t="str">
        <f>IFERROR(__xludf.DUMMYFUNCTION("""COMPUTED_VALUE"""),"emergency 24 hour plumber")</f>
        <v>emergency 24 hour plumber</v>
      </c>
      <c r="Y67" s="4"/>
      <c r="Z67" s="4"/>
    </row>
    <row r="68" ht="15.75" customHeight="1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6" t="str">
        <f>IFERROR(__xludf.DUMMYFUNCTION("""COMPUTED_VALUE"""),"burst pipe repair company")</f>
        <v>burst pipe repair company</v>
      </c>
      <c r="M68" s="17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8" t="str">
        <f>IFERROR(__xludf.DUMMYFUNCTION("""COMPUTED_VALUE"""),"emergency bathroom plumbing repair")</f>
        <v>emergency bathroom plumbing repair</v>
      </c>
      <c r="Y68" s="4"/>
      <c r="Z68" s="4"/>
    </row>
    <row r="69" ht="15.75" customHeight="1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6" t="str">
        <f>IFERROR(__xludf.DUMMYFUNCTION("""COMPUTED_VALUE"""),"burst pipe repair cost")</f>
        <v>burst pipe repair cost</v>
      </c>
      <c r="M69" s="17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8" t="str">
        <f>IFERROR(__xludf.DUMMYFUNCTION("""COMPUTED_VALUE"""),"emergency blocked toilet plumber")</f>
        <v>emergency blocked toilet plumber</v>
      </c>
      <c r="Y69" s="4"/>
      <c r="Z69" s="4"/>
    </row>
    <row r="70" ht="15.75" customHeight="1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6" t="str">
        <f>IFERROR(__xludf.DUMMYFUNCTION("""COMPUTED_VALUE"""),"burst pipe repair emergency")</f>
        <v>burst pipe repair emergency</v>
      </c>
      <c r="M70" s="17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8" t="str">
        <f>IFERROR(__xludf.DUMMYFUNCTION("""COMPUTED_VALUE"""),"emergency burst pipe repair")</f>
        <v>emergency burst pipe repair</v>
      </c>
      <c r="Y70" s="4"/>
      <c r="Z70" s="4"/>
    </row>
    <row r="71" ht="15.75" customHeight="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6" t="str">
        <f>IFERROR(__xludf.DUMMYFUNCTION("""COMPUTED_VALUE"""),"burst pipe repair fast")</f>
        <v>burst pipe repair fast</v>
      </c>
      <c r="M71" s="17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8" t="str">
        <f>IFERROR(__xludf.DUMMYFUNCTION("""COMPUTED_VALUE"""),"emergency kitchen plumbing repair")</f>
        <v>emergency kitchen plumbing repair</v>
      </c>
      <c r="Y71" s="4"/>
      <c r="Z71" s="4"/>
    </row>
    <row r="72" ht="15.75" customHeight="1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6" t="str">
        <f>IFERROR(__xludf.DUMMYFUNCTION("""COMPUTED_VALUE"""),"burst pipe repair local")</f>
        <v>burst pipe repair local</v>
      </c>
      <c r="M72" s="17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8" t="str">
        <f>IFERROR(__xludf.DUMMYFUNCTION("""COMPUTED_VALUE"""),"emergency leaking pipe repair")</f>
        <v>emergency leaking pipe repair</v>
      </c>
      <c r="Y72" s="4"/>
      <c r="Z72" s="4"/>
    </row>
    <row r="73" ht="15.75" customHeight="1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6" t="str">
        <f>IFERROR(__xludf.DUMMYFUNCTION("""COMPUTED_VALUE"""),"burst pipe repair near me")</f>
        <v>burst pipe repair near me</v>
      </c>
      <c r="M73" s="17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8" t="str">
        <f>IFERROR(__xludf.DUMMYFUNCTION("""COMPUTED_VALUE"""),"emergency leaking tap repair")</f>
        <v>emergency leaking tap repair</v>
      </c>
      <c r="Y73" s="4"/>
      <c r="Z73" s="4"/>
    </row>
    <row r="74" ht="15.75" customHeight="1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6" t="str">
        <f>IFERROR(__xludf.DUMMYFUNCTION("""COMPUTED_VALUE"""),"burst pipe repair plumber")</f>
        <v>burst pipe repair plumber</v>
      </c>
      <c r="M74" s="17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8" t="str">
        <f>IFERROR(__xludf.DUMMYFUNCTION("""COMPUTED_VALUE"""),"emergency plumber")</f>
        <v>emergency plumber</v>
      </c>
      <c r="Y74" s="4"/>
      <c r="Z74" s="4"/>
    </row>
    <row r="75" ht="15.75" customHeight="1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6" t="str">
        <f>IFERROR(__xludf.DUMMYFUNCTION("""COMPUTED_VALUE"""),"burst pipe repair professional")</f>
        <v>burst pipe repair professional</v>
      </c>
      <c r="M75" s="17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8" t="str">
        <f>IFERROR(__xludf.DUMMYFUNCTION("""COMPUTED_VALUE"""),"emergency toilet repair")</f>
        <v>emergency toilet repair</v>
      </c>
      <c r="Y75" s="4"/>
      <c r="Z75" s="4"/>
    </row>
    <row r="76" ht="15.75" customHeight="1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6" t="str">
        <f>IFERROR(__xludf.DUMMYFUNCTION("""COMPUTED_VALUE"""),"burst pipe repair quote")</f>
        <v>burst pipe repair quote</v>
      </c>
      <c r="M76" s="17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8" t="str">
        <f>IFERROR(__xludf.DUMMYFUNCTION("""COMPUTED_VALUE"""),"emergency water leak repair")</f>
        <v>emergency water leak repair</v>
      </c>
      <c r="Y76" s="4"/>
      <c r="Z76" s="4"/>
    </row>
    <row r="77" ht="15.75" customHeight="1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6" t="str">
        <f>IFERROR(__xludf.DUMMYFUNCTION("""COMPUTED_VALUE"""),"burst pipe repair reliable")</f>
        <v>burst pipe repair reliable</v>
      </c>
      <c r="M77" s="17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8" t="str">
        <f>IFERROR(__xludf.DUMMYFUNCTION("""COMPUTED_VALUE"""),"fast 24 hour plumber")</f>
        <v>fast 24 hour plumber</v>
      </c>
      <c r="Y77" s="4"/>
      <c r="Z77" s="4"/>
    </row>
    <row r="78" ht="15.75" customHeight="1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6" t="str">
        <f>IFERROR(__xludf.DUMMYFUNCTION("""COMPUTED_VALUE"""),"burst pipe repair residential")</f>
        <v>burst pipe repair residential</v>
      </c>
      <c r="M78" s="17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8" t="str">
        <f>IFERROR(__xludf.DUMMYFUNCTION("""COMPUTED_VALUE"""),"fast bathroom plumbing repair")</f>
        <v>fast bathroom plumbing repair</v>
      </c>
      <c r="Y78" s="4"/>
      <c r="Z78" s="4"/>
    </row>
    <row r="79" ht="15.75" customHeight="1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6" t="str">
        <f>IFERROR(__xludf.DUMMYFUNCTION("""COMPUTED_VALUE"""),"burst pipe repair same day")</f>
        <v>burst pipe repair same day</v>
      </c>
      <c r="M79" s="17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8" t="str">
        <f>IFERROR(__xludf.DUMMYFUNCTION("""COMPUTED_VALUE"""),"fast blocked toilet plumber")</f>
        <v>fast blocked toilet plumber</v>
      </c>
      <c r="Y79" s="4"/>
      <c r="Z79" s="4"/>
    </row>
    <row r="80" ht="15.75" customHeight="1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6" t="str">
        <f>IFERROR(__xludf.DUMMYFUNCTION("""COMPUTED_VALUE"""),"burst pipe repair service")</f>
        <v>burst pipe repair service</v>
      </c>
      <c r="M80" s="17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8" t="str">
        <f>IFERROR(__xludf.DUMMYFUNCTION("""COMPUTED_VALUE"""),"fast burst pipe repair")</f>
        <v>fast burst pipe repair</v>
      </c>
      <c r="Y80" s="4"/>
      <c r="Z80" s="4"/>
    </row>
    <row r="81" ht="15.75" customHeight="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6" t="str">
        <f>IFERROR(__xludf.DUMMYFUNCTION("""COMPUTED_VALUE"""),"burst pipe repair urgent")</f>
        <v>burst pipe repair urgent</v>
      </c>
      <c r="M81" s="17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8" t="str">
        <f>IFERROR(__xludf.DUMMYFUNCTION("""COMPUTED_VALUE"""),"fast emergency plumber")</f>
        <v>fast emergency plumber</v>
      </c>
      <c r="Y81" s="4"/>
      <c r="Z81" s="4"/>
    </row>
    <row r="82" ht="15.75" customHeight="1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6" t="str">
        <f>IFERROR(__xludf.DUMMYFUNCTION("""COMPUTED_VALUE"""),"burst pipe repair weekend")</f>
        <v>burst pipe repair weekend</v>
      </c>
      <c r="M82" s="17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8" t="str">
        <f>IFERROR(__xludf.DUMMYFUNCTION("""COMPUTED_VALUE"""),"fast kitchen plumbing repair")</f>
        <v>fast kitchen plumbing repair</v>
      </c>
      <c r="Y82" s="4"/>
      <c r="Z82" s="4"/>
    </row>
    <row r="83" ht="15.7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6" t="str">
        <f>IFERROR(__xludf.DUMMYFUNCTION("""COMPUTED_VALUE"""),"emergency plumber")</f>
        <v>emergency plumber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8" t="str">
        <f>IFERROR(__xludf.DUMMYFUNCTION("""COMPUTED_VALUE"""),"fast leaking pipe repair")</f>
        <v>fast leaking pipe repair</v>
      </c>
      <c r="Y83" s="4"/>
      <c r="Z83" s="4"/>
    </row>
    <row r="84" ht="15.7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 t="str">
        <f>IFERROR(__xludf.DUMMYFUNCTION("""COMPUTED_VALUE"""),"emergency plumber after hours")</f>
        <v>emergency plumber after hours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8" t="str">
        <f>IFERROR(__xludf.DUMMYFUNCTION("""COMPUTED_VALUE"""),"fast leaking tap repair")</f>
        <v>fast leaking tap repair</v>
      </c>
      <c r="Y84" s="4"/>
      <c r="Z84" s="4"/>
    </row>
    <row r="85" ht="15.7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6" t="str">
        <f>IFERROR(__xludf.DUMMYFUNCTION("""COMPUTED_VALUE"""),"emergency plumber call out")</f>
        <v>emergency plumber call out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8" t="str">
        <f>IFERROR(__xludf.DUMMYFUNCTION("""COMPUTED_VALUE"""),"fast toilet repair")</f>
        <v>fast toilet repair</v>
      </c>
      <c r="Y85" s="4"/>
      <c r="Z85" s="4"/>
    </row>
    <row r="86" ht="15.7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 t="str">
        <f>IFERROR(__xludf.DUMMYFUNCTION("""COMPUTED_VALUE"""),"emergency plumber cape town")</f>
        <v>emergency plumber cape town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8" t="str">
        <f>IFERROR(__xludf.DUMMYFUNCTION("""COMPUTED_VALUE"""),"fast water leak repair")</f>
        <v>fast water leak repair</v>
      </c>
      <c r="Y86" s="4"/>
      <c r="Z86" s="4"/>
    </row>
    <row r="87" ht="15.7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 t="str">
        <f>IFERROR(__xludf.DUMMYFUNCTION("""COMPUTED_VALUE"""),"emergency plumber commercial")</f>
        <v>emergency plumber commercial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8" t="str">
        <f>IFERROR(__xludf.DUMMYFUNCTION("""COMPUTED_VALUE"""),"kitchen plumbing repair")</f>
        <v>kitchen plumbing repair</v>
      </c>
      <c r="Y87" s="4"/>
      <c r="Z87" s="4"/>
    </row>
    <row r="88" ht="15.7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 t="str">
        <f>IFERROR(__xludf.DUMMYFUNCTION("""COMPUTED_VALUE"""),"emergency plumber company")</f>
        <v>emergency plumber company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8" t="str">
        <f>IFERROR(__xludf.DUMMYFUNCTION("""COMPUTED_VALUE"""),"leaking pipe repair")</f>
        <v>leaking pipe repair</v>
      </c>
      <c r="Y88" s="4"/>
      <c r="Z88" s="4"/>
    </row>
    <row r="89" ht="15.7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 t="str">
        <f>IFERROR(__xludf.DUMMYFUNCTION("""COMPUTED_VALUE"""),"emergency plumber cost")</f>
        <v>emergency plumber cost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8" t="str">
        <f>IFERROR(__xludf.DUMMYFUNCTION("""COMPUTED_VALUE"""),"leaking tap repair")</f>
        <v>leaking tap repair</v>
      </c>
      <c r="Y89" s="4"/>
      <c r="Z89" s="4"/>
    </row>
    <row r="90" ht="15.75" customHeight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 t="str">
        <f>IFERROR(__xludf.DUMMYFUNCTION("""COMPUTED_VALUE"""),"emergency plumber fast")</f>
        <v>emergency plumber fast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8" t="str">
        <f>IFERROR(__xludf.DUMMYFUNCTION("""COMPUTED_VALUE"""),"local 24 hour plumber")</f>
        <v>local 24 hour plumber</v>
      </c>
      <c r="Y90" s="4"/>
      <c r="Z90" s="4"/>
    </row>
    <row r="91" ht="15.75" customHeight="1">
      <c r="A91" s="1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6" t="str">
        <f>IFERROR(__xludf.DUMMYFUNCTION("""COMPUTED_VALUE"""),"emergency plumber local")</f>
        <v>emergency plumber local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 t="str">
        <f>IFERROR(__xludf.DUMMYFUNCTION("""COMPUTED_VALUE"""),"local bathroom plumbing repair")</f>
        <v>local bathroom plumbing repair</v>
      </c>
      <c r="Y91" s="4"/>
      <c r="Z91" s="4"/>
    </row>
    <row r="92" ht="15.75" customHeight="1">
      <c r="A92" s="1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 t="str">
        <f>IFERROR(__xludf.DUMMYFUNCTION("""COMPUTED_VALUE"""),"emergency plumber near me")</f>
        <v>emergency plumber near me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8" t="str">
        <f>IFERROR(__xludf.DUMMYFUNCTION("""COMPUTED_VALUE"""),"local blocked toilet plumber")</f>
        <v>local blocked toilet plumber</v>
      </c>
      <c r="Y92" s="4"/>
      <c r="Z92" s="4"/>
    </row>
    <row r="93" ht="15.75" customHeight="1">
      <c r="A93" s="1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6" t="str">
        <f>IFERROR(__xludf.DUMMYFUNCTION("""COMPUTED_VALUE"""),"emergency plumber professional")</f>
        <v>emergency plumber professional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8" t="str">
        <f>IFERROR(__xludf.DUMMYFUNCTION("""COMPUTED_VALUE"""),"local burst pipe repair")</f>
        <v>local burst pipe repair</v>
      </c>
      <c r="Y93" s="4"/>
      <c r="Z93" s="4"/>
    </row>
    <row r="94" ht="15.75" customHeight="1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6" t="str">
        <f>IFERROR(__xludf.DUMMYFUNCTION("""COMPUTED_VALUE"""),"emergency plumber quote")</f>
        <v>emergency plumber quote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8" t="str">
        <f>IFERROR(__xludf.DUMMYFUNCTION("""COMPUTED_VALUE"""),"local emergency plumber")</f>
        <v>local emergency plumber</v>
      </c>
      <c r="Y94" s="4"/>
      <c r="Z94" s="4"/>
    </row>
    <row r="95" ht="15.75" customHeight="1">
      <c r="A95" s="1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 t="str">
        <f>IFERROR(__xludf.DUMMYFUNCTION("""COMPUTED_VALUE"""),"emergency plumber reliable")</f>
        <v>emergency plumber reliable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8" t="str">
        <f>IFERROR(__xludf.DUMMYFUNCTION("""COMPUTED_VALUE"""),"local kitchen plumbing repair")</f>
        <v>local kitchen plumbing repair</v>
      </c>
      <c r="Y95" s="4"/>
      <c r="Z95" s="4"/>
    </row>
    <row r="96" ht="15.75" customHeight="1">
      <c r="A96" s="1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6" t="str">
        <f>IFERROR(__xludf.DUMMYFUNCTION("""COMPUTED_VALUE"""),"emergency plumber repair")</f>
        <v>emergency plumber repair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 t="str">
        <f>IFERROR(__xludf.DUMMYFUNCTION("""COMPUTED_VALUE"""),"local leaking pipe repair")</f>
        <v>local leaking pipe repair</v>
      </c>
      <c r="Y96" s="4"/>
      <c r="Z96" s="4"/>
    </row>
    <row r="97" ht="15.75" customHeight="1">
      <c r="A97" s="1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6" t="str">
        <f>IFERROR(__xludf.DUMMYFUNCTION("""COMPUTED_VALUE"""),"emergency plumber residential")</f>
        <v>emergency plumber residential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8" t="str">
        <f>IFERROR(__xludf.DUMMYFUNCTION("""COMPUTED_VALUE"""),"local leaking tap repair")</f>
        <v>local leaking tap repair</v>
      </c>
      <c r="Y97" s="4"/>
      <c r="Z97" s="4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 t="str">
        <f>IFERROR(__xludf.DUMMYFUNCTION("""COMPUTED_VALUE"""),"emergency plumber same day")</f>
        <v>emergency plumber same day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 t="str">
        <f>IFERROR(__xludf.DUMMYFUNCTION("""COMPUTED_VALUE"""),"local toilet repair")</f>
        <v>local toilet repair</v>
      </c>
      <c r="Y98" s="4"/>
      <c r="Z98" s="4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 t="str">
        <f>IFERROR(__xludf.DUMMYFUNCTION("""COMPUTED_VALUE"""),"emergency plumber service")</f>
        <v>emergency plumber service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8" t="str">
        <f>IFERROR(__xludf.DUMMYFUNCTION("""COMPUTED_VALUE"""),"local water leak repair")</f>
        <v>local water leak repair</v>
      </c>
      <c r="Y99" s="4"/>
      <c r="Z99" s="4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6" t="str">
        <f>IFERROR(__xludf.DUMMYFUNCTION("""COMPUTED_VALUE"""),"emergency plumber urgent")</f>
        <v>emergency plumber urgent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8" t="str">
        <f>IFERROR(__xludf.DUMMYFUNCTION("""COMPUTED_VALUE"""),"near me 24 hour plumber")</f>
        <v>near me 24 hour plumber</v>
      </c>
      <c r="Y100" s="4"/>
      <c r="Z100" s="4"/>
    </row>
    <row r="101" ht="15.75" customHeight="1">
      <c r="A101" s="1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 t="str">
        <f>IFERROR(__xludf.DUMMYFUNCTION("""COMPUTED_VALUE"""),"emergency plumber weekend")</f>
        <v>emergency plumber weekend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8" t="str">
        <f>IFERROR(__xludf.DUMMYFUNCTION("""COMPUTED_VALUE"""),"near me bathroom plumbing repair")</f>
        <v>near me bathroom plumbing repair</v>
      </c>
      <c r="Y101" s="4"/>
      <c r="Z101" s="4"/>
    </row>
    <row r="102" ht="15.75" customHeight="1">
      <c r="A102" s="1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 t="str">
        <f>IFERROR(__xludf.DUMMYFUNCTION("""COMPUTED_VALUE"""),"kitchen plumbing repair")</f>
        <v>kitchen plumbing repair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8" t="str">
        <f>IFERROR(__xludf.DUMMYFUNCTION("""COMPUTED_VALUE"""),"near me blocked toilet plumber")</f>
        <v>near me blocked toilet plumber</v>
      </c>
      <c r="Y102" s="4"/>
      <c r="Z102" s="4"/>
    </row>
    <row r="103" ht="15.75" customHeight="1">
      <c r="A103" s="1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 t="str">
        <f>IFERROR(__xludf.DUMMYFUNCTION("""COMPUTED_VALUE"""),"kitchen plumbing repair after hours")</f>
        <v>kitchen plumbing repair after hours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 t="str">
        <f>IFERROR(__xludf.DUMMYFUNCTION("""COMPUTED_VALUE"""),"near me burst pipe repair")</f>
        <v>near me burst pipe repair</v>
      </c>
      <c r="Y103" s="4"/>
      <c r="Z103" s="4"/>
    </row>
    <row r="104" ht="15.75" customHeight="1">
      <c r="A104" s="1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6" t="str">
        <f>IFERROR(__xludf.DUMMYFUNCTION("""COMPUTED_VALUE"""),"kitchen plumbing repair call out")</f>
        <v>kitchen plumbing repair call out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8" t="str">
        <f>IFERROR(__xludf.DUMMYFUNCTION("""COMPUTED_VALUE"""),"near me emergency plumber")</f>
        <v>near me emergency plumber</v>
      </c>
      <c r="Y104" s="4"/>
      <c r="Z104" s="4"/>
    </row>
    <row r="105" ht="15.75" customHeight="1">
      <c r="A105" s="1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 t="str">
        <f>IFERROR(__xludf.DUMMYFUNCTION("""COMPUTED_VALUE"""),"kitchen plumbing repair cape town")</f>
        <v>kitchen plumbing repair cape town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 t="str">
        <f>IFERROR(__xludf.DUMMYFUNCTION("""COMPUTED_VALUE"""),"near me kitchen plumbing repair")</f>
        <v>near me kitchen plumbing repair</v>
      </c>
      <c r="Y105" s="4"/>
      <c r="Z105" s="4"/>
    </row>
    <row r="106" ht="15.75" customHeight="1">
      <c r="A106" s="1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6" t="str">
        <f>IFERROR(__xludf.DUMMYFUNCTION("""COMPUTED_VALUE"""),"kitchen plumbing repair commercial")</f>
        <v>kitchen plumbing repair commercial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8" t="str">
        <f>IFERROR(__xludf.DUMMYFUNCTION("""COMPUTED_VALUE"""),"near me leaking pipe repair")</f>
        <v>near me leaking pipe repair</v>
      </c>
      <c r="Y106" s="4"/>
      <c r="Z106" s="4"/>
    </row>
    <row r="107" ht="15.75" customHeight="1">
      <c r="A107" s="1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tr">
        <f>IFERROR(__xludf.DUMMYFUNCTION("""COMPUTED_VALUE"""),"kitchen plumbing repair company")</f>
        <v>kitchen plumbing repair company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 t="str">
        <f>IFERROR(__xludf.DUMMYFUNCTION("""COMPUTED_VALUE"""),"near me leaking tap repair")</f>
        <v>near me leaking tap repair</v>
      </c>
      <c r="Y107" s="4"/>
      <c r="Z107" s="4"/>
    </row>
    <row r="108" ht="15.75" customHeight="1">
      <c r="A108" s="1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6" t="str">
        <f>IFERROR(__xludf.DUMMYFUNCTION("""COMPUTED_VALUE"""),"kitchen plumbing repair cost")</f>
        <v>kitchen plumbing repair cost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8" t="str">
        <f>IFERROR(__xludf.DUMMYFUNCTION("""COMPUTED_VALUE"""),"near me toilet repair")</f>
        <v>near me toilet repair</v>
      </c>
      <c r="Y108" s="4"/>
      <c r="Z108" s="4"/>
    </row>
    <row r="109" ht="15.75" customHeight="1">
      <c r="A109" s="1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6" t="str">
        <f>IFERROR(__xludf.DUMMYFUNCTION("""COMPUTED_VALUE"""),"kitchen plumbing repair emergency")</f>
        <v>kitchen plumbing repair emergency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 t="str">
        <f>IFERROR(__xludf.DUMMYFUNCTION("""COMPUTED_VALUE"""),"near me water leak repair")</f>
        <v>near me water leak repair</v>
      </c>
      <c r="Y109" s="4"/>
      <c r="Z109" s="4"/>
    </row>
    <row r="110" ht="15.75" customHeight="1">
      <c r="A110" s="1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6" t="str">
        <f>IFERROR(__xludf.DUMMYFUNCTION("""COMPUTED_VALUE"""),"kitchen plumbing repair fast")</f>
        <v>kitchen plumbing repair fast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8" t="str">
        <f>IFERROR(__xludf.DUMMYFUNCTION("""COMPUTED_VALUE"""),"plumber bathroom plumbing repair")</f>
        <v>plumber bathroom plumbing repair</v>
      </c>
      <c r="Y110" s="4"/>
      <c r="Z110" s="4"/>
    </row>
    <row r="111" ht="15.75" customHeight="1">
      <c r="A111" s="1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6" t="str">
        <f>IFERROR(__xludf.DUMMYFUNCTION("""COMPUTED_VALUE"""),"kitchen plumbing repair local")</f>
        <v>kitchen plumbing repair local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 t="str">
        <f>IFERROR(__xludf.DUMMYFUNCTION("""COMPUTED_VALUE"""),"plumber burst pipe repair")</f>
        <v>plumber burst pipe repair</v>
      </c>
      <c r="Y111" s="4"/>
      <c r="Z111" s="4"/>
    </row>
    <row r="112" ht="15.75" customHeight="1">
      <c r="A112" s="1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6" t="str">
        <f>IFERROR(__xludf.DUMMYFUNCTION("""COMPUTED_VALUE"""),"kitchen plumbing repair near me")</f>
        <v>kitchen plumbing repair near me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 t="str">
        <f>IFERROR(__xludf.DUMMYFUNCTION("""COMPUTED_VALUE"""),"plumber kitchen plumbing repair")</f>
        <v>plumber kitchen plumbing repair</v>
      </c>
      <c r="Y112" s="4"/>
      <c r="Z112" s="4"/>
    </row>
    <row r="113" ht="15.75" customHeight="1">
      <c r="A113" s="1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6" t="str">
        <f>IFERROR(__xludf.DUMMYFUNCTION("""COMPUTED_VALUE"""),"kitchen plumbing repair plumber")</f>
        <v>kitchen plumbing repair plumber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8" t="str">
        <f>IFERROR(__xludf.DUMMYFUNCTION("""COMPUTED_VALUE"""),"plumber leaking pipe repair")</f>
        <v>plumber leaking pipe repair</v>
      </c>
      <c r="Y113" s="4"/>
      <c r="Z113" s="4"/>
    </row>
    <row r="114" ht="15.75" customHeight="1">
      <c r="A114" s="1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6" t="str">
        <f>IFERROR(__xludf.DUMMYFUNCTION("""COMPUTED_VALUE"""),"kitchen plumbing repair professional")</f>
        <v>kitchen plumbing repair professional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8" t="str">
        <f>IFERROR(__xludf.DUMMYFUNCTION("""COMPUTED_VALUE"""),"plumber leaking tap repair")</f>
        <v>plumber leaking tap repair</v>
      </c>
      <c r="Y114" s="4"/>
      <c r="Z114" s="4"/>
    </row>
    <row r="115" ht="15.75" customHeight="1">
      <c r="A115" s="1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6" t="str">
        <f>IFERROR(__xludf.DUMMYFUNCTION("""COMPUTED_VALUE"""),"kitchen plumbing repair quote")</f>
        <v>kitchen plumbing repair quote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8" t="str">
        <f>IFERROR(__xludf.DUMMYFUNCTION("""COMPUTED_VALUE"""),"plumber toilet repair")</f>
        <v>plumber toilet repair</v>
      </c>
      <c r="Y115" s="4"/>
      <c r="Z115" s="4"/>
    </row>
    <row r="116" ht="15.75" customHeight="1">
      <c r="A116" s="1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6" t="str">
        <f>IFERROR(__xludf.DUMMYFUNCTION("""COMPUTED_VALUE"""),"kitchen plumbing repair reliable")</f>
        <v>kitchen plumbing repair reliable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8" t="str">
        <f>IFERROR(__xludf.DUMMYFUNCTION("""COMPUTED_VALUE"""),"plumber water leak repair")</f>
        <v>plumber water leak repair</v>
      </c>
      <c r="Y116" s="4"/>
      <c r="Z116" s="4"/>
    </row>
    <row r="117" ht="15.75" customHeight="1">
      <c r="A117" s="1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6" t="str">
        <f>IFERROR(__xludf.DUMMYFUNCTION("""COMPUTED_VALUE"""),"kitchen plumbing repair residential")</f>
        <v>kitchen plumbing repair residential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8" t="str">
        <f>IFERROR(__xludf.DUMMYFUNCTION("""COMPUTED_VALUE"""),"professional 24 hour plumber")</f>
        <v>professional 24 hour plumber</v>
      </c>
      <c r="Y117" s="4"/>
      <c r="Z117" s="4"/>
    </row>
    <row r="118" ht="15.7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 t="str">
        <f>IFERROR(__xludf.DUMMYFUNCTION("""COMPUTED_VALUE"""),"kitchen plumbing repair same day")</f>
        <v>kitchen plumbing repair same day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8" t="str">
        <f>IFERROR(__xludf.DUMMYFUNCTION("""COMPUTED_VALUE"""),"professional bathroom plumbing repair")</f>
        <v>professional bathroom plumbing repair</v>
      </c>
      <c r="Y118" s="4"/>
      <c r="Z118" s="4"/>
    </row>
    <row r="119" ht="15.75" customHeight="1">
      <c r="A119" s="1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6" t="str">
        <f>IFERROR(__xludf.DUMMYFUNCTION("""COMPUTED_VALUE"""),"kitchen plumbing repair service")</f>
        <v>kitchen plumbing repair service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 t="str">
        <f>IFERROR(__xludf.DUMMYFUNCTION("""COMPUTED_VALUE"""),"professional blocked toilet plumber")</f>
        <v>professional blocked toilet plumber</v>
      </c>
      <c r="Y119" s="4"/>
      <c r="Z119" s="4"/>
    </row>
    <row r="120" ht="15.75" customHeigh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 t="str">
        <f>IFERROR(__xludf.DUMMYFUNCTION("""COMPUTED_VALUE"""),"kitchen plumbing repair urgent")</f>
        <v>kitchen plumbing repair urgent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3" t="str">
        <f>IFERROR(__xludf.DUMMYFUNCTION("""COMPUTED_VALUE"""),"professional burst pipe repair")</f>
        <v>professional burst pipe repair</v>
      </c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 t="str">
        <f>IFERROR(__xludf.DUMMYFUNCTION("""COMPUTED_VALUE"""),"kitchen plumbing repair weekend")</f>
        <v>kitchen plumbing repair weekend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tr">
        <f>IFERROR(__xludf.DUMMYFUNCTION("""COMPUTED_VALUE"""),"professional emergency plumber")</f>
        <v>professional emergency plumber</v>
      </c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 t="str">
        <f>IFERROR(__xludf.DUMMYFUNCTION("""COMPUTED_VALUE"""),"leaking pipe repair")</f>
        <v>leaking pipe repair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tr">
        <f>IFERROR(__xludf.DUMMYFUNCTION("""COMPUTED_VALUE"""),"professional kitchen plumbing repair")</f>
        <v>professional kitchen plumbing repair</v>
      </c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 t="str">
        <f>IFERROR(__xludf.DUMMYFUNCTION("""COMPUTED_VALUE"""),"leaking pipe repair after hours")</f>
        <v>leaking pipe repair after hours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 t="str">
        <f>IFERROR(__xludf.DUMMYFUNCTION("""COMPUTED_VALUE"""),"professional leaking pipe repair")</f>
        <v>professional leaking pipe repair</v>
      </c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 t="str">
        <f>IFERROR(__xludf.DUMMYFUNCTION("""COMPUTED_VALUE"""),"leaking pipe repair call out")</f>
        <v>leaking pipe repair call out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tr">
        <f>IFERROR(__xludf.DUMMYFUNCTION("""COMPUTED_VALUE"""),"professional leaking tap repair")</f>
        <v>professional leaking tap repair</v>
      </c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tr">
        <f>IFERROR(__xludf.DUMMYFUNCTION("""COMPUTED_VALUE"""),"leaking pipe repair cape town")</f>
        <v>leaking pipe repair cape town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str">
        <f>IFERROR(__xludf.DUMMYFUNCTION("""COMPUTED_VALUE"""),"professional toilet repair")</f>
        <v>professional toilet repair</v>
      </c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tr">
        <f>IFERROR(__xludf.DUMMYFUNCTION("""COMPUTED_VALUE"""),"leaking pipe repair commercial")</f>
        <v>leaking pipe repair commercial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tr">
        <f>IFERROR(__xludf.DUMMYFUNCTION("""COMPUTED_VALUE"""),"professional water leak repair")</f>
        <v>professional water leak repair</v>
      </c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 t="str">
        <f>IFERROR(__xludf.DUMMYFUNCTION("""COMPUTED_VALUE"""),"leaking pipe repair company")</f>
        <v>leaking pipe repair company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tr">
        <f>IFERROR(__xludf.DUMMYFUNCTION("""COMPUTED_VALUE"""),"quote 24 hour plumber")</f>
        <v>quote 24 hour plumber</v>
      </c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 t="str">
        <f>IFERROR(__xludf.DUMMYFUNCTION("""COMPUTED_VALUE"""),"leaking pipe repair cost")</f>
        <v>leaking pipe repair cost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 t="str">
        <f>IFERROR(__xludf.DUMMYFUNCTION("""COMPUTED_VALUE"""),"quote bathroom plumbing repair")</f>
        <v>quote bathroom plumbing repair</v>
      </c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 t="str">
        <f>IFERROR(__xludf.DUMMYFUNCTION("""COMPUTED_VALUE"""),"leaking pipe repair emergency")</f>
        <v>leaking pipe repair emergency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tr">
        <f>IFERROR(__xludf.DUMMYFUNCTION("""COMPUTED_VALUE"""),"quote blocked toilet plumber")</f>
        <v>quote blocked toilet plumber</v>
      </c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 t="str">
        <f>IFERROR(__xludf.DUMMYFUNCTION("""COMPUTED_VALUE"""),"leaking pipe repair fast")</f>
        <v>leaking pipe repair fast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tr">
        <f>IFERROR(__xludf.DUMMYFUNCTION("""COMPUTED_VALUE"""),"quote burst pipe repair")</f>
        <v>quote burst pipe repair</v>
      </c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 t="str">
        <f>IFERROR(__xludf.DUMMYFUNCTION("""COMPUTED_VALUE"""),"leaking pipe repair local")</f>
        <v>leaking pipe repair local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tr">
        <f>IFERROR(__xludf.DUMMYFUNCTION("""COMPUTED_VALUE"""),"quote emergency plumber")</f>
        <v>quote emergency plumber</v>
      </c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 t="str">
        <f>IFERROR(__xludf.DUMMYFUNCTION("""COMPUTED_VALUE"""),"leaking pipe repair near me")</f>
        <v>leaking pipe repair near me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tr">
        <f>IFERROR(__xludf.DUMMYFUNCTION("""COMPUTED_VALUE"""),"quote kitchen plumbing repair")</f>
        <v>quote kitchen plumbing repair</v>
      </c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tr">
        <f>IFERROR(__xludf.DUMMYFUNCTION("""COMPUTED_VALUE"""),"leaking pipe repair plumber")</f>
        <v>leaking pipe repair plumber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tr">
        <f>IFERROR(__xludf.DUMMYFUNCTION("""COMPUTED_VALUE"""),"quote leaking pipe repair")</f>
        <v>quote leaking pipe repair</v>
      </c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tr">
        <f>IFERROR(__xludf.DUMMYFUNCTION("""COMPUTED_VALUE"""),"leaking pipe repair professional")</f>
        <v>leaking pipe repair professional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 t="str">
        <f>IFERROR(__xludf.DUMMYFUNCTION("""COMPUTED_VALUE"""),"quote leaking tap repair")</f>
        <v>quote leaking tap repair</v>
      </c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 t="str">
        <f>IFERROR(__xludf.DUMMYFUNCTION("""COMPUTED_VALUE"""),"leaking pipe repair quote")</f>
        <v>leaking pipe repair quote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str">
        <f>IFERROR(__xludf.DUMMYFUNCTION("""COMPUTED_VALUE"""),"quote toilet repair")</f>
        <v>quote toilet repair</v>
      </c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tr">
        <f>IFERROR(__xludf.DUMMYFUNCTION("""COMPUTED_VALUE"""),"leaking pipe repair reliable")</f>
        <v>leaking pipe repair reliable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str">
        <f>IFERROR(__xludf.DUMMYFUNCTION("""COMPUTED_VALUE"""),"quote water leak repair")</f>
        <v>quote water leak repair</v>
      </c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tr">
        <f>IFERROR(__xludf.DUMMYFUNCTION("""COMPUTED_VALUE"""),"leaking pipe repair residential")</f>
        <v>leaking pipe repair residential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tr">
        <f>IFERROR(__xludf.DUMMYFUNCTION("""COMPUTED_VALUE"""),"reliable 24 hour plumber")</f>
        <v>reliable 24 hour plumber</v>
      </c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 t="str">
        <f>IFERROR(__xludf.DUMMYFUNCTION("""COMPUTED_VALUE"""),"leaking pipe repair same day")</f>
        <v>leaking pipe repair same day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tr">
        <f>IFERROR(__xludf.DUMMYFUNCTION("""COMPUTED_VALUE"""),"reliable bathroom plumbing repair")</f>
        <v>reliable bathroom plumbing repair</v>
      </c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 t="str">
        <f>IFERROR(__xludf.DUMMYFUNCTION("""COMPUTED_VALUE"""),"leaking pipe repair service")</f>
        <v>leaking pipe repair service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tr">
        <f>IFERROR(__xludf.DUMMYFUNCTION("""COMPUTED_VALUE"""),"reliable blocked toilet plumber")</f>
        <v>reliable blocked toilet plumber</v>
      </c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 t="str">
        <f>IFERROR(__xludf.DUMMYFUNCTION("""COMPUTED_VALUE"""),"leaking pipe repair urgent")</f>
        <v>leaking pipe repair urgent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tr">
        <f>IFERROR(__xludf.DUMMYFUNCTION("""COMPUTED_VALUE"""),"reliable burst pipe repair")</f>
        <v>reliable burst pipe repair</v>
      </c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 t="str">
        <f>IFERROR(__xludf.DUMMYFUNCTION("""COMPUTED_VALUE"""),"leaking pipe repair weekend")</f>
        <v>leaking pipe repair weekend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str">
        <f>IFERROR(__xludf.DUMMYFUNCTION("""COMPUTED_VALUE"""),"reliable emergency plumber")</f>
        <v>reliable emergency plumber</v>
      </c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 t="str">
        <f>IFERROR(__xludf.DUMMYFUNCTION("""COMPUTED_VALUE"""),"leaking tap repair")</f>
        <v>leaking tap repair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tr">
        <f>IFERROR(__xludf.DUMMYFUNCTION("""COMPUTED_VALUE"""),"reliable kitchen plumbing repair")</f>
        <v>reliable kitchen plumbing repair</v>
      </c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 t="str">
        <f>IFERROR(__xludf.DUMMYFUNCTION("""COMPUTED_VALUE"""),"leaking tap repair after hours")</f>
        <v>leaking tap repair after hours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tr">
        <f>IFERROR(__xludf.DUMMYFUNCTION("""COMPUTED_VALUE"""),"reliable leaking pipe repair")</f>
        <v>reliable leaking pipe repair</v>
      </c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 t="str">
        <f>IFERROR(__xludf.DUMMYFUNCTION("""COMPUTED_VALUE"""),"leaking tap repair call out")</f>
        <v>leaking tap repair call out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 t="str">
        <f>IFERROR(__xludf.DUMMYFUNCTION("""COMPUTED_VALUE"""),"reliable leaking tap repair")</f>
        <v>reliable leaking tap repair</v>
      </c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 t="str">
        <f>IFERROR(__xludf.DUMMYFUNCTION("""COMPUTED_VALUE"""),"leaking tap repair cape town")</f>
        <v>leaking tap repair cape town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str">
        <f>IFERROR(__xludf.DUMMYFUNCTION("""COMPUTED_VALUE"""),"reliable toilet repair")</f>
        <v>reliable toilet repair</v>
      </c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 t="str">
        <f>IFERROR(__xludf.DUMMYFUNCTION("""COMPUTED_VALUE"""),"leaking tap repair commercial")</f>
        <v>leaking tap repair commercial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 t="str">
        <f>IFERROR(__xludf.DUMMYFUNCTION("""COMPUTED_VALUE"""),"reliable water leak repair")</f>
        <v>reliable water leak repair</v>
      </c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tr">
        <f>IFERROR(__xludf.DUMMYFUNCTION("""COMPUTED_VALUE"""),"leaking tap repair company")</f>
        <v>leaking tap repair company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tr">
        <f>IFERROR(__xludf.DUMMYFUNCTION("""COMPUTED_VALUE"""),"repair 24 hour plumber")</f>
        <v>repair 24 hour plumber</v>
      </c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tr">
        <f>IFERROR(__xludf.DUMMYFUNCTION("""COMPUTED_VALUE"""),"leaking tap repair cost")</f>
        <v>leaking tap repair cost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str">
        <f>IFERROR(__xludf.DUMMYFUNCTION("""COMPUTED_VALUE"""),"repair blocked toilet plumber")</f>
        <v>repair blocked toilet plumber</v>
      </c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 t="str">
        <f>IFERROR(__xludf.DUMMYFUNCTION("""COMPUTED_VALUE"""),"leaking tap repair emergency")</f>
        <v>leaking tap repair emergency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 t="str">
        <f>IFERROR(__xludf.DUMMYFUNCTION("""COMPUTED_VALUE"""),"repair emergency plumber")</f>
        <v>repair emergency plumber</v>
      </c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 t="str">
        <f>IFERROR(__xludf.DUMMYFUNCTION("""COMPUTED_VALUE"""),"leaking tap repair fast")</f>
        <v>leaking tap repair fast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 t="str">
        <f>IFERROR(__xludf.DUMMYFUNCTION("""COMPUTED_VALUE"""),"residential 24 hour plumber")</f>
        <v>residential 24 hour plumber</v>
      </c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 t="str">
        <f>IFERROR(__xludf.DUMMYFUNCTION("""COMPUTED_VALUE"""),"leaking tap repair local")</f>
        <v>leaking tap repair local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tr">
        <f>IFERROR(__xludf.DUMMYFUNCTION("""COMPUTED_VALUE"""),"residential bathroom plumbing repair")</f>
        <v>residential bathroom plumbing repair</v>
      </c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 t="str">
        <f>IFERROR(__xludf.DUMMYFUNCTION("""COMPUTED_VALUE"""),"leaking tap repair near me")</f>
        <v>leaking tap repair near me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 t="str">
        <f>IFERROR(__xludf.DUMMYFUNCTION("""COMPUTED_VALUE"""),"residential blocked toilet plumber")</f>
        <v>residential blocked toilet plumber</v>
      </c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 t="str">
        <f>IFERROR(__xludf.DUMMYFUNCTION("""COMPUTED_VALUE"""),"leaking tap repair plumber")</f>
        <v>leaking tap repair plumber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str">
        <f>IFERROR(__xludf.DUMMYFUNCTION("""COMPUTED_VALUE"""),"residential burst pipe repair")</f>
        <v>residential burst pipe repair</v>
      </c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 t="str">
        <f>IFERROR(__xludf.DUMMYFUNCTION("""COMPUTED_VALUE"""),"leaking tap repair professional")</f>
        <v>leaking tap repair professional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tr">
        <f>IFERROR(__xludf.DUMMYFUNCTION("""COMPUTED_VALUE"""),"residential emergency plumber")</f>
        <v>residential emergency plumber</v>
      </c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 t="str">
        <f>IFERROR(__xludf.DUMMYFUNCTION("""COMPUTED_VALUE"""),"leaking tap repair quote")</f>
        <v>leaking tap repair quote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tr">
        <f>IFERROR(__xludf.DUMMYFUNCTION("""COMPUTED_VALUE"""),"residential kitchen plumbing repair")</f>
        <v>residential kitchen plumbing repair</v>
      </c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 t="str">
        <f>IFERROR(__xludf.DUMMYFUNCTION("""COMPUTED_VALUE"""),"leaking tap repair reliable")</f>
        <v>leaking tap repair reliable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 t="str">
        <f>IFERROR(__xludf.DUMMYFUNCTION("""COMPUTED_VALUE"""),"residential leaking pipe repair")</f>
        <v>residential leaking pipe repair</v>
      </c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tr">
        <f>IFERROR(__xludf.DUMMYFUNCTION("""COMPUTED_VALUE"""),"leaking tap repair residential")</f>
        <v>leaking tap repair residential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 t="str">
        <f>IFERROR(__xludf.DUMMYFUNCTION("""COMPUTED_VALUE"""),"residential leaking tap repair")</f>
        <v>residential leaking tap repair</v>
      </c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tr">
        <f>IFERROR(__xludf.DUMMYFUNCTION("""COMPUTED_VALUE"""),"leaking tap repair same day")</f>
        <v>leaking tap repair same day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 t="str">
        <f>IFERROR(__xludf.DUMMYFUNCTION("""COMPUTED_VALUE"""),"residential toilet repair")</f>
        <v>residential toilet repair</v>
      </c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 t="str">
        <f>IFERROR(__xludf.DUMMYFUNCTION("""COMPUTED_VALUE"""),"leaking tap repair service")</f>
        <v>leaking tap repair service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str">
        <f>IFERROR(__xludf.DUMMYFUNCTION("""COMPUTED_VALUE"""),"residential water leak repair")</f>
        <v>residential water leak repair</v>
      </c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 t="str">
        <f>IFERROR(__xludf.DUMMYFUNCTION("""COMPUTED_VALUE"""),"leaking tap repair urgent")</f>
        <v>leaking tap repair urgent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 t="str">
        <f>IFERROR(__xludf.DUMMYFUNCTION("""COMPUTED_VALUE"""),"same day 24 hour plumber")</f>
        <v>same day 24 hour plumber</v>
      </c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 t="str">
        <f>IFERROR(__xludf.DUMMYFUNCTION("""COMPUTED_VALUE"""),"leaking tap repair weekend")</f>
        <v>leaking tap repair weekend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 t="str">
        <f>IFERROR(__xludf.DUMMYFUNCTION("""COMPUTED_VALUE"""),"same day bathroom plumbing repair")</f>
        <v>same day bathroom plumbing repair</v>
      </c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 t="str">
        <f>IFERROR(__xludf.DUMMYFUNCTION("""COMPUTED_VALUE"""),"toilet repair")</f>
        <v>toilet repair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 t="str">
        <f>IFERROR(__xludf.DUMMYFUNCTION("""COMPUTED_VALUE"""),"same day blocked toilet plumber")</f>
        <v>same day blocked toilet plumber</v>
      </c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 t="str">
        <f>IFERROR(__xludf.DUMMYFUNCTION("""COMPUTED_VALUE"""),"toilet repair after hours")</f>
        <v>toilet repair after hours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 t="str">
        <f>IFERROR(__xludf.DUMMYFUNCTION("""COMPUTED_VALUE"""),"same day burst pipe repair")</f>
        <v>same day burst pipe repair</v>
      </c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 t="str">
        <f>IFERROR(__xludf.DUMMYFUNCTION("""COMPUTED_VALUE"""),"toilet repair call out")</f>
        <v>toilet repair call out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tr">
        <f>IFERROR(__xludf.DUMMYFUNCTION("""COMPUTED_VALUE"""),"same day emergency plumber")</f>
        <v>same day emergency plumber</v>
      </c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 t="str">
        <f>IFERROR(__xludf.DUMMYFUNCTION("""COMPUTED_VALUE"""),"toilet repair cape town")</f>
        <v>toilet repair cape town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tr">
        <f>IFERROR(__xludf.DUMMYFUNCTION("""COMPUTED_VALUE"""),"same day kitchen plumbing repair")</f>
        <v>same day kitchen plumbing repair</v>
      </c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tr">
        <f>IFERROR(__xludf.DUMMYFUNCTION("""COMPUTED_VALUE"""),"toilet repair commercial")</f>
        <v>toilet repair commercial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tr">
        <f>IFERROR(__xludf.DUMMYFUNCTION("""COMPUTED_VALUE"""),"same day leaking pipe repair")</f>
        <v>same day leaking pipe repair</v>
      </c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tr">
        <f>IFERROR(__xludf.DUMMYFUNCTION("""COMPUTED_VALUE"""),"toilet repair company")</f>
        <v>toilet repair company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f>IFERROR(__xludf.DUMMYFUNCTION("""COMPUTED_VALUE"""),"same day leaking tap repair")</f>
        <v>same day leaking tap repair</v>
      </c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 t="str">
        <f>IFERROR(__xludf.DUMMYFUNCTION("""COMPUTED_VALUE"""),"toilet repair cost")</f>
        <v>toilet repair cost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tr">
        <f>IFERROR(__xludf.DUMMYFUNCTION("""COMPUTED_VALUE"""),"same day toilet repair")</f>
        <v>same day toilet repair</v>
      </c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 t="str">
        <f>IFERROR(__xludf.DUMMYFUNCTION("""COMPUTED_VALUE"""),"toilet repair emergency")</f>
        <v>toilet repair emergency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tr">
        <f>IFERROR(__xludf.DUMMYFUNCTION("""COMPUTED_VALUE"""),"same day water leak repair")</f>
        <v>same day water leak repair</v>
      </c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 t="str">
        <f>IFERROR(__xludf.DUMMYFUNCTION("""COMPUTED_VALUE"""),"toilet repair fast")</f>
        <v>toilet repair fast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tr">
        <f>IFERROR(__xludf.DUMMYFUNCTION("""COMPUTED_VALUE"""),"service 24 hour plumber")</f>
        <v>service 24 hour plumber</v>
      </c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 t="str">
        <f>IFERROR(__xludf.DUMMYFUNCTION("""COMPUTED_VALUE"""),"toilet repair local")</f>
        <v>toilet repair local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tr">
        <f>IFERROR(__xludf.DUMMYFUNCTION("""COMPUTED_VALUE"""),"service bathroom plumbing repair")</f>
        <v>service bathroom plumbing repair</v>
      </c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tr">
        <f>IFERROR(__xludf.DUMMYFUNCTION("""COMPUTED_VALUE"""),"toilet repair near me")</f>
        <v>toilet repair near me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tr">
        <f>IFERROR(__xludf.DUMMYFUNCTION("""COMPUTED_VALUE"""),"service blocked toilet plumber")</f>
        <v>service blocked toilet plumber</v>
      </c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 t="str">
        <f>IFERROR(__xludf.DUMMYFUNCTION("""COMPUTED_VALUE"""),"toilet repair plumber")</f>
        <v>toilet repair plumber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str">
        <f>IFERROR(__xludf.DUMMYFUNCTION("""COMPUTED_VALUE"""),"service burst pipe repair")</f>
        <v>service burst pipe repair</v>
      </c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 t="str">
        <f>IFERROR(__xludf.DUMMYFUNCTION("""COMPUTED_VALUE"""),"toilet repair professional")</f>
        <v>toilet repair professional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str">
        <f>IFERROR(__xludf.DUMMYFUNCTION("""COMPUTED_VALUE"""),"service emergency plumber")</f>
        <v>service emergency plumber</v>
      </c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tr">
        <f>IFERROR(__xludf.DUMMYFUNCTION("""COMPUTED_VALUE"""),"toilet repair quote")</f>
        <v>toilet repair quote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str">
        <f>IFERROR(__xludf.DUMMYFUNCTION("""COMPUTED_VALUE"""),"service kitchen plumbing repair")</f>
        <v>service kitchen plumbing repair</v>
      </c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 t="str">
        <f>IFERROR(__xludf.DUMMYFUNCTION("""COMPUTED_VALUE"""),"toilet repair reliable")</f>
        <v>toilet repair reliable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 t="str">
        <f>IFERROR(__xludf.DUMMYFUNCTION("""COMPUTED_VALUE"""),"service leaking pipe repair")</f>
        <v>service leaking pipe repair</v>
      </c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 t="str">
        <f>IFERROR(__xludf.DUMMYFUNCTION("""COMPUTED_VALUE"""),"toilet repair residential")</f>
        <v>toilet repair residential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 t="str">
        <f>IFERROR(__xludf.DUMMYFUNCTION("""COMPUTED_VALUE"""),"service leaking tap repair")</f>
        <v>service leaking tap repair</v>
      </c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 t="str">
        <f>IFERROR(__xludf.DUMMYFUNCTION("""COMPUTED_VALUE"""),"toilet repair same day")</f>
        <v>toilet repair same day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tr">
        <f>IFERROR(__xludf.DUMMYFUNCTION("""COMPUTED_VALUE"""),"service toilet repair")</f>
        <v>service toilet repair</v>
      </c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tr">
        <f>IFERROR(__xludf.DUMMYFUNCTION("""COMPUTED_VALUE"""),"toilet repair service")</f>
        <v>toilet repair service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tr">
        <f>IFERROR(__xludf.DUMMYFUNCTION("""COMPUTED_VALUE"""),"service water leak repair")</f>
        <v>service water leak repair</v>
      </c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 t="str">
        <f>IFERROR(__xludf.DUMMYFUNCTION("""COMPUTED_VALUE"""),"toilet repair urgent")</f>
        <v>toilet repair urgent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tr">
        <f>IFERROR(__xludf.DUMMYFUNCTION("""COMPUTED_VALUE"""),"toilet repair")</f>
        <v>toilet repair</v>
      </c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tr">
        <f>IFERROR(__xludf.DUMMYFUNCTION("""COMPUTED_VALUE"""),"toilet repair weekend")</f>
        <v>toilet repair weekend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 t="str">
        <f>IFERROR(__xludf.DUMMYFUNCTION("""COMPUTED_VALUE"""),"urgent 24 hour plumber")</f>
        <v>urgent 24 hour plumber</v>
      </c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 t="str">
        <f>IFERROR(__xludf.DUMMYFUNCTION("""COMPUTED_VALUE"""),"water leak repair")</f>
        <v>water leak repair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tr">
        <f>IFERROR(__xludf.DUMMYFUNCTION("""COMPUTED_VALUE"""),"urgent bathroom plumbing repair")</f>
        <v>urgent bathroom plumbing repair</v>
      </c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 t="str">
        <f>IFERROR(__xludf.DUMMYFUNCTION("""COMPUTED_VALUE"""),"water leak repair after hours")</f>
        <v>water leak repair after hours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 t="str">
        <f>IFERROR(__xludf.DUMMYFUNCTION("""COMPUTED_VALUE"""),"urgent blocked toilet plumber")</f>
        <v>urgent blocked toilet plumber</v>
      </c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 t="str">
        <f>IFERROR(__xludf.DUMMYFUNCTION("""COMPUTED_VALUE"""),"water leak repair call out")</f>
        <v>water leak repair call out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 t="str">
        <f>IFERROR(__xludf.DUMMYFUNCTION("""COMPUTED_VALUE"""),"urgent burst pipe repair")</f>
        <v>urgent burst pipe repair</v>
      </c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 t="str">
        <f>IFERROR(__xludf.DUMMYFUNCTION("""COMPUTED_VALUE"""),"water leak repair cape town")</f>
        <v>water leak repair cape town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 t="str">
        <f>IFERROR(__xludf.DUMMYFUNCTION("""COMPUTED_VALUE"""),"urgent emergency plumber")</f>
        <v>urgent emergency plumber</v>
      </c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 t="str">
        <f>IFERROR(__xludf.DUMMYFUNCTION("""COMPUTED_VALUE"""),"water leak repair commercial")</f>
        <v>water leak repair commercial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 t="str">
        <f>IFERROR(__xludf.DUMMYFUNCTION("""COMPUTED_VALUE"""),"urgent kitchen plumbing repair")</f>
        <v>urgent kitchen plumbing repair</v>
      </c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 t="str">
        <f>IFERROR(__xludf.DUMMYFUNCTION("""COMPUTED_VALUE"""),"water leak repair company")</f>
        <v>water leak repair company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 t="str">
        <f>IFERROR(__xludf.DUMMYFUNCTION("""COMPUTED_VALUE"""),"urgent leaking pipe repair")</f>
        <v>urgent leaking pipe repair</v>
      </c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 t="str">
        <f>IFERROR(__xludf.DUMMYFUNCTION("""COMPUTED_VALUE"""),"water leak repair cost")</f>
        <v>water leak repair cost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 t="str">
        <f>IFERROR(__xludf.DUMMYFUNCTION("""COMPUTED_VALUE"""),"urgent leaking tap repair")</f>
        <v>urgent leaking tap repair</v>
      </c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 t="str">
        <f>IFERROR(__xludf.DUMMYFUNCTION("""COMPUTED_VALUE"""),"water leak repair emergency")</f>
        <v>water leak repair emergency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 t="str">
        <f>IFERROR(__xludf.DUMMYFUNCTION("""COMPUTED_VALUE"""),"urgent toilet repair")</f>
        <v>urgent toilet repair</v>
      </c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 t="str">
        <f>IFERROR(__xludf.DUMMYFUNCTION("""COMPUTED_VALUE"""),"water leak repair fast")</f>
        <v>water leak repair fast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 t="str">
        <f>IFERROR(__xludf.DUMMYFUNCTION("""COMPUTED_VALUE"""),"urgent water leak repair")</f>
        <v>urgent water leak repair</v>
      </c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 t="str">
        <f>IFERROR(__xludf.DUMMYFUNCTION("""COMPUTED_VALUE"""),"water leak repair local")</f>
        <v>water leak repair local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 t="str">
        <f>IFERROR(__xludf.DUMMYFUNCTION("""COMPUTED_VALUE"""),"water leak repair")</f>
        <v>water leak repair</v>
      </c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 t="str">
        <f>IFERROR(__xludf.DUMMYFUNCTION("""COMPUTED_VALUE"""),"water leak repair near me")</f>
        <v>water leak repair near me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str">
        <f>IFERROR(__xludf.DUMMYFUNCTION("""COMPUTED_VALUE"""),"weekend 24 hour plumber")</f>
        <v>weekend 24 hour plumber</v>
      </c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 t="str">
        <f>IFERROR(__xludf.DUMMYFUNCTION("""COMPUTED_VALUE"""),"water leak repair plumber")</f>
        <v>water leak repair plumber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 t="str">
        <f>IFERROR(__xludf.DUMMYFUNCTION("""COMPUTED_VALUE"""),"weekend bathroom plumbing repair")</f>
        <v>weekend bathroom plumbing repair</v>
      </c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 t="str">
        <f>IFERROR(__xludf.DUMMYFUNCTION("""COMPUTED_VALUE"""),"water leak repair professional")</f>
        <v>water leak repair professional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 t="str">
        <f>IFERROR(__xludf.DUMMYFUNCTION("""COMPUTED_VALUE"""),"weekend blocked toilet plumber")</f>
        <v>weekend blocked toilet plumber</v>
      </c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 t="str">
        <f>IFERROR(__xludf.DUMMYFUNCTION("""COMPUTED_VALUE"""),"water leak repair quote")</f>
        <v>water leak repair quote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 t="str">
        <f>IFERROR(__xludf.DUMMYFUNCTION("""COMPUTED_VALUE"""),"weekend burst pipe repair")</f>
        <v>weekend burst pipe repair</v>
      </c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 t="str">
        <f>IFERROR(__xludf.DUMMYFUNCTION("""COMPUTED_VALUE"""),"water leak repair reliable")</f>
        <v>water leak repair reliable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str">
        <f>IFERROR(__xludf.DUMMYFUNCTION("""COMPUTED_VALUE"""),"weekend emergency plumber")</f>
        <v>weekend emergency plumber</v>
      </c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 t="str">
        <f>IFERROR(__xludf.DUMMYFUNCTION("""COMPUTED_VALUE"""),"water leak repair residential")</f>
        <v>water leak repair residential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 t="str">
        <f>IFERROR(__xludf.DUMMYFUNCTION("""COMPUTED_VALUE"""),"weekend kitchen plumbing repair")</f>
        <v>weekend kitchen plumbing repair</v>
      </c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 t="str">
        <f>IFERROR(__xludf.DUMMYFUNCTION("""COMPUTED_VALUE"""),"water leak repair same day")</f>
        <v>water leak repair same day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 t="str">
        <f>IFERROR(__xludf.DUMMYFUNCTION("""COMPUTED_VALUE"""),"weekend leaking pipe repair")</f>
        <v>weekend leaking pipe repair</v>
      </c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 t="str">
        <f>IFERROR(__xludf.DUMMYFUNCTION("""COMPUTED_VALUE"""),"water leak repair service")</f>
        <v>water leak repair service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 t="str">
        <f>IFERROR(__xludf.DUMMYFUNCTION("""COMPUTED_VALUE"""),"weekend leaking tap repair")</f>
        <v>weekend leaking tap repair</v>
      </c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 t="str">
        <f>IFERROR(__xludf.DUMMYFUNCTION("""COMPUTED_VALUE"""),"water leak repair urgent")</f>
        <v>water leak repair urgent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 t="str">
        <f>IFERROR(__xludf.DUMMYFUNCTION("""COMPUTED_VALUE"""),"weekend toilet repair")</f>
        <v>weekend toilet repair</v>
      </c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 t="str">
        <f>IFERROR(__xludf.DUMMYFUNCTION("""COMPUTED_VALUE"""),"water leak repair weekend")</f>
        <v>water leak repair weekend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tr">
        <f>IFERROR(__xludf.DUMMYFUNCTION("""COMPUTED_VALUE"""),"weekend water leak repair")</f>
        <v>weekend water leak repair</v>
      </c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5" t="s">
        <v>21</v>
      </c>
      <c r="M1" s="2"/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8" t="s">
        <v>32</v>
      </c>
      <c r="Y1" s="4"/>
      <c r="Z1" s="4"/>
    </row>
    <row r="2">
      <c r="A2" s="9" t="s">
        <v>35</v>
      </c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41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4"/>
      <c r="Z2" s="4"/>
    </row>
    <row r="3">
      <c r="A3" s="13" t="s">
        <v>45</v>
      </c>
      <c r="B3" s="14" t="str">
        <f t="shared" ref="B3:K3" si="1">IF($A3="","",IF(OR(ISNUMBER(SEARCH(LOWER($A3),LOWER(B$1))),AND(RIGHT(LOWER($A3),1)="s",ISNUMBER(SEARCH(LEFT(LOWER($A3),LEN($A3)-1),LOWER(B$1))))),B$1,B$1&amp;" "&amp;$A3))</f>
        <v>blocked drain cape town</v>
      </c>
      <c r="C3" s="14" t="str">
        <f t="shared" si="1"/>
        <v>drain cleaning cape town</v>
      </c>
      <c r="D3" s="14" t="str">
        <f t="shared" si="1"/>
        <v>drain unblocking cape town</v>
      </c>
      <c r="E3" s="14" t="str">
        <f t="shared" si="1"/>
        <v>drain inspection cape town</v>
      </c>
      <c r="F3" s="14" t="str">
        <f t="shared" si="1"/>
        <v>geyser repair cape town</v>
      </c>
      <c r="G3" s="14" t="str">
        <f t="shared" si="1"/>
        <v>geyser replacement cape town</v>
      </c>
      <c r="H3" s="14" t="str">
        <f t="shared" si="1"/>
        <v>burst geyser cape town</v>
      </c>
      <c r="I3" s="14" t="str">
        <f t="shared" si="1"/>
        <v>leak detection cape town</v>
      </c>
      <c r="J3" s="14" t="str">
        <f t="shared" si="1"/>
        <v>water leak detection cape town</v>
      </c>
      <c r="K3" s="14" t="str">
        <f t="shared" si="1"/>
        <v>pipe repair cape town</v>
      </c>
      <c r="L3" s="16" t="str">
        <f>IFERROR(__xludf.DUMMYFUNCTION("SORT(UNIQUE(FILTER(FLATTEN(B3:K82),FLATTEN(B3:K82)&lt;&gt;"""")))"),"blocked drain affordable")</f>
        <v>blocked drain affordable</v>
      </c>
      <c r="M3" s="17"/>
      <c r="N3" s="14" t="str">
        <f t="shared" ref="N3:W3" si="2">IF($A3="","",IF(OR(ISNUMBER(SEARCH(LOWER($A3),LOWER(N$1))),AND(RIGHT(LOWER($A3),1)="s",ISNUMBER(SEARCH(LEFT(LOWER($A3),LEN($A3)-1),LOWER(N$1))))),N$1,$A3&amp;" "&amp;N$1))</f>
        <v>cape town blocked drain</v>
      </c>
      <c r="O3" s="14" t="str">
        <f t="shared" si="2"/>
        <v>cape town drain cleaning</v>
      </c>
      <c r="P3" s="14" t="str">
        <f t="shared" si="2"/>
        <v>cape town drain unblocking</v>
      </c>
      <c r="Q3" s="14" t="str">
        <f t="shared" si="2"/>
        <v>cape town drain inspection</v>
      </c>
      <c r="R3" s="14" t="str">
        <f t="shared" si="2"/>
        <v>cape town geyser repair</v>
      </c>
      <c r="S3" s="14" t="str">
        <f t="shared" si="2"/>
        <v>cape town geyser replacement</v>
      </c>
      <c r="T3" s="14" t="str">
        <f t="shared" si="2"/>
        <v>cape town burst geyser</v>
      </c>
      <c r="U3" s="14" t="str">
        <f t="shared" si="2"/>
        <v>cape town leak detection</v>
      </c>
      <c r="V3" s="14" t="str">
        <f t="shared" si="2"/>
        <v>cape town water leak detection</v>
      </c>
      <c r="W3" s="14" t="str">
        <f t="shared" si="2"/>
        <v>cape town pipe repair</v>
      </c>
      <c r="X3" s="18" t="str">
        <f>IFERROR(__xludf.DUMMYFUNCTION("SORT(UNIQUE(FILTER(FLATTEN(N3:W82),FLATTEN(N3:W82)&lt;&gt;"""")))"),"affordable blocked drain")</f>
        <v>affordable blocked drain</v>
      </c>
      <c r="Y3" s="4"/>
      <c r="Z3" s="4"/>
    </row>
    <row r="4">
      <c r="A4" s="13" t="s">
        <v>54</v>
      </c>
      <c r="B4" s="14" t="str">
        <f t="shared" ref="B4:K4" si="3">IF($A4="","",IF(OR(ISNUMBER(SEARCH(LOWER($A4),LOWER(B$1))),AND(RIGHT(LOWER($A4),1)="s",ISNUMBER(SEARCH(LEFT(LOWER($A4),LEN($A4)-1),LOWER(B$1))))),B$1,B$1&amp;" "&amp;$A4))</f>
        <v>blocked drain near me</v>
      </c>
      <c r="C4" s="14" t="str">
        <f t="shared" si="3"/>
        <v>drain cleaning near me</v>
      </c>
      <c r="D4" s="14" t="str">
        <f t="shared" si="3"/>
        <v>drain unblocking near me</v>
      </c>
      <c r="E4" s="14" t="str">
        <f t="shared" si="3"/>
        <v>drain inspection near me</v>
      </c>
      <c r="F4" s="14" t="str">
        <f t="shared" si="3"/>
        <v>geyser repair near me</v>
      </c>
      <c r="G4" s="14" t="str">
        <f t="shared" si="3"/>
        <v>geyser replacement near me</v>
      </c>
      <c r="H4" s="14" t="str">
        <f t="shared" si="3"/>
        <v>burst geyser near me</v>
      </c>
      <c r="I4" s="14" t="str">
        <f t="shared" si="3"/>
        <v>leak detection near me</v>
      </c>
      <c r="J4" s="14" t="str">
        <f t="shared" si="3"/>
        <v>water leak detection near me</v>
      </c>
      <c r="K4" s="14" t="str">
        <f t="shared" si="3"/>
        <v>pipe repair near me</v>
      </c>
      <c r="L4" s="16" t="str">
        <f>IFERROR(__xludf.DUMMYFUNCTION("""COMPUTED_VALUE"""),"blocked drain best")</f>
        <v>blocked drain best</v>
      </c>
      <c r="M4" s="17"/>
      <c r="N4" s="14" t="str">
        <f t="shared" ref="N4:W4" si="4">IF($A4="","",IF(OR(ISNUMBER(SEARCH(LOWER($A4),LOWER(N$1))),AND(RIGHT(LOWER($A4),1)="s",ISNUMBER(SEARCH(LEFT(LOWER($A4),LEN($A4)-1),LOWER(N$1))))),N$1,$A4&amp;" "&amp;N$1))</f>
        <v>near me blocked drain</v>
      </c>
      <c r="O4" s="14" t="str">
        <f t="shared" si="4"/>
        <v>near me drain cleaning</v>
      </c>
      <c r="P4" s="14" t="str">
        <f t="shared" si="4"/>
        <v>near me drain unblocking</v>
      </c>
      <c r="Q4" s="14" t="str">
        <f t="shared" si="4"/>
        <v>near me drain inspection</v>
      </c>
      <c r="R4" s="14" t="str">
        <f t="shared" si="4"/>
        <v>near me geyser repair</v>
      </c>
      <c r="S4" s="14" t="str">
        <f t="shared" si="4"/>
        <v>near me geyser replacement</v>
      </c>
      <c r="T4" s="14" t="str">
        <f t="shared" si="4"/>
        <v>near me burst geyser</v>
      </c>
      <c r="U4" s="14" t="str">
        <f t="shared" si="4"/>
        <v>near me leak detection</v>
      </c>
      <c r="V4" s="14" t="str">
        <f t="shared" si="4"/>
        <v>near me water leak detection</v>
      </c>
      <c r="W4" s="14" t="str">
        <f t="shared" si="4"/>
        <v>near me pipe repair</v>
      </c>
      <c r="X4" s="18" t="str">
        <f>IFERROR(__xludf.DUMMYFUNCTION("""COMPUTED_VALUE"""),"affordable burst geyser")</f>
        <v>affordable burst geyser</v>
      </c>
      <c r="Y4" s="4"/>
      <c r="Z4" s="4"/>
    </row>
    <row r="5">
      <c r="A5" s="13" t="s">
        <v>44</v>
      </c>
      <c r="B5" s="14" t="str">
        <f t="shared" ref="B5:K5" si="5">IF($A5="","",IF(OR(ISNUMBER(SEARCH(LOWER($A5),LOWER(B$1))),AND(RIGHT(LOWER($A5),1)="s",ISNUMBER(SEARCH(LEFT(LOWER($A5),LEN($A5)-1),LOWER(B$1))))),B$1,B$1&amp;" "&amp;$A5))</f>
        <v>blocked drain emergency</v>
      </c>
      <c r="C5" s="14" t="str">
        <f t="shared" si="5"/>
        <v>drain cleaning emergency</v>
      </c>
      <c r="D5" s="14" t="str">
        <f t="shared" si="5"/>
        <v>drain unblocking emergency</v>
      </c>
      <c r="E5" s="14" t="str">
        <f t="shared" si="5"/>
        <v>drain inspection emergency</v>
      </c>
      <c r="F5" s="14" t="str">
        <f t="shared" si="5"/>
        <v>geyser repair emergency</v>
      </c>
      <c r="G5" s="14" t="str">
        <f t="shared" si="5"/>
        <v>geyser replacement emergency</v>
      </c>
      <c r="H5" s="14" t="str">
        <f t="shared" si="5"/>
        <v>burst geyser emergency</v>
      </c>
      <c r="I5" s="14" t="str">
        <f t="shared" si="5"/>
        <v>leak detection emergency</v>
      </c>
      <c r="J5" s="14" t="str">
        <f t="shared" si="5"/>
        <v>water leak detection emergency</v>
      </c>
      <c r="K5" s="14" t="str">
        <f t="shared" si="5"/>
        <v>pipe repair emergency</v>
      </c>
      <c r="L5" s="16" t="str">
        <f>IFERROR(__xludf.DUMMYFUNCTION("""COMPUTED_VALUE"""),"blocked drain cape town")</f>
        <v>blocked drain cape town</v>
      </c>
      <c r="M5" s="17"/>
      <c r="N5" s="14" t="str">
        <f t="shared" ref="N5:W5" si="6">IF($A5="","",IF(OR(ISNUMBER(SEARCH(LOWER($A5),LOWER(N$1))),AND(RIGHT(LOWER($A5),1)="s",ISNUMBER(SEARCH(LEFT(LOWER($A5),LEN($A5)-1),LOWER(N$1))))),N$1,$A5&amp;" "&amp;N$1))</f>
        <v>emergency blocked drain</v>
      </c>
      <c r="O5" s="14" t="str">
        <f t="shared" si="6"/>
        <v>emergency drain cleaning</v>
      </c>
      <c r="P5" s="14" t="str">
        <f t="shared" si="6"/>
        <v>emergency drain unblocking</v>
      </c>
      <c r="Q5" s="14" t="str">
        <f t="shared" si="6"/>
        <v>emergency drain inspection</v>
      </c>
      <c r="R5" s="14" t="str">
        <f t="shared" si="6"/>
        <v>emergency geyser repair</v>
      </c>
      <c r="S5" s="14" t="str">
        <f t="shared" si="6"/>
        <v>emergency geyser replacement</v>
      </c>
      <c r="T5" s="14" t="str">
        <f t="shared" si="6"/>
        <v>emergency burst geyser</v>
      </c>
      <c r="U5" s="14" t="str">
        <f t="shared" si="6"/>
        <v>emergency leak detection</v>
      </c>
      <c r="V5" s="14" t="str">
        <f t="shared" si="6"/>
        <v>emergency water leak detection</v>
      </c>
      <c r="W5" s="14" t="str">
        <f t="shared" si="6"/>
        <v>emergency pipe repair</v>
      </c>
      <c r="X5" s="18" t="str">
        <f>IFERROR(__xludf.DUMMYFUNCTION("""COMPUTED_VALUE"""),"affordable drain cleaning")</f>
        <v>affordable drain cleaning</v>
      </c>
      <c r="Y5" s="4"/>
      <c r="Z5" s="4"/>
    </row>
    <row r="6">
      <c r="A6" s="13" t="s">
        <v>58</v>
      </c>
      <c r="B6" s="14" t="str">
        <f t="shared" ref="B6:K6" si="7">IF($A6="","",IF(OR(ISNUMBER(SEARCH(LOWER($A6),LOWER(B$1))),AND(RIGHT(LOWER($A6),1)="s",ISNUMBER(SEARCH(LEFT(LOWER($A6),LEN($A6)-1),LOWER(B$1))))),B$1,B$1&amp;" "&amp;$A6))</f>
        <v>blocked drain same day</v>
      </c>
      <c r="C6" s="14" t="str">
        <f t="shared" si="7"/>
        <v>drain cleaning same day</v>
      </c>
      <c r="D6" s="14" t="str">
        <f t="shared" si="7"/>
        <v>drain unblocking same day</v>
      </c>
      <c r="E6" s="14" t="str">
        <f t="shared" si="7"/>
        <v>drain inspection same day</v>
      </c>
      <c r="F6" s="14" t="str">
        <f t="shared" si="7"/>
        <v>geyser repair same day</v>
      </c>
      <c r="G6" s="14" t="str">
        <f t="shared" si="7"/>
        <v>geyser replacement same day</v>
      </c>
      <c r="H6" s="14" t="str">
        <f t="shared" si="7"/>
        <v>burst geyser same day</v>
      </c>
      <c r="I6" s="14" t="str">
        <f t="shared" si="7"/>
        <v>leak detection same day</v>
      </c>
      <c r="J6" s="14" t="str">
        <f t="shared" si="7"/>
        <v>water leak detection same day</v>
      </c>
      <c r="K6" s="14" t="str">
        <f t="shared" si="7"/>
        <v>pipe repair same day</v>
      </c>
      <c r="L6" s="16" t="str">
        <f>IFERROR(__xludf.DUMMYFUNCTION("""COMPUTED_VALUE"""),"blocked drain CCTV")</f>
        <v>blocked drain CCTV</v>
      </c>
      <c r="M6" s="17"/>
      <c r="N6" s="14" t="str">
        <f t="shared" ref="N6:W6" si="8">IF($A6="","",IF(OR(ISNUMBER(SEARCH(LOWER($A6),LOWER(N$1))),AND(RIGHT(LOWER($A6),1)="s",ISNUMBER(SEARCH(LEFT(LOWER($A6),LEN($A6)-1),LOWER(N$1))))),N$1,$A6&amp;" "&amp;N$1))</f>
        <v>same day blocked drain</v>
      </c>
      <c r="O6" s="14" t="str">
        <f t="shared" si="8"/>
        <v>same day drain cleaning</v>
      </c>
      <c r="P6" s="14" t="str">
        <f t="shared" si="8"/>
        <v>same day drain unblocking</v>
      </c>
      <c r="Q6" s="14" t="str">
        <f t="shared" si="8"/>
        <v>same day drain inspection</v>
      </c>
      <c r="R6" s="14" t="str">
        <f t="shared" si="8"/>
        <v>same day geyser repair</v>
      </c>
      <c r="S6" s="14" t="str">
        <f t="shared" si="8"/>
        <v>same day geyser replacement</v>
      </c>
      <c r="T6" s="14" t="str">
        <f t="shared" si="8"/>
        <v>same day burst geyser</v>
      </c>
      <c r="U6" s="14" t="str">
        <f t="shared" si="8"/>
        <v>same day leak detection</v>
      </c>
      <c r="V6" s="14" t="str">
        <f t="shared" si="8"/>
        <v>same day water leak detection</v>
      </c>
      <c r="W6" s="14" t="str">
        <f t="shared" si="8"/>
        <v>same day pipe repair</v>
      </c>
      <c r="X6" s="18" t="str">
        <f>IFERROR(__xludf.DUMMYFUNCTION("""COMPUTED_VALUE"""),"affordable drain inspection")</f>
        <v>affordable drain inspection</v>
      </c>
      <c r="Y6" s="4"/>
      <c r="Z6" s="4"/>
    </row>
    <row r="7">
      <c r="A7" s="13" t="s">
        <v>4</v>
      </c>
      <c r="B7" s="14" t="str">
        <f t="shared" ref="B7:K7" si="9">IF($A7="","",IF(OR(ISNUMBER(SEARCH(LOWER($A7),LOWER(B$1))),AND(RIGHT(LOWER($A7),1)="s",ISNUMBER(SEARCH(LEFT(LOWER($A7),LEN($A7)-1),LOWER(B$1))))),B$1,B$1&amp;" "&amp;$A7))</f>
        <v>blocked drain plumber</v>
      </c>
      <c r="C7" s="14" t="str">
        <f t="shared" si="9"/>
        <v>drain cleaning plumber</v>
      </c>
      <c r="D7" s="14" t="str">
        <f t="shared" si="9"/>
        <v>drain unblocking plumber</v>
      </c>
      <c r="E7" s="14" t="str">
        <f t="shared" si="9"/>
        <v>drain inspection plumber</v>
      </c>
      <c r="F7" s="14" t="str">
        <f t="shared" si="9"/>
        <v>geyser repair plumber</v>
      </c>
      <c r="G7" s="14" t="str">
        <f t="shared" si="9"/>
        <v>geyser replacement plumber</v>
      </c>
      <c r="H7" s="14" t="str">
        <f t="shared" si="9"/>
        <v>burst geyser plumber</v>
      </c>
      <c r="I7" s="14" t="str">
        <f t="shared" si="9"/>
        <v>leak detection plumber</v>
      </c>
      <c r="J7" s="14" t="str">
        <f t="shared" si="9"/>
        <v>water leak detection plumber</v>
      </c>
      <c r="K7" s="14" t="str">
        <f t="shared" si="9"/>
        <v>pipe repair plumber</v>
      </c>
      <c r="L7" s="16" t="str">
        <f>IFERROR(__xludf.DUMMYFUNCTION("""COMPUTED_VALUE"""),"blocked drain commercial")</f>
        <v>blocked drain commercial</v>
      </c>
      <c r="M7" s="17"/>
      <c r="N7" s="14" t="str">
        <f t="shared" ref="N7:W7" si="10">IF($A7="","",IF(OR(ISNUMBER(SEARCH(LOWER($A7),LOWER(N$1))),AND(RIGHT(LOWER($A7),1)="s",ISNUMBER(SEARCH(LEFT(LOWER($A7),LEN($A7)-1),LOWER(N$1))))),N$1,$A7&amp;" "&amp;N$1))</f>
        <v>plumber blocked drain</v>
      </c>
      <c r="O7" s="14" t="str">
        <f t="shared" si="10"/>
        <v>plumber drain cleaning</v>
      </c>
      <c r="P7" s="14" t="str">
        <f t="shared" si="10"/>
        <v>plumber drain unblocking</v>
      </c>
      <c r="Q7" s="14" t="str">
        <f t="shared" si="10"/>
        <v>plumber drain inspection</v>
      </c>
      <c r="R7" s="14" t="str">
        <f t="shared" si="10"/>
        <v>plumber geyser repair</v>
      </c>
      <c r="S7" s="14" t="str">
        <f t="shared" si="10"/>
        <v>plumber geyser replacement</v>
      </c>
      <c r="T7" s="14" t="str">
        <f t="shared" si="10"/>
        <v>plumber burst geyser</v>
      </c>
      <c r="U7" s="14" t="str">
        <f t="shared" si="10"/>
        <v>plumber leak detection</v>
      </c>
      <c r="V7" s="14" t="str">
        <f t="shared" si="10"/>
        <v>plumber water leak detection</v>
      </c>
      <c r="W7" s="14" t="str">
        <f t="shared" si="10"/>
        <v>plumber pipe repair</v>
      </c>
      <c r="X7" s="18" t="str">
        <f>IFERROR(__xludf.DUMMYFUNCTION("""COMPUTED_VALUE"""),"affordable drain unblocking")</f>
        <v>affordable drain unblocking</v>
      </c>
      <c r="Y7" s="4"/>
      <c r="Z7" s="4"/>
    </row>
    <row r="8">
      <c r="A8" s="13" t="s">
        <v>5</v>
      </c>
      <c r="B8" s="14" t="str">
        <f t="shared" ref="B8:K8" si="11">IF($A8="","",IF(OR(ISNUMBER(SEARCH(LOWER($A8),LOWER(B$1))),AND(RIGHT(LOWER($A8),1)="s",ISNUMBER(SEARCH(LEFT(LOWER($A8),LEN($A8)-1),LOWER(B$1))))),B$1,B$1&amp;" "&amp;$A8))</f>
        <v>blocked drain plumbing company</v>
      </c>
      <c r="C8" s="14" t="str">
        <f t="shared" si="11"/>
        <v>drain cleaning plumbing company</v>
      </c>
      <c r="D8" s="14" t="str">
        <f t="shared" si="11"/>
        <v>drain unblocking plumbing company</v>
      </c>
      <c r="E8" s="14" t="str">
        <f t="shared" si="11"/>
        <v>drain inspection plumbing company</v>
      </c>
      <c r="F8" s="14" t="str">
        <f t="shared" si="11"/>
        <v>geyser repair plumbing company</v>
      </c>
      <c r="G8" s="14" t="str">
        <f t="shared" si="11"/>
        <v>geyser replacement plumbing company</v>
      </c>
      <c r="H8" s="14" t="str">
        <f t="shared" si="11"/>
        <v>burst geyser plumbing company</v>
      </c>
      <c r="I8" s="14" t="str">
        <f t="shared" si="11"/>
        <v>leak detection plumbing company</v>
      </c>
      <c r="J8" s="14" t="str">
        <f t="shared" si="11"/>
        <v>water leak detection plumbing company</v>
      </c>
      <c r="K8" s="14" t="str">
        <f t="shared" si="11"/>
        <v>pipe repair plumbing company</v>
      </c>
      <c r="L8" s="16" t="str">
        <f>IFERROR(__xludf.DUMMYFUNCTION("""COMPUTED_VALUE"""),"blocked drain cost")</f>
        <v>blocked drain cost</v>
      </c>
      <c r="M8" s="17"/>
      <c r="N8" s="14" t="str">
        <f t="shared" ref="N8:W8" si="12">IF($A8="","",IF(OR(ISNUMBER(SEARCH(LOWER($A8),LOWER(N$1))),AND(RIGHT(LOWER($A8),1)="s",ISNUMBER(SEARCH(LEFT(LOWER($A8),LEN($A8)-1),LOWER(N$1))))),N$1,$A8&amp;" "&amp;N$1))</f>
        <v>plumbing company blocked drain</v>
      </c>
      <c r="O8" s="14" t="str">
        <f t="shared" si="12"/>
        <v>plumbing company drain cleaning</v>
      </c>
      <c r="P8" s="14" t="str">
        <f t="shared" si="12"/>
        <v>plumbing company drain unblocking</v>
      </c>
      <c r="Q8" s="14" t="str">
        <f t="shared" si="12"/>
        <v>plumbing company drain inspection</v>
      </c>
      <c r="R8" s="14" t="str">
        <f t="shared" si="12"/>
        <v>plumbing company geyser repair</v>
      </c>
      <c r="S8" s="14" t="str">
        <f t="shared" si="12"/>
        <v>plumbing company geyser replacement</v>
      </c>
      <c r="T8" s="14" t="str">
        <f t="shared" si="12"/>
        <v>plumbing company burst geyser</v>
      </c>
      <c r="U8" s="14" t="str">
        <f t="shared" si="12"/>
        <v>plumbing company leak detection</v>
      </c>
      <c r="V8" s="14" t="str">
        <f t="shared" si="12"/>
        <v>plumbing company water leak detection</v>
      </c>
      <c r="W8" s="14" t="str">
        <f t="shared" si="12"/>
        <v>plumbing company pipe repair</v>
      </c>
      <c r="X8" s="18" t="str">
        <f>IFERROR(__xludf.DUMMYFUNCTION("""COMPUTED_VALUE"""),"affordable geyser repair")</f>
        <v>affordable geyser repair</v>
      </c>
      <c r="Y8" s="4"/>
      <c r="Z8" s="4"/>
    </row>
    <row r="9">
      <c r="A9" s="13" t="s">
        <v>87</v>
      </c>
      <c r="B9" s="14" t="str">
        <f t="shared" ref="B9:K9" si="13">IF($A9="","",IF(OR(ISNUMBER(SEARCH(LOWER($A9),LOWER(B$1))),AND(RIGHT(LOWER($A9),1)="s",ISNUMBER(SEARCH(LEFT(LOWER($A9),LEN($A9)-1),LOWER(B$1))))),B$1,B$1&amp;" "&amp;$A9))</f>
        <v>blocked drain service</v>
      </c>
      <c r="C9" s="14" t="str">
        <f t="shared" si="13"/>
        <v>drain cleaning service</v>
      </c>
      <c r="D9" s="14" t="str">
        <f t="shared" si="13"/>
        <v>drain unblocking service</v>
      </c>
      <c r="E9" s="14" t="str">
        <f t="shared" si="13"/>
        <v>drain inspection service</v>
      </c>
      <c r="F9" s="14" t="str">
        <f t="shared" si="13"/>
        <v>geyser repair service</v>
      </c>
      <c r="G9" s="14" t="str">
        <f t="shared" si="13"/>
        <v>geyser replacement service</v>
      </c>
      <c r="H9" s="14" t="str">
        <f t="shared" si="13"/>
        <v>burst geyser service</v>
      </c>
      <c r="I9" s="14" t="str">
        <f t="shared" si="13"/>
        <v>leak detection service</v>
      </c>
      <c r="J9" s="14" t="str">
        <f t="shared" si="13"/>
        <v>water leak detection service</v>
      </c>
      <c r="K9" s="14" t="str">
        <f t="shared" si="13"/>
        <v>pipe repair service</v>
      </c>
      <c r="L9" s="16" t="str">
        <f>IFERROR(__xludf.DUMMYFUNCTION("""COMPUTED_VALUE"""),"blocked drain emergency")</f>
        <v>blocked drain emergency</v>
      </c>
      <c r="M9" s="17"/>
      <c r="N9" s="14" t="str">
        <f t="shared" ref="N9:W9" si="14">IF($A9="","",IF(OR(ISNUMBER(SEARCH(LOWER($A9),LOWER(N$1))),AND(RIGHT(LOWER($A9),1)="s",ISNUMBER(SEARCH(LEFT(LOWER($A9),LEN($A9)-1),LOWER(N$1))))),N$1,$A9&amp;" "&amp;N$1))</f>
        <v>service blocked drain</v>
      </c>
      <c r="O9" s="14" t="str">
        <f t="shared" si="14"/>
        <v>service drain cleaning</v>
      </c>
      <c r="P9" s="14" t="str">
        <f t="shared" si="14"/>
        <v>service drain unblocking</v>
      </c>
      <c r="Q9" s="14" t="str">
        <f t="shared" si="14"/>
        <v>service drain inspection</v>
      </c>
      <c r="R9" s="14" t="str">
        <f t="shared" si="14"/>
        <v>service geyser repair</v>
      </c>
      <c r="S9" s="14" t="str">
        <f t="shared" si="14"/>
        <v>service geyser replacement</v>
      </c>
      <c r="T9" s="14" t="str">
        <f t="shared" si="14"/>
        <v>service burst geyser</v>
      </c>
      <c r="U9" s="14" t="str">
        <f t="shared" si="14"/>
        <v>service leak detection</v>
      </c>
      <c r="V9" s="14" t="str">
        <f t="shared" si="14"/>
        <v>service water leak detection</v>
      </c>
      <c r="W9" s="14" t="str">
        <f t="shared" si="14"/>
        <v>service pipe repair</v>
      </c>
      <c r="X9" s="18" t="str">
        <f>IFERROR(__xludf.DUMMYFUNCTION("""COMPUTED_VALUE"""),"affordable geyser replacement")</f>
        <v>affordable geyser replacement</v>
      </c>
      <c r="Y9" s="4"/>
      <c r="Z9" s="4"/>
    </row>
    <row r="10">
      <c r="A10" s="13" t="s">
        <v>71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blocked drain cost</v>
      </c>
      <c r="C10" s="14" t="str">
        <f t="shared" si="15"/>
        <v>drain cleaning cost</v>
      </c>
      <c r="D10" s="14" t="str">
        <f t="shared" si="15"/>
        <v>drain unblocking cost</v>
      </c>
      <c r="E10" s="14" t="str">
        <f t="shared" si="15"/>
        <v>drain inspection cost</v>
      </c>
      <c r="F10" s="14" t="str">
        <f t="shared" si="15"/>
        <v>geyser repair cost</v>
      </c>
      <c r="G10" s="14" t="str">
        <f t="shared" si="15"/>
        <v>geyser replacement cost</v>
      </c>
      <c r="H10" s="14" t="str">
        <f t="shared" si="15"/>
        <v>burst geyser cost</v>
      </c>
      <c r="I10" s="14" t="str">
        <f t="shared" si="15"/>
        <v>leak detection cost</v>
      </c>
      <c r="J10" s="14" t="str">
        <f t="shared" si="15"/>
        <v>water leak detection cost</v>
      </c>
      <c r="K10" s="14" t="str">
        <f t="shared" si="15"/>
        <v>pipe repair cost</v>
      </c>
      <c r="L10" s="16" t="str">
        <f>IFERROR(__xludf.DUMMYFUNCTION("""COMPUTED_VALUE"""),"blocked drain high pressure jetting")</f>
        <v>blocked drain high pressure jetting</v>
      </c>
      <c r="M10" s="17"/>
      <c r="N10" s="14" t="str">
        <f t="shared" ref="N10:W10" si="16">IF($A10="","",IF(OR(ISNUMBER(SEARCH(LOWER($A10),LOWER(N$1))),AND(RIGHT(LOWER($A10),1)="s",ISNUMBER(SEARCH(LEFT(LOWER($A10),LEN($A10)-1),LOWER(N$1))))),N$1,$A10&amp;" "&amp;N$1))</f>
        <v>cost blocked drain</v>
      </c>
      <c r="O10" s="14" t="str">
        <f t="shared" si="16"/>
        <v>cost drain cleaning</v>
      </c>
      <c r="P10" s="14" t="str">
        <f t="shared" si="16"/>
        <v>cost drain unblocking</v>
      </c>
      <c r="Q10" s="14" t="str">
        <f t="shared" si="16"/>
        <v>cost drain inspection</v>
      </c>
      <c r="R10" s="14" t="str">
        <f t="shared" si="16"/>
        <v>cost geyser repair</v>
      </c>
      <c r="S10" s="14" t="str">
        <f t="shared" si="16"/>
        <v>cost geyser replacement</v>
      </c>
      <c r="T10" s="14" t="str">
        <f t="shared" si="16"/>
        <v>cost burst geyser</v>
      </c>
      <c r="U10" s="14" t="str">
        <f t="shared" si="16"/>
        <v>cost leak detection</v>
      </c>
      <c r="V10" s="14" t="str">
        <f t="shared" si="16"/>
        <v>cost water leak detection</v>
      </c>
      <c r="W10" s="14" t="str">
        <f t="shared" si="16"/>
        <v>cost pipe repair</v>
      </c>
      <c r="X10" s="18" t="str">
        <f>IFERROR(__xludf.DUMMYFUNCTION("""COMPUTED_VALUE"""),"affordable leak detection")</f>
        <v>affordable leak detection</v>
      </c>
      <c r="Y10" s="4"/>
      <c r="Z10" s="4"/>
    </row>
    <row r="11">
      <c r="A11" s="13" t="s">
        <v>74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blocked drain quote</v>
      </c>
      <c r="C11" s="14" t="str">
        <f t="shared" si="17"/>
        <v>drain cleaning quote</v>
      </c>
      <c r="D11" s="14" t="str">
        <f t="shared" si="17"/>
        <v>drain unblocking quote</v>
      </c>
      <c r="E11" s="14" t="str">
        <f t="shared" si="17"/>
        <v>drain inspection quote</v>
      </c>
      <c r="F11" s="14" t="str">
        <f t="shared" si="17"/>
        <v>geyser repair quote</v>
      </c>
      <c r="G11" s="14" t="str">
        <f t="shared" si="17"/>
        <v>geyser replacement quote</v>
      </c>
      <c r="H11" s="14" t="str">
        <f t="shared" si="17"/>
        <v>burst geyser quote</v>
      </c>
      <c r="I11" s="14" t="str">
        <f t="shared" si="17"/>
        <v>leak detection quote</v>
      </c>
      <c r="J11" s="14" t="str">
        <f t="shared" si="17"/>
        <v>water leak detection quote</v>
      </c>
      <c r="K11" s="14" t="str">
        <f t="shared" si="17"/>
        <v>pipe repair quote</v>
      </c>
      <c r="L11" s="16" t="str">
        <f>IFERROR(__xludf.DUMMYFUNCTION("""COMPUTED_VALUE"""),"blocked drain installation")</f>
        <v>blocked drain installation</v>
      </c>
      <c r="M11" s="17"/>
      <c r="N11" s="14" t="str">
        <f t="shared" ref="N11:W11" si="18">IF($A11="","",IF(OR(ISNUMBER(SEARCH(LOWER($A11),LOWER(N$1))),AND(RIGHT(LOWER($A11),1)="s",ISNUMBER(SEARCH(LEFT(LOWER($A11),LEN($A11)-1),LOWER(N$1))))),N$1,$A11&amp;" "&amp;N$1))</f>
        <v>quote blocked drain</v>
      </c>
      <c r="O11" s="14" t="str">
        <f t="shared" si="18"/>
        <v>quote drain cleaning</v>
      </c>
      <c r="P11" s="14" t="str">
        <f t="shared" si="18"/>
        <v>quote drain unblocking</v>
      </c>
      <c r="Q11" s="14" t="str">
        <f t="shared" si="18"/>
        <v>quote drain inspection</v>
      </c>
      <c r="R11" s="14" t="str">
        <f t="shared" si="18"/>
        <v>quote geyser repair</v>
      </c>
      <c r="S11" s="14" t="str">
        <f t="shared" si="18"/>
        <v>quote geyser replacement</v>
      </c>
      <c r="T11" s="14" t="str">
        <f t="shared" si="18"/>
        <v>quote burst geyser</v>
      </c>
      <c r="U11" s="14" t="str">
        <f t="shared" si="18"/>
        <v>quote leak detection</v>
      </c>
      <c r="V11" s="14" t="str">
        <f t="shared" si="18"/>
        <v>quote water leak detection</v>
      </c>
      <c r="W11" s="14" t="str">
        <f t="shared" si="18"/>
        <v>quote pipe repair</v>
      </c>
      <c r="X11" s="18" t="str">
        <f>IFERROR(__xludf.DUMMYFUNCTION("""COMPUTED_VALUE"""),"affordable pipe repair")</f>
        <v>affordable pipe repair</v>
      </c>
      <c r="Y11" s="4"/>
      <c r="Z11" s="4"/>
    </row>
    <row r="12">
      <c r="A12" s="13" t="s">
        <v>115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blocked drain specialist</v>
      </c>
      <c r="C12" s="14" t="str">
        <f t="shared" si="19"/>
        <v>drain cleaning specialist</v>
      </c>
      <c r="D12" s="14" t="str">
        <f t="shared" si="19"/>
        <v>drain unblocking specialist</v>
      </c>
      <c r="E12" s="14" t="str">
        <f t="shared" si="19"/>
        <v>drain inspection specialist</v>
      </c>
      <c r="F12" s="14" t="str">
        <f t="shared" si="19"/>
        <v>geyser repair specialist</v>
      </c>
      <c r="G12" s="14" t="str">
        <f t="shared" si="19"/>
        <v>geyser replacement specialist</v>
      </c>
      <c r="H12" s="14" t="str">
        <f t="shared" si="19"/>
        <v>burst geyser specialist</v>
      </c>
      <c r="I12" s="14" t="str">
        <f t="shared" si="19"/>
        <v>leak detection specialist</v>
      </c>
      <c r="J12" s="14" t="str">
        <f t="shared" si="19"/>
        <v>water leak detection specialist</v>
      </c>
      <c r="K12" s="14" t="str">
        <f t="shared" si="19"/>
        <v>pipe repair specialist</v>
      </c>
      <c r="L12" s="16" t="str">
        <f>IFERROR(__xludf.DUMMYFUNCTION("""COMPUTED_VALUE"""),"blocked drain near me")</f>
        <v>blocked drain near me</v>
      </c>
      <c r="M12" s="17"/>
      <c r="N12" s="14" t="str">
        <f t="shared" ref="N12:W12" si="20">IF($A12="","",IF(OR(ISNUMBER(SEARCH(LOWER($A12),LOWER(N$1))),AND(RIGHT(LOWER($A12),1)="s",ISNUMBER(SEARCH(LEFT(LOWER($A12),LEN($A12)-1),LOWER(N$1))))),N$1,$A12&amp;" "&amp;N$1))</f>
        <v>specialist blocked drain</v>
      </c>
      <c r="O12" s="14" t="str">
        <f t="shared" si="20"/>
        <v>specialist drain cleaning</v>
      </c>
      <c r="P12" s="14" t="str">
        <f t="shared" si="20"/>
        <v>specialist drain unblocking</v>
      </c>
      <c r="Q12" s="14" t="str">
        <f t="shared" si="20"/>
        <v>specialist drain inspection</v>
      </c>
      <c r="R12" s="14" t="str">
        <f t="shared" si="20"/>
        <v>specialist geyser repair</v>
      </c>
      <c r="S12" s="14" t="str">
        <f t="shared" si="20"/>
        <v>specialist geyser replacement</v>
      </c>
      <c r="T12" s="14" t="str">
        <f t="shared" si="20"/>
        <v>specialist burst geyser</v>
      </c>
      <c r="U12" s="14" t="str">
        <f t="shared" si="20"/>
        <v>specialist leak detection</v>
      </c>
      <c r="V12" s="14" t="str">
        <f t="shared" si="20"/>
        <v>specialist water leak detection</v>
      </c>
      <c r="W12" s="14" t="str">
        <f t="shared" si="20"/>
        <v>specialist pipe repair</v>
      </c>
      <c r="X12" s="18" t="str">
        <f>IFERROR(__xludf.DUMMYFUNCTION("""COMPUTED_VALUE"""),"affordable water leak detection")</f>
        <v>affordable water leak detection</v>
      </c>
      <c r="Y12" s="4"/>
      <c r="Z12" s="4"/>
    </row>
    <row r="13">
      <c r="A13" s="13" t="s">
        <v>116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blocked drain CCTV</v>
      </c>
      <c r="C13" s="14" t="str">
        <f t="shared" si="21"/>
        <v>drain cleaning CCTV</v>
      </c>
      <c r="D13" s="14" t="str">
        <f t="shared" si="21"/>
        <v>drain unblocking CCTV</v>
      </c>
      <c r="E13" s="14" t="str">
        <f t="shared" si="21"/>
        <v>drain inspection CCTV</v>
      </c>
      <c r="F13" s="14" t="str">
        <f t="shared" si="21"/>
        <v>geyser repair CCTV</v>
      </c>
      <c r="G13" s="14" t="str">
        <f t="shared" si="21"/>
        <v>geyser replacement CCTV</v>
      </c>
      <c r="H13" s="14" t="str">
        <f t="shared" si="21"/>
        <v>burst geyser CCTV</v>
      </c>
      <c r="I13" s="14" t="str">
        <f t="shared" si="21"/>
        <v>leak detection CCTV</v>
      </c>
      <c r="J13" s="14" t="str">
        <f t="shared" si="21"/>
        <v>water leak detection CCTV</v>
      </c>
      <c r="K13" s="14" t="str">
        <f t="shared" si="21"/>
        <v>pipe repair CCTV</v>
      </c>
      <c r="L13" s="16" t="str">
        <f>IFERROR(__xludf.DUMMYFUNCTION("""COMPUTED_VALUE"""),"blocked drain plumber")</f>
        <v>blocked drain plumber</v>
      </c>
      <c r="M13" s="17"/>
      <c r="N13" s="14" t="str">
        <f t="shared" ref="N13:W13" si="22">IF($A13="","",IF(OR(ISNUMBER(SEARCH(LOWER($A13),LOWER(N$1))),AND(RIGHT(LOWER($A13),1)="s",ISNUMBER(SEARCH(LEFT(LOWER($A13),LEN($A13)-1),LOWER(N$1))))),N$1,$A13&amp;" "&amp;N$1))</f>
        <v>CCTV blocked drain</v>
      </c>
      <c r="O13" s="14" t="str">
        <f t="shared" si="22"/>
        <v>CCTV drain cleaning</v>
      </c>
      <c r="P13" s="14" t="str">
        <f t="shared" si="22"/>
        <v>CCTV drain unblocking</v>
      </c>
      <c r="Q13" s="14" t="str">
        <f t="shared" si="22"/>
        <v>CCTV drain inspection</v>
      </c>
      <c r="R13" s="14" t="str">
        <f t="shared" si="22"/>
        <v>CCTV geyser repair</v>
      </c>
      <c r="S13" s="14" t="str">
        <f t="shared" si="22"/>
        <v>CCTV geyser replacement</v>
      </c>
      <c r="T13" s="14" t="str">
        <f t="shared" si="22"/>
        <v>CCTV burst geyser</v>
      </c>
      <c r="U13" s="14" t="str">
        <f t="shared" si="22"/>
        <v>CCTV leak detection</v>
      </c>
      <c r="V13" s="14" t="str">
        <f t="shared" si="22"/>
        <v>CCTV water leak detection</v>
      </c>
      <c r="W13" s="14" t="str">
        <f t="shared" si="22"/>
        <v>CCTV pipe repair</v>
      </c>
      <c r="X13" s="18" t="str">
        <f>IFERROR(__xludf.DUMMYFUNCTION("""COMPUTED_VALUE"""),"best blocked drain")</f>
        <v>best blocked drain</v>
      </c>
      <c r="Y13" s="4"/>
      <c r="Z13" s="4"/>
    </row>
    <row r="14">
      <c r="A14" s="13" t="s">
        <v>117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blocked drain high pressure jetting</v>
      </c>
      <c r="C14" s="14" t="str">
        <f t="shared" si="23"/>
        <v>drain cleaning high pressure jetting</v>
      </c>
      <c r="D14" s="14" t="str">
        <f t="shared" si="23"/>
        <v>drain unblocking high pressure jetting</v>
      </c>
      <c r="E14" s="14" t="str">
        <f t="shared" si="23"/>
        <v>drain inspection high pressure jetting</v>
      </c>
      <c r="F14" s="14" t="str">
        <f t="shared" si="23"/>
        <v>geyser repair high pressure jetting</v>
      </c>
      <c r="G14" s="14" t="str">
        <f t="shared" si="23"/>
        <v>geyser replacement high pressure jetting</v>
      </c>
      <c r="H14" s="14" t="str">
        <f t="shared" si="23"/>
        <v>burst geyser high pressure jetting</v>
      </c>
      <c r="I14" s="14" t="str">
        <f t="shared" si="23"/>
        <v>leak detection high pressure jetting</v>
      </c>
      <c r="J14" s="14" t="str">
        <f t="shared" si="23"/>
        <v>water leak detection high pressure jetting</v>
      </c>
      <c r="K14" s="14" t="str">
        <f t="shared" si="23"/>
        <v>pipe repair high pressure jetting</v>
      </c>
      <c r="L14" s="16" t="str">
        <f>IFERROR(__xludf.DUMMYFUNCTION("""COMPUTED_VALUE"""),"blocked drain plumbing company")</f>
        <v>blocked drain plumbing company</v>
      </c>
      <c r="M14" s="17"/>
      <c r="N14" s="14" t="str">
        <f t="shared" ref="N14:W14" si="24">IF($A14="","",IF(OR(ISNUMBER(SEARCH(LOWER($A14),LOWER(N$1))),AND(RIGHT(LOWER($A14),1)="s",ISNUMBER(SEARCH(LEFT(LOWER($A14),LEN($A14)-1),LOWER(N$1))))),N$1,$A14&amp;" "&amp;N$1))</f>
        <v>high pressure jetting blocked drain</v>
      </c>
      <c r="O14" s="14" t="str">
        <f t="shared" si="24"/>
        <v>high pressure jetting drain cleaning</v>
      </c>
      <c r="P14" s="14" t="str">
        <f t="shared" si="24"/>
        <v>high pressure jetting drain unblocking</v>
      </c>
      <c r="Q14" s="14" t="str">
        <f t="shared" si="24"/>
        <v>high pressure jetting drain inspection</v>
      </c>
      <c r="R14" s="14" t="str">
        <f t="shared" si="24"/>
        <v>high pressure jetting geyser repair</v>
      </c>
      <c r="S14" s="14" t="str">
        <f t="shared" si="24"/>
        <v>high pressure jetting geyser replacement</v>
      </c>
      <c r="T14" s="14" t="str">
        <f t="shared" si="24"/>
        <v>high pressure jetting burst geyser</v>
      </c>
      <c r="U14" s="14" t="str">
        <f t="shared" si="24"/>
        <v>high pressure jetting leak detection</v>
      </c>
      <c r="V14" s="14" t="str">
        <f t="shared" si="24"/>
        <v>high pressure jetting water leak detection</v>
      </c>
      <c r="W14" s="14" t="str">
        <f t="shared" si="24"/>
        <v>high pressure jetting pipe repair</v>
      </c>
      <c r="X14" s="18" t="str">
        <f>IFERROR(__xludf.DUMMYFUNCTION("""COMPUTED_VALUE"""),"best burst geyser")</f>
        <v>best burst geyser</v>
      </c>
      <c r="Y14" s="4"/>
      <c r="Z14" s="4"/>
    </row>
    <row r="15">
      <c r="A15" s="13" t="s">
        <v>82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blocked drain repair</v>
      </c>
      <c r="C15" s="14" t="str">
        <f t="shared" si="25"/>
        <v>drain cleaning repair</v>
      </c>
      <c r="D15" s="14" t="str">
        <f t="shared" si="25"/>
        <v>drain unblocking repair</v>
      </c>
      <c r="E15" s="14" t="str">
        <f t="shared" si="25"/>
        <v>drain inspection repair</v>
      </c>
      <c r="F15" s="14" t="str">
        <f t="shared" si="25"/>
        <v>geyser repair</v>
      </c>
      <c r="G15" s="14" t="str">
        <f t="shared" si="25"/>
        <v>geyser replacement repair</v>
      </c>
      <c r="H15" s="14" t="str">
        <f t="shared" si="25"/>
        <v>burst geyser repair</v>
      </c>
      <c r="I15" s="14" t="str">
        <f t="shared" si="25"/>
        <v>leak detection repair</v>
      </c>
      <c r="J15" s="14" t="str">
        <f t="shared" si="25"/>
        <v>water leak detection repair</v>
      </c>
      <c r="K15" s="14" t="str">
        <f t="shared" si="25"/>
        <v>pipe repair</v>
      </c>
      <c r="L15" s="16" t="str">
        <f>IFERROR(__xludf.DUMMYFUNCTION("""COMPUTED_VALUE"""),"blocked drain quote")</f>
        <v>blocked drain quote</v>
      </c>
      <c r="M15" s="17"/>
      <c r="N15" s="14" t="str">
        <f t="shared" ref="N15:W15" si="26">IF($A15="","",IF(OR(ISNUMBER(SEARCH(LOWER($A15),LOWER(N$1))),AND(RIGHT(LOWER($A15),1)="s",ISNUMBER(SEARCH(LEFT(LOWER($A15),LEN($A15)-1),LOWER(N$1))))),N$1,$A15&amp;" "&amp;N$1))</f>
        <v>repair blocked drain</v>
      </c>
      <c r="O15" s="14" t="str">
        <f t="shared" si="26"/>
        <v>repair drain cleaning</v>
      </c>
      <c r="P15" s="14" t="str">
        <f t="shared" si="26"/>
        <v>repair drain unblocking</v>
      </c>
      <c r="Q15" s="14" t="str">
        <f t="shared" si="26"/>
        <v>repair drain inspection</v>
      </c>
      <c r="R15" s="14" t="str">
        <f t="shared" si="26"/>
        <v>geyser repair</v>
      </c>
      <c r="S15" s="14" t="str">
        <f t="shared" si="26"/>
        <v>repair geyser replacement</v>
      </c>
      <c r="T15" s="14" t="str">
        <f t="shared" si="26"/>
        <v>repair burst geyser</v>
      </c>
      <c r="U15" s="14" t="str">
        <f t="shared" si="26"/>
        <v>repair leak detection</v>
      </c>
      <c r="V15" s="14" t="str">
        <f t="shared" si="26"/>
        <v>repair water leak detection</v>
      </c>
      <c r="W15" s="14" t="str">
        <f t="shared" si="26"/>
        <v>pipe repair</v>
      </c>
      <c r="X15" s="18" t="str">
        <f>IFERROR(__xludf.DUMMYFUNCTION("""COMPUTED_VALUE"""),"best drain cleaning")</f>
        <v>best drain cleaning</v>
      </c>
      <c r="Y15" s="4"/>
      <c r="Z15" s="4"/>
    </row>
    <row r="16">
      <c r="A16" s="13" t="s">
        <v>118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blocked drain replacement</v>
      </c>
      <c r="C16" s="14" t="str">
        <f t="shared" si="27"/>
        <v>drain cleaning replacement</v>
      </c>
      <c r="D16" s="14" t="str">
        <f t="shared" si="27"/>
        <v>drain unblocking replacement</v>
      </c>
      <c r="E16" s="14" t="str">
        <f t="shared" si="27"/>
        <v>drain inspection replacement</v>
      </c>
      <c r="F16" s="14" t="str">
        <f t="shared" si="27"/>
        <v>geyser repair replacement</v>
      </c>
      <c r="G16" s="14" t="str">
        <f t="shared" si="27"/>
        <v>geyser replacement</v>
      </c>
      <c r="H16" s="14" t="str">
        <f t="shared" si="27"/>
        <v>burst geyser replacement</v>
      </c>
      <c r="I16" s="14" t="str">
        <f t="shared" si="27"/>
        <v>leak detection replacement</v>
      </c>
      <c r="J16" s="14" t="str">
        <f t="shared" si="27"/>
        <v>water leak detection replacement</v>
      </c>
      <c r="K16" s="14" t="str">
        <f t="shared" si="27"/>
        <v>pipe repair replacement</v>
      </c>
      <c r="L16" s="16" t="str">
        <f>IFERROR(__xludf.DUMMYFUNCTION("""COMPUTED_VALUE"""),"blocked drain reliable")</f>
        <v>blocked drain reliable</v>
      </c>
      <c r="M16" s="17"/>
      <c r="N16" s="14" t="str">
        <f t="shared" ref="N16:W16" si="28">IF($A16="","",IF(OR(ISNUMBER(SEARCH(LOWER($A16),LOWER(N$1))),AND(RIGHT(LOWER($A16),1)="s",ISNUMBER(SEARCH(LEFT(LOWER($A16),LEN($A16)-1),LOWER(N$1))))),N$1,$A16&amp;" "&amp;N$1))</f>
        <v>replacement blocked drain</v>
      </c>
      <c r="O16" s="14" t="str">
        <f t="shared" si="28"/>
        <v>replacement drain cleaning</v>
      </c>
      <c r="P16" s="14" t="str">
        <f t="shared" si="28"/>
        <v>replacement drain unblocking</v>
      </c>
      <c r="Q16" s="14" t="str">
        <f t="shared" si="28"/>
        <v>replacement drain inspection</v>
      </c>
      <c r="R16" s="14" t="str">
        <f t="shared" si="28"/>
        <v>replacement geyser repair</v>
      </c>
      <c r="S16" s="14" t="str">
        <f t="shared" si="28"/>
        <v>geyser replacement</v>
      </c>
      <c r="T16" s="14" t="str">
        <f t="shared" si="28"/>
        <v>replacement burst geyser</v>
      </c>
      <c r="U16" s="14" t="str">
        <f t="shared" si="28"/>
        <v>replacement leak detection</v>
      </c>
      <c r="V16" s="14" t="str">
        <f t="shared" si="28"/>
        <v>replacement water leak detection</v>
      </c>
      <c r="W16" s="14" t="str">
        <f t="shared" si="28"/>
        <v>replacement pipe repair</v>
      </c>
      <c r="X16" s="18" t="str">
        <f>IFERROR(__xludf.DUMMYFUNCTION("""COMPUTED_VALUE"""),"best drain inspection")</f>
        <v>best drain inspection</v>
      </c>
      <c r="Y16" s="4"/>
      <c r="Z16" s="4"/>
    </row>
    <row r="17">
      <c r="A17" s="13" t="s">
        <v>84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blocked drain installation</v>
      </c>
      <c r="C17" s="14" t="str">
        <f t="shared" si="29"/>
        <v>drain cleaning installation</v>
      </c>
      <c r="D17" s="14" t="str">
        <f t="shared" si="29"/>
        <v>drain unblocking installation</v>
      </c>
      <c r="E17" s="14" t="str">
        <f t="shared" si="29"/>
        <v>drain inspection installation</v>
      </c>
      <c r="F17" s="14" t="str">
        <f t="shared" si="29"/>
        <v>geyser repair installation</v>
      </c>
      <c r="G17" s="14" t="str">
        <f t="shared" si="29"/>
        <v>geyser replacement installation</v>
      </c>
      <c r="H17" s="14" t="str">
        <f t="shared" si="29"/>
        <v>burst geyser installation</v>
      </c>
      <c r="I17" s="14" t="str">
        <f t="shared" si="29"/>
        <v>leak detection installation</v>
      </c>
      <c r="J17" s="14" t="str">
        <f t="shared" si="29"/>
        <v>water leak detection installation</v>
      </c>
      <c r="K17" s="14" t="str">
        <f t="shared" si="29"/>
        <v>pipe repair installation</v>
      </c>
      <c r="L17" s="16" t="str">
        <f>IFERROR(__xludf.DUMMYFUNCTION("""COMPUTED_VALUE"""),"blocked drain repair")</f>
        <v>blocked drain repair</v>
      </c>
      <c r="M17" s="17"/>
      <c r="N17" s="14" t="str">
        <f t="shared" ref="N17:W17" si="30">IF($A17="","",IF(OR(ISNUMBER(SEARCH(LOWER($A17),LOWER(N$1))),AND(RIGHT(LOWER($A17),1)="s",ISNUMBER(SEARCH(LEFT(LOWER($A17),LEN($A17)-1),LOWER(N$1))))),N$1,$A17&amp;" "&amp;N$1))</f>
        <v>installation blocked drain</v>
      </c>
      <c r="O17" s="14" t="str">
        <f t="shared" si="30"/>
        <v>installation drain cleaning</v>
      </c>
      <c r="P17" s="14" t="str">
        <f t="shared" si="30"/>
        <v>installation drain unblocking</v>
      </c>
      <c r="Q17" s="14" t="str">
        <f t="shared" si="30"/>
        <v>installation drain inspection</v>
      </c>
      <c r="R17" s="14" t="str">
        <f t="shared" si="30"/>
        <v>installation geyser repair</v>
      </c>
      <c r="S17" s="14" t="str">
        <f t="shared" si="30"/>
        <v>installation geyser replacement</v>
      </c>
      <c r="T17" s="14" t="str">
        <f t="shared" si="30"/>
        <v>installation burst geyser</v>
      </c>
      <c r="U17" s="14" t="str">
        <f t="shared" si="30"/>
        <v>installation leak detection</v>
      </c>
      <c r="V17" s="14" t="str">
        <f t="shared" si="30"/>
        <v>installation water leak detection</v>
      </c>
      <c r="W17" s="14" t="str">
        <f t="shared" si="30"/>
        <v>installation pipe repair</v>
      </c>
      <c r="X17" s="18" t="str">
        <f>IFERROR(__xludf.DUMMYFUNCTION("""COMPUTED_VALUE"""),"best drain unblocking")</f>
        <v>best drain unblocking</v>
      </c>
      <c r="Y17" s="4"/>
      <c r="Z17" s="4"/>
    </row>
    <row r="18">
      <c r="A18" s="13" t="s">
        <v>85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blocked drain residential</v>
      </c>
      <c r="C18" s="14" t="str">
        <f t="shared" si="31"/>
        <v>drain cleaning residential</v>
      </c>
      <c r="D18" s="14" t="str">
        <f t="shared" si="31"/>
        <v>drain unblocking residential</v>
      </c>
      <c r="E18" s="14" t="str">
        <f t="shared" si="31"/>
        <v>drain inspection residential</v>
      </c>
      <c r="F18" s="14" t="str">
        <f t="shared" si="31"/>
        <v>geyser repair residential</v>
      </c>
      <c r="G18" s="14" t="str">
        <f t="shared" si="31"/>
        <v>geyser replacement residential</v>
      </c>
      <c r="H18" s="14" t="str">
        <f t="shared" si="31"/>
        <v>burst geyser residential</v>
      </c>
      <c r="I18" s="14" t="str">
        <f t="shared" si="31"/>
        <v>leak detection residential</v>
      </c>
      <c r="J18" s="14" t="str">
        <f t="shared" si="31"/>
        <v>water leak detection residential</v>
      </c>
      <c r="K18" s="14" t="str">
        <f t="shared" si="31"/>
        <v>pipe repair residential</v>
      </c>
      <c r="L18" s="16" t="str">
        <f>IFERROR(__xludf.DUMMYFUNCTION("""COMPUTED_VALUE"""),"blocked drain replacement")</f>
        <v>blocked drain replacement</v>
      </c>
      <c r="M18" s="17"/>
      <c r="N18" s="14" t="str">
        <f t="shared" ref="N18:W18" si="32">IF($A18="","",IF(OR(ISNUMBER(SEARCH(LOWER($A18),LOWER(N$1))),AND(RIGHT(LOWER($A18),1)="s",ISNUMBER(SEARCH(LEFT(LOWER($A18),LEN($A18)-1),LOWER(N$1))))),N$1,$A18&amp;" "&amp;N$1))</f>
        <v>residential blocked drain</v>
      </c>
      <c r="O18" s="14" t="str">
        <f t="shared" si="32"/>
        <v>residential drain cleaning</v>
      </c>
      <c r="P18" s="14" t="str">
        <f t="shared" si="32"/>
        <v>residential drain unblocking</v>
      </c>
      <c r="Q18" s="14" t="str">
        <f t="shared" si="32"/>
        <v>residential drain inspection</v>
      </c>
      <c r="R18" s="14" t="str">
        <f t="shared" si="32"/>
        <v>residential geyser repair</v>
      </c>
      <c r="S18" s="14" t="str">
        <f t="shared" si="32"/>
        <v>residential geyser replacement</v>
      </c>
      <c r="T18" s="14" t="str">
        <f t="shared" si="32"/>
        <v>residential burst geyser</v>
      </c>
      <c r="U18" s="14" t="str">
        <f t="shared" si="32"/>
        <v>residential leak detection</v>
      </c>
      <c r="V18" s="14" t="str">
        <f t="shared" si="32"/>
        <v>residential water leak detection</v>
      </c>
      <c r="W18" s="14" t="str">
        <f t="shared" si="32"/>
        <v>residential pipe repair</v>
      </c>
      <c r="X18" s="18" t="str">
        <f>IFERROR(__xludf.DUMMYFUNCTION("""COMPUTED_VALUE"""),"best geyser repair")</f>
        <v>best geyser repair</v>
      </c>
      <c r="Y18" s="4"/>
      <c r="Z18" s="4"/>
    </row>
    <row r="19">
      <c r="A19" s="13" t="s">
        <v>88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blocked drain commercial</v>
      </c>
      <c r="C19" s="14" t="str">
        <f t="shared" si="33"/>
        <v>drain cleaning commercial</v>
      </c>
      <c r="D19" s="14" t="str">
        <f t="shared" si="33"/>
        <v>drain unblocking commercial</v>
      </c>
      <c r="E19" s="14" t="str">
        <f t="shared" si="33"/>
        <v>drain inspection commercial</v>
      </c>
      <c r="F19" s="14" t="str">
        <f t="shared" si="33"/>
        <v>geyser repair commercial</v>
      </c>
      <c r="G19" s="14" t="str">
        <f t="shared" si="33"/>
        <v>geyser replacement commercial</v>
      </c>
      <c r="H19" s="14" t="str">
        <f t="shared" si="33"/>
        <v>burst geyser commercial</v>
      </c>
      <c r="I19" s="14" t="str">
        <f t="shared" si="33"/>
        <v>leak detection commercial</v>
      </c>
      <c r="J19" s="14" t="str">
        <f t="shared" si="33"/>
        <v>water leak detection commercial</v>
      </c>
      <c r="K19" s="14" t="str">
        <f t="shared" si="33"/>
        <v>pipe repair commercial</v>
      </c>
      <c r="L19" s="16" t="str">
        <f>IFERROR(__xludf.DUMMYFUNCTION("""COMPUTED_VALUE"""),"blocked drain residential")</f>
        <v>blocked drain residential</v>
      </c>
      <c r="M19" s="17"/>
      <c r="N19" s="14" t="str">
        <f t="shared" ref="N19:W19" si="34">IF($A19="","",IF(OR(ISNUMBER(SEARCH(LOWER($A19),LOWER(N$1))),AND(RIGHT(LOWER($A19),1)="s",ISNUMBER(SEARCH(LEFT(LOWER($A19),LEN($A19)-1),LOWER(N$1))))),N$1,$A19&amp;" "&amp;N$1))</f>
        <v>commercial blocked drain</v>
      </c>
      <c r="O19" s="14" t="str">
        <f t="shared" si="34"/>
        <v>commercial drain cleaning</v>
      </c>
      <c r="P19" s="14" t="str">
        <f t="shared" si="34"/>
        <v>commercial drain unblocking</v>
      </c>
      <c r="Q19" s="14" t="str">
        <f t="shared" si="34"/>
        <v>commercial drain inspection</v>
      </c>
      <c r="R19" s="14" t="str">
        <f t="shared" si="34"/>
        <v>commercial geyser repair</v>
      </c>
      <c r="S19" s="14" t="str">
        <f t="shared" si="34"/>
        <v>commercial geyser replacement</v>
      </c>
      <c r="T19" s="14" t="str">
        <f t="shared" si="34"/>
        <v>commercial burst geyser</v>
      </c>
      <c r="U19" s="14" t="str">
        <f t="shared" si="34"/>
        <v>commercial leak detection</v>
      </c>
      <c r="V19" s="14" t="str">
        <f t="shared" si="34"/>
        <v>commercial water leak detection</v>
      </c>
      <c r="W19" s="14" t="str">
        <f t="shared" si="34"/>
        <v>commercial pipe repair</v>
      </c>
      <c r="X19" s="18" t="str">
        <f>IFERROR(__xludf.DUMMYFUNCTION("""COMPUTED_VALUE"""),"best geyser replacement")</f>
        <v>best geyser replacement</v>
      </c>
      <c r="Y19" s="4"/>
      <c r="Z19" s="4"/>
    </row>
    <row r="20">
      <c r="A20" s="13" t="s">
        <v>95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blocked drain best</v>
      </c>
      <c r="C20" s="14" t="str">
        <f t="shared" si="35"/>
        <v>drain cleaning best</v>
      </c>
      <c r="D20" s="14" t="str">
        <f t="shared" si="35"/>
        <v>drain unblocking best</v>
      </c>
      <c r="E20" s="14" t="str">
        <f t="shared" si="35"/>
        <v>drain inspection best</v>
      </c>
      <c r="F20" s="14" t="str">
        <f t="shared" si="35"/>
        <v>geyser repair best</v>
      </c>
      <c r="G20" s="14" t="str">
        <f t="shared" si="35"/>
        <v>geyser replacement best</v>
      </c>
      <c r="H20" s="14" t="str">
        <f t="shared" si="35"/>
        <v>burst geyser best</v>
      </c>
      <c r="I20" s="14" t="str">
        <f t="shared" si="35"/>
        <v>leak detection best</v>
      </c>
      <c r="J20" s="14" t="str">
        <f t="shared" si="35"/>
        <v>water leak detection best</v>
      </c>
      <c r="K20" s="14" t="str">
        <f t="shared" si="35"/>
        <v>pipe repair best</v>
      </c>
      <c r="L20" s="16" t="str">
        <f>IFERROR(__xludf.DUMMYFUNCTION("""COMPUTED_VALUE"""),"blocked drain same day")</f>
        <v>blocked drain same day</v>
      </c>
      <c r="M20" s="17"/>
      <c r="N20" s="14" t="str">
        <f t="shared" ref="N20:W20" si="36">IF($A20="","",IF(OR(ISNUMBER(SEARCH(LOWER($A20),LOWER(N$1))),AND(RIGHT(LOWER($A20),1)="s",ISNUMBER(SEARCH(LEFT(LOWER($A20),LEN($A20)-1),LOWER(N$1))))),N$1,$A20&amp;" "&amp;N$1))</f>
        <v>best blocked drain</v>
      </c>
      <c r="O20" s="14" t="str">
        <f t="shared" si="36"/>
        <v>best drain cleaning</v>
      </c>
      <c r="P20" s="14" t="str">
        <f t="shared" si="36"/>
        <v>best drain unblocking</v>
      </c>
      <c r="Q20" s="14" t="str">
        <f t="shared" si="36"/>
        <v>best drain inspection</v>
      </c>
      <c r="R20" s="14" t="str">
        <f t="shared" si="36"/>
        <v>best geyser repair</v>
      </c>
      <c r="S20" s="14" t="str">
        <f t="shared" si="36"/>
        <v>best geyser replacement</v>
      </c>
      <c r="T20" s="14" t="str">
        <f t="shared" si="36"/>
        <v>best burst geyser</v>
      </c>
      <c r="U20" s="14" t="str">
        <f t="shared" si="36"/>
        <v>best leak detection</v>
      </c>
      <c r="V20" s="14" t="str">
        <f t="shared" si="36"/>
        <v>best water leak detection</v>
      </c>
      <c r="W20" s="14" t="str">
        <f t="shared" si="36"/>
        <v>best pipe repair</v>
      </c>
      <c r="X20" s="18" t="str">
        <f>IFERROR(__xludf.DUMMYFUNCTION("""COMPUTED_VALUE"""),"best leak detection")</f>
        <v>best leak detection</v>
      </c>
      <c r="Y20" s="4"/>
      <c r="Z20" s="4"/>
    </row>
    <row r="21" ht="15.75" customHeight="1">
      <c r="A21" s="13" t="s">
        <v>65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blocked drain affordable</v>
      </c>
      <c r="C21" s="14" t="str">
        <f t="shared" si="37"/>
        <v>drain cleaning affordable</v>
      </c>
      <c r="D21" s="14" t="str">
        <f t="shared" si="37"/>
        <v>drain unblocking affordable</v>
      </c>
      <c r="E21" s="14" t="str">
        <f t="shared" si="37"/>
        <v>drain inspection affordable</v>
      </c>
      <c r="F21" s="14" t="str">
        <f t="shared" si="37"/>
        <v>geyser repair affordable</v>
      </c>
      <c r="G21" s="14" t="str">
        <f t="shared" si="37"/>
        <v>geyser replacement affordable</v>
      </c>
      <c r="H21" s="14" t="str">
        <f t="shared" si="37"/>
        <v>burst geyser affordable</v>
      </c>
      <c r="I21" s="14" t="str">
        <f t="shared" si="37"/>
        <v>leak detection affordable</v>
      </c>
      <c r="J21" s="14" t="str">
        <f t="shared" si="37"/>
        <v>water leak detection affordable</v>
      </c>
      <c r="K21" s="14" t="str">
        <f t="shared" si="37"/>
        <v>pipe repair affordable</v>
      </c>
      <c r="L21" s="16" t="str">
        <f>IFERROR(__xludf.DUMMYFUNCTION("""COMPUTED_VALUE"""),"blocked drain service")</f>
        <v>blocked drain service</v>
      </c>
      <c r="M21" s="17"/>
      <c r="N21" s="14" t="str">
        <f t="shared" ref="N21:W21" si="38">IF($A21="","",IF(OR(ISNUMBER(SEARCH(LOWER($A21),LOWER(N$1))),AND(RIGHT(LOWER($A21),1)="s",ISNUMBER(SEARCH(LEFT(LOWER($A21),LEN($A21)-1),LOWER(N$1))))),N$1,$A21&amp;" "&amp;N$1))</f>
        <v>affordable blocked drain</v>
      </c>
      <c r="O21" s="14" t="str">
        <f t="shared" si="38"/>
        <v>affordable drain cleaning</v>
      </c>
      <c r="P21" s="14" t="str">
        <f t="shared" si="38"/>
        <v>affordable drain unblocking</v>
      </c>
      <c r="Q21" s="14" t="str">
        <f t="shared" si="38"/>
        <v>affordable drain inspection</v>
      </c>
      <c r="R21" s="14" t="str">
        <f t="shared" si="38"/>
        <v>affordable geyser repair</v>
      </c>
      <c r="S21" s="14" t="str">
        <f t="shared" si="38"/>
        <v>affordable geyser replacement</v>
      </c>
      <c r="T21" s="14" t="str">
        <f t="shared" si="38"/>
        <v>affordable burst geyser</v>
      </c>
      <c r="U21" s="14" t="str">
        <f t="shared" si="38"/>
        <v>affordable leak detection</v>
      </c>
      <c r="V21" s="14" t="str">
        <f t="shared" si="38"/>
        <v>affordable water leak detection</v>
      </c>
      <c r="W21" s="14" t="str">
        <f t="shared" si="38"/>
        <v>affordable pipe repair</v>
      </c>
      <c r="X21" s="18" t="str">
        <f>IFERROR(__xludf.DUMMYFUNCTION("""COMPUTED_VALUE"""),"best pipe repair")</f>
        <v>best pipe repair</v>
      </c>
      <c r="Y21" s="4"/>
      <c r="Z21" s="4"/>
    </row>
    <row r="22" ht="15.75" customHeight="1">
      <c r="A22" s="13" t="s">
        <v>76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blocked drain reliable</v>
      </c>
      <c r="C22" s="14" t="str">
        <f t="shared" si="39"/>
        <v>drain cleaning reliable</v>
      </c>
      <c r="D22" s="14" t="str">
        <f t="shared" si="39"/>
        <v>drain unblocking reliable</v>
      </c>
      <c r="E22" s="14" t="str">
        <f t="shared" si="39"/>
        <v>drain inspection reliable</v>
      </c>
      <c r="F22" s="14" t="str">
        <f t="shared" si="39"/>
        <v>geyser repair reliable</v>
      </c>
      <c r="G22" s="14" t="str">
        <f t="shared" si="39"/>
        <v>geyser replacement reliable</v>
      </c>
      <c r="H22" s="14" t="str">
        <f t="shared" si="39"/>
        <v>burst geyser reliable</v>
      </c>
      <c r="I22" s="14" t="str">
        <f t="shared" si="39"/>
        <v>leak detection reliable</v>
      </c>
      <c r="J22" s="14" t="str">
        <f t="shared" si="39"/>
        <v>water leak detection reliable</v>
      </c>
      <c r="K22" s="14" t="str">
        <f t="shared" si="39"/>
        <v>pipe repair reliable</v>
      </c>
      <c r="L22" s="16" t="str">
        <f>IFERROR(__xludf.DUMMYFUNCTION("""COMPUTED_VALUE"""),"blocked drain specialist")</f>
        <v>blocked drain specialist</v>
      </c>
      <c r="M22" s="17"/>
      <c r="N22" s="14" t="str">
        <f t="shared" ref="N22:W22" si="40">IF($A22="","",IF(OR(ISNUMBER(SEARCH(LOWER($A22),LOWER(N$1))),AND(RIGHT(LOWER($A22),1)="s",ISNUMBER(SEARCH(LEFT(LOWER($A22),LEN($A22)-1),LOWER(N$1))))),N$1,$A22&amp;" "&amp;N$1))</f>
        <v>reliable blocked drain</v>
      </c>
      <c r="O22" s="14" t="str">
        <f t="shared" si="40"/>
        <v>reliable drain cleaning</v>
      </c>
      <c r="P22" s="14" t="str">
        <f t="shared" si="40"/>
        <v>reliable drain unblocking</v>
      </c>
      <c r="Q22" s="14" t="str">
        <f t="shared" si="40"/>
        <v>reliable drain inspection</v>
      </c>
      <c r="R22" s="14" t="str">
        <f t="shared" si="40"/>
        <v>reliable geyser repair</v>
      </c>
      <c r="S22" s="14" t="str">
        <f t="shared" si="40"/>
        <v>reliable geyser replacement</v>
      </c>
      <c r="T22" s="14" t="str">
        <f t="shared" si="40"/>
        <v>reliable burst geyser</v>
      </c>
      <c r="U22" s="14" t="str">
        <f t="shared" si="40"/>
        <v>reliable leak detection</v>
      </c>
      <c r="V22" s="14" t="str">
        <f t="shared" si="40"/>
        <v>reliable water leak detection</v>
      </c>
      <c r="W22" s="14" t="str">
        <f t="shared" si="40"/>
        <v>reliable pipe repair</v>
      </c>
      <c r="X22" s="18" t="str">
        <f>IFERROR(__xludf.DUMMYFUNCTION("""COMPUTED_VALUE"""),"best water leak detection")</f>
        <v>best water leak detection</v>
      </c>
      <c r="Y22" s="4"/>
      <c r="Z22" s="4"/>
    </row>
    <row r="23" ht="15.75" customHeight="1">
      <c r="A23" s="13"/>
      <c r="B23" s="14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14" t="str">
        <f t="shared" si="41"/>
        <v/>
      </c>
      <c r="D23" s="14" t="str">
        <f t="shared" si="41"/>
        <v/>
      </c>
      <c r="E23" s="14" t="str">
        <f t="shared" si="41"/>
        <v/>
      </c>
      <c r="F23" s="14" t="str">
        <f t="shared" si="41"/>
        <v/>
      </c>
      <c r="G23" s="14" t="str">
        <f t="shared" si="41"/>
        <v/>
      </c>
      <c r="H23" s="14" t="str">
        <f t="shared" si="41"/>
        <v/>
      </c>
      <c r="I23" s="14" t="str">
        <f t="shared" si="41"/>
        <v/>
      </c>
      <c r="J23" s="14" t="str">
        <f t="shared" si="41"/>
        <v/>
      </c>
      <c r="K23" s="14" t="str">
        <f t="shared" si="41"/>
        <v/>
      </c>
      <c r="L23" s="16" t="str">
        <f>IFERROR(__xludf.DUMMYFUNCTION("""COMPUTED_VALUE"""),"burst geyser affordable")</f>
        <v>burst geyser affordable</v>
      </c>
      <c r="M23" s="17"/>
      <c r="N23" s="14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14" t="str">
        <f t="shared" si="42"/>
        <v/>
      </c>
      <c r="P23" s="14" t="str">
        <f t="shared" si="42"/>
        <v/>
      </c>
      <c r="Q23" s="14" t="str">
        <f t="shared" si="42"/>
        <v/>
      </c>
      <c r="R23" s="14" t="str">
        <f t="shared" si="42"/>
        <v/>
      </c>
      <c r="S23" s="14" t="str">
        <f t="shared" si="42"/>
        <v/>
      </c>
      <c r="T23" s="14" t="str">
        <f t="shared" si="42"/>
        <v/>
      </c>
      <c r="U23" s="14" t="str">
        <f t="shared" si="42"/>
        <v/>
      </c>
      <c r="V23" s="14" t="str">
        <f t="shared" si="42"/>
        <v/>
      </c>
      <c r="W23" s="14" t="str">
        <f t="shared" si="42"/>
        <v/>
      </c>
      <c r="X23" s="18" t="str">
        <f>IFERROR(__xludf.DUMMYFUNCTION("""COMPUTED_VALUE"""),"cape town blocked drain")</f>
        <v>cape town blocked drain</v>
      </c>
      <c r="Y23" s="4"/>
      <c r="Z23" s="4"/>
    </row>
    <row r="24" ht="15.75" customHeight="1">
      <c r="A24" s="13"/>
      <c r="B24" s="14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14" t="str">
        <f t="shared" si="43"/>
        <v/>
      </c>
      <c r="D24" s="14" t="str">
        <f t="shared" si="43"/>
        <v/>
      </c>
      <c r="E24" s="14" t="str">
        <f t="shared" si="43"/>
        <v/>
      </c>
      <c r="F24" s="14" t="str">
        <f t="shared" si="43"/>
        <v/>
      </c>
      <c r="G24" s="14" t="str">
        <f t="shared" si="43"/>
        <v/>
      </c>
      <c r="H24" s="14" t="str">
        <f t="shared" si="43"/>
        <v/>
      </c>
      <c r="I24" s="14" t="str">
        <f t="shared" si="43"/>
        <v/>
      </c>
      <c r="J24" s="14" t="str">
        <f t="shared" si="43"/>
        <v/>
      </c>
      <c r="K24" s="14" t="str">
        <f t="shared" si="43"/>
        <v/>
      </c>
      <c r="L24" s="16" t="str">
        <f>IFERROR(__xludf.DUMMYFUNCTION("""COMPUTED_VALUE"""),"burst geyser best")</f>
        <v>burst geyser best</v>
      </c>
      <c r="M24" s="17"/>
      <c r="N24" s="14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14" t="str">
        <f t="shared" si="44"/>
        <v/>
      </c>
      <c r="P24" s="14" t="str">
        <f t="shared" si="44"/>
        <v/>
      </c>
      <c r="Q24" s="14" t="str">
        <f t="shared" si="44"/>
        <v/>
      </c>
      <c r="R24" s="14" t="str">
        <f t="shared" si="44"/>
        <v/>
      </c>
      <c r="S24" s="14" t="str">
        <f t="shared" si="44"/>
        <v/>
      </c>
      <c r="T24" s="14" t="str">
        <f t="shared" si="44"/>
        <v/>
      </c>
      <c r="U24" s="14" t="str">
        <f t="shared" si="44"/>
        <v/>
      </c>
      <c r="V24" s="14" t="str">
        <f t="shared" si="44"/>
        <v/>
      </c>
      <c r="W24" s="14" t="str">
        <f t="shared" si="44"/>
        <v/>
      </c>
      <c r="X24" s="18" t="str">
        <f>IFERROR(__xludf.DUMMYFUNCTION("""COMPUTED_VALUE"""),"cape town burst geyser")</f>
        <v>cape town burst geyser</v>
      </c>
      <c r="Y24" s="4"/>
      <c r="Z24" s="4"/>
    </row>
    <row r="25" ht="15.75" customHeight="1">
      <c r="A25" s="13"/>
      <c r="B25" s="14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14" t="str">
        <f t="shared" si="45"/>
        <v/>
      </c>
      <c r="D25" s="14" t="str">
        <f t="shared" si="45"/>
        <v/>
      </c>
      <c r="E25" s="14" t="str">
        <f t="shared" si="45"/>
        <v/>
      </c>
      <c r="F25" s="14" t="str">
        <f t="shared" si="45"/>
        <v/>
      </c>
      <c r="G25" s="14" t="str">
        <f t="shared" si="45"/>
        <v/>
      </c>
      <c r="H25" s="14" t="str">
        <f t="shared" si="45"/>
        <v/>
      </c>
      <c r="I25" s="14" t="str">
        <f t="shared" si="45"/>
        <v/>
      </c>
      <c r="J25" s="14" t="str">
        <f t="shared" si="45"/>
        <v/>
      </c>
      <c r="K25" s="14" t="str">
        <f t="shared" si="45"/>
        <v/>
      </c>
      <c r="L25" s="16" t="str">
        <f>IFERROR(__xludf.DUMMYFUNCTION("""COMPUTED_VALUE"""),"burst geyser cape town")</f>
        <v>burst geyser cape town</v>
      </c>
      <c r="M25" s="17"/>
      <c r="N25" s="14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14" t="str">
        <f t="shared" si="46"/>
        <v/>
      </c>
      <c r="P25" s="14" t="str">
        <f t="shared" si="46"/>
        <v/>
      </c>
      <c r="Q25" s="14" t="str">
        <f t="shared" si="46"/>
        <v/>
      </c>
      <c r="R25" s="14" t="str">
        <f t="shared" si="46"/>
        <v/>
      </c>
      <c r="S25" s="14" t="str">
        <f t="shared" si="46"/>
        <v/>
      </c>
      <c r="T25" s="14" t="str">
        <f t="shared" si="46"/>
        <v/>
      </c>
      <c r="U25" s="14" t="str">
        <f t="shared" si="46"/>
        <v/>
      </c>
      <c r="V25" s="14" t="str">
        <f t="shared" si="46"/>
        <v/>
      </c>
      <c r="W25" s="14" t="str">
        <f t="shared" si="46"/>
        <v/>
      </c>
      <c r="X25" s="18" t="str">
        <f>IFERROR(__xludf.DUMMYFUNCTION("""COMPUTED_VALUE"""),"cape town drain cleaning")</f>
        <v>cape town drain cleaning</v>
      </c>
      <c r="Y25" s="4"/>
      <c r="Z25" s="4"/>
    </row>
    <row r="26" ht="15.75" customHeight="1">
      <c r="A26" s="13"/>
      <c r="B26" s="14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14" t="str">
        <f t="shared" si="47"/>
        <v/>
      </c>
      <c r="D26" s="14" t="str">
        <f t="shared" si="47"/>
        <v/>
      </c>
      <c r="E26" s="14" t="str">
        <f t="shared" si="47"/>
        <v/>
      </c>
      <c r="F26" s="14" t="str">
        <f t="shared" si="47"/>
        <v/>
      </c>
      <c r="G26" s="14" t="str">
        <f t="shared" si="47"/>
        <v/>
      </c>
      <c r="H26" s="14" t="str">
        <f t="shared" si="47"/>
        <v/>
      </c>
      <c r="I26" s="14" t="str">
        <f t="shared" si="47"/>
        <v/>
      </c>
      <c r="J26" s="14" t="str">
        <f t="shared" si="47"/>
        <v/>
      </c>
      <c r="K26" s="14" t="str">
        <f t="shared" si="47"/>
        <v/>
      </c>
      <c r="L26" s="16" t="str">
        <f>IFERROR(__xludf.DUMMYFUNCTION("""COMPUTED_VALUE"""),"burst geyser CCTV")</f>
        <v>burst geyser CCTV</v>
      </c>
      <c r="M26" s="17"/>
      <c r="N26" s="14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14" t="str">
        <f t="shared" si="48"/>
        <v/>
      </c>
      <c r="P26" s="14" t="str">
        <f t="shared" si="48"/>
        <v/>
      </c>
      <c r="Q26" s="14" t="str">
        <f t="shared" si="48"/>
        <v/>
      </c>
      <c r="R26" s="14" t="str">
        <f t="shared" si="48"/>
        <v/>
      </c>
      <c r="S26" s="14" t="str">
        <f t="shared" si="48"/>
        <v/>
      </c>
      <c r="T26" s="14" t="str">
        <f t="shared" si="48"/>
        <v/>
      </c>
      <c r="U26" s="14" t="str">
        <f t="shared" si="48"/>
        <v/>
      </c>
      <c r="V26" s="14" t="str">
        <f t="shared" si="48"/>
        <v/>
      </c>
      <c r="W26" s="14" t="str">
        <f t="shared" si="48"/>
        <v/>
      </c>
      <c r="X26" s="18" t="str">
        <f>IFERROR(__xludf.DUMMYFUNCTION("""COMPUTED_VALUE"""),"cape town drain inspection")</f>
        <v>cape town drain inspection</v>
      </c>
      <c r="Y26" s="4"/>
      <c r="Z26" s="4"/>
    </row>
    <row r="27" ht="15.75" customHeight="1">
      <c r="A27" s="13"/>
      <c r="B27" s="14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14" t="str">
        <f t="shared" si="49"/>
        <v/>
      </c>
      <c r="D27" s="14" t="str">
        <f t="shared" si="49"/>
        <v/>
      </c>
      <c r="E27" s="14" t="str">
        <f t="shared" si="49"/>
        <v/>
      </c>
      <c r="F27" s="14" t="str">
        <f t="shared" si="49"/>
        <v/>
      </c>
      <c r="G27" s="14" t="str">
        <f t="shared" si="49"/>
        <v/>
      </c>
      <c r="H27" s="14" t="str">
        <f t="shared" si="49"/>
        <v/>
      </c>
      <c r="I27" s="14" t="str">
        <f t="shared" si="49"/>
        <v/>
      </c>
      <c r="J27" s="14" t="str">
        <f t="shared" si="49"/>
        <v/>
      </c>
      <c r="K27" s="14" t="str">
        <f t="shared" si="49"/>
        <v/>
      </c>
      <c r="L27" s="16" t="str">
        <f>IFERROR(__xludf.DUMMYFUNCTION("""COMPUTED_VALUE"""),"burst geyser commercial")</f>
        <v>burst geyser commercial</v>
      </c>
      <c r="M27" s="17"/>
      <c r="N27" s="14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14" t="str">
        <f t="shared" si="50"/>
        <v/>
      </c>
      <c r="P27" s="14" t="str">
        <f t="shared" si="50"/>
        <v/>
      </c>
      <c r="Q27" s="14" t="str">
        <f t="shared" si="50"/>
        <v/>
      </c>
      <c r="R27" s="14" t="str">
        <f t="shared" si="50"/>
        <v/>
      </c>
      <c r="S27" s="14" t="str">
        <f t="shared" si="50"/>
        <v/>
      </c>
      <c r="T27" s="14" t="str">
        <f t="shared" si="50"/>
        <v/>
      </c>
      <c r="U27" s="14" t="str">
        <f t="shared" si="50"/>
        <v/>
      </c>
      <c r="V27" s="14" t="str">
        <f t="shared" si="50"/>
        <v/>
      </c>
      <c r="W27" s="14" t="str">
        <f t="shared" si="50"/>
        <v/>
      </c>
      <c r="X27" s="18" t="str">
        <f>IFERROR(__xludf.DUMMYFUNCTION("""COMPUTED_VALUE"""),"cape town drain unblocking")</f>
        <v>cape town drain unblocking</v>
      </c>
      <c r="Y27" s="4"/>
      <c r="Z27" s="4"/>
    </row>
    <row r="28" ht="15.75" customHeight="1">
      <c r="A28" s="13"/>
      <c r="B28" s="14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14" t="str">
        <f t="shared" si="51"/>
        <v/>
      </c>
      <c r="D28" s="14" t="str">
        <f t="shared" si="51"/>
        <v/>
      </c>
      <c r="E28" s="14" t="str">
        <f t="shared" si="51"/>
        <v/>
      </c>
      <c r="F28" s="14" t="str">
        <f t="shared" si="51"/>
        <v/>
      </c>
      <c r="G28" s="14" t="str">
        <f t="shared" si="51"/>
        <v/>
      </c>
      <c r="H28" s="14" t="str">
        <f t="shared" si="51"/>
        <v/>
      </c>
      <c r="I28" s="14" t="str">
        <f t="shared" si="51"/>
        <v/>
      </c>
      <c r="J28" s="14" t="str">
        <f t="shared" si="51"/>
        <v/>
      </c>
      <c r="K28" s="14" t="str">
        <f t="shared" si="51"/>
        <v/>
      </c>
      <c r="L28" s="16" t="str">
        <f>IFERROR(__xludf.DUMMYFUNCTION("""COMPUTED_VALUE"""),"burst geyser cost")</f>
        <v>burst geyser cost</v>
      </c>
      <c r="M28" s="17"/>
      <c r="N28" s="14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14" t="str">
        <f t="shared" si="52"/>
        <v/>
      </c>
      <c r="P28" s="14" t="str">
        <f t="shared" si="52"/>
        <v/>
      </c>
      <c r="Q28" s="14" t="str">
        <f t="shared" si="52"/>
        <v/>
      </c>
      <c r="R28" s="14" t="str">
        <f t="shared" si="52"/>
        <v/>
      </c>
      <c r="S28" s="14" t="str">
        <f t="shared" si="52"/>
        <v/>
      </c>
      <c r="T28" s="14" t="str">
        <f t="shared" si="52"/>
        <v/>
      </c>
      <c r="U28" s="14" t="str">
        <f t="shared" si="52"/>
        <v/>
      </c>
      <c r="V28" s="14" t="str">
        <f t="shared" si="52"/>
        <v/>
      </c>
      <c r="W28" s="14" t="str">
        <f t="shared" si="52"/>
        <v/>
      </c>
      <c r="X28" s="18" t="str">
        <f>IFERROR(__xludf.DUMMYFUNCTION("""COMPUTED_VALUE"""),"cape town geyser repair")</f>
        <v>cape town geyser repair</v>
      </c>
      <c r="Y28" s="4"/>
      <c r="Z28" s="4"/>
    </row>
    <row r="29" ht="15.75" customHeight="1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6" t="str">
        <f>IFERROR(__xludf.DUMMYFUNCTION("""COMPUTED_VALUE"""),"burst geyser emergency")</f>
        <v>burst geyser emergency</v>
      </c>
      <c r="M29" s="17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8" t="str">
        <f>IFERROR(__xludf.DUMMYFUNCTION("""COMPUTED_VALUE"""),"cape town geyser replacement")</f>
        <v>cape town geyser replacement</v>
      </c>
      <c r="Y29" s="4"/>
      <c r="Z29" s="4"/>
    </row>
    <row r="30" ht="15.75" customHeight="1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6" t="str">
        <f>IFERROR(__xludf.DUMMYFUNCTION("""COMPUTED_VALUE"""),"burst geyser high pressure jetting")</f>
        <v>burst geyser high pressure jetting</v>
      </c>
      <c r="M30" s="17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8" t="str">
        <f>IFERROR(__xludf.DUMMYFUNCTION("""COMPUTED_VALUE"""),"cape town leak detection")</f>
        <v>cape town leak detection</v>
      </c>
      <c r="Y30" s="4"/>
      <c r="Z30" s="4"/>
    </row>
    <row r="31" ht="15.75" customHeight="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6" t="str">
        <f>IFERROR(__xludf.DUMMYFUNCTION("""COMPUTED_VALUE"""),"burst geyser installation")</f>
        <v>burst geyser installation</v>
      </c>
      <c r="M31" s="17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8" t="str">
        <f>IFERROR(__xludf.DUMMYFUNCTION("""COMPUTED_VALUE"""),"cape town pipe repair")</f>
        <v>cape town pipe repair</v>
      </c>
      <c r="Y31" s="4"/>
      <c r="Z31" s="4"/>
    </row>
    <row r="32" ht="15.75" customHeight="1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6" t="str">
        <f>IFERROR(__xludf.DUMMYFUNCTION("""COMPUTED_VALUE"""),"burst geyser near me")</f>
        <v>burst geyser near me</v>
      </c>
      <c r="M32" s="17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8" t="str">
        <f>IFERROR(__xludf.DUMMYFUNCTION("""COMPUTED_VALUE"""),"cape town water leak detection")</f>
        <v>cape town water leak detection</v>
      </c>
      <c r="Y32" s="4"/>
      <c r="Z32" s="4"/>
    </row>
    <row r="33" ht="15.75" customHeight="1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6" t="str">
        <f>IFERROR(__xludf.DUMMYFUNCTION("""COMPUTED_VALUE"""),"burst geyser plumber")</f>
        <v>burst geyser plumber</v>
      </c>
      <c r="M33" s="17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8" t="str">
        <f>IFERROR(__xludf.DUMMYFUNCTION("""COMPUTED_VALUE"""),"CCTV blocked drain")</f>
        <v>CCTV blocked drain</v>
      </c>
      <c r="Y33" s="4"/>
      <c r="Z33" s="4"/>
    </row>
    <row r="34" ht="15.75" customHeight="1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6" t="str">
        <f>IFERROR(__xludf.DUMMYFUNCTION("""COMPUTED_VALUE"""),"burst geyser plumbing company")</f>
        <v>burst geyser plumbing company</v>
      </c>
      <c r="M34" s="17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8" t="str">
        <f>IFERROR(__xludf.DUMMYFUNCTION("""COMPUTED_VALUE"""),"CCTV burst geyser")</f>
        <v>CCTV burst geyser</v>
      </c>
      <c r="Y34" s="4"/>
      <c r="Z34" s="4"/>
    </row>
    <row r="35" ht="15.75" customHeight="1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6" t="str">
        <f>IFERROR(__xludf.DUMMYFUNCTION("""COMPUTED_VALUE"""),"burst geyser quote")</f>
        <v>burst geyser quote</v>
      </c>
      <c r="M35" s="17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8" t="str">
        <f>IFERROR(__xludf.DUMMYFUNCTION("""COMPUTED_VALUE"""),"CCTV drain cleaning")</f>
        <v>CCTV drain cleaning</v>
      </c>
      <c r="Y35" s="4"/>
      <c r="Z35" s="4"/>
    </row>
    <row r="36" ht="15.75" customHeight="1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6" t="str">
        <f>IFERROR(__xludf.DUMMYFUNCTION("""COMPUTED_VALUE"""),"burst geyser reliable")</f>
        <v>burst geyser reliable</v>
      </c>
      <c r="M36" s="17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8" t="str">
        <f>IFERROR(__xludf.DUMMYFUNCTION("""COMPUTED_VALUE"""),"CCTV drain inspection")</f>
        <v>CCTV drain inspection</v>
      </c>
      <c r="Y36" s="4"/>
      <c r="Z36" s="4"/>
    </row>
    <row r="37" ht="15.75" customHeight="1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6" t="str">
        <f>IFERROR(__xludf.DUMMYFUNCTION("""COMPUTED_VALUE"""),"burst geyser repair")</f>
        <v>burst geyser repair</v>
      </c>
      <c r="M37" s="17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8" t="str">
        <f>IFERROR(__xludf.DUMMYFUNCTION("""COMPUTED_VALUE"""),"CCTV drain unblocking")</f>
        <v>CCTV drain unblocking</v>
      </c>
      <c r="Y37" s="4"/>
      <c r="Z37" s="4"/>
    </row>
    <row r="38" ht="15.75" customHeight="1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6" t="str">
        <f>IFERROR(__xludf.DUMMYFUNCTION("""COMPUTED_VALUE"""),"burst geyser replacement")</f>
        <v>burst geyser replacement</v>
      </c>
      <c r="M38" s="17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8" t="str">
        <f>IFERROR(__xludf.DUMMYFUNCTION("""COMPUTED_VALUE"""),"CCTV geyser repair")</f>
        <v>CCTV geyser repair</v>
      </c>
      <c r="Y38" s="4"/>
      <c r="Z38" s="4"/>
    </row>
    <row r="39" ht="15.75" customHeight="1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6" t="str">
        <f>IFERROR(__xludf.DUMMYFUNCTION("""COMPUTED_VALUE"""),"burst geyser residential")</f>
        <v>burst geyser residential</v>
      </c>
      <c r="M39" s="17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8" t="str">
        <f>IFERROR(__xludf.DUMMYFUNCTION("""COMPUTED_VALUE"""),"CCTV geyser replacement")</f>
        <v>CCTV geyser replacement</v>
      </c>
      <c r="Y39" s="4"/>
      <c r="Z39" s="4"/>
    </row>
    <row r="40" ht="15.75" customHeight="1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6" t="str">
        <f>IFERROR(__xludf.DUMMYFUNCTION("""COMPUTED_VALUE"""),"burst geyser same day")</f>
        <v>burst geyser same day</v>
      </c>
      <c r="M40" s="17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8" t="str">
        <f>IFERROR(__xludf.DUMMYFUNCTION("""COMPUTED_VALUE"""),"CCTV leak detection")</f>
        <v>CCTV leak detection</v>
      </c>
      <c r="Y40" s="4"/>
      <c r="Z40" s="4"/>
    </row>
    <row r="41" ht="15.75" customHeight="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6" t="str">
        <f>IFERROR(__xludf.DUMMYFUNCTION("""COMPUTED_VALUE"""),"burst geyser service")</f>
        <v>burst geyser service</v>
      </c>
      <c r="M41" s="17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8" t="str">
        <f>IFERROR(__xludf.DUMMYFUNCTION("""COMPUTED_VALUE"""),"CCTV pipe repair")</f>
        <v>CCTV pipe repair</v>
      </c>
      <c r="Y41" s="4"/>
      <c r="Z41" s="4"/>
    </row>
    <row r="42" ht="15.75" customHeight="1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6" t="str">
        <f>IFERROR(__xludf.DUMMYFUNCTION("""COMPUTED_VALUE"""),"burst geyser specialist")</f>
        <v>burst geyser specialist</v>
      </c>
      <c r="M42" s="17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8" t="str">
        <f>IFERROR(__xludf.DUMMYFUNCTION("""COMPUTED_VALUE"""),"CCTV water leak detection")</f>
        <v>CCTV water leak detection</v>
      </c>
      <c r="Y42" s="4"/>
      <c r="Z42" s="4"/>
    </row>
    <row r="43" ht="15.75" customHeight="1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6" t="str">
        <f>IFERROR(__xludf.DUMMYFUNCTION("""COMPUTED_VALUE"""),"drain cleaning affordable")</f>
        <v>drain cleaning affordable</v>
      </c>
      <c r="M43" s="17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8" t="str">
        <f>IFERROR(__xludf.DUMMYFUNCTION("""COMPUTED_VALUE"""),"commercial blocked drain")</f>
        <v>commercial blocked drain</v>
      </c>
      <c r="Y43" s="4"/>
      <c r="Z43" s="4"/>
    </row>
    <row r="44" ht="15.75" customHeight="1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6" t="str">
        <f>IFERROR(__xludf.DUMMYFUNCTION("""COMPUTED_VALUE"""),"drain cleaning best")</f>
        <v>drain cleaning best</v>
      </c>
      <c r="M44" s="17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8" t="str">
        <f>IFERROR(__xludf.DUMMYFUNCTION("""COMPUTED_VALUE"""),"commercial burst geyser")</f>
        <v>commercial burst geyser</v>
      </c>
      <c r="Y44" s="4"/>
      <c r="Z44" s="4"/>
    </row>
    <row r="45" ht="15.75" customHeight="1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6" t="str">
        <f>IFERROR(__xludf.DUMMYFUNCTION("""COMPUTED_VALUE"""),"drain cleaning cape town")</f>
        <v>drain cleaning cape town</v>
      </c>
      <c r="M45" s="17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8" t="str">
        <f>IFERROR(__xludf.DUMMYFUNCTION("""COMPUTED_VALUE"""),"commercial drain cleaning")</f>
        <v>commercial drain cleaning</v>
      </c>
      <c r="Y45" s="4"/>
      <c r="Z45" s="4"/>
    </row>
    <row r="46" ht="15.75" customHeight="1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6" t="str">
        <f>IFERROR(__xludf.DUMMYFUNCTION("""COMPUTED_VALUE"""),"drain cleaning CCTV")</f>
        <v>drain cleaning CCTV</v>
      </c>
      <c r="M46" s="17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8" t="str">
        <f>IFERROR(__xludf.DUMMYFUNCTION("""COMPUTED_VALUE"""),"commercial drain inspection")</f>
        <v>commercial drain inspection</v>
      </c>
      <c r="Y46" s="4"/>
      <c r="Z46" s="4"/>
    </row>
    <row r="47" ht="15.75" customHeight="1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6" t="str">
        <f>IFERROR(__xludf.DUMMYFUNCTION("""COMPUTED_VALUE"""),"drain cleaning commercial")</f>
        <v>drain cleaning commercial</v>
      </c>
      <c r="M47" s="17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8" t="str">
        <f>IFERROR(__xludf.DUMMYFUNCTION("""COMPUTED_VALUE"""),"commercial drain unblocking")</f>
        <v>commercial drain unblocking</v>
      </c>
      <c r="Y47" s="4"/>
      <c r="Z47" s="4"/>
    </row>
    <row r="48" ht="15.75" customHeight="1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6" t="str">
        <f>IFERROR(__xludf.DUMMYFUNCTION("""COMPUTED_VALUE"""),"drain cleaning cost")</f>
        <v>drain cleaning cost</v>
      </c>
      <c r="M48" s="17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8" t="str">
        <f>IFERROR(__xludf.DUMMYFUNCTION("""COMPUTED_VALUE"""),"commercial geyser repair")</f>
        <v>commercial geyser repair</v>
      </c>
      <c r="Y48" s="4"/>
      <c r="Z48" s="4"/>
    </row>
    <row r="49" ht="15.75" customHeight="1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6" t="str">
        <f>IFERROR(__xludf.DUMMYFUNCTION("""COMPUTED_VALUE"""),"drain cleaning emergency")</f>
        <v>drain cleaning emergency</v>
      </c>
      <c r="M49" s="17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8" t="str">
        <f>IFERROR(__xludf.DUMMYFUNCTION("""COMPUTED_VALUE"""),"commercial geyser replacement")</f>
        <v>commercial geyser replacement</v>
      </c>
      <c r="Y49" s="4"/>
      <c r="Z49" s="4"/>
    </row>
    <row r="50" ht="15.75" customHeight="1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6" t="str">
        <f>IFERROR(__xludf.DUMMYFUNCTION("""COMPUTED_VALUE"""),"drain cleaning high pressure jetting")</f>
        <v>drain cleaning high pressure jetting</v>
      </c>
      <c r="M50" s="17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8" t="str">
        <f>IFERROR(__xludf.DUMMYFUNCTION("""COMPUTED_VALUE"""),"commercial leak detection")</f>
        <v>commercial leak detection</v>
      </c>
      <c r="Y50" s="4"/>
      <c r="Z50" s="4"/>
    </row>
    <row r="51" ht="15.75" customHeight="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6" t="str">
        <f>IFERROR(__xludf.DUMMYFUNCTION("""COMPUTED_VALUE"""),"drain cleaning installation")</f>
        <v>drain cleaning installation</v>
      </c>
      <c r="M51" s="17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8" t="str">
        <f>IFERROR(__xludf.DUMMYFUNCTION("""COMPUTED_VALUE"""),"commercial pipe repair")</f>
        <v>commercial pipe repair</v>
      </c>
      <c r="Y51" s="4"/>
      <c r="Z51" s="4"/>
    </row>
    <row r="52" ht="15.75" customHeight="1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6" t="str">
        <f>IFERROR(__xludf.DUMMYFUNCTION("""COMPUTED_VALUE"""),"drain cleaning near me")</f>
        <v>drain cleaning near me</v>
      </c>
      <c r="M52" s="17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8" t="str">
        <f>IFERROR(__xludf.DUMMYFUNCTION("""COMPUTED_VALUE"""),"commercial water leak detection")</f>
        <v>commercial water leak detection</v>
      </c>
      <c r="Y52" s="4"/>
      <c r="Z52" s="4"/>
    </row>
    <row r="53" ht="15.75" customHeight="1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6" t="str">
        <f>IFERROR(__xludf.DUMMYFUNCTION("""COMPUTED_VALUE"""),"drain cleaning plumber")</f>
        <v>drain cleaning plumber</v>
      </c>
      <c r="M53" s="17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8" t="str">
        <f>IFERROR(__xludf.DUMMYFUNCTION("""COMPUTED_VALUE"""),"cost blocked drain")</f>
        <v>cost blocked drain</v>
      </c>
      <c r="Y53" s="4"/>
      <c r="Z53" s="4"/>
    </row>
    <row r="54" ht="15.75" customHeight="1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6" t="str">
        <f>IFERROR(__xludf.DUMMYFUNCTION("""COMPUTED_VALUE"""),"drain cleaning plumbing company")</f>
        <v>drain cleaning plumbing company</v>
      </c>
      <c r="M54" s="17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8" t="str">
        <f>IFERROR(__xludf.DUMMYFUNCTION("""COMPUTED_VALUE"""),"cost burst geyser")</f>
        <v>cost burst geyser</v>
      </c>
      <c r="Y54" s="4"/>
      <c r="Z54" s="4"/>
    </row>
    <row r="55" ht="15.75" customHeight="1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6" t="str">
        <f>IFERROR(__xludf.DUMMYFUNCTION("""COMPUTED_VALUE"""),"drain cleaning quote")</f>
        <v>drain cleaning quote</v>
      </c>
      <c r="M55" s="17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8" t="str">
        <f>IFERROR(__xludf.DUMMYFUNCTION("""COMPUTED_VALUE"""),"cost drain cleaning")</f>
        <v>cost drain cleaning</v>
      </c>
      <c r="Y55" s="4"/>
      <c r="Z55" s="4"/>
    </row>
    <row r="56" ht="15.75" customHeight="1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6" t="str">
        <f>IFERROR(__xludf.DUMMYFUNCTION("""COMPUTED_VALUE"""),"drain cleaning reliable")</f>
        <v>drain cleaning reliable</v>
      </c>
      <c r="M56" s="17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8" t="str">
        <f>IFERROR(__xludf.DUMMYFUNCTION("""COMPUTED_VALUE"""),"cost drain inspection")</f>
        <v>cost drain inspection</v>
      </c>
      <c r="Y56" s="4"/>
      <c r="Z56" s="4"/>
    </row>
    <row r="57" ht="15.75" customHeight="1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6" t="str">
        <f>IFERROR(__xludf.DUMMYFUNCTION("""COMPUTED_VALUE"""),"drain cleaning repair")</f>
        <v>drain cleaning repair</v>
      </c>
      <c r="M57" s="17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8" t="str">
        <f>IFERROR(__xludf.DUMMYFUNCTION("""COMPUTED_VALUE"""),"cost drain unblocking")</f>
        <v>cost drain unblocking</v>
      </c>
      <c r="Y57" s="4"/>
      <c r="Z57" s="4"/>
    </row>
    <row r="58" ht="15.75" customHeight="1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6" t="str">
        <f>IFERROR(__xludf.DUMMYFUNCTION("""COMPUTED_VALUE"""),"drain cleaning replacement")</f>
        <v>drain cleaning replacement</v>
      </c>
      <c r="M58" s="17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8" t="str">
        <f>IFERROR(__xludf.DUMMYFUNCTION("""COMPUTED_VALUE"""),"cost geyser repair")</f>
        <v>cost geyser repair</v>
      </c>
      <c r="Y58" s="4"/>
      <c r="Z58" s="4"/>
    </row>
    <row r="59" ht="15.75" customHeight="1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6" t="str">
        <f>IFERROR(__xludf.DUMMYFUNCTION("""COMPUTED_VALUE"""),"drain cleaning residential")</f>
        <v>drain cleaning residential</v>
      </c>
      <c r="M59" s="17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8" t="str">
        <f>IFERROR(__xludf.DUMMYFUNCTION("""COMPUTED_VALUE"""),"cost geyser replacement")</f>
        <v>cost geyser replacement</v>
      </c>
      <c r="Y59" s="4"/>
      <c r="Z59" s="4"/>
    </row>
    <row r="60" ht="15.75" customHeight="1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6" t="str">
        <f>IFERROR(__xludf.DUMMYFUNCTION("""COMPUTED_VALUE"""),"drain cleaning same day")</f>
        <v>drain cleaning same day</v>
      </c>
      <c r="M60" s="17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8" t="str">
        <f>IFERROR(__xludf.DUMMYFUNCTION("""COMPUTED_VALUE"""),"cost leak detection")</f>
        <v>cost leak detection</v>
      </c>
      <c r="Y60" s="4"/>
      <c r="Z60" s="4"/>
    </row>
    <row r="61" ht="15.75" customHeight="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6" t="str">
        <f>IFERROR(__xludf.DUMMYFUNCTION("""COMPUTED_VALUE"""),"drain cleaning service")</f>
        <v>drain cleaning service</v>
      </c>
      <c r="M61" s="17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8" t="str">
        <f>IFERROR(__xludf.DUMMYFUNCTION("""COMPUTED_VALUE"""),"cost pipe repair")</f>
        <v>cost pipe repair</v>
      </c>
      <c r="Y61" s="4"/>
      <c r="Z61" s="4"/>
    </row>
    <row r="62" ht="15.75" customHeight="1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6" t="str">
        <f>IFERROR(__xludf.DUMMYFUNCTION("""COMPUTED_VALUE"""),"drain cleaning specialist")</f>
        <v>drain cleaning specialist</v>
      </c>
      <c r="M62" s="17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8" t="str">
        <f>IFERROR(__xludf.DUMMYFUNCTION("""COMPUTED_VALUE"""),"cost water leak detection")</f>
        <v>cost water leak detection</v>
      </c>
      <c r="Y62" s="4"/>
      <c r="Z62" s="4"/>
    </row>
    <row r="63" ht="15.75" customHeight="1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6" t="str">
        <f>IFERROR(__xludf.DUMMYFUNCTION("""COMPUTED_VALUE"""),"drain inspection affordable")</f>
        <v>drain inspection affordable</v>
      </c>
      <c r="M63" s="17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8" t="str">
        <f>IFERROR(__xludf.DUMMYFUNCTION("""COMPUTED_VALUE"""),"emergency blocked drain")</f>
        <v>emergency blocked drain</v>
      </c>
      <c r="Y63" s="4"/>
      <c r="Z63" s="4"/>
    </row>
    <row r="64" ht="15.75" customHeight="1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6" t="str">
        <f>IFERROR(__xludf.DUMMYFUNCTION("""COMPUTED_VALUE"""),"drain inspection best")</f>
        <v>drain inspection best</v>
      </c>
      <c r="M64" s="17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8" t="str">
        <f>IFERROR(__xludf.DUMMYFUNCTION("""COMPUTED_VALUE"""),"emergency burst geyser")</f>
        <v>emergency burst geyser</v>
      </c>
      <c r="Y64" s="4"/>
      <c r="Z64" s="4"/>
    </row>
    <row r="65" ht="15.75" customHeight="1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6" t="str">
        <f>IFERROR(__xludf.DUMMYFUNCTION("""COMPUTED_VALUE"""),"drain inspection cape town")</f>
        <v>drain inspection cape town</v>
      </c>
      <c r="M65" s="17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8" t="str">
        <f>IFERROR(__xludf.DUMMYFUNCTION("""COMPUTED_VALUE"""),"emergency drain cleaning")</f>
        <v>emergency drain cleaning</v>
      </c>
      <c r="Y65" s="4"/>
      <c r="Z65" s="4"/>
    </row>
    <row r="66" ht="15.75" customHeight="1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6" t="str">
        <f>IFERROR(__xludf.DUMMYFUNCTION("""COMPUTED_VALUE"""),"drain inspection CCTV")</f>
        <v>drain inspection CCTV</v>
      </c>
      <c r="M66" s="17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8" t="str">
        <f>IFERROR(__xludf.DUMMYFUNCTION("""COMPUTED_VALUE"""),"emergency drain inspection")</f>
        <v>emergency drain inspection</v>
      </c>
      <c r="Y66" s="4"/>
      <c r="Z66" s="4"/>
    </row>
    <row r="67" ht="15.75" customHeight="1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6" t="str">
        <f>IFERROR(__xludf.DUMMYFUNCTION("""COMPUTED_VALUE"""),"drain inspection commercial")</f>
        <v>drain inspection commercial</v>
      </c>
      <c r="M67" s="17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8" t="str">
        <f>IFERROR(__xludf.DUMMYFUNCTION("""COMPUTED_VALUE"""),"emergency drain unblocking")</f>
        <v>emergency drain unblocking</v>
      </c>
      <c r="Y67" s="4"/>
      <c r="Z67" s="4"/>
    </row>
    <row r="68" ht="15.75" customHeight="1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6" t="str">
        <f>IFERROR(__xludf.DUMMYFUNCTION("""COMPUTED_VALUE"""),"drain inspection cost")</f>
        <v>drain inspection cost</v>
      </c>
      <c r="M68" s="17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8" t="str">
        <f>IFERROR(__xludf.DUMMYFUNCTION("""COMPUTED_VALUE"""),"emergency geyser repair")</f>
        <v>emergency geyser repair</v>
      </c>
      <c r="Y68" s="4"/>
      <c r="Z68" s="4"/>
    </row>
    <row r="69" ht="15.75" customHeight="1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6" t="str">
        <f>IFERROR(__xludf.DUMMYFUNCTION("""COMPUTED_VALUE"""),"drain inspection emergency")</f>
        <v>drain inspection emergency</v>
      </c>
      <c r="M69" s="17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8" t="str">
        <f>IFERROR(__xludf.DUMMYFUNCTION("""COMPUTED_VALUE"""),"emergency geyser replacement")</f>
        <v>emergency geyser replacement</v>
      </c>
      <c r="Y69" s="4"/>
      <c r="Z69" s="4"/>
    </row>
    <row r="70" ht="15.75" customHeight="1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6" t="str">
        <f>IFERROR(__xludf.DUMMYFUNCTION("""COMPUTED_VALUE"""),"drain inspection high pressure jetting")</f>
        <v>drain inspection high pressure jetting</v>
      </c>
      <c r="M70" s="17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8" t="str">
        <f>IFERROR(__xludf.DUMMYFUNCTION("""COMPUTED_VALUE"""),"emergency leak detection")</f>
        <v>emergency leak detection</v>
      </c>
      <c r="Y70" s="4"/>
      <c r="Z70" s="4"/>
    </row>
    <row r="71" ht="15.75" customHeight="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6" t="str">
        <f>IFERROR(__xludf.DUMMYFUNCTION("""COMPUTED_VALUE"""),"drain inspection installation")</f>
        <v>drain inspection installation</v>
      </c>
      <c r="M71" s="17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8" t="str">
        <f>IFERROR(__xludf.DUMMYFUNCTION("""COMPUTED_VALUE"""),"emergency pipe repair")</f>
        <v>emergency pipe repair</v>
      </c>
      <c r="Y71" s="4"/>
      <c r="Z71" s="4"/>
    </row>
    <row r="72" ht="15.75" customHeight="1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6" t="str">
        <f>IFERROR(__xludf.DUMMYFUNCTION("""COMPUTED_VALUE"""),"drain inspection near me")</f>
        <v>drain inspection near me</v>
      </c>
      <c r="M72" s="17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8" t="str">
        <f>IFERROR(__xludf.DUMMYFUNCTION("""COMPUTED_VALUE"""),"emergency water leak detection")</f>
        <v>emergency water leak detection</v>
      </c>
      <c r="Y72" s="4"/>
      <c r="Z72" s="4"/>
    </row>
    <row r="73" ht="15.75" customHeight="1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6" t="str">
        <f>IFERROR(__xludf.DUMMYFUNCTION("""COMPUTED_VALUE"""),"drain inspection plumber")</f>
        <v>drain inspection plumber</v>
      </c>
      <c r="M73" s="17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8" t="str">
        <f>IFERROR(__xludf.DUMMYFUNCTION("""COMPUTED_VALUE"""),"geyser repair")</f>
        <v>geyser repair</v>
      </c>
      <c r="Y73" s="4"/>
      <c r="Z73" s="4"/>
    </row>
    <row r="74" ht="15.75" customHeight="1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6" t="str">
        <f>IFERROR(__xludf.DUMMYFUNCTION("""COMPUTED_VALUE"""),"drain inspection plumbing company")</f>
        <v>drain inspection plumbing company</v>
      </c>
      <c r="M74" s="17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8" t="str">
        <f>IFERROR(__xludf.DUMMYFUNCTION("""COMPUTED_VALUE"""),"geyser replacement")</f>
        <v>geyser replacement</v>
      </c>
      <c r="Y74" s="4"/>
      <c r="Z74" s="4"/>
    </row>
    <row r="75" ht="15.75" customHeight="1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6" t="str">
        <f>IFERROR(__xludf.DUMMYFUNCTION("""COMPUTED_VALUE"""),"drain inspection quote")</f>
        <v>drain inspection quote</v>
      </c>
      <c r="M75" s="17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8" t="str">
        <f>IFERROR(__xludf.DUMMYFUNCTION("""COMPUTED_VALUE"""),"high pressure jetting blocked drain")</f>
        <v>high pressure jetting blocked drain</v>
      </c>
      <c r="Y75" s="4"/>
      <c r="Z75" s="4"/>
    </row>
    <row r="76" ht="15.75" customHeight="1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6" t="str">
        <f>IFERROR(__xludf.DUMMYFUNCTION("""COMPUTED_VALUE"""),"drain inspection reliable")</f>
        <v>drain inspection reliable</v>
      </c>
      <c r="M76" s="17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8" t="str">
        <f>IFERROR(__xludf.DUMMYFUNCTION("""COMPUTED_VALUE"""),"high pressure jetting burst geyser")</f>
        <v>high pressure jetting burst geyser</v>
      </c>
      <c r="Y76" s="4"/>
      <c r="Z76" s="4"/>
    </row>
    <row r="77" ht="15.75" customHeight="1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6" t="str">
        <f>IFERROR(__xludf.DUMMYFUNCTION("""COMPUTED_VALUE"""),"drain inspection repair")</f>
        <v>drain inspection repair</v>
      </c>
      <c r="M77" s="17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8" t="str">
        <f>IFERROR(__xludf.DUMMYFUNCTION("""COMPUTED_VALUE"""),"high pressure jetting drain cleaning")</f>
        <v>high pressure jetting drain cleaning</v>
      </c>
      <c r="Y77" s="4"/>
      <c r="Z77" s="4"/>
    </row>
    <row r="78" ht="15.75" customHeight="1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6" t="str">
        <f>IFERROR(__xludf.DUMMYFUNCTION("""COMPUTED_VALUE"""),"drain inspection replacement")</f>
        <v>drain inspection replacement</v>
      </c>
      <c r="M78" s="17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8" t="str">
        <f>IFERROR(__xludf.DUMMYFUNCTION("""COMPUTED_VALUE"""),"high pressure jetting drain inspection")</f>
        <v>high pressure jetting drain inspection</v>
      </c>
      <c r="Y78" s="4"/>
      <c r="Z78" s="4"/>
    </row>
    <row r="79" ht="15.75" customHeight="1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6" t="str">
        <f>IFERROR(__xludf.DUMMYFUNCTION("""COMPUTED_VALUE"""),"drain inspection residential")</f>
        <v>drain inspection residential</v>
      </c>
      <c r="M79" s="17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8" t="str">
        <f>IFERROR(__xludf.DUMMYFUNCTION("""COMPUTED_VALUE"""),"high pressure jetting drain unblocking")</f>
        <v>high pressure jetting drain unblocking</v>
      </c>
      <c r="Y79" s="4"/>
      <c r="Z79" s="4"/>
    </row>
    <row r="80" ht="15.75" customHeight="1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6" t="str">
        <f>IFERROR(__xludf.DUMMYFUNCTION("""COMPUTED_VALUE"""),"drain inspection same day")</f>
        <v>drain inspection same day</v>
      </c>
      <c r="M80" s="17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8" t="str">
        <f>IFERROR(__xludf.DUMMYFUNCTION("""COMPUTED_VALUE"""),"high pressure jetting geyser repair")</f>
        <v>high pressure jetting geyser repair</v>
      </c>
      <c r="Y80" s="4"/>
      <c r="Z80" s="4"/>
    </row>
    <row r="81" ht="15.75" customHeight="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6" t="str">
        <f>IFERROR(__xludf.DUMMYFUNCTION("""COMPUTED_VALUE"""),"drain inspection service")</f>
        <v>drain inspection service</v>
      </c>
      <c r="M81" s="17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8" t="str">
        <f>IFERROR(__xludf.DUMMYFUNCTION("""COMPUTED_VALUE"""),"high pressure jetting geyser replacement")</f>
        <v>high pressure jetting geyser replacement</v>
      </c>
      <c r="Y81" s="4"/>
      <c r="Z81" s="4"/>
    </row>
    <row r="82" ht="15.75" customHeight="1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6" t="str">
        <f>IFERROR(__xludf.DUMMYFUNCTION("""COMPUTED_VALUE"""),"drain inspection specialist")</f>
        <v>drain inspection specialist</v>
      </c>
      <c r="M82" s="17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8" t="str">
        <f>IFERROR(__xludf.DUMMYFUNCTION("""COMPUTED_VALUE"""),"high pressure jetting leak detection")</f>
        <v>high pressure jetting leak detection</v>
      </c>
      <c r="Y82" s="4"/>
      <c r="Z82" s="4"/>
    </row>
    <row r="83" ht="15.7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6" t="str">
        <f>IFERROR(__xludf.DUMMYFUNCTION("""COMPUTED_VALUE"""),"drain unblocking affordable")</f>
        <v>drain unblocking affordable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8" t="str">
        <f>IFERROR(__xludf.DUMMYFUNCTION("""COMPUTED_VALUE"""),"high pressure jetting pipe repair")</f>
        <v>high pressure jetting pipe repair</v>
      </c>
      <c r="Y83" s="4"/>
      <c r="Z83" s="4"/>
    </row>
    <row r="84" ht="15.7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 t="str">
        <f>IFERROR(__xludf.DUMMYFUNCTION("""COMPUTED_VALUE"""),"drain unblocking best")</f>
        <v>drain unblocking best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8" t="str">
        <f>IFERROR(__xludf.DUMMYFUNCTION("""COMPUTED_VALUE"""),"high pressure jetting water leak detection")</f>
        <v>high pressure jetting water leak detection</v>
      </c>
      <c r="Y84" s="4"/>
      <c r="Z84" s="4"/>
    </row>
    <row r="85" ht="15.7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6" t="str">
        <f>IFERROR(__xludf.DUMMYFUNCTION("""COMPUTED_VALUE"""),"drain unblocking cape town")</f>
        <v>drain unblocking cape town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8" t="str">
        <f>IFERROR(__xludf.DUMMYFUNCTION("""COMPUTED_VALUE"""),"installation blocked drain")</f>
        <v>installation blocked drain</v>
      </c>
      <c r="Y85" s="4"/>
      <c r="Z85" s="4"/>
    </row>
    <row r="86" ht="15.7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 t="str">
        <f>IFERROR(__xludf.DUMMYFUNCTION("""COMPUTED_VALUE"""),"drain unblocking CCTV")</f>
        <v>drain unblocking CCTV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8" t="str">
        <f>IFERROR(__xludf.DUMMYFUNCTION("""COMPUTED_VALUE"""),"installation burst geyser")</f>
        <v>installation burst geyser</v>
      </c>
      <c r="Y86" s="4"/>
      <c r="Z86" s="4"/>
    </row>
    <row r="87" ht="15.7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 t="str">
        <f>IFERROR(__xludf.DUMMYFUNCTION("""COMPUTED_VALUE"""),"drain unblocking commercial")</f>
        <v>drain unblocking commercial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8" t="str">
        <f>IFERROR(__xludf.DUMMYFUNCTION("""COMPUTED_VALUE"""),"installation drain cleaning")</f>
        <v>installation drain cleaning</v>
      </c>
      <c r="Y87" s="4"/>
      <c r="Z87" s="4"/>
    </row>
    <row r="88" ht="15.7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 t="str">
        <f>IFERROR(__xludf.DUMMYFUNCTION("""COMPUTED_VALUE"""),"drain unblocking cost")</f>
        <v>drain unblocking cost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8" t="str">
        <f>IFERROR(__xludf.DUMMYFUNCTION("""COMPUTED_VALUE"""),"installation drain inspection")</f>
        <v>installation drain inspection</v>
      </c>
      <c r="Y88" s="4"/>
      <c r="Z88" s="4"/>
    </row>
    <row r="89" ht="15.7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 t="str">
        <f>IFERROR(__xludf.DUMMYFUNCTION("""COMPUTED_VALUE"""),"drain unblocking emergency")</f>
        <v>drain unblocking emergency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8" t="str">
        <f>IFERROR(__xludf.DUMMYFUNCTION("""COMPUTED_VALUE"""),"installation drain unblocking")</f>
        <v>installation drain unblocking</v>
      </c>
      <c r="Y89" s="4"/>
      <c r="Z89" s="4"/>
    </row>
    <row r="90" ht="15.75" customHeight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 t="str">
        <f>IFERROR(__xludf.DUMMYFUNCTION("""COMPUTED_VALUE"""),"drain unblocking high pressure jetting")</f>
        <v>drain unblocking high pressure jetting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8" t="str">
        <f>IFERROR(__xludf.DUMMYFUNCTION("""COMPUTED_VALUE"""),"installation geyser repair")</f>
        <v>installation geyser repair</v>
      </c>
      <c r="Y90" s="4"/>
      <c r="Z90" s="4"/>
    </row>
    <row r="91" ht="15.75" customHeight="1">
      <c r="A91" s="1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6" t="str">
        <f>IFERROR(__xludf.DUMMYFUNCTION("""COMPUTED_VALUE"""),"drain unblocking installation")</f>
        <v>drain unblocking installation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 t="str">
        <f>IFERROR(__xludf.DUMMYFUNCTION("""COMPUTED_VALUE"""),"installation geyser replacement")</f>
        <v>installation geyser replacement</v>
      </c>
      <c r="Y91" s="4"/>
      <c r="Z91" s="4"/>
    </row>
    <row r="92" ht="15.75" customHeight="1">
      <c r="A92" s="1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 t="str">
        <f>IFERROR(__xludf.DUMMYFUNCTION("""COMPUTED_VALUE"""),"drain unblocking near me")</f>
        <v>drain unblocking near me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8" t="str">
        <f>IFERROR(__xludf.DUMMYFUNCTION("""COMPUTED_VALUE"""),"installation leak detection")</f>
        <v>installation leak detection</v>
      </c>
      <c r="Y92" s="4"/>
      <c r="Z92" s="4"/>
    </row>
    <row r="93" ht="15.75" customHeight="1">
      <c r="A93" s="1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6" t="str">
        <f>IFERROR(__xludf.DUMMYFUNCTION("""COMPUTED_VALUE"""),"drain unblocking plumber")</f>
        <v>drain unblocking plumber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8" t="str">
        <f>IFERROR(__xludf.DUMMYFUNCTION("""COMPUTED_VALUE"""),"installation pipe repair")</f>
        <v>installation pipe repair</v>
      </c>
      <c r="Y93" s="4"/>
      <c r="Z93" s="4"/>
    </row>
    <row r="94" ht="15.75" customHeight="1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6" t="str">
        <f>IFERROR(__xludf.DUMMYFUNCTION("""COMPUTED_VALUE"""),"drain unblocking plumbing company")</f>
        <v>drain unblocking plumbing company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8" t="str">
        <f>IFERROR(__xludf.DUMMYFUNCTION("""COMPUTED_VALUE"""),"installation water leak detection")</f>
        <v>installation water leak detection</v>
      </c>
      <c r="Y94" s="4"/>
      <c r="Z94" s="4"/>
    </row>
    <row r="95" ht="15.75" customHeight="1">
      <c r="A95" s="1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 t="str">
        <f>IFERROR(__xludf.DUMMYFUNCTION("""COMPUTED_VALUE"""),"drain unblocking quote")</f>
        <v>drain unblocking quote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8" t="str">
        <f>IFERROR(__xludf.DUMMYFUNCTION("""COMPUTED_VALUE"""),"near me blocked drain")</f>
        <v>near me blocked drain</v>
      </c>
      <c r="Y95" s="4"/>
      <c r="Z95" s="4"/>
    </row>
    <row r="96" ht="15.75" customHeight="1">
      <c r="A96" s="1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6" t="str">
        <f>IFERROR(__xludf.DUMMYFUNCTION("""COMPUTED_VALUE"""),"drain unblocking reliable")</f>
        <v>drain unblocking reliable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 t="str">
        <f>IFERROR(__xludf.DUMMYFUNCTION("""COMPUTED_VALUE"""),"near me burst geyser")</f>
        <v>near me burst geyser</v>
      </c>
      <c r="Y96" s="4"/>
      <c r="Z96" s="4"/>
    </row>
    <row r="97" ht="15.75" customHeight="1">
      <c r="A97" s="1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6" t="str">
        <f>IFERROR(__xludf.DUMMYFUNCTION("""COMPUTED_VALUE"""),"drain unblocking repair")</f>
        <v>drain unblocking repair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8" t="str">
        <f>IFERROR(__xludf.DUMMYFUNCTION("""COMPUTED_VALUE"""),"near me drain cleaning")</f>
        <v>near me drain cleaning</v>
      </c>
      <c r="Y97" s="4"/>
      <c r="Z97" s="4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 t="str">
        <f>IFERROR(__xludf.DUMMYFUNCTION("""COMPUTED_VALUE"""),"drain unblocking replacement")</f>
        <v>drain unblocking replacement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 t="str">
        <f>IFERROR(__xludf.DUMMYFUNCTION("""COMPUTED_VALUE"""),"near me drain inspection")</f>
        <v>near me drain inspection</v>
      </c>
      <c r="Y98" s="4"/>
      <c r="Z98" s="4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 t="str">
        <f>IFERROR(__xludf.DUMMYFUNCTION("""COMPUTED_VALUE"""),"drain unblocking residential")</f>
        <v>drain unblocking residential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8" t="str">
        <f>IFERROR(__xludf.DUMMYFUNCTION("""COMPUTED_VALUE"""),"near me drain unblocking")</f>
        <v>near me drain unblocking</v>
      </c>
      <c r="Y99" s="4"/>
      <c r="Z99" s="4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6" t="str">
        <f>IFERROR(__xludf.DUMMYFUNCTION("""COMPUTED_VALUE"""),"drain unblocking same day")</f>
        <v>drain unblocking same day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8" t="str">
        <f>IFERROR(__xludf.DUMMYFUNCTION("""COMPUTED_VALUE"""),"near me geyser repair")</f>
        <v>near me geyser repair</v>
      </c>
      <c r="Y100" s="4"/>
      <c r="Z100" s="4"/>
    </row>
    <row r="101" ht="15.75" customHeight="1">
      <c r="A101" s="1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 t="str">
        <f>IFERROR(__xludf.DUMMYFUNCTION("""COMPUTED_VALUE"""),"drain unblocking service")</f>
        <v>drain unblocking service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8" t="str">
        <f>IFERROR(__xludf.DUMMYFUNCTION("""COMPUTED_VALUE"""),"near me geyser replacement")</f>
        <v>near me geyser replacement</v>
      </c>
      <c r="Y101" s="4"/>
      <c r="Z101" s="4"/>
    </row>
    <row r="102" ht="15.75" customHeight="1">
      <c r="A102" s="1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 t="str">
        <f>IFERROR(__xludf.DUMMYFUNCTION("""COMPUTED_VALUE"""),"drain unblocking specialist")</f>
        <v>drain unblocking specialist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8" t="str">
        <f>IFERROR(__xludf.DUMMYFUNCTION("""COMPUTED_VALUE"""),"near me leak detection")</f>
        <v>near me leak detection</v>
      </c>
      <c r="Y102" s="4"/>
      <c r="Z102" s="4"/>
    </row>
    <row r="103" ht="15.75" customHeight="1">
      <c r="A103" s="1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 t="str">
        <f>IFERROR(__xludf.DUMMYFUNCTION("""COMPUTED_VALUE"""),"geyser repair")</f>
        <v>geyser repair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 t="str">
        <f>IFERROR(__xludf.DUMMYFUNCTION("""COMPUTED_VALUE"""),"near me pipe repair")</f>
        <v>near me pipe repair</v>
      </c>
      <c r="Y103" s="4"/>
      <c r="Z103" s="4"/>
    </row>
    <row r="104" ht="15.75" customHeight="1">
      <c r="A104" s="1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6" t="str">
        <f>IFERROR(__xludf.DUMMYFUNCTION("""COMPUTED_VALUE"""),"geyser repair affordable")</f>
        <v>geyser repair affordable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8" t="str">
        <f>IFERROR(__xludf.DUMMYFUNCTION("""COMPUTED_VALUE"""),"near me water leak detection")</f>
        <v>near me water leak detection</v>
      </c>
      <c r="Y104" s="4"/>
      <c r="Z104" s="4"/>
    </row>
    <row r="105" ht="15.75" customHeight="1">
      <c r="A105" s="1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 t="str">
        <f>IFERROR(__xludf.DUMMYFUNCTION("""COMPUTED_VALUE"""),"geyser repair best")</f>
        <v>geyser repair best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 t="str">
        <f>IFERROR(__xludf.DUMMYFUNCTION("""COMPUTED_VALUE"""),"pipe repair")</f>
        <v>pipe repair</v>
      </c>
      <c r="Y105" s="4"/>
      <c r="Z105" s="4"/>
    </row>
    <row r="106" ht="15.75" customHeight="1">
      <c r="A106" s="1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6" t="str">
        <f>IFERROR(__xludf.DUMMYFUNCTION("""COMPUTED_VALUE"""),"geyser repair cape town")</f>
        <v>geyser repair cape town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8" t="str">
        <f>IFERROR(__xludf.DUMMYFUNCTION("""COMPUTED_VALUE"""),"plumber blocked drain")</f>
        <v>plumber blocked drain</v>
      </c>
      <c r="Y106" s="4"/>
      <c r="Z106" s="4"/>
    </row>
    <row r="107" ht="15.75" customHeight="1">
      <c r="A107" s="1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tr">
        <f>IFERROR(__xludf.DUMMYFUNCTION("""COMPUTED_VALUE"""),"geyser repair CCTV")</f>
        <v>geyser repair CCTV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 t="str">
        <f>IFERROR(__xludf.DUMMYFUNCTION("""COMPUTED_VALUE"""),"plumber burst geyser")</f>
        <v>plumber burst geyser</v>
      </c>
      <c r="Y107" s="4"/>
      <c r="Z107" s="4"/>
    </row>
    <row r="108" ht="15.75" customHeight="1">
      <c r="A108" s="1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6" t="str">
        <f>IFERROR(__xludf.DUMMYFUNCTION("""COMPUTED_VALUE"""),"geyser repair commercial")</f>
        <v>geyser repair commercial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8" t="str">
        <f>IFERROR(__xludf.DUMMYFUNCTION("""COMPUTED_VALUE"""),"plumber drain cleaning")</f>
        <v>plumber drain cleaning</v>
      </c>
      <c r="Y108" s="4"/>
      <c r="Z108" s="4"/>
    </row>
    <row r="109" ht="15.75" customHeight="1">
      <c r="A109" s="1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6" t="str">
        <f>IFERROR(__xludf.DUMMYFUNCTION("""COMPUTED_VALUE"""),"geyser repair cost")</f>
        <v>geyser repair cost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 t="str">
        <f>IFERROR(__xludf.DUMMYFUNCTION("""COMPUTED_VALUE"""),"plumber drain inspection")</f>
        <v>plumber drain inspection</v>
      </c>
      <c r="Y109" s="4"/>
      <c r="Z109" s="4"/>
    </row>
    <row r="110" ht="15.75" customHeight="1">
      <c r="A110" s="1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6" t="str">
        <f>IFERROR(__xludf.DUMMYFUNCTION("""COMPUTED_VALUE"""),"geyser repair emergency")</f>
        <v>geyser repair emergency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8" t="str">
        <f>IFERROR(__xludf.DUMMYFUNCTION("""COMPUTED_VALUE"""),"plumber drain unblocking")</f>
        <v>plumber drain unblocking</v>
      </c>
      <c r="Y110" s="4"/>
      <c r="Z110" s="4"/>
    </row>
    <row r="111" ht="15.75" customHeight="1">
      <c r="A111" s="1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6" t="str">
        <f>IFERROR(__xludf.DUMMYFUNCTION("""COMPUTED_VALUE"""),"geyser repair high pressure jetting")</f>
        <v>geyser repair high pressure jetting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 t="str">
        <f>IFERROR(__xludf.DUMMYFUNCTION("""COMPUTED_VALUE"""),"plumber geyser repair")</f>
        <v>plumber geyser repair</v>
      </c>
      <c r="Y111" s="4"/>
      <c r="Z111" s="4"/>
    </row>
    <row r="112" ht="15.75" customHeight="1">
      <c r="A112" s="1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6" t="str">
        <f>IFERROR(__xludf.DUMMYFUNCTION("""COMPUTED_VALUE"""),"geyser repair installation")</f>
        <v>geyser repair installation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 t="str">
        <f>IFERROR(__xludf.DUMMYFUNCTION("""COMPUTED_VALUE"""),"plumber geyser replacement")</f>
        <v>plumber geyser replacement</v>
      </c>
      <c r="Y112" s="4"/>
      <c r="Z112" s="4"/>
    </row>
    <row r="113" ht="15.75" customHeight="1">
      <c r="A113" s="1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6" t="str">
        <f>IFERROR(__xludf.DUMMYFUNCTION("""COMPUTED_VALUE"""),"geyser repair near me")</f>
        <v>geyser repair near me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8" t="str">
        <f>IFERROR(__xludf.DUMMYFUNCTION("""COMPUTED_VALUE"""),"plumber leak detection")</f>
        <v>plumber leak detection</v>
      </c>
      <c r="Y113" s="4"/>
      <c r="Z113" s="4"/>
    </row>
    <row r="114" ht="15.75" customHeight="1">
      <c r="A114" s="1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6" t="str">
        <f>IFERROR(__xludf.DUMMYFUNCTION("""COMPUTED_VALUE"""),"geyser repair plumber")</f>
        <v>geyser repair plumber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8" t="str">
        <f>IFERROR(__xludf.DUMMYFUNCTION("""COMPUTED_VALUE"""),"plumber pipe repair")</f>
        <v>plumber pipe repair</v>
      </c>
      <c r="Y114" s="4"/>
      <c r="Z114" s="4"/>
    </row>
    <row r="115" ht="15.75" customHeight="1">
      <c r="A115" s="1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6" t="str">
        <f>IFERROR(__xludf.DUMMYFUNCTION("""COMPUTED_VALUE"""),"geyser repair plumbing company")</f>
        <v>geyser repair plumbing company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8" t="str">
        <f>IFERROR(__xludf.DUMMYFUNCTION("""COMPUTED_VALUE"""),"plumber water leak detection")</f>
        <v>plumber water leak detection</v>
      </c>
      <c r="Y115" s="4"/>
      <c r="Z115" s="4"/>
    </row>
    <row r="116" ht="15.75" customHeight="1">
      <c r="A116" s="1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6" t="str">
        <f>IFERROR(__xludf.DUMMYFUNCTION("""COMPUTED_VALUE"""),"geyser repair quote")</f>
        <v>geyser repair quote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8" t="str">
        <f>IFERROR(__xludf.DUMMYFUNCTION("""COMPUTED_VALUE"""),"plumbing company blocked drain")</f>
        <v>plumbing company blocked drain</v>
      </c>
      <c r="Y116" s="4"/>
      <c r="Z116" s="4"/>
    </row>
    <row r="117" ht="15.75" customHeight="1">
      <c r="A117" s="1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6" t="str">
        <f>IFERROR(__xludf.DUMMYFUNCTION("""COMPUTED_VALUE"""),"geyser repair reliable")</f>
        <v>geyser repair reliable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8" t="str">
        <f>IFERROR(__xludf.DUMMYFUNCTION("""COMPUTED_VALUE"""),"plumbing company burst geyser")</f>
        <v>plumbing company burst geyser</v>
      </c>
      <c r="Y117" s="4"/>
      <c r="Z117" s="4"/>
    </row>
    <row r="118" ht="15.7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 t="str">
        <f>IFERROR(__xludf.DUMMYFUNCTION("""COMPUTED_VALUE"""),"geyser repair replacement")</f>
        <v>geyser repair replacement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8" t="str">
        <f>IFERROR(__xludf.DUMMYFUNCTION("""COMPUTED_VALUE"""),"plumbing company drain cleaning")</f>
        <v>plumbing company drain cleaning</v>
      </c>
      <c r="Y118" s="4"/>
      <c r="Z118" s="4"/>
    </row>
    <row r="119" ht="15.75" customHeight="1">
      <c r="A119" s="1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6" t="str">
        <f>IFERROR(__xludf.DUMMYFUNCTION("""COMPUTED_VALUE"""),"geyser repair residential")</f>
        <v>geyser repair residential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 t="str">
        <f>IFERROR(__xludf.DUMMYFUNCTION("""COMPUTED_VALUE"""),"plumbing company drain inspection")</f>
        <v>plumbing company drain inspection</v>
      </c>
      <c r="Y119" s="4"/>
      <c r="Z119" s="4"/>
    </row>
    <row r="120" ht="15.75" customHeigh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 t="str">
        <f>IFERROR(__xludf.DUMMYFUNCTION("""COMPUTED_VALUE"""),"geyser repair same day")</f>
        <v>geyser repair same day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3" t="str">
        <f>IFERROR(__xludf.DUMMYFUNCTION("""COMPUTED_VALUE"""),"plumbing company drain unblocking")</f>
        <v>plumbing company drain unblocking</v>
      </c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 t="str">
        <f>IFERROR(__xludf.DUMMYFUNCTION("""COMPUTED_VALUE"""),"geyser repair service")</f>
        <v>geyser repair service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tr">
        <f>IFERROR(__xludf.DUMMYFUNCTION("""COMPUTED_VALUE"""),"plumbing company geyser repair")</f>
        <v>plumbing company geyser repair</v>
      </c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 t="str">
        <f>IFERROR(__xludf.DUMMYFUNCTION("""COMPUTED_VALUE"""),"geyser repair specialist")</f>
        <v>geyser repair specialist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tr">
        <f>IFERROR(__xludf.DUMMYFUNCTION("""COMPUTED_VALUE"""),"plumbing company geyser replacement")</f>
        <v>plumbing company geyser replacement</v>
      </c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 t="str">
        <f>IFERROR(__xludf.DUMMYFUNCTION("""COMPUTED_VALUE"""),"geyser replacement")</f>
        <v>geyser replacement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 t="str">
        <f>IFERROR(__xludf.DUMMYFUNCTION("""COMPUTED_VALUE"""),"plumbing company leak detection")</f>
        <v>plumbing company leak detection</v>
      </c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 t="str">
        <f>IFERROR(__xludf.DUMMYFUNCTION("""COMPUTED_VALUE"""),"geyser replacement affordable")</f>
        <v>geyser replacement affordable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tr">
        <f>IFERROR(__xludf.DUMMYFUNCTION("""COMPUTED_VALUE"""),"plumbing company pipe repair")</f>
        <v>plumbing company pipe repair</v>
      </c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tr">
        <f>IFERROR(__xludf.DUMMYFUNCTION("""COMPUTED_VALUE"""),"geyser replacement best")</f>
        <v>geyser replacement best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str">
        <f>IFERROR(__xludf.DUMMYFUNCTION("""COMPUTED_VALUE"""),"plumbing company water leak detection")</f>
        <v>plumbing company water leak detection</v>
      </c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tr">
        <f>IFERROR(__xludf.DUMMYFUNCTION("""COMPUTED_VALUE"""),"geyser replacement cape town")</f>
        <v>geyser replacement cape town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tr">
        <f>IFERROR(__xludf.DUMMYFUNCTION("""COMPUTED_VALUE"""),"quote blocked drain")</f>
        <v>quote blocked drain</v>
      </c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 t="str">
        <f>IFERROR(__xludf.DUMMYFUNCTION("""COMPUTED_VALUE"""),"geyser replacement CCTV")</f>
        <v>geyser replacement CCTV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tr">
        <f>IFERROR(__xludf.DUMMYFUNCTION("""COMPUTED_VALUE"""),"quote burst geyser")</f>
        <v>quote burst geyser</v>
      </c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 t="str">
        <f>IFERROR(__xludf.DUMMYFUNCTION("""COMPUTED_VALUE"""),"geyser replacement commercial")</f>
        <v>geyser replacement commercial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 t="str">
        <f>IFERROR(__xludf.DUMMYFUNCTION("""COMPUTED_VALUE"""),"quote drain cleaning")</f>
        <v>quote drain cleaning</v>
      </c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 t="str">
        <f>IFERROR(__xludf.DUMMYFUNCTION("""COMPUTED_VALUE"""),"geyser replacement cost")</f>
        <v>geyser replacement cost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tr">
        <f>IFERROR(__xludf.DUMMYFUNCTION("""COMPUTED_VALUE"""),"quote drain inspection")</f>
        <v>quote drain inspection</v>
      </c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 t="str">
        <f>IFERROR(__xludf.DUMMYFUNCTION("""COMPUTED_VALUE"""),"geyser replacement emergency")</f>
        <v>geyser replacement emergency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tr">
        <f>IFERROR(__xludf.DUMMYFUNCTION("""COMPUTED_VALUE"""),"quote drain unblocking")</f>
        <v>quote drain unblocking</v>
      </c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 t="str">
        <f>IFERROR(__xludf.DUMMYFUNCTION("""COMPUTED_VALUE"""),"geyser replacement high pressure jetting")</f>
        <v>geyser replacement high pressure jetting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tr">
        <f>IFERROR(__xludf.DUMMYFUNCTION("""COMPUTED_VALUE"""),"quote geyser repair")</f>
        <v>quote geyser repair</v>
      </c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 t="str">
        <f>IFERROR(__xludf.DUMMYFUNCTION("""COMPUTED_VALUE"""),"geyser replacement installation")</f>
        <v>geyser replacement installation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tr">
        <f>IFERROR(__xludf.DUMMYFUNCTION("""COMPUTED_VALUE"""),"quote geyser replacement")</f>
        <v>quote geyser replacement</v>
      </c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tr">
        <f>IFERROR(__xludf.DUMMYFUNCTION("""COMPUTED_VALUE"""),"geyser replacement near me")</f>
        <v>geyser replacement near me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tr">
        <f>IFERROR(__xludf.DUMMYFUNCTION("""COMPUTED_VALUE"""),"quote leak detection")</f>
        <v>quote leak detection</v>
      </c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tr">
        <f>IFERROR(__xludf.DUMMYFUNCTION("""COMPUTED_VALUE"""),"geyser replacement plumber")</f>
        <v>geyser replacement plumber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 t="str">
        <f>IFERROR(__xludf.DUMMYFUNCTION("""COMPUTED_VALUE"""),"quote pipe repair")</f>
        <v>quote pipe repair</v>
      </c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 t="str">
        <f>IFERROR(__xludf.DUMMYFUNCTION("""COMPUTED_VALUE"""),"geyser replacement plumbing company")</f>
        <v>geyser replacement plumbing company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str">
        <f>IFERROR(__xludf.DUMMYFUNCTION("""COMPUTED_VALUE"""),"quote water leak detection")</f>
        <v>quote water leak detection</v>
      </c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tr">
        <f>IFERROR(__xludf.DUMMYFUNCTION("""COMPUTED_VALUE"""),"geyser replacement quote")</f>
        <v>geyser replacement quote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str">
        <f>IFERROR(__xludf.DUMMYFUNCTION("""COMPUTED_VALUE"""),"reliable blocked drain")</f>
        <v>reliable blocked drain</v>
      </c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tr">
        <f>IFERROR(__xludf.DUMMYFUNCTION("""COMPUTED_VALUE"""),"geyser replacement reliable")</f>
        <v>geyser replacement reliable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tr">
        <f>IFERROR(__xludf.DUMMYFUNCTION("""COMPUTED_VALUE"""),"reliable burst geyser")</f>
        <v>reliable burst geyser</v>
      </c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 t="str">
        <f>IFERROR(__xludf.DUMMYFUNCTION("""COMPUTED_VALUE"""),"geyser replacement repair")</f>
        <v>geyser replacement repair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tr">
        <f>IFERROR(__xludf.DUMMYFUNCTION("""COMPUTED_VALUE"""),"reliable drain cleaning")</f>
        <v>reliable drain cleaning</v>
      </c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 t="str">
        <f>IFERROR(__xludf.DUMMYFUNCTION("""COMPUTED_VALUE"""),"geyser replacement residential")</f>
        <v>geyser replacement residential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tr">
        <f>IFERROR(__xludf.DUMMYFUNCTION("""COMPUTED_VALUE"""),"reliable drain inspection")</f>
        <v>reliable drain inspection</v>
      </c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 t="str">
        <f>IFERROR(__xludf.DUMMYFUNCTION("""COMPUTED_VALUE"""),"geyser replacement same day")</f>
        <v>geyser replacement same day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tr">
        <f>IFERROR(__xludf.DUMMYFUNCTION("""COMPUTED_VALUE"""),"reliable drain unblocking")</f>
        <v>reliable drain unblocking</v>
      </c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 t="str">
        <f>IFERROR(__xludf.DUMMYFUNCTION("""COMPUTED_VALUE"""),"geyser replacement service")</f>
        <v>geyser replacement service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str">
        <f>IFERROR(__xludf.DUMMYFUNCTION("""COMPUTED_VALUE"""),"reliable geyser repair")</f>
        <v>reliable geyser repair</v>
      </c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 t="str">
        <f>IFERROR(__xludf.DUMMYFUNCTION("""COMPUTED_VALUE"""),"geyser replacement specialist")</f>
        <v>geyser replacement specialist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tr">
        <f>IFERROR(__xludf.DUMMYFUNCTION("""COMPUTED_VALUE"""),"reliable geyser replacement")</f>
        <v>reliable geyser replacement</v>
      </c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 t="str">
        <f>IFERROR(__xludf.DUMMYFUNCTION("""COMPUTED_VALUE"""),"leak detection affordable")</f>
        <v>leak detection affordable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tr">
        <f>IFERROR(__xludf.DUMMYFUNCTION("""COMPUTED_VALUE"""),"reliable leak detection")</f>
        <v>reliable leak detection</v>
      </c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 t="str">
        <f>IFERROR(__xludf.DUMMYFUNCTION("""COMPUTED_VALUE"""),"leak detection best")</f>
        <v>leak detection best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 t="str">
        <f>IFERROR(__xludf.DUMMYFUNCTION("""COMPUTED_VALUE"""),"reliable pipe repair")</f>
        <v>reliable pipe repair</v>
      </c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 t="str">
        <f>IFERROR(__xludf.DUMMYFUNCTION("""COMPUTED_VALUE"""),"leak detection cape town")</f>
        <v>leak detection cape town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str">
        <f>IFERROR(__xludf.DUMMYFUNCTION("""COMPUTED_VALUE"""),"reliable water leak detection")</f>
        <v>reliable water leak detection</v>
      </c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 t="str">
        <f>IFERROR(__xludf.DUMMYFUNCTION("""COMPUTED_VALUE"""),"leak detection CCTV")</f>
        <v>leak detection CCTV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 t="str">
        <f>IFERROR(__xludf.DUMMYFUNCTION("""COMPUTED_VALUE"""),"repair blocked drain")</f>
        <v>repair blocked drain</v>
      </c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tr">
        <f>IFERROR(__xludf.DUMMYFUNCTION("""COMPUTED_VALUE"""),"leak detection commercial")</f>
        <v>leak detection commercial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tr">
        <f>IFERROR(__xludf.DUMMYFUNCTION("""COMPUTED_VALUE"""),"repair burst geyser")</f>
        <v>repair burst geyser</v>
      </c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tr">
        <f>IFERROR(__xludf.DUMMYFUNCTION("""COMPUTED_VALUE"""),"leak detection cost")</f>
        <v>leak detection cost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str">
        <f>IFERROR(__xludf.DUMMYFUNCTION("""COMPUTED_VALUE"""),"repair drain cleaning")</f>
        <v>repair drain cleaning</v>
      </c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 t="str">
        <f>IFERROR(__xludf.DUMMYFUNCTION("""COMPUTED_VALUE"""),"leak detection emergency")</f>
        <v>leak detection emergency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 t="str">
        <f>IFERROR(__xludf.DUMMYFUNCTION("""COMPUTED_VALUE"""),"repair drain inspection")</f>
        <v>repair drain inspection</v>
      </c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 t="str">
        <f>IFERROR(__xludf.DUMMYFUNCTION("""COMPUTED_VALUE"""),"leak detection high pressure jetting")</f>
        <v>leak detection high pressure jetting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 t="str">
        <f>IFERROR(__xludf.DUMMYFUNCTION("""COMPUTED_VALUE"""),"repair drain unblocking")</f>
        <v>repair drain unblocking</v>
      </c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 t="str">
        <f>IFERROR(__xludf.DUMMYFUNCTION("""COMPUTED_VALUE"""),"leak detection installation")</f>
        <v>leak detection installation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tr">
        <f>IFERROR(__xludf.DUMMYFUNCTION("""COMPUTED_VALUE"""),"repair geyser replacement")</f>
        <v>repair geyser replacement</v>
      </c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 t="str">
        <f>IFERROR(__xludf.DUMMYFUNCTION("""COMPUTED_VALUE"""),"leak detection near me")</f>
        <v>leak detection near me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 t="str">
        <f>IFERROR(__xludf.DUMMYFUNCTION("""COMPUTED_VALUE"""),"repair leak detection")</f>
        <v>repair leak detection</v>
      </c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 t="str">
        <f>IFERROR(__xludf.DUMMYFUNCTION("""COMPUTED_VALUE"""),"leak detection plumber")</f>
        <v>leak detection plumber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str">
        <f>IFERROR(__xludf.DUMMYFUNCTION("""COMPUTED_VALUE"""),"repair water leak detection")</f>
        <v>repair water leak detection</v>
      </c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 t="str">
        <f>IFERROR(__xludf.DUMMYFUNCTION("""COMPUTED_VALUE"""),"leak detection plumbing company")</f>
        <v>leak detection plumbing company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tr">
        <f>IFERROR(__xludf.DUMMYFUNCTION("""COMPUTED_VALUE"""),"replacement blocked drain")</f>
        <v>replacement blocked drain</v>
      </c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 t="str">
        <f>IFERROR(__xludf.DUMMYFUNCTION("""COMPUTED_VALUE"""),"leak detection quote")</f>
        <v>leak detection quote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tr">
        <f>IFERROR(__xludf.DUMMYFUNCTION("""COMPUTED_VALUE"""),"replacement burst geyser")</f>
        <v>replacement burst geyser</v>
      </c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 t="str">
        <f>IFERROR(__xludf.DUMMYFUNCTION("""COMPUTED_VALUE"""),"leak detection reliable")</f>
        <v>leak detection reliable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 t="str">
        <f>IFERROR(__xludf.DUMMYFUNCTION("""COMPUTED_VALUE"""),"replacement drain cleaning")</f>
        <v>replacement drain cleaning</v>
      </c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tr">
        <f>IFERROR(__xludf.DUMMYFUNCTION("""COMPUTED_VALUE"""),"leak detection repair")</f>
        <v>leak detection repair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 t="str">
        <f>IFERROR(__xludf.DUMMYFUNCTION("""COMPUTED_VALUE"""),"replacement drain inspection")</f>
        <v>replacement drain inspection</v>
      </c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tr">
        <f>IFERROR(__xludf.DUMMYFUNCTION("""COMPUTED_VALUE"""),"leak detection replacement")</f>
        <v>leak detection replacement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 t="str">
        <f>IFERROR(__xludf.DUMMYFUNCTION("""COMPUTED_VALUE"""),"replacement drain unblocking")</f>
        <v>replacement drain unblocking</v>
      </c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 t="str">
        <f>IFERROR(__xludf.DUMMYFUNCTION("""COMPUTED_VALUE"""),"leak detection residential")</f>
        <v>leak detection residential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str">
        <f>IFERROR(__xludf.DUMMYFUNCTION("""COMPUTED_VALUE"""),"replacement geyser repair")</f>
        <v>replacement geyser repair</v>
      </c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 t="str">
        <f>IFERROR(__xludf.DUMMYFUNCTION("""COMPUTED_VALUE"""),"leak detection same day")</f>
        <v>leak detection same day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 t="str">
        <f>IFERROR(__xludf.DUMMYFUNCTION("""COMPUTED_VALUE"""),"replacement leak detection")</f>
        <v>replacement leak detection</v>
      </c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 t="str">
        <f>IFERROR(__xludf.DUMMYFUNCTION("""COMPUTED_VALUE"""),"leak detection service")</f>
        <v>leak detection service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 t="str">
        <f>IFERROR(__xludf.DUMMYFUNCTION("""COMPUTED_VALUE"""),"replacement pipe repair")</f>
        <v>replacement pipe repair</v>
      </c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 t="str">
        <f>IFERROR(__xludf.DUMMYFUNCTION("""COMPUTED_VALUE"""),"leak detection specialist")</f>
        <v>leak detection specialist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 t="str">
        <f>IFERROR(__xludf.DUMMYFUNCTION("""COMPUTED_VALUE"""),"replacement water leak detection")</f>
        <v>replacement water leak detection</v>
      </c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 t="str">
        <f>IFERROR(__xludf.DUMMYFUNCTION("""COMPUTED_VALUE"""),"pipe repair")</f>
        <v>pipe repair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 t="str">
        <f>IFERROR(__xludf.DUMMYFUNCTION("""COMPUTED_VALUE"""),"residential blocked drain")</f>
        <v>residential blocked drain</v>
      </c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 t="str">
        <f>IFERROR(__xludf.DUMMYFUNCTION("""COMPUTED_VALUE"""),"pipe repair affordable")</f>
        <v>pipe repair affordable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tr">
        <f>IFERROR(__xludf.DUMMYFUNCTION("""COMPUTED_VALUE"""),"residential burst geyser")</f>
        <v>residential burst geyser</v>
      </c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 t="str">
        <f>IFERROR(__xludf.DUMMYFUNCTION("""COMPUTED_VALUE"""),"pipe repair best")</f>
        <v>pipe repair best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tr">
        <f>IFERROR(__xludf.DUMMYFUNCTION("""COMPUTED_VALUE"""),"residential drain cleaning")</f>
        <v>residential drain cleaning</v>
      </c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tr">
        <f>IFERROR(__xludf.DUMMYFUNCTION("""COMPUTED_VALUE"""),"pipe repair cape town")</f>
        <v>pipe repair cape town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tr">
        <f>IFERROR(__xludf.DUMMYFUNCTION("""COMPUTED_VALUE"""),"residential drain inspection")</f>
        <v>residential drain inspection</v>
      </c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tr">
        <f>IFERROR(__xludf.DUMMYFUNCTION("""COMPUTED_VALUE"""),"pipe repair CCTV")</f>
        <v>pipe repair CCTV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f>IFERROR(__xludf.DUMMYFUNCTION("""COMPUTED_VALUE"""),"residential drain unblocking")</f>
        <v>residential drain unblocking</v>
      </c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 t="str">
        <f>IFERROR(__xludf.DUMMYFUNCTION("""COMPUTED_VALUE"""),"pipe repair commercial")</f>
        <v>pipe repair commercial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tr">
        <f>IFERROR(__xludf.DUMMYFUNCTION("""COMPUTED_VALUE"""),"residential geyser repair")</f>
        <v>residential geyser repair</v>
      </c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 t="str">
        <f>IFERROR(__xludf.DUMMYFUNCTION("""COMPUTED_VALUE"""),"pipe repair cost")</f>
        <v>pipe repair cost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tr">
        <f>IFERROR(__xludf.DUMMYFUNCTION("""COMPUTED_VALUE"""),"residential geyser replacement")</f>
        <v>residential geyser replacement</v>
      </c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 t="str">
        <f>IFERROR(__xludf.DUMMYFUNCTION("""COMPUTED_VALUE"""),"pipe repair emergency")</f>
        <v>pipe repair emergency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tr">
        <f>IFERROR(__xludf.DUMMYFUNCTION("""COMPUTED_VALUE"""),"residential leak detection")</f>
        <v>residential leak detection</v>
      </c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 t="str">
        <f>IFERROR(__xludf.DUMMYFUNCTION("""COMPUTED_VALUE"""),"pipe repair high pressure jetting")</f>
        <v>pipe repair high pressure jetting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tr">
        <f>IFERROR(__xludf.DUMMYFUNCTION("""COMPUTED_VALUE"""),"residential pipe repair")</f>
        <v>residential pipe repair</v>
      </c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tr">
        <f>IFERROR(__xludf.DUMMYFUNCTION("""COMPUTED_VALUE"""),"pipe repair installation")</f>
        <v>pipe repair installation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tr">
        <f>IFERROR(__xludf.DUMMYFUNCTION("""COMPUTED_VALUE"""),"residential water leak detection")</f>
        <v>residential water leak detection</v>
      </c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 t="str">
        <f>IFERROR(__xludf.DUMMYFUNCTION("""COMPUTED_VALUE"""),"pipe repair near me")</f>
        <v>pipe repair near me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str">
        <f>IFERROR(__xludf.DUMMYFUNCTION("""COMPUTED_VALUE"""),"same day blocked drain")</f>
        <v>same day blocked drain</v>
      </c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 t="str">
        <f>IFERROR(__xludf.DUMMYFUNCTION("""COMPUTED_VALUE"""),"pipe repair plumber")</f>
        <v>pipe repair plumber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str">
        <f>IFERROR(__xludf.DUMMYFUNCTION("""COMPUTED_VALUE"""),"same day burst geyser")</f>
        <v>same day burst geyser</v>
      </c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tr">
        <f>IFERROR(__xludf.DUMMYFUNCTION("""COMPUTED_VALUE"""),"pipe repair plumbing company")</f>
        <v>pipe repair plumbing company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str">
        <f>IFERROR(__xludf.DUMMYFUNCTION("""COMPUTED_VALUE"""),"same day drain cleaning")</f>
        <v>same day drain cleaning</v>
      </c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 t="str">
        <f>IFERROR(__xludf.DUMMYFUNCTION("""COMPUTED_VALUE"""),"pipe repair quote")</f>
        <v>pipe repair quote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 t="str">
        <f>IFERROR(__xludf.DUMMYFUNCTION("""COMPUTED_VALUE"""),"same day drain inspection")</f>
        <v>same day drain inspection</v>
      </c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 t="str">
        <f>IFERROR(__xludf.DUMMYFUNCTION("""COMPUTED_VALUE"""),"pipe repair reliable")</f>
        <v>pipe repair reliable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 t="str">
        <f>IFERROR(__xludf.DUMMYFUNCTION("""COMPUTED_VALUE"""),"same day drain unblocking")</f>
        <v>same day drain unblocking</v>
      </c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 t="str">
        <f>IFERROR(__xludf.DUMMYFUNCTION("""COMPUTED_VALUE"""),"pipe repair replacement")</f>
        <v>pipe repair replacement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tr">
        <f>IFERROR(__xludf.DUMMYFUNCTION("""COMPUTED_VALUE"""),"same day geyser repair")</f>
        <v>same day geyser repair</v>
      </c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tr">
        <f>IFERROR(__xludf.DUMMYFUNCTION("""COMPUTED_VALUE"""),"pipe repair residential")</f>
        <v>pipe repair residential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tr">
        <f>IFERROR(__xludf.DUMMYFUNCTION("""COMPUTED_VALUE"""),"same day geyser replacement")</f>
        <v>same day geyser replacement</v>
      </c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 t="str">
        <f>IFERROR(__xludf.DUMMYFUNCTION("""COMPUTED_VALUE"""),"pipe repair same day")</f>
        <v>pipe repair same day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tr">
        <f>IFERROR(__xludf.DUMMYFUNCTION("""COMPUTED_VALUE"""),"same day leak detection")</f>
        <v>same day leak detection</v>
      </c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tr">
        <f>IFERROR(__xludf.DUMMYFUNCTION("""COMPUTED_VALUE"""),"pipe repair service")</f>
        <v>pipe repair service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 t="str">
        <f>IFERROR(__xludf.DUMMYFUNCTION("""COMPUTED_VALUE"""),"same day pipe repair")</f>
        <v>same day pipe repair</v>
      </c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 t="str">
        <f>IFERROR(__xludf.DUMMYFUNCTION("""COMPUTED_VALUE"""),"pipe repair specialist")</f>
        <v>pipe repair specialist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tr">
        <f>IFERROR(__xludf.DUMMYFUNCTION("""COMPUTED_VALUE"""),"same day water leak detection")</f>
        <v>same day water leak detection</v>
      </c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 t="str">
        <f>IFERROR(__xludf.DUMMYFUNCTION("""COMPUTED_VALUE"""),"water leak detection affordable")</f>
        <v>water leak detection affordable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 t="str">
        <f>IFERROR(__xludf.DUMMYFUNCTION("""COMPUTED_VALUE"""),"service blocked drain")</f>
        <v>service blocked drain</v>
      </c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 t="str">
        <f>IFERROR(__xludf.DUMMYFUNCTION("""COMPUTED_VALUE"""),"water leak detection best")</f>
        <v>water leak detection best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 t="str">
        <f>IFERROR(__xludf.DUMMYFUNCTION("""COMPUTED_VALUE"""),"service burst geyser")</f>
        <v>service burst geyser</v>
      </c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 t="str">
        <f>IFERROR(__xludf.DUMMYFUNCTION("""COMPUTED_VALUE"""),"water leak detection cape town")</f>
        <v>water leak detection cape town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 t="str">
        <f>IFERROR(__xludf.DUMMYFUNCTION("""COMPUTED_VALUE"""),"service drain cleaning")</f>
        <v>service drain cleaning</v>
      </c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 t="str">
        <f>IFERROR(__xludf.DUMMYFUNCTION("""COMPUTED_VALUE"""),"water leak detection CCTV")</f>
        <v>water leak detection CCTV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 t="str">
        <f>IFERROR(__xludf.DUMMYFUNCTION("""COMPUTED_VALUE"""),"service drain inspection")</f>
        <v>service drain inspection</v>
      </c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 t="str">
        <f>IFERROR(__xludf.DUMMYFUNCTION("""COMPUTED_VALUE"""),"water leak detection commercial")</f>
        <v>water leak detection commercial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 t="str">
        <f>IFERROR(__xludf.DUMMYFUNCTION("""COMPUTED_VALUE"""),"service drain unblocking")</f>
        <v>service drain unblocking</v>
      </c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 t="str">
        <f>IFERROR(__xludf.DUMMYFUNCTION("""COMPUTED_VALUE"""),"water leak detection cost")</f>
        <v>water leak detection cost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 t="str">
        <f>IFERROR(__xludf.DUMMYFUNCTION("""COMPUTED_VALUE"""),"service geyser repair")</f>
        <v>service geyser repair</v>
      </c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 t="str">
        <f>IFERROR(__xludf.DUMMYFUNCTION("""COMPUTED_VALUE"""),"water leak detection emergency")</f>
        <v>water leak detection emergency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 t="str">
        <f>IFERROR(__xludf.DUMMYFUNCTION("""COMPUTED_VALUE"""),"service geyser replacement")</f>
        <v>service geyser replacement</v>
      </c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 t="str">
        <f>IFERROR(__xludf.DUMMYFUNCTION("""COMPUTED_VALUE"""),"water leak detection high pressure jetting")</f>
        <v>water leak detection high pressure jetting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 t="str">
        <f>IFERROR(__xludf.DUMMYFUNCTION("""COMPUTED_VALUE"""),"service leak detection")</f>
        <v>service leak detection</v>
      </c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 t="str">
        <f>IFERROR(__xludf.DUMMYFUNCTION("""COMPUTED_VALUE"""),"water leak detection installation")</f>
        <v>water leak detection installation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 t="str">
        <f>IFERROR(__xludf.DUMMYFUNCTION("""COMPUTED_VALUE"""),"service pipe repair")</f>
        <v>service pipe repair</v>
      </c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 t="str">
        <f>IFERROR(__xludf.DUMMYFUNCTION("""COMPUTED_VALUE"""),"water leak detection near me")</f>
        <v>water leak detection near me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str">
        <f>IFERROR(__xludf.DUMMYFUNCTION("""COMPUTED_VALUE"""),"service water leak detection")</f>
        <v>service water leak detection</v>
      </c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 t="str">
        <f>IFERROR(__xludf.DUMMYFUNCTION("""COMPUTED_VALUE"""),"water leak detection plumber")</f>
        <v>water leak detection plumber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 t="str">
        <f>IFERROR(__xludf.DUMMYFUNCTION("""COMPUTED_VALUE"""),"specialist blocked drain")</f>
        <v>specialist blocked drain</v>
      </c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 t="str">
        <f>IFERROR(__xludf.DUMMYFUNCTION("""COMPUTED_VALUE"""),"water leak detection plumbing company")</f>
        <v>water leak detection plumbing company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 t="str">
        <f>IFERROR(__xludf.DUMMYFUNCTION("""COMPUTED_VALUE"""),"specialist burst geyser")</f>
        <v>specialist burst geyser</v>
      </c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 t="str">
        <f>IFERROR(__xludf.DUMMYFUNCTION("""COMPUTED_VALUE"""),"water leak detection quote")</f>
        <v>water leak detection quote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 t="str">
        <f>IFERROR(__xludf.DUMMYFUNCTION("""COMPUTED_VALUE"""),"specialist drain cleaning")</f>
        <v>specialist drain cleaning</v>
      </c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 t="str">
        <f>IFERROR(__xludf.DUMMYFUNCTION("""COMPUTED_VALUE"""),"water leak detection reliable")</f>
        <v>water leak detection reliable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str">
        <f>IFERROR(__xludf.DUMMYFUNCTION("""COMPUTED_VALUE"""),"specialist drain inspection")</f>
        <v>specialist drain inspection</v>
      </c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 t="str">
        <f>IFERROR(__xludf.DUMMYFUNCTION("""COMPUTED_VALUE"""),"water leak detection repair")</f>
        <v>water leak detection repair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 t="str">
        <f>IFERROR(__xludf.DUMMYFUNCTION("""COMPUTED_VALUE"""),"specialist drain unblocking")</f>
        <v>specialist drain unblocking</v>
      </c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 t="str">
        <f>IFERROR(__xludf.DUMMYFUNCTION("""COMPUTED_VALUE"""),"water leak detection replacement")</f>
        <v>water leak detection replacement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 t="str">
        <f>IFERROR(__xludf.DUMMYFUNCTION("""COMPUTED_VALUE"""),"specialist geyser repair")</f>
        <v>specialist geyser repair</v>
      </c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 t="str">
        <f>IFERROR(__xludf.DUMMYFUNCTION("""COMPUTED_VALUE"""),"water leak detection residential")</f>
        <v>water leak detection residential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 t="str">
        <f>IFERROR(__xludf.DUMMYFUNCTION("""COMPUTED_VALUE"""),"specialist geyser replacement")</f>
        <v>specialist geyser replacement</v>
      </c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 t="str">
        <f>IFERROR(__xludf.DUMMYFUNCTION("""COMPUTED_VALUE"""),"water leak detection same day")</f>
        <v>water leak detection same day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 t="str">
        <f>IFERROR(__xludf.DUMMYFUNCTION("""COMPUTED_VALUE"""),"specialist leak detection")</f>
        <v>specialist leak detection</v>
      </c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 t="str">
        <f>IFERROR(__xludf.DUMMYFUNCTION("""COMPUTED_VALUE"""),"water leak detection service")</f>
        <v>water leak detection service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tr">
        <f>IFERROR(__xludf.DUMMYFUNCTION("""COMPUTED_VALUE"""),"specialist pipe repair")</f>
        <v>specialist pipe repair</v>
      </c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 t="str">
        <f>IFERROR(__xludf.DUMMYFUNCTION("""COMPUTED_VALUE"""),"water leak detection specialist")</f>
        <v>water leak detection specialist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 t="str">
        <f>IFERROR(__xludf.DUMMYFUNCTION("""COMPUTED_VALUE"""),"specialist water leak detection")</f>
        <v>specialist water leak detection</v>
      </c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5" t="s">
        <v>21</v>
      </c>
      <c r="M1" s="2"/>
      <c r="N1" s="2" t="s">
        <v>119</v>
      </c>
      <c r="O1" s="2" t="s">
        <v>120</v>
      </c>
      <c r="P1" s="2" t="s">
        <v>121</v>
      </c>
      <c r="Q1" s="2" t="s">
        <v>122</v>
      </c>
      <c r="R1" s="2" t="s">
        <v>123</v>
      </c>
      <c r="S1" s="2" t="s">
        <v>124</v>
      </c>
      <c r="T1" s="2" t="s">
        <v>125</v>
      </c>
      <c r="U1" s="2" t="s">
        <v>126</v>
      </c>
      <c r="V1" s="2" t="s">
        <v>127</v>
      </c>
      <c r="W1" s="2" t="s">
        <v>128</v>
      </c>
      <c r="X1" s="8" t="s">
        <v>32</v>
      </c>
      <c r="Y1" s="4"/>
      <c r="Z1" s="4"/>
    </row>
    <row r="2">
      <c r="A2" s="9" t="s">
        <v>35</v>
      </c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41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4"/>
      <c r="Z2" s="4"/>
    </row>
    <row r="3">
      <c r="A3" s="13" t="s">
        <v>54</v>
      </c>
      <c r="B3" s="14" t="str">
        <f t="shared" ref="B3:K3" si="1">IF($A3="","",IF(OR(ISNUMBER(SEARCH(LOWER($A3),LOWER(B$1))),AND(RIGHT(LOWER($A3),1)="s",ISNUMBER(SEARCH(LEFT(LOWER($A3),LEN($A3)-1),LOWER(B$1))))),B$1,B$1&amp;" "&amp;$A3))</f>
        <v>electrician cape town near me</v>
      </c>
      <c r="C3" s="14" t="str">
        <f t="shared" si="1"/>
        <v>electrical services near me</v>
      </c>
      <c r="D3" s="14" t="str">
        <f t="shared" si="1"/>
        <v>electrical repairs near me</v>
      </c>
      <c r="E3" s="14" t="str">
        <f t="shared" si="1"/>
        <v>emergency electrician near me</v>
      </c>
      <c r="F3" s="14" t="str">
        <f t="shared" si="1"/>
        <v>residential electrician near me</v>
      </c>
      <c r="G3" s="14" t="str">
        <f t="shared" si="1"/>
        <v>commercial electrician near me</v>
      </c>
      <c r="H3" s="14" t="str">
        <f t="shared" si="1"/>
        <v>electrical contractor near me</v>
      </c>
      <c r="I3" s="14" t="str">
        <f t="shared" si="1"/>
        <v>electrical compliance certificate near me</v>
      </c>
      <c r="J3" s="14" t="str">
        <f t="shared" si="1"/>
        <v>electrical installation near me</v>
      </c>
      <c r="K3" s="14" t="str">
        <f t="shared" si="1"/>
        <v>electrical maintenance near me</v>
      </c>
      <c r="L3" s="16" t="str">
        <f>IFERROR(__xludf.DUMMYFUNCTION("SORT(UNIQUE(FILTER(FLATTEN(B3:K82),FLATTEN(B3:K82)&lt;&gt;"""")))"),"commercial electrician affordable")</f>
        <v>commercial electrician affordable</v>
      </c>
      <c r="M3" s="17"/>
      <c r="N3" s="14" t="str">
        <f t="shared" ref="N3:W3" si="2">IF($A3="","",IF(OR(ISNUMBER(SEARCH(LOWER($A3),LOWER(N$1))),AND(RIGHT(LOWER($A3),1)="s",ISNUMBER(SEARCH(LEFT(LOWER($A3),LEN($A3)-1),LOWER(N$1))))),N$1,$A3&amp;" "&amp;N$1))</f>
        <v>near me electrician cape town</v>
      </c>
      <c r="O3" s="14" t="str">
        <f t="shared" si="2"/>
        <v>near me electrical services</v>
      </c>
      <c r="P3" s="14" t="str">
        <f t="shared" si="2"/>
        <v>near me electrical repairs</v>
      </c>
      <c r="Q3" s="14" t="str">
        <f t="shared" si="2"/>
        <v>near me emergency electrician</v>
      </c>
      <c r="R3" s="14" t="str">
        <f t="shared" si="2"/>
        <v>near me residential electrician</v>
      </c>
      <c r="S3" s="14" t="str">
        <f t="shared" si="2"/>
        <v>near me commercial electrician</v>
      </c>
      <c r="T3" s="14" t="str">
        <f t="shared" si="2"/>
        <v>near me electrical contractor</v>
      </c>
      <c r="U3" s="14" t="str">
        <f t="shared" si="2"/>
        <v>near me electrical compliance certificate</v>
      </c>
      <c r="V3" s="14" t="str">
        <f t="shared" si="2"/>
        <v>near me electrical installation</v>
      </c>
      <c r="W3" s="14" t="str">
        <f t="shared" si="2"/>
        <v>near me electrical maintenance</v>
      </c>
      <c r="X3" s="18" t="str">
        <f>IFERROR(__xludf.DUMMYFUNCTION("SORT(UNIQUE(FILTER(FLATTEN(N3:W82),FLATTEN(N3:W82)&lt;&gt;"""")))"),"affordable commercial electrician")</f>
        <v>affordable commercial electrician</v>
      </c>
      <c r="Y3" s="4"/>
      <c r="Z3" s="4"/>
    </row>
    <row r="4">
      <c r="A4" s="13" t="s">
        <v>45</v>
      </c>
      <c r="B4" s="14" t="str">
        <f t="shared" ref="B4:K4" si="3">IF($A4="","",IF(OR(ISNUMBER(SEARCH(LOWER($A4),LOWER(B$1))),AND(RIGHT(LOWER($A4),1)="s",ISNUMBER(SEARCH(LEFT(LOWER($A4),LEN($A4)-1),LOWER(B$1))))),B$1,B$1&amp;" "&amp;$A4))</f>
        <v>electrician cape town</v>
      </c>
      <c r="C4" s="14" t="str">
        <f t="shared" si="3"/>
        <v>electrical services cape town</v>
      </c>
      <c r="D4" s="14" t="str">
        <f t="shared" si="3"/>
        <v>electrical repairs cape town</v>
      </c>
      <c r="E4" s="14" t="str">
        <f t="shared" si="3"/>
        <v>emergency electrician cape town</v>
      </c>
      <c r="F4" s="14" t="str">
        <f t="shared" si="3"/>
        <v>residential electrician cape town</v>
      </c>
      <c r="G4" s="14" t="str">
        <f t="shared" si="3"/>
        <v>commercial electrician cape town</v>
      </c>
      <c r="H4" s="14" t="str">
        <f t="shared" si="3"/>
        <v>electrical contractor cape town</v>
      </c>
      <c r="I4" s="14" t="str">
        <f t="shared" si="3"/>
        <v>electrical compliance certificate cape town</v>
      </c>
      <c r="J4" s="14" t="str">
        <f t="shared" si="3"/>
        <v>electrical installation cape town</v>
      </c>
      <c r="K4" s="14" t="str">
        <f t="shared" si="3"/>
        <v>electrical maintenance cape town</v>
      </c>
      <c r="L4" s="16" t="str">
        <f>IFERROR(__xludf.DUMMYFUNCTION("""COMPUTED_VALUE"""),"commercial electrician call out")</f>
        <v>commercial electrician call out</v>
      </c>
      <c r="M4" s="17"/>
      <c r="N4" s="14" t="str">
        <f t="shared" ref="N4:W4" si="4">IF($A4="","",IF(OR(ISNUMBER(SEARCH(LOWER($A4),LOWER(N$1))),AND(RIGHT(LOWER($A4),1)="s",ISNUMBER(SEARCH(LEFT(LOWER($A4),LEN($A4)-1),LOWER(N$1))))),N$1,$A4&amp;" "&amp;N$1))</f>
        <v>electrician cape town</v>
      </c>
      <c r="O4" s="14" t="str">
        <f t="shared" si="4"/>
        <v>cape town electrical services</v>
      </c>
      <c r="P4" s="14" t="str">
        <f t="shared" si="4"/>
        <v>cape town electrical repairs</v>
      </c>
      <c r="Q4" s="14" t="str">
        <f t="shared" si="4"/>
        <v>cape town emergency electrician</v>
      </c>
      <c r="R4" s="14" t="str">
        <f t="shared" si="4"/>
        <v>cape town residential electrician</v>
      </c>
      <c r="S4" s="14" t="str">
        <f t="shared" si="4"/>
        <v>cape town commercial electrician</v>
      </c>
      <c r="T4" s="14" t="str">
        <f t="shared" si="4"/>
        <v>cape town electrical contractor</v>
      </c>
      <c r="U4" s="14" t="str">
        <f t="shared" si="4"/>
        <v>cape town electrical compliance certificate</v>
      </c>
      <c r="V4" s="14" t="str">
        <f t="shared" si="4"/>
        <v>cape town electrical installation</v>
      </c>
      <c r="W4" s="14" t="str">
        <f t="shared" si="4"/>
        <v>cape town electrical maintenance</v>
      </c>
      <c r="X4" s="18" t="str">
        <f>IFERROR(__xludf.DUMMYFUNCTION("""COMPUTED_VALUE"""),"affordable electrical compliance certificate")</f>
        <v>affordable electrical compliance certificate</v>
      </c>
      <c r="Y4" s="4"/>
      <c r="Z4" s="4"/>
    </row>
    <row r="5">
      <c r="A5" s="13" t="s">
        <v>58</v>
      </c>
      <c r="B5" s="14" t="str">
        <f t="shared" ref="B5:K5" si="5">IF($A5="","",IF(OR(ISNUMBER(SEARCH(LOWER($A5),LOWER(B$1))),AND(RIGHT(LOWER($A5),1)="s",ISNUMBER(SEARCH(LEFT(LOWER($A5),LEN($A5)-1),LOWER(B$1))))),B$1,B$1&amp;" "&amp;$A5))</f>
        <v>electrician cape town same day</v>
      </c>
      <c r="C5" s="14" t="str">
        <f t="shared" si="5"/>
        <v>electrical services same day</v>
      </c>
      <c r="D5" s="14" t="str">
        <f t="shared" si="5"/>
        <v>electrical repairs same day</v>
      </c>
      <c r="E5" s="14" t="str">
        <f t="shared" si="5"/>
        <v>emergency electrician same day</v>
      </c>
      <c r="F5" s="14" t="str">
        <f t="shared" si="5"/>
        <v>residential electrician same day</v>
      </c>
      <c r="G5" s="14" t="str">
        <f t="shared" si="5"/>
        <v>commercial electrician same day</v>
      </c>
      <c r="H5" s="14" t="str">
        <f t="shared" si="5"/>
        <v>electrical contractor same day</v>
      </c>
      <c r="I5" s="14" t="str">
        <f t="shared" si="5"/>
        <v>electrical compliance certificate same day</v>
      </c>
      <c r="J5" s="14" t="str">
        <f t="shared" si="5"/>
        <v>electrical installation same day</v>
      </c>
      <c r="K5" s="14" t="str">
        <f t="shared" si="5"/>
        <v>electrical maintenance same day</v>
      </c>
      <c r="L5" s="16" t="str">
        <f>IFERROR(__xludf.DUMMYFUNCTION("""COMPUTED_VALUE"""),"commercial electrician cape town")</f>
        <v>commercial electrician cape town</v>
      </c>
      <c r="M5" s="17"/>
      <c r="N5" s="14" t="str">
        <f t="shared" ref="N5:W5" si="6">IF($A5="","",IF(OR(ISNUMBER(SEARCH(LOWER($A5),LOWER(N$1))),AND(RIGHT(LOWER($A5),1)="s",ISNUMBER(SEARCH(LEFT(LOWER($A5),LEN($A5)-1),LOWER(N$1))))),N$1,$A5&amp;" "&amp;N$1))</f>
        <v>same day electrician cape town</v>
      </c>
      <c r="O5" s="14" t="str">
        <f t="shared" si="6"/>
        <v>same day electrical services</v>
      </c>
      <c r="P5" s="14" t="str">
        <f t="shared" si="6"/>
        <v>same day electrical repairs</v>
      </c>
      <c r="Q5" s="14" t="str">
        <f t="shared" si="6"/>
        <v>same day emergency electrician</v>
      </c>
      <c r="R5" s="14" t="str">
        <f t="shared" si="6"/>
        <v>same day residential electrician</v>
      </c>
      <c r="S5" s="14" t="str">
        <f t="shared" si="6"/>
        <v>same day commercial electrician</v>
      </c>
      <c r="T5" s="14" t="str">
        <f t="shared" si="6"/>
        <v>same day electrical contractor</v>
      </c>
      <c r="U5" s="14" t="str">
        <f t="shared" si="6"/>
        <v>same day electrical compliance certificate</v>
      </c>
      <c r="V5" s="14" t="str">
        <f t="shared" si="6"/>
        <v>same day electrical installation</v>
      </c>
      <c r="W5" s="14" t="str">
        <f t="shared" si="6"/>
        <v>same day electrical maintenance</v>
      </c>
      <c r="X5" s="18" t="str">
        <f>IFERROR(__xludf.DUMMYFUNCTION("""COMPUTED_VALUE"""),"affordable electrical contractor")</f>
        <v>affordable electrical contractor</v>
      </c>
      <c r="Y5" s="4"/>
      <c r="Z5" s="4"/>
    </row>
    <row r="6">
      <c r="A6" s="13" t="s">
        <v>44</v>
      </c>
      <c r="B6" s="14" t="str">
        <f t="shared" ref="B6:K6" si="7">IF($A6="","",IF(OR(ISNUMBER(SEARCH(LOWER($A6),LOWER(B$1))),AND(RIGHT(LOWER($A6),1)="s",ISNUMBER(SEARCH(LEFT(LOWER($A6),LEN($A6)-1),LOWER(B$1))))),B$1,B$1&amp;" "&amp;$A6))</f>
        <v>electrician cape town emergency</v>
      </c>
      <c r="C6" s="14" t="str">
        <f t="shared" si="7"/>
        <v>electrical services emergency</v>
      </c>
      <c r="D6" s="14" t="str">
        <f t="shared" si="7"/>
        <v>electrical repairs emergency</v>
      </c>
      <c r="E6" s="14" t="str">
        <f t="shared" si="7"/>
        <v>emergency electrician</v>
      </c>
      <c r="F6" s="14" t="str">
        <f t="shared" si="7"/>
        <v>residential electrician emergency</v>
      </c>
      <c r="G6" s="14" t="str">
        <f t="shared" si="7"/>
        <v>commercial electrician emergency</v>
      </c>
      <c r="H6" s="14" t="str">
        <f t="shared" si="7"/>
        <v>electrical contractor emergency</v>
      </c>
      <c r="I6" s="14" t="str">
        <f t="shared" si="7"/>
        <v>electrical compliance certificate emergency</v>
      </c>
      <c r="J6" s="14" t="str">
        <f t="shared" si="7"/>
        <v>electrical installation emergency</v>
      </c>
      <c r="K6" s="14" t="str">
        <f t="shared" si="7"/>
        <v>electrical maintenance emergency</v>
      </c>
      <c r="L6" s="16" t="str">
        <f>IFERROR(__xludf.DUMMYFUNCTION("""COMPUTED_VALUE"""),"commercial electrician COC")</f>
        <v>commercial electrician COC</v>
      </c>
      <c r="M6" s="17"/>
      <c r="N6" s="14" t="str">
        <f t="shared" ref="N6:W6" si="8">IF($A6="","",IF(OR(ISNUMBER(SEARCH(LOWER($A6),LOWER(N$1))),AND(RIGHT(LOWER($A6),1)="s",ISNUMBER(SEARCH(LEFT(LOWER($A6),LEN($A6)-1),LOWER(N$1))))),N$1,$A6&amp;" "&amp;N$1))</f>
        <v>emergency electrician cape town</v>
      </c>
      <c r="O6" s="14" t="str">
        <f t="shared" si="8"/>
        <v>emergency electrical services</v>
      </c>
      <c r="P6" s="14" t="str">
        <f t="shared" si="8"/>
        <v>emergency electrical repairs</v>
      </c>
      <c r="Q6" s="14" t="str">
        <f t="shared" si="8"/>
        <v>emergency electrician</v>
      </c>
      <c r="R6" s="14" t="str">
        <f t="shared" si="8"/>
        <v>emergency residential electrician</v>
      </c>
      <c r="S6" s="14" t="str">
        <f t="shared" si="8"/>
        <v>emergency commercial electrician</v>
      </c>
      <c r="T6" s="14" t="str">
        <f t="shared" si="8"/>
        <v>emergency electrical contractor</v>
      </c>
      <c r="U6" s="14" t="str">
        <f t="shared" si="8"/>
        <v>emergency electrical compliance certificate</v>
      </c>
      <c r="V6" s="14" t="str">
        <f t="shared" si="8"/>
        <v>emergency electrical installation</v>
      </c>
      <c r="W6" s="14" t="str">
        <f t="shared" si="8"/>
        <v>emergency electrical maintenance</v>
      </c>
      <c r="X6" s="18" t="str">
        <f>IFERROR(__xludf.DUMMYFUNCTION("""COMPUTED_VALUE"""),"affordable electrical installation")</f>
        <v>affordable electrical installation</v>
      </c>
      <c r="Y6" s="4"/>
      <c r="Z6" s="4"/>
    </row>
    <row r="7">
      <c r="A7" s="13" t="s">
        <v>65</v>
      </c>
      <c r="B7" s="14" t="str">
        <f t="shared" ref="B7:K7" si="9">IF($A7="","",IF(OR(ISNUMBER(SEARCH(LOWER($A7),LOWER(B$1))),AND(RIGHT(LOWER($A7),1)="s",ISNUMBER(SEARCH(LEFT(LOWER($A7),LEN($A7)-1),LOWER(B$1))))),B$1,B$1&amp;" "&amp;$A7))</f>
        <v>electrician cape town affordable</v>
      </c>
      <c r="C7" s="14" t="str">
        <f t="shared" si="9"/>
        <v>electrical services affordable</v>
      </c>
      <c r="D7" s="14" t="str">
        <f t="shared" si="9"/>
        <v>electrical repairs affordable</v>
      </c>
      <c r="E7" s="14" t="str">
        <f t="shared" si="9"/>
        <v>emergency electrician affordable</v>
      </c>
      <c r="F7" s="14" t="str">
        <f t="shared" si="9"/>
        <v>residential electrician affordable</v>
      </c>
      <c r="G7" s="14" t="str">
        <f t="shared" si="9"/>
        <v>commercial electrician affordable</v>
      </c>
      <c r="H7" s="14" t="str">
        <f t="shared" si="9"/>
        <v>electrical contractor affordable</v>
      </c>
      <c r="I7" s="14" t="str">
        <f t="shared" si="9"/>
        <v>electrical compliance certificate affordable</v>
      </c>
      <c r="J7" s="14" t="str">
        <f t="shared" si="9"/>
        <v>electrical installation affordable</v>
      </c>
      <c r="K7" s="14" t="str">
        <f t="shared" si="9"/>
        <v>electrical maintenance affordable</v>
      </c>
      <c r="L7" s="16" t="str">
        <f>IFERROR(__xludf.DUMMYFUNCTION("""COMPUTED_VALUE"""),"commercial electrician company")</f>
        <v>commercial electrician company</v>
      </c>
      <c r="M7" s="17"/>
      <c r="N7" s="14" t="str">
        <f t="shared" ref="N7:W7" si="10">IF($A7="","",IF(OR(ISNUMBER(SEARCH(LOWER($A7),LOWER(N$1))),AND(RIGHT(LOWER($A7),1)="s",ISNUMBER(SEARCH(LEFT(LOWER($A7),LEN($A7)-1),LOWER(N$1))))),N$1,$A7&amp;" "&amp;N$1))</f>
        <v>affordable electrician cape town</v>
      </c>
      <c r="O7" s="14" t="str">
        <f t="shared" si="10"/>
        <v>affordable electrical services</v>
      </c>
      <c r="P7" s="14" t="str">
        <f t="shared" si="10"/>
        <v>affordable electrical repairs</v>
      </c>
      <c r="Q7" s="14" t="str">
        <f t="shared" si="10"/>
        <v>affordable emergency electrician</v>
      </c>
      <c r="R7" s="14" t="str">
        <f t="shared" si="10"/>
        <v>affordable residential electrician</v>
      </c>
      <c r="S7" s="14" t="str">
        <f t="shared" si="10"/>
        <v>affordable commercial electrician</v>
      </c>
      <c r="T7" s="14" t="str">
        <f t="shared" si="10"/>
        <v>affordable electrical contractor</v>
      </c>
      <c r="U7" s="14" t="str">
        <f t="shared" si="10"/>
        <v>affordable electrical compliance certificate</v>
      </c>
      <c r="V7" s="14" t="str">
        <f t="shared" si="10"/>
        <v>affordable electrical installation</v>
      </c>
      <c r="W7" s="14" t="str">
        <f t="shared" si="10"/>
        <v>affordable electrical maintenance</v>
      </c>
      <c r="X7" s="18" t="str">
        <f>IFERROR(__xludf.DUMMYFUNCTION("""COMPUTED_VALUE"""),"affordable electrical maintenance")</f>
        <v>affordable electrical maintenance</v>
      </c>
      <c r="Y7" s="4"/>
      <c r="Z7" s="4"/>
    </row>
    <row r="8">
      <c r="A8" s="13" t="s">
        <v>70</v>
      </c>
      <c r="B8" s="14" t="str">
        <f t="shared" ref="B8:K8" si="11">IF($A8="","",IF(OR(ISNUMBER(SEARCH(LOWER($A8),LOWER(B$1))),AND(RIGHT(LOWER($A8),1)="s",ISNUMBER(SEARCH(LEFT(LOWER($A8),LEN($A8)-1),LOWER(B$1))))),B$1,B$1&amp;" "&amp;$A8))</f>
        <v>electrician cape town qualified</v>
      </c>
      <c r="C8" s="14" t="str">
        <f t="shared" si="11"/>
        <v>electrical services qualified</v>
      </c>
      <c r="D8" s="14" t="str">
        <f t="shared" si="11"/>
        <v>electrical repairs qualified</v>
      </c>
      <c r="E8" s="14" t="str">
        <f t="shared" si="11"/>
        <v>emergency electrician qualified</v>
      </c>
      <c r="F8" s="14" t="str">
        <f t="shared" si="11"/>
        <v>residential electrician qualified</v>
      </c>
      <c r="G8" s="14" t="str">
        <f t="shared" si="11"/>
        <v>commercial electrician qualified</v>
      </c>
      <c r="H8" s="14" t="str">
        <f t="shared" si="11"/>
        <v>electrical contractor qualified</v>
      </c>
      <c r="I8" s="14" t="str">
        <f t="shared" si="11"/>
        <v>electrical compliance certificate qualified</v>
      </c>
      <c r="J8" s="14" t="str">
        <f t="shared" si="11"/>
        <v>electrical installation qualified</v>
      </c>
      <c r="K8" s="14" t="str">
        <f t="shared" si="11"/>
        <v>electrical maintenance qualified</v>
      </c>
      <c r="L8" s="16" t="str">
        <f>IFERROR(__xludf.DUMMYFUNCTION("""COMPUTED_VALUE"""),"commercial electrician contractor")</f>
        <v>commercial electrician contractor</v>
      </c>
      <c r="M8" s="17"/>
      <c r="N8" s="14" t="str">
        <f t="shared" ref="N8:W8" si="12">IF($A8="","",IF(OR(ISNUMBER(SEARCH(LOWER($A8),LOWER(N$1))),AND(RIGHT(LOWER($A8),1)="s",ISNUMBER(SEARCH(LEFT(LOWER($A8),LEN($A8)-1),LOWER(N$1))))),N$1,$A8&amp;" "&amp;N$1))</f>
        <v>qualified electrician cape town</v>
      </c>
      <c r="O8" s="14" t="str">
        <f t="shared" si="12"/>
        <v>qualified electrical services</v>
      </c>
      <c r="P8" s="14" t="str">
        <f t="shared" si="12"/>
        <v>qualified electrical repairs</v>
      </c>
      <c r="Q8" s="14" t="str">
        <f t="shared" si="12"/>
        <v>qualified emergency electrician</v>
      </c>
      <c r="R8" s="14" t="str">
        <f t="shared" si="12"/>
        <v>qualified residential electrician</v>
      </c>
      <c r="S8" s="14" t="str">
        <f t="shared" si="12"/>
        <v>qualified commercial electrician</v>
      </c>
      <c r="T8" s="14" t="str">
        <f t="shared" si="12"/>
        <v>qualified electrical contractor</v>
      </c>
      <c r="U8" s="14" t="str">
        <f t="shared" si="12"/>
        <v>qualified electrical compliance certificate</v>
      </c>
      <c r="V8" s="14" t="str">
        <f t="shared" si="12"/>
        <v>qualified electrical installation</v>
      </c>
      <c r="W8" s="14" t="str">
        <f t="shared" si="12"/>
        <v>qualified electrical maintenance</v>
      </c>
      <c r="X8" s="18" t="str">
        <f>IFERROR(__xludf.DUMMYFUNCTION("""COMPUTED_VALUE"""),"affordable electrical repairs")</f>
        <v>affordable electrical repairs</v>
      </c>
      <c r="Y8" s="4"/>
      <c r="Z8" s="4"/>
    </row>
    <row r="9">
      <c r="A9" s="13" t="s">
        <v>73</v>
      </c>
      <c r="B9" s="14" t="str">
        <f t="shared" ref="B9:K9" si="13">IF($A9="","",IF(OR(ISNUMBER(SEARCH(LOWER($A9),LOWER(B$1))),AND(RIGHT(LOWER($A9),1)="s",ISNUMBER(SEARCH(LEFT(LOWER($A9),LEN($A9)-1),LOWER(B$1))))),B$1,B$1&amp;" "&amp;$A9))</f>
        <v>electrician cape town licensed</v>
      </c>
      <c r="C9" s="14" t="str">
        <f t="shared" si="13"/>
        <v>electrical services licensed</v>
      </c>
      <c r="D9" s="14" t="str">
        <f t="shared" si="13"/>
        <v>electrical repairs licensed</v>
      </c>
      <c r="E9" s="14" t="str">
        <f t="shared" si="13"/>
        <v>emergency electrician licensed</v>
      </c>
      <c r="F9" s="14" t="str">
        <f t="shared" si="13"/>
        <v>residential electrician licensed</v>
      </c>
      <c r="G9" s="14" t="str">
        <f t="shared" si="13"/>
        <v>commercial electrician licensed</v>
      </c>
      <c r="H9" s="14" t="str">
        <f t="shared" si="13"/>
        <v>electrical contractor licensed</v>
      </c>
      <c r="I9" s="14" t="str">
        <f t="shared" si="13"/>
        <v>electrical compliance certificate licensed</v>
      </c>
      <c r="J9" s="14" t="str">
        <f t="shared" si="13"/>
        <v>electrical installation licensed</v>
      </c>
      <c r="K9" s="14" t="str">
        <f t="shared" si="13"/>
        <v>electrical maintenance licensed</v>
      </c>
      <c r="L9" s="16" t="str">
        <f>IFERROR(__xludf.DUMMYFUNCTION("""COMPUTED_VALUE"""),"commercial electrician cost")</f>
        <v>commercial electrician cost</v>
      </c>
      <c r="M9" s="17"/>
      <c r="N9" s="14" t="str">
        <f t="shared" ref="N9:W9" si="14">IF($A9="","",IF(OR(ISNUMBER(SEARCH(LOWER($A9),LOWER(N$1))),AND(RIGHT(LOWER($A9),1)="s",ISNUMBER(SEARCH(LEFT(LOWER($A9),LEN($A9)-1),LOWER(N$1))))),N$1,$A9&amp;" "&amp;N$1))</f>
        <v>licensed electrician cape town</v>
      </c>
      <c r="O9" s="14" t="str">
        <f t="shared" si="14"/>
        <v>licensed electrical services</v>
      </c>
      <c r="P9" s="14" t="str">
        <f t="shared" si="14"/>
        <v>licensed electrical repairs</v>
      </c>
      <c r="Q9" s="14" t="str">
        <f t="shared" si="14"/>
        <v>licensed emergency electrician</v>
      </c>
      <c r="R9" s="14" t="str">
        <f t="shared" si="14"/>
        <v>licensed residential electrician</v>
      </c>
      <c r="S9" s="14" t="str">
        <f t="shared" si="14"/>
        <v>licensed commercial electrician</v>
      </c>
      <c r="T9" s="14" t="str">
        <f t="shared" si="14"/>
        <v>licensed electrical contractor</v>
      </c>
      <c r="U9" s="14" t="str">
        <f t="shared" si="14"/>
        <v>licensed electrical compliance certificate</v>
      </c>
      <c r="V9" s="14" t="str">
        <f t="shared" si="14"/>
        <v>licensed electrical installation</v>
      </c>
      <c r="W9" s="14" t="str">
        <f t="shared" si="14"/>
        <v>licensed electrical maintenance</v>
      </c>
      <c r="X9" s="18" t="str">
        <f>IFERROR(__xludf.DUMMYFUNCTION("""COMPUTED_VALUE"""),"affordable electrical services")</f>
        <v>affordable electrical services</v>
      </c>
      <c r="Y9" s="4"/>
      <c r="Z9" s="4"/>
    </row>
    <row r="10">
      <c r="A10" s="13" t="s">
        <v>76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electrician cape town reliable</v>
      </c>
      <c r="C10" s="14" t="str">
        <f t="shared" si="15"/>
        <v>electrical services reliable</v>
      </c>
      <c r="D10" s="14" t="str">
        <f t="shared" si="15"/>
        <v>electrical repairs reliable</v>
      </c>
      <c r="E10" s="14" t="str">
        <f t="shared" si="15"/>
        <v>emergency electrician reliable</v>
      </c>
      <c r="F10" s="14" t="str">
        <f t="shared" si="15"/>
        <v>residential electrician reliable</v>
      </c>
      <c r="G10" s="14" t="str">
        <f t="shared" si="15"/>
        <v>commercial electrician reliable</v>
      </c>
      <c r="H10" s="14" t="str">
        <f t="shared" si="15"/>
        <v>electrical contractor reliable</v>
      </c>
      <c r="I10" s="14" t="str">
        <f t="shared" si="15"/>
        <v>electrical compliance certificate reliable</v>
      </c>
      <c r="J10" s="14" t="str">
        <f t="shared" si="15"/>
        <v>electrical installation reliable</v>
      </c>
      <c r="K10" s="14" t="str">
        <f t="shared" si="15"/>
        <v>electrical maintenance reliable</v>
      </c>
      <c r="L10" s="16" t="str">
        <f>IFERROR(__xludf.DUMMYFUNCTION("""COMPUTED_VALUE"""),"commercial electrician emergency")</f>
        <v>commercial electrician emergency</v>
      </c>
      <c r="M10" s="17"/>
      <c r="N10" s="14" t="str">
        <f t="shared" ref="N10:W10" si="16">IF($A10="","",IF(OR(ISNUMBER(SEARCH(LOWER($A10),LOWER(N$1))),AND(RIGHT(LOWER($A10),1)="s",ISNUMBER(SEARCH(LEFT(LOWER($A10),LEN($A10)-1),LOWER(N$1))))),N$1,$A10&amp;" "&amp;N$1))</f>
        <v>reliable electrician cape town</v>
      </c>
      <c r="O10" s="14" t="str">
        <f t="shared" si="16"/>
        <v>reliable electrical services</v>
      </c>
      <c r="P10" s="14" t="str">
        <f t="shared" si="16"/>
        <v>reliable electrical repairs</v>
      </c>
      <c r="Q10" s="14" t="str">
        <f t="shared" si="16"/>
        <v>reliable emergency electrician</v>
      </c>
      <c r="R10" s="14" t="str">
        <f t="shared" si="16"/>
        <v>reliable residential electrician</v>
      </c>
      <c r="S10" s="14" t="str">
        <f t="shared" si="16"/>
        <v>reliable commercial electrician</v>
      </c>
      <c r="T10" s="14" t="str">
        <f t="shared" si="16"/>
        <v>reliable electrical contractor</v>
      </c>
      <c r="U10" s="14" t="str">
        <f t="shared" si="16"/>
        <v>reliable electrical compliance certificate</v>
      </c>
      <c r="V10" s="14" t="str">
        <f t="shared" si="16"/>
        <v>reliable electrical installation</v>
      </c>
      <c r="W10" s="14" t="str">
        <f t="shared" si="16"/>
        <v>reliable electrical maintenance</v>
      </c>
      <c r="X10" s="18" t="str">
        <f>IFERROR(__xludf.DUMMYFUNCTION("""COMPUTED_VALUE"""),"affordable electrician cape town")</f>
        <v>affordable electrician cape town</v>
      </c>
      <c r="Y10" s="4"/>
      <c r="Z10" s="4"/>
    </row>
    <row r="11">
      <c r="A11" s="13" t="s">
        <v>68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electrician cape town professional</v>
      </c>
      <c r="C11" s="14" t="str">
        <f t="shared" si="17"/>
        <v>electrical services professional</v>
      </c>
      <c r="D11" s="14" t="str">
        <f t="shared" si="17"/>
        <v>electrical repairs professional</v>
      </c>
      <c r="E11" s="14" t="str">
        <f t="shared" si="17"/>
        <v>emergency electrician professional</v>
      </c>
      <c r="F11" s="14" t="str">
        <f t="shared" si="17"/>
        <v>residential electrician professional</v>
      </c>
      <c r="G11" s="14" t="str">
        <f t="shared" si="17"/>
        <v>commercial electrician professional</v>
      </c>
      <c r="H11" s="14" t="str">
        <f t="shared" si="17"/>
        <v>electrical contractor professional</v>
      </c>
      <c r="I11" s="14" t="str">
        <f t="shared" si="17"/>
        <v>electrical compliance certificate professional</v>
      </c>
      <c r="J11" s="14" t="str">
        <f t="shared" si="17"/>
        <v>electrical installation professional</v>
      </c>
      <c r="K11" s="14" t="str">
        <f t="shared" si="17"/>
        <v>electrical maintenance professional</v>
      </c>
      <c r="L11" s="16" t="str">
        <f>IFERROR(__xludf.DUMMYFUNCTION("""COMPUTED_VALUE"""),"commercial electrician inspection")</f>
        <v>commercial electrician inspection</v>
      </c>
      <c r="M11" s="17"/>
      <c r="N11" s="14" t="str">
        <f t="shared" ref="N11:W11" si="18">IF($A11="","",IF(OR(ISNUMBER(SEARCH(LOWER($A11),LOWER(N$1))),AND(RIGHT(LOWER($A11),1)="s",ISNUMBER(SEARCH(LEFT(LOWER($A11),LEN($A11)-1),LOWER(N$1))))),N$1,$A11&amp;" "&amp;N$1))</f>
        <v>professional electrician cape town</v>
      </c>
      <c r="O11" s="14" t="str">
        <f t="shared" si="18"/>
        <v>professional electrical services</v>
      </c>
      <c r="P11" s="14" t="str">
        <f t="shared" si="18"/>
        <v>professional electrical repairs</v>
      </c>
      <c r="Q11" s="14" t="str">
        <f t="shared" si="18"/>
        <v>professional emergency electrician</v>
      </c>
      <c r="R11" s="14" t="str">
        <f t="shared" si="18"/>
        <v>professional residential electrician</v>
      </c>
      <c r="S11" s="14" t="str">
        <f t="shared" si="18"/>
        <v>professional commercial electrician</v>
      </c>
      <c r="T11" s="14" t="str">
        <f t="shared" si="18"/>
        <v>professional electrical contractor</v>
      </c>
      <c r="U11" s="14" t="str">
        <f t="shared" si="18"/>
        <v>professional electrical compliance certificate</v>
      </c>
      <c r="V11" s="14" t="str">
        <f t="shared" si="18"/>
        <v>professional electrical installation</v>
      </c>
      <c r="W11" s="14" t="str">
        <f t="shared" si="18"/>
        <v>professional electrical maintenance</v>
      </c>
      <c r="X11" s="18" t="str">
        <f>IFERROR(__xludf.DUMMYFUNCTION("""COMPUTED_VALUE"""),"affordable emergency electrician")</f>
        <v>affordable emergency electrician</v>
      </c>
      <c r="Y11" s="4"/>
      <c r="Z11" s="4"/>
    </row>
    <row r="12">
      <c r="A12" s="13" t="s">
        <v>62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electrician cape town local</v>
      </c>
      <c r="C12" s="14" t="str">
        <f t="shared" si="19"/>
        <v>electrical services local</v>
      </c>
      <c r="D12" s="14" t="str">
        <f t="shared" si="19"/>
        <v>electrical repairs local</v>
      </c>
      <c r="E12" s="14" t="str">
        <f t="shared" si="19"/>
        <v>emergency electrician local</v>
      </c>
      <c r="F12" s="14" t="str">
        <f t="shared" si="19"/>
        <v>residential electrician local</v>
      </c>
      <c r="G12" s="14" t="str">
        <f t="shared" si="19"/>
        <v>commercial electrician local</v>
      </c>
      <c r="H12" s="14" t="str">
        <f t="shared" si="19"/>
        <v>electrical contractor local</v>
      </c>
      <c r="I12" s="14" t="str">
        <f t="shared" si="19"/>
        <v>electrical compliance certificate local</v>
      </c>
      <c r="J12" s="14" t="str">
        <f t="shared" si="19"/>
        <v>electrical installation local</v>
      </c>
      <c r="K12" s="14" t="str">
        <f t="shared" si="19"/>
        <v>electrical maintenance local</v>
      </c>
      <c r="L12" s="16" t="str">
        <f>IFERROR(__xludf.DUMMYFUNCTION("""COMPUTED_VALUE"""),"commercial electrician installation")</f>
        <v>commercial electrician installation</v>
      </c>
      <c r="M12" s="17"/>
      <c r="N12" s="14" t="str">
        <f t="shared" ref="N12:W12" si="20">IF($A12="","",IF(OR(ISNUMBER(SEARCH(LOWER($A12),LOWER(N$1))),AND(RIGHT(LOWER($A12),1)="s",ISNUMBER(SEARCH(LEFT(LOWER($A12),LEN($A12)-1),LOWER(N$1))))),N$1,$A12&amp;" "&amp;N$1))</f>
        <v>local electrician cape town</v>
      </c>
      <c r="O12" s="14" t="str">
        <f t="shared" si="20"/>
        <v>local electrical services</v>
      </c>
      <c r="P12" s="14" t="str">
        <f t="shared" si="20"/>
        <v>local electrical repairs</v>
      </c>
      <c r="Q12" s="14" t="str">
        <f t="shared" si="20"/>
        <v>local emergency electrician</v>
      </c>
      <c r="R12" s="14" t="str">
        <f t="shared" si="20"/>
        <v>local residential electrician</v>
      </c>
      <c r="S12" s="14" t="str">
        <f t="shared" si="20"/>
        <v>local commercial electrician</v>
      </c>
      <c r="T12" s="14" t="str">
        <f t="shared" si="20"/>
        <v>local electrical contractor</v>
      </c>
      <c r="U12" s="14" t="str">
        <f t="shared" si="20"/>
        <v>local electrical compliance certificate</v>
      </c>
      <c r="V12" s="14" t="str">
        <f t="shared" si="20"/>
        <v>local electrical installation</v>
      </c>
      <c r="W12" s="14" t="str">
        <f t="shared" si="20"/>
        <v>local electrical maintenance</v>
      </c>
      <c r="X12" s="18" t="str">
        <f>IFERROR(__xludf.DUMMYFUNCTION("""COMPUTED_VALUE"""),"affordable residential electrician")</f>
        <v>affordable residential electrician</v>
      </c>
      <c r="Y12" s="4"/>
      <c r="Z12" s="4"/>
    </row>
    <row r="13">
      <c r="A13" s="13" t="s">
        <v>67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electrician cape town call out</v>
      </c>
      <c r="C13" s="14" t="str">
        <f t="shared" si="21"/>
        <v>electrical services call out</v>
      </c>
      <c r="D13" s="14" t="str">
        <f t="shared" si="21"/>
        <v>electrical repairs call out</v>
      </c>
      <c r="E13" s="14" t="str">
        <f t="shared" si="21"/>
        <v>emergency electrician call out</v>
      </c>
      <c r="F13" s="14" t="str">
        <f t="shared" si="21"/>
        <v>residential electrician call out</v>
      </c>
      <c r="G13" s="14" t="str">
        <f t="shared" si="21"/>
        <v>commercial electrician call out</v>
      </c>
      <c r="H13" s="14" t="str">
        <f t="shared" si="21"/>
        <v>electrical contractor call out</v>
      </c>
      <c r="I13" s="14" t="str">
        <f t="shared" si="21"/>
        <v>electrical compliance certificate call out</v>
      </c>
      <c r="J13" s="14" t="str">
        <f t="shared" si="21"/>
        <v>electrical installation call out</v>
      </c>
      <c r="K13" s="14" t="str">
        <f t="shared" si="21"/>
        <v>electrical maintenance call out</v>
      </c>
      <c r="L13" s="16" t="str">
        <f>IFERROR(__xludf.DUMMYFUNCTION("""COMPUTED_VALUE"""),"commercial electrician licensed")</f>
        <v>commercial electrician licensed</v>
      </c>
      <c r="M13" s="17"/>
      <c r="N13" s="14" t="str">
        <f t="shared" ref="N13:W13" si="22">IF($A13="","",IF(OR(ISNUMBER(SEARCH(LOWER($A13),LOWER(N$1))),AND(RIGHT(LOWER($A13),1)="s",ISNUMBER(SEARCH(LEFT(LOWER($A13),LEN($A13)-1),LOWER(N$1))))),N$1,$A13&amp;" "&amp;N$1))</f>
        <v>call out electrician cape town</v>
      </c>
      <c r="O13" s="14" t="str">
        <f t="shared" si="22"/>
        <v>call out electrical services</v>
      </c>
      <c r="P13" s="14" t="str">
        <f t="shared" si="22"/>
        <v>call out electrical repairs</v>
      </c>
      <c r="Q13" s="14" t="str">
        <f t="shared" si="22"/>
        <v>call out emergency electrician</v>
      </c>
      <c r="R13" s="14" t="str">
        <f t="shared" si="22"/>
        <v>call out residential electrician</v>
      </c>
      <c r="S13" s="14" t="str">
        <f t="shared" si="22"/>
        <v>call out commercial electrician</v>
      </c>
      <c r="T13" s="14" t="str">
        <f t="shared" si="22"/>
        <v>call out electrical contractor</v>
      </c>
      <c r="U13" s="14" t="str">
        <f t="shared" si="22"/>
        <v>call out electrical compliance certificate</v>
      </c>
      <c r="V13" s="14" t="str">
        <f t="shared" si="22"/>
        <v>call out electrical installation</v>
      </c>
      <c r="W13" s="14" t="str">
        <f t="shared" si="22"/>
        <v>call out electrical maintenance</v>
      </c>
      <c r="X13" s="18" t="str">
        <f>IFERROR(__xludf.DUMMYFUNCTION("""COMPUTED_VALUE"""),"call out commercial electrician")</f>
        <v>call out commercial electrician</v>
      </c>
      <c r="Y13" s="4"/>
      <c r="Z13" s="4"/>
    </row>
    <row r="14">
      <c r="A14" s="13" t="s">
        <v>71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electrician cape town cost</v>
      </c>
      <c r="C14" s="14" t="str">
        <f t="shared" si="23"/>
        <v>electrical services cost</v>
      </c>
      <c r="D14" s="14" t="str">
        <f t="shared" si="23"/>
        <v>electrical repairs cost</v>
      </c>
      <c r="E14" s="14" t="str">
        <f t="shared" si="23"/>
        <v>emergency electrician cost</v>
      </c>
      <c r="F14" s="14" t="str">
        <f t="shared" si="23"/>
        <v>residential electrician cost</v>
      </c>
      <c r="G14" s="14" t="str">
        <f t="shared" si="23"/>
        <v>commercial electrician cost</v>
      </c>
      <c r="H14" s="14" t="str">
        <f t="shared" si="23"/>
        <v>electrical contractor cost</v>
      </c>
      <c r="I14" s="14" t="str">
        <f t="shared" si="23"/>
        <v>electrical compliance certificate cost</v>
      </c>
      <c r="J14" s="14" t="str">
        <f t="shared" si="23"/>
        <v>electrical installation cost</v>
      </c>
      <c r="K14" s="14" t="str">
        <f t="shared" si="23"/>
        <v>electrical maintenance cost</v>
      </c>
      <c r="L14" s="16" t="str">
        <f>IFERROR(__xludf.DUMMYFUNCTION("""COMPUTED_VALUE"""),"commercial electrician local")</f>
        <v>commercial electrician local</v>
      </c>
      <c r="M14" s="17"/>
      <c r="N14" s="14" t="str">
        <f t="shared" ref="N14:W14" si="24">IF($A14="","",IF(OR(ISNUMBER(SEARCH(LOWER($A14),LOWER(N$1))),AND(RIGHT(LOWER($A14),1)="s",ISNUMBER(SEARCH(LEFT(LOWER($A14),LEN($A14)-1),LOWER(N$1))))),N$1,$A14&amp;" "&amp;N$1))</f>
        <v>cost electrician cape town</v>
      </c>
      <c r="O14" s="14" t="str">
        <f t="shared" si="24"/>
        <v>cost electrical services</v>
      </c>
      <c r="P14" s="14" t="str">
        <f t="shared" si="24"/>
        <v>cost electrical repairs</v>
      </c>
      <c r="Q14" s="14" t="str">
        <f t="shared" si="24"/>
        <v>cost emergency electrician</v>
      </c>
      <c r="R14" s="14" t="str">
        <f t="shared" si="24"/>
        <v>cost residential electrician</v>
      </c>
      <c r="S14" s="14" t="str">
        <f t="shared" si="24"/>
        <v>cost commercial electrician</v>
      </c>
      <c r="T14" s="14" t="str">
        <f t="shared" si="24"/>
        <v>cost electrical contractor</v>
      </c>
      <c r="U14" s="14" t="str">
        <f t="shared" si="24"/>
        <v>cost electrical compliance certificate</v>
      </c>
      <c r="V14" s="14" t="str">
        <f t="shared" si="24"/>
        <v>cost electrical installation</v>
      </c>
      <c r="W14" s="14" t="str">
        <f t="shared" si="24"/>
        <v>cost electrical maintenance</v>
      </c>
      <c r="X14" s="18" t="str">
        <f>IFERROR(__xludf.DUMMYFUNCTION("""COMPUTED_VALUE"""),"call out electrical compliance certificate")</f>
        <v>call out electrical compliance certificate</v>
      </c>
      <c r="Y14" s="4"/>
      <c r="Z14" s="4"/>
    </row>
    <row r="15">
      <c r="A15" s="13" t="s">
        <v>74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electrician cape town quote</v>
      </c>
      <c r="C15" s="14" t="str">
        <f t="shared" si="25"/>
        <v>electrical services quote</v>
      </c>
      <c r="D15" s="14" t="str">
        <f t="shared" si="25"/>
        <v>electrical repairs quote</v>
      </c>
      <c r="E15" s="14" t="str">
        <f t="shared" si="25"/>
        <v>emergency electrician quote</v>
      </c>
      <c r="F15" s="14" t="str">
        <f t="shared" si="25"/>
        <v>residential electrician quote</v>
      </c>
      <c r="G15" s="14" t="str">
        <f t="shared" si="25"/>
        <v>commercial electrician quote</v>
      </c>
      <c r="H15" s="14" t="str">
        <f t="shared" si="25"/>
        <v>electrical contractor quote</v>
      </c>
      <c r="I15" s="14" t="str">
        <f t="shared" si="25"/>
        <v>electrical compliance certificate quote</v>
      </c>
      <c r="J15" s="14" t="str">
        <f t="shared" si="25"/>
        <v>electrical installation quote</v>
      </c>
      <c r="K15" s="14" t="str">
        <f t="shared" si="25"/>
        <v>electrical maintenance quote</v>
      </c>
      <c r="L15" s="16" t="str">
        <f>IFERROR(__xludf.DUMMYFUNCTION("""COMPUTED_VALUE"""),"commercial electrician near me")</f>
        <v>commercial electrician near me</v>
      </c>
      <c r="M15" s="17"/>
      <c r="N15" s="14" t="str">
        <f t="shared" ref="N15:W15" si="26">IF($A15="","",IF(OR(ISNUMBER(SEARCH(LOWER($A15),LOWER(N$1))),AND(RIGHT(LOWER($A15),1)="s",ISNUMBER(SEARCH(LEFT(LOWER($A15),LEN($A15)-1),LOWER(N$1))))),N$1,$A15&amp;" "&amp;N$1))</f>
        <v>quote electrician cape town</v>
      </c>
      <c r="O15" s="14" t="str">
        <f t="shared" si="26"/>
        <v>quote electrical services</v>
      </c>
      <c r="P15" s="14" t="str">
        <f t="shared" si="26"/>
        <v>quote electrical repairs</v>
      </c>
      <c r="Q15" s="14" t="str">
        <f t="shared" si="26"/>
        <v>quote emergency electrician</v>
      </c>
      <c r="R15" s="14" t="str">
        <f t="shared" si="26"/>
        <v>quote residential electrician</v>
      </c>
      <c r="S15" s="14" t="str">
        <f t="shared" si="26"/>
        <v>quote commercial electrician</v>
      </c>
      <c r="T15" s="14" t="str">
        <f t="shared" si="26"/>
        <v>quote electrical contractor</v>
      </c>
      <c r="U15" s="14" t="str">
        <f t="shared" si="26"/>
        <v>quote electrical compliance certificate</v>
      </c>
      <c r="V15" s="14" t="str">
        <f t="shared" si="26"/>
        <v>quote electrical installation</v>
      </c>
      <c r="W15" s="14" t="str">
        <f t="shared" si="26"/>
        <v>quote electrical maintenance</v>
      </c>
      <c r="X15" s="18" t="str">
        <f>IFERROR(__xludf.DUMMYFUNCTION("""COMPUTED_VALUE"""),"call out electrical contractor")</f>
        <v>call out electrical contractor</v>
      </c>
      <c r="Y15" s="4"/>
      <c r="Z15" s="4"/>
    </row>
    <row r="16">
      <c r="A16" s="13" t="s">
        <v>129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electrician cape town COC</v>
      </c>
      <c r="C16" s="14" t="str">
        <f t="shared" si="27"/>
        <v>electrical services COC</v>
      </c>
      <c r="D16" s="14" t="str">
        <f t="shared" si="27"/>
        <v>electrical repairs COC</v>
      </c>
      <c r="E16" s="14" t="str">
        <f t="shared" si="27"/>
        <v>emergency electrician COC</v>
      </c>
      <c r="F16" s="14" t="str">
        <f t="shared" si="27"/>
        <v>residential electrician COC</v>
      </c>
      <c r="G16" s="14" t="str">
        <f t="shared" si="27"/>
        <v>commercial electrician COC</v>
      </c>
      <c r="H16" s="14" t="str">
        <f t="shared" si="27"/>
        <v>electrical contractor COC</v>
      </c>
      <c r="I16" s="14" t="str">
        <f t="shared" si="27"/>
        <v>electrical compliance certificate COC</v>
      </c>
      <c r="J16" s="14" t="str">
        <f t="shared" si="27"/>
        <v>electrical installation COC</v>
      </c>
      <c r="K16" s="14" t="str">
        <f t="shared" si="27"/>
        <v>electrical maintenance COC</v>
      </c>
      <c r="L16" s="16" t="str">
        <f>IFERROR(__xludf.DUMMYFUNCTION("""COMPUTED_VALUE"""),"commercial electrician professional")</f>
        <v>commercial electrician professional</v>
      </c>
      <c r="M16" s="17"/>
      <c r="N16" s="14" t="str">
        <f t="shared" ref="N16:W16" si="28">IF($A16="","",IF(OR(ISNUMBER(SEARCH(LOWER($A16),LOWER(N$1))),AND(RIGHT(LOWER($A16),1)="s",ISNUMBER(SEARCH(LEFT(LOWER($A16),LEN($A16)-1),LOWER(N$1))))),N$1,$A16&amp;" "&amp;N$1))</f>
        <v>COC electrician cape town</v>
      </c>
      <c r="O16" s="14" t="str">
        <f t="shared" si="28"/>
        <v>COC electrical services</v>
      </c>
      <c r="P16" s="14" t="str">
        <f t="shared" si="28"/>
        <v>COC electrical repairs</v>
      </c>
      <c r="Q16" s="14" t="str">
        <f t="shared" si="28"/>
        <v>COC emergency electrician</v>
      </c>
      <c r="R16" s="14" t="str">
        <f t="shared" si="28"/>
        <v>COC residential electrician</v>
      </c>
      <c r="S16" s="14" t="str">
        <f t="shared" si="28"/>
        <v>COC commercial electrician</v>
      </c>
      <c r="T16" s="14" t="str">
        <f t="shared" si="28"/>
        <v>COC electrical contractor</v>
      </c>
      <c r="U16" s="14" t="str">
        <f t="shared" si="28"/>
        <v>COC electrical compliance certificate</v>
      </c>
      <c r="V16" s="14" t="str">
        <f t="shared" si="28"/>
        <v>COC electrical installation</v>
      </c>
      <c r="W16" s="14" t="str">
        <f t="shared" si="28"/>
        <v>COC electrical maintenance</v>
      </c>
      <c r="X16" s="18" t="str">
        <f>IFERROR(__xludf.DUMMYFUNCTION("""COMPUTED_VALUE"""),"call out electrical installation")</f>
        <v>call out electrical installation</v>
      </c>
      <c r="Y16" s="4"/>
      <c r="Z16" s="4"/>
    </row>
    <row r="17">
      <c r="A17" s="13" t="s">
        <v>130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electrician cape town inspection</v>
      </c>
      <c r="C17" s="14" t="str">
        <f t="shared" si="29"/>
        <v>electrical services inspection</v>
      </c>
      <c r="D17" s="14" t="str">
        <f t="shared" si="29"/>
        <v>electrical repairs inspection</v>
      </c>
      <c r="E17" s="14" t="str">
        <f t="shared" si="29"/>
        <v>emergency electrician inspection</v>
      </c>
      <c r="F17" s="14" t="str">
        <f t="shared" si="29"/>
        <v>residential electrician inspection</v>
      </c>
      <c r="G17" s="14" t="str">
        <f t="shared" si="29"/>
        <v>commercial electrician inspection</v>
      </c>
      <c r="H17" s="14" t="str">
        <f t="shared" si="29"/>
        <v>electrical contractor inspection</v>
      </c>
      <c r="I17" s="14" t="str">
        <f t="shared" si="29"/>
        <v>electrical compliance certificate inspection</v>
      </c>
      <c r="J17" s="14" t="str">
        <f t="shared" si="29"/>
        <v>electrical installation inspection</v>
      </c>
      <c r="K17" s="14" t="str">
        <f t="shared" si="29"/>
        <v>electrical maintenance inspection</v>
      </c>
      <c r="L17" s="16" t="str">
        <f>IFERROR(__xludf.DUMMYFUNCTION("""COMPUTED_VALUE"""),"commercial electrician qualified")</f>
        <v>commercial electrician qualified</v>
      </c>
      <c r="M17" s="17"/>
      <c r="N17" s="14" t="str">
        <f t="shared" ref="N17:W17" si="30">IF($A17="","",IF(OR(ISNUMBER(SEARCH(LOWER($A17),LOWER(N$1))),AND(RIGHT(LOWER($A17),1)="s",ISNUMBER(SEARCH(LEFT(LOWER($A17),LEN($A17)-1),LOWER(N$1))))),N$1,$A17&amp;" "&amp;N$1))</f>
        <v>inspection electrician cape town</v>
      </c>
      <c r="O17" s="14" t="str">
        <f t="shared" si="30"/>
        <v>inspection electrical services</v>
      </c>
      <c r="P17" s="14" t="str">
        <f t="shared" si="30"/>
        <v>inspection electrical repairs</v>
      </c>
      <c r="Q17" s="14" t="str">
        <f t="shared" si="30"/>
        <v>inspection emergency electrician</v>
      </c>
      <c r="R17" s="14" t="str">
        <f t="shared" si="30"/>
        <v>inspection residential electrician</v>
      </c>
      <c r="S17" s="14" t="str">
        <f t="shared" si="30"/>
        <v>inspection commercial electrician</v>
      </c>
      <c r="T17" s="14" t="str">
        <f t="shared" si="30"/>
        <v>inspection electrical contractor</v>
      </c>
      <c r="U17" s="14" t="str">
        <f t="shared" si="30"/>
        <v>inspection electrical compliance certificate</v>
      </c>
      <c r="V17" s="14" t="str">
        <f t="shared" si="30"/>
        <v>inspection electrical installation</v>
      </c>
      <c r="W17" s="14" t="str">
        <f t="shared" si="30"/>
        <v>inspection electrical maintenance</v>
      </c>
      <c r="X17" s="18" t="str">
        <f>IFERROR(__xludf.DUMMYFUNCTION("""COMPUTED_VALUE"""),"call out electrical maintenance")</f>
        <v>call out electrical maintenance</v>
      </c>
      <c r="Y17" s="4"/>
      <c r="Z17" s="4"/>
    </row>
    <row r="18">
      <c r="A18" s="13" t="s">
        <v>82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electrician cape town repair</v>
      </c>
      <c r="C18" s="14" t="str">
        <f t="shared" si="31"/>
        <v>electrical services repair</v>
      </c>
      <c r="D18" s="14" t="str">
        <f t="shared" si="31"/>
        <v>electrical repairs</v>
      </c>
      <c r="E18" s="14" t="str">
        <f t="shared" si="31"/>
        <v>emergency electrician repair</v>
      </c>
      <c r="F18" s="14" t="str">
        <f t="shared" si="31"/>
        <v>residential electrician repair</v>
      </c>
      <c r="G18" s="14" t="str">
        <f t="shared" si="31"/>
        <v>commercial electrician repair</v>
      </c>
      <c r="H18" s="14" t="str">
        <f t="shared" si="31"/>
        <v>electrical contractor repair</v>
      </c>
      <c r="I18" s="14" t="str">
        <f t="shared" si="31"/>
        <v>electrical compliance certificate repair</v>
      </c>
      <c r="J18" s="14" t="str">
        <f t="shared" si="31"/>
        <v>electrical installation repair</v>
      </c>
      <c r="K18" s="14" t="str">
        <f t="shared" si="31"/>
        <v>electrical maintenance repair</v>
      </c>
      <c r="L18" s="16" t="str">
        <f>IFERROR(__xludf.DUMMYFUNCTION("""COMPUTED_VALUE"""),"commercial electrician quote")</f>
        <v>commercial electrician quote</v>
      </c>
      <c r="M18" s="17"/>
      <c r="N18" s="14" t="str">
        <f t="shared" ref="N18:W18" si="32">IF($A18="","",IF(OR(ISNUMBER(SEARCH(LOWER($A18),LOWER(N$1))),AND(RIGHT(LOWER($A18),1)="s",ISNUMBER(SEARCH(LEFT(LOWER($A18),LEN($A18)-1),LOWER(N$1))))),N$1,$A18&amp;" "&amp;N$1))</f>
        <v>repair electrician cape town</v>
      </c>
      <c r="O18" s="14" t="str">
        <f t="shared" si="32"/>
        <v>repair electrical services</v>
      </c>
      <c r="P18" s="14" t="str">
        <f t="shared" si="32"/>
        <v>electrical repairs</v>
      </c>
      <c r="Q18" s="14" t="str">
        <f t="shared" si="32"/>
        <v>repair emergency electrician</v>
      </c>
      <c r="R18" s="14" t="str">
        <f t="shared" si="32"/>
        <v>repair residential electrician</v>
      </c>
      <c r="S18" s="14" t="str">
        <f t="shared" si="32"/>
        <v>repair commercial electrician</v>
      </c>
      <c r="T18" s="14" t="str">
        <f t="shared" si="32"/>
        <v>repair electrical contractor</v>
      </c>
      <c r="U18" s="14" t="str">
        <f t="shared" si="32"/>
        <v>repair electrical compliance certificate</v>
      </c>
      <c r="V18" s="14" t="str">
        <f t="shared" si="32"/>
        <v>repair electrical installation</v>
      </c>
      <c r="W18" s="14" t="str">
        <f t="shared" si="32"/>
        <v>repair electrical maintenance</v>
      </c>
      <c r="X18" s="18" t="str">
        <f>IFERROR(__xludf.DUMMYFUNCTION("""COMPUTED_VALUE"""),"call out electrical repairs")</f>
        <v>call out electrical repairs</v>
      </c>
      <c r="Y18" s="4"/>
      <c r="Z18" s="4"/>
    </row>
    <row r="19">
      <c r="A19" s="13" t="s">
        <v>84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electrician cape town installation</v>
      </c>
      <c r="C19" s="14" t="str">
        <f t="shared" si="33"/>
        <v>electrical services installation</v>
      </c>
      <c r="D19" s="14" t="str">
        <f t="shared" si="33"/>
        <v>electrical repairs installation</v>
      </c>
      <c r="E19" s="14" t="str">
        <f t="shared" si="33"/>
        <v>emergency electrician installation</v>
      </c>
      <c r="F19" s="14" t="str">
        <f t="shared" si="33"/>
        <v>residential electrician installation</v>
      </c>
      <c r="G19" s="14" t="str">
        <f t="shared" si="33"/>
        <v>commercial electrician installation</v>
      </c>
      <c r="H19" s="14" t="str">
        <f t="shared" si="33"/>
        <v>electrical contractor installation</v>
      </c>
      <c r="I19" s="14" t="str">
        <f t="shared" si="33"/>
        <v>electrical compliance certificate installation</v>
      </c>
      <c r="J19" s="14" t="str">
        <f t="shared" si="33"/>
        <v>electrical installation</v>
      </c>
      <c r="K19" s="14" t="str">
        <f t="shared" si="33"/>
        <v>electrical maintenance installation</v>
      </c>
      <c r="L19" s="16" t="str">
        <f>IFERROR(__xludf.DUMMYFUNCTION("""COMPUTED_VALUE"""),"commercial electrician reliable")</f>
        <v>commercial electrician reliable</v>
      </c>
      <c r="M19" s="17"/>
      <c r="N19" s="14" t="str">
        <f t="shared" ref="N19:W19" si="34">IF($A19="","",IF(OR(ISNUMBER(SEARCH(LOWER($A19),LOWER(N$1))),AND(RIGHT(LOWER($A19),1)="s",ISNUMBER(SEARCH(LEFT(LOWER($A19),LEN($A19)-1),LOWER(N$1))))),N$1,$A19&amp;" "&amp;N$1))</f>
        <v>installation electrician cape town</v>
      </c>
      <c r="O19" s="14" t="str">
        <f t="shared" si="34"/>
        <v>installation electrical services</v>
      </c>
      <c r="P19" s="14" t="str">
        <f t="shared" si="34"/>
        <v>installation electrical repairs</v>
      </c>
      <c r="Q19" s="14" t="str">
        <f t="shared" si="34"/>
        <v>installation emergency electrician</v>
      </c>
      <c r="R19" s="14" t="str">
        <f t="shared" si="34"/>
        <v>installation residential electrician</v>
      </c>
      <c r="S19" s="14" t="str">
        <f t="shared" si="34"/>
        <v>installation commercial electrician</v>
      </c>
      <c r="T19" s="14" t="str">
        <f t="shared" si="34"/>
        <v>installation electrical contractor</v>
      </c>
      <c r="U19" s="14" t="str">
        <f t="shared" si="34"/>
        <v>installation electrical compliance certificate</v>
      </c>
      <c r="V19" s="14" t="str">
        <f t="shared" si="34"/>
        <v>electrical installation</v>
      </c>
      <c r="W19" s="14" t="str">
        <f t="shared" si="34"/>
        <v>installation electrical maintenance</v>
      </c>
      <c r="X19" s="18" t="str">
        <f>IFERROR(__xludf.DUMMYFUNCTION("""COMPUTED_VALUE"""),"call out electrical services")</f>
        <v>call out electrical services</v>
      </c>
      <c r="Y19" s="4"/>
      <c r="Z19" s="4"/>
    </row>
    <row r="20">
      <c r="A20" s="13" t="s">
        <v>90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electrician cape town contractor</v>
      </c>
      <c r="C20" s="14" t="str">
        <f t="shared" si="35"/>
        <v>electrical services contractor</v>
      </c>
      <c r="D20" s="14" t="str">
        <f t="shared" si="35"/>
        <v>electrical repairs contractor</v>
      </c>
      <c r="E20" s="14" t="str">
        <f t="shared" si="35"/>
        <v>emergency electrician contractor</v>
      </c>
      <c r="F20" s="14" t="str">
        <f t="shared" si="35"/>
        <v>residential electrician contractor</v>
      </c>
      <c r="G20" s="14" t="str">
        <f t="shared" si="35"/>
        <v>commercial electrician contractor</v>
      </c>
      <c r="H20" s="14" t="str">
        <f t="shared" si="35"/>
        <v>electrical contractor</v>
      </c>
      <c r="I20" s="14" t="str">
        <f t="shared" si="35"/>
        <v>electrical compliance certificate contractor</v>
      </c>
      <c r="J20" s="14" t="str">
        <f t="shared" si="35"/>
        <v>electrical installation contractor</v>
      </c>
      <c r="K20" s="14" t="str">
        <f t="shared" si="35"/>
        <v>electrical maintenance contractor</v>
      </c>
      <c r="L20" s="16" t="str">
        <f>IFERROR(__xludf.DUMMYFUNCTION("""COMPUTED_VALUE"""),"commercial electrician repair")</f>
        <v>commercial electrician repair</v>
      </c>
      <c r="M20" s="17"/>
      <c r="N20" s="14" t="str">
        <f t="shared" ref="N20:W20" si="36">IF($A20="","",IF(OR(ISNUMBER(SEARCH(LOWER($A20),LOWER(N$1))),AND(RIGHT(LOWER($A20),1)="s",ISNUMBER(SEARCH(LEFT(LOWER($A20),LEN($A20)-1),LOWER(N$1))))),N$1,$A20&amp;" "&amp;N$1))</f>
        <v>contractor electrician cape town</v>
      </c>
      <c r="O20" s="14" t="str">
        <f t="shared" si="36"/>
        <v>contractor electrical services</v>
      </c>
      <c r="P20" s="14" t="str">
        <f t="shared" si="36"/>
        <v>contractor electrical repairs</v>
      </c>
      <c r="Q20" s="14" t="str">
        <f t="shared" si="36"/>
        <v>contractor emergency electrician</v>
      </c>
      <c r="R20" s="14" t="str">
        <f t="shared" si="36"/>
        <v>contractor residential electrician</v>
      </c>
      <c r="S20" s="14" t="str">
        <f t="shared" si="36"/>
        <v>contractor commercial electrician</v>
      </c>
      <c r="T20" s="14" t="str">
        <f t="shared" si="36"/>
        <v>electrical contractor</v>
      </c>
      <c r="U20" s="14" t="str">
        <f t="shared" si="36"/>
        <v>contractor electrical compliance certificate</v>
      </c>
      <c r="V20" s="14" t="str">
        <f t="shared" si="36"/>
        <v>contractor electrical installation</v>
      </c>
      <c r="W20" s="14" t="str">
        <f t="shared" si="36"/>
        <v>contractor electrical maintenance</v>
      </c>
      <c r="X20" s="18" t="str">
        <f>IFERROR(__xludf.DUMMYFUNCTION("""COMPUTED_VALUE"""),"call out electrician cape town")</f>
        <v>call out electrician cape town</v>
      </c>
      <c r="Y20" s="4"/>
      <c r="Z20" s="4"/>
    </row>
    <row r="21" ht="15.75" customHeight="1">
      <c r="A21" s="13" t="s">
        <v>92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electrician cape town company</v>
      </c>
      <c r="C21" s="14" t="str">
        <f t="shared" si="37"/>
        <v>electrical services company</v>
      </c>
      <c r="D21" s="14" t="str">
        <f t="shared" si="37"/>
        <v>electrical repairs company</v>
      </c>
      <c r="E21" s="14" t="str">
        <f t="shared" si="37"/>
        <v>emergency electrician company</v>
      </c>
      <c r="F21" s="14" t="str">
        <f t="shared" si="37"/>
        <v>residential electrician company</v>
      </c>
      <c r="G21" s="14" t="str">
        <f t="shared" si="37"/>
        <v>commercial electrician company</v>
      </c>
      <c r="H21" s="14" t="str">
        <f t="shared" si="37"/>
        <v>electrical contractor company</v>
      </c>
      <c r="I21" s="14" t="str">
        <f t="shared" si="37"/>
        <v>electrical compliance certificate company</v>
      </c>
      <c r="J21" s="14" t="str">
        <f t="shared" si="37"/>
        <v>electrical installation company</v>
      </c>
      <c r="K21" s="14" t="str">
        <f t="shared" si="37"/>
        <v>electrical maintenance company</v>
      </c>
      <c r="L21" s="16" t="str">
        <f>IFERROR(__xludf.DUMMYFUNCTION("""COMPUTED_VALUE"""),"commercial electrician same day")</f>
        <v>commercial electrician same day</v>
      </c>
      <c r="M21" s="17"/>
      <c r="N21" s="14" t="str">
        <f t="shared" ref="N21:W21" si="38">IF($A21="","",IF(OR(ISNUMBER(SEARCH(LOWER($A21),LOWER(N$1))),AND(RIGHT(LOWER($A21),1)="s",ISNUMBER(SEARCH(LEFT(LOWER($A21),LEN($A21)-1),LOWER(N$1))))),N$1,$A21&amp;" "&amp;N$1))</f>
        <v>company electrician cape town</v>
      </c>
      <c r="O21" s="14" t="str">
        <f t="shared" si="38"/>
        <v>company electrical services</v>
      </c>
      <c r="P21" s="14" t="str">
        <f t="shared" si="38"/>
        <v>company electrical repairs</v>
      </c>
      <c r="Q21" s="14" t="str">
        <f t="shared" si="38"/>
        <v>company emergency electrician</v>
      </c>
      <c r="R21" s="14" t="str">
        <f t="shared" si="38"/>
        <v>company residential electrician</v>
      </c>
      <c r="S21" s="14" t="str">
        <f t="shared" si="38"/>
        <v>company commercial electrician</v>
      </c>
      <c r="T21" s="14" t="str">
        <f t="shared" si="38"/>
        <v>company electrical contractor</v>
      </c>
      <c r="U21" s="14" t="str">
        <f t="shared" si="38"/>
        <v>company electrical compliance certificate</v>
      </c>
      <c r="V21" s="14" t="str">
        <f t="shared" si="38"/>
        <v>company electrical installation</v>
      </c>
      <c r="W21" s="14" t="str">
        <f t="shared" si="38"/>
        <v>company electrical maintenance</v>
      </c>
      <c r="X21" s="18" t="str">
        <f>IFERROR(__xludf.DUMMYFUNCTION("""COMPUTED_VALUE"""),"call out emergency electrician")</f>
        <v>call out emergency electrician</v>
      </c>
      <c r="Y21" s="4"/>
      <c r="Z21" s="4"/>
    </row>
    <row r="22" ht="15.75" customHeight="1">
      <c r="A22" s="13" t="s">
        <v>87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electrician cape town service</v>
      </c>
      <c r="C22" s="14" t="str">
        <f t="shared" si="39"/>
        <v>electrical services</v>
      </c>
      <c r="D22" s="14" t="str">
        <f t="shared" si="39"/>
        <v>electrical repairs service</v>
      </c>
      <c r="E22" s="14" t="str">
        <f t="shared" si="39"/>
        <v>emergency electrician service</v>
      </c>
      <c r="F22" s="14" t="str">
        <f t="shared" si="39"/>
        <v>residential electrician service</v>
      </c>
      <c r="G22" s="14" t="str">
        <f t="shared" si="39"/>
        <v>commercial electrician service</v>
      </c>
      <c r="H22" s="14" t="str">
        <f t="shared" si="39"/>
        <v>electrical contractor service</v>
      </c>
      <c r="I22" s="14" t="str">
        <f t="shared" si="39"/>
        <v>electrical compliance certificate service</v>
      </c>
      <c r="J22" s="14" t="str">
        <f t="shared" si="39"/>
        <v>electrical installation service</v>
      </c>
      <c r="K22" s="14" t="str">
        <f t="shared" si="39"/>
        <v>electrical maintenance service</v>
      </c>
      <c r="L22" s="16" t="str">
        <f>IFERROR(__xludf.DUMMYFUNCTION("""COMPUTED_VALUE"""),"commercial electrician service")</f>
        <v>commercial electrician service</v>
      </c>
      <c r="M22" s="17"/>
      <c r="N22" s="14" t="str">
        <f t="shared" ref="N22:W22" si="40">IF($A22="","",IF(OR(ISNUMBER(SEARCH(LOWER($A22),LOWER(N$1))),AND(RIGHT(LOWER($A22),1)="s",ISNUMBER(SEARCH(LEFT(LOWER($A22),LEN($A22)-1),LOWER(N$1))))),N$1,$A22&amp;" "&amp;N$1))</f>
        <v>service electrician cape town</v>
      </c>
      <c r="O22" s="14" t="str">
        <f t="shared" si="40"/>
        <v>electrical services</v>
      </c>
      <c r="P22" s="14" t="str">
        <f t="shared" si="40"/>
        <v>service electrical repairs</v>
      </c>
      <c r="Q22" s="14" t="str">
        <f t="shared" si="40"/>
        <v>service emergency electrician</v>
      </c>
      <c r="R22" s="14" t="str">
        <f t="shared" si="40"/>
        <v>service residential electrician</v>
      </c>
      <c r="S22" s="14" t="str">
        <f t="shared" si="40"/>
        <v>service commercial electrician</v>
      </c>
      <c r="T22" s="14" t="str">
        <f t="shared" si="40"/>
        <v>service electrical contractor</v>
      </c>
      <c r="U22" s="14" t="str">
        <f t="shared" si="40"/>
        <v>service electrical compliance certificate</v>
      </c>
      <c r="V22" s="14" t="str">
        <f t="shared" si="40"/>
        <v>service electrical installation</v>
      </c>
      <c r="W22" s="14" t="str">
        <f t="shared" si="40"/>
        <v>service electrical maintenance</v>
      </c>
      <c r="X22" s="18" t="str">
        <f>IFERROR(__xludf.DUMMYFUNCTION("""COMPUTED_VALUE"""),"call out residential electrician")</f>
        <v>call out residential electrician</v>
      </c>
      <c r="Y22" s="4"/>
      <c r="Z22" s="4"/>
    </row>
    <row r="23" ht="15.75" customHeight="1">
      <c r="A23" s="13"/>
      <c r="B23" s="14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14" t="str">
        <f t="shared" si="41"/>
        <v/>
      </c>
      <c r="D23" s="14" t="str">
        <f t="shared" si="41"/>
        <v/>
      </c>
      <c r="E23" s="14" t="str">
        <f t="shared" si="41"/>
        <v/>
      </c>
      <c r="F23" s="14" t="str">
        <f t="shared" si="41"/>
        <v/>
      </c>
      <c r="G23" s="14" t="str">
        <f t="shared" si="41"/>
        <v/>
      </c>
      <c r="H23" s="14" t="str">
        <f t="shared" si="41"/>
        <v/>
      </c>
      <c r="I23" s="14" t="str">
        <f t="shared" si="41"/>
        <v/>
      </c>
      <c r="J23" s="14" t="str">
        <f t="shared" si="41"/>
        <v/>
      </c>
      <c r="K23" s="14" t="str">
        <f t="shared" si="41"/>
        <v/>
      </c>
      <c r="L23" s="16" t="str">
        <f>IFERROR(__xludf.DUMMYFUNCTION("""COMPUTED_VALUE"""),"electrical compliance certificate affordable")</f>
        <v>electrical compliance certificate affordable</v>
      </c>
      <c r="M23" s="17"/>
      <c r="N23" s="14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14" t="str">
        <f t="shared" si="42"/>
        <v/>
      </c>
      <c r="P23" s="14" t="str">
        <f t="shared" si="42"/>
        <v/>
      </c>
      <c r="Q23" s="14" t="str">
        <f t="shared" si="42"/>
        <v/>
      </c>
      <c r="R23" s="14" t="str">
        <f t="shared" si="42"/>
        <v/>
      </c>
      <c r="S23" s="14" t="str">
        <f t="shared" si="42"/>
        <v/>
      </c>
      <c r="T23" s="14" t="str">
        <f t="shared" si="42"/>
        <v/>
      </c>
      <c r="U23" s="14" t="str">
        <f t="shared" si="42"/>
        <v/>
      </c>
      <c r="V23" s="14" t="str">
        <f t="shared" si="42"/>
        <v/>
      </c>
      <c r="W23" s="14" t="str">
        <f t="shared" si="42"/>
        <v/>
      </c>
      <c r="X23" s="18" t="str">
        <f>IFERROR(__xludf.DUMMYFUNCTION("""COMPUTED_VALUE"""),"cape town commercial electrician")</f>
        <v>cape town commercial electrician</v>
      </c>
      <c r="Y23" s="4"/>
      <c r="Z23" s="4"/>
    </row>
    <row r="24" ht="15.75" customHeight="1">
      <c r="A24" s="13"/>
      <c r="B24" s="14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14" t="str">
        <f t="shared" si="43"/>
        <v/>
      </c>
      <c r="D24" s="14" t="str">
        <f t="shared" si="43"/>
        <v/>
      </c>
      <c r="E24" s="14" t="str">
        <f t="shared" si="43"/>
        <v/>
      </c>
      <c r="F24" s="14" t="str">
        <f t="shared" si="43"/>
        <v/>
      </c>
      <c r="G24" s="14" t="str">
        <f t="shared" si="43"/>
        <v/>
      </c>
      <c r="H24" s="14" t="str">
        <f t="shared" si="43"/>
        <v/>
      </c>
      <c r="I24" s="14" t="str">
        <f t="shared" si="43"/>
        <v/>
      </c>
      <c r="J24" s="14" t="str">
        <f t="shared" si="43"/>
        <v/>
      </c>
      <c r="K24" s="14" t="str">
        <f t="shared" si="43"/>
        <v/>
      </c>
      <c r="L24" s="16" t="str">
        <f>IFERROR(__xludf.DUMMYFUNCTION("""COMPUTED_VALUE"""),"electrical compliance certificate call out")</f>
        <v>electrical compliance certificate call out</v>
      </c>
      <c r="M24" s="17"/>
      <c r="N24" s="14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14" t="str">
        <f t="shared" si="44"/>
        <v/>
      </c>
      <c r="P24" s="14" t="str">
        <f t="shared" si="44"/>
        <v/>
      </c>
      <c r="Q24" s="14" t="str">
        <f t="shared" si="44"/>
        <v/>
      </c>
      <c r="R24" s="14" t="str">
        <f t="shared" si="44"/>
        <v/>
      </c>
      <c r="S24" s="14" t="str">
        <f t="shared" si="44"/>
        <v/>
      </c>
      <c r="T24" s="14" t="str">
        <f t="shared" si="44"/>
        <v/>
      </c>
      <c r="U24" s="14" t="str">
        <f t="shared" si="44"/>
        <v/>
      </c>
      <c r="V24" s="14" t="str">
        <f t="shared" si="44"/>
        <v/>
      </c>
      <c r="W24" s="14" t="str">
        <f t="shared" si="44"/>
        <v/>
      </c>
      <c r="X24" s="18" t="str">
        <f>IFERROR(__xludf.DUMMYFUNCTION("""COMPUTED_VALUE"""),"cape town electrical compliance certificate")</f>
        <v>cape town electrical compliance certificate</v>
      </c>
      <c r="Y24" s="4"/>
      <c r="Z24" s="4"/>
    </row>
    <row r="25" ht="15.75" customHeight="1">
      <c r="A25" s="13"/>
      <c r="B25" s="14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14" t="str">
        <f t="shared" si="45"/>
        <v/>
      </c>
      <c r="D25" s="14" t="str">
        <f t="shared" si="45"/>
        <v/>
      </c>
      <c r="E25" s="14" t="str">
        <f t="shared" si="45"/>
        <v/>
      </c>
      <c r="F25" s="14" t="str">
        <f t="shared" si="45"/>
        <v/>
      </c>
      <c r="G25" s="14" t="str">
        <f t="shared" si="45"/>
        <v/>
      </c>
      <c r="H25" s="14" t="str">
        <f t="shared" si="45"/>
        <v/>
      </c>
      <c r="I25" s="14" t="str">
        <f t="shared" si="45"/>
        <v/>
      </c>
      <c r="J25" s="14" t="str">
        <f t="shared" si="45"/>
        <v/>
      </c>
      <c r="K25" s="14" t="str">
        <f t="shared" si="45"/>
        <v/>
      </c>
      <c r="L25" s="16" t="str">
        <f>IFERROR(__xludf.DUMMYFUNCTION("""COMPUTED_VALUE"""),"electrical compliance certificate cape town")</f>
        <v>electrical compliance certificate cape town</v>
      </c>
      <c r="M25" s="17"/>
      <c r="N25" s="14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14" t="str">
        <f t="shared" si="46"/>
        <v/>
      </c>
      <c r="P25" s="14" t="str">
        <f t="shared" si="46"/>
        <v/>
      </c>
      <c r="Q25" s="14" t="str">
        <f t="shared" si="46"/>
        <v/>
      </c>
      <c r="R25" s="14" t="str">
        <f t="shared" si="46"/>
        <v/>
      </c>
      <c r="S25" s="14" t="str">
        <f t="shared" si="46"/>
        <v/>
      </c>
      <c r="T25" s="14" t="str">
        <f t="shared" si="46"/>
        <v/>
      </c>
      <c r="U25" s="14" t="str">
        <f t="shared" si="46"/>
        <v/>
      </c>
      <c r="V25" s="14" t="str">
        <f t="shared" si="46"/>
        <v/>
      </c>
      <c r="W25" s="14" t="str">
        <f t="shared" si="46"/>
        <v/>
      </c>
      <c r="X25" s="18" t="str">
        <f>IFERROR(__xludf.DUMMYFUNCTION("""COMPUTED_VALUE"""),"cape town electrical contractor")</f>
        <v>cape town electrical contractor</v>
      </c>
      <c r="Y25" s="4"/>
      <c r="Z25" s="4"/>
    </row>
    <row r="26" ht="15.75" customHeight="1">
      <c r="A26" s="13"/>
      <c r="B26" s="14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14" t="str">
        <f t="shared" si="47"/>
        <v/>
      </c>
      <c r="D26" s="14" t="str">
        <f t="shared" si="47"/>
        <v/>
      </c>
      <c r="E26" s="14" t="str">
        <f t="shared" si="47"/>
        <v/>
      </c>
      <c r="F26" s="14" t="str">
        <f t="shared" si="47"/>
        <v/>
      </c>
      <c r="G26" s="14" t="str">
        <f t="shared" si="47"/>
        <v/>
      </c>
      <c r="H26" s="14" t="str">
        <f t="shared" si="47"/>
        <v/>
      </c>
      <c r="I26" s="14" t="str">
        <f t="shared" si="47"/>
        <v/>
      </c>
      <c r="J26" s="14" t="str">
        <f t="shared" si="47"/>
        <v/>
      </c>
      <c r="K26" s="14" t="str">
        <f t="shared" si="47"/>
        <v/>
      </c>
      <c r="L26" s="16" t="str">
        <f>IFERROR(__xludf.DUMMYFUNCTION("""COMPUTED_VALUE"""),"electrical compliance certificate COC")</f>
        <v>electrical compliance certificate COC</v>
      </c>
      <c r="M26" s="17"/>
      <c r="N26" s="14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14" t="str">
        <f t="shared" si="48"/>
        <v/>
      </c>
      <c r="P26" s="14" t="str">
        <f t="shared" si="48"/>
        <v/>
      </c>
      <c r="Q26" s="14" t="str">
        <f t="shared" si="48"/>
        <v/>
      </c>
      <c r="R26" s="14" t="str">
        <f t="shared" si="48"/>
        <v/>
      </c>
      <c r="S26" s="14" t="str">
        <f t="shared" si="48"/>
        <v/>
      </c>
      <c r="T26" s="14" t="str">
        <f t="shared" si="48"/>
        <v/>
      </c>
      <c r="U26" s="14" t="str">
        <f t="shared" si="48"/>
        <v/>
      </c>
      <c r="V26" s="14" t="str">
        <f t="shared" si="48"/>
        <v/>
      </c>
      <c r="W26" s="14" t="str">
        <f t="shared" si="48"/>
        <v/>
      </c>
      <c r="X26" s="18" t="str">
        <f>IFERROR(__xludf.DUMMYFUNCTION("""COMPUTED_VALUE"""),"cape town electrical installation")</f>
        <v>cape town electrical installation</v>
      </c>
      <c r="Y26" s="4"/>
      <c r="Z26" s="4"/>
    </row>
    <row r="27" ht="15.75" customHeight="1">
      <c r="A27" s="13"/>
      <c r="B27" s="14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14" t="str">
        <f t="shared" si="49"/>
        <v/>
      </c>
      <c r="D27" s="14" t="str">
        <f t="shared" si="49"/>
        <v/>
      </c>
      <c r="E27" s="14" t="str">
        <f t="shared" si="49"/>
        <v/>
      </c>
      <c r="F27" s="14" t="str">
        <f t="shared" si="49"/>
        <v/>
      </c>
      <c r="G27" s="14" t="str">
        <f t="shared" si="49"/>
        <v/>
      </c>
      <c r="H27" s="14" t="str">
        <f t="shared" si="49"/>
        <v/>
      </c>
      <c r="I27" s="14" t="str">
        <f t="shared" si="49"/>
        <v/>
      </c>
      <c r="J27" s="14" t="str">
        <f t="shared" si="49"/>
        <v/>
      </c>
      <c r="K27" s="14" t="str">
        <f t="shared" si="49"/>
        <v/>
      </c>
      <c r="L27" s="16" t="str">
        <f>IFERROR(__xludf.DUMMYFUNCTION("""COMPUTED_VALUE"""),"electrical compliance certificate company")</f>
        <v>electrical compliance certificate company</v>
      </c>
      <c r="M27" s="17"/>
      <c r="N27" s="14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14" t="str">
        <f t="shared" si="50"/>
        <v/>
      </c>
      <c r="P27" s="14" t="str">
        <f t="shared" si="50"/>
        <v/>
      </c>
      <c r="Q27" s="14" t="str">
        <f t="shared" si="50"/>
        <v/>
      </c>
      <c r="R27" s="14" t="str">
        <f t="shared" si="50"/>
        <v/>
      </c>
      <c r="S27" s="14" t="str">
        <f t="shared" si="50"/>
        <v/>
      </c>
      <c r="T27" s="14" t="str">
        <f t="shared" si="50"/>
        <v/>
      </c>
      <c r="U27" s="14" t="str">
        <f t="shared" si="50"/>
        <v/>
      </c>
      <c r="V27" s="14" t="str">
        <f t="shared" si="50"/>
        <v/>
      </c>
      <c r="W27" s="14" t="str">
        <f t="shared" si="50"/>
        <v/>
      </c>
      <c r="X27" s="18" t="str">
        <f>IFERROR(__xludf.DUMMYFUNCTION("""COMPUTED_VALUE"""),"cape town electrical maintenance")</f>
        <v>cape town electrical maintenance</v>
      </c>
      <c r="Y27" s="4"/>
      <c r="Z27" s="4"/>
    </row>
    <row r="28" ht="15.75" customHeight="1">
      <c r="A28" s="13"/>
      <c r="B28" s="14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14" t="str">
        <f t="shared" si="51"/>
        <v/>
      </c>
      <c r="D28" s="14" t="str">
        <f t="shared" si="51"/>
        <v/>
      </c>
      <c r="E28" s="14" t="str">
        <f t="shared" si="51"/>
        <v/>
      </c>
      <c r="F28" s="14" t="str">
        <f t="shared" si="51"/>
        <v/>
      </c>
      <c r="G28" s="14" t="str">
        <f t="shared" si="51"/>
        <v/>
      </c>
      <c r="H28" s="14" t="str">
        <f t="shared" si="51"/>
        <v/>
      </c>
      <c r="I28" s="14" t="str">
        <f t="shared" si="51"/>
        <v/>
      </c>
      <c r="J28" s="14" t="str">
        <f t="shared" si="51"/>
        <v/>
      </c>
      <c r="K28" s="14" t="str">
        <f t="shared" si="51"/>
        <v/>
      </c>
      <c r="L28" s="16" t="str">
        <f>IFERROR(__xludf.DUMMYFUNCTION("""COMPUTED_VALUE"""),"electrical compliance certificate contractor")</f>
        <v>electrical compliance certificate contractor</v>
      </c>
      <c r="M28" s="17"/>
      <c r="N28" s="14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14" t="str">
        <f t="shared" si="52"/>
        <v/>
      </c>
      <c r="P28" s="14" t="str">
        <f t="shared" si="52"/>
        <v/>
      </c>
      <c r="Q28" s="14" t="str">
        <f t="shared" si="52"/>
        <v/>
      </c>
      <c r="R28" s="14" t="str">
        <f t="shared" si="52"/>
        <v/>
      </c>
      <c r="S28" s="14" t="str">
        <f t="shared" si="52"/>
        <v/>
      </c>
      <c r="T28" s="14" t="str">
        <f t="shared" si="52"/>
        <v/>
      </c>
      <c r="U28" s="14" t="str">
        <f t="shared" si="52"/>
        <v/>
      </c>
      <c r="V28" s="14" t="str">
        <f t="shared" si="52"/>
        <v/>
      </c>
      <c r="W28" s="14" t="str">
        <f t="shared" si="52"/>
        <v/>
      </c>
      <c r="X28" s="18" t="str">
        <f>IFERROR(__xludf.DUMMYFUNCTION("""COMPUTED_VALUE"""),"cape town electrical repairs")</f>
        <v>cape town electrical repairs</v>
      </c>
      <c r="Y28" s="4"/>
      <c r="Z28" s="4"/>
    </row>
    <row r="29" ht="15.75" customHeight="1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6" t="str">
        <f>IFERROR(__xludf.DUMMYFUNCTION("""COMPUTED_VALUE"""),"electrical compliance certificate cost")</f>
        <v>electrical compliance certificate cost</v>
      </c>
      <c r="M29" s="17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8" t="str">
        <f>IFERROR(__xludf.DUMMYFUNCTION("""COMPUTED_VALUE"""),"cape town electrical services")</f>
        <v>cape town electrical services</v>
      </c>
      <c r="Y29" s="4"/>
      <c r="Z29" s="4"/>
    </row>
    <row r="30" ht="15.75" customHeight="1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6" t="str">
        <f>IFERROR(__xludf.DUMMYFUNCTION("""COMPUTED_VALUE"""),"electrical compliance certificate emergency")</f>
        <v>electrical compliance certificate emergency</v>
      </c>
      <c r="M30" s="17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8" t="str">
        <f>IFERROR(__xludf.DUMMYFUNCTION("""COMPUTED_VALUE"""),"cape town emergency electrician")</f>
        <v>cape town emergency electrician</v>
      </c>
      <c r="Y30" s="4"/>
      <c r="Z30" s="4"/>
    </row>
    <row r="31" ht="15.75" customHeight="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6" t="str">
        <f>IFERROR(__xludf.DUMMYFUNCTION("""COMPUTED_VALUE"""),"electrical compliance certificate inspection")</f>
        <v>electrical compliance certificate inspection</v>
      </c>
      <c r="M31" s="17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8" t="str">
        <f>IFERROR(__xludf.DUMMYFUNCTION("""COMPUTED_VALUE"""),"cape town residential electrician")</f>
        <v>cape town residential electrician</v>
      </c>
      <c r="Y31" s="4"/>
      <c r="Z31" s="4"/>
    </row>
    <row r="32" ht="15.75" customHeight="1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6" t="str">
        <f>IFERROR(__xludf.DUMMYFUNCTION("""COMPUTED_VALUE"""),"electrical compliance certificate installation")</f>
        <v>electrical compliance certificate installation</v>
      </c>
      <c r="M32" s="17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8" t="str">
        <f>IFERROR(__xludf.DUMMYFUNCTION("""COMPUTED_VALUE"""),"COC commercial electrician")</f>
        <v>COC commercial electrician</v>
      </c>
      <c r="Y32" s="4"/>
      <c r="Z32" s="4"/>
    </row>
    <row r="33" ht="15.75" customHeight="1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6" t="str">
        <f>IFERROR(__xludf.DUMMYFUNCTION("""COMPUTED_VALUE"""),"electrical compliance certificate licensed")</f>
        <v>electrical compliance certificate licensed</v>
      </c>
      <c r="M33" s="17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8" t="str">
        <f>IFERROR(__xludf.DUMMYFUNCTION("""COMPUTED_VALUE"""),"COC electrical compliance certificate")</f>
        <v>COC electrical compliance certificate</v>
      </c>
      <c r="Y33" s="4"/>
      <c r="Z33" s="4"/>
    </row>
    <row r="34" ht="15.75" customHeight="1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6" t="str">
        <f>IFERROR(__xludf.DUMMYFUNCTION("""COMPUTED_VALUE"""),"electrical compliance certificate local")</f>
        <v>electrical compliance certificate local</v>
      </c>
      <c r="M34" s="17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8" t="str">
        <f>IFERROR(__xludf.DUMMYFUNCTION("""COMPUTED_VALUE"""),"COC electrical contractor")</f>
        <v>COC electrical contractor</v>
      </c>
      <c r="Y34" s="4"/>
      <c r="Z34" s="4"/>
    </row>
    <row r="35" ht="15.75" customHeight="1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6" t="str">
        <f>IFERROR(__xludf.DUMMYFUNCTION("""COMPUTED_VALUE"""),"electrical compliance certificate near me")</f>
        <v>electrical compliance certificate near me</v>
      </c>
      <c r="M35" s="17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8" t="str">
        <f>IFERROR(__xludf.DUMMYFUNCTION("""COMPUTED_VALUE"""),"COC electrical installation")</f>
        <v>COC electrical installation</v>
      </c>
      <c r="Y35" s="4"/>
      <c r="Z35" s="4"/>
    </row>
    <row r="36" ht="15.75" customHeight="1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6" t="str">
        <f>IFERROR(__xludf.DUMMYFUNCTION("""COMPUTED_VALUE"""),"electrical compliance certificate professional")</f>
        <v>electrical compliance certificate professional</v>
      </c>
      <c r="M36" s="17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8" t="str">
        <f>IFERROR(__xludf.DUMMYFUNCTION("""COMPUTED_VALUE"""),"COC electrical maintenance")</f>
        <v>COC electrical maintenance</v>
      </c>
      <c r="Y36" s="4"/>
      <c r="Z36" s="4"/>
    </row>
    <row r="37" ht="15.75" customHeight="1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6" t="str">
        <f>IFERROR(__xludf.DUMMYFUNCTION("""COMPUTED_VALUE"""),"electrical compliance certificate qualified")</f>
        <v>electrical compliance certificate qualified</v>
      </c>
      <c r="M37" s="17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8" t="str">
        <f>IFERROR(__xludf.DUMMYFUNCTION("""COMPUTED_VALUE"""),"COC electrical repairs")</f>
        <v>COC electrical repairs</v>
      </c>
      <c r="Y37" s="4"/>
      <c r="Z37" s="4"/>
    </row>
    <row r="38" ht="15.75" customHeight="1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6" t="str">
        <f>IFERROR(__xludf.DUMMYFUNCTION("""COMPUTED_VALUE"""),"electrical compliance certificate quote")</f>
        <v>electrical compliance certificate quote</v>
      </c>
      <c r="M38" s="17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8" t="str">
        <f>IFERROR(__xludf.DUMMYFUNCTION("""COMPUTED_VALUE"""),"COC electrical services")</f>
        <v>COC electrical services</v>
      </c>
      <c r="Y38" s="4"/>
      <c r="Z38" s="4"/>
    </row>
    <row r="39" ht="15.75" customHeight="1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6" t="str">
        <f>IFERROR(__xludf.DUMMYFUNCTION("""COMPUTED_VALUE"""),"electrical compliance certificate reliable")</f>
        <v>electrical compliance certificate reliable</v>
      </c>
      <c r="M39" s="17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8" t="str">
        <f>IFERROR(__xludf.DUMMYFUNCTION("""COMPUTED_VALUE"""),"COC electrician cape town")</f>
        <v>COC electrician cape town</v>
      </c>
      <c r="Y39" s="4"/>
      <c r="Z39" s="4"/>
    </row>
    <row r="40" ht="15.75" customHeight="1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6" t="str">
        <f>IFERROR(__xludf.DUMMYFUNCTION("""COMPUTED_VALUE"""),"electrical compliance certificate repair")</f>
        <v>electrical compliance certificate repair</v>
      </c>
      <c r="M40" s="17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8" t="str">
        <f>IFERROR(__xludf.DUMMYFUNCTION("""COMPUTED_VALUE"""),"COC emergency electrician")</f>
        <v>COC emergency electrician</v>
      </c>
      <c r="Y40" s="4"/>
      <c r="Z40" s="4"/>
    </row>
    <row r="41" ht="15.75" customHeight="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6" t="str">
        <f>IFERROR(__xludf.DUMMYFUNCTION("""COMPUTED_VALUE"""),"electrical compliance certificate same day")</f>
        <v>electrical compliance certificate same day</v>
      </c>
      <c r="M41" s="17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8" t="str">
        <f>IFERROR(__xludf.DUMMYFUNCTION("""COMPUTED_VALUE"""),"COC residential electrician")</f>
        <v>COC residential electrician</v>
      </c>
      <c r="Y41" s="4"/>
      <c r="Z41" s="4"/>
    </row>
    <row r="42" ht="15.75" customHeight="1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6" t="str">
        <f>IFERROR(__xludf.DUMMYFUNCTION("""COMPUTED_VALUE"""),"electrical compliance certificate service")</f>
        <v>electrical compliance certificate service</v>
      </c>
      <c r="M42" s="17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8" t="str">
        <f>IFERROR(__xludf.DUMMYFUNCTION("""COMPUTED_VALUE"""),"company commercial electrician")</f>
        <v>company commercial electrician</v>
      </c>
      <c r="Y42" s="4"/>
      <c r="Z42" s="4"/>
    </row>
    <row r="43" ht="15.75" customHeight="1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6" t="str">
        <f>IFERROR(__xludf.DUMMYFUNCTION("""COMPUTED_VALUE"""),"electrical contractor")</f>
        <v>electrical contractor</v>
      </c>
      <c r="M43" s="17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8" t="str">
        <f>IFERROR(__xludf.DUMMYFUNCTION("""COMPUTED_VALUE"""),"company electrical compliance certificate")</f>
        <v>company electrical compliance certificate</v>
      </c>
      <c r="Y43" s="4"/>
      <c r="Z43" s="4"/>
    </row>
    <row r="44" ht="15.75" customHeight="1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6" t="str">
        <f>IFERROR(__xludf.DUMMYFUNCTION("""COMPUTED_VALUE"""),"electrical contractor affordable")</f>
        <v>electrical contractor affordable</v>
      </c>
      <c r="M44" s="17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8" t="str">
        <f>IFERROR(__xludf.DUMMYFUNCTION("""COMPUTED_VALUE"""),"company electrical contractor")</f>
        <v>company electrical contractor</v>
      </c>
      <c r="Y44" s="4"/>
      <c r="Z44" s="4"/>
    </row>
    <row r="45" ht="15.75" customHeight="1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6" t="str">
        <f>IFERROR(__xludf.DUMMYFUNCTION("""COMPUTED_VALUE"""),"electrical contractor call out")</f>
        <v>electrical contractor call out</v>
      </c>
      <c r="M45" s="17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8" t="str">
        <f>IFERROR(__xludf.DUMMYFUNCTION("""COMPUTED_VALUE"""),"company electrical installation")</f>
        <v>company electrical installation</v>
      </c>
      <c r="Y45" s="4"/>
      <c r="Z45" s="4"/>
    </row>
    <row r="46" ht="15.75" customHeight="1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6" t="str">
        <f>IFERROR(__xludf.DUMMYFUNCTION("""COMPUTED_VALUE"""),"electrical contractor cape town")</f>
        <v>electrical contractor cape town</v>
      </c>
      <c r="M46" s="17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8" t="str">
        <f>IFERROR(__xludf.DUMMYFUNCTION("""COMPUTED_VALUE"""),"company electrical maintenance")</f>
        <v>company electrical maintenance</v>
      </c>
      <c r="Y46" s="4"/>
      <c r="Z46" s="4"/>
    </row>
    <row r="47" ht="15.75" customHeight="1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6" t="str">
        <f>IFERROR(__xludf.DUMMYFUNCTION("""COMPUTED_VALUE"""),"electrical contractor COC")</f>
        <v>electrical contractor COC</v>
      </c>
      <c r="M47" s="17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8" t="str">
        <f>IFERROR(__xludf.DUMMYFUNCTION("""COMPUTED_VALUE"""),"company electrical repairs")</f>
        <v>company electrical repairs</v>
      </c>
      <c r="Y47" s="4"/>
      <c r="Z47" s="4"/>
    </row>
    <row r="48" ht="15.75" customHeight="1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6" t="str">
        <f>IFERROR(__xludf.DUMMYFUNCTION("""COMPUTED_VALUE"""),"electrical contractor company")</f>
        <v>electrical contractor company</v>
      </c>
      <c r="M48" s="17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8" t="str">
        <f>IFERROR(__xludf.DUMMYFUNCTION("""COMPUTED_VALUE"""),"company electrical services")</f>
        <v>company electrical services</v>
      </c>
      <c r="Y48" s="4"/>
      <c r="Z48" s="4"/>
    </row>
    <row r="49" ht="15.75" customHeight="1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6" t="str">
        <f>IFERROR(__xludf.DUMMYFUNCTION("""COMPUTED_VALUE"""),"electrical contractor cost")</f>
        <v>electrical contractor cost</v>
      </c>
      <c r="M49" s="17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8" t="str">
        <f>IFERROR(__xludf.DUMMYFUNCTION("""COMPUTED_VALUE"""),"company electrician cape town")</f>
        <v>company electrician cape town</v>
      </c>
      <c r="Y49" s="4"/>
      <c r="Z49" s="4"/>
    </row>
    <row r="50" ht="15.75" customHeight="1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6" t="str">
        <f>IFERROR(__xludf.DUMMYFUNCTION("""COMPUTED_VALUE"""),"electrical contractor emergency")</f>
        <v>electrical contractor emergency</v>
      </c>
      <c r="M50" s="17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8" t="str">
        <f>IFERROR(__xludf.DUMMYFUNCTION("""COMPUTED_VALUE"""),"company emergency electrician")</f>
        <v>company emergency electrician</v>
      </c>
      <c r="Y50" s="4"/>
      <c r="Z50" s="4"/>
    </row>
    <row r="51" ht="15.75" customHeight="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6" t="str">
        <f>IFERROR(__xludf.DUMMYFUNCTION("""COMPUTED_VALUE"""),"electrical contractor inspection")</f>
        <v>electrical contractor inspection</v>
      </c>
      <c r="M51" s="17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8" t="str">
        <f>IFERROR(__xludf.DUMMYFUNCTION("""COMPUTED_VALUE"""),"company residential electrician")</f>
        <v>company residential electrician</v>
      </c>
      <c r="Y51" s="4"/>
      <c r="Z51" s="4"/>
    </row>
    <row r="52" ht="15.75" customHeight="1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6" t="str">
        <f>IFERROR(__xludf.DUMMYFUNCTION("""COMPUTED_VALUE"""),"electrical contractor installation")</f>
        <v>electrical contractor installation</v>
      </c>
      <c r="M52" s="17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8" t="str">
        <f>IFERROR(__xludf.DUMMYFUNCTION("""COMPUTED_VALUE"""),"contractor commercial electrician")</f>
        <v>contractor commercial electrician</v>
      </c>
      <c r="Y52" s="4"/>
      <c r="Z52" s="4"/>
    </row>
    <row r="53" ht="15.75" customHeight="1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6" t="str">
        <f>IFERROR(__xludf.DUMMYFUNCTION("""COMPUTED_VALUE"""),"electrical contractor licensed")</f>
        <v>electrical contractor licensed</v>
      </c>
      <c r="M53" s="17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8" t="str">
        <f>IFERROR(__xludf.DUMMYFUNCTION("""COMPUTED_VALUE"""),"contractor electrical compliance certificate")</f>
        <v>contractor electrical compliance certificate</v>
      </c>
      <c r="Y53" s="4"/>
      <c r="Z53" s="4"/>
    </row>
    <row r="54" ht="15.75" customHeight="1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6" t="str">
        <f>IFERROR(__xludf.DUMMYFUNCTION("""COMPUTED_VALUE"""),"electrical contractor local")</f>
        <v>electrical contractor local</v>
      </c>
      <c r="M54" s="17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8" t="str">
        <f>IFERROR(__xludf.DUMMYFUNCTION("""COMPUTED_VALUE"""),"contractor electrical installation")</f>
        <v>contractor electrical installation</v>
      </c>
      <c r="Y54" s="4"/>
      <c r="Z54" s="4"/>
    </row>
    <row r="55" ht="15.75" customHeight="1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6" t="str">
        <f>IFERROR(__xludf.DUMMYFUNCTION("""COMPUTED_VALUE"""),"electrical contractor near me")</f>
        <v>electrical contractor near me</v>
      </c>
      <c r="M55" s="17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8" t="str">
        <f>IFERROR(__xludf.DUMMYFUNCTION("""COMPUTED_VALUE"""),"contractor electrical maintenance")</f>
        <v>contractor electrical maintenance</v>
      </c>
      <c r="Y55" s="4"/>
      <c r="Z55" s="4"/>
    </row>
    <row r="56" ht="15.75" customHeight="1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6" t="str">
        <f>IFERROR(__xludf.DUMMYFUNCTION("""COMPUTED_VALUE"""),"electrical contractor professional")</f>
        <v>electrical contractor professional</v>
      </c>
      <c r="M56" s="17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8" t="str">
        <f>IFERROR(__xludf.DUMMYFUNCTION("""COMPUTED_VALUE"""),"contractor electrical repairs")</f>
        <v>contractor electrical repairs</v>
      </c>
      <c r="Y56" s="4"/>
      <c r="Z56" s="4"/>
    </row>
    <row r="57" ht="15.75" customHeight="1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6" t="str">
        <f>IFERROR(__xludf.DUMMYFUNCTION("""COMPUTED_VALUE"""),"electrical contractor qualified")</f>
        <v>electrical contractor qualified</v>
      </c>
      <c r="M57" s="17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8" t="str">
        <f>IFERROR(__xludf.DUMMYFUNCTION("""COMPUTED_VALUE"""),"contractor electrical services")</f>
        <v>contractor electrical services</v>
      </c>
      <c r="Y57" s="4"/>
      <c r="Z57" s="4"/>
    </row>
    <row r="58" ht="15.75" customHeight="1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6" t="str">
        <f>IFERROR(__xludf.DUMMYFUNCTION("""COMPUTED_VALUE"""),"electrical contractor quote")</f>
        <v>electrical contractor quote</v>
      </c>
      <c r="M58" s="17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8" t="str">
        <f>IFERROR(__xludf.DUMMYFUNCTION("""COMPUTED_VALUE"""),"contractor electrician cape town")</f>
        <v>contractor electrician cape town</v>
      </c>
      <c r="Y58" s="4"/>
      <c r="Z58" s="4"/>
    </row>
    <row r="59" ht="15.75" customHeight="1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6" t="str">
        <f>IFERROR(__xludf.DUMMYFUNCTION("""COMPUTED_VALUE"""),"electrical contractor reliable")</f>
        <v>electrical contractor reliable</v>
      </c>
      <c r="M59" s="17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8" t="str">
        <f>IFERROR(__xludf.DUMMYFUNCTION("""COMPUTED_VALUE"""),"contractor emergency electrician")</f>
        <v>contractor emergency electrician</v>
      </c>
      <c r="Y59" s="4"/>
      <c r="Z59" s="4"/>
    </row>
    <row r="60" ht="15.75" customHeight="1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6" t="str">
        <f>IFERROR(__xludf.DUMMYFUNCTION("""COMPUTED_VALUE"""),"electrical contractor repair")</f>
        <v>electrical contractor repair</v>
      </c>
      <c r="M60" s="17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8" t="str">
        <f>IFERROR(__xludf.DUMMYFUNCTION("""COMPUTED_VALUE"""),"contractor residential electrician")</f>
        <v>contractor residential electrician</v>
      </c>
      <c r="Y60" s="4"/>
      <c r="Z60" s="4"/>
    </row>
    <row r="61" ht="15.75" customHeight="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6" t="str">
        <f>IFERROR(__xludf.DUMMYFUNCTION("""COMPUTED_VALUE"""),"electrical contractor same day")</f>
        <v>electrical contractor same day</v>
      </c>
      <c r="M61" s="17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8" t="str">
        <f>IFERROR(__xludf.DUMMYFUNCTION("""COMPUTED_VALUE"""),"cost commercial electrician")</f>
        <v>cost commercial electrician</v>
      </c>
      <c r="Y61" s="4"/>
      <c r="Z61" s="4"/>
    </row>
    <row r="62" ht="15.75" customHeight="1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6" t="str">
        <f>IFERROR(__xludf.DUMMYFUNCTION("""COMPUTED_VALUE"""),"electrical contractor service")</f>
        <v>electrical contractor service</v>
      </c>
      <c r="M62" s="17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8" t="str">
        <f>IFERROR(__xludf.DUMMYFUNCTION("""COMPUTED_VALUE"""),"cost electrical compliance certificate")</f>
        <v>cost electrical compliance certificate</v>
      </c>
      <c r="Y62" s="4"/>
      <c r="Z62" s="4"/>
    </row>
    <row r="63" ht="15.75" customHeight="1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6" t="str">
        <f>IFERROR(__xludf.DUMMYFUNCTION("""COMPUTED_VALUE"""),"electrical installation")</f>
        <v>electrical installation</v>
      </c>
      <c r="M63" s="17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8" t="str">
        <f>IFERROR(__xludf.DUMMYFUNCTION("""COMPUTED_VALUE"""),"cost electrical contractor")</f>
        <v>cost electrical contractor</v>
      </c>
      <c r="Y63" s="4"/>
      <c r="Z63" s="4"/>
    </row>
    <row r="64" ht="15.75" customHeight="1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6" t="str">
        <f>IFERROR(__xludf.DUMMYFUNCTION("""COMPUTED_VALUE"""),"electrical installation affordable")</f>
        <v>electrical installation affordable</v>
      </c>
      <c r="M64" s="17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8" t="str">
        <f>IFERROR(__xludf.DUMMYFUNCTION("""COMPUTED_VALUE"""),"cost electrical installation")</f>
        <v>cost electrical installation</v>
      </c>
      <c r="Y64" s="4"/>
      <c r="Z64" s="4"/>
    </row>
    <row r="65" ht="15.75" customHeight="1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6" t="str">
        <f>IFERROR(__xludf.DUMMYFUNCTION("""COMPUTED_VALUE"""),"electrical installation call out")</f>
        <v>electrical installation call out</v>
      </c>
      <c r="M65" s="17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8" t="str">
        <f>IFERROR(__xludf.DUMMYFUNCTION("""COMPUTED_VALUE"""),"cost electrical maintenance")</f>
        <v>cost electrical maintenance</v>
      </c>
      <c r="Y65" s="4"/>
      <c r="Z65" s="4"/>
    </row>
    <row r="66" ht="15.75" customHeight="1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6" t="str">
        <f>IFERROR(__xludf.DUMMYFUNCTION("""COMPUTED_VALUE"""),"electrical installation cape town")</f>
        <v>electrical installation cape town</v>
      </c>
      <c r="M66" s="17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8" t="str">
        <f>IFERROR(__xludf.DUMMYFUNCTION("""COMPUTED_VALUE"""),"cost electrical repairs")</f>
        <v>cost electrical repairs</v>
      </c>
      <c r="Y66" s="4"/>
      <c r="Z66" s="4"/>
    </row>
    <row r="67" ht="15.75" customHeight="1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6" t="str">
        <f>IFERROR(__xludf.DUMMYFUNCTION("""COMPUTED_VALUE"""),"electrical installation COC")</f>
        <v>electrical installation COC</v>
      </c>
      <c r="M67" s="17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8" t="str">
        <f>IFERROR(__xludf.DUMMYFUNCTION("""COMPUTED_VALUE"""),"cost electrical services")</f>
        <v>cost electrical services</v>
      </c>
      <c r="Y67" s="4"/>
      <c r="Z67" s="4"/>
    </row>
    <row r="68" ht="15.75" customHeight="1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6" t="str">
        <f>IFERROR(__xludf.DUMMYFUNCTION("""COMPUTED_VALUE"""),"electrical installation company")</f>
        <v>electrical installation company</v>
      </c>
      <c r="M68" s="17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8" t="str">
        <f>IFERROR(__xludf.DUMMYFUNCTION("""COMPUTED_VALUE"""),"cost electrician cape town")</f>
        <v>cost electrician cape town</v>
      </c>
      <c r="Y68" s="4"/>
      <c r="Z68" s="4"/>
    </row>
    <row r="69" ht="15.75" customHeight="1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6" t="str">
        <f>IFERROR(__xludf.DUMMYFUNCTION("""COMPUTED_VALUE"""),"electrical installation contractor")</f>
        <v>electrical installation contractor</v>
      </c>
      <c r="M69" s="17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8" t="str">
        <f>IFERROR(__xludf.DUMMYFUNCTION("""COMPUTED_VALUE"""),"cost emergency electrician")</f>
        <v>cost emergency electrician</v>
      </c>
      <c r="Y69" s="4"/>
      <c r="Z69" s="4"/>
    </row>
    <row r="70" ht="15.75" customHeight="1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6" t="str">
        <f>IFERROR(__xludf.DUMMYFUNCTION("""COMPUTED_VALUE"""),"electrical installation cost")</f>
        <v>electrical installation cost</v>
      </c>
      <c r="M70" s="17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8" t="str">
        <f>IFERROR(__xludf.DUMMYFUNCTION("""COMPUTED_VALUE"""),"cost residential electrician")</f>
        <v>cost residential electrician</v>
      </c>
      <c r="Y70" s="4"/>
      <c r="Z70" s="4"/>
    </row>
    <row r="71" ht="15.75" customHeight="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6" t="str">
        <f>IFERROR(__xludf.DUMMYFUNCTION("""COMPUTED_VALUE"""),"electrical installation emergency")</f>
        <v>electrical installation emergency</v>
      </c>
      <c r="M71" s="17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8" t="str">
        <f>IFERROR(__xludf.DUMMYFUNCTION("""COMPUTED_VALUE"""),"electrical contractor")</f>
        <v>electrical contractor</v>
      </c>
      <c r="Y71" s="4"/>
      <c r="Z71" s="4"/>
    </row>
    <row r="72" ht="15.75" customHeight="1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6" t="str">
        <f>IFERROR(__xludf.DUMMYFUNCTION("""COMPUTED_VALUE"""),"electrical installation inspection")</f>
        <v>electrical installation inspection</v>
      </c>
      <c r="M72" s="17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8" t="str">
        <f>IFERROR(__xludf.DUMMYFUNCTION("""COMPUTED_VALUE"""),"electrical installation")</f>
        <v>electrical installation</v>
      </c>
      <c r="Y72" s="4"/>
      <c r="Z72" s="4"/>
    </row>
    <row r="73" ht="15.75" customHeight="1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6" t="str">
        <f>IFERROR(__xludf.DUMMYFUNCTION("""COMPUTED_VALUE"""),"electrical installation licensed")</f>
        <v>electrical installation licensed</v>
      </c>
      <c r="M73" s="17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8" t="str">
        <f>IFERROR(__xludf.DUMMYFUNCTION("""COMPUTED_VALUE"""),"electrical repairs")</f>
        <v>electrical repairs</v>
      </c>
      <c r="Y73" s="4"/>
      <c r="Z73" s="4"/>
    </row>
    <row r="74" ht="15.75" customHeight="1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6" t="str">
        <f>IFERROR(__xludf.DUMMYFUNCTION("""COMPUTED_VALUE"""),"electrical installation local")</f>
        <v>electrical installation local</v>
      </c>
      <c r="M74" s="17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8" t="str">
        <f>IFERROR(__xludf.DUMMYFUNCTION("""COMPUTED_VALUE"""),"electrical services")</f>
        <v>electrical services</v>
      </c>
      <c r="Y74" s="4"/>
      <c r="Z74" s="4"/>
    </row>
    <row r="75" ht="15.75" customHeight="1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6" t="str">
        <f>IFERROR(__xludf.DUMMYFUNCTION("""COMPUTED_VALUE"""),"electrical installation near me")</f>
        <v>electrical installation near me</v>
      </c>
      <c r="M75" s="17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8" t="str">
        <f>IFERROR(__xludf.DUMMYFUNCTION("""COMPUTED_VALUE"""),"electrician cape town")</f>
        <v>electrician cape town</v>
      </c>
      <c r="Y75" s="4"/>
      <c r="Z75" s="4"/>
    </row>
    <row r="76" ht="15.75" customHeight="1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6" t="str">
        <f>IFERROR(__xludf.DUMMYFUNCTION("""COMPUTED_VALUE"""),"electrical installation professional")</f>
        <v>electrical installation professional</v>
      </c>
      <c r="M76" s="17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8" t="str">
        <f>IFERROR(__xludf.DUMMYFUNCTION("""COMPUTED_VALUE"""),"emergency commercial electrician")</f>
        <v>emergency commercial electrician</v>
      </c>
      <c r="Y76" s="4"/>
      <c r="Z76" s="4"/>
    </row>
    <row r="77" ht="15.75" customHeight="1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6" t="str">
        <f>IFERROR(__xludf.DUMMYFUNCTION("""COMPUTED_VALUE"""),"electrical installation qualified")</f>
        <v>electrical installation qualified</v>
      </c>
      <c r="M77" s="17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8" t="str">
        <f>IFERROR(__xludf.DUMMYFUNCTION("""COMPUTED_VALUE"""),"emergency electrical compliance certificate")</f>
        <v>emergency electrical compliance certificate</v>
      </c>
      <c r="Y77" s="4"/>
      <c r="Z77" s="4"/>
    </row>
    <row r="78" ht="15.75" customHeight="1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6" t="str">
        <f>IFERROR(__xludf.DUMMYFUNCTION("""COMPUTED_VALUE"""),"electrical installation quote")</f>
        <v>electrical installation quote</v>
      </c>
      <c r="M78" s="17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8" t="str">
        <f>IFERROR(__xludf.DUMMYFUNCTION("""COMPUTED_VALUE"""),"emergency electrical contractor")</f>
        <v>emergency electrical contractor</v>
      </c>
      <c r="Y78" s="4"/>
      <c r="Z78" s="4"/>
    </row>
    <row r="79" ht="15.75" customHeight="1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6" t="str">
        <f>IFERROR(__xludf.DUMMYFUNCTION("""COMPUTED_VALUE"""),"electrical installation reliable")</f>
        <v>electrical installation reliable</v>
      </c>
      <c r="M79" s="17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8" t="str">
        <f>IFERROR(__xludf.DUMMYFUNCTION("""COMPUTED_VALUE"""),"emergency electrical installation")</f>
        <v>emergency electrical installation</v>
      </c>
      <c r="Y79" s="4"/>
      <c r="Z79" s="4"/>
    </row>
    <row r="80" ht="15.75" customHeight="1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6" t="str">
        <f>IFERROR(__xludf.DUMMYFUNCTION("""COMPUTED_VALUE"""),"electrical installation repair")</f>
        <v>electrical installation repair</v>
      </c>
      <c r="M80" s="17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8" t="str">
        <f>IFERROR(__xludf.DUMMYFUNCTION("""COMPUTED_VALUE"""),"emergency electrical maintenance")</f>
        <v>emergency electrical maintenance</v>
      </c>
      <c r="Y80" s="4"/>
      <c r="Z80" s="4"/>
    </row>
    <row r="81" ht="15.75" customHeight="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6" t="str">
        <f>IFERROR(__xludf.DUMMYFUNCTION("""COMPUTED_VALUE"""),"electrical installation same day")</f>
        <v>electrical installation same day</v>
      </c>
      <c r="M81" s="17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8" t="str">
        <f>IFERROR(__xludf.DUMMYFUNCTION("""COMPUTED_VALUE"""),"emergency electrical repairs")</f>
        <v>emergency electrical repairs</v>
      </c>
      <c r="Y81" s="4"/>
      <c r="Z81" s="4"/>
    </row>
    <row r="82" ht="15.75" customHeight="1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6" t="str">
        <f>IFERROR(__xludf.DUMMYFUNCTION("""COMPUTED_VALUE"""),"electrical installation service")</f>
        <v>electrical installation service</v>
      </c>
      <c r="M82" s="17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8" t="str">
        <f>IFERROR(__xludf.DUMMYFUNCTION("""COMPUTED_VALUE"""),"emergency electrical services")</f>
        <v>emergency electrical services</v>
      </c>
      <c r="Y82" s="4"/>
      <c r="Z82" s="4"/>
    </row>
    <row r="83" ht="15.7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6" t="str">
        <f>IFERROR(__xludf.DUMMYFUNCTION("""COMPUTED_VALUE"""),"electrical maintenance affordable")</f>
        <v>electrical maintenance affordable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8" t="str">
        <f>IFERROR(__xludf.DUMMYFUNCTION("""COMPUTED_VALUE"""),"emergency electrician")</f>
        <v>emergency electrician</v>
      </c>
      <c r="Y83" s="4"/>
      <c r="Z83" s="4"/>
    </row>
    <row r="84" ht="15.7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 t="str">
        <f>IFERROR(__xludf.DUMMYFUNCTION("""COMPUTED_VALUE"""),"electrical maintenance call out")</f>
        <v>electrical maintenance call out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8" t="str">
        <f>IFERROR(__xludf.DUMMYFUNCTION("""COMPUTED_VALUE"""),"emergency electrician cape town")</f>
        <v>emergency electrician cape town</v>
      </c>
      <c r="Y84" s="4"/>
      <c r="Z84" s="4"/>
    </row>
    <row r="85" ht="15.7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6" t="str">
        <f>IFERROR(__xludf.DUMMYFUNCTION("""COMPUTED_VALUE"""),"electrical maintenance cape town")</f>
        <v>electrical maintenance cape town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8" t="str">
        <f>IFERROR(__xludf.DUMMYFUNCTION("""COMPUTED_VALUE"""),"emergency residential electrician")</f>
        <v>emergency residential electrician</v>
      </c>
      <c r="Y85" s="4"/>
      <c r="Z85" s="4"/>
    </row>
    <row r="86" ht="15.7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 t="str">
        <f>IFERROR(__xludf.DUMMYFUNCTION("""COMPUTED_VALUE"""),"electrical maintenance COC")</f>
        <v>electrical maintenance COC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8" t="str">
        <f>IFERROR(__xludf.DUMMYFUNCTION("""COMPUTED_VALUE"""),"inspection commercial electrician")</f>
        <v>inspection commercial electrician</v>
      </c>
      <c r="Y86" s="4"/>
      <c r="Z86" s="4"/>
    </row>
    <row r="87" ht="15.7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 t="str">
        <f>IFERROR(__xludf.DUMMYFUNCTION("""COMPUTED_VALUE"""),"electrical maintenance company")</f>
        <v>electrical maintenance company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8" t="str">
        <f>IFERROR(__xludf.DUMMYFUNCTION("""COMPUTED_VALUE"""),"inspection electrical compliance certificate")</f>
        <v>inspection electrical compliance certificate</v>
      </c>
      <c r="Y87" s="4"/>
      <c r="Z87" s="4"/>
    </row>
    <row r="88" ht="15.7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 t="str">
        <f>IFERROR(__xludf.DUMMYFUNCTION("""COMPUTED_VALUE"""),"electrical maintenance contractor")</f>
        <v>electrical maintenance contractor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8" t="str">
        <f>IFERROR(__xludf.DUMMYFUNCTION("""COMPUTED_VALUE"""),"inspection electrical contractor")</f>
        <v>inspection electrical contractor</v>
      </c>
      <c r="Y88" s="4"/>
      <c r="Z88" s="4"/>
    </row>
    <row r="89" ht="15.7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 t="str">
        <f>IFERROR(__xludf.DUMMYFUNCTION("""COMPUTED_VALUE"""),"electrical maintenance cost")</f>
        <v>electrical maintenance cost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8" t="str">
        <f>IFERROR(__xludf.DUMMYFUNCTION("""COMPUTED_VALUE"""),"inspection electrical installation")</f>
        <v>inspection electrical installation</v>
      </c>
      <c r="Y89" s="4"/>
      <c r="Z89" s="4"/>
    </row>
    <row r="90" ht="15.75" customHeight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 t="str">
        <f>IFERROR(__xludf.DUMMYFUNCTION("""COMPUTED_VALUE"""),"electrical maintenance emergency")</f>
        <v>electrical maintenance emergency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8" t="str">
        <f>IFERROR(__xludf.DUMMYFUNCTION("""COMPUTED_VALUE"""),"inspection electrical maintenance")</f>
        <v>inspection electrical maintenance</v>
      </c>
      <c r="Y90" s="4"/>
      <c r="Z90" s="4"/>
    </row>
    <row r="91" ht="15.75" customHeight="1">
      <c r="A91" s="1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6" t="str">
        <f>IFERROR(__xludf.DUMMYFUNCTION("""COMPUTED_VALUE"""),"electrical maintenance inspection")</f>
        <v>electrical maintenance inspection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 t="str">
        <f>IFERROR(__xludf.DUMMYFUNCTION("""COMPUTED_VALUE"""),"inspection electrical repairs")</f>
        <v>inspection electrical repairs</v>
      </c>
      <c r="Y91" s="4"/>
      <c r="Z91" s="4"/>
    </row>
    <row r="92" ht="15.75" customHeight="1">
      <c r="A92" s="1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 t="str">
        <f>IFERROR(__xludf.DUMMYFUNCTION("""COMPUTED_VALUE"""),"electrical maintenance installation")</f>
        <v>electrical maintenance installation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8" t="str">
        <f>IFERROR(__xludf.DUMMYFUNCTION("""COMPUTED_VALUE"""),"inspection electrical services")</f>
        <v>inspection electrical services</v>
      </c>
      <c r="Y92" s="4"/>
      <c r="Z92" s="4"/>
    </row>
    <row r="93" ht="15.75" customHeight="1">
      <c r="A93" s="1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6" t="str">
        <f>IFERROR(__xludf.DUMMYFUNCTION("""COMPUTED_VALUE"""),"electrical maintenance licensed")</f>
        <v>electrical maintenance licensed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8" t="str">
        <f>IFERROR(__xludf.DUMMYFUNCTION("""COMPUTED_VALUE"""),"inspection electrician cape town")</f>
        <v>inspection electrician cape town</v>
      </c>
      <c r="Y93" s="4"/>
      <c r="Z93" s="4"/>
    </row>
    <row r="94" ht="15.75" customHeight="1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6" t="str">
        <f>IFERROR(__xludf.DUMMYFUNCTION("""COMPUTED_VALUE"""),"electrical maintenance local")</f>
        <v>electrical maintenance local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8" t="str">
        <f>IFERROR(__xludf.DUMMYFUNCTION("""COMPUTED_VALUE"""),"inspection emergency electrician")</f>
        <v>inspection emergency electrician</v>
      </c>
      <c r="Y94" s="4"/>
      <c r="Z94" s="4"/>
    </row>
    <row r="95" ht="15.75" customHeight="1">
      <c r="A95" s="1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 t="str">
        <f>IFERROR(__xludf.DUMMYFUNCTION("""COMPUTED_VALUE"""),"electrical maintenance near me")</f>
        <v>electrical maintenance near me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8" t="str">
        <f>IFERROR(__xludf.DUMMYFUNCTION("""COMPUTED_VALUE"""),"inspection residential electrician")</f>
        <v>inspection residential electrician</v>
      </c>
      <c r="Y95" s="4"/>
      <c r="Z95" s="4"/>
    </row>
    <row r="96" ht="15.75" customHeight="1">
      <c r="A96" s="1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6" t="str">
        <f>IFERROR(__xludf.DUMMYFUNCTION("""COMPUTED_VALUE"""),"electrical maintenance professional")</f>
        <v>electrical maintenance professional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 t="str">
        <f>IFERROR(__xludf.DUMMYFUNCTION("""COMPUTED_VALUE"""),"installation commercial electrician")</f>
        <v>installation commercial electrician</v>
      </c>
      <c r="Y96" s="4"/>
      <c r="Z96" s="4"/>
    </row>
    <row r="97" ht="15.75" customHeight="1">
      <c r="A97" s="1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6" t="str">
        <f>IFERROR(__xludf.DUMMYFUNCTION("""COMPUTED_VALUE"""),"electrical maintenance qualified")</f>
        <v>electrical maintenance qualified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8" t="str">
        <f>IFERROR(__xludf.DUMMYFUNCTION("""COMPUTED_VALUE"""),"installation electrical compliance certificate")</f>
        <v>installation electrical compliance certificate</v>
      </c>
      <c r="Y97" s="4"/>
      <c r="Z97" s="4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 t="str">
        <f>IFERROR(__xludf.DUMMYFUNCTION("""COMPUTED_VALUE"""),"electrical maintenance quote")</f>
        <v>electrical maintenance quote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 t="str">
        <f>IFERROR(__xludf.DUMMYFUNCTION("""COMPUTED_VALUE"""),"installation electrical contractor")</f>
        <v>installation electrical contractor</v>
      </c>
      <c r="Y98" s="4"/>
      <c r="Z98" s="4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 t="str">
        <f>IFERROR(__xludf.DUMMYFUNCTION("""COMPUTED_VALUE"""),"electrical maintenance reliable")</f>
        <v>electrical maintenance reliable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8" t="str">
        <f>IFERROR(__xludf.DUMMYFUNCTION("""COMPUTED_VALUE"""),"installation electrical maintenance")</f>
        <v>installation electrical maintenance</v>
      </c>
      <c r="Y99" s="4"/>
      <c r="Z99" s="4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6" t="str">
        <f>IFERROR(__xludf.DUMMYFUNCTION("""COMPUTED_VALUE"""),"electrical maintenance repair")</f>
        <v>electrical maintenance repair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8" t="str">
        <f>IFERROR(__xludf.DUMMYFUNCTION("""COMPUTED_VALUE"""),"installation electrical repairs")</f>
        <v>installation electrical repairs</v>
      </c>
      <c r="Y100" s="4"/>
      <c r="Z100" s="4"/>
    </row>
    <row r="101" ht="15.75" customHeight="1">
      <c r="A101" s="1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 t="str">
        <f>IFERROR(__xludf.DUMMYFUNCTION("""COMPUTED_VALUE"""),"electrical maintenance same day")</f>
        <v>electrical maintenance same day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8" t="str">
        <f>IFERROR(__xludf.DUMMYFUNCTION("""COMPUTED_VALUE"""),"installation electrical services")</f>
        <v>installation electrical services</v>
      </c>
      <c r="Y101" s="4"/>
      <c r="Z101" s="4"/>
    </row>
    <row r="102" ht="15.75" customHeight="1">
      <c r="A102" s="1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 t="str">
        <f>IFERROR(__xludf.DUMMYFUNCTION("""COMPUTED_VALUE"""),"electrical maintenance service")</f>
        <v>electrical maintenance service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8" t="str">
        <f>IFERROR(__xludf.DUMMYFUNCTION("""COMPUTED_VALUE"""),"installation electrician cape town")</f>
        <v>installation electrician cape town</v>
      </c>
      <c r="Y102" s="4"/>
      <c r="Z102" s="4"/>
    </row>
    <row r="103" ht="15.75" customHeight="1">
      <c r="A103" s="1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 t="str">
        <f>IFERROR(__xludf.DUMMYFUNCTION("""COMPUTED_VALUE"""),"electrical repairs")</f>
        <v>electrical repairs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 t="str">
        <f>IFERROR(__xludf.DUMMYFUNCTION("""COMPUTED_VALUE"""),"installation emergency electrician")</f>
        <v>installation emergency electrician</v>
      </c>
      <c r="Y103" s="4"/>
      <c r="Z103" s="4"/>
    </row>
    <row r="104" ht="15.75" customHeight="1">
      <c r="A104" s="1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6" t="str">
        <f>IFERROR(__xludf.DUMMYFUNCTION("""COMPUTED_VALUE"""),"electrical repairs affordable")</f>
        <v>electrical repairs affordable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8" t="str">
        <f>IFERROR(__xludf.DUMMYFUNCTION("""COMPUTED_VALUE"""),"installation residential electrician")</f>
        <v>installation residential electrician</v>
      </c>
      <c r="Y104" s="4"/>
      <c r="Z104" s="4"/>
    </row>
    <row r="105" ht="15.75" customHeight="1">
      <c r="A105" s="1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 t="str">
        <f>IFERROR(__xludf.DUMMYFUNCTION("""COMPUTED_VALUE"""),"electrical repairs call out")</f>
        <v>electrical repairs call out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 t="str">
        <f>IFERROR(__xludf.DUMMYFUNCTION("""COMPUTED_VALUE"""),"licensed commercial electrician")</f>
        <v>licensed commercial electrician</v>
      </c>
      <c r="Y105" s="4"/>
      <c r="Z105" s="4"/>
    </row>
    <row r="106" ht="15.75" customHeight="1">
      <c r="A106" s="1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6" t="str">
        <f>IFERROR(__xludf.DUMMYFUNCTION("""COMPUTED_VALUE"""),"electrical repairs cape town")</f>
        <v>electrical repairs cape town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8" t="str">
        <f>IFERROR(__xludf.DUMMYFUNCTION("""COMPUTED_VALUE"""),"licensed electrical compliance certificate")</f>
        <v>licensed electrical compliance certificate</v>
      </c>
      <c r="Y106" s="4"/>
      <c r="Z106" s="4"/>
    </row>
    <row r="107" ht="15.75" customHeight="1">
      <c r="A107" s="1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tr">
        <f>IFERROR(__xludf.DUMMYFUNCTION("""COMPUTED_VALUE"""),"electrical repairs COC")</f>
        <v>electrical repairs COC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 t="str">
        <f>IFERROR(__xludf.DUMMYFUNCTION("""COMPUTED_VALUE"""),"licensed electrical contractor")</f>
        <v>licensed electrical contractor</v>
      </c>
      <c r="Y107" s="4"/>
      <c r="Z107" s="4"/>
    </row>
    <row r="108" ht="15.75" customHeight="1">
      <c r="A108" s="1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6" t="str">
        <f>IFERROR(__xludf.DUMMYFUNCTION("""COMPUTED_VALUE"""),"electrical repairs company")</f>
        <v>electrical repairs company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8" t="str">
        <f>IFERROR(__xludf.DUMMYFUNCTION("""COMPUTED_VALUE"""),"licensed electrical installation")</f>
        <v>licensed electrical installation</v>
      </c>
      <c r="Y108" s="4"/>
      <c r="Z108" s="4"/>
    </row>
    <row r="109" ht="15.75" customHeight="1">
      <c r="A109" s="1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6" t="str">
        <f>IFERROR(__xludf.DUMMYFUNCTION("""COMPUTED_VALUE"""),"electrical repairs contractor")</f>
        <v>electrical repairs contractor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 t="str">
        <f>IFERROR(__xludf.DUMMYFUNCTION("""COMPUTED_VALUE"""),"licensed electrical maintenance")</f>
        <v>licensed electrical maintenance</v>
      </c>
      <c r="Y109" s="4"/>
      <c r="Z109" s="4"/>
    </row>
    <row r="110" ht="15.75" customHeight="1">
      <c r="A110" s="1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6" t="str">
        <f>IFERROR(__xludf.DUMMYFUNCTION("""COMPUTED_VALUE"""),"electrical repairs cost")</f>
        <v>electrical repairs cost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8" t="str">
        <f>IFERROR(__xludf.DUMMYFUNCTION("""COMPUTED_VALUE"""),"licensed electrical repairs")</f>
        <v>licensed electrical repairs</v>
      </c>
      <c r="Y110" s="4"/>
      <c r="Z110" s="4"/>
    </row>
    <row r="111" ht="15.75" customHeight="1">
      <c r="A111" s="1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6" t="str">
        <f>IFERROR(__xludf.DUMMYFUNCTION("""COMPUTED_VALUE"""),"electrical repairs emergency")</f>
        <v>electrical repairs emergency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 t="str">
        <f>IFERROR(__xludf.DUMMYFUNCTION("""COMPUTED_VALUE"""),"licensed electrical services")</f>
        <v>licensed electrical services</v>
      </c>
      <c r="Y111" s="4"/>
      <c r="Z111" s="4"/>
    </row>
    <row r="112" ht="15.75" customHeight="1">
      <c r="A112" s="1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6" t="str">
        <f>IFERROR(__xludf.DUMMYFUNCTION("""COMPUTED_VALUE"""),"electrical repairs inspection")</f>
        <v>electrical repairs inspection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 t="str">
        <f>IFERROR(__xludf.DUMMYFUNCTION("""COMPUTED_VALUE"""),"licensed electrician cape town")</f>
        <v>licensed electrician cape town</v>
      </c>
      <c r="Y112" s="4"/>
      <c r="Z112" s="4"/>
    </row>
    <row r="113" ht="15.75" customHeight="1">
      <c r="A113" s="1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6" t="str">
        <f>IFERROR(__xludf.DUMMYFUNCTION("""COMPUTED_VALUE"""),"electrical repairs installation")</f>
        <v>electrical repairs installation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8" t="str">
        <f>IFERROR(__xludf.DUMMYFUNCTION("""COMPUTED_VALUE"""),"licensed emergency electrician")</f>
        <v>licensed emergency electrician</v>
      </c>
      <c r="Y113" s="4"/>
      <c r="Z113" s="4"/>
    </row>
    <row r="114" ht="15.75" customHeight="1">
      <c r="A114" s="1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6" t="str">
        <f>IFERROR(__xludf.DUMMYFUNCTION("""COMPUTED_VALUE"""),"electrical repairs licensed")</f>
        <v>electrical repairs licensed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8" t="str">
        <f>IFERROR(__xludf.DUMMYFUNCTION("""COMPUTED_VALUE"""),"licensed residential electrician")</f>
        <v>licensed residential electrician</v>
      </c>
      <c r="Y114" s="4"/>
      <c r="Z114" s="4"/>
    </row>
    <row r="115" ht="15.75" customHeight="1">
      <c r="A115" s="1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6" t="str">
        <f>IFERROR(__xludf.DUMMYFUNCTION("""COMPUTED_VALUE"""),"electrical repairs local")</f>
        <v>electrical repairs local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8" t="str">
        <f>IFERROR(__xludf.DUMMYFUNCTION("""COMPUTED_VALUE"""),"local commercial electrician")</f>
        <v>local commercial electrician</v>
      </c>
      <c r="Y115" s="4"/>
      <c r="Z115" s="4"/>
    </row>
    <row r="116" ht="15.75" customHeight="1">
      <c r="A116" s="1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6" t="str">
        <f>IFERROR(__xludf.DUMMYFUNCTION("""COMPUTED_VALUE"""),"electrical repairs near me")</f>
        <v>electrical repairs near me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8" t="str">
        <f>IFERROR(__xludf.DUMMYFUNCTION("""COMPUTED_VALUE"""),"local electrical compliance certificate")</f>
        <v>local electrical compliance certificate</v>
      </c>
      <c r="Y116" s="4"/>
      <c r="Z116" s="4"/>
    </row>
    <row r="117" ht="15.75" customHeight="1">
      <c r="A117" s="1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6" t="str">
        <f>IFERROR(__xludf.DUMMYFUNCTION("""COMPUTED_VALUE"""),"electrical repairs professional")</f>
        <v>electrical repairs professional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8" t="str">
        <f>IFERROR(__xludf.DUMMYFUNCTION("""COMPUTED_VALUE"""),"local electrical contractor")</f>
        <v>local electrical contractor</v>
      </c>
      <c r="Y117" s="4"/>
      <c r="Z117" s="4"/>
    </row>
    <row r="118" ht="15.7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 t="str">
        <f>IFERROR(__xludf.DUMMYFUNCTION("""COMPUTED_VALUE"""),"electrical repairs qualified")</f>
        <v>electrical repairs qualified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8" t="str">
        <f>IFERROR(__xludf.DUMMYFUNCTION("""COMPUTED_VALUE"""),"local electrical installation")</f>
        <v>local electrical installation</v>
      </c>
      <c r="Y118" s="4"/>
      <c r="Z118" s="4"/>
    </row>
    <row r="119" ht="15.75" customHeight="1">
      <c r="A119" s="1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6" t="str">
        <f>IFERROR(__xludf.DUMMYFUNCTION("""COMPUTED_VALUE"""),"electrical repairs quote")</f>
        <v>electrical repairs quote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 t="str">
        <f>IFERROR(__xludf.DUMMYFUNCTION("""COMPUTED_VALUE"""),"local electrical maintenance")</f>
        <v>local electrical maintenance</v>
      </c>
      <c r="Y119" s="4"/>
      <c r="Z119" s="4"/>
    </row>
    <row r="120" ht="15.75" customHeigh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 t="str">
        <f>IFERROR(__xludf.DUMMYFUNCTION("""COMPUTED_VALUE"""),"electrical repairs reliable")</f>
        <v>electrical repairs reliable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3" t="str">
        <f>IFERROR(__xludf.DUMMYFUNCTION("""COMPUTED_VALUE"""),"local electrical repairs")</f>
        <v>local electrical repairs</v>
      </c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 t="str">
        <f>IFERROR(__xludf.DUMMYFUNCTION("""COMPUTED_VALUE"""),"electrical repairs same day")</f>
        <v>electrical repairs same day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tr">
        <f>IFERROR(__xludf.DUMMYFUNCTION("""COMPUTED_VALUE"""),"local electrical services")</f>
        <v>local electrical services</v>
      </c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 t="str">
        <f>IFERROR(__xludf.DUMMYFUNCTION("""COMPUTED_VALUE"""),"electrical repairs service")</f>
        <v>electrical repairs service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tr">
        <f>IFERROR(__xludf.DUMMYFUNCTION("""COMPUTED_VALUE"""),"local electrician cape town")</f>
        <v>local electrician cape town</v>
      </c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 t="str">
        <f>IFERROR(__xludf.DUMMYFUNCTION("""COMPUTED_VALUE"""),"electrical services")</f>
        <v>electrical services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 t="str">
        <f>IFERROR(__xludf.DUMMYFUNCTION("""COMPUTED_VALUE"""),"local emergency electrician")</f>
        <v>local emergency electrician</v>
      </c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 t="str">
        <f>IFERROR(__xludf.DUMMYFUNCTION("""COMPUTED_VALUE"""),"electrical services affordable")</f>
        <v>electrical services affordable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tr">
        <f>IFERROR(__xludf.DUMMYFUNCTION("""COMPUTED_VALUE"""),"local residential electrician")</f>
        <v>local residential electrician</v>
      </c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tr">
        <f>IFERROR(__xludf.DUMMYFUNCTION("""COMPUTED_VALUE"""),"electrical services call out")</f>
        <v>electrical services call out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str">
        <f>IFERROR(__xludf.DUMMYFUNCTION("""COMPUTED_VALUE"""),"near me commercial electrician")</f>
        <v>near me commercial electrician</v>
      </c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tr">
        <f>IFERROR(__xludf.DUMMYFUNCTION("""COMPUTED_VALUE"""),"electrical services cape town")</f>
        <v>electrical services cape town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tr">
        <f>IFERROR(__xludf.DUMMYFUNCTION("""COMPUTED_VALUE"""),"near me electrical compliance certificate")</f>
        <v>near me electrical compliance certificate</v>
      </c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 t="str">
        <f>IFERROR(__xludf.DUMMYFUNCTION("""COMPUTED_VALUE"""),"electrical services COC")</f>
        <v>electrical services COC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tr">
        <f>IFERROR(__xludf.DUMMYFUNCTION("""COMPUTED_VALUE"""),"near me electrical contractor")</f>
        <v>near me electrical contractor</v>
      </c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 t="str">
        <f>IFERROR(__xludf.DUMMYFUNCTION("""COMPUTED_VALUE"""),"electrical services company")</f>
        <v>electrical services company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 t="str">
        <f>IFERROR(__xludf.DUMMYFUNCTION("""COMPUTED_VALUE"""),"near me electrical installation")</f>
        <v>near me electrical installation</v>
      </c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 t="str">
        <f>IFERROR(__xludf.DUMMYFUNCTION("""COMPUTED_VALUE"""),"electrical services contractor")</f>
        <v>electrical services contractor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tr">
        <f>IFERROR(__xludf.DUMMYFUNCTION("""COMPUTED_VALUE"""),"near me electrical maintenance")</f>
        <v>near me electrical maintenance</v>
      </c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 t="str">
        <f>IFERROR(__xludf.DUMMYFUNCTION("""COMPUTED_VALUE"""),"electrical services cost")</f>
        <v>electrical services cost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tr">
        <f>IFERROR(__xludf.DUMMYFUNCTION("""COMPUTED_VALUE"""),"near me electrical repairs")</f>
        <v>near me electrical repairs</v>
      </c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 t="str">
        <f>IFERROR(__xludf.DUMMYFUNCTION("""COMPUTED_VALUE"""),"electrical services emergency")</f>
        <v>electrical services emergency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tr">
        <f>IFERROR(__xludf.DUMMYFUNCTION("""COMPUTED_VALUE"""),"near me electrical services")</f>
        <v>near me electrical services</v>
      </c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 t="str">
        <f>IFERROR(__xludf.DUMMYFUNCTION("""COMPUTED_VALUE"""),"electrical services inspection")</f>
        <v>electrical services inspection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tr">
        <f>IFERROR(__xludf.DUMMYFUNCTION("""COMPUTED_VALUE"""),"near me electrician cape town")</f>
        <v>near me electrician cape town</v>
      </c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tr">
        <f>IFERROR(__xludf.DUMMYFUNCTION("""COMPUTED_VALUE"""),"electrical services installation")</f>
        <v>electrical services installation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tr">
        <f>IFERROR(__xludf.DUMMYFUNCTION("""COMPUTED_VALUE"""),"near me emergency electrician")</f>
        <v>near me emergency electrician</v>
      </c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tr">
        <f>IFERROR(__xludf.DUMMYFUNCTION("""COMPUTED_VALUE"""),"electrical services licensed")</f>
        <v>electrical services licensed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 t="str">
        <f>IFERROR(__xludf.DUMMYFUNCTION("""COMPUTED_VALUE"""),"near me residential electrician")</f>
        <v>near me residential electrician</v>
      </c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 t="str">
        <f>IFERROR(__xludf.DUMMYFUNCTION("""COMPUTED_VALUE"""),"electrical services local")</f>
        <v>electrical services local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str">
        <f>IFERROR(__xludf.DUMMYFUNCTION("""COMPUTED_VALUE"""),"professional commercial electrician")</f>
        <v>professional commercial electrician</v>
      </c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tr">
        <f>IFERROR(__xludf.DUMMYFUNCTION("""COMPUTED_VALUE"""),"electrical services near me")</f>
        <v>electrical services near me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str">
        <f>IFERROR(__xludf.DUMMYFUNCTION("""COMPUTED_VALUE"""),"professional electrical compliance certificate")</f>
        <v>professional electrical compliance certificate</v>
      </c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tr">
        <f>IFERROR(__xludf.DUMMYFUNCTION("""COMPUTED_VALUE"""),"electrical services professional")</f>
        <v>electrical services professional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tr">
        <f>IFERROR(__xludf.DUMMYFUNCTION("""COMPUTED_VALUE"""),"professional electrical contractor")</f>
        <v>professional electrical contractor</v>
      </c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 t="str">
        <f>IFERROR(__xludf.DUMMYFUNCTION("""COMPUTED_VALUE"""),"electrical services qualified")</f>
        <v>electrical services qualified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tr">
        <f>IFERROR(__xludf.DUMMYFUNCTION("""COMPUTED_VALUE"""),"professional electrical installation")</f>
        <v>professional electrical installation</v>
      </c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 t="str">
        <f>IFERROR(__xludf.DUMMYFUNCTION("""COMPUTED_VALUE"""),"electrical services quote")</f>
        <v>electrical services quote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tr">
        <f>IFERROR(__xludf.DUMMYFUNCTION("""COMPUTED_VALUE"""),"professional electrical maintenance")</f>
        <v>professional electrical maintenance</v>
      </c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 t="str">
        <f>IFERROR(__xludf.DUMMYFUNCTION("""COMPUTED_VALUE"""),"electrical services reliable")</f>
        <v>electrical services reliable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tr">
        <f>IFERROR(__xludf.DUMMYFUNCTION("""COMPUTED_VALUE"""),"professional electrical repairs")</f>
        <v>professional electrical repairs</v>
      </c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 t="str">
        <f>IFERROR(__xludf.DUMMYFUNCTION("""COMPUTED_VALUE"""),"electrical services repair")</f>
        <v>electrical services repair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str">
        <f>IFERROR(__xludf.DUMMYFUNCTION("""COMPUTED_VALUE"""),"professional electrical services")</f>
        <v>professional electrical services</v>
      </c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 t="str">
        <f>IFERROR(__xludf.DUMMYFUNCTION("""COMPUTED_VALUE"""),"electrical services same day")</f>
        <v>electrical services same day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tr">
        <f>IFERROR(__xludf.DUMMYFUNCTION("""COMPUTED_VALUE"""),"professional electrician cape town")</f>
        <v>professional electrician cape town</v>
      </c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 t="str">
        <f>IFERROR(__xludf.DUMMYFUNCTION("""COMPUTED_VALUE"""),"electrician cape town")</f>
        <v>electrician cape town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tr">
        <f>IFERROR(__xludf.DUMMYFUNCTION("""COMPUTED_VALUE"""),"professional emergency electrician")</f>
        <v>professional emergency electrician</v>
      </c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 t="str">
        <f>IFERROR(__xludf.DUMMYFUNCTION("""COMPUTED_VALUE"""),"electrician cape town affordable")</f>
        <v>electrician cape town affordable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 t="str">
        <f>IFERROR(__xludf.DUMMYFUNCTION("""COMPUTED_VALUE"""),"professional residential electrician")</f>
        <v>professional residential electrician</v>
      </c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 t="str">
        <f>IFERROR(__xludf.DUMMYFUNCTION("""COMPUTED_VALUE"""),"electrician cape town call out")</f>
        <v>electrician cape town call out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str">
        <f>IFERROR(__xludf.DUMMYFUNCTION("""COMPUTED_VALUE"""),"qualified commercial electrician")</f>
        <v>qualified commercial electrician</v>
      </c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 t="str">
        <f>IFERROR(__xludf.DUMMYFUNCTION("""COMPUTED_VALUE"""),"electrician cape town COC")</f>
        <v>electrician cape town COC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 t="str">
        <f>IFERROR(__xludf.DUMMYFUNCTION("""COMPUTED_VALUE"""),"qualified electrical compliance certificate")</f>
        <v>qualified electrical compliance certificate</v>
      </c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tr">
        <f>IFERROR(__xludf.DUMMYFUNCTION("""COMPUTED_VALUE"""),"electrician cape town company")</f>
        <v>electrician cape town company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tr">
        <f>IFERROR(__xludf.DUMMYFUNCTION("""COMPUTED_VALUE"""),"qualified electrical contractor")</f>
        <v>qualified electrical contractor</v>
      </c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tr">
        <f>IFERROR(__xludf.DUMMYFUNCTION("""COMPUTED_VALUE"""),"electrician cape town contractor")</f>
        <v>electrician cape town contractor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str">
        <f>IFERROR(__xludf.DUMMYFUNCTION("""COMPUTED_VALUE"""),"qualified electrical installation")</f>
        <v>qualified electrical installation</v>
      </c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 t="str">
        <f>IFERROR(__xludf.DUMMYFUNCTION("""COMPUTED_VALUE"""),"electrician cape town cost")</f>
        <v>electrician cape town cost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 t="str">
        <f>IFERROR(__xludf.DUMMYFUNCTION("""COMPUTED_VALUE"""),"qualified electrical maintenance")</f>
        <v>qualified electrical maintenance</v>
      </c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 t="str">
        <f>IFERROR(__xludf.DUMMYFUNCTION("""COMPUTED_VALUE"""),"electrician cape town emergency")</f>
        <v>electrician cape town emergency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 t="str">
        <f>IFERROR(__xludf.DUMMYFUNCTION("""COMPUTED_VALUE"""),"qualified electrical repairs")</f>
        <v>qualified electrical repairs</v>
      </c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 t="str">
        <f>IFERROR(__xludf.DUMMYFUNCTION("""COMPUTED_VALUE"""),"electrician cape town inspection")</f>
        <v>electrician cape town inspection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tr">
        <f>IFERROR(__xludf.DUMMYFUNCTION("""COMPUTED_VALUE"""),"qualified electrical services")</f>
        <v>qualified electrical services</v>
      </c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 t="str">
        <f>IFERROR(__xludf.DUMMYFUNCTION("""COMPUTED_VALUE"""),"electrician cape town installation")</f>
        <v>electrician cape town installation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 t="str">
        <f>IFERROR(__xludf.DUMMYFUNCTION("""COMPUTED_VALUE"""),"qualified electrician cape town")</f>
        <v>qualified electrician cape town</v>
      </c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 t="str">
        <f>IFERROR(__xludf.DUMMYFUNCTION("""COMPUTED_VALUE"""),"electrician cape town licensed")</f>
        <v>electrician cape town licensed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str">
        <f>IFERROR(__xludf.DUMMYFUNCTION("""COMPUTED_VALUE"""),"qualified emergency electrician")</f>
        <v>qualified emergency electrician</v>
      </c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 t="str">
        <f>IFERROR(__xludf.DUMMYFUNCTION("""COMPUTED_VALUE"""),"electrician cape town local")</f>
        <v>electrician cape town local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tr">
        <f>IFERROR(__xludf.DUMMYFUNCTION("""COMPUTED_VALUE"""),"qualified residential electrician")</f>
        <v>qualified residential electrician</v>
      </c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 t="str">
        <f>IFERROR(__xludf.DUMMYFUNCTION("""COMPUTED_VALUE"""),"electrician cape town near me")</f>
        <v>electrician cape town near me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tr">
        <f>IFERROR(__xludf.DUMMYFUNCTION("""COMPUTED_VALUE"""),"quote commercial electrician")</f>
        <v>quote commercial electrician</v>
      </c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 t="str">
        <f>IFERROR(__xludf.DUMMYFUNCTION("""COMPUTED_VALUE"""),"electrician cape town professional")</f>
        <v>electrician cape town professional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 t="str">
        <f>IFERROR(__xludf.DUMMYFUNCTION("""COMPUTED_VALUE"""),"quote electrical compliance certificate")</f>
        <v>quote electrical compliance certificate</v>
      </c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tr">
        <f>IFERROR(__xludf.DUMMYFUNCTION("""COMPUTED_VALUE"""),"electrician cape town qualified")</f>
        <v>electrician cape town qualified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 t="str">
        <f>IFERROR(__xludf.DUMMYFUNCTION("""COMPUTED_VALUE"""),"quote electrical contractor")</f>
        <v>quote electrical contractor</v>
      </c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tr">
        <f>IFERROR(__xludf.DUMMYFUNCTION("""COMPUTED_VALUE"""),"electrician cape town quote")</f>
        <v>electrician cape town quote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 t="str">
        <f>IFERROR(__xludf.DUMMYFUNCTION("""COMPUTED_VALUE"""),"quote electrical installation")</f>
        <v>quote electrical installation</v>
      </c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 t="str">
        <f>IFERROR(__xludf.DUMMYFUNCTION("""COMPUTED_VALUE"""),"electrician cape town reliable")</f>
        <v>electrician cape town reliable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str">
        <f>IFERROR(__xludf.DUMMYFUNCTION("""COMPUTED_VALUE"""),"quote electrical maintenance")</f>
        <v>quote electrical maintenance</v>
      </c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 t="str">
        <f>IFERROR(__xludf.DUMMYFUNCTION("""COMPUTED_VALUE"""),"electrician cape town repair")</f>
        <v>electrician cape town repair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 t="str">
        <f>IFERROR(__xludf.DUMMYFUNCTION("""COMPUTED_VALUE"""),"quote electrical repairs")</f>
        <v>quote electrical repairs</v>
      </c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 t="str">
        <f>IFERROR(__xludf.DUMMYFUNCTION("""COMPUTED_VALUE"""),"electrician cape town same day")</f>
        <v>electrician cape town same day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 t="str">
        <f>IFERROR(__xludf.DUMMYFUNCTION("""COMPUTED_VALUE"""),"quote electrical services")</f>
        <v>quote electrical services</v>
      </c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 t="str">
        <f>IFERROR(__xludf.DUMMYFUNCTION("""COMPUTED_VALUE"""),"electrician cape town service")</f>
        <v>electrician cape town service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 t="str">
        <f>IFERROR(__xludf.DUMMYFUNCTION("""COMPUTED_VALUE"""),"quote electrician cape town")</f>
        <v>quote electrician cape town</v>
      </c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 t="str">
        <f>IFERROR(__xludf.DUMMYFUNCTION("""COMPUTED_VALUE"""),"emergency electrician")</f>
        <v>emergency electrician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 t="str">
        <f>IFERROR(__xludf.DUMMYFUNCTION("""COMPUTED_VALUE"""),"quote emergency electrician")</f>
        <v>quote emergency electrician</v>
      </c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 t="str">
        <f>IFERROR(__xludf.DUMMYFUNCTION("""COMPUTED_VALUE"""),"emergency electrician affordable")</f>
        <v>emergency electrician affordable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tr">
        <f>IFERROR(__xludf.DUMMYFUNCTION("""COMPUTED_VALUE"""),"quote residential electrician")</f>
        <v>quote residential electrician</v>
      </c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 t="str">
        <f>IFERROR(__xludf.DUMMYFUNCTION("""COMPUTED_VALUE"""),"emergency electrician call out")</f>
        <v>emergency electrician call out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tr">
        <f>IFERROR(__xludf.DUMMYFUNCTION("""COMPUTED_VALUE"""),"reliable commercial electrician")</f>
        <v>reliable commercial electrician</v>
      </c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tr">
        <f>IFERROR(__xludf.DUMMYFUNCTION("""COMPUTED_VALUE"""),"emergency electrician cape town")</f>
        <v>emergency electrician cape town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tr">
        <f>IFERROR(__xludf.DUMMYFUNCTION("""COMPUTED_VALUE"""),"reliable electrical compliance certificate")</f>
        <v>reliable electrical compliance certificate</v>
      </c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tr">
        <f>IFERROR(__xludf.DUMMYFUNCTION("""COMPUTED_VALUE"""),"emergency electrician COC")</f>
        <v>emergency electrician COC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f>IFERROR(__xludf.DUMMYFUNCTION("""COMPUTED_VALUE"""),"reliable electrical contractor")</f>
        <v>reliable electrical contractor</v>
      </c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 t="str">
        <f>IFERROR(__xludf.DUMMYFUNCTION("""COMPUTED_VALUE"""),"emergency electrician company")</f>
        <v>emergency electrician company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tr">
        <f>IFERROR(__xludf.DUMMYFUNCTION("""COMPUTED_VALUE"""),"reliable electrical installation")</f>
        <v>reliable electrical installation</v>
      </c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 t="str">
        <f>IFERROR(__xludf.DUMMYFUNCTION("""COMPUTED_VALUE"""),"emergency electrician contractor")</f>
        <v>emergency electrician contractor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tr">
        <f>IFERROR(__xludf.DUMMYFUNCTION("""COMPUTED_VALUE"""),"reliable electrical maintenance")</f>
        <v>reliable electrical maintenance</v>
      </c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 t="str">
        <f>IFERROR(__xludf.DUMMYFUNCTION("""COMPUTED_VALUE"""),"emergency electrician cost")</f>
        <v>emergency electrician cost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tr">
        <f>IFERROR(__xludf.DUMMYFUNCTION("""COMPUTED_VALUE"""),"reliable electrical repairs")</f>
        <v>reliable electrical repairs</v>
      </c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 t="str">
        <f>IFERROR(__xludf.DUMMYFUNCTION("""COMPUTED_VALUE"""),"emergency electrician inspection")</f>
        <v>emergency electrician inspection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tr">
        <f>IFERROR(__xludf.DUMMYFUNCTION("""COMPUTED_VALUE"""),"reliable electrical services")</f>
        <v>reliable electrical services</v>
      </c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tr">
        <f>IFERROR(__xludf.DUMMYFUNCTION("""COMPUTED_VALUE"""),"emergency electrician installation")</f>
        <v>emergency electrician installation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tr">
        <f>IFERROR(__xludf.DUMMYFUNCTION("""COMPUTED_VALUE"""),"reliable electrician cape town")</f>
        <v>reliable electrician cape town</v>
      </c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 t="str">
        <f>IFERROR(__xludf.DUMMYFUNCTION("""COMPUTED_VALUE"""),"emergency electrician licensed")</f>
        <v>emergency electrician licensed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str">
        <f>IFERROR(__xludf.DUMMYFUNCTION("""COMPUTED_VALUE"""),"reliable emergency electrician")</f>
        <v>reliable emergency electrician</v>
      </c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 t="str">
        <f>IFERROR(__xludf.DUMMYFUNCTION("""COMPUTED_VALUE"""),"emergency electrician local")</f>
        <v>emergency electrician local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str">
        <f>IFERROR(__xludf.DUMMYFUNCTION("""COMPUTED_VALUE"""),"reliable residential electrician")</f>
        <v>reliable residential electrician</v>
      </c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tr">
        <f>IFERROR(__xludf.DUMMYFUNCTION("""COMPUTED_VALUE"""),"emergency electrician near me")</f>
        <v>emergency electrician near me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str">
        <f>IFERROR(__xludf.DUMMYFUNCTION("""COMPUTED_VALUE"""),"repair commercial electrician")</f>
        <v>repair commercial electrician</v>
      </c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 t="str">
        <f>IFERROR(__xludf.DUMMYFUNCTION("""COMPUTED_VALUE"""),"emergency electrician professional")</f>
        <v>emergency electrician professional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 t="str">
        <f>IFERROR(__xludf.DUMMYFUNCTION("""COMPUTED_VALUE"""),"repair electrical compliance certificate")</f>
        <v>repair electrical compliance certificate</v>
      </c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 t="str">
        <f>IFERROR(__xludf.DUMMYFUNCTION("""COMPUTED_VALUE"""),"emergency electrician qualified")</f>
        <v>emergency electrician qualified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 t="str">
        <f>IFERROR(__xludf.DUMMYFUNCTION("""COMPUTED_VALUE"""),"repair electrical contractor")</f>
        <v>repair electrical contractor</v>
      </c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 t="str">
        <f>IFERROR(__xludf.DUMMYFUNCTION("""COMPUTED_VALUE"""),"emergency electrician quote")</f>
        <v>emergency electrician quote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tr">
        <f>IFERROR(__xludf.DUMMYFUNCTION("""COMPUTED_VALUE"""),"repair electrical installation")</f>
        <v>repair electrical installation</v>
      </c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tr">
        <f>IFERROR(__xludf.DUMMYFUNCTION("""COMPUTED_VALUE"""),"emergency electrician reliable")</f>
        <v>emergency electrician reliable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tr">
        <f>IFERROR(__xludf.DUMMYFUNCTION("""COMPUTED_VALUE"""),"repair electrical maintenance")</f>
        <v>repair electrical maintenance</v>
      </c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 t="str">
        <f>IFERROR(__xludf.DUMMYFUNCTION("""COMPUTED_VALUE"""),"emergency electrician repair")</f>
        <v>emergency electrician repair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tr">
        <f>IFERROR(__xludf.DUMMYFUNCTION("""COMPUTED_VALUE"""),"repair electrical services")</f>
        <v>repair electrical services</v>
      </c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tr">
        <f>IFERROR(__xludf.DUMMYFUNCTION("""COMPUTED_VALUE"""),"emergency electrician same day")</f>
        <v>emergency electrician same day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 t="str">
        <f>IFERROR(__xludf.DUMMYFUNCTION("""COMPUTED_VALUE"""),"repair electrician cape town")</f>
        <v>repair electrician cape town</v>
      </c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 t="str">
        <f>IFERROR(__xludf.DUMMYFUNCTION("""COMPUTED_VALUE"""),"emergency electrician service")</f>
        <v>emergency electrician service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tr">
        <f>IFERROR(__xludf.DUMMYFUNCTION("""COMPUTED_VALUE"""),"repair emergency electrician")</f>
        <v>repair emergency electrician</v>
      </c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 t="str">
        <f>IFERROR(__xludf.DUMMYFUNCTION("""COMPUTED_VALUE"""),"residential electrician affordable")</f>
        <v>residential electrician affordable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 t="str">
        <f>IFERROR(__xludf.DUMMYFUNCTION("""COMPUTED_VALUE"""),"repair residential electrician")</f>
        <v>repair residential electrician</v>
      </c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 t="str">
        <f>IFERROR(__xludf.DUMMYFUNCTION("""COMPUTED_VALUE"""),"residential electrician call out")</f>
        <v>residential electrician call out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 t="str">
        <f>IFERROR(__xludf.DUMMYFUNCTION("""COMPUTED_VALUE"""),"same day commercial electrician")</f>
        <v>same day commercial electrician</v>
      </c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 t="str">
        <f>IFERROR(__xludf.DUMMYFUNCTION("""COMPUTED_VALUE"""),"residential electrician cape town")</f>
        <v>residential electrician cape town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 t="str">
        <f>IFERROR(__xludf.DUMMYFUNCTION("""COMPUTED_VALUE"""),"same day electrical compliance certificate")</f>
        <v>same day electrical compliance certificate</v>
      </c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 t="str">
        <f>IFERROR(__xludf.DUMMYFUNCTION("""COMPUTED_VALUE"""),"residential electrician COC")</f>
        <v>residential electrician COC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 t="str">
        <f>IFERROR(__xludf.DUMMYFUNCTION("""COMPUTED_VALUE"""),"same day electrical contractor")</f>
        <v>same day electrical contractor</v>
      </c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 t="str">
        <f>IFERROR(__xludf.DUMMYFUNCTION("""COMPUTED_VALUE"""),"residential electrician company")</f>
        <v>residential electrician company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 t="str">
        <f>IFERROR(__xludf.DUMMYFUNCTION("""COMPUTED_VALUE"""),"same day electrical installation")</f>
        <v>same day electrical installation</v>
      </c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 t="str">
        <f>IFERROR(__xludf.DUMMYFUNCTION("""COMPUTED_VALUE"""),"residential electrician contractor")</f>
        <v>residential electrician contractor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 t="str">
        <f>IFERROR(__xludf.DUMMYFUNCTION("""COMPUTED_VALUE"""),"same day electrical maintenance")</f>
        <v>same day electrical maintenance</v>
      </c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 t="str">
        <f>IFERROR(__xludf.DUMMYFUNCTION("""COMPUTED_VALUE"""),"residential electrician cost")</f>
        <v>residential electrician cost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 t="str">
        <f>IFERROR(__xludf.DUMMYFUNCTION("""COMPUTED_VALUE"""),"same day electrical repairs")</f>
        <v>same day electrical repairs</v>
      </c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 t="str">
        <f>IFERROR(__xludf.DUMMYFUNCTION("""COMPUTED_VALUE"""),"residential electrician emergency")</f>
        <v>residential electrician emergency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 t="str">
        <f>IFERROR(__xludf.DUMMYFUNCTION("""COMPUTED_VALUE"""),"same day electrical services")</f>
        <v>same day electrical services</v>
      </c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 t="str">
        <f>IFERROR(__xludf.DUMMYFUNCTION("""COMPUTED_VALUE"""),"residential electrician inspection")</f>
        <v>residential electrician inspection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 t="str">
        <f>IFERROR(__xludf.DUMMYFUNCTION("""COMPUTED_VALUE"""),"same day electrician cape town")</f>
        <v>same day electrician cape town</v>
      </c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 t="str">
        <f>IFERROR(__xludf.DUMMYFUNCTION("""COMPUTED_VALUE"""),"residential electrician installation")</f>
        <v>residential electrician installation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str">
        <f>IFERROR(__xludf.DUMMYFUNCTION("""COMPUTED_VALUE"""),"same day emergency electrician")</f>
        <v>same day emergency electrician</v>
      </c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 t="str">
        <f>IFERROR(__xludf.DUMMYFUNCTION("""COMPUTED_VALUE"""),"residential electrician licensed")</f>
        <v>residential electrician licensed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 t="str">
        <f>IFERROR(__xludf.DUMMYFUNCTION("""COMPUTED_VALUE"""),"same day residential electrician")</f>
        <v>same day residential electrician</v>
      </c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 t="str">
        <f>IFERROR(__xludf.DUMMYFUNCTION("""COMPUTED_VALUE"""),"residential electrician local")</f>
        <v>residential electrician local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 t="str">
        <f>IFERROR(__xludf.DUMMYFUNCTION("""COMPUTED_VALUE"""),"service commercial electrician")</f>
        <v>service commercial electrician</v>
      </c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 t="str">
        <f>IFERROR(__xludf.DUMMYFUNCTION("""COMPUTED_VALUE"""),"residential electrician near me")</f>
        <v>residential electrician near me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 t="str">
        <f>IFERROR(__xludf.DUMMYFUNCTION("""COMPUTED_VALUE"""),"service electrical compliance certificate")</f>
        <v>service electrical compliance certificate</v>
      </c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 t="str">
        <f>IFERROR(__xludf.DUMMYFUNCTION("""COMPUTED_VALUE"""),"residential electrician professional")</f>
        <v>residential electrician professional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str">
        <f>IFERROR(__xludf.DUMMYFUNCTION("""COMPUTED_VALUE"""),"service electrical contractor")</f>
        <v>service electrical contractor</v>
      </c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 t="str">
        <f>IFERROR(__xludf.DUMMYFUNCTION("""COMPUTED_VALUE"""),"residential electrician qualified")</f>
        <v>residential electrician qualified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 t="str">
        <f>IFERROR(__xludf.DUMMYFUNCTION("""COMPUTED_VALUE"""),"service electrical installation")</f>
        <v>service electrical installation</v>
      </c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 t="str">
        <f>IFERROR(__xludf.DUMMYFUNCTION("""COMPUTED_VALUE"""),"residential electrician quote")</f>
        <v>residential electrician quote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 t="str">
        <f>IFERROR(__xludf.DUMMYFUNCTION("""COMPUTED_VALUE"""),"service electrical maintenance")</f>
        <v>service electrical maintenance</v>
      </c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 t="str">
        <f>IFERROR(__xludf.DUMMYFUNCTION("""COMPUTED_VALUE"""),"residential electrician reliable")</f>
        <v>residential electrician reliable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 t="str">
        <f>IFERROR(__xludf.DUMMYFUNCTION("""COMPUTED_VALUE"""),"service electrical repairs")</f>
        <v>service electrical repairs</v>
      </c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 t="str">
        <f>IFERROR(__xludf.DUMMYFUNCTION("""COMPUTED_VALUE"""),"residential electrician repair")</f>
        <v>residential electrician repair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 t="str">
        <f>IFERROR(__xludf.DUMMYFUNCTION("""COMPUTED_VALUE"""),"service electrician cape town")</f>
        <v>service electrician cape town</v>
      </c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 t="str">
        <f>IFERROR(__xludf.DUMMYFUNCTION("""COMPUTED_VALUE"""),"residential electrician same day")</f>
        <v>residential electrician same day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tr">
        <f>IFERROR(__xludf.DUMMYFUNCTION("""COMPUTED_VALUE"""),"service emergency electrician")</f>
        <v>service emergency electrician</v>
      </c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 t="str">
        <f>IFERROR(__xludf.DUMMYFUNCTION("""COMPUTED_VALUE"""),"residential electrician service")</f>
        <v>residential electrician service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 t="str">
        <f>IFERROR(__xludf.DUMMYFUNCTION("""COMPUTED_VALUE"""),"service residential electrician")</f>
        <v>service residential electrician</v>
      </c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2" t="s">
        <v>131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139</v>
      </c>
      <c r="K1" s="2" t="s">
        <v>140</v>
      </c>
      <c r="L1" s="5" t="s">
        <v>21</v>
      </c>
      <c r="M1" s="2"/>
      <c r="N1" s="2" t="s">
        <v>131</v>
      </c>
      <c r="O1" s="2" t="s">
        <v>132</v>
      </c>
      <c r="P1" s="2" t="s">
        <v>133</v>
      </c>
      <c r="Q1" s="2" t="s">
        <v>134</v>
      </c>
      <c r="R1" s="2" t="s">
        <v>135</v>
      </c>
      <c r="S1" s="2" t="s">
        <v>136</v>
      </c>
      <c r="T1" s="2" t="s">
        <v>137</v>
      </c>
      <c r="U1" s="2" t="s">
        <v>138</v>
      </c>
      <c r="V1" s="2" t="s">
        <v>139</v>
      </c>
      <c r="W1" s="2" t="s">
        <v>140</v>
      </c>
      <c r="X1" s="8" t="s">
        <v>32</v>
      </c>
      <c r="Y1" s="4"/>
      <c r="Z1" s="4"/>
    </row>
    <row r="2">
      <c r="A2" s="9" t="s">
        <v>35</v>
      </c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41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4"/>
      <c r="Z2" s="4"/>
    </row>
    <row r="3">
      <c r="A3" s="13" t="s">
        <v>45</v>
      </c>
      <c r="B3" s="14" t="str">
        <f t="shared" ref="B3:K3" si="1">IF($A3="","",IF(OR(ISNUMBER(SEARCH(LOWER($A3),LOWER(B$1))),AND(RIGHT(LOWER($A3),1)="s",ISNUMBER(SEARCH(LEFT(LOWER($A3),LEN($A3)-1),LOWER(B$1))))),B$1,B$1&amp;" "&amp;$A3))</f>
        <v>air conditioning cape town</v>
      </c>
      <c r="C3" s="14" t="str">
        <f t="shared" si="1"/>
        <v>air conditioning repair cape town</v>
      </c>
      <c r="D3" s="14" t="str">
        <f t="shared" si="1"/>
        <v>aircon repair cape town</v>
      </c>
      <c r="E3" s="14" t="str">
        <f t="shared" si="1"/>
        <v>aircon installation cape town</v>
      </c>
      <c r="F3" s="14" t="str">
        <f t="shared" si="1"/>
        <v>aircon service cape town</v>
      </c>
      <c r="G3" s="14" t="str">
        <f t="shared" si="1"/>
        <v>HVAC services cape town</v>
      </c>
      <c r="H3" s="14" t="str">
        <f t="shared" si="1"/>
        <v>refrigeration repair cape town</v>
      </c>
      <c r="I3" s="14" t="str">
        <f t="shared" si="1"/>
        <v>commercial refrigeration cape town</v>
      </c>
      <c r="J3" s="14" t="str">
        <f t="shared" si="1"/>
        <v>fridge repair cape town</v>
      </c>
      <c r="K3" s="14" t="str">
        <f t="shared" si="1"/>
        <v>cold room repair cape town</v>
      </c>
      <c r="L3" s="16" t="str">
        <f>IFERROR(__xludf.DUMMYFUNCTION("SORT(UNIQUE(FILTER(FLATTEN(B3:K82),FLATTEN(B3:K82)&lt;&gt;"""")))"),"air conditioning affordable")</f>
        <v>air conditioning affordable</v>
      </c>
      <c r="M3" s="17"/>
      <c r="N3" s="14" t="str">
        <f t="shared" ref="N3:W3" si="2">IF($A3="","",IF(OR(ISNUMBER(SEARCH(LOWER($A3),LOWER(N$1))),AND(RIGHT(LOWER($A3),1)="s",ISNUMBER(SEARCH(LEFT(LOWER($A3),LEN($A3)-1),LOWER(N$1))))),N$1,$A3&amp;" "&amp;N$1))</f>
        <v>cape town air conditioning</v>
      </c>
      <c r="O3" s="14" t="str">
        <f t="shared" si="2"/>
        <v>cape town air conditioning repair</v>
      </c>
      <c r="P3" s="14" t="str">
        <f t="shared" si="2"/>
        <v>cape town aircon repair</v>
      </c>
      <c r="Q3" s="14" t="str">
        <f t="shared" si="2"/>
        <v>cape town aircon installation</v>
      </c>
      <c r="R3" s="14" t="str">
        <f t="shared" si="2"/>
        <v>cape town aircon service</v>
      </c>
      <c r="S3" s="14" t="str">
        <f t="shared" si="2"/>
        <v>cape town HVAC services</v>
      </c>
      <c r="T3" s="14" t="str">
        <f t="shared" si="2"/>
        <v>cape town refrigeration repair</v>
      </c>
      <c r="U3" s="14" t="str">
        <f t="shared" si="2"/>
        <v>cape town commercial refrigeration</v>
      </c>
      <c r="V3" s="14" t="str">
        <f t="shared" si="2"/>
        <v>cape town fridge repair</v>
      </c>
      <c r="W3" s="14" t="str">
        <f t="shared" si="2"/>
        <v>cape town cold room repair</v>
      </c>
      <c r="X3" s="18" t="str">
        <f>IFERROR(__xludf.DUMMYFUNCTION("SORT(UNIQUE(FILTER(FLATTEN(N3:W82),FLATTEN(N3:W82)&lt;&gt;"""")))"),"affordable air conditioning")</f>
        <v>affordable air conditioning</v>
      </c>
      <c r="Y3" s="4"/>
      <c r="Z3" s="4"/>
    </row>
    <row r="4">
      <c r="A4" s="13" t="s">
        <v>54</v>
      </c>
      <c r="B4" s="14" t="str">
        <f t="shared" ref="B4:K4" si="3">IF($A4="","",IF(OR(ISNUMBER(SEARCH(LOWER($A4),LOWER(B$1))),AND(RIGHT(LOWER($A4),1)="s",ISNUMBER(SEARCH(LEFT(LOWER($A4),LEN($A4)-1),LOWER(B$1))))),B$1,B$1&amp;" "&amp;$A4))</f>
        <v>air conditioning near me</v>
      </c>
      <c r="C4" s="14" t="str">
        <f t="shared" si="3"/>
        <v>air conditioning repair near me</v>
      </c>
      <c r="D4" s="14" t="str">
        <f t="shared" si="3"/>
        <v>aircon repair near me</v>
      </c>
      <c r="E4" s="14" t="str">
        <f t="shared" si="3"/>
        <v>aircon installation near me</v>
      </c>
      <c r="F4" s="14" t="str">
        <f t="shared" si="3"/>
        <v>aircon service near me</v>
      </c>
      <c r="G4" s="14" t="str">
        <f t="shared" si="3"/>
        <v>HVAC services near me</v>
      </c>
      <c r="H4" s="14" t="str">
        <f t="shared" si="3"/>
        <v>refrigeration repair near me</v>
      </c>
      <c r="I4" s="14" t="str">
        <f t="shared" si="3"/>
        <v>commercial refrigeration near me</v>
      </c>
      <c r="J4" s="14" t="str">
        <f t="shared" si="3"/>
        <v>fridge repair near me</v>
      </c>
      <c r="K4" s="14" t="str">
        <f t="shared" si="3"/>
        <v>cold room repair near me</v>
      </c>
      <c r="L4" s="16" t="str">
        <f>IFERROR(__xludf.DUMMYFUNCTION("""COMPUTED_VALUE"""),"air conditioning best")</f>
        <v>air conditioning best</v>
      </c>
      <c r="M4" s="17"/>
      <c r="N4" s="14" t="str">
        <f t="shared" ref="N4:W4" si="4">IF($A4="","",IF(OR(ISNUMBER(SEARCH(LOWER($A4),LOWER(N$1))),AND(RIGHT(LOWER($A4),1)="s",ISNUMBER(SEARCH(LEFT(LOWER($A4),LEN($A4)-1),LOWER(N$1))))),N$1,$A4&amp;" "&amp;N$1))</f>
        <v>near me air conditioning</v>
      </c>
      <c r="O4" s="14" t="str">
        <f t="shared" si="4"/>
        <v>near me air conditioning repair</v>
      </c>
      <c r="P4" s="14" t="str">
        <f t="shared" si="4"/>
        <v>near me aircon repair</v>
      </c>
      <c r="Q4" s="14" t="str">
        <f t="shared" si="4"/>
        <v>near me aircon installation</v>
      </c>
      <c r="R4" s="14" t="str">
        <f t="shared" si="4"/>
        <v>near me aircon service</v>
      </c>
      <c r="S4" s="14" t="str">
        <f t="shared" si="4"/>
        <v>near me HVAC services</v>
      </c>
      <c r="T4" s="14" t="str">
        <f t="shared" si="4"/>
        <v>near me refrigeration repair</v>
      </c>
      <c r="U4" s="14" t="str">
        <f t="shared" si="4"/>
        <v>near me commercial refrigeration</v>
      </c>
      <c r="V4" s="14" t="str">
        <f t="shared" si="4"/>
        <v>near me fridge repair</v>
      </c>
      <c r="W4" s="14" t="str">
        <f t="shared" si="4"/>
        <v>near me cold room repair</v>
      </c>
      <c r="X4" s="18" t="str">
        <f>IFERROR(__xludf.DUMMYFUNCTION("""COMPUTED_VALUE"""),"affordable air conditioning repair")</f>
        <v>affordable air conditioning repair</v>
      </c>
      <c r="Y4" s="4"/>
      <c r="Z4" s="4"/>
    </row>
    <row r="5">
      <c r="A5" s="13" t="s">
        <v>44</v>
      </c>
      <c r="B5" s="14" t="str">
        <f t="shared" ref="B5:K5" si="5">IF($A5="","",IF(OR(ISNUMBER(SEARCH(LOWER($A5),LOWER(B$1))),AND(RIGHT(LOWER($A5),1)="s",ISNUMBER(SEARCH(LEFT(LOWER($A5),LEN($A5)-1),LOWER(B$1))))),B$1,B$1&amp;" "&amp;$A5))</f>
        <v>air conditioning emergency</v>
      </c>
      <c r="C5" s="14" t="str">
        <f t="shared" si="5"/>
        <v>air conditioning repair emergency</v>
      </c>
      <c r="D5" s="14" t="str">
        <f t="shared" si="5"/>
        <v>aircon repair emergency</v>
      </c>
      <c r="E5" s="14" t="str">
        <f t="shared" si="5"/>
        <v>aircon installation emergency</v>
      </c>
      <c r="F5" s="14" t="str">
        <f t="shared" si="5"/>
        <v>aircon service emergency</v>
      </c>
      <c r="G5" s="14" t="str">
        <f t="shared" si="5"/>
        <v>HVAC services emergency</v>
      </c>
      <c r="H5" s="14" t="str">
        <f t="shared" si="5"/>
        <v>refrigeration repair emergency</v>
      </c>
      <c r="I5" s="14" t="str">
        <f t="shared" si="5"/>
        <v>commercial refrigeration emergency</v>
      </c>
      <c r="J5" s="14" t="str">
        <f t="shared" si="5"/>
        <v>fridge repair emergency</v>
      </c>
      <c r="K5" s="14" t="str">
        <f t="shared" si="5"/>
        <v>cold room repair emergency</v>
      </c>
      <c r="L5" s="16" t="str">
        <f>IFERROR(__xludf.DUMMYFUNCTION("""COMPUTED_VALUE"""),"air conditioning cape town")</f>
        <v>air conditioning cape town</v>
      </c>
      <c r="M5" s="17"/>
      <c r="N5" s="14" t="str">
        <f t="shared" ref="N5:W5" si="6">IF($A5="","",IF(OR(ISNUMBER(SEARCH(LOWER($A5),LOWER(N$1))),AND(RIGHT(LOWER($A5),1)="s",ISNUMBER(SEARCH(LEFT(LOWER($A5),LEN($A5)-1),LOWER(N$1))))),N$1,$A5&amp;" "&amp;N$1))</f>
        <v>emergency air conditioning</v>
      </c>
      <c r="O5" s="14" t="str">
        <f t="shared" si="6"/>
        <v>emergency air conditioning repair</v>
      </c>
      <c r="P5" s="14" t="str">
        <f t="shared" si="6"/>
        <v>emergency aircon repair</v>
      </c>
      <c r="Q5" s="14" t="str">
        <f t="shared" si="6"/>
        <v>emergency aircon installation</v>
      </c>
      <c r="R5" s="14" t="str">
        <f t="shared" si="6"/>
        <v>emergency aircon service</v>
      </c>
      <c r="S5" s="14" t="str">
        <f t="shared" si="6"/>
        <v>emergency HVAC services</v>
      </c>
      <c r="T5" s="14" t="str">
        <f t="shared" si="6"/>
        <v>emergency refrigeration repair</v>
      </c>
      <c r="U5" s="14" t="str">
        <f t="shared" si="6"/>
        <v>emergency commercial refrigeration</v>
      </c>
      <c r="V5" s="14" t="str">
        <f t="shared" si="6"/>
        <v>emergency fridge repair</v>
      </c>
      <c r="W5" s="14" t="str">
        <f t="shared" si="6"/>
        <v>emergency cold room repair</v>
      </c>
      <c r="X5" s="18" t="str">
        <f>IFERROR(__xludf.DUMMYFUNCTION("""COMPUTED_VALUE"""),"affordable aircon installation")</f>
        <v>affordable aircon installation</v>
      </c>
      <c r="Y5" s="4"/>
      <c r="Z5" s="4"/>
    </row>
    <row r="6">
      <c r="A6" s="13" t="s">
        <v>58</v>
      </c>
      <c r="B6" s="14" t="str">
        <f t="shared" ref="B6:K6" si="7">IF($A6="","",IF(OR(ISNUMBER(SEARCH(LOWER($A6),LOWER(B$1))),AND(RIGHT(LOWER($A6),1)="s",ISNUMBER(SEARCH(LEFT(LOWER($A6),LEN($A6)-1),LOWER(B$1))))),B$1,B$1&amp;" "&amp;$A6))</f>
        <v>air conditioning same day</v>
      </c>
      <c r="C6" s="14" t="str">
        <f t="shared" si="7"/>
        <v>air conditioning repair same day</v>
      </c>
      <c r="D6" s="14" t="str">
        <f t="shared" si="7"/>
        <v>aircon repair same day</v>
      </c>
      <c r="E6" s="14" t="str">
        <f t="shared" si="7"/>
        <v>aircon installation same day</v>
      </c>
      <c r="F6" s="14" t="str">
        <f t="shared" si="7"/>
        <v>aircon service same day</v>
      </c>
      <c r="G6" s="14" t="str">
        <f t="shared" si="7"/>
        <v>HVAC services same day</v>
      </c>
      <c r="H6" s="14" t="str">
        <f t="shared" si="7"/>
        <v>refrigeration repair same day</v>
      </c>
      <c r="I6" s="14" t="str">
        <f t="shared" si="7"/>
        <v>commercial refrigeration same day</v>
      </c>
      <c r="J6" s="14" t="str">
        <f t="shared" si="7"/>
        <v>fridge repair same day</v>
      </c>
      <c r="K6" s="14" t="str">
        <f t="shared" si="7"/>
        <v>cold room repair same day</v>
      </c>
      <c r="L6" s="16" t="str">
        <f>IFERROR(__xludf.DUMMYFUNCTION("""COMPUTED_VALUE"""),"air conditioning commercial")</f>
        <v>air conditioning commercial</v>
      </c>
      <c r="M6" s="17"/>
      <c r="N6" s="14" t="str">
        <f t="shared" ref="N6:W6" si="8">IF($A6="","",IF(OR(ISNUMBER(SEARCH(LOWER($A6),LOWER(N$1))),AND(RIGHT(LOWER($A6),1)="s",ISNUMBER(SEARCH(LEFT(LOWER($A6),LEN($A6)-1),LOWER(N$1))))),N$1,$A6&amp;" "&amp;N$1))</f>
        <v>same day air conditioning</v>
      </c>
      <c r="O6" s="14" t="str">
        <f t="shared" si="8"/>
        <v>same day air conditioning repair</v>
      </c>
      <c r="P6" s="14" t="str">
        <f t="shared" si="8"/>
        <v>same day aircon repair</v>
      </c>
      <c r="Q6" s="14" t="str">
        <f t="shared" si="8"/>
        <v>same day aircon installation</v>
      </c>
      <c r="R6" s="14" t="str">
        <f t="shared" si="8"/>
        <v>same day aircon service</v>
      </c>
      <c r="S6" s="14" t="str">
        <f t="shared" si="8"/>
        <v>same day HVAC services</v>
      </c>
      <c r="T6" s="14" t="str">
        <f t="shared" si="8"/>
        <v>same day refrigeration repair</v>
      </c>
      <c r="U6" s="14" t="str">
        <f t="shared" si="8"/>
        <v>same day commercial refrigeration</v>
      </c>
      <c r="V6" s="14" t="str">
        <f t="shared" si="8"/>
        <v>same day fridge repair</v>
      </c>
      <c r="W6" s="14" t="str">
        <f t="shared" si="8"/>
        <v>same day cold room repair</v>
      </c>
      <c r="X6" s="18" t="str">
        <f>IFERROR(__xludf.DUMMYFUNCTION("""COMPUTED_VALUE"""),"affordable aircon repair")</f>
        <v>affordable aircon repair</v>
      </c>
      <c r="Y6" s="4"/>
      <c r="Z6" s="4"/>
    </row>
    <row r="7">
      <c r="A7" s="13" t="s">
        <v>87</v>
      </c>
      <c r="B7" s="14" t="str">
        <f t="shared" ref="B7:K7" si="9">IF($A7="","",IF(OR(ISNUMBER(SEARCH(LOWER($A7),LOWER(B$1))),AND(RIGHT(LOWER($A7),1)="s",ISNUMBER(SEARCH(LEFT(LOWER($A7),LEN($A7)-1),LOWER(B$1))))),B$1,B$1&amp;" "&amp;$A7))</f>
        <v>air conditioning service</v>
      </c>
      <c r="C7" s="14" t="str">
        <f t="shared" si="9"/>
        <v>air conditioning repair service</v>
      </c>
      <c r="D7" s="14" t="str">
        <f t="shared" si="9"/>
        <v>aircon repair service</v>
      </c>
      <c r="E7" s="14" t="str">
        <f t="shared" si="9"/>
        <v>aircon installation service</v>
      </c>
      <c r="F7" s="14" t="str">
        <f t="shared" si="9"/>
        <v>aircon service</v>
      </c>
      <c r="G7" s="14" t="str">
        <f t="shared" si="9"/>
        <v>HVAC services</v>
      </c>
      <c r="H7" s="14" t="str">
        <f t="shared" si="9"/>
        <v>refrigeration repair service</v>
      </c>
      <c r="I7" s="14" t="str">
        <f t="shared" si="9"/>
        <v>commercial refrigeration service</v>
      </c>
      <c r="J7" s="14" t="str">
        <f t="shared" si="9"/>
        <v>fridge repair service</v>
      </c>
      <c r="K7" s="14" t="str">
        <f t="shared" si="9"/>
        <v>cold room repair service</v>
      </c>
      <c r="L7" s="16" t="str">
        <f>IFERROR(__xludf.DUMMYFUNCTION("""COMPUTED_VALUE"""),"air conditioning company")</f>
        <v>air conditioning company</v>
      </c>
      <c r="M7" s="17"/>
      <c r="N7" s="14" t="str">
        <f t="shared" ref="N7:W7" si="10">IF($A7="","",IF(OR(ISNUMBER(SEARCH(LOWER($A7),LOWER(N$1))),AND(RIGHT(LOWER($A7),1)="s",ISNUMBER(SEARCH(LEFT(LOWER($A7),LEN($A7)-1),LOWER(N$1))))),N$1,$A7&amp;" "&amp;N$1))</f>
        <v>service air conditioning</v>
      </c>
      <c r="O7" s="14" t="str">
        <f t="shared" si="10"/>
        <v>service air conditioning repair</v>
      </c>
      <c r="P7" s="14" t="str">
        <f t="shared" si="10"/>
        <v>service aircon repair</v>
      </c>
      <c r="Q7" s="14" t="str">
        <f t="shared" si="10"/>
        <v>service aircon installation</v>
      </c>
      <c r="R7" s="14" t="str">
        <f t="shared" si="10"/>
        <v>aircon service</v>
      </c>
      <c r="S7" s="14" t="str">
        <f t="shared" si="10"/>
        <v>HVAC services</v>
      </c>
      <c r="T7" s="14" t="str">
        <f t="shared" si="10"/>
        <v>service refrigeration repair</v>
      </c>
      <c r="U7" s="14" t="str">
        <f t="shared" si="10"/>
        <v>service commercial refrigeration</v>
      </c>
      <c r="V7" s="14" t="str">
        <f t="shared" si="10"/>
        <v>service fridge repair</v>
      </c>
      <c r="W7" s="14" t="str">
        <f t="shared" si="10"/>
        <v>service cold room repair</v>
      </c>
      <c r="X7" s="18" t="str">
        <f>IFERROR(__xludf.DUMMYFUNCTION("""COMPUTED_VALUE"""),"affordable aircon service")</f>
        <v>affordable aircon service</v>
      </c>
      <c r="Y7" s="4"/>
      <c r="Z7" s="4"/>
    </row>
    <row r="8">
      <c r="A8" s="13" t="s">
        <v>82</v>
      </c>
      <c r="B8" s="14" t="str">
        <f t="shared" ref="B8:K8" si="11">IF($A8="","",IF(OR(ISNUMBER(SEARCH(LOWER($A8),LOWER(B$1))),AND(RIGHT(LOWER($A8),1)="s",ISNUMBER(SEARCH(LEFT(LOWER($A8),LEN($A8)-1),LOWER(B$1))))),B$1,B$1&amp;" "&amp;$A8))</f>
        <v>air conditioning repair</v>
      </c>
      <c r="C8" s="14" t="str">
        <f t="shared" si="11"/>
        <v>air conditioning repair</v>
      </c>
      <c r="D8" s="14" t="str">
        <f t="shared" si="11"/>
        <v>aircon repair</v>
      </c>
      <c r="E8" s="14" t="str">
        <f t="shared" si="11"/>
        <v>aircon installation repair</v>
      </c>
      <c r="F8" s="14" t="str">
        <f t="shared" si="11"/>
        <v>aircon service repair</v>
      </c>
      <c r="G8" s="14" t="str">
        <f t="shared" si="11"/>
        <v>HVAC services repair</v>
      </c>
      <c r="H8" s="14" t="str">
        <f t="shared" si="11"/>
        <v>refrigeration repair</v>
      </c>
      <c r="I8" s="14" t="str">
        <f t="shared" si="11"/>
        <v>commercial refrigeration repair</v>
      </c>
      <c r="J8" s="14" t="str">
        <f t="shared" si="11"/>
        <v>fridge repair</v>
      </c>
      <c r="K8" s="14" t="str">
        <f t="shared" si="11"/>
        <v>cold room repair</v>
      </c>
      <c r="L8" s="16" t="str">
        <f>IFERROR(__xludf.DUMMYFUNCTION("""COMPUTED_VALUE"""),"air conditioning contractor")</f>
        <v>air conditioning contractor</v>
      </c>
      <c r="M8" s="17"/>
      <c r="N8" s="14" t="str">
        <f t="shared" ref="N8:W8" si="12">IF($A8="","",IF(OR(ISNUMBER(SEARCH(LOWER($A8),LOWER(N$1))),AND(RIGHT(LOWER($A8),1)="s",ISNUMBER(SEARCH(LEFT(LOWER($A8),LEN($A8)-1),LOWER(N$1))))),N$1,$A8&amp;" "&amp;N$1))</f>
        <v>repair air conditioning</v>
      </c>
      <c r="O8" s="14" t="str">
        <f t="shared" si="12"/>
        <v>air conditioning repair</v>
      </c>
      <c r="P8" s="14" t="str">
        <f t="shared" si="12"/>
        <v>aircon repair</v>
      </c>
      <c r="Q8" s="14" t="str">
        <f t="shared" si="12"/>
        <v>repair aircon installation</v>
      </c>
      <c r="R8" s="14" t="str">
        <f t="shared" si="12"/>
        <v>repair aircon service</v>
      </c>
      <c r="S8" s="14" t="str">
        <f t="shared" si="12"/>
        <v>repair HVAC services</v>
      </c>
      <c r="T8" s="14" t="str">
        <f t="shared" si="12"/>
        <v>refrigeration repair</v>
      </c>
      <c r="U8" s="14" t="str">
        <f t="shared" si="12"/>
        <v>repair commercial refrigeration</v>
      </c>
      <c r="V8" s="14" t="str">
        <f t="shared" si="12"/>
        <v>fridge repair</v>
      </c>
      <c r="W8" s="14" t="str">
        <f t="shared" si="12"/>
        <v>cold room repair</v>
      </c>
      <c r="X8" s="18" t="str">
        <f>IFERROR(__xludf.DUMMYFUNCTION("""COMPUTED_VALUE"""),"affordable cold room repair")</f>
        <v>affordable cold room repair</v>
      </c>
      <c r="Y8" s="4"/>
      <c r="Z8" s="4"/>
    </row>
    <row r="9">
      <c r="A9" s="13" t="s">
        <v>84</v>
      </c>
      <c r="B9" s="14" t="str">
        <f t="shared" ref="B9:K9" si="13">IF($A9="","",IF(OR(ISNUMBER(SEARCH(LOWER($A9),LOWER(B$1))),AND(RIGHT(LOWER($A9),1)="s",ISNUMBER(SEARCH(LEFT(LOWER($A9),LEN($A9)-1),LOWER(B$1))))),B$1,B$1&amp;" "&amp;$A9))</f>
        <v>air conditioning installation</v>
      </c>
      <c r="C9" s="14" t="str">
        <f t="shared" si="13"/>
        <v>air conditioning repair installation</v>
      </c>
      <c r="D9" s="14" t="str">
        <f t="shared" si="13"/>
        <v>aircon repair installation</v>
      </c>
      <c r="E9" s="14" t="str">
        <f t="shared" si="13"/>
        <v>aircon installation</v>
      </c>
      <c r="F9" s="14" t="str">
        <f t="shared" si="13"/>
        <v>aircon service installation</v>
      </c>
      <c r="G9" s="14" t="str">
        <f t="shared" si="13"/>
        <v>HVAC services installation</v>
      </c>
      <c r="H9" s="14" t="str">
        <f t="shared" si="13"/>
        <v>refrigeration repair installation</v>
      </c>
      <c r="I9" s="14" t="str">
        <f t="shared" si="13"/>
        <v>commercial refrigeration installation</v>
      </c>
      <c r="J9" s="14" t="str">
        <f t="shared" si="13"/>
        <v>fridge repair installation</v>
      </c>
      <c r="K9" s="14" t="str">
        <f t="shared" si="13"/>
        <v>cold room repair installation</v>
      </c>
      <c r="L9" s="16" t="str">
        <f>IFERROR(__xludf.DUMMYFUNCTION("""COMPUTED_VALUE"""),"air conditioning cost")</f>
        <v>air conditioning cost</v>
      </c>
      <c r="M9" s="17"/>
      <c r="N9" s="14" t="str">
        <f t="shared" ref="N9:W9" si="14">IF($A9="","",IF(OR(ISNUMBER(SEARCH(LOWER($A9),LOWER(N$1))),AND(RIGHT(LOWER($A9),1)="s",ISNUMBER(SEARCH(LEFT(LOWER($A9),LEN($A9)-1),LOWER(N$1))))),N$1,$A9&amp;" "&amp;N$1))</f>
        <v>installation air conditioning</v>
      </c>
      <c r="O9" s="14" t="str">
        <f t="shared" si="14"/>
        <v>installation air conditioning repair</v>
      </c>
      <c r="P9" s="14" t="str">
        <f t="shared" si="14"/>
        <v>installation aircon repair</v>
      </c>
      <c r="Q9" s="14" t="str">
        <f t="shared" si="14"/>
        <v>aircon installation</v>
      </c>
      <c r="R9" s="14" t="str">
        <f t="shared" si="14"/>
        <v>installation aircon service</v>
      </c>
      <c r="S9" s="14" t="str">
        <f t="shared" si="14"/>
        <v>installation HVAC services</v>
      </c>
      <c r="T9" s="14" t="str">
        <f t="shared" si="14"/>
        <v>installation refrigeration repair</v>
      </c>
      <c r="U9" s="14" t="str">
        <f t="shared" si="14"/>
        <v>installation commercial refrigeration</v>
      </c>
      <c r="V9" s="14" t="str">
        <f t="shared" si="14"/>
        <v>installation fridge repair</v>
      </c>
      <c r="W9" s="14" t="str">
        <f t="shared" si="14"/>
        <v>installation cold room repair</v>
      </c>
      <c r="X9" s="18" t="str">
        <f>IFERROR(__xludf.DUMMYFUNCTION("""COMPUTED_VALUE"""),"affordable commercial refrigeration")</f>
        <v>affordable commercial refrigeration</v>
      </c>
      <c r="Y9" s="4"/>
      <c r="Z9" s="4"/>
    </row>
    <row r="10">
      <c r="A10" s="13" t="s">
        <v>80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air conditioning maintenance</v>
      </c>
      <c r="C10" s="14" t="str">
        <f t="shared" si="15"/>
        <v>air conditioning repair maintenance</v>
      </c>
      <c r="D10" s="14" t="str">
        <f t="shared" si="15"/>
        <v>aircon repair maintenance</v>
      </c>
      <c r="E10" s="14" t="str">
        <f t="shared" si="15"/>
        <v>aircon installation maintenance</v>
      </c>
      <c r="F10" s="14" t="str">
        <f t="shared" si="15"/>
        <v>aircon service maintenance</v>
      </c>
      <c r="G10" s="14" t="str">
        <f t="shared" si="15"/>
        <v>HVAC services maintenance</v>
      </c>
      <c r="H10" s="14" t="str">
        <f t="shared" si="15"/>
        <v>refrigeration repair maintenance</v>
      </c>
      <c r="I10" s="14" t="str">
        <f t="shared" si="15"/>
        <v>commercial refrigeration maintenance</v>
      </c>
      <c r="J10" s="14" t="str">
        <f t="shared" si="15"/>
        <v>fridge repair maintenance</v>
      </c>
      <c r="K10" s="14" t="str">
        <f t="shared" si="15"/>
        <v>cold room repair maintenance</v>
      </c>
      <c r="L10" s="16" t="str">
        <f>IFERROR(__xludf.DUMMYFUNCTION("""COMPUTED_VALUE"""),"air conditioning emergency")</f>
        <v>air conditioning emergency</v>
      </c>
      <c r="M10" s="17"/>
      <c r="N10" s="14" t="str">
        <f t="shared" ref="N10:W10" si="16">IF($A10="","",IF(OR(ISNUMBER(SEARCH(LOWER($A10),LOWER(N$1))),AND(RIGHT(LOWER($A10),1)="s",ISNUMBER(SEARCH(LEFT(LOWER($A10),LEN($A10)-1),LOWER(N$1))))),N$1,$A10&amp;" "&amp;N$1))</f>
        <v>maintenance air conditioning</v>
      </c>
      <c r="O10" s="14" t="str">
        <f t="shared" si="16"/>
        <v>maintenance air conditioning repair</v>
      </c>
      <c r="P10" s="14" t="str">
        <f t="shared" si="16"/>
        <v>maintenance aircon repair</v>
      </c>
      <c r="Q10" s="14" t="str">
        <f t="shared" si="16"/>
        <v>maintenance aircon installation</v>
      </c>
      <c r="R10" s="14" t="str">
        <f t="shared" si="16"/>
        <v>maintenance aircon service</v>
      </c>
      <c r="S10" s="14" t="str">
        <f t="shared" si="16"/>
        <v>maintenance HVAC services</v>
      </c>
      <c r="T10" s="14" t="str">
        <f t="shared" si="16"/>
        <v>maintenance refrigeration repair</v>
      </c>
      <c r="U10" s="14" t="str">
        <f t="shared" si="16"/>
        <v>maintenance commercial refrigeration</v>
      </c>
      <c r="V10" s="14" t="str">
        <f t="shared" si="16"/>
        <v>maintenance fridge repair</v>
      </c>
      <c r="W10" s="14" t="str">
        <f t="shared" si="16"/>
        <v>maintenance cold room repair</v>
      </c>
      <c r="X10" s="18" t="str">
        <f>IFERROR(__xludf.DUMMYFUNCTION("""COMPUTED_VALUE"""),"affordable fridge repair")</f>
        <v>affordable fridge repair</v>
      </c>
      <c r="Y10" s="4"/>
      <c r="Z10" s="4"/>
    </row>
    <row r="11">
      <c r="A11" s="13" t="s">
        <v>92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air conditioning company</v>
      </c>
      <c r="C11" s="14" t="str">
        <f t="shared" si="17"/>
        <v>air conditioning repair company</v>
      </c>
      <c r="D11" s="14" t="str">
        <f t="shared" si="17"/>
        <v>aircon repair company</v>
      </c>
      <c r="E11" s="14" t="str">
        <f t="shared" si="17"/>
        <v>aircon installation company</v>
      </c>
      <c r="F11" s="14" t="str">
        <f t="shared" si="17"/>
        <v>aircon service company</v>
      </c>
      <c r="G11" s="14" t="str">
        <f t="shared" si="17"/>
        <v>HVAC services company</v>
      </c>
      <c r="H11" s="14" t="str">
        <f t="shared" si="17"/>
        <v>refrigeration repair company</v>
      </c>
      <c r="I11" s="14" t="str">
        <f t="shared" si="17"/>
        <v>commercial refrigeration company</v>
      </c>
      <c r="J11" s="14" t="str">
        <f t="shared" si="17"/>
        <v>fridge repair company</v>
      </c>
      <c r="K11" s="14" t="str">
        <f t="shared" si="17"/>
        <v>cold room repair company</v>
      </c>
      <c r="L11" s="16" t="str">
        <f>IFERROR(__xludf.DUMMYFUNCTION("""COMPUTED_VALUE"""),"air conditioning installation")</f>
        <v>air conditioning installation</v>
      </c>
      <c r="M11" s="17"/>
      <c r="N11" s="14" t="str">
        <f t="shared" ref="N11:W11" si="18">IF($A11="","",IF(OR(ISNUMBER(SEARCH(LOWER($A11),LOWER(N$1))),AND(RIGHT(LOWER($A11),1)="s",ISNUMBER(SEARCH(LEFT(LOWER($A11),LEN($A11)-1),LOWER(N$1))))),N$1,$A11&amp;" "&amp;N$1))</f>
        <v>company air conditioning</v>
      </c>
      <c r="O11" s="14" t="str">
        <f t="shared" si="18"/>
        <v>company air conditioning repair</v>
      </c>
      <c r="P11" s="14" t="str">
        <f t="shared" si="18"/>
        <v>company aircon repair</v>
      </c>
      <c r="Q11" s="14" t="str">
        <f t="shared" si="18"/>
        <v>company aircon installation</v>
      </c>
      <c r="R11" s="14" t="str">
        <f t="shared" si="18"/>
        <v>company aircon service</v>
      </c>
      <c r="S11" s="14" t="str">
        <f t="shared" si="18"/>
        <v>company HVAC services</v>
      </c>
      <c r="T11" s="14" t="str">
        <f t="shared" si="18"/>
        <v>company refrigeration repair</v>
      </c>
      <c r="U11" s="14" t="str">
        <f t="shared" si="18"/>
        <v>company commercial refrigeration</v>
      </c>
      <c r="V11" s="14" t="str">
        <f t="shared" si="18"/>
        <v>company fridge repair</v>
      </c>
      <c r="W11" s="14" t="str">
        <f t="shared" si="18"/>
        <v>company cold room repair</v>
      </c>
      <c r="X11" s="18" t="str">
        <f>IFERROR(__xludf.DUMMYFUNCTION("""COMPUTED_VALUE"""),"affordable HVAC services")</f>
        <v>affordable HVAC services</v>
      </c>
      <c r="Y11" s="4"/>
      <c r="Z11" s="4"/>
    </row>
    <row r="12">
      <c r="A12" s="13" t="s">
        <v>90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air conditioning contractor</v>
      </c>
      <c r="C12" s="14" t="str">
        <f t="shared" si="19"/>
        <v>air conditioning repair contractor</v>
      </c>
      <c r="D12" s="14" t="str">
        <f t="shared" si="19"/>
        <v>aircon repair contractor</v>
      </c>
      <c r="E12" s="14" t="str">
        <f t="shared" si="19"/>
        <v>aircon installation contractor</v>
      </c>
      <c r="F12" s="14" t="str">
        <f t="shared" si="19"/>
        <v>aircon service contractor</v>
      </c>
      <c r="G12" s="14" t="str">
        <f t="shared" si="19"/>
        <v>HVAC services contractor</v>
      </c>
      <c r="H12" s="14" t="str">
        <f t="shared" si="19"/>
        <v>refrigeration repair contractor</v>
      </c>
      <c r="I12" s="14" t="str">
        <f t="shared" si="19"/>
        <v>commercial refrigeration contractor</v>
      </c>
      <c r="J12" s="14" t="str">
        <f t="shared" si="19"/>
        <v>fridge repair contractor</v>
      </c>
      <c r="K12" s="14" t="str">
        <f t="shared" si="19"/>
        <v>cold room repair contractor</v>
      </c>
      <c r="L12" s="16" t="str">
        <f>IFERROR(__xludf.DUMMYFUNCTION("""COMPUTED_VALUE"""),"air conditioning local")</f>
        <v>air conditioning local</v>
      </c>
      <c r="M12" s="17"/>
      <c r="N12" s="14" t="str">
        <f t="shared" ref="N12:W12" si="20">IF($A12="","",IF(OR(ISNUMBER(SEARCH(LOWER($A12),LOWER(N$1))),AND(RIGHT(LOWER($A12),1)="s",ISNUMBER(SEARCH(LEFT(LOWER($A12),LEN($A12)-1),LOWER(N$1))))),N$1,$A12&amp;" "&amp;N$1))</f>
        <v>contractor air conditioning</v>
      </c>
      <c r="O12" s="14" t="str">
        <f t="shared" si="20"/>
        <v>contractor air conditioning repair</v>
      </c>
      <c r="P12" s="14" t="str">
        <f t="shared" si="20"/>
        <v>contractor aircon repair</v>
      </c>
      <c r="Q12" s="14" t="str">
        <f t="shared" si="20"/>
        <v>contractor aircon installation</v>
      </c>
      <c r="R12" s="14" t="str">
        <f t="shared" si="20"/>
        <v>contractor aircon service</v>
      </c>
      <c r="S12" s="14" t="str">
        <f t="shared" si="20"/>
        <v>contractor HVAC services</v>
      </c>
      <c r="T12" s="14" t="str">
        <f t="shared" si="20"/>
        <v>contractor refrigeration repair</v>
      </c>
      <c r="U12" s="14" t="str">
        <f t="shared" si="20"/>
        <v>contractor commercial refrigeration</v>
      </c>
      <c r="V12" s="14" t="str">
        <f t="shared" si="20"/>
        <v>contractor fridge repair</v>
      </c>
      <c r="W12" s="14" t="str">
        <f t="shared" si="20"/>
        <v>contractor cold room repair</v>
      </c>
      <c r="X12" s="18" t="str">
        <f>IFERROR(__xludf.DUMMYFUNCTION("""COMPUTED_VALUE"""),"affordable refrigeration repair")</f>
        <v>affordable refrigeration repair</v>
      </c>
      <c r="Y12" s="4"/>
      <c r="Z12" s="4"/>
    </row>
    <row r="13">
      <c r="A13" s="13" t="s">
        <v>151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air conditioning technician</v>
      </c>
      <c r="C13" s="14" t="str">
        <f t="shared" si="21"/>
        <v>air conditioning repair technician</v>
      </c>
      <c r="D13" s="14" t="str">
        <f t="shared" si="21"/>
        <v>aircon repair technician</v>
      </c>
      <c r="E13" s="14" t="str">
        <f t="shared" si="21"/>
        <v>aircon installation technician</v>
      </c>
      <c r="F13" s="14" t="str">
        <f t="shared" si="21"/>
        <v>aircon service technician</v>
      </c>
      <c r="G13" s="14" t="str">
        <f t="shared" si="21"/>
        <v>HVAC services technician</v>
      </c>
      <c r="H13" s="14" t="str">
        <f t="shared" si="21"/>
        <v>refrigeration repair technician</v>
      </c>
      <c r="I13" s="14" t="str">
        <f t="shared" si="21"/>
        <v>commercial refrigeration technician</v>
      </c>
      <c r="J13" s="14" t="str">
        <f t="shared" si="21"/>
        <v>fridge repair technician</v>
      </c>
      <c r="K13" s="14" t="str">
        <f t="shared" si="21"/>
        <v>cold room repair technician</v>
      </c>
      <c r="L13" s="16" t="str">
        <f>IFERROR(__xludf.DUMMYFUNCTION("""COMPUTED_VALUE"""),"air conditioning maintenance")</f>
        <v>air conditioning maintenance</v>
      </c>
      <c r="M13" s="17"/>
      <c r="N13" s="14" t="str">
        <f t="shared" ref="N13:W13" si="22">IF($A13="","",IF(OR(ISNUMBER(SEARCH(LOWER($A13),LOWER(N$1))),AND(RIGHT(LOWER($A13),1)="s",ISNUMBER(SEARCH(LEFT(LOWER($A13),LEN($A13)-1),LOWER(N$1))))),N$1,$A13&amp;" "&amp;N$1))</f>
        <v>technician air conditioning</v>
      </c>
      <c r="O13" s="14" t="str">
        <f t="shared" si="22"/>
        <v>technician air conditioning repair</v>
      </c>
      <c r="P13" s="14" t="str">
        <f t="shared" si="22"/>
        <v>technician aircon repair</v>
      </c>
      <c r="Q13" s="14" t="str">
        <f t="shared" si="22"/>
        <v>technician aircon installation</v>
      </c>
      <c r="R13" s="14" t="str">
        <f t="shared" si="22"/>
        <v>technician aircon service</v>
      </c>
      <c r="S13" s="14" t="str">
        <f t="shared" si="22"/>
        <v>technician HVAC services</v>
      </c>
      <c r="T13" s="14" t="str">
        <f t="shared" si="22"/>
        <v>technician refrigeration repair</v>
      </c>
      <c r="U13" s="14" t="str">
        <f t="shared" si="22"/>
        <v>technician commercial refrigeration</v>
      </c>
      <c r="V13" s="14" t="str">
        <f t="shared" si="22"/>
        <v>technician fridge repair</v>
      </c>
      <c r="W13" s="14" t="str">
        <f t="shared" si="22"/>
        <v>technician cold room repair</v>
      </c>
      <c r="X13" s="18" t="str">
        <f>IFERROR(__xludf.DUMMYFUNCTION("""COMPUTED_VALUE"""),"air conditioning repair")</f>
        <v>air conditioning repair</v>
      </c>
      <c r="Y13" s="4"/>
      <c r="Z13" s="4"/>
    </row>
    <row r="14">
      <c r="A14" s="13" t="s">
        <v>71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air conditioning cost</v>
      </c>
      <c r="C14" s="14" t="str">
        <f t="shared" si="23"/>
        <v>air conditioning repair cost</v>
      </c>
      <c r="D14" s="14" t="str">
        <f t="shared" si="23"/>
        <v>aircon repair cost</v>
      </c>
      <c r="E14" s="14" t="str">
        <f t="shared" si="23"/>
        <v>aircon installation cost</v>
      </c>
      <c r="F14" s="14" t="str">
        <f t="shared" si="23"/>
        <v>aircon service cost</v>
      </c>
      <c r="G14" s="14" t="str">
        <f t="shared" si="23"/>
        <v>HVAC services cost</v>
      </c>
      <c r="H14" s="14" t="str">
        <f t="shared" si="23"/>
        <v>refrigeration repair cost</v>
      </c>
      <c r="I14" s="14" t="str">
        <f t="shared" si="23"/>
        <v>commercial refrigeration cost</v>
      </c>
      <c r="J14" s="14" t="str">
        <f t="shared" si="23"/>
        <v>fridge repair cost</v>
      </c>
      <c r="K14" s="14" t="str">
        <f t="shared" si="23"/>
        <v>cold room repair cost</v>
      </c>
      <c r="L14" s="16" t="str">
        <f>IFERROR(__xludf.DUMMYFUNCTION("""COMPUTED_VALUE"""),"air conditioning near me")</f>
        <v>air conditioning near me</v>
      </c>
      <c r="M14" s="17"/>
      <c r="N14" s="14" t="str">
        <f t="shared" ref="N14:W14" si="24">IF($A14="","",IF(OR(ISNUMBER(SEARCH(LOWER($A14),LOWER(N$1))),AND(RIGHT(LOWER($A14),1)="s",ISNUMBER(SEARCH(LEFT(LOWER($A14),LEN($A14)-1),LOWER(N$1))))),N$1,$A14&amp;" "&amp;N$1))</f>
        <v>cost air conditioning</v>
      </c>
      <c r="O14" s="14" t="str">
        <f t="shared" si="24"/>
        <v>cost air conditioning repair</v>
      </c>
      <c r="P14" s="14" t="str">
        <f t="shared" si="24"/>
        <v>cost aircon repair</v>
      </c>
      <c r="Q14" s="14" t="str">
        <f t="shared" si="24"/>
        <v>cost aircon installation</v>
      </c>
      <c r="R14" s="14" t="str">
        <f t="shared" si="24"/>
        <v>cost aircon service</v>
      </c>
      <c r="S14" s="14" t="str">
        <f t="shared" si="24"/>
        <v>cost HVAC services</v>
      </c>
      <c r="T14" s="14" t="str">
        <f t="shared" si="24"/>
        <v>cost refrigeration repair</v>
      </c>
      <c r="U14" s="14" t="str">
        <f t="shared" si="24"/>
        <v>cost commercial refrigeration</v>
      </c>
      <c r="V14" s="14" t="str">
        <f t="shared" si="24"/>
        <v>cost fridge repair</v>
      </c>
      <c r="W14" s="14" t="str">
        <f t="shared" si="24"/>
        <v>cost cold room repair</v>
      </c>
      <c r="X14" s="18" t="str">
        <f>IFERROR(__xludf.DUMMYFUNCTION("""COMPUTED_VALUE"""),"aircon installation")</f>
        <v>aircon installation</v>
      </c>
      <c r="Y14" s="4"/>
      <c r="Z14" s="4"/>
    </row>
    <row r="15">
      <c r="A15" s="13" t="s">
        <v>74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air conditioning quote</v>
      </c>
      <c r="C15" s="14" t="str">
        <f t="shared" si="25"/>
        <v>air conditioning repair quote</v>
      </c>
      <c r="D15" s="14" t="str">
        <f t="shared" si="25"/>
        <v>aircon repair quote</v>
      </c>
      <c r="E15" s="14" t="str">
        <f t="shared" si="25"/>
        <v>aircon installation quote</v>
      </c>
      <c r="F15" s="14" t="str">
        <f t="shared" si="25"/>
        <v>aircon service quote</v>
      </c>
      <c r="G15" s="14" t="str">
        <f t="shared" si="25"/>
        <v>HVAC services quote</v>
      </c>
      <c r="H15" s="14" t="str">
        <f t="shared" si="25"/>
        <v>refrigeration repair quote</v>
      </c>
      <c r="I15" s="14" t="str">
        <f t="shared" si="25"/>
        <v>commercial refrigeration quote</v>
      </c>
      <c r="J15" s="14" t="str">
        <f t="shared" si="25"/>
        <v>fridge repair quote</v>
      </c>
      <c r="K15" s="14" t="str">
        <f t="shared" si="25"/>
        <v>cold room repair quote</v>
      </c>
      <c r="L15" s="16" t="str">
        <f>IFERROR(__xludf.DUMMYFUNCTION("""COMPUTED_VALUE"""),"air conditioning professional")</f>
        <v>air conditioning professional</v>
      </c>
      <c r="M15" s="17"/>
      <c r="N15" s="14" t="str">
        <f t="shared" ref="N15:W15" si="26">IF($A15="","",IF(OR(ISNUMBER(SEARCH(LOWER($A15),LOWER(N$1))),AND(RIGHT(LOWER($A15),1)="s",ISNUMBER(SEARCH(LEFT(LOWER($A15),LEN($A15)-1),LOWER(N$1))))),N$1,$A15&amp;" "&amp;N$1))</f>
        <v>quote air conditioning</v>
      </c>
      <c r="O15" s="14" t="str">
        <f t="shared" si="26"/>
        <v>quote air conditioning repair</v>
      </c>
      <c r="P15" s="14" t="str">
        <f t="shared" si="26"/>
        <v>quote aircon repair</v>
      </c>
      <c r="Q15" s="14" t="str">
        <f t="shared" si="26"/>
        <v>quote aircon installation</v>
      </c>
      <c r="R15" s="14" t="str">
        <f t="shared" si="26"/>
        <v>quote aircon service</v>
      </c>
      <c r="S15" s="14" t="str">
        <f t="shared" si="26"/>
        <v>quote HVAC services</v>
      </c>
      <c r="T15" s="14" t="str">
        <f t="shared" si="26"/>
        <v>quote refrigeration repair</v>
      </c>
      <c r="U15" s="14" t="str">
        <f t="shared" si="26"/>
        <v>quote commercial refrigeration</v>
      </c>
      <c r="V15" s="14" t="str">
        <f t="shared" si="26"/>
        <v>quote fridge repair</v>
      </c>
      <c r="W15" s="14" t="str">
        <f t="shared" si="26"/>
        <v>quote cold room repair</v>
      </c>
      <c r="X15" s="18" t="str">
        <f>IFERROR(__xludf.DUMMYFUNCTION("""COMPUTED_VALUE"""),"aircon repair")</f>
        <v>aircon repair</v>
      </c>
      <c r="Y15" s="4"/>
      <c r="Z15" s="4"/>
    </row>
    <row r="16">
      <c r="A16" s="13" t="s">
        <v>85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air conditioning residential</v>
      </c>
      <c r="C16" s="14" t="str">
        <f t="shared" si="27"/>
        <v>air conditioning repair residential</v>
      </c>
      <c r="D16" s="14" t="str">
        <f t="shared" si="27"/>
        <v>aircon repair residential</v>
      </c>
      <c r="E16" s="14" t="str">
        <f t="shared" si="27"/>
        <v>aircon installation residential</v>
      </c>
      <c r="F16" s="14" t="str">
        <f t="shared" si="27"/>
        <v>aircon service residential</v>
      </c>
      <c r="G16" s="14" t="str">
        <f t="shared" si="27"/>
        <v>HVAC services residential</v>
      </c>
      <c r="H16" s="14" t="str">
        <f t="shared" si="27"/>
        <v>refrigeration repair residential</v>
      </c>
      <c r="I16" s="14" t="str">
        <f t="shared" si="27"/>
        <v>commercial refrigeration residential</v>
      </c>
      <c r="J16" s="14" t="str">
        <f t="shared" si="27"/>
        <v>fridge repair residential</v>
      </c>
      <c r="K16" s="14" t="str">
        <f t="shared" si="27"/>
        <v>cold room repair residential</v>
      </c>
      <c r="L16" s="16" t="str">
        <f>IFERROR(__xludf.DUMMYFUNCTION("""COMPUTED_VALUE"""),"air conditioning quote")</f>
        <v>air conditioning quote</v>
      </c>
      <c r="M16" s="17"/>
      <c r="N16" s="14" t="str">
        <f t="shared" ref="N16:W16" si="28">IF($A16="","",IF(OR(ISNUMBER(SEARCH(LOWER($A16),LOWER(N$1))),AND(RIGHT(LOWER($A16),1)="s",ISNUMBER(SEARCH(LEFT(LOWER($A16),LEN($A16)-1),LOWER(N$1))))),N$1,$A16&amp;" "&amp;N$1))</f>
        <v>residential air conditioning</v>
      </c>
      <c r="O16" s="14" t="str">
        <f t="shared" si="28"/>
        <v>residential air conditioning repair</v>
      </c>
      <c r="P16" s="14" t="str">
        <f t="shared" si="28"/>
        <v>residential aircon repair</v>
      </c>
      <c r="Q16" s="14" t="str">
        <f t="shared" si="28"/>
        <v>residential aircon installation</v>
      </c>
      <c r="R16" s="14" t="str">
        <f t="shared" si="28"/>
        <v>residential aircon service</v>
      </c>
      <c r="S16" s="14" t="str">
        <f t="shared" si="28"/>
        <v>residential HVAC services</v>
      </c>
      <c r="T16" s="14" t="str">
        <f t="shared" si="28"/>
        <v>residential refrigeration repair</v>
      </c>
      <c r="U16" s="14" t="str">
        <f t="shared" si="28"/>
        <v>residential commercial refrigeration</v>
      </c>
      <c r="V16" s="14" t="str">
        <f t="shared" si="28"/>
        <v>residential fridge repair</v>
      </c>
      <c r="W16" s="14" t="str">
        <f t="shared" si="28"/>
        <v>residential cold room repair</v>
      </c>
      <c r="X16" s="18" t="str">
        <f>IFERROR(__xludf.DUMMYFUNCTION("""COMPUTED_VALUE"""),"aircon service")</f>
        <v>aircon service</v>
      </c>
      <c r="Y16" s="4"/>
      <c r="Z16" s="4"/>
    </row>
    <row r="17">
      <c r="A17" s="13" t="s">
        <v>88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air conditioning commercial</v>
      </c>
      <c r="C17" s="14" t="str">
        <f t="shared" si="29"/>
        <v>air conditioning repair commercial</v>
      </c>
      <c r="D17" s="14" t="str">
        <f t="shared" si="29"/>
        <v>aircon repair commercial</v>
      </c>
      <c r="E17" s="14" t="str">
        <f t="shared" si="29"/>
        <v>aircon installation commercial</v>
      </c>
      <c r="F17" s="14" t="str">
        <f t="shared" si="29"/>
        <v>aircon service commercial</v>
      </c>
      <c r="G17" s="14" t="str">
        <f t="shared" si="29"/>
        <v>HVAC services commercial</v>
      </c>
      <c r="H17" s="14" t="str">
        <f t="shared" si="29"/>
        <v>refrigeration repair commercial</v>
      </c>
      <c r="I17" s="14" t="str">
        <f t="shared" si="29"/>
        <v>commercial refrigeration</v>
      </c>
      <c r="J17" s="14" t="str">
        <f t="shared" si="29"/>
        <v>fridge repair commercial</v>
      </c>
      <c r="K17" s="14" t="str">
        <f t="shared" si="29"/>
        <v>cold room repair commercial</v>
      </c>
      <c r="L17" s="16" t="str">
        <f>IFERROR(__xludf.DUMMYFUNCTION("""COMPUTED_VALUE"""),"air conditioning reliable")</f>
        <v>air conditioning reliable</v>
      </c>
      <c r="M17" s="17"/>
      <c r="N17" s="14" t="str">
        <f t="shared" ref="N17:W17" si="30">IF($A17="","",IF(OR(ISNUMBER(SEARCH(LOWER($A17),LOWER(N$1))),AND(RIGHT(LOWER($A17),1)="s",ISNUMBER(SEARCH(LEFT(LOWER($A17),LEN($A17)-1),LOWER(N$1))))),N$1,$A17&amp;" "&amp;N$1))</f>
        <v>commercial air conditioning</v>
      </c>
      <c r="O17" s="14" t="str">
        <f t="shared" si="30"/>
        <v>commercial air conditioning repair</v>
      </c>
      <c r="P17" s="14" t="str">
        <f t="shared" si="30"/>
        <v>commercial aircon repair</v>
      </c>
      <c r="Q17" s="14" t="str">
        <f t="shared" si="30"/>
        <v>commercial aircon installation</v>
      </c>
      <c r="R17" s="14" t="str">
        <f t="shared" si="30"/>
        <v>commercial aircon service</v>
      </c>
      <c r="S17" s="14" t="str">
        <f t="shared" si="30"/>
        <v>commercial HVAC services</v>
      </c>
      <c r="T17" s="14" t="str">
        <f t="shared" si="30"/>
        <v>commercial refrigeration repair</v>
      </c>
      <c r="U17" s="14" t="str">
        <f t="shared" si="30"/>
        <v>commercial refrigeration</v>
      </c>
      <c r="V17" s="14" t="str">
        <f t="shared" si="30"/>
        <v>commercial fridge repair</v>
      </c>
      <c r="W17" s="14" t="str">
        <f t="shared" si="30"/>
        <v>commercial cold room repair</v>
      </c>
      <c r="X17" s="18" t="str">
        <f>IFERROR(__xludf.DUMMYFUNCTION("""COMPUTED_VALUE"""),"best air conditioning")</f>
        <v>best air conditioning</v>
      </c>
      <c r="Y17" s="4"/>
      <c r="Z17" s="4"/>
    </row>
    <row r="18">
      <c r="A18" s="13" t="s">
        <v>76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air conditioning reliable</v>
      </c>
      <c r="C18" s="14" t="str">
        <f t="shared" si="31"/>
        <v>air conditioning repair reliable</v>
      </c>
      <c r="D18" s="14" t="str">
        <f t="shared" si="31"/>
        <v>aircon repair reliable</v>
      </c>
      <c r="E18" s="14" t="str">
        <f t="shared" si="31"/>
        <v>aircon installation reliable</v>
      </c>
      <c r="F18" s="14" t="str">
        <f t="shared" si="31"/>
        <v>aircon service reliable</v>
      </c>
      <c r="G18" s="14" t="str">
        <f t="shared" si="31"/>
        <v>HVAC services reliable</v>
      </c>
      <c r="H18" s="14" t="str">
        <f t="shared" si="31"/>
        <v>refrigeration repair reliable</v>
      </c>
      <c r="I18" s="14" t="str">
        <f t="shared" si="31"/>
        <v>commercial refrigeration reliable</v>
      </c>
      <c r="J18" s="14" t="str">
        <f t="shared" si="31"/>
        <v>fridge repair reliable</v>
      </c>
      <c r="K18" s="14" t="str">
        <f t="shared" si="31"/>
        <v>cold room repair reliable</v>
      </c>
      <c r="L18" s="16" t="str">
        <f>IFERROR(__xludf.DUMMYFUNCTION("""COMPUTED_VALUE"""),"air conditioning repair")</f>
        <v>air conditioning repair</v>
      </c>
      <c r="M18" s="17"/>
      <c r="N18" s="14" t="str">
        <f t="shared" ref="N18:W18" si="32">IF($A18="","",IF(OR(ISNUMBER(SEARCH(LOWER($A18),LOWER(N$1))),AND(RIGHT(LOWER($A18),1)="s",ISNUMBER(SEARCH(LEFT(LOWER($A18),LEN($A18)-1),LOWER(N$1))))),N$1,$A18&amp;" "&amp;N$1))</f>
        <v>reliable air conditioning</v>
      </c>
      <c r="O18" s="14" t="str">
        <f t="shared" si="32"/>
        <v>reliable air conditioning repair</v>
      </c>
      <c r="P18" s="14" t="str">
        <f t="shared" si="32"/>
        <v>reliable aircon repair</v>
      </c>
      <c r="Q18" s="14" t="str">
        <f t="shared" si="32"/>
        <v>reliable aircon installation</v>
      </c>
      <c r="R18" s="14" t="str">
        <f t="shared" si="32"/>
        <v>reliable aircon service</v>
      </c>
      <c r="S18" s="14" t="str">
        <f t="shared" si="32"/>
        <v>reliable HVAC services</v>
      </c>
      <c r="T18" s="14" t="str">
        <f t="shared" si="32"/>
        <v>reliable refrigeration repair</v>
      </c>
      <c r="U18" s="14" t="str">
        <f t="shared" si="32"/>
        <v>reliable commercial refrigeration</v>
      </c>
      <c r="V18" s="14" t="str">
        <f t="shared" si="32"/>
        <v>reliable fridge repair</v>
      </c>
      <c r="W18" s="14" t="str">
        <f t="shared" si="32"/>
        <v>reliable cold room repair</v>
      </c>
      <c r="X18" s="18" t="str">
        <f>IFERROR(__xludf.DUMMYFUNCTION("""COMPUTED_VALUE"""),"best air conditioning repair")</f>
        <v>best air conditioning repair</v>
      </c>
      <c r="Y18" s="4"/>
      <c r="Z18" s="4"/>
    </row>
    <row r="19">
      <c r="A19" s="13" t="s">
        <v>65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air conditioning affordable</v>
      </c>
      <c r="C19" s="14" t="str">
        <f t="shared" si="33"/>
        <v>air conditioning repair affordable</v>
      </c>
      <c r="D19" s="14" t="str">
        <f t="shared" si="33"/>
        <v>aircon repair affordable</v>
      </c>
      <c r="E19" s="14" t="str">
        <f t="shared" si="33"/>
        <v>aircon installation affordable</v>
      </c>
      <c r="F19" s="14" t="str">
        <f t="shared" si="33"/>
        <v>aircon service affordable</v>
      </c>
      <c r="G19" s="14" t="str">
        <f t="shared" si="33"/>
        <v>HVAC services affordable</v>
      </c>
      <c r="H19" s="14" t="str">
        <f t="shared" si="33"/>
        <v>refrigeration repair affordable</v>
      </c>
      <c r="I19" s="14" t="str">
        <f t="shared" si="33"/>
        <v>commercial refrigeration affordable</v>
      </c>
      <c r="J19" s="14" t="str">
        <f t="shared" si="33"/>
        <v>fridge repair affordable</v>
      </c>
      <c r="K19" s="14" t="str">
        <f t="shared" si="33"/>
        <v>cold room repair affordable</v>
      </c>
      <c r="L19" s="16" t="str">
        <f>IFERROR(__xludf.DUMMYFUNCTION("""COMPUTED_VALUE"""),"air conditioning repair affordable")</f>
        <v>air conditioning repair affordable</v>
      </c>
      <c r="M19" s="17"/>
      <c r="N19" s="14" t="str">
        <f t="shared" ref="N19:W19" si="34">IF($A19="","",IF(OR(ISNUMBER(SEARCH(LOWER($A19),LOWER(N$1))),AND(RIGHT(LOWER($A19),1)="s",ISNUMBER(SEARCH(LEFT(LOWER($A19),LEN($A19)-1),LOWER(N$1))))),N$1,$A19&amp;" "&amp;N$1))</f>
        <v>affordable air conditioning</v>
      </c>
      <c r="O19" s="14" t="str">
        <f t="shared" si="34"/>
        <v>affordable air conditioning repair</v>
      </c>
      <c r="P19" s="14" t="str">
        <f t="shared" si="34"/>
        <v>affordable aircon repair</v>
      </c>
      <c r="Q19" s="14" t="str">
        <f t="shared" si="34"/>
        <v>affordable aircon installation</v>
      </c>
      <c r="R19" s="14" t="str">
        <f t="shared" si="34"/>
        <v>affordable aircon service</v>
      </c>
      <c r="S19" s="14" t="str">
        <f t="shared" si="34"/>
        <v>affordable HVAC services</v>
      </c>
      <c r="T19" s="14" t="str">
        <f t="shared" si="34"/>
        <v>affordable refrigeration repair</v>
      </c>
      <c r="U19" s="14" t="str">
        <f t="shared" si="34"/>
        <v>affordable commercial refrigeration</v>
      </c>
      <c r="V19" s="14" t="str">
        <f t="shared" si="34"/>
        <v>affordable fridge repair</v>
      </c>
      <c r="W19" s="14" t="str">
        <f t="shared" si="34"/>
        <v>affordable cold room repair</v>
      </c>
      <c r="X19" s="18" t="str">
        <f>IFERROR(__xludf.DUMMYFUNCTION("""COMPUTED_VALUE"""),"best aircon installation")</f>
        <v>best aircon installation</v>
      </c>
      <c r="Y19" s="4"/>
      <c r="Z19" s="4"/>
    </row>
    <row r="20">
      <c r="A20" s="13" t="s">
        <v>95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air conditioning best</v>
      </c>
      <c r="C20" s="14" t="str">
        <f t="shared" si="35"/>
        <v>air conditioning repair best</v>
      </c>
      <c r="D20" s="14" t="str">
        <f t="shared" si="35"/>
        <v>aircon repair best</v>
      </c>
      <c r="E20" s="14" t="str">
        <f t="shared" si="35"/>
        <v>aircon installation best</v>
      </c>
      <c r="F20" s="14" t="str">
        <f t="shared" si="35"/>
        <v>aircon service best</v>
      </c>
      <c r="G20" s="14" t="str">
        <f t="shared" si="35"/>
        <v>HVAC services best</v>
      </c>
      <c r="H20" s="14" t="str">
        <f t="shared" si="35"/>
        <v>refrigeration repair best</v>
      </c>
      <c r="I20" s="14" t="str">
        <f t="shared" si="35"/>
        <v>commercial refrigeration best</v>
      </c>
      <c r="J20" s="14" t="str">
        <f t="shared" si="35"/>
        <v>fridge repair best</v>
      </c>
      <c r="K20" s="14" t="str">
        <f t="shared" si="35"/>
        <v>cold room repair best</v>
      </c>
      <c r="L20" s="16" t="str">
        <f>IFERROR(__xludf.DUMMYFUNCTION("""COMPUTED_VALUE"""),"air conditioning repair best")</f>
        <v>air conditioning repair best</v>
      </c>
      <c r="M20" s="17"/>
      <c r="N20" s="14" t="str">
        <f t="shared" ref="N20:W20" si="36">IF($A20="","",IF(OR(ISNUMBER(SEARCH(LOWER($A20),LOWER(N$1))),AND(RIGHT(LOWER($A20),1)="s",ISNUMBER(SEARCH(LEFT(LOWER($A20),LEN($A20)-1),LOWER(N$1))))),N$1,$A20&amp;" "&amp;N$1))</f>
        <v>best air conditioning</v>
      </c>
      <c r="O20" s="14" t="str">
        <f t="shared" si="36"/>
        <v>best air conditioning repair</v>
      </c>
      <c r="P20" s="14" t="str">
        <f t="shared" si="36"/>
        <v>best aircon repair</v>
      </c>
      <c r="Q20" s="14" t="str">
        <f t="shared" si="36"/>
        <v>best aircon installation</v>
      </c>
      <c r="R20" s="14" t="str">
        <f t="shared" si="36"/>
        <v>best aircon service</v>
      </c>
      <c r="S20" s="14" t="str">
        <f t="shared" si="36"/>
        <v>best HVAC services</v>
      </c>
      <c r="T20" s="14" t="str">
        <f t="shared" si="36"/>
        <v>best refrigeration repair</v>
      </c>
      <c r="U20" s="14" t="str">
        <f t="shared" si="36"/>
        <v>best commercial refrigeration</v>
      </c>
      <c r="V20" s="14" t="str">
        <f t="shared" si="36"/>
        <v>best fridge repair</v>
      </c>
      <c r="W20" s="14" t="str">
        <f t="shared" si="36"/>
        <v>best cold room repair</v>
      </c>
      <c r="X20" s="18" t="str">
        <f>IFERROR(__xludf.DUMMYFUNCTION("""COMPUTED_VALUE"""),"best aircon repair")</f>
        <v>best aircon repair</v>
      </c>
      <c r="Y20" s="4"/>
      <c r="Z20" s="4"/>
    </row>
    <row r="21" ht="15.75" customHeight="1">
      <c r="A21" s="13" t="s">
        <v>62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air conditioning local</v>
      </c>
      <c r="C21" s="14" t="str">
        <f t="shared" si="37"/>
        <v>air conditioning repair local</v>
      </c>
      <c r="D21" s="14" t="str">
        <f t="shared" si="37"/>
        <v>aircon repair local</v>
      </c>
      <c r="E21" s="14" t="str">
        <f t="shared" si="37"/>
        <v>aircon installation local</v>
      </c>
      <c r="F21" s="14" t="str">
        <f t="shared" si="37"/>
        <v>aircon service local</v>
      </c>
      <c r="G21" s="14" t="str">
        <f t="shared" si="37"/>
        <v>HVAC services local</v>
      </c>
      <c r="H21" s="14" t="str">
        <f t="shared" si="37"/>
        <v>refrigeration repair local</v>
      </c>
      <c r="I21" s="14" t="str">
        <f t="shared" si="37"/>
        <v>commercial refrigeration local</v>
      </c>
      <c r="J21" s="14" t="str">
        <f t="shared" si="37"/>
        <v>fridge repair local</v>
      </c>
      <c r="K21" s="14" t="str">
        <f t="shared" si="37"/>
        <v>cold room repair local</v>
      </c>
      <c r="L21" s="16" t="str">
        <f>IFERROR(__xludf.DUMMYFUNCTION("""COMPUTED_VALUE"""),"air conditioning repair cape town")</f>
        <v>air conditioning repair cape town</v>
      </c>
      <c r="M21" s="17"/>
      <c r="N21" s="14" t="str">
        <f t="shared" ref="N21:W21" si="38">IF($A21="","",IF(OR(ISNUMBER(SEARCH(LOWER($A21),LOWER(N$1))),AND(RIGHT(LOWER($A21),1)="s",ISNUMBER(SEARCH(LEFT(LOWER($A21),LEN($A21)-1),LOWER(N$1))))),N$1,$A21&amp;" "&amp;N$1))</f>
        <v>local air conditioning</v>
      </c>
      <c r="O21" s="14" t="str">
        <f t="shared" si="38"/>
        <v>local air conditioning repair</v>
      </c>
      <c r="P21" s="14" t="str">
        <f t="shared" si="38"/>
        <v>local aircon repair</v>
      </c>
      <c r="Q21" s="14" t="str">
        <f t="shared" si="38"/>
        <v>local aircon installation</v>
      </c>
      <c r="R21" s="14" t="str">
        <f t="shared" si="38"/>
        <v>local aircon service</v>
      </c>
      <c r="S21" s="14" t="str">
        <f t="shared" si="38"/>
        <v>local HVAC services</v>
      </c>
      <c r="T21" s="14" t="str">
        <f t="shared" si="38"/>
        <v>local refrigeration repair</v>
      </c>
      <c r="U21" s="14" t="str">
        <f t="shared" si="38"/>
        <v>local commercial refrigeration</v>
      </c>
      <c r="V21" s="14" t="str">
        <f t="shared" si="38"/>
        <v>local fridge repair</v>
      </c>
      <c r="W21" s="14" t="str">
        <f t="shared" si="38"/>
        <v>local cold room repair</v>
      </c>
      <c r="X21" s="18" t="str">
        <f>IFERROR(__xludf.DUMMYFUNCTION("""COMPUTED_VALUE"""),"best aircon service")</f>
        <v>best aircon service</v>
      </c>
      <c r="Y21" s="4"/>
      <c r="Z21" s="4"/>
    </row>
    <row r="22" ht="15.75" customHeight="1">
      <c r="A22" s="13" t="s">
        <v>68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air conditioning professional</v>
      </c>
      <c r="C22" s="14" t="str">
        <f t="shared" si="39"/>
        <v>air conditioning repair professional</v>
      </c>
      <c r="D22" s="14" t="str">
        <f t="shared" si="39"/>
        <v>aircon repair professional</v>
      </c>
      <c r="E22" s="14" t="str">
        <f t="shared" si="39"/>
        <v>aircon installation professional</v>
      </c>
      <c r="F22" s="14" t="str">
        <f t="shared" si="39"/>
        <v>aircon service professional</v>
      </c>
      <c r="G22" s="14" t="str">
        <f t="shared" si="39"/>
        <v>HVAC services professional</v>
      </c>
      <c r="H22" s="14" t="str">
        <f t="shared" si="39"/>
        <v>refrigeration repair professional</v>
      </c>
      <c r="I22" s="14" t="str">
        <f t="shared" si="39"/>
        <v>commercial refrigeration professional</v>
      </c>
      <c r="J22" s="14" t="str">
        <f t="shared" si="39"/>
        <v>fridge repair professional</v>
      </c>
      <c r="K22" s="14" t="str">
        <f t="shared" si="39"/>
        <v>cold room repair professional</v>
      </c>
      <c r="L22" s="16" t="str">
        <f>IFERROR(__xludf.DUMMYFUNCTION("""COMPUTED_VALUE"""),"air conditioning repair commercial")</f>
        <v>air conditioning repair commercial</v>
      </c>
      <c r="M22" s="17"/>
      <c r="N22" s="14" t="str">
        <f t="shared" ref="N22:W22" si="40">IF($A22="","",IF(OR(ISNUMBER(SEARCH(LOWER($A22),LOWER(N$1))),AND(RIGHT(LOWER($A22),1)="s",ISNUMBER(SEARCH(LEFT(LOWER($A22),LEN($A22)-1),LOWER(N$1))))),N$1,$A22&amp;" "&amp;N$1))</f>
        <v>professional air conditioning</v>
      </c>
      <c r="O22" s="14" t="str">
        <f t="shared" si="40"/>
        <v>professional air conditioning repair</v>
      </c>
      <c r="P22" s="14" t="str">
        <f t="shared" si="40"/>
        <v>professional aircon repair</v>
      </c>
      <c r="Q22" s="14" t="str">
        <f t="shared" si="40"/>
        <v>professional aircon installation</v>
      </c>
      <c r="R22" s="14" t="str">
        <f t="shared" si="40"/>
        <v>professional aircon service</v>
      </c>
      <c r="S22" s="14" t="str">
        <f t="shared" si="40"/>
        <v>professional HVAC services</v>
      </c>
      <c r="T22" s="14" t="str">
        <f t="shared" si="40"/>
        <v>professional refrigeration repair</v>
      </c>
      <c r="U22" s="14" t="str">
        <f t="shared" si="40"/>
        <v>professional commercial refrigeration</v>
      </c>
      <c r="V22" s="14" t="str">
        <f t="shared" si="40"/>
        <v>professional fridge repair</v>
      </c>
      <c r="W22" s="14" t="str">
        <f t="shared" si="40"/>
        <v>professional cold room repair</v>
      </c>
      <c r="X22" s="18" t="str">
        <f>IFERROR(__xludf.DUMMYFUNCTION("""COMPUTED_VALUE"""),"best cold room repair")</f>
        <v>best cold room repair</v>
      </c>
      <c r="Y22" s="4"/>
      <c r="Z22" s="4"/>
    </row>
    <row r="23" ht="15.75" customHeight="1">
      <c r="A23" s="13"/>
      <c r="B23" s="14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14" t="str">
        <f t="shared" si="41"/>
        <v/>
      </c>
      <c r="D23" s="14" t="str">
        <f t="shared" si="41"/>
        <v/>
      </c>
      <c r="E23" s="14" t="str">
        <f t="shared" si="41"/>
        <v/>
      </c>
      <c r="F23" s="14" t="str">
        <f t="shared" si="41"/>
        <v/>
      </c>
      <c r="G23" s="14" t="str">
        <f t="shared" si="41"/>
        <v/>
      </c>
      <c r="H23" s="14" t="str">
        <f t="shared" si="41"/>
        <v/>
      </c>
      <c r="I23" s="14" t="str">
        <f t="shared" si="41"/>
        <v/>
      </c>
      <c r="J23" s="14" t="str">
        <f t="shared" si="41"/>
        <v/>
      </c>
      <c r="K23" s="14" t="str">
        <f t="shared" si="41"/>
        <v/>
      </c>
      <c r="L23" s="16" t="str">
        <f>IFERROR(__xludf.DUMMYFUNCTION("""COMPUTED_VALUE"""),"air conditioning repair company")</f>
        <v>air conditioning repair company</v>
      </c>
      <c r="M23" s="17"/>
      <c r="N23" s="14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14" t="str">
        <f t="shared" si="42"/>
        <v/>
      </c>
      <c r="P23" s="14" t="str">
        <f t="shared" si="42"/>
        <v/>
      </c>
      <c r="Q23" s="14" t="str">
        <f t="shared" si="42"/>
        <v/>
      </c>
      <c r="R23" s="14" t="str">
        <f t="shared" si="42"/>
        <v/>
      </c>
      <c r="S23" s="14" t="str">
        <f t="shared" si="42"/>
        <v/>
      </c>
      <c r="T23" s="14" t="str">
        <f t="shared" si="42"/>
        <v/>
      </c>
      <c r="U23" s="14" t="str">
        <f t="shared" si="42"/>
        <v/>
      </c>
      <c r="V23" s="14" t="str">
        <f t="shared" si="42"/>
        <v/>
      </c>
      <c r="W23" s="14" t="str">
        <f t="shared" si="42"/>
        <v/>
      </c>
      <c r="X23" s="18" t="str">
        <f>IFERROR(__xludf.DUMMYFUNCTION("""COMPUTED_VALUE"""),"best commercial refrigeration")</f>
        <v>best commercial refrigeration</v>
      </c>
      <c r="Y23" s="4"/>
      <c r="Z23" s="4"/>
    </row>
    <row r="24" ht="15.75" customHeight="1">
      <c r="A24" s="13"/>
      <c r="B24" s="14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14" t="str">
        <f t="shared" si="43"/>
        <v/>
      </c>
      <c r="D24" s="14" t="str">
        <f t="shared" si="43"/>
        <v/>
      </c>
      <c r="E24" s="14" t="str">
        <f t="shared" si="43"/>
        <v/>
      </c>
      <c r="F24" s="14" t="str">
        <f t="shared" si="43"/>
        <v/>
      </c>
      <c r="G24" s="14" t="str">
        <f t="shared" si="43"/>
        <v/>
      </c>
      <c r="H24" s="14" t="str">
        <f t="shared" si="43"/>
        <v/>
      </c>
      <c r="I24" s="14" t="str">
        <f t="shared" si="43"/>
        <v/>
      </c>
      <c r="J24" s="14" t="str">
        <f t="shared" si="43"/>
        <v/>
      </c>
      <c r="K24" s="14" t="str">
        <f t="shared" si="43"/>
        <v/>
      </c>
      <c r="L24" s="16" t="str">
        <f>IFERROR(__xludf.DUMMYFUNCTION("""COMPUTED_VALUE"""),"air conditioning repair contractor")</f>
        <v>air conditioning repair contractor</v>
      </c>
      <c r="M24" s="17"/>
      <c r="N24" s="14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14" t="str">
        <f t="shared" si="44"/>
        <v/>
      </c>
      <c r="P24" s="14" t="str">
        <f t="shared" si="44"/>
        <v/>
      </c>
      <c r="Q24" s="14" t="str">
        <f t="shared" si="44"/>
        <v/>
      </c>
      <c r="R24" s="14" t="str">
        <f t="shared" si="44"/>
        <v/>
      </c>
      <c r="S24" s="14" t="str">
        <f t="shared" si="44"/>
        <v/>
      </c>
      <c r="T24" s="14" t="str">
        <f t="shared" si="44"/>
        <v/>
      </c>
      <c r="U24" s="14" t="str">
        <f t="shared" si="44"/>
        <v/>
      </c>
      <c r="V24" s="14" t="str">
        <f t="shared" si="44"/>
        <v/>
      </c>
      <c r="W24" s="14" t="str">
        <f t="shared" si="44"/>
        <v/>
      </c>
      <c r="X24" s="18" t="str">
        <f>IFERROR(__xludf.DUMMYFUNCTION("""COMPUTED_VALUE"""),"best fridge repair")</f>
        <v>best fridge repair</v>
      </c>
      <c r="Y24" s="4"/>
      <c r="Z24" s="4"/>
    </row>
    <row r="25" ht="15.75" customHeight="1">
      <c r="A25" s="13"/>
      <c r="B25" s="14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14" t="str">
        <f t="shared" si="45"/>
        <v/>
      </c>
      <c r="D25" s="14" t="str">
        <f t="shared" si="45"/>
        <v/>
      </c>
      <c r="E25" s="14" t="str">
        <f t="shared" si="45"/>
        <v/>
      </c>
      <c r="F25" s="14" t="str">
        <f t="shared" si="45"/>
        <v/>
      </c>
      <c r="G25" s="14" t="str">
        <f t="shared" si="45"/>
        <v/>
      </c>
      <c r="H25" s="14" t="str">
        <f t="shared" si="45"/>
        <v/>
      </c>
      <c r="I25" s="14" t="str">
        <f t="shared" si="45"/>
        <v/>
      </c>
      <c r="J25" s="14" t="str">
        <f t="shared" si="45"/>
        <v/>
      </c>
      <c r="K25" s="14" t="str">
        <f t="shared" si="45"/>
        <v/>
      </c>
      <c r="L25" s="16" t="str">
        <f>IFERROR(__xludf.DUMMYFUNCTION("""COMPUTED_VALUE"""),"air conditioning repair cost")</f>
        <v>air conditioning repair cost</v>
      </c>
      <c r="M25" s="17"/>
      <c r="N25" s="14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14" t="str">
        <f t="shared" si="46"/>
        <v/>
      </c>
      <c r="P25" s="14" t="str">
        <f t="shared" si="46"/>
        <v/>
      </c>
      <c r="Q25" s="14" t="str">
        <f t="shared" si="46"/>
        <v/>
      </c>
      <c r="R25" s="14" t="str">
        <f t="shared" si="46"/>
        <v/>
      </c>
      <c r="S25" s="14" t="str">
        <f t="shared" si="46"/>
        <v/>
      </c>
      <c r="T25" s="14" t="str">
        <f t="shared" si="46"/>
        <v/>
      </c>
      <c r="U25" s="14" t="str">
        <f t="shared" si="46"/>
        <v/>
      </c>
      <c r="V25" s="14" t="str">
        <f t="shared" si="46"/>
        <v/>
      </c>
      <c r="W25" s="14" t="str">
        <f t="shared" si="46"/>
        <v/>
      </c>
      <c r="X25" s="18" t="str">
        <f>IFERROR(__xludf.DUMMYFUNCTION("""COMPUTED_VALUE"""),"best HVAC services")</f>
        <v>best HVAC services</v>
      </c>
      <c r="Y25" s="4"/>
      <c r="Z25" s="4"/>
    </row>
    <row r="26" ht="15.75" customHeight="1">
      <c r="A26" s="13"/>
      <c r="B26" s="14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14" t="str">
        <f t="shared" si="47"/>
        <v/>
      </c>
      <c r="D26" s="14" t="str">
        <f t="shared" si="47"/>
        <v/>
      </c>
      <c r="E26" s="14" t="str">
        <f t="shared" si="47"/>
        <v/>
      </c>
      <c r="F26" s="14" t="str">
        <f t="shared" si="47"/>
        <v/>
      </c>
      <c r="G26" s="14" t="str">
        <f t="shared" si="47"/>
        <v/>
      </c>
      <c r="H26" s="14" t="str">
        <f t="shared" si="47"/>
        <v/>
      </c>
      <c r="I26" s="14" t="str">
        <f t="shared" si="47"/>
        <v/>
      </c>
      <c r="J26" s="14" t="str">
        <f t="shared" si="47"/>
        <v/>
      </c>
      <c r="K26" s="14" t="str">
        <f t="shared" si="47"/>
        <v/>
      </c>
      <c r="L26" s="16" t="str">
        <f>IFERROR(__xludf.DUMMYFUNCTION("""COMPUTED_VALUE"""),"air conditioning repair emergency")</f>
        <v>air conditioning repair emergency</v>
      </c>
      <c r="M26" s="17"/>
      <c r="N26" s="14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14" t="str">
        <f t="shared" si="48"/>
        <v/>
      </c>
      <c r="P26" s="14" t="str">
        <f t="shared" si="48"/>
        <v/>
      </c>
      <c r="Q26" s="14" t="str">
        <f t="shared" si="48"/>
        <v/>
      </c>
      <c r="R26" s="14" t="str">
        <f t="shared" si="48"/>
        <v/>
      </c>
      <c r="S26" s="14" t="str">
        <f t="shared" si="48"/>
        <v/>
      </c>
      <c r="T26" s="14" t="str">
        <f t="shared" si="48"/>
        <v/>
      </c>
      <c r="U26" s="14" t="str">
        <f t="shared" si="48"/>
        <v/>
      </c>
      <c r="V26" s="14" t="str">
        <f t="shared" si="48"/>
        <v/>
      </c>
      <c r="W26" s="14" t="str">
        <f t="shared" si="48"/>
        <v/>
      </c>
      <c r="X26" s="18" t="str">
        <f>IFERROR(__xludf.DUMMYFUNCTION("""COMPUTED_VALUE"""),"best refrigeration repair")</f>
        <v>best refrigeration repair</v>
      </c>
      <c r="Y26" s="4"/>
      <c r="Z26" s="4"/>
    </row>
    <row r="27" ht="15.75" customHeight="1">
      <c r="A27" s="13"/>
      <c r="B27" s="14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14" t="str">
        <f t="shared" si="49"/>
        <v/>
      </c>
      <c r="D27" s="14" t="str">
        <f t="shared" si="49"/>
        <v/>
      </c>
      <c r="E27" s="14" t="str">
        <f t="shared" si="49"/>
        <v/>
      </c>
      <c r="F27" s="14" t="str">
        <f t="shared" si="49"/>
        <v/>
      </c>
      <c r="G27" s="14" t="str">
        <f t="shared" si="49"/>
        <v/>
      </c>
      <c r="H27" s="14" t="str">
        <f t="shared" si="49"/>
        <v/>
      </c>
      <c r="I27" s="14" t="str">
        <f t="shared" si="49"/>
        <v/>
      </c>
      <c r="J27" s="14" t="str">
        <f t="shared" si="49"/>
        <v/>
      </c>
      <c r="K27" s="14" t="str">
        <f t="shared" si="49"/>
        <v/>
      </c>
      <c r="L27" s="16" t="str">
        <f>IFERROR(__xludf.DUMMYFUNCTION("""COMPUTED_VALUE"""),"air conditioning repair installation")</f>
        <v>air conditioning repair installation</v>
      </c>
      <c r="M27" s="17"/>
      <c r="N27" s="14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14" t="str">
        <f t="shared" si="50"/>
        <v/>
      </c>
      <c r="P27" s="14" t="str">
        <f t="shared" si="50"/>
        <v/>
      </c>
      <c r="Q27" s="14" t="str">
        <f t="shared" si="50"/>
        <v/>
      </c>
      <c r="R27" s="14" t="str">
        <f t="shared" si="50"/>
        <v/>
      </c>
      <c r="S27" s="14" t="str">
        <f t="shared" si="50"/>
        <v/>
      </c>
      <c r="T27" s="14" t="str">
        <f t="shared" si="50"/>
        <v/>
      </c>
      <c r="U27" s="14" t="str">
        <f t="shared" si="50"/>
        <v/>
      </c>
      <c r="V27" s="14" t="str">
        <f t="shared" si="50"/>
        <v/>
      </c>
      <c r="W27" s="14" t="str">
        <f t="shared" si="50"/>
        <v/>
      </c>
      <c r="X27" s="18" t="str">
        <f>IFERROR(__xludf.DUMMYFUNCTION("""COMPUTED_VALUE"""),"cape town air conditioning")</f>
        <v>cape town air conditioning</v>
      </c>
      <c r="Y27" s="4"/>
      <c r="Z27" s="4"/>
    </row>
    <row r="28" ht="15.75" customHeight="1">
      <c r="A28" s="13"/>
      <c r="B28" s="14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14" t="str">
        <f t="shared" si="51"/>
        <v/>
      </c>
      <c r="D28" s="14" t="str">
        <f t="shared" si="51"/>
        <v/>
      </c>
      <c r="E28" s="14" t="str">
        <f t="shared" si="51"/>
        <v/>
      </c>
      <c r="F28" s="14" t="str">
        <f t="shared" si="51"/>
        <v/>
      </c>
      <c r="G28" s="14" t="str">
        <f t="shared" si="51"/>
        <v/>
      </c>
      <c r="H28" s="14" t="str">
        <f t="shared" si="51"/>
        <v/>
      </c>
      <c r="I28" s="14" t="str">
        <f t="shared" si="51"/>
        <v/>
      </c>
      <c r="J28" s="14" t="str">
        <f t="shared" si="51"/>
        <v/>
      </c>
      <c r="K28" s="14" t="str">
        <f t="shared" si="51"/>
        <v/>
      </c>
      <c r="L28" s="16" t="str">
        <f>IFERROR(__xludf.DUMMYFUNCTION("""COMPUTED_VALUE"""),"air conditioning repair local")</f>
        <v>air conditioning repair local</v>
      </c>
      <c r="M28" s="17"/>
      <c r="N28" s="14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14" t="str">
        <f t="shared" si="52"/>
        <v/>
      </c>
      <c r="P28" s="14" t="str">
        <f t="shared" si="52"/>
        <v/>
      </c>
      <c r="Q28" s="14" t="str">
        <f t="shared" si="52"/>
        <v/>
      </c>
      <c r="R28" s="14" t="str">
        <f t="shared" si="52"/>
        <v/>
      </c>
      <c r="S28" s="14" t="str">
        <f t="shared" si="52"/>
        <v/>
      </c>
      <c r="T28" s="14" t="str">
        <f t="shared" si="52"/>
        <v/>
      </c>
      <c r="U28" s="14" t="str">
        <f t="shared" si="52"/>
        <v/>
      </c>
      <c r="V28" s="14" t="str">
        <f t="shared" si="52"/>
        <v/>
      </c>
      <c r="W28" s="14" t="str">
        <f t="shared" si="52"/>
        <v/>
      </c>
      <c r="X28" s="18" t="str">
        <f>IFERROR(__xludf.DUMMYFUNCTION("""COMPUTED_VALUE"""),"cape town air conditioning repair")</f>
        <v>cape town air conditioning repair</v>
      </c>
      <c r="Y28" s="4"/>
      <c r="Z28" s="4"/>
    </row>
    <row r="29" ht="15.75" customHeight="1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6" t="str">
        <f>IFERROR(__xludf.DUMMYFUNCTION("""COMPUTED_VALUE"""),"air conditioning repair maintenance")</f>
        <v>air conditioning repair maintenance</v>
      </c>
      <c r="M29" s="17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8" t="str">
        <f>IFERROR(__xludf.DUMMYFUNCTION("""COMPUTED_VALUE"""),"cape town aircon installation")</f>
        <v>cape town aircon installation</v>
      </c>
      <c r="Y29" s="4"/>
      <c r="Z29" s="4"/>
    </row>
    <row r="30" ht="15.75" customHeight="1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6" t="str">
        <f>IFERROR(__xludf.DUMMYFUNCTION("""COMPUTED_VALUE"""),"air conditioning repair near me")</f>
        <v>air conditioning repair near me</v>
      </c>
      <c r="M30" s="17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8" t="str">
        <f>IFERROR(__xludf.DUMMYFUNCTION("""COMPUTED_VALUE"""),"cape town aircon repair")</f>
        <v>cape town aircon repair</v>
      </c>
      <c r="Y30" s="4"/>
      <c r="Z30" s="4"/>
    </row>
    <row r="31" ht="15.75" customHeight="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6" t="str">
        <f>IFERROR(__xludf.DUMMYFUNCTION("""COMPUTED_VALUE"""),"air conditioning repair professional")</f>
        <v>air conditioning repair professional</v>
      </c>
      <c r="M31" s="17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8" t="str">
        <f>IFERROR(__xludf.DUMMYFUNCTION("""COMPUTED_VALUE"""),"cape town aircon service")</f>
        <v>cape town aircon service</v>
      </c>
      <c r="Y31" s="4"/>
      <c r="Z31" s="4"/>
    </row>
    <row r="32" ht="15.75" customHeight="1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6" t="str">
        <f>IFERROR(__xludf.DUMMYFUNCTION("""COMPUTED_VALUE"""),"air conditioning repair quote")</f>
        <v>air conditioning repair quote</v>
      </c>
      <c r="M32" s="17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8" t="str">
        <f>IFERROR(__xludf.DUMMYFUNCTION("""COMPUTED_VALUE"""),"cape town cold room repair")</f>
        <v>cape town cold room repair</v>
      </c>
      <c r="Y32" s="4"/>
      <c r="Z32" s="4"/>
    </row>
    <row r="33" ht="15.75" customHeight="1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6" t="str">
        <f>IFERROR(__xludf.DUMMYFUNCTION("""COMPUTED_VALUE"""),"air conditioning repair reliable")</f>
        <v>air conditioning repair reliable</v>
      </c>
      <c r="M33" s="17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8" t="str">
        <f>IFERROR(__xludf.DUMMYFUNCTION("""COMPUTED_VALUE"""),"cape town commercial refrigeration")</f>
        <v>cape town commercial refrigeration</v>
      </c>
      <c r="Y33" s="4"/>
      <c r="Z33" s="4"/>
    </row>
    <row r="34" ht="15.75" customHeight="1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6" t="str">
        <f>IFERROR(__xludf.DUMMYFUNCTION("""COMPUTED_VALUE"""),"air conditioning repair residential")</f>
        <v>air conditioning repair residential</v>
      </c>
      <c r="M34" s="17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8" t="str">
        <f>IFERROR(__xludf.DUMMYFUNCTION("""COMPUTED_VALUE"""),"cape town fridge repair")</f>
        <v>cape town fridge repair</v>
      </c>
      <c r="Y34" s="4"/>
      <c r="Z34" s="4"/>
    </row>
    <row r="35" ht="15.75" customHeight="1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6" t="str">
        <f>IFERROR(__xludf.DUMMYFUNCTION("""COMPUTED_VALUE"""),"air conditioning repair same day")</f>
        <v>air conditioning repair same day</v>
      </c>
      <c r="M35" s="17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8" t="str">
        <f>IFERROR(__xludf.DUMMYFUNCTION("""COMPUTED_VALUE"""),"cape town HVAC services")</f>
        <v>cape town HVAC services</v>
      </c>
      <c r="Y35" s="4"/>
      <c r="Z35" s="4"/>
    </row>
    <row r="36" ht="15.75" customHeight="1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6" t="str">
        <f>IFERROR(__xludf.DUMMYFUNCTION("""COMPUTED_VALUE"""),"air conditioning repair service")</f>
        <v>air conditioning repair service</v>
      </c>
      <c r="M36" s="17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8" t="str">
        <f>IFERROR(__xludf.DUMMYFUNCTION("""COMPUTED_VALUE"""),"cape town refrigeration repair")</f>
        <v>cape town refrigeration repair</v>
      </c>
      <c r="Y36" s="4"/>
      <c r="Z36" s="4"/>
    </row>
    <row r="37" ht="15.75" customHeight="1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6" t="str">
        <f>IFERROR(__xludf.DUMMYFUNCTION("""COMPUTED_VALUE"""),"air conditioning repair technician")</f>
        <v>air conditioning repair technician</v>
      </c>
      <c r="M37" s="17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8" t="str">
        <f>IFERROR(__xludf.DUMMYFUNCTION("""COMPUTED_VALUE"""),"cold room repair")</f>
        <v>cold room repair</v>
      </c>
      <c r="Y37" s="4"/>
      <c r="Z37" s="4"/>
    </row>
    <row r="38" ht="15.75" customHeight="1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6" t="str">
        <f>IFERROR(__xludf.DUMMYFUNCTION("""COMPUTED_VALUE"""),"air conditioning residential")</f>
        <v>air conditioning residential</v>
      </c>
      <c r="M38" s="17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8" t="str">
        <f>IFERROR(__xludf.DUMMYFUNCTION("""COMPUTED_VALUE"""),"commercial air conditioning")</f>
        <v>commercial air conditioning</v>
      </c>
      <c r="Y38" s="4"/>
      <c r="Z38" s="4"/>
    </row>
    <row r="39" ht="15.75" customHeight="1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6" t="str">
        <f>IFERROR(__xludf.DUMMYFUNCTION("""COMPUTED_VALUE"""),"air conditioning same day")</f>
        <v>air conditioning same day</v>
      </c>
      <c r="M39" s="17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8" t="str">
        <f>IFERROR(__xludf.DUMMYFUNCTION("""COMPUTED_VALUE"""),"commercial air conditioning repair")</f>
        <v>commercial air conditioning repair</v>
      </c>
      <c r="Y39" s="4"/>
      <c r="Z39" s="4"/>
    </row>
    <row r="40" ht="15.75" customHeight="1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6" t="str">
        <f>IFERROR(__xludf.DUMMYFUNCTION("""COMPUTED_VALUE"""),"air conditioning service")</f>
        <v>air conditioning service</v>
      </c>
      <c r="M40" s="17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8" t="str">
        <f>IFERROR(__xludf.DUMMYFUNCTION("""COMPUTED_VALUE"""),"commercial aircon installation")</f>
        <v>commercial aircon installation</v>
      </c>
      <c r="Y40" s="4"/>
      <c r="Z40" s="4"/>
    </row>
    <row r="41" ht="15.75" customHeight="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6" t="str">
        <f>IFERROR(__xludf.DUMMYFUNCTION("""COMPUTED_VALUE"""),"air conditioning technician")</f>
        <v>air conditioning technician</v>
      </c>
      <c r="M41" s="17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8" t="str">
        <f>IFERROR(__xludf.DUMMYFUNCTION("""COMPUTED_VALUE"""),"commercial aircon repair")</f>
        <v>commercial aircon repair</v>
      </c>
      <c r="Y41" s="4"/>
      <c r="Z41" s="4"/>
    </row>
    <row r="42" ht="15.75" customHeight="1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6" t="str">
        <f>IFERROR(__xludf.DUMMYFUNCTION("""COMPUTED_VALUE"""),"aircon installation")</f>
        <v>aircon installation</v>
      </c>
      <c r="M42" s="17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8" t="str">
        <f>IFERROR(__xludf.DUMMYFUNCTION("""COMPUTED_VALUE"""),"commercial aircon service")</f>
        <v>commercial aircon service</v>
      </c>
      <c r="Y42" s="4"/>
      <c r="Z42" s="4"/>
    </row>
    <row r="43" ht="15.75" customHeight="1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6" t="str">
        <f>IFERROR(__xludf.DUMMYFUNCTION("""COMPUTED_VALUE"""),"aircon installation affordable")</f>
        <v>aircon installation affordable</v>
      </c>
      <c r="M43" s="17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8" t="str">
        <f>IFERROR(__xludf.DUMMYFUNCTION("""COMPUTED_VALUE"""),"commercial cold room repair")</f>
        <v>commercial cold room repair</v>
      </c>
      <c r="Y43" s="4"/>
      <c r="Z43" s="4"/>
    </row>
    <row r="44" ht="15.75" customHeight="1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6" t="str">
        <f>IFERROR(__xludf.DUMMYFUNCTION("""COMPUTED_VALUE"""),"aircon installation best")</f>
        <v>aircon installation best</v>
      </c>
      <c r="M44" s="17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8" t="str">
        <f>IFERROR(__xludf.DUMMYFUNCTION("""COMPUTED_VALUE"""),"commercial fridge repair")</f>
        <v>commercial fridge repair</v>
      </c>
      <c r="Y44" s="4"/>
      <c r="Z44" s="4"/>
    </row>
    <row r="45" ht="15.75" customHeight="1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6" t="str">
        <f>IFERROR(__xludf.DUMMYFUNCTION("""COMPUTED_VALUE"""),"aircon installation cape town")</f>
        <v>aircon installation cape town</v>
      </c>
      <c r="M45" s="17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8" t="str">
        <f>IFERROR(__xludf.DUMMYFUNCTION("""COMPUTED_VALUE"""),"commercial HVAC services")</f>
        <v>commercial HVAC services</v>
      </c>
      <c r="Y45" s="4"/>
      <c r="Z45" s="4"/>
    </row>
    <row r="46" ht="15.75" customHeight="1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6" t="str">
        <f>IFERROR(__xludf.DUMMYFUNCTION("""COMPUTED_VALUE"""),"aircon installation commercial")</f>
        <v>aircon installation commercial</v>
      </c>
      <c r="M46" s="17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8" t="str">
        <f>IFERROR(__xludf.DUMMYFUNCTION("""COMPUTED_VALUE"""),"commercial refrigeration")</f>
        <v>commercial refrigeration</v>
      </c>
      <c r="Y46" s="4"/>
      <c r="Z46" s="4"/>
    </row>
    <row r="47" ht="15.75" customHeight="1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6" t="str">
        <f>IFERROR(__xludf.DUMMYFUNCTION("""COMPUTED_VALUE"""),"aircon installation company")</f>
        <v>aircon installation company</v>
      </c>
      <c r="M47" s="17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8" t="str">
        <f>IFERROR(__xludf.DUMMYFUNCTION("""COMPUTED_VALUE"""),"commercial refrigeration repair")</f>
        <v>commercial refrigeration repair</v>
      </c>
      <c r="Y47" s="4"/>
      <c r="Z47" s="4"/>
    </row>
    <row r="48" ht="15.75" customHeight="1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6" t="str">
        <f>IFERROR(__xludf.DUMMYFUNCTION("""COMPUTED_VALUE"""),"aircon installation contractor")</f>
        <v>aircon installation contractor</v>
      </c>
      <c r="M48" s="17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8" t="str">
        <f>IFERROR(__xludf.DUMMYFUNCTION("""COMPUTED_VALUE"""),"company air conditioning")</f>
        <v>company air conditioning</v>
      </c>
      <c r="Y48" s="4"/>
      <c r="Z48" s="4"/>
    </row>
    <row r="49" ht="15.75" customHeight="1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6" t="str">
        <f>IFERROR(__xludf.DUMMYFUNCTION("""COMPUTED_VALUE"""),"aircon installation cost")</f>
        <v>aircon installation cost</v>
      </c>
      <c r="M49" s="17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8" t="str">
        <f>IFERROR(__xludf.DUMMYFUNCTION("""COMPUTED_VALUE"""),"company air conditioning repair")</f>
        <v>company air conditioning repair</v>
      </c>
      <c r="Y49" s="4"/>
      <c r="Z49" s="4"/>
    </row>
    <row r="50" ht="15.75" customHeight="1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6" t="str">
        <f>IFERROR(__xludf.DUMMYFUNCTION("""COMPUTED_VALUE"""),"aircon installation emergency")</f>
        <v>aircon installation emergency</v>
      </c>
      <c r="M50" s="17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8" t="str">
        <f>IFERROR(__xludf.DUMMYFUNCTION("""COMPUTED_VALUE"""),"company aircon installation")</f>
        <v>company aircon installation</v>
      </c>
      <c r="Y50" s="4"/>
      <c r="Z50" s="4"/>
    </row>
    <row r="51" ht="15.75" customHeight="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6" t="str">
        <f>IFERROR(__xludf.DUMMYFUNCTION("""COMPUTED_VALUE"""),"aircon installation local")</f>
        <v>aircon installation local</v>
      </c>
      <c r="M51" s="17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8" t="str">
        <f>IFERROR(__xludf.DUMMYFUNCTION("""COMPUTED_VALUE"""),"company aircon repair")</f>
        <v>company aircon repair</v>
      </c>
      <c r="Y51" s="4"/>
      <c r="Z51" s="4"/>
    </row>
    <row r="52" ht="15.75" customHeight="1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6" t="str">
        <f>IFERROR(__xludf.DUMMYFUNCTION("""COMPUTED_VALUE"""),"aircon installation maintenance")</f>
        <v>aircon installation maintenance</v>
      </c>
      <c r="M52" s="17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8" t="str">
        <f>IFERROR(__xludf.DUMMYFUNCTION("""COMPUTED_VALUE"""),"company aircon service")</f>
        <v>company aircon service</v>
      </c>
      <c r="Y52" s="4"/>
      <c r="Z52" s="4"/>
    </row>
    <row r="53" ht="15.75" customHeight="1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6" t="str">
        <f>IFERROR(__xludf.DUMMYFUNCTION("""COMPUTED_VALUE"""),"aircon installation near me")</f>
        <v>aircon installation near me</v>
      </c>
      <c r="M53" s="17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8" t="str">
        <f>IFERROR(__xludf.DUMMYFUNCTION("""COMPUTED_VALUE"""),"company cold room repair")</f>
        <v>company cold room repair</v>
      </c>
      <c r="Y53" s="4"/>
      <c r="Z53" s="4"/>
    </row>
    <row r="54" ht="15.75" customHeight="1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6" t="str">
        <f>IFERROR(__xludf.DUMMYFUNCTION("""COMPUTED_VALUE"""),"aircon installation professional")</f>
        <v>aircon installation professional</v>
      </c>
      <c r="M54" s="17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8" t="str">
        <f>IFERROR(__xludf.DUMMYFUNCTION("""COMPUTED_VALUE"""),"company commercial refrigeration")</f>
        <v>company commercial refrigeration</v>
      </c>
      <c r="Y54" s="4"/>
      <c r="Z54" s="4"/>
    </row>
    <row r="55" ht="15.75" customHeight="1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6" t="str">
        <f>IFERROR(__xludf.DUMMYFUNCTION("""COMPUTED_VALUE"""),"aircon installation quote")</f>
        <v>aircon installation quote</v>
      </c>
      <c r="M55" s="17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8" t="str">
        <f>IFERROR(__xludf.DUMMYFUNCTION("""COMPUTED_VALUE"""),"company fridge repair")</f>
        <v>company fridge repair</v>
      </c>
      <c r="Y55" s="4"/>
      <c r="Z55" s="4"/>
    </row>
    <row r="56" ht="15.75" customHeight="1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6" t="str">
        <f>IFERROR(__xludf.DUMMYFUNCTION("""COMPUTED_VALUE"""),"aircon installation reliable")</f>
        <v>aircon installation reliable</v>
      </c>
      <c r="M56" s="17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8" t="str">
        <f>IFERROR(__xludf.DUMMYFUNCTION("""COMPUTED_VALUE"""),"company HVAC services")</f>
        <v>company HVAC services</v>
      </c>
      <c r="Y56" s="4"/>
      <c r="Z56" s="4"/>
    </row>
    <row r="57" ht="15.75" customHeight="1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6" t="str">
        <f>IFERROR(__xludf.DUMMYFUNCTION("""COMPUTED_VALUE"""),"aircon installation repair")</f>
        <v>aircon installation repair</v>
      </c>
      <c r="M57" s="17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8" t="str">
        <f>IFERROR(__xludf.DUMMYFUNCTION("""COMPUTED_VALUE"""),"company refrigeration repair")</f>
        <v>company refrigeration repair</v>
      </c>
      <c r="Y57" s="4"/>
      <c r="Z57" s="4"/>
    </row>
    <row r="58" ht="15.75" customHeight="1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6" t="str">
        <f>IFERROR(__xludf.DUMMYFUNCTION("""COMPUTED_VALUE"""),"aircon installation residential")</f>
        <v>aircon installation residential</v>
      </c>
      <c r="M58" s="17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8" t="str">
        <f>IFERROR(__xludf.DUMMYFUNCTION("""COMPUTED_VALUE"""),"contractor air conditioning")</f>
        <v>contractor air conditioning</v>
      </c>
      <c r="Y58" s="4"/>
      <c r="Z58" s="4"/>
    </row>
    <row r="59" ht="15.75" customHeight="1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6" t="str">
        <f>IFERROR(__xludf.DUMMYFUNCTION("""COMPUTED_VALUE"""),"aircon installation same day")</f>
        <v>aircon installation same day</v>
      </c>
      <c r="M59" s="17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8" t="str">
        <f>IFERROR(__xludf.DUMMYFUNCTION("""COMPUTED_VALUE"""),"contractor air conditioning repair")</f>
        <v>contractor air conditioning repair</v>
      </c>
      <c r="Y59" s="4"/>
      <c r="Z59" s="4"/>
    </row>
    <row r="60" ht="15.75" customHeight="1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6" t="str">
        <f>IFERROR(__xludf.DUMMYFUNCTION("""COMPUTED_VALUE"""),"aircon installation service")</f>
        <v>aircon installation service</v>
      </c>
      <c r="M60" s="17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8" t="str">
        <f>IFERROR(__xludf.DUMMYFUNCTION("""COMPUTED_VALUE"""),"contractor aircon installation")</f>
        <v>contractor aircon installation</v>
      </c>
      <c r="Y60" s="4"/>
      <c r="Z60" s="4"/>
    </row>
    <row r="61" ht="15.75" customHeight="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6" t="str">
        <f>IFERROR(__xludf.DUMMYFUNCTION("""COMPUTED_VALUE"""),"aircon installation technician")</f>
        <v>aircon installation technician</v>
      </c>
      <c r="M61" s="17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8" t="str">
        <f>IFERROR(__xludf.DUMMYFUNCTION("""COMPUTED_VALUE"""),"contractor aircon repair")</f>
        <v>contractor aircon repair</v>
      </c>
      <c r="Y61" s="4"/>
      <c r="Z61" s="4"/>
    </row>
    <row r="62" ht="15.75" customHeight="1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6" t="str">
        <f>IFERROR(__xludf.DUMMYFUNCTION("""COMPUTED_VALUE"""),"aircon repair")</f>
        <v>aircon repair</v>
      </c>
      <c r="M62" s="17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8" t="str">
        <f>IFERROR(__xludf.DUMMYFUNCTION("""COMPUTED_VALUE"""),"contractor aircon service")</f>
        <v>contractor aircon service</v>
      </c>
      <c r="Y62" s="4"/>
      <c r="Z62" s="4"/>
    </row>
    <row r="63" ht="15.75" customHeight="1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6" t="str">
        <f>IFERROR(__xludf.DUMMYFUNCTION("""COMPUTED_VALUE"""),"aircon repair affordable")</f>
        <v>aircon repair affordable</v>
      </c>
      <c r="M63" s="17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8" t="str">
        <f>IFERROR(__xludf.DUMMYFUNCTION("""COMPUTED_VALUE"""),"contractor cold room repair")</f>
        <v>contractor cold room repair</v>
      </c>
      <c r="Y63" s="4"/>
      <c r="Z63" s="4"/>
    </row>
    <row r="64" ht="15.75" customHeight="1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6" t="str">
        <f>IFERROR(__xludf.DUMMYFUNCTION("""COMPUTED_VALUE"""),"aircon repair best")</f>
        <v>aircon repair best</v>
      </c>
      <c r="M64" s="17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8" t="str">
        <f>IFERROR(__xludf.DUMMYFUNCTION("""COMPUTED_VALUE"""),"contractor commercial refrigeration")</f>
        <v>contractor commercial refrigeration</v>
      </c>
      <c r="Y64" s="4"/>
      <c r="Z64" s="4"/>
    </row>
    <row r="65" ht="15.75" customHeight="1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6" t="str">
        <f>IFERROR(__xludf.DUMMYFUNCTION("""COMPUTED_VALUE"""),"aircon repair cape town")</f>
        <v>aircon repair cape town</v>
      </c>
      <c r="M65" s="17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8" t="str">
        <f>IFERROR(__xludf.DUMMYFUNCTION("""COMPUTED_VALUE"""),"contractor fridge repair")</f>
        <v>contractor fridge repair</v>
      </c>
      <c r="Y65" s="4"/>
      <c r="Z65" s="4"/>
    </row>
    <row r="66" ht="15.75" customHeight="1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6" t="str">
        <f>IFERROR(__xludf.DUMMYFUNCTION("""COMPUTED_VALUE"""),"aircon repair commercial")</f>
        <v>aircon repair commercial</v>
      </c>
      <c r="M66" s="17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8" t="str">
        <f>IFERROR(__xludf.DUMMYFUNCTION("""COMPUTED_VALUE"""),"contractor HVAC services")</f>
        <v>contractor HVAC services</v>
      </c>
      <c r="Y66" s="4"/>
      <c r="Z66" s="4"/>
    </row>
    <row r="67" ht="15.75" customHeight="1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6" t="str">
        <f>IFERROR(__xludf.DUMMYFUNCTION("""COMPUTED_VALUE"""),"aircon repair company")</f>
        <v>aircon repair company</v>
      </c>
      <c r="M67" s="17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8" t="str">
        <f>IFERROR(__xludf.DUMMYFUNCTION("""COMPUTED_VALUE"""),"contractor refrigeration repair")</f>
        <v>contractor refrigeration repair</v>
      </c>
      <c r="Y67" s="4"/>
      <c r="Z67" s="4"/>
    </row>
    <row r="68" ht="15.75" customHeight="1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6" t="str">
        <f>IFERROR(__xludf.DUMMYFUNCTION("""COMPUTED_VALUE"""),"aircon repair contractor")</f>
        <v>aircon repair contractor</v>
      </c>
      <c r="M68" s="17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8" t="str">
        <f>IFERROR(__xludf.DUMMYFUNCTION("""COMPUTED_VALUE"""),"cost air conditioning")</f>
        <v>cost air conditioning</v>
      </c>
      <c r="Y68" s="4"/>
      <c r="Z68" s="4"/>
    </row>
    <row r="69" ht="15.75" customHeight="1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6" t="str">
        <f>IFERROR(__xludf.DUMMYFUNCTION("""COMPUTED_VALUE"""),"aircon repair cost")</f>
        <v>aircon repair cost</v>
      </c>
      <c r="M69" s="17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8" t="str">
        <f>IFERROR(__xludf.DUMMYFUNCTION("""COMPUTED_VALUE"""),"cost air conditioning repair")</f>
        <v>cost air conditioning repair</v>
      </c>
      <c r="Y69" s="4"/>
      <c r="Z69" s="4"/>
    </row>
    <row r="70" ht="15.75" customHeight="1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6" t="str">
        <f>IFERROR(__xludf.DUMMYFUNCTION("""COMPUTED_VALUE"""),"aircon repair emergency")</f>
        <v>aircon repair emergency</v>
      </c>
      <c r="M70" s="17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8" t="str">
        <f>IFERROR(__xludf.DUMMYFUNCTION("""COMPUTED_VALUE"""),"cost aircon installation")</f>
        <v>cost aircon installation</v>
      </c>
      <c r="Y70" s="4"/>
      <c r="Z70" s="4"/>
    </row>
    <row r="71" ht="15.75" customHeight="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6" t="str">
        <f>IFERROR(__xludf.DUMMYFUNCTION("""COMPUTED_VALUE"""),"aircon repair installation")</f>
        <v>aircon repair installation</v>
      </c>
      <c r="M71" s="17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8" t="str">
        <f>IFERROR(__xludf.DUMMYFUNCTION("""COMPUTED_VALUE"""),"cost aircon repair")</f>
        <v>cost aircon repair</v>
      </c>
      <c r="Y71" s="4"/>
      <c r="Z71" s="4"/>
    </row>
    <row r="72" ht="15.75" customHeight="1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6" t="str">
        <f>IFERROR(__xludf.DUMMYFUNCTION("""COMPUTED_VALUE"""),"aircon repair local")</f>
        <v>aircon repair local</v>
      </c>
      <c r="M72" s="17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8" t="str">
        <f>IFERROR(__xludf.DUMMYFUNCTION("""COMPUTED_VALUE"""),"cost aircon service")</f>
        <v>cost aircon service</v>
      </c>
      <c r="Y72" s="4"/>
      <c r="Z72" s="4"/>
    </row>
    <row r="73" ht="15.75" customHeight="1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6" t="str">
        <f>IFERROR(__xludf.DUMMYFUNCTION("""COMPUTED_VALUE"""),"aircon repair maintenance")</f>
        <v>aircon repair maintenance</v>
      </c>
      <c r="M73" s="17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8" t="str">
        <f>IFERROR(__xludf.DUMMYFUNCTION("""COMPUTED_VALUE"""),"cost cold room repair")</f>
        <v>cost cold room repair</v>
      </c>
      <c r="Y73" s="4"/>
      <c r="Z73" s="4"/>
    </row>
    <row r="74" ht="15.75" customHeight="1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6" t="str">
        <f>IFERROR(__xludf.DUMMYFUNCTION("""COMPUTED_VALUE"""),"aircon repair near me")</f>
        <v>aircon repair near me</v>
      </c>
      <c r="M74" s="17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8" t="str">
        <f>IFERROR(__xludf.DUMMYFUNCTION("""COMPUTED_VALUE"""),"cost commercial refrigeration")</f>
        <v>cost commercial refrigeration</v>
      </c>
      <c r="Y74" s="4"/>
      <c r="Z74" s="4"/>
    </row>
    <row r="75" ht="15.75" customHeight="1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6" t="str">
        <f>IFERROR(__xludf.DUMMYFUNCTION("""COMPUTED_VALUE"""),"aircon repair professional")</f>
        <v>aircon repair professional</v>
      </c>
      <c r="M75" s="17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8" t="str">
        <f>IFERROR(__xludf.DUMMYFUNCTION("""COMPUTED_VALUE"""),"cost fridge repair")</f>
        <v>cost fridge repair</v>
      </c>
      <c r="Y75" s="4"/>
      <c r="Z75" s="4"/>
    </row>
    <row r="76" ht="15.75" customHeight="1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6" t="str">
        <f>IFERROR(__xludf.DUMMYFUNCTION("""COMPUTED_VALUE"""),"aircon repair quote")</f>
        <v>aircon repair quote</v>
      </c>
      <c r="M76" s="17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8" t="str">
        <f>IFERROR(__xludf.DUMMYFUNCTION("""COMPUTED_VALUE"""),"cost HVAC services")</f>
        <v>cost HVAC services</v>
      </c>
      <c r="Y76" s="4"/>
      <c r="Z76" s="4"/>
    </row>
    <row r="77" ht="15.75" customHeight="1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6" t="str">
        <f>IFERROR(__xludf.DUMMYFUNCTION("""COMPUTED_VALUE"""),"aircon repair reliable")</f>
        <v>aircon repair reliable</v>
      </c>
      <c r="M77" s="17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8" t="str">
        <f>IFERROR(__xludf.DUMMYFUNCTION("""COMPUTED_VALUE"""),"cost refrigeration repair")</f>
        <v>cost refrigeration repair</v>
      </c>
      <c r="Y77" s="4"/>
      <c r="Z77" s="4"/>
    </row>
    <row r="78" ht="15.75" customHeight="1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6" t="str">
        <f>IFERROR(__xludf.DUMMYFUNCTION("""COMPUTED_VALUE"""),"aircon repair residential")</f>
        <v>aircon repair residential</v>
      </c>
      <c r="M78" s="17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8" t="str">
        <f>IFERROR(__xludf.DUMMYFUNCTION("""COMPUTED_VALUE"""),"emergency air conditioning")</f>
        <v>emergency air conditioning</v>
      </c>
      <c r="Y78" s="4"/>
      <c r="Z78" s="4"/>
    </row>
    <row r="79" ht="15.75" customHeight="1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6" t="str">
        <f>IFERROR(__xludf.DUMMYFUNCTION("""COMPUTED_VALUE"""),"aircon repair same day")</f>
        <v>aircon repair same day</v>
      </c>
      <c r="M79" s="17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8" t="str">
        <f>IFERROR(__xludf.DUMMYFUNCTION("""COMPUTED_VALUE"""),"emergency air conditioning repair")</f>
        <v>emergency air conditioning repair</v>
      </c>
      <c r="Y79" s="4"/>
      <c r="Z79" s="4"/>
    </row>
    <row r="80" ht="15.75" customHeight="1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6" t="str">
        <f>IFERROR(__xludf.DUMMYFUNCTION("""COMPUTED_VALUE"""),"aircon repair service")</f>
        <v>aircon repair service</v>
      </c>
      <c r="M80" s="17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8" t="str">
        <f>IFERROR(__xludf.DUMMYFUNCTION("""COMPUTED_VALUE"""),"emergency aircon installation")</f>
        <v>emergency aircon installation</v>
      </c>
      <c r="Y80" s="4"/>
      <c r="Z80" s="4"/>
    </row>
    <row r="81" ht="15.75" customHeight="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6" t="str">
        <f>IFERROR(__xludf.DUMMYFUNCTION("""COMPUTED_VALUE"""),"aircon repair technician")</f>
        <v>aircon repair technician</v>
      </c>
      <c r="M81" s="17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8" t="str">
        <f>IFERROR(__xludf.DUMMYFUNCTION("""COMPUTED_VALUE"""),"emergency aircon repair")</f>
        <v>emergency aircon repair</v>
      </c>
      <c r="Y81" s="4"/>
      <c r="Z81" s="4"/>
    </row>
    <row r="82" ht="15.75" customHeight="1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6" t="str">
        <f>IFERROR(__xludf.DUMMYFUNCTION("""COMPUTED_VALUE"""),"aircon service")</f>
        <v>aircon service</v>
      </c>
      <c r="M82" s="17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8" t="str">
        <f>IFERROR(__xludf.DUMMYFUNCTION("""COMPUTED_VALUE"""),"emergency aircon service")</f>
        <v>emergency aircon service</v>
      </c>
      <c r="Y82" s="4"/>
      <c r="Z82" s="4"/>
    </row>
    <row r="83" ht="15.7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6" t="str">
        <f>IFERROR(__xludf.DUMMYFUNCTION("""COMPUTED_VALUE"""),"aircon service affordable")</f>
        <v>aircon service affordable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8" t="str">
        <f>IFERROR(__xludf.DUMMYFUNCTION("""COMPUTED_VALUE"""),"emergency cold room repair")</f>
        <v>emergency cold room repair</v>
      </c>
      <c r="Y83" s="4"/>
      <c r="Z83" s="4"/>
    </row>
    <row r="84" ht="15.7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 t="str">
        <f>IFERROR(__xludf.DUMMYFUNCTION("""COMPUTED_VALUE"""),"aircon service best")</f>
        <v>aircon service best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8" t="str">
        <f>IFERROR(__xludf.DUMMYFUNCTION("""COMPUTED_VALUE"""),"emergency commercial refrigeration")</f>
        <v>emergency commercial refrigeration</v>
      </c>
      <c r="Y84" s="4"/>
      <c r="Z84" s="4"/>
    </row>
    <row r="85" ht="15.7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6" t="str">
        <f>IFERROR(__xludf.DUMMYFUNCTION("""COMPUTED_VALUE"""),"aircon service cape town")</f>
        <v>aircon service cape town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8" t="str">
        <f>IFERROR(__xludf.DUMMYFUNCTION("""COMPUTED_VALUE"""),"emergency fridge repair")</f>
        <v>emergency fridge repair</v>
      </c>
      <c r="Y85" s="4"/>
      <c r="Z85" s="4"/>
    </row>
    <row r="86" ht="15.7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 t="str">
        <f>IFERROR(__xludf.DUMMYFUNCTION("""COMPUTED_VALUE"""),"aircon service commercial")</f>
        <v>aircon service commercial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8" t="str">
        <f>IFERROR(__xludf.DUMMYFUNCTION("""COMPUTED_VALUE"""),"emergency HVAC services")</f>
        <v>emergency HVAC services</v>
      </c>
      <c r="Y86" s="4"/>
      <c r="Z86" s="4"/>
    </row>
    <row r="87" ht="15.7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 t="str">
        <f>IFERROR(__xludf.DUMMYFUNCTION("""COMPUTED_VALUE"""),"aircon service company")</f>
        <v>aircon service company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8" t="str">
        <f>IFERROR(__xludf.DUMMYFUNCTION("""COMPUTED_VALUE"""),"emergency refrigeration repair")</f>
        <v>emergency refrigeration repair</v>
      </c>
      <c r="Y87" s="4"/>
      <c r="Z87" s="4"/>
    </row>
    <row r="88" ht="15.7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 t="str">
        <f>IFERROR(__xludf.DUMMYFUNCTION("""COMPUTED_VALUE"""),"aircon service contractor")</f>
        <v>aircon service contractor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8" t="str">
        <f>IFERROR(__xludf.DUMMYFUNCTION("""COMPUTED_VALUE"""),"fridge repair")</f>
        <v>fridge repair</v>
      </c>
      <c r="Y88" s="4"/>
      <c r="Z88" s="4"/>
    </row>
    <row r="89" ht="15.7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 t="str">
        <f>IFERROR(__xludf.DUMMYFUNCTION("""COMPUTED_VALUE"""),"aircon service cost")</f>
        <v>aircon service cost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8" t="str">
        <f>IFERROR(__xludf.DUMMYFUNCTION("""COMPUTED_VALUE"""),"HVAC services")</f>
        <v>HVAC services</v>
      </c>
      <c r="Y89" s="4"/>
      <c r="Z89" s="4"/>
    </row>
    <row r="90" ht="15.75" customHeight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 t="str">
        <f>IFERROR(__xludf.DUMMYFUNCTION("""COMPUTED_VALUE"""),"aircon service emergency")</f>
        <v>aircon service emergency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8" t="str">
        <f>IFERROR(__xludf.DUMMYFUNCTION("""COMPUTED_VALUE"""),"installation air conditioning")</f>
        <v>installation air conditioning</v>
      </c>
      <c r="Y90" s="4"/>
      <c r="Z90" s="4"/>
    </row>
    <row r="91" ht="15.75" customHeight="1">
      <c r="A91" s="1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6" t="str">
        <f>IFERROR(__xludf.DUMMYFUNCTION("""COMPUTED_VALUE"""),"aircon service installation")</f>
        <v>aircon service installation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 t="str">
        <f>IFERROR(__xludf.DUMMYFUNCTION("""COMPUTED_VALUE"""),"installation air conditioning repair")</f>
        <v>installation air conditioning repair</v>
      </c>
      <c r="Y91" s="4"/>
      <c r="Z91" s="4"/>
    </row>
    <row r="92" ht="15.75" customHeight="1">
      <c r="A92" s="1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 t="str">
        <f>IFERROR(__xludf.DUMMYFUNCTION("""COMPUTED_VALUE"""),"aircon service local")</f>
        <v>aircon service local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8" t="str">
        <f>IFERROR(__xludf.DUMMYFUNCTION("""COMPUTED_VALUE"""),"installation aircon repair")</f>
        <v>installation aircon repair</v>
      </c>
      <c r="Y92" s="4"/>
      <c r="Z92" s="4"/>
    </row>
    <row r="93" ht="15.75" customHeight="1">
      <c r="A93" s="1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6" t="str">
        <f>IFERROR(__xludf.DUMMYFUNCTION("""COMPUTED_VALUE"""),"aircon service maintenance")</f>
        <v>aircon service maintenance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8" t="str">
        <f>IFERROR(__xludf.DUMMYFUNCTION("""COMPUTED_VALUE"""),"installation aircon service")</f>
        <v>installation aircon service</v>
      </c>
      <c r="Y93" s="4"/>
      <c r="Z93" s="4"/>
    </row>
    <row r="94" ht="15.75" customHeight="1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6" t="str">
        <f>IFERROR(__xludf.DUMMYFUNCTION("""COMPUTED_VALUE"""),"aircon service near me")</f>
        <v>aircon service near me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8" t="str">
        <f>IFERROR(__xludf.DUMMYFUNCTION("""COMPUTED_VALUE"""),"installation cold room repair")</f>
        <v>installation cold room repair</v>
      </c>
      <c r="Y94" s="4"/>
      <c r="Z94" s="4"/>
    </row>
    <row r="95" ht="15.75" customHeight="1">
      <c r="A95" s="1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 t="str">
        <f>IFERROR(__xludf.DUMMYFUNCTION("""COMPUTED_VALUE"""),"aircon service professional")</f>
        <v>aircon service professional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8" t="str">
        <f>IFERROR(__xludf.DUMMYFUNCTION("""COMPUTED_VALUE"""),"installation commercial refrigeration")</f>
        <v>installation commercial refrigeration</v>
      </c>
      <c r="Y95" s="4"/>
      <c r="Z95" s="4"/>
    </row>
    <row r="96" ht="15.75" customHeight="1">
      <c r="A96" s="1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6" t="str">
        <f>IFERROR(__xludf.DUMMYFUNCTION("""COMPUTED_VALUE"""),"aircon service quote")</f>
        <v>aircon service quote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 t="str">
        <f>IFERROR(__xludf.DUMMYFUNCTION("""COMPUTED_VALUE"""),"installation fridge repair")</f>
        <v>installation fridge repair</v>
      </c>
      <c r="Y96" s="4"/>
      <c r="Z96" s="4"/>
    </row>
    <row r="97" ht="15.75" customHeight="1">
      <c r="A97" s="1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6" t="str">
        <f>IFERROR(__xludf.DUMMYFUNCTION("""COMPUTED_VALUE"""),"aircon service reliable")</f>
        <v>aircon service reliable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8" t="str">
        <f>IFERROR(__xludf.DUMMYFUNCTION("""COMPUTED_VALUE"""),"installation HVAC services")</f>
        <v>installation HVAC services</v>
      </c>
      <c r="Y97" s="4"/>
      <c r="Z97" s="4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 t="str">
        <f>IFERROR(__xludf.DUMMYFUNCTION("""COMPUTED_VALUE"""),"aircon service repair")</f>
        <v>aircon service repair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 t="str">
        <f>IFERROR(__xludf.DUMMYFUNCTION("""COMPUTED_VALUE"""),"installation refrigeration repair")</f>
        <v>installation refrigeration repair</v>
      </c>
      <c r="Y98" s="4"/>
      <c r="Z98" s="4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 t="str">
        <f>IFERROR(__xludf.DUMMYFUNCTION("""COMPUTED_VALUE"""),"aircon service residential")</f>
        <v>aircon service residential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8" t="str">
        <f>IFERROR(__xludf.DUMMYFUNCTION("""COMPUTED_VALUE"""),"local air conditioning")</f>
        <v>local air conditioning</v>
      </c>
      <c r="Y99" s="4"/>
      <c r="Z99" s="4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6" t="str">
        <f>IFERROR(__xludf.DUMMYFUNCTION("""COMPUTED_VALUE"""),"aircon service same day")</f>
        <v>aircon service same day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8" t="str">
        <f>IFERROR(__xludf.DUMMYFUNCTION("""COMPUTED_VALUE"""),"local air conditioning repair")</f>
        <v>local air conditioning repair</v>
      </c>
      <c r="Y100" s="4"/>
      <c r="Z100" s="4"/>
    </row>
    <row r="101" ht="15.75" customHeight="1">
      <c r="A101" s="1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 t="str">
        <f>IFERROR(__xludf.DUMMYFUNCTION("""COMPUTED_VALUE"""),"aircon service technician")</f>
        <v>aircon service technician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8" t="str">
        <f>IFERROR(__xludf.DUMMYFUNCTION("""COMPUTED_VALUE"""),"local aircon installation")</f>
        <v>local aircon installation</v>
      </c>
      <c r="Y101" s="4"/>
      <c r="Z101" s="4"/>
    </row>
    <row r="102" ht="15.75" customHeight="1">
      <c r="A102" s="1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 t="str">
        <f>IFERROR(__xludf.DUMMYFUNCTION("""COMPUTED_VALUE"""),"cold room repair")</f>
        <v>cold room repair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8" t="str">
        <f>IFERROR(__xludf.DUMMYFUNCTION("""COMPUTED_VALUE"""),"local aircon repair")</f>
        <v>local aircon repair</v>
      </c>
      <c r="Y102" s="4"/>
      <c r="Z102" s="4"/>
    </row>
    <row r="103" ht="15.75" customHeight="1">
      <c r="A103" s="1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 t="str">
        <f>IFERROR(__xludf.DUMMYFUNCTION("""COMPUTED_VALUE"""),"cold room repair affordable")</f>
        <v>cold room repair affordable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 t="str">
        <f>IFERROR(__xludf.DUMMYFUNCTION("""COMPUTED_VALUE"""),"local aircon service")</f>
        <v>local aircon service</v>
      </c>
      <c r="Y103" s="4"/>
      <c r="Z103" s="4"/>
    </row>
    <row r="104" ht="15.75" customHeight="1">
      <c r="A104" s="1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6" t="str">
        <f>IFERROR(__xludf.DUMMYFUNCTION("""COMPUTED_VALUE"""),"cold room repair best")</f>
        <v>cold room repair best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8" t="str">
        <f>IFERROR(__xludf.DUMMYFUNCTION("""COMPUTED_VALUE"""),"local cold room repair")</f>
        <v>local cold room repair</v>
      </c>
      <c r="Y104" s="4"/>
      <c r="Z104" s="4"/>
    </row>
    <row r="105" ht="15.75" customHeight="1">
      <c r="A105" s="1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 t="str">
        <f>IFERROR(__xludf.DUMMYFUNCTION("""COMPUTED_VALUE"""),"cold room repair cape town")</f>
        <v>cold room repair cape town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 t="str">
        <f>IFERROR(__xludf.DUMMYFUNCTION("""COMPUTED_VALUE"""),"local commercial refrigeration")</f>
        <v>local commercial refrigeration</v>
      </c>
      <c r="Y105" s="4"/>
      <c r="Z105" s="4"/>
    </row>
    <row r="106" ht="15.75" customHeight="1">
      <c r="A106" s="1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6" t="str">
        <f>IFERROR(__xludf.DUMMYFUNCTION("""COMPUTED_VALUE"""),"cold room repair commercial")</f>
        <v>cold room repair commercial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8" t="str">
        <f>IFERROR(__xludf.DUMMYFUNCTION("""COMPUTED_VALUE"""),"local fridge repair")</f>
        <v>local fridge repair</v>
      </c>
      <c r="Y106" s="4"/>
      <c r="Z106" s="4"/>
    </row>
    <row r="107" ht="15.75" customHeight="1">
      <c r="A107" s="1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tr">
        <f>IFERROR(__xludf.DUMMYFUNCTION("""COMPUTED_VALUE"""),"cold room repair company")</f>
        <v>cold room repair company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 t="str">
        <f>IFERROR(__xludf.DUMMYFUNCTION("""COMPUTED_VALUE"""),"local HVAC services")</f>
        <v>local HVAC services</v>
      </c>
      <c r="Y107" s="4"/>
      <c r="Z107" s="4"/>
    </row>
    <row r="108" ht="15.75" customHeight="1">
      <c r="A108" s="1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6" t="str">
        <f>IFERROR(__xludf.DUMMYFUNCTION("""COMPUTED_VALUE"""),"cold room repair contractor")</f>
        <v>cold room repair contractor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8" t="str">
        <f>IFERROR(__xludf.DUMMYFUNCTION("""COMPUTED_VALUE"""),"local refrigeration repair")</f>
        <v>local refrigeration repair</v>
      </c>
      <c r="Y108" s="4"/>
      <c r="Z108" s="4"/>
    </row>
    <row r="109" ht="15.75" customHeight="1">
      <c r="A109" s="1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6" t="str">
        <f>IFERROR(__xludf.DUMMYFUNCTION("""COMPUTED_VALUE"""),"cold room repair cost")</f>
        <v>cold room repair cost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 t="str">
        <f>IFERROR(__xludf.DUMMYFUNCTION("""COMPUTED_VALUE"""),"maintenance air conditioning")</f>
        <v>maintenance air conditioning</v>
      </c>
      <c r="Y109" s="4"/>
      <c r="Z109" s="4"/>
    </row>
    <row r="110" ht="15.75" customHeight="1">
      <c r="A110" s="1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6" t="str">
        <f>IFERROR(__xludf.DUMMYFUNCTION("""COMPUTED_VALUE"""),"cold room repair emergency")</f>
        <v>cold room repair emergency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8" t="str">
        <f>IFERROR(__xludf.DUMMYFUNCTION("""COMPUTED_VALUE"""),"maintenance air conditioning repair")</f>
        <v>maintenance air conditioning repair</v>
      </c>
      <c r="Y110" s="4"/>
      <c r="Z110" s="4"/>
    </row>
    <row r="111" ht="15.75" customHeight="1">
      <c r="A111" s="1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6" t="str">
        <f>IFERROR(__xludf.DUMMYFUNCTION("""COMPUTED_VALUE"""),"cold room repair installation")</f>
        <v>cold room repair installation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 t="str">
        <f>IFERROR(__xludf.DUMMYFUNCTION("""COMPUTED_VALUE"""),"maintenance aircon installation")</f>
        <v>maintenance aircon installation</v>
      </c>
      <c r="Y111" s="4"/>
      <c r="Z111" s="4"/>
    </row>
    <row r="112" ht="15.75" customHeight="1">
      <c r="A112" s="1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6" t="str">
        <f>IFERROR(__xludf.DUMMYFUNCTION("""COMPUTED_VALUE"""),"cold room repair local")</f>
        <v>cold room repair local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 t="str">
        <f>IFERROR(__xludf.DUMMYFUNCTION("""COMPUTED_VALUE"""),"maintenance aircon repair")</f>
        <v>maintenance aircon repair</v>
      </c>
      <c r="Y112" s="4"/>
      <c r="Z112" s="4"/>
    </row>
    <row r="113" ht="15.75" customHeight="1">
      <c r="A113" s="1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6" t="str">
        <f>IFERROR(__xludf.DUMMYFUNCTION("""COMPUTED_VALUE"""),"cold room repair maintenance")</f>
        <v>cold room repair maintenance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8" t="str">
        <f>IFERROR(__xludf.DUMMYFUNCTION("""COMPUTED_VALUE"""),"maintenance aircon service")</f>
        <v>maintenance aircon service</v>
      </c>
      <c r="Y113" s="4"/>
      <c r="Z113" s="4"/>
    </row>
    <row r="114" ht="15.75" customHeight="1">
      <c r="A114" s="1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6" t="str">
        <f>IFERROR(__xludf.DUMMYFUNCTION("""COMPUTED_VALUE"""),"cold room repair near me")</f>
        <v>cold room repair near me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8" t="str">
        <f>IFERROR(__xludf.DUMMYFUNCTION("""COMPUTED_VALUE"""),"maintenance cold room repair")</f>
        <v>maintenance cold room repair</v>
      </c>
      <c r="Y114" s="4"/>
      <c r="Z114" s="4"/>
    </row>
    <row r="115" ht="15.75" customHeight="1">
      <c r="A115" s="1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6" t="str">
        <f>IFERROR(__xludf.DUMMYFUNCTION("""COMPUTED_VALUE"""),"cold room repair professional")</f>
        <v>cold room repair professional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8" t="str">
        <f>IFERROR(__xludf.DUMMYFUNCTION("""COMPUTED_VALUE"""),"maintenance commercial refrigeration")</f>
        <v>maintenance commercial refrigeration</v>
      </c>
      <c r="Y115" s="4"/>
      <c r="Z115" s="4"/>
    </row>
    <row r="116" ht="15.75" customHeight="1">
      <c r="A116" s="1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6" t="str">
        <f>IFERROR(__xludf.DUMMYFUNCTION("""COMPUTED_VALUE"""),"cold room repair quote")</f>
        <v>cold room repair quote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8" t="str">
        <f>IFERROR(__xludf.DUMMYFUNCTION("""COMPUTED_VALUE"""),"maintenance fridge repair")</f>
        <v>maintenance fridge repair</v>
      </c>
      <c r="Y116" s="4"/>
      <c r="Z116" s="4"/>
    </row>
    <row r="117" ht="15.75" customHeight="1">
      <c r="A117" s="1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6" t="str">
        <f>IFERROR(__xludf.DUMMYFUNCTION("""COMPUTED_VALUE"""),"cold room repair reliable")</f>
        <v>cold room repair reliable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8" t="str">
        <f>IFERROR(__xludf.DUMMYFUNCTION("""COMPUTED_VALUE"""),"maintenance HVAC services")</f>
        <v>maintenance HVAC services</v>
      </c>
      <c r="Y117" s="4"/>
      <c r="Z117" s="4"/>
    </row>
    <row r="118" ht="15.7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 t="str">
        <f>IFERROR(__xludf.DUMMYFUNCTION("""COMPUTED_VALUE"""),"cold room repair residential")</f>
        <v>cold room repair residential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8" t="str">
        <f>IFERROR(__xludf.DUMMYFUNCTION("""COMPUTED_VALUE"""),"maintenance refrigeration repair")</f>
        <v>maintenance refrigeration repair</v>
      </c>
      <c r="Y118" s="4"/>
      <c r="Z118" s="4"/>
    </row>
    <row r="119" ht="15.75" customHeight="1">
      <c r="A119" s="1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6" t="str">
        <f>IFERROR(__xludf.DUMMYFUNCTION("""COMPUTED_VALUE"""),"cold room repair same day")</f>
        <v>cold room repair same day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 t="str">
        <f>IFERROR(__xludf.DUMMYFUNCTION("""COMPUTED_VALUE"""),"near me air conditioning")</f>
        <v>near me air conditioning</v>
      </c>
      <c r="Y119" s="4"/>
      <c r="Z119" s="4"/>
    </row>
    <row r="120" ht="15.75" customHeigh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 t="str">
        <f>IFERROR(__xludf.DUMMYFUNCTION("""COMPUTED_VALUE"""),"cold room repair service")</f>
        <v>cold room repair service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3" t="str">
        <f>IFERROR(__xludf.DUMMYFUNCTION("""COMPUTED_VALUE"""),"near me air conditioning repair")</f>
        <v>near me air conditioning repair</v>
      </c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 t="str">
        <f>IFERROR(__xludf.DUMMYFUNCTION("""COMPUTED_VALUE"""),"cold room repair technician")</f>
        <v>cold room repair technician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tr">
        <f>IFERROR(__xludf.DUMMYFUNCTION("""COMPUTED_VALUE"""),"near me aircon installation")</f>
        <v>near me aircon installation</v>
      </c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 t="str">
        <f>IFERROR(__xludf.DUMMYFUNCTION("""COMPUTED_VALUE"""),"commercial refrigeration")</f>
        <v>commercial refrigeration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tr">
        <f>IFERROR(__xludf.DUMMYFUNCTION("""COMPUTED_VALUE"""),"near me aircon repair")</f>
        <v>near me aircon repair</v>
      </c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 t="str">
        <f>IFERROR(__xludf.DUMMYFUNCTION("""COMPUTED_VALUE"""),"commercial refrigeration affordable")</f>
        <v>commercial refrigeration affordable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 t="str">
        <f>IFERROR(__xludf.DUMMYFUNCTION("""COMPUTED_VALUE"""),"near me aircon service")</f>
        <v>near me aircon service</v>
      </c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 t="str">
        <f>IFERROR(__xludf.DUMMYFUNCTION("""COMPUTED_VALUE"""),"commercial refrigeration best")</f>
        <v>commercial refrigeration best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tr">
        <f>IFERROR(__xludf.DUMMYFUNCTION("""COMPUTED_VALUE"""),"near me cold room repair")</f>
        <v>near me cold room repair</v>
      </c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tr">
        <f>IFERROR(__xludf.DUMMYFUNCTION("""COMPUTED_VALUE"""),"commercial refrigeration cape town")</f>
        <v>commercial refrigeration cape town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str">
        <f>IFERROR(__xludf.DUMMYFUNCTION("""COMPUTED_VALUE"""),"near me commercial refrigeration")</f>
        <v>near me commercial refrigeration</v>
      </c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tr">
        <f>IFERROR(__xludf.DUMMYFUNCTION("""COMPUTED_VALUE"""),"commercial refrigeration company")</f>
        <v>commercial refrigeration company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tr">
        <f>IFERROR(__xludf.DUMMYFUNCTION("""COMPUTED_VALUE"""),"near me fridge repair")</f>
        <v>near me fridge repair</v>
      </c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 t="str">
        <f>IFERROR(__xludf.DUMMYFUNCTION("""COMPUTED_VALUE"""),"commercial refrigeration contractor")</f>
        <v>commercial refrigeration contractor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tr">
        <f>IFERROR(__xludf.DUMMYFUNCTION("""COMPUTED_VALUE"""),"near me HVAC services")</f>
        <v>near me HVAC services</v>
      </c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 t="str">
        <f>IFERROR(__xludf.DUMMYFUNCTION("""COMPUTED_VALUE"""),"commercial refrigeration cost")</f>
        <v>commercial refrigeration cost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 t="str">
        <f>IFERROR(__xludf.DUMMYFUNCTION("""COMPUTED_VALUE"""),"near me refrigeration repair")</f>
        <v>near me refrigeration repair</v>
      </c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 t="str">
        <f>IFERROR(__xludf.DUMMYFUNCTION("""COMPUTED_VALUE"""),"commercial refrigeration emergency")</f>
        <v>commercial refrigeration emergency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tr">
        <f>IFERROR(__xludf.DUMMYFUNCTION("""COMPUTED_VALUE"""),"professional air conditioning")</f>
        <v>professional air conditioning</v>
      </c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 t="str">
        <f>IFERROR(__xludf.DUMMYFUNCTION("""COMPUTED_VALUE"""),"commercial refrigeration installation")</f>
        <v>commercial refrigeration installation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tr">
        <f>IFERROR(__xludf.DUMMYFUNCTION("""COMPUTED_VALUE"""),"professional air conditioning repair")</f>
        <v>professional air conditioning repair</v>
      </c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 t="str">
        <f>IFERROR(__xludf.DUMMYFUNCTION("""COMPUTED_VALUE"""),"commercial refrigeration local")</f>
        <v>commercial refrigeration local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tr">
        <f>IFERROR(__xludf.DUMMYFUNCTION("""COMPUTED_VALUE"""),"professional aircon installation")</f>
        <v>professional aircon installation</v>
      </c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 t="str">
        <f>IFERROR(__xludf.DUMMYFUNCTION("""COMPUTED_VALUE"""),"commercial refrigeration maintenance")</f>
        <v>commercial refrigeration maintenance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tr">
        <f>IFERROR(__xludf.DUMMYFUNCTION("""COMPUTED_VALUE"""),"professional aircon repair")</f>
        <v>professional aircon repair</v>
      </c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tr">
        <f>IFERROR(__xludf.DUMMYFUNCTION("""COMPUTED_VALUE"""),"commercial refrigeration near me")</f>
        <v>commercial refrigeration near me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tr">
        <f>IFERROR(__xludf.DUMMYFUNCTION("""COMPUTED_VALUE"""),"professional aircon service")</f>
        <v>professional aircon service</v>
      </c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tr">
        <f>IFERROR(__xludf.DUMMYFUNCTION("""COMPUTED_VALUE"""),"commercial refrigeration professional")</f>
        <v>commercial refrigeration professional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 t="str">
        <f>IFERROR(__xludf.DUMMYFUNCTION("""COMPUTED_VALUE"""),"professional cold room repair")</f>
        <v>professional cold room repair</v>
      </c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 t="str">
        <f>IFERROR(__xludf.DUMMYFUNCTION("""COMPUTED_VALUE"""),"commercial refrigeration quote")</f>
        <v>commercial refrigeration quote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str">
        <f>IFERROR(__xludf.DUMMYFUNCTION("""COMPUTED_VALUE"""),"professional commercial refrigeration")</f>
        <v>professional commercial refrigeration</v>
      </c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tr">
        <f>IFERROR(__xludf.DUMMYFUNCTION("""COMPUTED_VALUE"""),"commercial refrigeration reliable")</f>
        <v>commercial refrigeration reliable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str">
        <f>IFERROR(__xludf.DUMMYFUNCTION("""COMPUTED_VALUE"""),"professional fridge repair")</f>
        <v>professional fridge repair</v>
      </c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tr">
        <f>IFERROR(__xludf.DUMMYFUNCTION("""COMPUTED_VALUE"""),"commercial refrigeration repair")</f>
        <v>commercial refrigeration repair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tr">
        <f>IFERROR(__xludf.DUMMYFUNCTION("""COMPUTED_VALUE"""),"professional HVAC services")</f>
        <v>professional HVAC services</v>
      </c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 t="str">
        <f>IFERROR(__xludf.DUMMYFUNCTION("""COMPUTED_VALUE"""),"commercial refrigeration residential")</f>
        <v>commercial refrigeration residential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tr">
        <f>IFERROR(__xludf.DUMMYFUNCTION("""COMPUTED_VALUE"""),"professional refrigeration repair")</f>
        <v>professional refrigeration repair</v>
      </c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 t="str">
        <f>IFERROR(__xludf.DUMMYFUNCTION("""COMPUTED_VALUE"""),"commercial refrigeration same day")</f>
        <v>commercial refrigeration same day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tr">
        <f>IFERROR(__xludf.DUMMYFUNCTION("""COMPUTED_VALUE"""),"quote air conditioning")</f>
        <v>quote air conditioning</v>
      </c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 t="str">
        <f>IFERROR(__xludf.DUMMYFUNCTION("""COMPUTED_VALUE"""),"commercial refrigeration service")</f>
        <v>commercial refrigeration service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tr">
        <f>IFERROR(__xludf.DUMMYFUNCTION("""COMPUTED_VALUE"""),"quote air conditioning repair")</f>
        <v>quote air conditioning repair</v>
      </c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 t="str">
        <f>IFERROR(__xludf.DUMMYFUNCTION("""COMPUTED_VALUE"""),"commercial refrigeration technician")</f>
        <v>commercial refrigeration technician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str">
        <f>IFERROR(__xludf.DUMMYFUNCTION("""COMPUTED_VALUE"""),"quote aircon installation")</f>
        <v>quote aircon installation</v>
      </c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 t="str">
        <f>IFERROR(__xludf.DUMMYFUNCTION("""COMPUTED_VALUE"""),"fridge repair")</f>
        <v>fridge repair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tr">
        <f>IFERROR(__xludf.DUMMYFUNCTION("""COMPUTED_VALUE"""),"quote aircon repair")</f>
        <v>quote aircon repair</v>
      </c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 t="str">
        <f>IFERROR(__xludf.DUMMYFUNCTION("""COMPUTED_VALUE"""),"fridge repair affordable")</f>
        <v>fridge repair affordable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tr">
        <f>IFERROR(__xludf.DUMMYFUNCTION("""COMPUTED_VALUE"""),"quote aircon service")</f>
        <v>quote aircon service</v>
      </c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 t="str">
        <f>IFERROR(__xludf.DUMMYFUNCTION("""COMPUTED_VALUE"""),"fridge repair best")</f>
        <v>fridge repair best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 t="str">
        <f>IFERROR(__xludf.DUMMYFUNCTION("""COMPUTED_VALUE"""),"quote cold room repair")</f>
        <v>quote cold room repair</v>
      </c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 t="str">
        <f>IFERROR(__xludf.DUMMYFUNCTION("""COMPUTED_VALUE"""),"fridge repair cape town")</f>
        <v>fridge repair cape town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str">
        <f>IFERROR(__xludf.DUMMYFUNCTION("""COMPUTED_VALUE"""),"quote commercial refrigeration")</f>
        <v>quote commercial refrigeration</v>
      </c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 t="str">
        <f>IFERROR(__xludf.DUMMYFUNCTION("""COMPUTED_VALUE"""),"fridge repair commercial")</f>
        <v>fridge repair commercial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 t="str">
        <f>IFERROR(__xludf.DUMMYFUNCTION("""COMPUTED_VALUE"""),"quote fridge repair")</f>
        <v>quote fridge repair</v>
      </c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tr">
        <f>IFERROR(__xludf.DUMMYFUNCTION("""COMPUTED_VALUE"""),"fridge repair company")</f>
        <v>fridge repair company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tr">
        <f>IFERROR(__xludf.DUMMYFUNCTION("""COMPUTED_VALUE"""),"quote HVAC services")</f>
        <v>quote HVAC services</v>
      </c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tr">
        <f>IFERROR(__xludf.DUMMYFUNCTION("""COMPUTED_VALUE"""),"fridge repair contractor")</f>
        <v>fridge repair contractor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str">
        <f>IFERROR(__xludf.DUMMYFUNCTION("""COMPUTED_VALUE"""),"quote refrigeration repair")</f>
        <v>quote refrigeration repair</v>
      </c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 t="str">
        <f>IFERROR(__xludf.DUMMYFUNCTION("""COMPUTED_VALUE"""),"fridge repair cost")</f>
        <v>fridge repair cost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 t="str">
        <f>IFERROR(__xludf.DUMMYFUNCTION("""COMPUTED_VALUE"""),"refrigeration repair")</f>
        <v>refrigeration repair</v>
      </c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 t="str">
        <f>IFERROR(__xludf.DUMMYFUNCTION("""COMPUTED_VALUE"""),"fridge repair emergency")</f>
        <v>fridge repair emergency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 t="str">
        <f>IFERROR(__xludf.DUMMYFUNCTION("""COMPUTED_VALUE"""),"reliable air conditioning")</f>
        <v>reliable air conditioning</v>
      </c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 t="str">
        <f>IFERROR(__xludf.DUMMYFUNCTION("""COMPUTED_VALUE"""),"fridge repair installation")</f>
        <v>fridge repair installation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tr">
        <f>IFERROR(__xludf.DUMMYFUNCTION("""COMPUTED_VALUE"""),"reliable air conditioning repair")</f>
        <v>reliable air conditioning repair</v>
      </c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 t="str">
        <f>IFERROR(__xludf.DUMMYFUNCTION("""COMPUTED_VALUE"""),"fridge repair local")</f>
        <v>fridge repair local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 t="str">
        <f>IFERROR(__xludf.DUMMYFUNCTION("""COMPUTED_VALUE"""),"reliable aircon installation")</f>
        <v>reliable aircon installation</v>
      </c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 t="str">
        <f>IFERROR(__xludf.DUMMYFUNCTION("""COMPUTED_VALUE"""),"fridge repair maintenance")</f>
        <v>fridge repair maintenance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str">
        <f>IFERROR(__xludf.DUMMYFUNCTION("""COMPUTED_VALUE"""),"reliable aircon repair")</f>
        <v>reliable aircon repair</v>
      </c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 t="str">
        <f>IFERROR(__xludf.DUMMYFUNCTION("""COMPUTED_VALUE"""),"fridge repair near me")</f>
        <v>fridge repair near me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tr">
        <f>IFERROR(__xludf.DUMMYFUNCTION("""COMPUTED_VALUE"""),"reliable aircon service")</f>
        <v>reliable aircon service</v>
      </c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 t="str">
        <f>IFERROR(__xludf.DUMMYFUNCTION("""COMPUTED_VALUE"""),"fridge repair professional")</f>
        <v>fridge repair professional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tr">
        <f>IFERROR(__xludf.DUMMYFUNCTION("""COMPUTED_VALUE"""),"reliable cold room repair")</f>
        <v>reliable cold room repair</v>
      </c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 t="str">
        <f>IFERROR(__xludf.DUMMYFUNCTION("""COMPUTED_VALUE"""),"fridge repair quote")</f>
        <v>fridge repair quote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 t="str">
        <f>IFERROR(__xludf.DUMMYFUNCTION("""COMPUTED_VALUE"""),"reliable commercial refrigeration")</f>
        <v>reliable commercial refrigeration</v>
      </c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tr">
        <f>IFERROR(__xludf.DUMMYFUNCTION("""COMPUTED_VALUE"""),"fridge repair reliable")</f>
        <v>fridge repair reliable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 t="str">
        <f>IFERROR(__xludf.DUMMYFUNCTION("""COMPUTED_VALUE"""),"reliable fridge repair")</f>
        <v>reliable fridge repair</v>
      </c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tr">
        <f>IFERROR(__xludf.DUMMYFUNCTION("""COMPUTED_VALUE"""),"fridge repair residential")</f>
        <v>fridge repair residential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 t="str">
        <f>IFERROR(__xludf.DUMMYFUNCTION("""COMPUTED_VALUE"""),"reliable HVAC services")</f>
        <v>reliable HVAC services</v>
      </c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 t="str">
        <f>IFERROR(__xludf.DUMMYFUNCTION("""COMPUTED_VALUE"""),"fridge repair same day")</f>
        <v>fridge repair same day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str">
        <f>IFERROR(__xludf.DUMMYFUNCTION("""COMPUTED_VALUE"""),"reliable refrigeration repair")</f>
        <v>reliable refrigeration repair</v>
      </c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 t="str">
        <f>IFERROR(__xludf.DUMMYFUNCTION("""COMPUTED_VALUE"""),"fridge repair service")</f>
        <v>fridge repair service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 t="str">
        <f>IFERROR(__xludf.DUMMYFUNCTION("""COMPUTED_VALUE"""),"repair air conditioning")</f>
        <v>repair air conditioning</v>
      </c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 t="str">
        <f>IFERROR(__xludf.DUMMYFUNCTION("""COMPUTED_VALUE"""),"fridge repair technician")</f>
        <v>fridge repair technician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 t="str">
        <f>IFERROR(__xludf.DUMMYFUNCTION("""COMPUTED_VALUE"""),"repair aircon installation")</f>
        <v>repair aircon installation</v>
      </c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 t="str">
        <f>IFERROR(__xludf.DUMMYFUNCTION("""COMPUTED_VALUE"""),"HVAC services")</f>
        <v>HVAC services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 t="str">
        <f>IFERROR(__xludf.DUMMYFUNCTION("""COMPUTED_VALUE"""),"repair aircon service")</f>
        <v>repair aircon service</v>
      </c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 t="str">
        <f>IFERROR(__xludf.DUMMYFUNCTION("""COMPUTED_VALUE"""),"HVAC services affordable")</f>
        <v>HVAC services affordable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 t="str">
        <f>IFERROR(__xludf.DUMMYFUNCTION("""COMPUTED_VALUE"""),"repair commercial refrigeration")</f>
        <v>repair commercial refrigeration</v>
      </c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 t="str">
        <f>IFERROR(__xludf.DUMMYFUNCTION("""COMPUTED_VALUE"""),"HVAC services best")</f>
        <v>HVAC services best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tr">
        <f>IFERROR(__xludf.DUMMYFUNCTION("""COMPUTED_VALUE"""),"repair HVAC services")</f>
        <v>repair HVAC services</v>
      </c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 t="str">
        <f>IFERROR(__xludf.DUMMYFUNCTION("""COMPUTED_VALUE"""),"HVAC services cape town")</f>
        <v>HVAC services cape town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tr">
        <f>IFERROR(__xludf.DUMMYFUNCTION("""COMPUTED_VALUE"""),"residential air conditioning")</f>
        <v>residential air conditioning</v>
      </c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tr">
        <f>IFERROR(__xludf.DUMMYFUNCTION("""COMPUTED_VALUE"""),"HVAC services commercial")</f>
        <v>HVAC services commercial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tr">
        <f>IFERROR(__xludf.DUMMYFUNCTION("""COMPUTED_VALUE"""),"residential air conditioning repair")</f>
        <v>residential air conditioning repair</v>
      </c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tr">
        <f>IFERROR(__xludf.DUMMYFUNCTION("""COMPUTED_VALUE"""),"HVAC services company")</f>
        <v>HVAC services company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f>IFERROR(__xludf.DUMMYFUNCTION("""COMPUTED_VALUE"""),"residential aircon installation")</f>
        <v>residential aircon installation</v>
      </c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 t="str">
        <f>IFERROR(__xludf.DUMMYFUNCTION("""COMPUTED_VALUE"""),"HVAC services contractor")</f>
        <v>HVAC services contractor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tr">
        <f>IFERROR(__xludf.DUMMYFUNCTION("""COMPUTED_VALUE"""),"residential aircon repair")</f>
        <v>residential aircon repair</v>
      </c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 t="str">
        <f>IFERROR(__xludf.DUMMYFUNCTION("""COMPUTED_VALUE"""),"HVAC services cost")</f>
        <v>HVAC services cost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tr">
        <f>IFERROR(__xludf.DUMMYFUNCTION("""COMPUTED_VALUE"""),"residential aircon service")</f>
        <v>residential aircon service</v>
      </c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 t="str">
        <f>IFERROR(__xludf.DUMMYFUNCTION("""COMPUTED_VALUE"""),"HVAC services emergency")</f>
        <v>HVAC services emergency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tr">
        <f>IFERROR(__xludf.DUMMYFUNCTION("""COMPUTED_VALUE"""),"residential cold room repair")</f>
        <v>residential cold room repair</v>
      </c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 t="str">
        <f>IFERROR(__xludf.DUMMYFUNCTION("""COMPUTED_VALUE"""),"HVAC services installation")</f>
        <v>HVAC services installation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tr">
        <f>IFERROR(__xludf.DUMMYFUNCTION("""COMPUTED_VALUE"""),"residential commercial refrigeration")</f>
        <v>residential commercial refrigeration</v>
      </c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tr">
        <f>IFERROR(__xludf.DUMMYFUNCTION("""COMPUTED_VALUE"""),"HVAC services local")</f>
        <v>HVAC services local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tr">
        <f>IFERROR(__xludf.DUMMYFUNCTION("""COMPUTED_VALUE"""),"residential fridge repair")</f>
        <v>residential fridge repair</v>
      </c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 t="str">
        <f>IFERROR(__xludf.DUMMYFUNCTION("""COMPUTED_VALUE"""),"HVAC services maintenance")</f>
        <v>HVAC services maintenance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str">
        <f>IFERROR(__xludf.DUMMYFUNCTION("""COMPUTED_VALUE"""),"residential HVAC services")</f>
        <v>residential HVAC services</v>
      </c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 t="str">
        <f>IFERROR(__xludf.DUMMYFUNCTION("""COMPUTED_VALUE"""),"HVAC services near me")</f>
        <v>HVAC services near me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str">
        <f>IFERROR(__xludf.DUMMYFUNCTION("""COMPUTED_VALUE"""),"residential refrigeration repair")</f>
        <v>residential refrigeration repair</v>
      </c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tr">
        <f>IFERROR(__xludf.DUMMYFUNCTION("""COMPUTED_VALUE"""),"HVAC services professional")</f>
        <v>HVAC services professional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str">
        <f>IFERROR(__xludf.DUMMYFUNCTION("""COMPUTED_VALUE"""),"same day air conditioning")</f>
        <v>same day air conditioning</v>
      </c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 t="str">
        <f>IFERROR(__xludf.DUMMYFUNCTION("""COMPUTED_VALUE"""),"HVAC services quote")</f>
        <v>HVAC services quote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 t="str">
        <f>IFERROR(__xludf.DUMMYFUNCTION("""COMPUTED_VALUE"""),"same day air conditioning repair")</f>
        <v>same day air conditioning repair</v>
      </c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 t="str">
        <f>IFERROR(__xludf.DUMMYFUNCTION("""COMPUTED_VALUE"""),"HVAC services reliable")</f>
        <v>HVAC services reliable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 t="str">
        <f>IFERROR(__xludf.DUMMYFUNCTION("""COMPUTED_VALUE"""),"same day aircon installation")</f>
        <v>same day aircon installation</v>
      </c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 t="str">
        <f>IFERROR(__xludf.DUMMYFUNCTION("""COMPUTED_VALUE"""),"HVAC services repair")</f>
        <v>HVAC services repair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tr">
        <f>IFERROR(__xludf.DUMMYFUNCTION("""COMPUTED_VALUE"""),"same day aircon repair")</f>
        <v>same day aircon repair</v>
      </c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tr">
        <f>IFERROR(__xludf.DUMMYFUNCTION("""COMPUTED_VALUE"""),"HVAC services residential")</f>
        <v>HVAC services residential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tr">
        <f>IFERROR(__xludf.DUMMYFUNCTION("""COMPUTED_VALUE"""),"same day aircon service")</f>
        <v>same day aircon service</v>
      </c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 t="str">
        <f>IFERROR(__xludf.DUMMYFUNCTION("""COMPUTED_VALUE"""),"HVAC services same day")</f>
        <v>HVAC services same day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tr">
        <f>IFERROR(__xludf.DUMMYFUNCTION("""COMPUTED_VALUE"""),"same day cold room repair")</f>
        <v>same day cold room repair</v>
      </c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tr">
        <f>IFERROR(__xludf.DUMMYFUNCTION("""COMPUTED_VALUE"""),"HVAC services technician")</f>
        <v>HVAC services technician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 t="str">
        <f>IFERROR(__xludf.DUMMYFUNCTION("""COMPUTED_VALUE"""),"same day commercial refrigeration")</f>
        <v>same day commercial refrigeration</v>
      </c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 t="str">
        <f>IFERROR(__xludf.DUMMYFUNCTION("""COMPUTED_VALUE"""),"refrigeration repair")</f>
        <v>refrigeration repair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tr">
        <f>IFERROR(__xludf.DUMMYFUNCTION("""COMPUTED_VALUE"""),"same day fridge repair")</f>
        <v>same day fridge repair</v>
      </c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 t="str">
        <f>IFERROR(__xludf.DUMMYFUNCTION("""COMPUTED_VALUE"""),"refrigeration repair affordable")</f>
        <v>refrigeration repair affordable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 t="str">
        <f>IFERROR(__xludf.DUMMYFUNCTION("""COMPUTED_VALUE"""),"same day HVAC services")</f>
        <v>same day HVAC services</v>
      </c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 t="str">
        <f>IFERROR(__xludf.DUMMYFUNCTION("""COMPUTED_VALUE"""),"refrigeration repair best")</f>
        <v>refrigeration repair best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 t="str">
        <f>IFERROR(__xludf.DUMMYFUNCTION("""COMPUTED_VALUE"""),"same day refrigeration repair")</f>
        <v>same day refrigeration repair</v>
      </c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 t="str">
        <f>IFERROR(__xludf.DUMMYFUNCTION("""COMPUTED_VALUE"""),"refrigeration repair cape town")</f>
        <v>refrigeration repair cape town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 t="str">
        <f>IFERROR(__xludf.DUMMYFUNCTION("""COMPUTED_VALUE"""),"service air conditioning")</f>
        <v>service air conditioning</v>
      </c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 t="str">
        <f>IFERROR(__xludf.DUMMYFUNCTION("""COMPUTED_VALUE"""),"refrigeration repair commercial")</f>
        <v>refrigeration repair commercial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 t="str">
        <f>IFERROR(__xludf.DUMMYFUNCTION("""COMPUTED_VALUE"""),"service air conditioning repair")</f>
        <v>service air conditioning repair</v>
      </c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 t="str">
        <f>IFERROR(__xludf.DUMMYFUNCTION("""COMPUTED_VALUE"""),"refrigeration repair company")</f>
        <v>refrigeration repair company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 t="str">
        <f>IFERROR(__xludf.DUMMYFUNCTION("""COMPUTED_VALUE"""),"service aircon installation")</f>
        <v>service aircon installation</v>
      </c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 t="str">
        <f>IFERROR(__xludf.DUMMYFUNCTION("""COMPUTED_VALUE"""),"refrigeration repair contractor")</f>
        <v>refrigeration repair contractor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 t="str">
        <f>IFERROR(__xludf.DUMMYFUNCTION("""COMPUTED_VALUE"""),"service aircon repair")</f>
        <v>service aircon repair</v>
      </c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 t="str">
        <f>IFERROR(__xludf.DUMMYFUNCTION("""COMPUTED_VALUE"""),"refrigeration repair cost")</f>
        <v>refrigeration repair cost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 t="str">
        <f>IFERROR(__xludf.DUMMYFUNCTION("""COMPUTED_VALUE"""),"service cold room repair")</f>
        <v>service cold room repair</v>
      </c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 t="str">
        <f>IFERROR(__xludf.DUMMYFUNCTION("""COMPUTED_VALUE"""),"refrigeration repair emergency")</f>
        <v>refrigeration repair emergency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 t="str">
        <f>IFERROR(__xludf.DUMMYFUNCTION("""COMPUTED_VALUE"""),"service commercial refrigeration")</f>
        <v>service commercial refrigeration</v>
      </c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 t="str">
        <f>IFERROR(__xludf.DUMMYFUNCTION("""COMPUTED_VALUE"""),"refrigeration repair installation")</f>
        <v>refrigeration repair installation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 t="str">
        <f>IFERROR(__xludf.DUMMYFUNCTION("""COMPUTED_VALUE"""),"service fridge repair")</f>
        <v>service fridge repair</v>
      </c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 t="str">
        <f>IFERROR(__xludf.DUMMYFUNCTION("""COMPUTED_VALUE"""),"refrigeration repair local")</f>
        <v>refrigeration repair local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str">
        <f>IFERROR(__xludf.DUMMYFUNCTION("""COMPUTED_VALUE"""),"service refrigeration repair")</f>
        <v>service refrigeration repair</v>
      </c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 t="str">
        <f>IFERROR(__xludf.DUMMYFUNCTION("""COMPUTED_VALUE"""),"refrigeration repair maintenance")</f>
        <v>refrigeration repair maintenance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 t="str">
        <f>IFERROR(__xludf.DUMMYFUNCTION("""COMPUTED_VALUE"""),"technician air conditioning")</f>
        <v>technician air conditioning</v>
      </c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 t="str">
        <f>IFERROR(__xludf.DUMMYFUNCTION("""COMPUTED_VALUE"""),"refrigeration repair near me")</f>
        <v>refrigeration repair near me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 t="str">
        <f>IFERROR(__xludf.DUMMYFUNCTION("""COMPUTED_VALUE"""),"technician air conditioning repair")</f>
        <v>technician air conditioning repair</v>
      </c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 t="str">
        <f>IFERROR(__xludf.DUMMYFUNCTION("""COMPUTED_VALUE"""),"refrigeration repair professional")</f>
        <v>refrigeration repair professional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 t="str">
        <f>IFERROR(__xludf.DUMMYFUNCTION("""COMPUTED_VALUE"""),"technician aircon installation")</f>
        <v>technician aircon installation</v>
      </c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 t="str">
        <f>IFERROR(__xludf.DUMMYFUNCTION("""COMPUTED_VALUE"""),"refrigeration repair quote")</f>
        <v>refrigeration repair quote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str">
        <f>IFERROR(__xludf.DUMMYFUNCTION("""COMPUTED_VALUE"""),"technician aircon repair")</f>
        <v>technician aircon repair</v>
      </c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 t="str">
        <f>IFERROR(__xludf.DUMMYFUNCTION("""COMPUTED_VALUE"""),"refrigeration repair reliable")</f>
        <v>refrigeration repair reliable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 t="str">
        <f>IFERROR(__xludf.DUMMYFUNCTION("""COMPUTED_VALUE"""),"technician aircon service")</f>
        <v>technician aircon service</v>
      </c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 t="str">
        <f>IFERROR(__xludf.DUMMYFUNCTION("""COMPUTED_VALUE"""),"refrigeration repair residential")</f>
        <v>refrigeration repair residential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 t="str">
        <f>IFERROR(__xludf.DUMMYFUNCTION("""COMPUTED_VALUE"""),"technician cold room repair")</f>
        <v>technician cold room repair</v>
      </c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 t="str">
        <f>IFERROR(__xludf.DUMMYFUNCTION("""COMPUTED_VALUE"""),"refrigeration repair same day")</f>
        <v>refrigeration repair same day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 t="str">
        <f>IFERROR(__xludf.DUMMYFUNCTION("""COMPUTED_VALUE"""),"technician commercial refrigeration")</f>
        <v>technician commercial refrigeration</v>
      </c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 t="str">
        <f>IFERROR(__xludf.DUMMYFUNCTION("""COMPUTED_VALUE"""),"refrigeration repair service")</f>
        <v>refrigeration repair service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 t="str">
        <f>IFERROR(__xludf.DUMMYFUNCTION("""COMPUTED_VALUE"""),"technician fridge repair")</f>
        <v>technician fridge repair</v>
      </c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 t="str">
        <f>IFERROR(__xludf.DUMMYFUNCTION("""COMPUTED_VALUE"""),"refrigeration repair technician")</f>
        <v>refrigeration repair technician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tr">
        <f>IFERROR(__xludf.DUMMYFUNCTION("""COMPUTED_VALUE"""),"technician HVAC services")</f>
        <v>technician HVAC services</v>
      </c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 t="str">
        <f>IFERROR(__xludf.DUMMYFUNCTION("""COMPUTED_VALUE"""),"technician refrigeration repair")</f>
        <v>technician refrigeration repair</v>
      </c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2" t="s">
        <v>3</v>
      </c>
      <c r="C1" s="2" t="s">
        <v>141</v>
      </c>
      <c r="D1" s="2" t="s">
        <v>142</v>
      </c>
      <c r="E1" s="2" t="s">
        <v>107</v>
      </c>
      <c r="F1" s="2" t="s">
        <v>121</v>
      </c>
      <c r="G1" s="2" t="s">
        <v>143</v>
      </c>
      <c r="H1" s="2" t="s">
        <v>20</v>
      </c>
      <c r="I1" s="2" t="s">
        <v>112</v>
      </c>
      <c r="J1" s="2" t="s">
        <v>12</v>
      </c>
      <c r="K1" s="2" t="s">
        <v>5</v>
      </c>
      <c r="L1" s="5" t="s">
        <v>21</v>
      </c>
      <c r="M1" s="2"/>
      <c r="N1" s="2" t="s">
        <v>3</v>
      </c>
      <c r="O1" s="2" t="s">
        <v>141</v>
      </c>
      <c r="P1" s="2" t="s">
        <v>142</v>
      </c>
      <c r="Q1" s="2" t="s">
        <v>107</v>
      </c>
      <c r="R1" s="2" t="s">
        <v>121</v>
      </c>
      <c r="S1" s="2" t="s">
        <v>143</v>
      </c>
      <c r="T1" s="2" t="s">
        <v>20</v>
      </c>
      <c r="U1" s="2" t="s">
        <v>112</v>
      </c>
      <c r="V1" s="2" t="s">
        <v>12</v>
      </c>
      <c r="W1" s="2" t="s">
        <v>5</v>
      </c>
      <c r="X1" s="8" t="s">
        <v>32</v>
      </c>
      <c r="Y1" s="4"/>
      <c r="Z1" s="4"/>
    </row>
    <row r="2">
      <c r="A2" s="9" t="s">
        <v>35</v>
      </c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41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4"/>
      <c r="Z2" s="4"/>
    </row>
    <row r="3">
      <c r="A3" s="13" t="s">
        <v>144</v>
      </c>
      <c r="B3" s="14" t="str">
        <f t="shared" ref="B3:K3" si="1">IF($A3="","",IF(OR(ISNUMBER(SEARCH(LOWER($A3),LOWER(B$1))),AND(RIGHT(LOWER($A3),1)="s",ISNUMBER(SEARCH(LEFT(LOWER($A3),LEN($A3)-1),LOWER(B$1))))),B$1,B$1&amp;" "&amp;$A3))</f>
        <v>plumbing services home</v>
      </c>
      <c r="C3" s="14" t="str">
        <f t="shared" si="1"/>
        <v>emergency plumbing home</v>
      </c>
      <c r="D3" s="14" t="str">
        <f t="shared" si="1"/>
        <v>geyser repairs home</v>
      </c>
      <c r="E3" s="14" t="str">
        <f t="shared" si="1"/>
        <v>drain cleaning home</v>
      </c>
      <c r="F3" s="14" t="str">
        <f t="shared" si="1"/>
        <v>electrical repairs home</v>
      </c>
      <c r="G3" s="14" t="str">
        <f t="shared" si="1"/>
        <v>air conditioning services home</v>
      </c>
      <c r="H3" s="14" t="str">
        <f t="shared" si="1"/>
        <v>refrigeration services home</v>
      </c>
      <c r="I3" s="14" t="str">
        <f t="shared" si="1"/>
        <v>leak detection home</v>
      </c>
      <c r="J3" s="14" t="str">
        <f t="shared" si="1"/>
        <v>maintenance plumber home</v>
      </c>
      <c r="K3" s="14" t="str">
        <f t="shared" si="1"/>
        <v>plumbing company home</v>
      </c>
      <c r="L3" s="16" t="str">
        <f>IFERROR(__xludf.DUMMYFUNCTION("SORT(UNIQUE(FILTER(FLATTEN(B3:K82),FLATTEN(B3:K82)&lt;&gt;"""")))"),"air conditioning services apartment")</f>
        <v>air conditioning services apartment</v>
      </c>
      <c r="M3" s="17"/>
      <c r="N3" s="14" t="str">
        <f t="shared" ref="N3:W3" si="2">IF($A3="","",IF(OR(ISNUMBER(SEARCH(LOWER($A3),LOWER(N$1))),AND(RIGHT(LOWER($A3),1)="s",ISNUMBER(SEARCH(LEFT(LOWER($A3),LEN($A3)-1),LOWER(N$1))))),N$1,$A3&amp;" "&amp;N$1))</f>
        <v>home plumbing services</v>
      </c>
      <c r="O3" s="14" t="str">
        <f t="shared" si="2"/>
        <v>home emergency plumbing</v>
      </c>
      <c r="P3" s="14" t="str">
        <f t="shared" si="2"/>
        <v>home geyser repairs</v>
      </c>
      <c r="Q3" s="14" t="str">
        <f t="shared" si="2"/>
        <v>home drain cleaning</v>
      </c>
      <c r="R3" s="14" t="str">
        <f t="shared" si="2"/>
        <v>home electrical repairs</v>
      </c>
      <c r="S3" s="14" t="str">
        <f t="shared" si="2"/>
        <v>home air conditioning services</v>
      </c>
      <c r="T3" s="14" t="str">
        <f t="shared" si="2"/>
        <v>home refrigeration services</v>
      </c>
      <c r="U3" s="14" t="str">
        <f t="shared" si="2"/>
        <v>home leak detection</v>
      </c>
      <c r="V3" s="14" t="str">
        <f t="shared" si="2"/>
        <v>home maintenance plumber</v>
      </c>
      <c r="W3" s="14" t="str">
        <f t="shared" si="2"/>
        <v>home plumbing company</v>
      </c>
      <c r="X3" s="18" t="str">
        <f>IFERROR(__xludf.DUMMYFUNCTION("SORT(UNIQUE(FILTER(FLATTEN(N3:W82),FLATTEN(N3:W82)&lt;&gt;"""")))"),"apartment air conditioning services")</f>
        <v>apartment air conditioning services</v>
      </c>
      <c r="Y3" s="4"/>
      <c r="Z3" s="4"/>
    </row>
    <row r="4">
      <c r="A4" s="13" t="s">
        <v>145</v>
      </c>
      <c r="B4" s="14" t="str">
        <f t="shared" ref="B4:K4" si="3">IF($A4="","",IF(OR(ISNUMBER(SEARCH(LOWER($A4),LOWER(B$1))),AND(RIGHT(LOWER($A4),1)="s",ISNUMBER(SEARCH(LEFT(LOWER($A4),LEN($A4)-1),LOWER(B$1))))),B$1,B$1&amp;" "&amp;$A4))</f>
        <v>plumbing services house</v>
      </c>
      <c r="C4" s="14" t="str">
        <f t="shared" si="3"/>
        <v>emergency plumbing house</v>
      </c>
      <c r="D4" s="14" t="str">
        <f t="shared" si="3"/>
        <v>geyser repairs house</v>
      </c>
      <c r="E4" s="14" t="str">
        <f t="shared" si="3"/>
        <v>drain cleaning house</v>
      </c>
      <c r="F4" s="14" t="str">
        <f t="shared" si="3"/>
        <v>electrical repairs house</v>
      </c>
      <c r="G4" s="14" t="str">
        <f t="shared" si="3"/>
        <v>air conditioning services house</v>
      </c>
      <c r="H4" s="14" t="str">
        <f t="shared" si="3"/>
        <v>refrigeration services house</v>
      </c>
      <c r="I4" s="14" t="str">
        <f t="shared" si="3"/>
        <v>leak detection house</v>
      </c>
      <c r="J4" s="14" t="str">
        <f t="shared" si="3"/>
        <v>maintenance plumber house</v>
      </c>
      <c r="K4" s="14" t="str">
        <f t="shared" si="3"/>
        <v>plumbing company house</v>
      </c>
      <c r="L4" s="16" t="str">
        <f>IFERROR(__xludf.DUMMYFUNCTION("""COMPUTED_VALUE"""),"air conditioning services body corporate")</f>
        <v>air conditioning services body corporate</v>
      </c>
      <c r="M4" s="17"/>
      <c r="N4" s="14" t="str">
        <f t="shared" ref="N4:W4" si="4">IF($A4="","",IF(OR(ISNUMBER(SEARCH(LOWER($A4),LOWER(N$1))),AND(RIGHT(LOWER($A4),1)="s",ISNUMBER(SEARCH(LEFT(LOWER($A4),LEN($A4)-1),LOWER(N$1))))),N$1,$A4&amp;" "&amp;N$1))</f>
        <v>house plumbing services</v>
      </c>
      <c r="O4" s="14" t="str">
        <f t="shared" si="4"/>
        <v>house emergency plumbing</v>
      </c>
      <c r="P4" s="14" t="str">
        <f t="shared" si="4"/>
        <v>house geyser repairs</v>
      </c>
      <c r="Q4" s="14" t="str">
        <f t="shared" si="4"/>
        <v>house drain cleaning</v>
      </c>
      <c r="R4" s="14" t="str">
        <f t="shared" si="4"/>
        <v>house electrical repairs</v>
      </c>
      <c r="S4" s="14" t="str">
        <f t="shared" si="4"/>
        <v>house air conditioning services</v>
      </c>
      <c r="T4" s="14" t="str">
        <f t="shared" si="4"/>
        <v>house refrigeration services</v>
      </c>
      <c r="U4" s="14" t="str">
        <f t="shared" si="4"/>
        <v>house leak detection</v>
      </c>
      <c r="V4" s="14" t="str">
        <f t="shared" si="4"/>
        <v>house maintenance plumber</v>
      </c>
      <c r="W4" s="14" t="str">
        <f t="shared" si="4"/>
        <v>house plumbing company</v>
      </c>
      <c r="X4" s="18" t="str">
        <f>IFERROR(__xludf.DUMMYFUNCTION("""COMPUTED_VALUE"""),"apartment drain cleaning")</f>
        <v>apartment drain cleaning</v>
      </c>
      <c r="Y4" s="4"/>
      <c r="Z4" s="4"/>
    </row>
    <row r="5">
      <c r="A5" s="13" t="s">
        <v>146</v>
      </c>
      <c r="B5" s="14" t="str">
        <f t="shared" ref="B5:K5" si="5">IF($A5="","",IF(OR(ISNUMBER(SEARCH(LOWER($A5),LOWER(B$1))),AND(RIGHT(LOWER($A5),1)="s",ISNUMBER(SEARCH(LEFT(LOWER($A5),LEN($A5)-1),LOWER(B$1))))),B$1,B$1&amp;" "&amp;$A5))</f>
        <v>plumbing services apartment</v>
      </c>
      <c r="C5" s="14" t="str">
        <f t="shared" si="5"/>
        <v>emergency plumbing apartment</v>
      </c>
      <c r="D5" s="14" t="str">
        <f t="shared" si="5"/>
        <v>geyser repairs apartment</v>
      </c>
      <c r="E5" s="14" t="str">
        <f t="shared" si="5"/>
        <v>drain cleaning apartment</v>
      </c>
      <c r="F5" s="14" t="str">
        <f t="shared" si="5"/>
        <v>electrical repairs apartment</v>
      </c>
      <c r="G5" s="14" t="str">
        <f t="shared" si="5"/>
        <v>air conditioning services apartment</v>
      </c>
      <c r="H5" s="14" t="str">
        <f t="shared" si="5"/>
        <v>refrigeration services apartment</v>
      </c>
      <c r="I5" s="14" t="str">
        <f t="shared" si="5"/>
        <v>leak detection apartment</v>
      </c>
      <c r="J5" s="14" t="str">
        <f t="shared" si="5"/>
        <v>maintenance plumber apartment</v>
      </c>
      <c r="K5" s="14" t="str">
        <f t="shared" si="5"/>
        <v>plumbing company apartment</v>
      </c>
      <c r="L5" s="16" t="str">
        <f>IFERROR(__xludf.DUMMYFUNCTION("""COMPUTED_VALUE"""),"air conditioning services building")</f>
        <v>air conditioning services building</v>
      </c>
      <c r="M5" s="17"/>
      <c r="N5" s="14" t="str">
        <f t="shared" ref="N5:W5" si="6">IF($A5="","",IF(OR(ISNUMBER(SEARCH(LOWER($A5),LOWER(N$1))),AND(RIGHT(LOWER($A5),1)="s",ISNUMBER(SEARCH(LEFT(LOWER($A5),LEN($A5)-1),LOWER(N$1))))),N$1,$A5&amp;" "&amp;N$1))</f>
        <v>apartment plumbing services</v>
      </c>
      <c r="O5" s="14" t="str">
        <f t="shared" si="6"/>
        <v>apartment emergency plumbing</v>
      </c>
      <c r="P5" s="14" t="str">
        <f t="shared" si="6"/>
        <v>apartment geyser repairs</v>
      </c>
      <c r="Q5" s="14" t="str">
        <f t="shared" si="6"/>
        <v>apartment drain cleaning</v>
      </c>
      <c r="R5" s="14" t="str">
        <f t="shared" si="6"/>
        <v>apartment electrical repairs</v>
      </c>
      <c r="S5" s="14" t="str">
        <f t="shared" si="6"/>
        <v>apartment air conditioning services</v>
      </c>
      <c r="T5" s="14" t="str">
        <f t="shared" si="6"/>
        <v>apartment refrigeration services</v>
      </c>
      <c r="U5" s="14" t="str">
        <f t="shared" si="6"/>
        <v>apartment leak detection</v>
      </c>
      <c r="V5" s="14" t="str">
        <f t="shared" si="6"/>
        <v>apartment maintenance plumber</v>
      </c>
      <c r="W5" s="14" t="str">
        <f t="shared" si="6"/>
        <v>apartment plumbing company</v>
      </c>
      <c r="X5" s="18" t="str">
        <f>IFERROR(__xludf.DUMMYFUNCTION("""COMPUTED_VALUE"""),"apartment electrical repairs")</f>
        <v>apartment electrical repairs</v>
      </c>
      <c r="Y5" s="4"/>
      <c r="Z5" s="4"/>
    </row>
    <row r="6">
      <c r="A6" s="13" t="s">
        <v>147</v>
      </c>
      <c r="B6" s="14" t="str">
        <f t="shared" ref="B6:K6" si="7">IF($A6="","",IF(OR(ISNUMBER(SEARCH(LOWER($A6),LOWER(B$1))),AND(RIGHT(LOWER($A6),1)="s",ISNUMBER(SEARCH(LEFT(LOWER($A6),LEN($A6)-1),LOWER(B$1))))),B$1,B$1&amp;" "&amp;$A6))</f>
        <v>plumbing services flat</v>
      </c>
      <c r="C6" s="14" t="str">
        <f t="shared" si="7"/>
        <v>emergency plumbing flat</v>
      </c>
      <c r="D6" s="14" t="str">
        <f t="shared" si="7"/>
        <v>geyser repairs flat</v>
      </c>
      <c r="E6" s="14" t="str">
        <f t="shared" si="7"/>
        <v>drain cleaning flat</v>
      </c>
      <c r="F6" s="14" t="str">
        <f t="shared" si="7"/>
        <v>electrical repairs flat</v>
      </c>
      <c r="G6" s="14" t="str">
        <f t="shared" si="7"/>
        <v>air conditioning services flat</v>
      </c>
      <c r="H6" s="14" t="str">
        <f t="shared" si="7"/>
        <v>refrigeration services flat</v>
      </c>
      <c r="I6" s="14" t="str">
        <f t="shared" si="7"/>
        <v>leak detection flat</v>
      </c>
      <c r="J6" s="14" t="str">
        <f t="shared" si="7"/>
        <v>maintenance plumber flat</v>
      </c>
      <c r="K6" s="14" t="str">
        <f t="shared" si="7"/>
        <v>plumbing company flat</v>
      </c>
      <c r="L6" s="16" t="str">
        <f>IFERROR(__xludf.DUMMYFUNCTION("""COMPUTED_VALUE"""),"air conditioning services business")</f>
        <v>air conditioning services business</v>
      </c>
      <c r="M6" s="17"/>
      <c r="N6" s="14" t="str">
        <f t="shared" ref="N6:W6" si="8">IF($A6="","",IF(OR(ISNUMBER(SEARCH(LOWER($A6),LOWER(N$1))),AND(RIGHT(LOWER($A6),1)="s",ISNUMBER(SEARCH(LEFT(LOWER($A6),LEN($A6)-1),LOWER(N$1))))),N$1,$A6&amp;" "&amp;N$1))</f>
        <v>flat plumbing services</v>
      </c>
      <c r="O6" s="14" t="str">
        <f t="shared" si="8"/>
        <v>flat emergency plumbing</v>
      </c>
      <c r="P6" s="14" t="str">
        <f t="shared" si="8"/>
        <v>flat geyser repairs</v>
      </c>
      <c r="Q6" s="14" t="str">
        <f t="shared" si="8"/>
        <v>flat drain cleaning</v>
      </c>
      <c r="R6" s="14" t="str">
        <f t="shared" si="8"/>
        <v>flat electrical repairs</v>
      </c>
      <c r="S6" s="14" t="str">
        <f t="shared" si="8"/>
        <v>flat air conditioning services</v>
      </c>
      <c r="T6" s="14" t="str">
        <f t="shared" si="8"/>
        <v>flat refrigeration services</v>
      </c>
      <c r="U6" s="14" t="str">
        <f t="shared" si="8"/>
        <v>flat leak detection</v>
      </c>
      <c r="V6" s="14" t="str">
        <f t="shared" si="8"/>
        <v>flat maintenance plumber</v>
      </c>
      <c r="W6" s="14" t="str">
        <f t="shared" si="8"/>
        <v>flat plumbing company</v>
      </c>
      <c r="X6" s="18" t="str">
        <f>IFERROR(__xludf.DUMMYFUNCTION("""COMPUTED_VALUE"""),"apartment emergency plumbing")</f>
        <v>apartment emergency plumbing</v>
      </c>
      <c r="Y6" s="4"/>
      <c r="Z6" s="4"/>
    </row>
    <row r="7">
      <c r="A7" s="13" t="s">
        <v>148</v>
      </c>
      <c r="B7" s="14" t="str">
        <f t="shared" ref="B7:K7" si="9">IF($A7="","",IF(OR(ISNUMBER(SEARCH(LOWER($A7),LOWER(B$1))),AND(RIGHT(LOWER($A7),1)="s",ISNUMBER(SEARCH(LEFT(LOWER($A7),LEN($A7)-1),LOWER(B$1))))),B$1,B$1&amp;" "&amp;$A7))</f>
        <v>plumbing services townhouse</v>
      </c>
      <c r="C7" s="14" t="str">
        <f t="shared" si="9"/>
        <v>emergency plumbing townhouse</v>
      </c>
      <c r="D7" s="14" t="str">
        <f t="shared" si="9"/>
        <v>geyser repairs townhouse</v>
      </c>
      <c r="E7" s="14" t="str">
        <f t="shared" si="9"/>
        <v>drain cleaning townhouse</v>
      </c>
      <c r="F7" s="14" t="str">
        <f t="shared" si="9"/>
        <v>electrical repairs townhouse</v>
      </c>
      <c r="G7" s="14" t="str">
        <f t="shared" si="9"/>
        <v>air conditioning services townhouse</v>
      </c>
      <c r="H7" s="14" t="str">
        <f t="shared" si="9"/>
        <v>refrigeration services townhouse</v>
      </c>
      <c r="I7" s="14" t="str">
        <f t="shared" si="9"/>
        <v>leak detection townhouse</v>
      </c>
      <c r="J7" s="14" t="str">
        <f t="shared" si="9"/>
        <v>maintenance plumber townhouse</v>
      </c>
      <c r="K7" s="14" t="str">
        <f t="shared" si="9"/>
        <v>plumbing company townhouse</v>
      </c>
      <c r="L7" s="16" t="str">
        <f>IFERROR(__xludf.DUMMYFUNCTION("""COMPUTED_VALUE"""),"air conditioning services commercial property")</f>
        <v>air conditioning services commercial property</v>
      </c>
      <c r="M7" s="17"/>
      <c r="N7" s="14" t="str">
        <f t="shared" ref="N7:W7" si="10">IF($A7="","",IF(OR(ISNUMBER(SEARCH(LOWER($A7),LOWER(N$1))),AND(RIGHT(LOWER($A7),1)="s",ISNUMBER(SEARCH(LEFT(LOWER($A7),LEN($A7)-1),LOWER(N$1))))),N$1,$A7&amp;" "&amp;N$1))</f>
        <v>townhouse plumbing services</v>
      </c>
      <c r="O7" s="14" t="str">
        <f t="shared" si="10"/>
        <v>townhouse emergency plumbing</v>
      </c>
      <c r="P7" s="14" t="str">
        <f t="shared" si="10"/>
        <v>townhouse geyser repairs</v>
      </c>
      <c r="Q7" s="14" t="str">
        <f t="shared" si="10"/>
        <v>townhouse drain cleaning</v>
      </c>
      <c r="R7" s="14" t="str">
        <f t="shared" si="10"/>
        <v>townhouse electrical repairs</v>
      </c>
      <c r="S7" s="14" t="str">
        <f t="shared" si="10"/>
        <v>townhouse air conditioning services</v>
      </c>
      <c r="T7" s="14" t="str">
        <f t="shared" si="10"/>
        <v>townhouse refrigeration services</v>
      </c>
      <c r="U7" s="14" t="str">
        <f t="shared" si="10"/>
        <v>townhouse leak detection</v>
      </c>
      <c r="V7" s="14" t="str">
        <f t="shared" si="10"/>
        <v>townhouse maintenance plumber</v>
      </c>
      <c r="W7" s="14" t="str">
        <f t="shared" si="10"/>
        <v>townhouse plumbing company</v>
      </c>
      <c r="X7" s="18" t="str">
        <f>IFERROR(__xludf.DUMMYFUNCTION("""COMPUTED_VALUE"""),"apartment geyser repairs")</f>
        <v>apartment geyser repairs</v>
      </c>
      <c r="Y7" s="4"/>
      <c r="Z7" s="4"/>
    </row>
    <row r="8">
      <c r="A8" s="13" t="s">
        <v>149</v>
      </c>
      <c r="B8" s="14" t="str">
        <f t="shared" ref="B8:K8" si="11">IF($A8="","",IF(OR(ISNUMBER(SEARCH(LOWER($A8),LOWER(B$1))),AND(RIGHT(LOWER($A8),1)="s",ISNUMBER(SEARCH(LEFT(LOWER($A8),LEN($A8)-1),LOWER(B$1))))),B$1,B$1&amp;" "&amp;$A8))</f>
        <v>plumbing services office</v>
      </c>
      <c r="C8" s="14" t="str">
        <f t="shared" si="11"/>
        <v>emergency plumbing office</v>
      </c>
      <c r="D8" s="14" t="str">
        <f t="shared" si="11"/>
        <v>geyser repairs office</v>
      </c>
      <c r="E8" s="14" t="str">
        <f t="shared" si="11"/>
        <v>drain cleaning office</v>
      </c>
      <c r="F8" s="14" t="str">
        <f t="shared" si="11"/>
        <v>electrical repairs office</v>
      </c>
      <c r="G8" s="14" t="str">
        <f t="shared" si="11"/>
        <v>air conditioning services office</v>
      </c>
      <c r="H8" s="14" t="str">
        <f t="shared" si="11"/>
        <v>refrigeration services office</v>
      </c>
      <c r="I8" s="14" t="str">
        <f t="shared" si="11"/>
        <v>leak detection office</v>
      </c>
      <c r="J8" s="14" t="str">
        <f t="shared" si="11"/>
        <v>maintenance plumber office</v>
      </c>
      <c r="K8" s="14" t="str">
        <f t="shared" si="11"/>
        <v>plumbing company office</v>
      </c>
      <c r="L8" s="16" t="str">
        <f>IFERROR(__xludf.DUMMYFUNCTION("""COMPUTED_VALUE"""),"air conditioning services estate agent")</f>
        <v>air conditioning services estate agent</v>
      </c>
      <c r="M8" s="17"/>
      <c r="N8" s="14" t="str">
        <f t="shared" ref="N8:W8" si="12">IF($A8="","",IF(OR(ISNUMBER(SEARCH(LOWER($A8),LOWER(N$1))),AND(RIGHT(LOWER($A8),1)="s",ISNUMBER(SEARCH(LEFT(LOWER($A8),LEN($A8)-1),LOWER(N$1))))),N$1,$A8&amp;" "&amp;N$1))</f>
        <v>office plumbing services</v>
      </c>
      <c r="O8" s="14" t="str">
        <f t="shared" si="12"/>
        <v>office emergency plumbing</v>
      </c>
      <c r="P8" s="14" t="str">
        <f t="shared" si="12"/>
        <v>office geyser repairs</v>
      </c>
      <c r="Q8" s="14" t="str">
        <f t="shared" si="12"/>
        <v>office drain cleaning</v>
      </c>
      <c r="R8" s="14" t="str">
        <f t="shared" si="12"/>
        <v>office electrical repairs</v>
      </c>
      <c r="S8" s="14" t="str">
        <f t="shared" si="12"/>
        <v>office air conditioning services</v>
      </c>
      <c r="T8" s="14" t="str">
        <f t="shared" si="12"/>
        <v>office refrigeration services</v>
      </c>
      <c r="U8" s="14" t="str">
        <f t="shared" si="12"/>
        <v>office leak detection</v>
      </c>
      <c r="V8" s="14" t="str">
        <f t="shared" si="12"/>
        <v>office maintenance plumber</v>
      </c>
      <c r="W8" s="14" t="str">
        <f t="shared" si="12"/>
        <v>office plumbing company</v>
      </c>
      <c r="X8" s="18" t="str">
        <f>IFERROR(__xludf.DUMMYFUNCTION("""COMPUTED_VALUE"""),"apartment leak detection")</f>
        <v>apartment leak detection</v>
      </c>
      <c r="Y8" s="4"/>
      <c r="Z8" s="4"/>
    </row>
    <row r="9">
      <c r="A9" s="13" t="s">
        <v>150</v>
      </c>
      <c r="B9" s="14" t="str">
        <f t="shared" ref="B9:K9" si="13">IF($A9="","",IF(OR(ISNUMBER(SEARCH(LOWER($A9),LOWER(B$1))),AND(RIGHT(LOWER($A9),1)="s",ISNUMBER(SEARCH(LEFT(LOWER($A9),LEN($A9)-1),LOWER(B$1))))),B$1,B$1&amp;" "&amp;$A9))</f>
        <v>plumbing services shop</v>
      </c>
      <c r="C9" s="14" t="str">
        <f t="shared" si="13"/>
        <v>emergency plumbing shop</v>
      </c>
      <c r="D9" s="14" t="str">
        <f t="shared" si="13"/>
        <v>geyser repairs shop</v>
      </c>
      <c r="E9" s="14" t="str">
        <f t="shared" si="13"/>
        <v>drain cleaning shop</v>
      </c>
      <c r="F9" s="14" t="str">
        <f t="shared" si="13"/>
        <v>electrical repairs shop</v>
      </c>
      <c r="G9" s="14" t="str">
        <f t="shared" si="13"/>
        <v>air conditioning services shop</v>
      </c>
      <c r="H9" s="14" t="str">
        <f t="shared" si="13"/>
        <v>refrigeration services shop</v>
      </c>
      <c r="I9" s="14" t="str">
        <f t="shared" si="13"/>
        <v>leak detection shop</v>
      </c>
      <c r="J9" s="14" t="str">
        <f t="shared" si="13"/>
        <v>maintenance plumber shop</v>
      </c>
      <c r="K9" s="14" t="str">
        <f t="shared" si="13"/>
        <v>plumbing company shop</v>
      </c>
      <c r="L9" s="16" t="str">
        <f>IFERROR(__xludf.DUMMYFUNCTION("""COMPUTED_VALUE"""),"air conditioning services flat")</f>
        <v>air conditioning services flat</v>
      </c>
      <c r="M9" s="17"/>
      <c r="N9" s="14" t="str">
        <f t="shared" ref="N9:W9" si="14">IF($A9="","",IF(OR(ISNUMBER(SEARCH(LOWER($A9),LOWER(N$1))),AND(RIGHT(LOWER($A9),1)="s",ISNUMBER(SEARCH(LEFT(LOWER($A9),LEN($A9)-1),LOWER(N$1))))),N$1,$A9&amp;" "&amp;N$1))</f>
        <v>shop plumbing services</v>
      </c>
      <c r="O9" s="14" t="str">
        <f t="shared" si="14"/>
        <v>shop emergency plumbing</v>
      </c>
      <c r="P9" s="14" t="str">
        <f t="shared" si="14"/>
        <v>shop geyser repairs</v>
      </c>
      <c r="Q9" s="14" t="str">
        <f t="shared" si="14"/>
        <v>shop drain cleaning</v>
      </c>
      <c r="R9" s="14" t="str">
        <f t="shared" si="14"/>
        <v>shop electrical repairs</v>
      </c>
      <c r="S9" s="14" t="str">
        <f t="shared" si="14"/>
        <v>shop air conditioning services</v>
      </c>
      <c r="T9" s="14" t="str">
        <f t="shared" si="14"/>
        <v>shop refrigeration services</v>
      </c>
      <c r="U9" s="14" t="str">
        <f t="shared" si="14"/>
        <v>shop leak detection</v>
      </c>
      <c r="V9" s="14" t="str">
        <f t="shared" si="14"/>
        <v>shop maintenance plumber</v>
      </c>
      <c r="W9" s="14" t="str">
        <f t="shared" si="14"/>
        <v>shop plumbing company</v>
      </c>
      <c r="X9" s="18" t="str">
        <f>IFERROR(__xludf.DUMMYFUNCTION("""COMPUTED_VALUE"""),"apartment maintenance plumber")</f>
        <v>apartment maintenance plumber</v>
      </c>
      <c r="Y9" s="4"/>
      <c r="Z9" s="4"/>
    </row>
    <row r="10">
      <c r="A10" s="13" t="s">
        <v>152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plumbing services restaurant</v>
      </c>
      <c r="C10" s="14" t="str">
        <f t="shared" si="15"/>
        <v>emergency plumbing restaurant</v>
      </c>
      <c r="D10" s="14" t="str">
        <f t="shared" si="15"/>
        <v>geyser repairs restaurant</v>
      </c>
      <c r="E10" s="14" t="str">
        <f t="shared" si="15"/>
        <v>drain cleaning restaurant</v>
      </c>
      <c r="F10" s="14" t="str">
        <f t="shared" si="15"/>
        <v>electrical repairs restaurant</v>
      </c>
      <c r="G10" s="14" t="str">
        <f t="shared" si="15"/>
        <v>air conditioning services restaurant</v>
      </c>
      <c r="H10" s="14" t="str">
        <f t="shared" si="15"/>
        <v>refrigeration services restaurant</v>
      </c>
      <c r="I10" s="14" t="str">
        <f t="shared" si="15"/>
        <v>leak detection restaurant</v>
      </c>
      <c r="J10" s="14" t="str">
        <f t="shared" si="15"/>
        <v>maintenance plumber restaurant</v>
      </c>
      <c r="K10" s="14" t="str">
        <f t="shared" si="15"/>
        <v>plumbing company restaurant</v>
      </c>
      <c r="L10" s="16" t="str">
        <f>IFERROR(__xludf.DUMMYFUNCTION("""COMPUTED_VALUE"""),"air conditioning services guesthouse")</f>
        <v>air conditioning services guesthouse</v>
      </c>
      <c r="M10" s="17"/>
      <c r="N10" s="14" t="str">
        <f t="shared" ref="N10:W10" si="16">IF($A10="","",IF(OR(ISNUMBER(SEARCH(LOWER($A10),LOWER(N$1))),AND(RIGHT(LOWER($A10),1)="s",ISNUMBER(SEARCH(LEFT(LOWER($A10),LEN($A10)-1),LOWER(N$1))))),N$1,$A10&amp;" "&amp;N$1))</f>
        <v>restaurant plumbing services</v>
      </c>
      <c r="O10" s="14" t="str">
        <f t="shared" si="16"/>
        <v>restaurant emergency plumbing</v>
      </c>
      <c r="P10" s="14" t="str">
        <f t="shared" si="16"/>
        <v>restaurant geyser repairs</v>
      </c>
      <c r="Q10" s="14" t="str">
        <f t="shared" si="16"/>
        <v>restaurant drain cleaning</v>
      </c>
      <c r="R10" s="14" t="str">
        <f t="shared" si="16"/>
        <v>restaurant electrical repairs</v>
      </c>
      <c r="S10" s="14" t="str">
        <f t="shared" si="16"/>
        <v>restaurant air conditioning services</v>
      </c>
      <c r="T10" s="14" t="str">
        <f t="shared" si="16"/>
        <v>restaurant refrigeration services</v>
      </c>
      <c r="U10" s="14" t="str">
        <f t="shared" si="16"/>
        <v>restaurant leak detection</v>
      </c>
      <c r="V10" s="14" t="str">
        <f t="shared" si="16"/>
        <v>restaurant maintenance plumber</v>
      </c>
      <c r="W10" s="14" t="str">
        <f t="shared" si="16"/>
        <v>restaurant plumbing company</v>
      </c>
      <c r="X10" s="18" t="str">
        <f>IFERROR(__xludf.DUMMYFUNCTION("""COMPUTED_VALUE"""),"apartment plumbing company")</f>
        <v>apartment plumbing company</v>
      </c>
      <c r="Y10" s="4"/>
      <c r="Z10" s="4"/>
    </row>
    <row r="11">
      <c r="A11" s="13" t="s">
        <v>153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plumbing services hotel</v>
      </c>
      <c r="C11" s="14" t="str">
        <f t="shared" si="17"/>
        <v>emergency plumbing hotel</v>
      </c>
      <c r="D11" s="14" t="str">
        <f t="shared" si="17"/>
        <v>geyser repairs hotel</v>
      </c>
      <c r="E11" s="14" t="str">
        <f t="shared" si="17"/>
        <v>drain cleaning hotel</v>
      </c>
      <c r="F11" s="14" t="str">
        <f t="shared" si="17"/>
        <v>electrical repairs hotel</v>
      </c>
      <c r="G11" s="14" t="str">
        <f t="shared" si="17"/>
        <v>air conditioning services hotel</v>
      </c>
      <c r="H11" s="14" t="str">
        <f t="shared" si="17"/>
        <v>refrigeration services hotel</v>
      </c>
      <c r="I11" s="14" t="str">
        <f t="shared" si="17"/>
        <v>leak detection hotel</v>
      </c>
      <c r="J11" s="14" t="str">
        <f t="shared" si="17"/>
        <v>maintenance plumber hotel</v>
      </c>
      <c r="K11" s="14" t="str">
        <f t="shared" si="17"/>
        <v>plumbing company hotel</v>
      </c>
      <c r="L11" s="16" t="str">
        <f>IFERROR(__xludf.DUMMYFUNCTION("""COMPUTED_VALUE"""),"air conditioning services home")</f>
        <v>air conditioning services home</v>
      </c>
      <c r="M11" s="17"/>
      <c r="N11" s="14" t="str">
        <f t="shared" ref="N11:W11" si="18">IF($A11="","",IF(OR(ISNUMBER(SEARCH(LOWER($A11),LOWER(N$1))),AND(RIGHT(LOWER($A11),1)="s",ISNUMBER(SEARCH(LEFT(LOWER($A11),LEN($A11)-1),LOWER(N$1))))),N$1,$A11&amp;" "&amp;N$1))</f>
        <v>hotel plumbing services</v>
      </c>
      <c r="O11" s="14" t="str">
        <f t="shared" si="18"/>
        <v>hotel emergency plumbing</v>
      </c>
      <c r="P11" s="14" t="str">
        <f t="shared" si="18"/>
        <v>hotel geyser repairs</v>
      </c>
      <c r="Q11" s="14" t="str">
        <f t="shared" si="18"/>
        <v>hotel drain cleaning</v>
      </c>
      <c r="R11" s="14" t="str">
        <f t="shared" si="18"/>
        <v>hotel electrical repairs</v>
      </c>
      <c r="S11" s="14" t="str">
        <f t="shared" si="18"/>
        <v>hotel air conditioning services</v>
      </c>
      <c r="T11" s="14" t="str">
        <f t="shared" si="18"/>
        <v>hotel refrigeration services</v>
      </c>
      <c r="U11" s="14" t="str">
        <f t="shared" si="18"/>
        <v>hotel leak detection</v>
      </c>
      <c r="V11" s="14" t="str">
        <f t="shared" si="18"/>
        <v>hotel maintenance plumber</v>
      </c>
      <c r="W11" s="14" t="str">
        <f t="shared" si="18"/>
        <v>hotel plumbing company</v>
      </c>
      <c r="X11" s="18" t="str">
        <f>IFERROR(__xludf.DUMMYFUNCTION("""COMPUTED_VALUE"""),"apartment plumbing services")</f>
        <v>apartment plumbing services</v>
      </c>
      <c r="Y11" s="4"/>
      <c r="Z11" s="4"/>
    </row>
    <row r="12">
      <c r="A12" s="13" t="s">
        <v>154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plumbing services guesthouse</v>
      </c>
      <c r="C12" s="14" t="str">
        <f t="shared" si="19"/>
        <v>emergency plumbing guesthouse</v>
      </c>
      <c r="D12" s="14" t="str">
        <f t="shared" si="19"/>
        <v>geyser repairs guesthouse</v>
      </c>
      <c r="E12" s="14" t="str">
        <f t="shared" si="19"/>
        <v>drain cleaning guesthouse</v>
      </c>
      <c r="F12" s="14" t="str">
        <f t="shared" si="19"/>
        <v>electrical repairs guesthouse</v>
      </c>
      <c r="G12" s="14" t="str">
        <f t="shared" si="19"/>
        <v>air conditioning services guesthouse</v>
      </c>
      <c r="H12" s="14" t="str">
        <f t="shared" si="19"/>
        <v>refrigeration services guesthouse</v>
      </c>
      <c r="I12" s="14" t="str">
        <f t="shared" si="19"/>
        <v>leak detection guesthouse</v>
      </c>
      <c r="J12" s="14" t="str">
        <f t="shared" si="19"/>
        <v>maintenance plumber guesthouse</v>
      </c>
      <c r="K12" s="14" t="str">
        <f t="shared" si="19"/>
        <v>plumbing company guesthouse</v>
      </c>
      <c r="L12" s="16" t="str">
        <f>IFERROR(__xludf.DUMMYFUNCTION("""COMPUTED_VALUE"""),"air conditioning services hotel")</f>
        <v>air conditioning services hotel</v>
      </c>
      <c r="M12" s="17"/>
      <c r="N12" s="14" t="str">
        <f t="shared" ref="N12:W12" si="20">IF($A12="","",IF(OR(ISNUMBER(SEARCH(LOWER($A12),LOWER(N$1))),AND(RIGHT(LOWER($A12),1)="s",ISNUMBER(SEARCH(LEFT(LOWER($A12),LEN($A12)-1),LOWER(N$1))))),N$1,$A12&amp;" "&amp;N$1))</f>
        <v>guesthouse plumbing services</v>
      </c>
      <c r="O12" s="14" t="str">
        <f t="shared" si="20"/>
        <v>guesthouse emergency plumbing</v>
      </c>
      <c r="P12" s="14" t="str">
        <f t="shared" si="20"/>
        <v>guesthouse geyser repairs</v>
      </c>
      <c r="Q12" s="14" t="str">
        <f t="shared" si="20"/>
        <v>guesthouse drain cleaning</v>
      </c>
      <c r="R12" s="14" t="str">
        <f t="shared" si="20"/>
        <v>guesthouse electrical repairs</v>
      </c>
      <c r="S12" s="14" t="str">
        <f t="shared" si="20"/>
        <v>guesthouse air conditioning services</v>
      </c>
      <c r="T12" s="14" t="str">
        <f t="shared" si="20"/>
        <v>guesthouse refrigeration services</v>
      </c>
      <c r="U12" s="14" t="str">
        <f t="shared" si="20"/>
        <v>guesthouse leak detection</v>
      </c>
      <c r="V12" s="14" t="str">
        <f t="shared" si="20"/>
        <v>guesthouse maintenance plumber</v>
      </c>
      <c r="W12" s="14" t="str">
        <f t="shared" si="20"/>
        <v>guesthouse plumbing company</v>
      </c>
      <c r="X12" s="18" t="str">
        <f>IFERROR(__xludf.DUMMYFUNCTION("""COMPUTED_VALUE"""),"apartment refrigeration services")</f>
        <v>apartment refrigeration services</v>
      </c>
      <c r="Y12" s="4"/>
      <c r="Z12" s="4"/>
    </row>
    <row r="13">
      <c r="A13" s="13" t="s">
        <v>155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plumbing services school</v>
      </c>
      <c r="C13" s="14" t="str">
        <f t="shared" si="21"/>
        <v>emergency plumbing school</v>
      </c>
      <c r="D13" s="14" t="str">
        <f t="shared" si="21"/>
        <v>geyser repairs school</v>
      </c>
      <c r="E13" s="14" t="str">
        <f t="shared" si="21"/>
        <v>drain cleaning school</v>
      </c>
      <c r="F13" s="14" t="str">
        <f t="shared" si="21"/>
        <v>electrical repairs school</v>
      </c>
      <c r="G13" s="14" t="str">
        <f t="shared" si="21"/>
        <v>air conditioning services school</v>
      </c>
      <c r="H13" s="14" t="str">
        <f t="shared" si="21"/>
        <v>refrigeration services school</v>
      </c>
      <c r="I13" s="14" t="str">
        <f t="shared" si="21"/>
        <v>leak detection school</v>
      </c>
      <c r="J13" s="14" t="str">
        <f t="shared" si="21"/>
        <v>maintenance plumber school</v>
      </c>
      <c r="K13" s="14" t="str">
        <f t="shared" si="21"/>
        <v>plumbing company school</v>
      </c>
      <c r="L13" s="16" t="str">
        <f>IFERROR(__xludf.DUMMYFUNCTION("""COMPUTED_VALUE"""),"air conditioning services house")</f>
        <v>air conditioning services house</v>
      </c>
      <c r="M13" s="17"/>
      <c r="N13" s="14" t="str">
        <f t="shared" ref="N13:W13" si="22">IF($A13="","",IF(OR(ISNUMBER(SEARCH(LOWER($A13),LOWER(N$1))),AND(RIGHT(LOWER($A13),1)="s",ISNUMBER(SEARCH(LEFT(LOWER($A13),LEN($A13)-1),LOWER(N$1))))),N$1,$A13&amp;" "&amp;N$1))</f>
        <v>school plumbing services</v>
      </c>
      <c r="O13" s="14" t="str">
        <f t="shared" si="22"/>
        <v>school emergency plumbing</v>
      </c>
      <c r="P13" s="14" t="str">
        <f t="shared" si="22"/>
        <v>school geyser repairs</v>
      </c>
      <c r="Q13" s="14" t="str">
        <f t="shared" si="22"/>
        <v>school drain cleaning</v>
      </c>
      <c r="R13" s="14" t="str">
        <f t="shared" si="22"/>
        <v>school electrical repairs</v>
      </c>
      <c r="S13" s="14" t="str">
        <f t="shared" si="22"/>
        <v>school air conditioning services</v>
      </c>
      <c r="T13" s="14" t="str">
        <f t="shared" si="22"/>
        <v>school refrigeration services</v>
      </c>
      <c r="U13" s="14" t="str">
        <f t="shared" si="22"/>
        <v>school leak detection</v>
      </c>
      <c r="V13" s="14" t="str">
        <f t="shared" si="22"/>
        <v>school maintenance plumber</v>
      </c>
      <c r="W13" s="14" t="str">
        <f t="shared" si="22"/>
        <v>school plumbing company</v>
      </c>
      <c r="X13" s="18" t="str">
        <f>IFERROR(__xludf.DUMMYFUNCTION("""COMPUTED_VALUE"""),"body corporate air conditioning services")</f>
        <v>body corporate air conditioning services</v>
      </c>
      <c r="Y13" s="4"/>
      <c r="Z13" s="4"/>
    </row>
    <row r="14">
      <c r="A14" s="13" t="s">
        <v>156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plumbing services body corporate</v>
      </c>
      <c r="C14" s="14" t="str">
        <f t="shared" si="23"/>
        <v>emergency plumbing body corporate</v>
      </c>
      <c r="D14" s="14" t="str">
        <f t="shared" si="23"/>
        <v>geyser repairs body corporate</v>
      </c>
      <c r="E14" s="14" t="str">
        <f t="shared" si="23"/>
        <v>drain cleaning body corporate</v>
      </c>
      <c r="F14" s="14" t="str">
        <f t="shared" si="23"/>
        <v>electrical repairs body corporate</v>
      </c>
      <c r="G14" s="14" t="str">
        <f t="shared" si="23"/>
        <v>air conditioning services body corporate</v>
      </c>
      <c r="H14" s="14" t="str">
        <f t="shared" si="23"/>
        <v>refrigeration services body corporate</v>
      </c>
      <c r="I14" s="14" t="str">
        <f t="shared" si="23"/>
        <v>leak detection body corporate</v>
      </c>
      <c r="J14" s="14" t="str">
        <f t="shared" si="23"/>
        <v>maintenance plumber body corporate</v>
      </c>
      <c r="K14" s="14" t="str">
        <f t="shared" si="23"/>
        <v>plumbing company body corporate</v>
      </c>
      <c r="L14" s="16" t="str">
        <f>IFERROR(__xludf.DUMMYFUNCTION("""COMPUTED_VALUE"""),"air conditioning services landlord")</f>
        <v>air conditioning services landlord</v>
      </c>
      <c r="M14" s="17"/>
      <c r="N14" s="14" t="str">
        <f t="shared" ref="N14:W14" si="24">IF($A14="","",IF(OR(ISNUMBER(SEARCH(LOWER($A14),LOWER(N$1))),AND(RIGHT(LOWER($A14),1)="s",ISNUMBER(SEARCH(LEFT(LOWER($A14),LEN($A14)-1),LOWER(N$1))))),N$1,$A14&amp;" "&amp;N$1))</f>
        <v>body corporate plumbing services</v>
      </c>
      <c r="O14" s="14" t="str">
        <f t="shared" si="24"/>
        <v>body corporate emergency plumbing</v>
      </c>
      <c r="P14" s="14" t="str">
        <f t="shared" si="24"/>
        <v>body corporate geyser repairs</v>
      </c>
      <c r="Q14" s="14" t="str">
        <f t="shared" si="24"/>
        <v>body corporate drain cleaning</v>
      </c>
      <c r="R14" s="14" t="str">
        <f t="shared" si="24"/>
        <v>body corporate electrical repairs</v>
      </c>
      <c r="S14" s="14" t="str">
        <f t="shared" si="24"/>
        <v>body corporate air conditioning services</v>
      </c>
      <c r="T14" s="14" t="str">
        <f t="shared" si="24"/>
        <v>body corporate refrigeration services</v>
      </c>
      <c r="U14" s="14" t="str">
        <f t="shared" si="24"/>
        <v>body corporate leak detection</v>
      </c>
      <c r="V14" s="14" t="str">
        <f t="shared" si="24"/>
        <v>body corporate maintenance plumber</v>
      </c>
      <c r="W14" s="14" t="str">
        <f t="shared" si="24"/>
        <v>body corporate plumbing company</v>
      </c>
      <c r="X14" s="18" t="str">
        <f>IFERROR(__xludf.DUMMYFUNCTION("""COMPUTED_VALUE"""),"body corporate drain cleaning")</f>
        <v>body corporate drain cleaning</v>
      </c>
      <c r="Y14" s="4"/>
      <c r="Z14" s="4"/>
    </row>
    <row r="15">
      <c r="A15" s="13" t="s">
        <v>157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plumbing services landlord</v>
      </c>
      <c r="C15" s="14" t="str">
        <f t="shared" si="25"/>
        <v>emergency plumbing landlord</v>
      </c>
      <c r="D15" s="14" t="str">
        <f t="shared" si="25"/>
        <v>geyser repairs landlord</v>
      </c>
      <c r="E15" s="14" t="str">
        <f t="shared" si="25"/>
        <v>drain cleaning landlord</v>
      </c>
      <c r="F15" s="14" t="str">
        <f t="shared" si="25"/>
        <v>electrical repairs landlord</v>
      </c>
      <c r="G15" s="14" t="str">
        <f t="shared" si="25"/>
        <v>air conditioning services landlord</v>
      </c>
      <c r="H15" s="14" t="str">
        <f t="shared" si="25"/>
        <v>refrigeration services landlord</v>
      </c>
      <c r="I15" s="14" t="str">
        <f t="shared" si="25"/>
        <v>leak detection landlord</v>
      </c>
      <c r="J15" s="14" t="str">
        <f t="shared" si="25"/>
        <v>maintenance plumber landlord</v>
      </c>
      <c r="K15" s="14" t="str">
        <f t="shared" si="25"/>
        <v>plumbing company landlord</v>
      </c>
      <c r="L15" s="16" t="str">
        <f>IFERROR(__xludf.DUMMYFUNCTION("""COMPUTED_VALUE"""),"air conditioning services office")</f>
        <v>air conditioning services office</v>
      </c>
      <c r="M15" s="17"/>
      <c r="N15" s="14" t="str">
        <f t="shared" ref="N15:W15" si="26">IF($A15="","",IF(OR(ISNUMBER(SEARCH(LOWER($A15),LOWER(N$1))),AND(RIGHT(LOWER($A15),1)="s",ISNUMBER(SEARCH(LEFT(LOWER($A15),LEN($A15)-1),LOWER(N$1))))),N$1,$A15&amp;" "&amp;N$1))</f>
        <v>landlord plumbing services</v>
      </c>
      <c r="O15" s="14" t="str">
        <f t="shared" si="26"/>
        <v>landlord emergency plumbing</v>
      </c>
      <c r="P15" s="14" t="str">
        <f t="shared" si="26"/>
        <v>landlord geyser repairs</v>
      </c>
      <c r="Q15" s="14" t="str">
        <f t="shared" si="26"/>
        <v>landlord drain cleaning</v>
      </c>
      <c r="R15" s="14" t="str">
        <f t="shared" si="26"/>
        <v>landlord electrical repairs</v>
      </c>
      <c r="S15" s="14" t="str">
        <f t="shared" si="26"/>
        <v>landlord air conditioning services</v>
      </c>
      <c r="T15" s="14" t="str">
        <f t="shared" si="26"/>
        <v>landlord refrigeration services</v>
      </c>
      <c r="U15" s="14" t="str">
        <f t="shared" si="26"/>
        <v>landlord leak detection</v>
      </c>
      <c r="V15" s="14" t="str">
        <f t="shared" si="26"/>
        <v>landlord maintenance plumber</v>
      </c>
      <c r="W15" s="14" t="str">
        <f t="shared" si="26"/>
        <v>landlord plumbing company</v>
      </c>
      <c r="X15" s="18" t="str">
        <f>IFERROR(__xludf.DUMMYFUNCTION("""COMPUTED_VALUE"""),"body corporate electrical repairs")</f>
        <v>body corporate electrical repairs</v>
      </c>
      <c r="Y15" s="4"/>
      <c r="Z15" s="4"/>
    </row>
    <row r="16">
      <c r="A16" s="13" t="s">
        <v>158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plumbing services tenant</v>
      </c>
      <c r="C16" s="14" t="str">
        <f t="shared" si="27"/>
        <v>emergency plumbing tenant</v>
      </c>
      <c r="D16" s="14" t="str">
        <f t="shared" si="27"/>
        <v>geyser repairs tenant</v>
      </c>
      <c r="E16" s="14" t="str">
        <f t="shared" si="27"/>
        <v>drain cleaning tenant</v>
      </c>
      <c r="F16" s="14" t="str">
        <f t="shared" si="27"/>
        <v>electrical repairs tenant</v>
      </c>
      <c r="G16" s="14" t="str">
        <f t="shared" si="27"/>
        <v>air conditioning services tenant</v>
      </c>
      <c r="H16" s="14" t="str">
        <f t="shared" si="27"/>
        <v>refrigeration services tenant</v>
      </c>
      <c r="I16" s="14" t="str">
        <f t="shared" si="27"/>
        <v>leak detection tenant</v>
      </c>
      <c r="J16" s="14" t="str">
        <f t="shared" si="27"/>
        <v>maintenance plumber tenant</v>
      </c>
      <c r="K16" s="14" t="str">
        <f t="shared" si="27"/>
        <v>plumbing company tenant</v>
      </c>
      <c r="L16" s="16" t="str">
        <f>IFERROR(__xludf.DUMMYFUNCTION("""COMPUTED_VALUE"""),"air conditioning services property manager")</f>
        <v>air conditioning services property manager</v>
      </c>
      <c r="M16" s="17"/>
      <c r="N16" s="14" t="str">
        <f t="shared" ref="N16:W16" si="28">IF($A16="","",IF(OR(ISNUMBER(SEARCH(LOWER($A16),LOWER(N$1))),AND(RIGHT(LOWER($A16),1)="s",ISNUMBER(SEARCH(LEFT(LOWER($A16),LEN($A16)-1),LOWER(N$1))))),N$1,$A16&amp;" "&amp;N$1))</f>
        <v>tenant plumbing services</v>
      </c>
      <c r="O16" s="14" t="str">
        <f t="shared" si="28"/>
        <v>tenant emergency plumbing</v>
      </c>
      <c r="P16" s="14" t="str">
        <f t="shared" si="28"/>
        <v>tenant geyser repairs</v>
      </c>
      <c r="Q16" s="14" t="str">
        <f t="shared" si="28"/>
        <v>tenant drain cleaning</v>
      </c>
      <c r="R16" s="14" t="str">
        <f t="shared" si="28"/>
        <v>tenant electrical repairs</v>
      </c>
      <c r="S16" s="14" t="str">
        <f t="shared" si="28"/>
        <v>tenant air conditioning services</v>
      </c>
      <c r="T16" s="14" t="str">
        <f t="shared" si="28"/>
        <v>tenant refrigeration services</v>
      </c>
      <c r="U16" s="14" t="str">
        <f t="shared" si="28"/>
        <v>tenant leak detection</v>
      </c>
      <c r="V16" s="14" t="str">
        <f t="shared" si="28"/>
        <v>tenant maintenance plumber</v>
      </c>
      <c r="W16" s="14" t="str">
        <f t="shared" si="28"/>
        <v>tenant plumbing company</v>
      </c>
      <c r="X16" s="18" t="str">
        <f>IFERROR(__xludf.DUMMYFUNCTION("""COMPUTED_VALUE"""),"body corporate emergency plumbing")</f>
        <v>body corporate emergency plumbing</v>
      </c>
      <c r="Y16" s="4"/>
      <c r="Z16" s="4"/>
    </row>
    <row r="17">
      <c r="A17" s="13" t="s">
        <v>159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plumbing services estate agent</v>
      </c>
      <c r="C17" s="14" t="str">
        <f t="shared" si="29"/>
        <v>emergency plumbing estate agent</v>
      </c>
      <c r="D17" s="14" t="str">
        <f t="shared" si="29"/>
        <v>geyser repairs estate agent</v>
      </c>
      <c r="E17" s="14" t="str">
        <f t="shared" si="29"/>
        <v>drain cleaning estate agent</v>
      </c>
      <c r="F17" s="14" t="str">
        <f t="shared" si="29"/>
        <v>electrical repairs estate agent</v>
      </c>
      <c r="G17" s="14" t="str">
        <f t="shared" si="29"/>
        <v>air conditioning services estate agent</v>
      </c>
      <c r="H17" s="14" t="str">
        <f t="shared" si="29"/>
        <v>refrigeration services estate agent</v>
      </c>
      <c r="I17" s="14" t="str">
        <f t="shared" si="29"/>
        <v>leak detection estate agent</v>
      </c>
      <c r="J17" s="14" t="str">
        <f t="shared" si="29"/>
        <v>maintenance plumber estate agent</v>
      </c>
      <c r="K17" s="14" t="str">
        <f t="shared" si="29"/>
        <v>plumbing company estate agent</v>
      </c>
      <c r="L17" s="16" t="str">
        <f>IFERROR(__xludf.DUMMYFUNCTION("""COMPUTED_VALUE"""),"air conditioning services residential property")</f>
        <v>air conditioning services residential property</v>
      </c>
      <c r="M17" s="17"/>
      <c r="N17" s="14" t="str">
        <f t="shared" ref="N17:W17" si="30">IF($A17="","",IF(OR(ISNUMBER(SEARCH(LOWER($A17),LOWER(N$1))),AND(RIGHT(LOWER($A17),1)="s",ISNUMBER(SEARCH(LEFT(LOWER($A17),LEN($A17)-1),LOWER(N$1))))),N$1,$A17&amp;" "&amp;N$1))</f>
        <v>estate agent plumbing services</v>
      </c>
      <c r="O17" s="14" t="str">
        <f t="shared" si="30"/>
        <v>estate agent emergency plumbing</v>
      </c>
      <c r="P17" s="14" t="str">
        <f t="shared" si="30"/>
        <v>estate agent geyser repairs</v>
      </c>
      <c r="Q17" s="14" t="str">
        <f t="shared" si="30"/>
        <v>estate agent drain cleaning</v>
      </c>
      <c r="R17" s="14" t="str">
        <f t="shared" si="30"/>
        <v>estate agent electrical repairs</v>
      </c>
      <c r="S17" s="14" t="str">
        <f t="shared" si="30"/>
        <v>estate agent air conditioning services</v>
      </c>
      <c r="T17" s="14" t="str">
        <f t="shared" si="30"/>
        <v>estate agent refrigeration services</v>
      </c>
      <c r="U17" s="14" t="str">
        <f t="shared" si="30"/>
        <v>estate agent leak detection</v>
      </c>
      <c r="V17" s="14" t="str">
        <f t="shared" si="30"/>
        <v>estate agent maintenance plumber</v>
      </c>
      <c r="W17" s="14" t="str">
        <f t="shared" si="30"/>
        <v>estate agent plumbing company</v>
      </c>
      <c r="X17" s="18" t="str">
        <f>IFERROR(__xludf.DUMMYFUNCTION("""COMPUTED_VALUE"""),"body corporate geyser repairs")</f>
        <v>body corporate geyser repairs</v>
      </c>
      <c r="Y17" s="4"/>
      <c r="Z17" s="4"/>
    </row>
    <row r="18">
      <c r="A18" s="13" t="s">
        <v>160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plumbing services property manager</v>
      </c>
      <c r="C18" s="14" t="str">
        <f t="shared" si="31"/>
        <v>emergency plumbing property manager</v>
      </c>
      <c r="D18" s="14" t="str">
        <f t="shared" si="31"/>
        <v>geyser repairs property manager</v>
      </c>
      <c r="E18" s="14" t="str">
        <f t="shared" si="31"/>
        <v>drain cleaning property manager</v>
      </c>
      <c r="F18" s="14" t="str">
        <f t="shared" si="31"/>
        <v>electrical repairs property manager</v>
      </c>
      <c r="G18" s="14" t="str">
        <f t="shared" si="31"/>
        <v>air conditioning services property manager</v>
      </c>
      <c r="H18" s="14" t="str">
        <f t="shared" si="31"/>
        <v>refrigeration services property manager</v>
      </c>
      <c r="I18" s="14" t="str">
        <f t="shared" si="31"/>
        <v>leak detection property manager</v>
      </c>
      <c r="J18" s="14" t="str">
        <f t="shared" si="31"/>
        <v>maintenance plumber property manager</v>
      </c>
      <c r="K18" s="14" t="str">
        <f t="shared" si="31"/>
        <v>plumbing company property manager</v>
      </c>
      <c r="L18" s="16" t="str">
        <f>IFERROR(__xludf.DUMMYFUNCTION("""COMPUTED_VALUE"""),"air conditioning services restaurant")</f>
        <v>air conditioning services restaurant</v>
      </c>
      <c r="M18" s="17"/>
      <c r="N18" s="14" t="str">
        <f t="shared" ref="N18:W18" si="32">IF($A18="","",IF(OR(ISNUMBER(SEARCH(LOWER($A18),LOWER(N$1))),AND(RIGHT(LOWER($A18),1)="s",ISNUMBER(SEARCH(LEFT(LOWER($A18),LEN($A18)-1),LOWER(N$1))))),N$1,$A18&amp;" "&amp;N$1))</f>
        <v>property manager plumbing services</v>
      </c>
      <c r="O18" s="14" t="str">
        <f t="shared" si="32"/>
        <v>property manager emergency plumbing</v>
      </c>
      <c r="P18" s="14" t="str">
        <f t="shared" si="32"/>
        <v>property manager geyser repairs</v>
      </c>
      <c r="Q18" s="14" t="str">
        <f t="shared" si="32"/>
        <v>property manager drain cleaning</v>
      </c>
      <c r="R18" s="14" t="str">
        <f t="shared" si="32"/>
        <v>property manager electrical repairs</v>
      </c>
      <c r="S18" s="14" t="str">
        <f t="shared" si="32"/>
        <v>property manager air conditioning services</v>
      </c>
      <c r="T18" s="14" t="str">
        <f t="shared" si="32"/>
        <v>property manager refrigeration services</v>
      </c>
      <c r="U18" s="14" t="str">
        <f t="shared" si="32"/>
        <v>property manager leak detection</v>
      </c>
      <c r="V18" s="14" t="str">
        <f t="shared" si="32"/>
        <v>property manager maintenance plumber</v>
      </c>
      <c r="W18" s="14" t="str">
        <f t="shared" si="32"/>
        <v>property manager plumbing company</v>
      </c>
      <c r="X18" s="18" t="str">
        <f>IFERROR(__xludf.DUMMYFUNCTION("""COMPUTED_VALUE"""),"body corporate leak detection")</f>
        <v>body corporate leak detection</v>
      </c>
      <c r="Y18" s="4"/>
      <c r="Z18" s="4"/>
    </row>
    <row r="19">
      <c r="A19" s="13" t="s">
        <v>161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plumbing services commercial property</v>
      </c>
      <c r="C19" s="14" t="str">
        <f t="shared" si="33"/>
        <v>emergency plumbing commercial property</v>
      </c>
      <c r="D19" s="14" t="str">
        <f t="shared" si="33"/>
        <v>geyser repairs commercial property</v>
      </c>
      <c r="E19" s="14" t="str">
        <f t="shared" si="33"/>
        <v>drain cleaning commercial property</v>
      </c>
      <c r="F19" s="14" t="str">
        <f t="shared" si="33"/>
        <v>electrical repairs commercial property</v>
      </c>
      <c r="G19" s="14" t="str">
        <f t="shared" si="33"/>
        <v>air conditioning services commercial property</v>
      </c>
      <c r="H19" s="14" t="str">
        <f t="shared" si="33"/>
        <v>refrigeration services commercial property</v>
      </c>
      <c r="I19" s="14" t="str">
        <f t="shared" si="33"/>
        <v>leak detection commercial property</v>
      </c>
      <c r="J19" s="14" t="str">
        <f t="shared" si="33"/>
        <v>maintenance plumber commercial property</v>
      </c>
      <c r="K19" s="14" t="str">
        <f t="shared" si="33"/>
        <v>plumbing company commercial property</v>
      </c>
      <c r="L19" s="16" t="str">
        <f>IFERROR(__xludf.DUMMYFUNCTION("""COMPUTED_VALUE"""),"air conditioning services school")</f>
        <v>air conditioning services school</v>
      </c>
      <c r="M19" s="17"/>
      <c r="N19" s="14" t="str">
        <f t="shared" ref="N19:W19" si="34">IF($A19="","",IF(OR(ISNUMBER(SEARCH(LOWER($A19),LOWER(N$1))),AND(RIGHT(LOWER($A19),1)="s",ISNUMBER(SEARCH(LEFT(LOWER($A19),LEN($A19)-1),LOWER(N$1))))),N$1,$A19&amp;" "&amp;N$1))</f>
        <v>commercial property plumbing services</v>
      </c>
      <c r="O19" s="14" t="str">
        <f t="shared" si="34"/>
        <v>commercial property emergency plumbing</v>
      </c>
      <c r="P19" s="14" t="str">
        <f t="shared" si="34"/>
        <v>commercial property geyser repairs</v>
      </c>
      <c r="Q19" s="14" t="str">
        <f t="shared" si="34"/>
        <v>commercial property drain cleaning</v>
      </c>
      <c r="R19" s="14" t="str">
        <f t="shared" si="34"/>
        <v>commercial property electrical repairs</v>
      </c>
      <c r="S19" s="14" t="str">
        <f t="shared" si="34"/>
        <v>commercial property air conditioning services</v>
      </c>
      <c r="T19" s="14" t="str">
        <f t="shared" si="34"/>
        <v>commercial property refrigeration services</v>
      </c>
      <c r="U19" s="14" t="str">
        <f t="shared" si="34"/>
        <v>commercial property leak detection</v>
      </c>
      <c r="V19" s="14" t="str">
        <f t="shared" si="34"/>
        <v>commercial property maintenance plumber</v>
      </c>
      <c r="W19" s="14" t="str">
        <f t="shared" si="34"/>
        <v>commercial property plumbing company</v>
      </c>
      <c r="X19" s="18" t="str">
        <f>IFERROR(__xludf.DUMMYFUNCTION("""COMPUTED_VALUE"""),"body corporate maintenance plumber")</f>
        <v>body corporate maintenance plumber</v>
      </c>
      <c r="Y19" s="4"/>
      <c r="Z19" s="4"/>
    </row>
    <row r="20">
      <c r="A20" s="13" t="s">
        <v>162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plumbing services residential property</v>
      </c>
      <c r="C20" s="14" t="str">
        <f t="shared" si="35"/>
        <v>emergency plumbing residential property</v>
      </c>
      <c r="D20" s="14" t="str">
        <f t="shared" si="35"/>
        <v>geyser repairs residential property</v>
      </c>
      <c r="E20" s="14" t="str">
        <f t="shared" si="35"/>
        <v>drain cleaning residential property</v>
      </c>
      <c r="F20" s="14" t="str">
        <f t="shared" si="35"/>
        <v>electrical repairs residential property</v>
      </c>
      <c r="G20" s="14" t="str">
        <f t="shared" si="35"/>
        <v>air conditioning services residential property</v>
      </c>
      <c r="H20" s="14" t="str">
        <f t="shared" si="35"/>
        <v>refrigeration services residential property</v>
      </c>
      <c r="I20" s="14" t="str">
        <f t="shared" si="35"/>
        <v>leak detection residential property</v>
      </c>
      <c r="J20" s="14" t="str">
        <f t="shared" si="35"/>
        <v>maintenance plumber residential property</v>
      </c>
      <c r="K20" s="14" t="str">
        <f t="shared" si="35"/>
        <v>plumbing company residential property</v>
      </c>
      <c r="L20" s="16" t="str">
        <f>IFERROR(__xludf.DUMMYFUNCTION("""COMPUTED_VALUE"""),"air conditioning services shop")</f>
        <v>air conditioning services shop</v>
      </c>
      <c r="M20" s="17"/>
      <c r="N20" s="14" t="str">
        <f t="shared" ref="N20:W20" si="36">IF($A20="","",IF(OR(ISNUMBER(SEARCH(LOWER($A20),LOWER(N$1))),AND(RIGHT(LOWER($A20),1)="s",ISNUMBER(SEARCH(LEFT(LOWER($A20),LEN($A20)-1),LOWER(N$1))))),N$1,$A20&amp;" "&amp;N$1))</f>
        <v>residential property plumbing services</v>
      </c>
      <c r="O20" s="14" t="str">
        <f t="shared" si="36"/>
        <v>residential property emergency plumbing</v>
      </c>
      <c r="P20" s="14" t="str">
        <f t="shared" si="36"/>
        <v>residential property geyser repairs</v>
      </c>
      <c r="Q20" s="14" t="str">
        <f t="shared" si="36"/>
        <v>residential property drain cleaning</v>
      </c>
      <c r="R20" s="14" t="str">
        <f t="shared" si="36"/>
        <v>residential property electrical repairs</v>
      </c>
      <c r="S20" s="14" t="str">
        <f t="shared" si="36"/>
        <v>residential property air conditioning services</v>
      </c>
      <c r="T20" s="14" t="str">
        <f t="shared" si="36"/>
        <v>residential property refrigeration services</v>
      </c>
      <c r="U20" s="14" t="str">
        <f t="shared" si="36"/>
        <v>residential property leak detection</v>
      </c>
      <c r="V20" s="14" t="str">
        <f t="shared" si="36"/>
        <v>residential property maintenance plumber</v>
      </c>
      <c r="W20" s="14" t="str">
        <f t="shared" si="36"/>
        <v>residential property plumbing company</v>
      </c>
      <c r="X20" s="18" t="str">
        <f>IFERROR(__xludf.DUMMYFUNCTION("""COMPUTED_VALUE"""),"body corporate plumbing company")</f>
        <v>body corporate plumbing company</v>
      </c>
      <c r="Y20" s="4"/>
      <c r="Z20" s="4"/>
    </row>
    <row r="21" ht="15.75" customHeight="1">
      <c r="A21" s="13" t="s">
        <v>163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plumbing services business</v>
      </c>
      <c r="C21" s="14" t="str">
        <f t="shared" si="37"/>
        <v>emergency plumbing business</v>
      </c>
      <c r="D21" s="14" t="str">
        <f t="shared" si="37"/>
        <v>geyser repairs business</v>
      </c>
      <c r="E21" s="14" t="str">
        <f t="shared" si="37"/>
        <v>drain cleaning business</v>
      </c>
      <c r="F21" s="14" t="str">
        <f t="shared" si="37"/>
        <v>electrical repairs business</v>
      </c>
      <c r="G21" s="14" t="str">
        <f t="shared" si="37"/>
        <v>air conditioning services business</v>
      </c>
      <c r="H21" s="14" t="str">
        <f t="shared" si="37"/>
        <v>refrigeration services business</v>
      </c>
      <c r="I21" s="14" t="str">
        <f t="shared" si="37"/>
        <v>leak detection business</v>
      </c>
      <c r="J21" s="14" t="str">
        <f t="shared" si="37"/>
        <v>maintenance plumber business</v>
      </c>
      <c r="K21" s="14" t="str">
        <f t="shared" si="37"/>
        <v>plumbing company business</v>
      </c>
      <c r="L21" s="16" t="str">
        <f>IFERROR(__xludf.DUMMYFUNCTION("""COMPUTED_VALUE"""),"air conditioning services tenant")</f>
        <v>air conditioning services tenant</v>
      </c>
      <c r="M21" s="17"/>
      <c r="N21" s="14" t="str">
        <f t="shared" ref="N21:W21" si="38">IF($A21="","",IF(OR(ISNUMBER(SEARCH(LOWER($A21),LOWER(N$1))),AND(RIGHT(LOWER($A21),1)="s",ISNUMBER(SEARCH(LEFT(LOWER($A21),LEN($A21)-1),LOWER(N$1))))),N$1,$A21&amp;" "&amp;N$1))</f>
        <v>business plumbing services</v>
      </c>
      <c r="O21" s="14" t="str">
        <f t="shared" si="38"/>
        <v>business emergency plumbing</v>
      </c>
      <c r="P21" s="14" t="str">
        <f t="shared" si="38"/>
        <v>business geyser repairs</v>
      </c>
      <c r="Q21" s="14" t="str">
        <f t="shared" si="38"/>
        <v>business drain cleaning</v>
      </c>
      <c r="R21" s="14" t="str">
        <f t="shared" si="38"/>
        <v>business electrical repairs</v>
      </c>
      <c r="S21" s="14" t="str">
        <f t="shared" si="38"/>
        <v>business air conditioning services</v>
      </c>
      <c r="T21" s="14" t="str">
        <f t="shared" si="38"/>
        <v>business refrigeration services</v>
      </c>
      <c r="U21" s="14" t="str">
        <f t="shared" si="38"/>
        <v>business leak detection</v>
      </c>
      <c r="V21" s="14" t="str">
        <f t="shared" si="38"/>
        <v>business maintenance plumber</v>
      </c>
      <c r="W21" s="14" t="str">
        <f t="shared" si="38"/>
        <v>business plumbing company</v>
      </c>
      <c r="X21" s="18" t="str">
        <f>IFERROR(__xludf.DUMMYFUNCTION("""COMPUTED_VALUE"""),"body corporate plumbing services")</f>
        <v>body corporate plumbing services</v>
      </c>
      <c r="Y21" s="4"/>
      <c r="Z21" s="4"/>
    </row>
    <row r="22" ht="15.75" customHeight="1">
      <c r="A22" s="13" t="s">
        <v>164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plumbing services building</v>
      </c>
      <c r="C22" s="14" t="str">
        <f t="shared" si="39"/>
        <v>emergency plumbing building</v>
      </c>
      <c r="D22" s="14" t="str">
        <f t="shared" si="39"/>
        <v>geyser repairs building</v>
      </c>
      <c r="E22" s="14" t="str">
        <f t="shared" si="39"/>
        <v>drain cleaning building</v>
      </c>
      <c r="F22" s="14" t="str">
        <f t="shared" si="39"/>
        <v>electrical repairs building</v>
      </c>
      <c r="G22" s="14" t="str">
        <f t="shared" si="39"/>
        <v>air conditioning services building</v>
      </c>
      <c r="H22" s="14" t="str">
        <f t="shared" si="39"/>
        <v>refrigeration services building</v>
      </c>
      <c r="I22" s="14" t="str">
        <f t="shared" si="39"/>
        <v>leak detection building</v>
      </c>
      <c r="J22" s="14" t="str">
        <f t="shared" si="39"/>
        <v>maintenance plumber building</v>
      </c>
      <c r="K22" s="14" t="str">
        <f t="shared" si="39"/>
        <v>plumbing company building</v>
      </c>
      <c r="L22" s="16" t="str">
        <f>IFERROR(__xludf.DUMMYFUNCTION("""COMPUTED_VALUE"""),"air conditioning services townhouse")</f>
        <v>air conditioning services townhouse</v>
      </c>
      <c r="M22" s="17"/>
      <c r="N22" s="14" t="str">
        <f t="shared" ref="N22:W22" si="40">IF($A22="","",IF(OR(ISNUMBER(SEARCH(LOWER($A22),LOWER(N$1))),AND(RIGHT(LOWER($A22),1)="s",ISNUMBER(SEARCH(LEFT(LOWER($A22),LEN($A22)-1),LOWER(N$1))))),N$1,$A22&amp;" "&amp;N$1))</f>
        <v>building plumbing services</v>
      </c>
      <c r="O22" s="14" t="str">
        <f t="shared" si="40"/>
        <v>building emergency plumbing</v>
      </c>
      <c r="P22" s="14" t="str">
        <f t="shared" si="40"/>
        <v>building geyser repairs</v>
      </c>
      <c r="Q22" s="14" t="str">
        <f t="shared" si="40"/>
        <v>building drain cleaning</v>
      </c>
      <c r="R22" s="14" t="str">
        <f t="shared" si="40"/>
        <v>building electrical repairs</v>
      </c>
      <c r="S22" s="14" t="str">
        <f t="shared" si="40"/>
        <v>building air conditioning services</v>
      </c>
      <c r="T22" s="14" t="str">
        <f t="shared" si="40"/>
        <v>building refrigeration services</v>
      </c>
      <c r="U22" s="14" t="str">
        <f t="shared" si="40"/>
        <v>building leak detection</v>
      </c>
      <c r="V22" s="14" t="str">
        <f t="shared" si="40"/>
        <v>building maintenance plumber</v>
      </c>
      <c r="W22" s="14" t="str">
        <f t="shared" si="40"/>
        <v>building plumbing company</v>
      </c>
      <c r="X22" s="18" t="str">
        <f>IFERROR(__xludf.DUMMYFUNCTION("""COMPUTED_VALUE"""),"body corporate refrigeration services")</f>
        <v>body corporate refrigeration services</v>
      </c>
      <c r="Y22" s="4"/>
      <c r="Z22" s="4"/>
    </row>
    <row r="23" ht="15.75" customHeight="1">
      <c r="A23" s="13"/>
      <c r="B23" s="14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14" t="str">
        <f t="shared" si="41"/>
        <v/>
      </c>
      <c r="D23" s="14" t="str">
        <f t="shared" si="41"/>
        <v/>
      </c>
      <c r="E23" s="14" t="str">
        <f t="shared" si="41"/>
        <v/>
      </c>
      <c r="F23" s="14" t="str">
        <f t="shared" si="41"/>
        <v/>
      </c>
      <c r="G23" s="14" t="str">
        <f t="shared" si="41"/>
        <v/>
      </c>
      <c r="H23" s="14" t="str">
        <f t="shared" si="41"/>
        <v/>
      </c>
      <c r="I23" s="14" t="str">
        <f t="shared" si="41"/>
        <v/>
      </c>
      <c r="J23" s="14" t="str">
        <f t="shared" si="41"/>
        <v/>
      </c>
      <c r="K23" s="14" t="str">
        <f t="shared" si="41"/>
        <v/>
      </c>
      <c r="L23" s="16" t="str">
        <f>IFERROR(__xludf.DUMMYFUNCTION("""COMPUTED_VALUE"""),"drain cleaning apartment")</f>
        <v>drain cleaning apartment</v>
      </c>
      <c r="M23" s="17"/>
      <c r="N23" s="14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14" t="str">
        <f t="shared" si="42"/>
        <v/>
      </c>
      <c r="P23" s="14" t="str">
        <f t="shared" si="42"/>
        <v/>
      </c>
      <c r="Q23" s="14" t="str">
        <f t="shared" si="42"/>
        <v/>
      </c>
      <c r="R23" s="14" t="str">
        <f t="shared" si="42"/>
        <v/>
      </c>
      <c r="S23" s="14" t="str">
        <f t="shared" si="42"/>
        <v/>
      </c>
      <c r="T23" s="14" t="str">
        <f t="shared" si="42"/>
        <v/>
      </c>
      <c r="U23" s="14" t="str">
        <f t="shared" si="42"/>
        <v/>
      </c>
      <c r="V23" s="14" t="str">
        <f t="shared" si="42"/>
        <v/>
      </c>
      <c r="W23" s="14" t="str">
        <f t="shared" si="42"/>
        <v/>
      </c>
      <c r="X23" s="18" t="str">
        <f>IFERROR(__xludf.DUMMYFUNCTION("""COMPUTED_VALUE"""),"building air conditioning services")</f>
        <v>building air conditioning services</v>
      </c>
      <c r="Y23" s="4"/>
      <c r="Z23" s="4"/>
    </row>
    <row r="24" ht="15.75" customHeight="1">
      <c r="A24" s="13"/>
      <c r="B24" s="14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14" t="str">
        <f t="shared" si="43"/>
        <v/>
      </c>
      <c r="D24" s="14" t="str">
        <f t="shared" si="43"/>
        <v/>
      </c>
      <c r="E24" s="14" t="str">
        <f t="shared" si="43"/>
        <v/>
      </c>
      <c r="F24" s="14" t="str">
        <f t="shared" si="43"/>
        <v/>
      </c>
      <c r="G24" s="14" t="str">
        <f t="shared" si="43"/>
        <v/>
      </c>
      <c r="H24" s="14" t="str">
        <f t="shared" si="43"/>
        <v/>
      </c>
      <c r="I24" s="14" t="str">
        <f t="shared" si="43"/>
        <v/>
      </c>
      <c r="J24" s="14" t="str">
        <f t="shared" si="43"/>
        <v/>
      </c>
      <c r="K24" s="14" t="str">
        <f t="shared" si="43"/>
        <v/>
      </c>
      <c r="L24" s="16" t="str">
        <f>IFERROR(__xludf.DUMMYFUNCTION("""COMPUTED_VALUE"""),"drain cleaning body corporate")</f>
        <v>drain cleaning body corporate</v>
      </c>
      <c r="M24" s="17"/>
      <c r="N24" s="14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14" t="str">
        <f t="shared" si="44"/>
        <v/>
      </c>
      <c r="P24" s="14" t="str">
        <f t="shared" si="44"/>
        <v/>
      </c>
      <c r="Q24" s="14" t="str">
        <f t="shared" si="44"/>
        <v/>
      </c>
      <c r="R24" s="14" t="str">
        <f t="shared" si="44"/>
        <v/>
      </c>
      <c r="S24" s="14" t="str">
        <f t="shared" si="44"/>
        <v/>
      </c>
      <c r="T24" s="14" t="str">
        <f t="shared" si="44"/>
        <v/>
      </c>
      <c r="U24" s="14" t="str">
        <f t="shared" si="44"/>
        <v/>
      </c>
      <c r="V24" s="14" t="str">
        <f t="shared" si="44"/>
        <v/>
      </c>
      <c r="W24" s="14" t="str">
        <f t="shared" si="44"/>
        <v/>
      </c>
      <c r="X24" s="18" t="str">
        <f>IFERROR(__xludf.DUMMYFUNCTION("""COMPUTED_VALUE"""),"building drain cleaning")</f>
        <v>building drain cleaning</v>
      </c>
      <c r="Y24" s="4"/>
      <c r="Z24" s="4"/>
    </row>
    <row r="25" ht="15.75" customHeight="1">
      <c r="A25" s="13"/>
      <c r="B25" s="14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14" t="str">
        <f t="shared" si="45"/>
        <v/>
      </c>
      <c r="D25" s="14" t="str">
        <f t="shared" si="45"/>
        <v/>
      </c>
      <c r="E25" s="14" t="str">
        <f t="shared" si="45"/>
        <v/>
      </c>
      <c r="F25" s="14" t="str">
        <f t="shared" si="45"/>
        <v/>
      </c>
      <c r="G25" s="14" t="str">
        <f t="shared" si="45"/>
        <v/>
      </c>
      <c r="H25" s="14" t="str">
        <f t="shared" si="45"/>
        <v/>
      </c>
      <c r="I25" s="14" t="str">
        <f t="shared" si="45"/>
        <v/>
      </c>
      <c r="J25" s="14" t="str">
        <f t="shared" si="45"/>
        <v/>
      </c>
      <c r="K25" s="14" t="str">
        <f t="shared" si="45"/>
        <v/>
      </c>
      <c r="L25" s="16" t="str">
        <f>IFERROR(__xludf.DUMMYFUNCTION("""COMPUTED_VALUE"""),"drain cleaning building")</f>
        <v>drain cleaning building</v>
      </c>
      <c r="M25" s="17"/>
      <c r="N25" s="14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14" t="str">
        <f t="shared" si="46"/>
        <v/>
      </c>
      <c r="P25" s="14" t="str">
        <f t="shared" si="46"/>
        <v/>
      </c>
      <c r="Q25" s="14" t="str">
        <f t="shared" si="46"/>
        <v/>
      </c>
      <c r="R25" s="14" t="str">
        <f t="shared" si="46"/>
        <v/>
      </c>
      <c r="S25" s="14" t="str">
        <f t="shared" si="46"/>
        <v/>
      </c>
      <c r="T25" s="14" t="str">
        <f t="shared" si="46"/>
        <v/>
      </c>
      <c r="U25" s="14" t="str">
        <f t="shared" si="46"/>
        <v/>
      </c>
      <c r="V25" s="14" t="str">
        <f t="shared" si="46"/>
        <v/>
      </c>
      <c r="W25" s="14" t="str">
        <f t="shared" si="46"/>
        <v/>
      </c>
      <c r="X25" s="18" t="str">
        <f>IFERROR(__xludf.DUMMYFUNCTION("""COMPUTED_VALUE"""),"building electrical repairs")</f>
        <v>building electrical repairs</v>
      </c>
      <c r="Y25" s="4"/>
      <c r="Z25" s="4"/>
    </row>
    <row r="26" ht="15.75" customHeight="1">
      <c r="A26" s="13"/>
      <c r="B26" s="14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14" t="str">
        <f t="shared" si="47"/>
        <v/>
      </c>
      <c r="D26" s="14" t="str">
        <f t="shared" si="47"/>
        <v/>
      </c>
      <c r="E26" s="14" t="str">
        <f t="shared" si="47"/>
        <v/>
      </c>
      <c r="F26" s="14" t="str">
        <f t="shared" si="47"/>
        <v/>
      </c>
      <c r="G26" s="14" t="str">
        <f t="shared" si="47"/>
        <v/>
      </c>
      <c r="H26" s="14" t="str">
        <f t="shared" si="47"/>
        <v/>
      </c>
      <c r="I26" s="14" t="str">
        <f t="shared" si="47"/>
        <v/>
      </c>
      <c r="J26" s="14" t="str">
        <f t="shared" si="47"/>
        <v/>
      </c>
      <c r="K26" s="14" t="str">
        <f t="shared" si="47"/>
        <v/>
      </c>
      <c r="L26" s="16" t="str">
        <f>IFERROR(__xludf.DUMMYFUNCTION("""COMPUTED_VALUE"""),"drain cleaning business")</f>
        <v>drain cleaning business</v>
      </c>
      <c r="M26" s="17"/>
      <c r="N26" s="14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14" t="str">
        <f t="shared" si="48"/>
        <v/>
      </c>
      <c r="P26" s="14" t="str">
        <f t="shared" si="48"/>
        <v/>
      </c>
      <c r="Q26" s="14" t="str">
        <f t="shared" si="48"/>
        <v/>
      </c>
      <c r="R26" s="14" t="str">
        <f t="shared" si="48"/>
        <v/>
      </c>
      <c r="S26" s="14" t="str">
        <f t="shared" si="48"/>
        <v/>
      </c>
      <c r="T26" s="14" t="str">
        <f t="shared" si="48"/>
        <v/>
      </c>
      <c r="U26" s="14" t="str">
        <f t="shared" si="48"/>
        <v/>
      </c>
      <c r="V26" s="14" t="str">
        <f t="shared" si="48"/>
        <v/>
      </c>
      <c r="W26" s="14" t="str">
        <f t="shared" si="48"/>
        <v/>
      </c>
      <c r="X26" s="18" t="str">
        <f>IFERROR(__xludf.DUMMYFUNCTION("""COMPUTED_VALUE"""),"building emergency plumbing")</f>
        <v>building emergency plumbing</v>
      </c>
      <c r="Y26" s="4"/>
      <c r="Z26" s="4"/>
    </row>
    <row r="27" ht="15.75" customHeight="1">
      <c r="A27" s="13"/>
      <c r="B27" s="14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14" t="str">
        <f t="shared" si="49"/>
        <v/>
      </c>
      <c r="D27" s="14" t="str">
        <f t="shared" si="49"/>
        <v/>
      </c>
      <c r="E27" s="14" t="str">
        <f t="shared" si="49"/>
        <v/>
      </c>
      <c r="F27" s="14" t="str">
        <f t="shared" si="49"/>
        <v/>
      </c>
      <c r="G27" s="14" t="str">
        <f t="shared" si="49"/>
        <v/>
      </c>
      <c r="H27" s="14" t="str">
        <f t="shared" si="49"/>
        <v/>
      </c>
      <c r="I27" s="14" t="str">
        <f t="shared" si="49"/>
        <v/>
      </c>
      <c r="J27" s="14" t="str">
        <f t="shared" si="49"/>
        <v/>
      </c>
      <c r="K27" s="14" t="str">
        <f t="shared" si="49"/>
        <v/>
      </c>
      <c r="L27" s="16" t="str">
        <f>IFERROR(__xludf.DUMMYFUNCTION("""COMPUTED_VALUE"""),"drain cleaning commercial property")</f>
        <v>drain cleaning commercial property</v>
      </c>
      <c r="M27" s="17"/>
      <c r="N27" s="14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14" t="str">
        <f t="shared" si="50"/>
        <v/>
      </c>
      <c r="P27" s="14" t="str">
        <f t="shared" si="50"/>
        <v/>
      </c>
      <c r="Q27" s="14" t="str">
        <f t="shared" si="50"/>
        <v/>
      </c>
      <c r="R27" s="14" t="str">
        <f t="shared" si="50"/>
        <v/>
      </c>
      <c r="S27" s="14" t="str">
        <f t="shared" si="50"/>
        <v/>
      </c>
      <c r="T27" s="14" t="str">
        <f t="shared" si="50"/>
        <v/>
      </c>
      <c r="U27" s="14" t="str">
        <f t="shared" si="50"/>
        <v/>
      </c>
      <c r="V27" s="14" t="str">
        <f t="shared" si="50"/>
        <v/>
      </c>
      <c r="W27" s="14" t="str">
        <f t="shared" si="50"/>
        <v/>
      </c>
      <c r="X27" s="18" t="str">
        <f>IFERROR(__xludf.DUMMYFUNCTION("""COMPUTED_VALUE"""),"building geyser repairs")</f>
        <v>building geyser repairs</v>
      </c>
      <c r="Y27" s="4"/>
      <c r="Z27" s="4"/>
    </row>
    <row r="28" ht="15.75" customHeight="1">
      <c r="A28" s="13"/>
      <c r="B28" s="14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14" t="str">
        <f t="shared" si="51"/>
        <v/>
      </c>
      <c r="D28" s="14" t="str">
        <f t="shared" si="51"/>
        <v/>
      </c>
      <c r="E28" s="14" t="str">
        <f t="shared" si="51"/>
        <v/>
      </c>
      <c r="F28" s="14" t="str">
        <f t="shared" si="51"/>
        <v/>
      </c>
      <c r="G28" s="14" t="str">
        <f t="shared" si="51"/>
        <v/>
      </c>
      <c r="H28" s="14" t="str">
        <f t="shared" si="51"/>
        <v/>
      </c>
      <c r="I28" s="14" t="str">
        <f t="shared" si="51"/>
        <v/>
      </c>
      <c r="J28" s="14" t="str">
        <f t="shared" si="51"/>
        <v/>
      </c>
      <c r="K28" s="14" t="str">
        <f t="shared" si="51"/>
        <v/>
      </c>
      <c r="L28" s="16" t="str">
        <f>IFERROR(__xludf.DUMMYFUNCTION("""COMPUTED_VALUE"""),"drain cleaning estate agent")</f>
        <v>drain cleaning estate agent</v>
      </c>
      <c r="M28" s="17"/>
      <c r="N28" s="14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14" t="str">
        <f t="shared" si="52"/>
        <v/>
      </c>
      <c r="P28" s="14" t="str">
        <f t="shared" si="52"/>
        <v/>
      </c>
      <c r="Q28" s="14" t="str">
        <f t="shared" si="52"/>
        <v/>
      </c>
      <c r="R28" s="14" t="str">
        <f t="shared" si="52"/>
        <v/>
      </c>
      <c r="S28" s="14" t="str">
        <f t="shared" si="52"/>
        <v/>
      </c>
      <c r="T28" s="14" t="str">
        <f t="shared" si="52"/>
        <v/>
      </c>
      <c r="U28" s="14" t="str">
        <f t="shared" si="52"/>
        <v/>
      </c>
      <c r="V28" s="14" t="str">
        <f t="shared" si="52"/>
        <v/>
      </c>
      <c r="W28" s="14" t="str">
        <f t="shared" si="52"/>
        <v/>
      </c>
      <c r="X28" s="18" t="str">
        <f>IFERROR(__xludf.DUMMYFUNCTION("""COMPUTED_VALUE"""),"building leak detection")</f>
        <v>building leak detection</v>
      </c>
      <c r="Y28" s="4"/>
      <c r="Z28" s="4"/>
    </row>
    <row r="29" ht="15.75" customHeight="1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6" t="str">
        <f>IFERROR(__xludf.DUMMYFUNCTION("""COMPUTED_VALUE"""),"drain cleaning flat")</f>
        <v>drain cleaning flat</v>
      </c>
      <c r="M29" s="17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8" t="str">
        <f>IFERROR(__xludf.DUMMYFUNCTION("""COMPUTED_VALUE"""),"building maintenance plumber")</f>
        <v>building maintenance plumber</v>
      </c>
      <c r="Y29" s="4"/>
      <c r="Z29" s="4"/>
    </row>
    <row r="30" ht="15.75" customHeight="1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6" t="str">
        <f>IFERROR(__xludf.DUMMYFUNCTION("""COMPUTED_VALUE"""),"drain cleaning guesthouse")</f>
        <v>drain cleaning guesthouse</v>
      </c>
      <c r="M30" s="17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8" t="str">
        <f>IFERROR(__xludf.DUMMYFUNCTION("""COMPUTED_VALUE"""),"building plumbing company")</f>
        <v>building plumbing company</v>
      </c>
      <c r="Y30" s="4"/>
      <c r="Z30" s="4"/>
    </row>
    <row r="31" ht="15.75" customHeight="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6" t="str">
        <f>IFERROR(__xludf.DUMMYFUNCTION("""COMPUTED_VALUE"""),"drain cleaning home")</f>
        <v>drain cleaning home</v>
      </c>
      <c r="M31" s="17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8" t="str">
        <f>IFERROR(__xludf.DUMMYFUNCTION("""COMPUTED_VALUE"""),"building plumbing services")</f>
        <v>building plumbing services</v>
      </c>
      <c r="Y31" s="4"/>
      <c r="Z31" s="4"/>
    </row>
    <row r="32" ht="15.75" customHeight="1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6" t="str">
        <f>IFERROR(__xludf.DUMMYFUNCTION("""COMPUTED_VALUE"""),"drain cleaning hotel")</f>
        <v>drain cleaning hotel</v>
      </c>
      <c r="M32" s="17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8" t="str">
        <f>IFERROR(__xludf.DUMMYFUNCTION("""COMPUTED_VALUE"""),"building refrigeration services")</f>
        <v>building refrigeration services</v>
      </c>
      <c r="Y32" s="4"/>
      <c r="Z32" s="4"/>
    </row>
    <row r="33" ht="15.75" customHeight="1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6" t="str">
        <f>IFERROR(__xludf.DUMMYFUNCTION("""COMPUTED_VALUE"""),"drain cleaning house")</f>
        <v>drain cleaning house</v>
      </c>
      <c r="M33" s="17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8" t="str">
        <f>IFERROR(__xludf.DUMMYFUNCTION("""COMPUTED_VALUE"""),"business air conditioning services")</f>
        <v>business air conditioning services</v>
      </c>
      <c r="Y33" s="4"/>
      <c r="Z33" s="4"/>
    </row>
    <row r="34" ht="15.75" customHeight="1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6" t="str">
        <f>IFERROR(__xludf.DUMMYFUNCTION("""COMPUTED_VALUE"""),"drain cleaning landlord")</f>
        <v>drain cleaning landlord</v>
      </c>
      <c r="M34" s="17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8" t="str">
        <f>IFERROR(__xludf.DUMMYFUNCTION("""COMPUTED_VALUE"""),"business drain cleaning")</f>
        <v>business drain cleaning</v>
      </c>
      <c r="Y34" s="4"/>
      <c r="Z34" s="4"/>
    </row>
    <row r="35" ht="15.75" customHeight="1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6" t="str">
        <f>IFERROR(__xludf.DUMMYFUNCTION("""COMPUTED_VALUE"""),"drain cleaning office")</f>
        <v>drain cleaning office</v>
      </c>
      <c r="M35" s="17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8" t="str">
        <f>IFERROR(__xludf.DUMMYFUNCTION("""COMPUTED_VALUE"""),"business electrical repairs")</f>
        <v>business electrical repairs</v>
      </c>
      <c r="Y35" s="4"/>
      <c r="Z35" s="4"/>
    </row>
    <row r="36" ht="15.75" customHeight="1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6" t="str">
        <f>IFERROR(__xludf.DUMMYFUNCTION("""COMPUTED_VALUE"""),"drain cleaning property manager")</f>
        <v>drain cleaning property manager</v>
      </c>
      <c r="M36" s="17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8" t="str">
        <f>IFERROR(__xludf.DUMMYFUNCTION("""COMPUTED_VALUE"""),"business emergency plumbing")</f>
        <v>business emergency plumbing</v>
      </c>
      <c r="Y36" s="4"/>
      <c r="Z36" s="4"/>
    </row>
    <row r="37" ht="15.75" customHeight="1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6" t="str">
        <f>IFERROR(__xludf.DUMMYFUNCTION("""COMPUTED_VALUE"""),"drain cleaning residential property")</f>
        <v>drain cleaning residential property</v>
      </c>
      <c r="M37" s="17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8" t="str">
        <f>IFERROR(__xludf.DUMMYFUNCTION("""COMPUTED_VALUE"""),"business geyser repairs")</f>
        <v>business geyser repairs</v>
      </c>
      <c r="Y37" s="4"/>
      <c r="Z37" s="4"/>
    </row>
    <row r="38" ht="15.75" customHeight="1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6" t="str">
        <f>IFERROR(__xludf.DUMMYFUNCTION("""COMPUTED_VALUE"""),"drain cleaning restaurant")</f>
        <v>drain cleaning restaurant</v>
      </c>
      <c r="M38" s="17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8" t="str">
        <f>IFERROR(__xludf.DUMMYFUNCTION("""COMPUTED_VALUE"""),"business leak detection")</f>
        <v>business leak detection</v>
      </c>
      <c r="Y38" s="4"/>
      <c r="Z38" s="4"/>
    </row>
    <row r="39" ht="15.75" customHeight="1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6" t="str">
        <f>IFERROR(__xludf.DUMMYFUNCTION("""COMPUTED_VALUE"""),"drain cleaning school")</f>
        <v>drain cleaning school</v>
      </c>
      <c r="M39" s="17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8" t="str">
        <f>IFERROR(__xludf.DUMMYFUNCTION("""COMPUTED_VALUE"""),"business maintenance plumber")</f>
        <v>business maintenance plumber</v>
      </c>
      <c r="Y39" s="4"/>
      <c r="Z39" s="4"/>
    </row>
    <row r="40" ht="15.75" customHeight="1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6" t="str">
        <f>IFERROR(__xludf.DUMMYFUNCTION("""COMPUTED_VALUE"""),"drain cleaning shop")</f>
        <v>drain cleaning shop</v>
      </c>
      <c r="M40" s="17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8" t="str">
        <f>IFERROR(__xludf.DUMMYFUNCTION("""COMPUTED_VALUE"""),"business plumbing company")</f>
        <v>business plumbing company</v>
      </c>
      <c r="Y40" s="4"/>
      <c r="Z40" s="4"/>
    </row>
    <row r="41" ht="15.75" customHeight="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6" t="str">
        <f>IFERROR(__xludf.DUMMYFUNCTION("""COMPUTED_VALUE"""),"drain cleaning tenant")</f>
        <v>drain cleaning tenant</v>
      </c>
      <c r="M41" s="17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8" t="str">
        <f>IFERROR(__xludf.DUMMYFUNCTION("""COMPUTED_VALUE"""),"business plumbing services")</f>
        <v>business plumbing services</v>
      </c>
      <c r="Y41" s="4"/>
      <c r="Z41" s="4"/>
    </row>
    <row r="42" ht="15.75" customHeight="1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6" t="str">
        <f>IFERROR(__xludf.DUMMYFUNCTION("""COMPUTED_VALUE"""),"drain cleaning townhouse")</f>
        <v>drain cleaning townhouse</v>
      </c>
      <c r="M42" s="17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8" t="str">
        <f>IFERROR(__xludf.DUMMYFUNCTION("""COMPUTED_VALUE"""),"business refrigeration services")</f>
        <v>business refrigeration services</v>
      </c>
      <c r="Y42" s="4"/>
      <c r="Z42" s="4"/>
    </row>
    <row r="43" ht="15.75" customHeight="1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6" t="str">
        <f>IFERROR(__xludf.DUMMYFUNCTION("""COMPUTED_VALUE"""),"electrical repairs apartment")</f>
        <v>electrical repairs apartment</v>
      </c>
      <c r="M43" s="17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8" t="str">
        <f>IFERROR(__xludf.DUMMYFUNCTION("""COMPUTED_VALUE"""),"commercial property air conditioning services")</f>
        <v>commercial property air conditioning services</v>
      </c>
      <c r="Y43" s="4"/>
      <c r="Z43" s="4"/>
    </row>
    <row r="44" ht="15.75" customHeight="1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6" t="str">
        <f>IFERROR(__xludf.DUMMYFUNCTION("""COMPUTED_VALUE"""),"electrical repairs body corporate")</f>
        <v>electrical repairs body corporate</v>
      </c>
      <c r="M44" s="17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8" t="str">
        <f>IFERROR(__xludf.DUMMYFUNCTION("""COMPUTED_VALUE"""),"commercial property drain cleaning")</f>
        <v>commercial property drain cleaning</v>
      </c>
      <c r="Y44" s="4"/>
      <c r="Z44" s="4"/>
    </row>
    <row r="45" ht="15.75" customHeight="1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6" t="str">
        <f>IFERROR(__xludf.DUMMYFUNCTION("""COMPUTED_VALUE"""),"electrical repairs building")</f>
        <v>electrical repairs building</v>
      </c>
      <c r="M45" s="17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8" t="str">
        <f>IFERROR(__xludf.DUMMYFUNCTION("""COMPUTED_VALUE"""),"commercial property electrical repairs")</f>
        <v>commercial property electrical repairs</v>
      </c>
      <c r="Y45" s="4"/>
      <c r="Z45" s="4"/>
    </row>
    <row r="46" ht="15.75" customHeight="1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6" t="str">
        <f>IFERROR(__xludf.DUMMYFUNCTION("""COMPUTED_VALUE"""),"electrical repairs business")</f>
        <v>electrical repairs business</v>
      </c>
      <c r="M46" s="17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8" t="str">
        <f>IFERROR(__xludf.DUMMYFUNCTION("""COMPUTED_VALUE"""),"commercial property emergency plumbing")</f>
        <v>commercial property emergency plumbing</v>
      </c>
      <c r="Y46" s="4"/>
      <c r="Z46" s="4"/>
    </row>
    <row r="47" ht="15.75" customHeight="1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6" t="str">
        <f>IFERROR(__xludf.DUMMYFUNCTION("""COMPUTED_VALUE"""),"electrical repairs commercial property")</f>
        <v>electrical repairs commercial property</v>
      </c>
      <c r="M47" s="17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8" t="str">
        <f>IFERROR(__xludf.DUMMYFUNCTION("""COMPUTED_VALUE"""),"commercial property geyser repairs")</f>
        <v>commercial property geyser repairs</v>
      </c>
      <c r="Y47" s="4"/>
      <c r="Z47" s="4"/>
    </row>
    <row r="48" ht="15.75" customHeight="1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6" t="str">
        <f>IFERROR(__xludf.DUMMYFUNCTION("""COMPUTED_VALUE"""),"electrical repairs estate agent")</f>
        <v>electrical repairs estate agent</v>
      </c>
      <c r="M48" s="17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8" t="str">
        <f>IFERROR(__xludf.DUMMYFUNCTION("""COMPUTED_VALUE"""),"commercial property leak detection")</f>
        <v>commercial property leak detection</v>
      </c>
      <c r="Y48" s="4"/>
      <c r="Z48" s="4"/>
    </row>
    <row r="49" ht="15.75" customHeight="1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6" t="str">
        <f>IFERROR(__xludf.DUMMYFUNCTION("""COMPUTED_VALUE"""),"electrical repairs flat")</f>
        <v>electrical repairs flat</v>
      </c>
      <c r="M49" s="17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8" t="str">
        <f>IFERROR(__xludf.DUMMYFUNCTION("""COMPUTED_VALUE"""),"commercial property maintenance plumber")</f>
        <v>commercial property maintenance plumber</v>
      </c>
      <c r="Y49" s="4"/>
      <c r="Z49" s="4"/>
    </row>
    <row r="50" ht="15.75" customHeight="1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6" t="str">
        <f>IFERROR(__xludf.DUMMYFUNCTION("""COMPUTED_VALUE"""),"electrical repairs guesthouse")</f>
        <v>electrical repairs guesthouse</v>
      </c>
      <c r="M50" s="17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8" t="str">
        <f>IFERROR(__xludf.DUMMYFUNCTION("""COMPUTED_VALUE"""),"commercial property plumbing company")</f>
        <v>commercial property plumbing company</v>
      </c>
      <c r="Y50" s="4"/>
      <c r="Z50" s="4"/>
    </row>
    <row r="51" ht="15.75" customHeight="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6" t="str">
        <f>IFERROR(__xludf.DUMMYFUNCTION("""COMPUTED_VALUE"""),"electrical repairs home")</f>
        <v>electrical repairs home</v>
      </c>
      <c r="M51" s="17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8" t="str">
        <f>IFERROR(__xludf.DUMMYFUNCTION("""COMPUTED_VALUE"""),"commercial property plumbing services")</f>
        <v>commercial property plumbing services</v>
      </c>
      <c r="Y51" s="4"/>
      <c r="Z51" s="4"/>
    </row>
    <row r="52" ht="15.75" customHeight="1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6" t="str">
        <f>IFERROR(__xludf.DUMMYFUNCTION("""COMPUTED_VALUE"""),"electrical repairs hotel")</f>
        <v>electrical repairs hotel</v>
      </c>
      <c r="M52" s="17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8" t="str">
        <f>IFERROR(__xludf.DUMMYFUNCTION("""COMPUTED_VALUE"""),"commercial property refrigeration services")</f>
        <v>commercial property refrigeration services</v>
      </c>
      <c r="Y52" s="4"/>
      <c r="Z52" s="4"/>
    </row>
    <row r="53" ht="15.75" customHeight="1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6" t="str">
        <f>IFERROR(__xludf.DUMMYFUNCTION("""COMPUTED_VALUE"""),"electrical repairs house")</f>
        <v>electrical repairs house</v>
      </c>
      <c r="M53" s="17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8" t="str">
        <f>IFERROR(__xludf.DUMMYFUNCTION("""COMPUTED_VALUE"""),"estate agent air conditioning services")</f>
        <v>estate agent air conditioning services</v>
      </c>
      <c r="Y53" s="4"/>
      <c r="Z53" s="4"/>
    </row>
    <row r="54" ht="15.75" customHeight="1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6" t="str">
        <f>IFERROR(__xludf.DUMMYFUNCTION("""COMPUTED_VALUE"""),"electrical repairs landlord")</f>
        <v>electrical repairs landlord</v>
      </c>
      <c r="M54" s="17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8" t="str">
        <f>IFERROR(__xludf.DUMMYFUNCTION("""COMPUTED_VALUE"""),"estate agent drain cleaning")</f>
        <v>estate agent drain cleaning</v>
      </c>
      <c r="Y54" s="4"/>
      <c r="Z54" s="4"/>
    </row>
    <row r="55" ht="15.75" customHeight="1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6" t="str">
        <f>IFERROR(__xludf.DUMMYFUNCTION("""COMPUTED_VALUE"""),"electrical repairs office")</f>
        <v>electrical repairs office</v>
      </c>
      <c r="M55" s="17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8" t="str">
        <f>IFERROR(__xludf.DUMMYFUNCTION("""COMPUTED_VALUE"""),"estate agent electrical repairs")</f>
        <v>estate agent electrical repairs</v>
      </c>
      <c r="Y55" s="4"/>
      <c r="Z55" s="4"/>
    </row>
    <row r="56" ht="15.75" customHeight="1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6" t="str">
        <f>IFERROR(__xludf.DUMMYFUNCTION("""COMPUTED_VALUE"""),"electrical repairs property manager")</f>
        <v>electrical repairs property manager</v>
      </c>
      <c r="M56" s="17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8" t="str">
        <f>IFERROR(__xludf.DUMMYFUNCTION("""COMPUTED_VALUE"""),"estate agent emergency plumbing")</f>
        <v>estate agent emergency plumbing</v>
      </c>
      <c r="Y56" s="4"/>
      <c r="Z56" s="4"/>
    </row>
    <row r="57" ht="15.75" customHeight="1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6" t="str">
        <f>IFERROR(__xludf.DUMMYFUNCTION("""COMPUTED_VALUE"""),"electrical repairs residential property")</f>
        <v>electrical repairs residential property</v>
      </c>
      <c r="M57" s="17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8" t="str">
        <f>IFERROR(__xludf.DUMMYFUNCTION("""COMPUTED_VALUE"""),"estate agent geyser repairs")</f>
        <v>estate agent geyser repairs</v>
      </c>
      <c r="Y57" s="4"/>
      <c r="Z57" s="4"/>
    </row>
    <row r="58" ht="15.75" customHeight="1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6" t="str">
        <f>IFERROR(__xludf.DUMMYFUNCTION("""COMPUTED_VALUE"""),"electrical repairs restaurant")</f>
        <v>electrical repairs restaurant</v>
      </c>
      <c r="M58" s="17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8" t="str">
        <f>IFERROR(__xludf.DUMMYFUNCTION("""COMPUTED_VALUE"""),"estate agent leak detection")</f>
        <v>estate agent leak detection</v>
      </c>
      <c r="Y58" s="4"/>
      <c r="Z58" s="4"/>
    </row>
    <row r="59" ht="15.75" customHeight="1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6" t="str">
        <f>IFERROR(__xludf.DUMMYFUNCTION("""COMPUTED_VALUE"""),"electrical repairs school")</f>
        <v>electrical repairs school</v>
      </c>
      <c r="M59" s="17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8" t="str">
        <f>IFERROR(__xludf.DUMMYFUNCTION("""COMPUTED_VALUE"""),"estate agent maintenance plumber")</f>
        <v>estate agent maintenance plumber</v>
      </c>
      <c r="Y59" s="4"/>
      <c r="Z59" s="4"/>
    </row>
    <row r="60" ht="15.75" customHeight="1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6" t="str">
        <f>IFERROR(__xludf.DUMMYFUNCTION("""COMPUTED_VALUE"""),"electrical repairs shop")</f>
        <v>electrical repairs shop</v>
      </c>
      <c r="M60" s="17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8" t="str">
        <f>IFERROR(__xludf.DUMMYFUNCTION("""COMPUTED_VALUE"""),"estate agent plumbing company")</f>
        <v>estate agent plumbing company</v>
      </c>
      <c r="Y60" s="4"/>
      <c r="Z60" s="4"/>
    </row>
    <row r="61" ht="15.75" customHeight="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6" t="str">
        <f>IFERROR(__xludf.DUMMYFUNCTION("""COMPUTED_VALUE"""),"electrical repairs tenant")</f>
        <v>electrical repairs tenant</v>
      </c>
      <c r="M61" s="17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8" t="str">
        <f>IFERROR(__xludf.DUMMYFUNCTION("""COMPUTED_VALUE"""),"estate agent plumbing services")</f>
        <v>estate agent plumbing services</v>
      </c>
      <c r="Y61" s="4"/>
      <c r="Z61" s="4"/>
    </row>
    <row r="62" ht="15.75" customHeight="1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6" t="str">
        <f>IFERROR(__xludf.DUMMYFUNCTION("""COMPUTED_VALUE"""),"electrical repairs townhouse")</f>
        <v>electrical repairs townhouse</v>
      </c>
      <c r="M62" s="17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8" t="str">
        <f>IFERROR(__xludf.DUMMYFUNCTION("""COMPUTED_VALUE"""),"estate agent refrigeration services")</f>
        <v>estate agent refrigeration services</v>
      </c>
      <c r="Y62" s="4"/>
      <c r="Z62" s="4"/>
    </row>
    <row r="63" ht="15.75" customHeight="1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6" t="str">
        <f>IFERROR(__xludf.DUMMYFUNCTION("""COMPUTED_VALUE"""),"emergency plumbing apartment")</f>
        <v>emergency plumbing apartment</v>
      </c>
      <c r="M63" s="17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8" t="str">
        <f>IFERROR(__xludf.DUMMYFUNCTION("""COMPUTED_VALUE"""),"flat air conditioning services")</f>
        <v>flat air conditioning services</v>
      </c>
      <c r="Y63" s="4"/>
      <c r="Z63" s="4"/>
    </row>
    <row r="64" ht="15.75" customHeight="1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6" t="str">
        <f>IFERROR(__xludf.DUMMYFUNCTION("""COMPUTED_VALUE"""),"emergency plumbing body corporate")</f>
        <v>emergency plumbing body corporate</v>
      </c>
      <c r="M64" s="17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8" t="str">
        <f>IFERROR(__xludf.DUMMYFUNCTION("""COMPUTED_VALUE"""),"flat drain cleaning")</f>
        <v>flat drain cleaning</v>
      </c>
      <c r="Y64" s="4"/>
      <c r="Z64" s="4"/>
    </row>
    <row r="65" ht="15.75" customHeight="1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6" t="str">
        <f>IFERROR(__xludf.DUMMYFUNCTION("""COMPUTED_VALUE"""),"emergency plumbing building")</f>
        <v>emergency plumbing building</v>
      </c>
      <c r="M65" s="17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8" t="str">
        <f>IFERROR(__xludf.DUMMYFUNCTION("""COMPUTED_VALUE"""),"flat electrical repairs")</f>
        <v>flat electrical repairs</v>
      </c>
      <c r="Y65" s="4"/>
      <c r="Z65" s="4"/>
    </row>
    <row r="66" ht="15.75" customHeight="1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6" t="str">
        <f>IFERROR(__xludf.DUMMYFUNCTION("""COMPUTED_VALUE"""),"emergency plumbing business")</f>
        <v>emergency plumbing business</v>
      </c>
      <c r="M66" s="17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8" t="str">
        <f>IFERROR(__xludf.DUMMYFUNCTION("""COMPUTED_VALUE"""),"flat emergency plumbing")</f>
        <v>flat emergency plumbing</v>
      </c>
      <c r="Y66" s="4"/>
      <c r="Z66" s="4"/>
    </row>
    <row r="67" ht="15.75" customHeight="1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6" t="str">
        <f>IFERROR(__xludf.DUMMYFUNCTION("""COMPUTED_VALUE"""),"emergency plumbing commercial property")</f>
        <v>emergency plumbing commercial property</v>
      </c>
      <c r="M67" s="17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8" t="str">
        <f>IFERROR(__xludf.DUMMYFUNCTION("""COMPUTED_VALUE"""),"flat geyser repairs")</f>
        <v>flat geyser repairs</v>
      </c>
      <c r="Y67" s="4"/>
      <c r="Z67" s="4"/>
    </row>
    <row r="68" ht="15.75" customHeight="1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6" t="str">
        <f>IFERROR(__xludf.DUMMYFUNCTION("""COMPUTED_VALUE"""),"emergency plumbing estate agent")</f>
        <v>emergency plumbing estate agent</v>
      </c>
      <c r="M68" s="17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8" t="str">
        <f>IFERROR(__xludf.DUMMYFUNCTION("""COMPUTED_VALUE"""),"flat leak detection")</f>
        <v>flat leak detection</v>
      </c>
      <c r="Y68" s="4"/>
      <c r="Z68" s="4"/>
    </row>
    <row r="69" ht="15.75" customHeight="1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6" t="str">
        <f>IFERROR(__xludf.DUMMYFUNCTION("""COMPUTED_VALUE"""),"emergency plumbing flat")</f>
        <v>emergency plumbing flat</v>
      </c>
      <c r="M69" s="17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8" t="str">
        <f>IFERROR(__xludf.DUMMYFUNCTION("""COMPUTED_VALUE"""),"flat maintenance plumber")</f>
        <v>flat maintenance plumber</v>
      </c>
      <c r="Y69" s="4"/>
      <c r="Z69" s="4"/>
    </row>
    <row r="70" ht="15.75" customHeight="1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6" t="str">
        <f>IFERROR(__xludf.DUMMYFUNCTION("""COMPUTED_VALUE"""),"emergency plumbing guesthouse")</f>
        <v>emergency plumbing guesthouse</v>
      </c>
      <c r="M70" s="17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8" t="str">
        <f>IFERROR(__xludf.DUMMYFUNCTION("""COMPUTED_VALUE"""),"flat plumbing company")</f>
        <v>flat plumbing company</v>
      </c>
      <c r="Y70" s="4"/>
      <c r="Z70" s="4"/>
    </row>
    <row r="71" ht="15.75" customHeight="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6" t="str">
        <f>IFERROR(__xludf.DUMMYFUNCTION("""COMPUTED_VALUE"""),"emergency plumbing home")</f>
        <v>emergency plumbing home</v>
      </c>
      <c r="M71" s="17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8" t="str">
        <f>IFERROR(__xludf.DUMMYFUNCTION("""COMPUTED_VALUE"""),"flat plumbing services")</f>
        <v>flat plumbing services</v>
      </c>
      <c r="Y71" s="4"/>
      <c r="Z71" s="4"/>
    </row>
    <row r="72" ht="15.75" customHeight="1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6" t="str">
        <f>IFERROR(__xludf.DUMMYFUNCTION("""COMPUTED_VALUE"""),"emergency plumbing hotel")</f>
        <v>emergency plumbing hotel</v>
      </c>
      <c r="M72" s="17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8" t="str">
        <f>IFERROR(__xludf.DUMMYFUNCTION("""COMPUTED_VALUE"""),"flat refrigeration services")</f>
        <v>flat refrigeration services</v>
      </c>
      <c r="Y72" s="4"/>
      <c r="Z72" s="4"/>
    </row>
    <row r="73" ht="15.75" customHeight="1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6" t="str">
        <f>IFERROR(__xludf.DUMMYFUNCTION("""COMPUTED_VALUE"""),"emergency plumbing house")</f>
        <v>emergency plumbing house</v>
      </c>
      <c r="M73" s="17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8" t="str">
        <f>IFERROR(__xludf.DUMMYFUNCTION("""COMPUTED_VALUE"""),"guesthouse air conditioning services")</f>
        <v>guesthouse air conditioning services</v>
      </c>
      <c r="Y73" s="4"/>
      <c r="Z73" s="4"/>
    </row>
    <row r="74" ht="15.75" customHeight="1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6" t="str">
        <f>IFERROR(__xludf.DUMMYFUNCTION("""COMPUTED_VALUE"""),"emergency plumbing landlord")</f>
        <v>emergency plumbing landlord</v>
      </c>
      <c r="M74" s="17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8" t="str">
        <f>IFERROR(__xludf.DUMMYFUNCTION("""COMPUTED_VALUE"""),"guesthouse drain cleaning")</f>
        <v>guesthouse drain cleaning</v>
      </c>
      <c r="Y74" s="4"/>
      <c r="Z74" s="4"/>
    </row>
    <row r="75" ht="15.75" customHeight="1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6" t="str">
        <f>IFERROR(__xludf.DUMMYFUNCTION("""COMPUTED_VALUE"""),"emergency plumbing office")</f>
        <v>emergency plumbing office</v>
      </c>
      <c r="M75" s="17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8" t="str">
        <f>IFERROR(__xludf.DUMMYFUNCTION("""COMPUTED_VALUE"""),"guesthouse electrical repairs")</f>
        <v>guesthouse electrical repairs</v>
      </c>
      <c r="Y75" s="4"/>
      <c r="Z75" s="4"/>
    </row>
    <row r="76" ht="15.75" customHeight="1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6" t="str">
        <f>IFERROR(__xludf.DUMMYFUNCTION("""COMPUTED_VALUE"""),"emergency plumbing property manager")</f>
        <v>emergency plumbing property manager</v>
      </c>
      <c r="M76" s="17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8" t="str">
        <f>IFERROR(__xludf.DUMMYFUNCTION("""COMPUTED_VALUE"""),"guesthouse emergency plumbing")</f>
        <v>guesthouse emergency plumbing</v>
      </c>
      <c r="Y76" s="4"/>
      <c r="Z76" s="4"/>
    </row>
    <row r="77" ht="15.75" customHeight="1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6" t="str">
        <f>IFERROR(__xludf.DUMMYFUNCTION("""COMPUTED_VALUE"""),"emergency plumbing residential property")</f>
        <v>emergency plumbing residential property</v>
      </c>
      <c r="M77" s="17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8" t="str">
        <f>IFERROR(__xludf.DUMMYFUNCTION("""COMPUTED_VALUE"""),"guesthouse geyser repairs")</f>
        <v>guesthouse geyser repairs</v>
      </c>
      <c r="Y77" s="4"/>
      <c r="Z77" s="4"/>
    </row>
    <row r="78" ht="15.75" customHeight="1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6" t="str">
        <f>IFERROR(__xludf.DUMMYFUNCTION("""COMPUTED_VALUE"""),"emergency plumbing restaurant")</f>
        <v>emergency plumbing restaurant</v>
      </c>
      <c r="M78" s="17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8" t="str">
        <f>IFERROR(__xludf.DUMMYFUNCTION("""COMPUTED_VALUE"""),"guesthouse leak detection")</f>
        <v>guesthouse leak detection</v>
      </c>
      <c r="Y78" s="4"/>
      <c r="Z78" s="4"/>
    </row>
    <row r="79" ht="15.75" customHeight="1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6" t="str">
        <f>IFERROR(__xludf.DUMMYFUNCTION("""COMPUTED_VALUE"""),"emergency plumbing school")</f>
        <v>emergency plumbing school</v>
      </c>
      <c r="M79" s="17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8" t="str">
        <f>IFERROR(__xludf.DUMMYFUNCTION("""COMPUTED_VALUE"""),"guesthouse maintenance plumber")</f>
        <v>guesthouse maintenance plumber</v>
      </c>
      <c r="Y79" s="4"/>
      <c r="Z79" s="4"/>
    </row>
    <row r="80" ht="15.75" customHeight="1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6" t="str">
        <f>IFERROR(__xludf.DUMMYFUNCTION("""COMPUTED_VALUE"""),"emergency plumbing shop")</f>
        <v>emergency plumbing shop</v>
      </c>
      <c r="M80" s="17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8" t="str">
        <f>IFERROR(__xludf.DUMMYFUNCTION("""COMPUTED_VALUE"""),"guesthouse plumbing company")</f>
        <v>guesthouse plumbing company</v>
      </c>
      <c r="Y80" s="4"/>
      <c r="Z80" s="4"/>
    </row>
    <row r="81" ht="15.75" customHeight="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6" t="str">
        <f>IFERROR(__xludf.DUMMYFUNCTION("""COMPUTED_VALUE"""),"emergency plumbing tenant")</f>
        <v>emergency plumbing tenant</v>
      </c>
      <c r="M81" s="17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8" t="str">
        <f>IFERROR(__xludf.DUMMYFUNCTION("""COMPUTED_VALUE"""),"guesthouse plumbing services")</f>
        <v>guesthouse plumbing services</v>
      </c>
      <c r="Y81" s="4"/>
      <c r="Z81" s="4"/>
    </row>
    <row r="82" ht="15.75" customHeight="1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6" t="str">
        <f>IFERROR(__xludf.DUMMYFUNCTION("""COMPUTED_VALUE"""),"emergency plumbing townhouse")</f>
        <v>emergency plumbing townhouse</v>
      </c>
      <c r="M82" s="17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8" t="str">
        <f>IFERROR(__xludf.DUMMYFUNCTION("""COMPUTED_VALUE"""),"guesthouse refrigeration services")</f>
        <v>guesthouse refrigeration services</v>
      </c>
      <c r="Y82" s="4"/>
      <c r="Z82" s="4"/>
    </row>
    <row r="83" ht="15.7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6" t="str">
        <f>IFERROR(__xludf.DUMMYFUNCTION("""COMPUTED_VALUE"""),"geyser repairs apartment")</f>
        <v>geyser repairs apartment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8" t="str">
        <f>IFERROR(__xludf.DUMMYFUNCTION("""COMPUTED_VALUE"""),"home air conditioning services")</f>
        <v>home air conditioning services</v>
      </c>
      <c r="Y83" s="4"/>
      <c r="Z83" s="4"/>
    </row>
    <row r="84" ht="15.7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 t="str">
        <f>IFERROR(__xludf.DUMMYFUNCTION("""COMPUTED_VALUE"""),"geyser repairs body corporate")</f>
        <v>geyser repairs body corporate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8" t="str">
        <f>IFERROR(__xludf.DUMMYFUNCTION("""COMPUTED_VALUE"""),"home drain cleaning")</f>
        <v>home drain cleaning</v>
      </c>
      <c r="Y84" s="4"/>
      <c r="Z84" s="4"/>
    </row>
    <row r="85" ht="15.7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6" t="str">
        <f>IFERROR(__xludf.DUMMYFUNCTION("""COMPUTED_VALUE"""),"geyser repairs building")</f>
        <v>geyser repairs building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8" t="str">
        <f>IFERROR(__xludf.DUMMYFUNCTION("""COMPUTED_VALUE"""),"home electrical repairs")</f>
        <v>home electrical repairs</v>
      </c>
      <c r="Y85" s="4"/>
      <c r="Z85" s="4"/>
    </row>
    <row r="86" ht="15.7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 t="str">
        <f>IFERROR(__xludf.DUMMYFUNCTION("""COMPUTED_VALUE"""),"geyser repairs business")</f>
        <v>geyser repairs business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8" t="str">
        <f>IFERROR(__xludf.DUMMYFUNCTION("""COMPUTED_VALUE"""),"home emergency plumbing")</f>
        <v>home emergency plumbing</v>
      </c>
      <c r="Y86" s="4"/>
      <c r="Z86" s="4"/>
    </row>
    <row r="87" ht="15.7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 t="str">
        <f>IFERROR(__xludf.DUMMYFUNCTION("""COMPUTED_VALUE"""),"geyser repairs commercial property")</f>
        <v>geyser repairs commercial property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8" t="str">
        <f>IFERROR(__xludf.DUMMYFUNCTION("""COMPUTED_VALUE"""),"home geyser repairs")</f>
        <v>home geyser repairs</v>
      </c>
      <c r="Y87" s="4"/>
      <c r="Z87" s="4"/>
    </row>
    <row r="88" ht="15.7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 t="str">
        <f>IFERROR(__xludf.DUMMYFUNCTION("""COMPUTED_VALUE"""),"geyser repairs estate agent")</f>
        <v>geyser repairs estate agent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8" t="str">
        <f>IFERROR(__xludf.DUMMYFUNCTION("""COMPUTED_VALUE"""),"home leak detection")</f>
        <v>home leak detection</v>
      </c>
      <c r="Y88" s="4"/>
      <c r="Z88" s="4"/>
    </row>
    <row r="89" ht="15.7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 t="str">
        <f>IFERROR(__xludf.DUMMYFUNCTION("""COMPUTED_VALUE"""),"geyser repairs flat")</f>
        <v>geyser repairs flat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8" t="str">
        <f>IFERROR(__xludf.DUMMYFUNCTION("""COMPUTED_VALUE"""),"home maintenance plumber")</f>
        <v>home maintenance plumber</v>
      </c>
      <c r="Y89" s="4"/>
      <c r="Z89" s="4"/>
    </row>
    <row r="90" ht="15.75" customHeight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 t="str">
        <f>IFERROR(__xludf.DUMMYFUNCTION("""COMPUTED_VALUE"""),"geyser repairs guesthouse")</f>
        <v>geyser repairs guesthouse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8" t="str">
        <f>IFERROR(__xludf.DUMMYFUNCTION("""COMPUTED_VALUE"""),"home plumbing company")</f>
        <v>home plumbing company</v>
      </c>
      <c r="Y90" s="4"/>
      <c r="Z90" s="4"/>
    </row>
    <row r="91" ht="15.75" customHeight="1">
      <c r="A91" s="1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6" t="str">
        <f>IFERROR(__xludf.DUMMYFUNCTION("""COMPUTED_VALUE"""),"geyser repairs home")</f>
        <v>geyser repairs home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 t="str">
        <f>IFERROR(__xludf.DUMMYFUNCTION("""COMPUTED_VALUE"""),"home plumbing services")</f>
        <v>home plumbing services</v>
      </c>
      <c r="Y91" s="4"/>
      <c r="Z91" s="4"/>
    </row>
    <row r="92" ht="15.75" customHeight="1">
      <c r="A92" s="1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 t="str">
        <f>IFERROR(__xludf.DUMMYFUNCTION("""COMPUTED_VALUE"""),"geyser repairs hotel")</f>
        <v>geyser repairs hotel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8" t="str">
        <f>IFERROR(__xludf.DUMMYFUNCTION("""COMPUTED_VALUE"""),"home refrigeration services")</f>
        <v>home refrigeration services</v>
      </c>
      <c r="Y92" s="4"/>
      <c r="Z92" s="4"/>
    </row>
    <row r="93" ht="15.75" customHeight="1">
      <c r="A93" s="1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6" t="str">
        <f>IFERROR(__xludf.DUMMYFUNCTION("""COMPUTED_VALUE"""),"geyser repairs house")</f>
        <v>geyser repairs house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8" t="str">
        <f>IFERROR(__xludf.DUMMYFUNCTION("""COMPUTED_VALUE"""),"hotel air conditioning services")</f>
        <v>hotel air conditioning services</v>
      </c>
      <c r="Y93" s="4"/>
      <c r="Z93" s="4"/>
    </row>
    <row r="94" ht="15.75" customHeight="1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6" t="str">
        <f>IFERROR(__xludf.DUMMYFUNCTION("""COMPUTED_VALUE"""),"geyser repairs landlord")</f>
        <v>geyser repairs landlord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8" t="str">
        <f>IFERROR(__xludf.DUMMYFUNCTION("""COMPUTED_VALUE"""),"hotel drain cleaning")</f>
        <v>hotel drain cleaning</v>
      </c>
      <c r="Y94" s="4"/>
      <c r="Z94" s="4"/>
    </row>
    <row r="95" ht="15.75" customHeight="1">
      <c r="A95" s="1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 t="str">
        <f>IFERROR(__xludf.DUMMYFUNCTION("""COMPUTED_VALUE"""),"geyser repairs office")</f>
        <v>geyser repairs office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8" t="str">
        <f>IFERROR(__xludf.DUMMYFUNCTION("""COMPUTED_VALUE"""),"hotel electrical repairs")</f>
        <v>hotel electrical repairs</v>
      </c>
      <c r="Y95" s="4"/>
      <c r="Z95" s="4"/>
    </row>
    <row r="96" ht="15.75" customHeight="1">
      <c r="A96" s="1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6" t="str">
        <f>IFERROR(__xludf.DUMMYFUNCTION("""COMPUTED_VALUE"""),"geyser repairs property manager")</f>
        <v>geyser repairs property manager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 t="str">
        <f>IFERROR(__xludf.DUMMYFUNCTION("""COMPUTED_VALUE"""),"hotel emergency plumbing")</f>
        <v>hotel emergency plumbing</v>
      </c>
      <c r="Y96" s="4"/>
      <c r="Z96" s="4"/>
    </row>
    <row r="97" ht="15.75" customHeight="1">
      <c r="A97" s="1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6" t="str">
        <f>IFERROR(__xludf.DUMMYFUNCTION("""COMPUTED_VALUE"""),"geyser repairs residential property")</f>
        <v>geyser repairs residential property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8" t="str">
        <f>IFERROR(__xludf.DUMMYFUNCTION("""COMPUTED_VALUE"""),"hotel geyser repairs")</f>
        <v>hotel geyser repairs</v>
      </c>
      <c r="Y97" s="4"/>
      <c r="Z97" s="4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 t="str">
        <f>IFERROR(__xludf.DUMMYFUNCTION("""COMPUTED_VALUE"""),"geyser repairs restaurant")</f>
        <v>geyser repairs restaurant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 t="str">
        <f>IFERROR(__xludf.DUMMYFUNCTION("""COMPUTED_VALUE"""),"hotel leak detection")</f>
        <v>hotel leak detection</v>
      </c>
      <c r="Y98" s="4"/>
      <c r="Z98" s="4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 t="str">
        <f>IFERROR(__xludf.DUMMYFUNCTION("""COMPUTED_VALUE"""),"geyser repairs school")</f>
        <v>geyser repairs school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8" t="str">
        <f>IFERROR(__xludf.DUMMYFUNCTION("""COMPUTED_VALUE"""),"hotel maintenance plumber")</f>
        <v>hotel maintenance plumber</v>
      </c>
      <c r="Y99" s="4"/>
      <c r="Z99" s="4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6" t="str">
        <f>IFERROR(__xludf.DUMMYFUNCTION("""COMPUTED_VALUE"""),"geyser repairs shop")</f>
        <v>geyser repairs shop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8" t="str">
        <f>IFERROR(__xludf.DUMMYFUNCTION("""COMPUTED_VALUE"""),"hotel plumbing company")</f>
        <v>hotel plumbing company</v>
      </c>
      <c r="Y100" s="4"/>
      <c r="Z100" s="4"/>
    </row>
    <row r="101" ht="15.75" customHeight="1">
      <c r="A101" s="1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 t="str">
        <f>IFERROR(__xludf.DUMMYFUNCTION("""COMPUTED_VALUE"""),"geyser repairs tenant")</f>
        <v>geyser repairs tenant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8" t="str">
        <f>IFERROR(__xludf.DUMMYFUNCTION("""COMPUTED_VALUE"""),"hotel plumbing services")</f>
        <v>hotel plumbing services</v>
      </c>
      <c r="Y101" s="4"/>
      <c r="Z101" s="4"/>
    </row>
    <row r="102" ht="15.75" customHeight="1">
      <c r="A102" s="1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 t="str">
        <f>IFERROR(__xludf.DUMMYFUNCTION("""COMPUTED_VALUE"""),"geyser repairs townhouse")</f>
        <v>geyser repairs townhouse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8" t="str">
        <f>IFERROR(__xludf.DUMMYFUNCTION("""COMPUTED_VALUE"""),"hotel refrigeration services")</f>
        <v>hotel refrigeration services</v>
      </c>
      <c r="Y102" s="4"/>
      <c r="Z102" s="4"/>
    </row>
    <row r="103" ht="15.75" customHeight="1">
      <c r="A103" s="1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 t="str">
        <f>IFERROR(__xludf.DUMMYFUNCTION("""COMPUTED_VALUE"""),"leak detection apartment")</f>
        <v>leak detection apartment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 t="str">
        <f>IFERROR(__xludf.DUMMYFUNCTION("""COMPUTED_VALUE"""),"house air conditioning services")</f>
        <v>house air conditioning services</v>
      </c>
      <c r="Y103" s="4"/>
      <c r="Z103" s="4"/>
    </row>
    <row r="104" ht="15.75" customHeight="1">
      <c r="A104" s="1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6" t="str">
        <f>IFERROR(__xludf.DUMMYFUNCTION("""COMPUTED_VALUE"""),"leak detection body corporate")</f>
        <v>leak detection body corporate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8" t="str">
        <f>IFERROR(__xludf.DUMMYFUNCTION("""COMPUTED_VALUE"""),"house drain cleaning")</f>
        <v>house drain cleaning</v>
      </c>
      <c r="Y104" s="4"/>
      <c r="Z104" s="4"/>
    </row>
    <row r="105" ht="15.75" customHeight="1">
      <c r="A105" s="1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 t="str">
        <f>IFERROR(__xludf.DUMMYFUNCTION("""COMPUTED_VALUE"""),"leak detection building")</f>
        <v>leak detection building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 t="str">
        <f>IFERROR(__xludf.DUMMYFUNCTION("""COMPUTED_VALUE"""),"house electrical repairs")</f>
        <v>house electrical repairs</v>
      </c>
      <c r="Y105" s="4"/>
      <c r="Z105" s="4"/>
    </row>
    <row r="106" ht="15.75" customHeight="1">
      <c r="A106" s="1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6" t="str">
        <f>IFERROR(__xludf.DUMMYFUNCTION("""COMPUTED_VALUE"""),"leak detection business")</f>
        <v>leak detection business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8" t="str">
        <f>IFERROR(__xludf.DUMMYFUNCTION("""COMPUTED_VALUE"""),"house emergency plumbing")</f>
        <v>house emergency plumbing</v>
      </c>
      <c r="Y106" s="4"/>
      <c r="Z106" s="4"/>
    </row>
    <row r="107" ht="15.75" customHeight="1">
      <c r="A107" s="1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tr">
        <f>IFERROR(__xludf.DUMMYFUNCTION("""COMPUTED_VALUE"""),"leak detection commercial property")</f>
        <v>leak detection commercial property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 t="str">
        <f>IFERROR(__xludf.DUMMYFUNCTION("""COMPUTED_VALUE"""),"house geyser repairs")</f>
        <v>house geyser repairs</v>
      </c>
      <c r="Y107" s="4"/>
      <c r="Z107" s="4"/>
    </row>
    <row r="108" ht="15.75" customHeight="1">
      <c r="A108" s="1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6" t="str">
        <f>IFERROR(__xludf.DUMMYFUNCTION("""COMPUTED_VALUE"""),"leak detection estate agent")</f>
        <v>leak detection estate agent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8" t="str">
        <f>IFERROR(__xludf.DUMMYFUNCTION("""COMPUTED_VALUE"""),"house leak detection")</f>
        <v>house leak detection</v>
      </c>
      <c r="Y108" s="4"/>
      <c r="Z108" s="4"/>
    </row>
    <row r="109" ht="15.75" customHeight="1">
      <c r="A109" s="1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6" t="str">
        <f>IFERROR(__xludf.DUMMYFUNCTION("""COMPUTED_VALUE"""),"leak detection flat")</f>
        <v>leak detection flat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 t="str">
        <f>IFERROR(__xludf.DUMMYFUNCTION("""COMPUTED_VALUE"""),"house maintenance plumber")</f>
        <v>house maintenance plumber</v>
      </c>
      <c r="Y109" s="4"/>
      <c r="Z109" s="4"/>
    </row>
    <row r="110" ht="15.75" customHeight="1">
      <c r="A110" s="1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6" t="str">
        <f>IFERROR(__xludf.DUMMYFUNCTION("""COMPUTED_VALUE"""),"leak detection guesthouse")</f>
        <v>leak detection guesthouse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8" t="str">
        <f>IFERROR(__xludf.DUMMYFUNCTION("""COMPUTED_VALUE"""),"house plumbing company")</f>
        <v>house plumbing company</v>
      </c>
      <c r="Y110" s="4"/>
      <c r="Z110" s="4"/>
    </row>
    <row r="111" ht="15.75" customHeight="1">
      <c r="A111" s="1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6" t="str">
        <f>IFERROR(__xludf.DUMMYFUNCTION("""COMPUTED_VALUE"""),"leak detection home")</f>
        <v>leak detection home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 t="str">
        <f>IFERROR(__xludf.DUMMYFUNCTION("""COMPUTED_VALUE"""),"house plumbing services")</f>
        <v>house plumbing services</v>
      </c>
      <c r="Y111" s="4"/>
      <c r="Z111" s="4"/>
    </row>
    <row r="112" ht="15.75" customHeight="1">
      <c r="A112" s="1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6" t="str">
        <f>IFERROR(__xludf.DUMMYFUNCTION("""COMPUTED_VALUE"""),"leak detection hotel")</f>
        <v>leak detection hotel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 t="str">
        <f>IFERROR(__xludf.DUMMYFUNCTION("""COMPUTED_VALUE"""),"house refrigeration services")</f>
        <v>house refrigeration services</v>
      </c>
      <c r="Y112" s="4"/>
      <c r="Z112" s="4"/>
    </row>
    <row r="113" ht="15.75" customHeight="1">
      <c r="A113" s="1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6" t="str">
        <f>IFERROR(__xludf.DUMMYFUNCTION("""COMPUTED_VALUE"""),"leak detection house")</f>
        <v>leak detection house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8" t="str">
        <f>IFERROR(__xludf.DUMMYFUNCTION("""COMPUTED_VALUE"""),"landlord air conditioning services")</f>
        <v>landlord air conditioning services</v>
      </c>
      <c r="Y113" s="4"/>
      <c r="Z113" s="4"/>
    </row>
    <row r="114" ht="15.75" customHeight="1">
      <c r="A114" s="1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6" t="str">
        <f>IFERROR(__xludf.DUMMYFUNCTION("""COMPUTED_VALUE"""),"leak detection landlord")</f>
        <v>leak detection landlord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8" t="str">
        <f>IFERROR(__xludf.DUMMYFUNCTION("""COMPUTED_VALUE"""),"landlord drain cleaning")</f>
        <v>landlord drain cleaning</v>
      </c>
      <c r="Y114" s="4"/>
      <c r="Z114" s="4"/>
    </row>
    <row r="115" ht="15.75" customHeight="1">
      <c r="A115" s="1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6" t="str">
        <f>IFERROR(__xludf.DUMMYFUNCTION("""COMPUTED_VALUE"""),"leak detection office")</f>
        <v>leak detection office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8" t="str">
        <f>IFERROR(__xludf.DUMMYFUNCTION("""COMPUTED_VALUE"""),"landlord electrical repairs")</f>
        <v>landlord electrical repairs</v>
      </c>
      <c r="Y115" s="4"/>
      <c r="Z115" s="4"/>
    </row>
    <row r="116" ht="15.75" customHeight="1">
      <c r="A116" s="1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6" t="str">
        <f>IFERROR(__xludf.DUMMYFUNCTION("""COMPUTED_VALUE"""),"leak detection property manager")</f>
        <v>leak detection property manager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8" t="str">
        <f>IFERROR(__xludf.DUMMYFUNCTION("""COMPUTED_VALUE"""),"landlord emergency plumbing")</f>
        <v>landlord emergency plumbing</v>
      </c>
      <c r="Y116" s="4"/>
      <c r="Z116" s="4"/>
    </row>
    <row r="117" ht="15.75" customHeight="1">
      <c r="A117" s="1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6" t="str">
        <f>IFERROR(__xludf.DUMMYFUNCTION("""COMPUTED_VALUE"""),"leak detection residential property")</f>
        <v>leak detection residential property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8" t="str">
        <f>IFERROR(__xludf.DUMMYFUNCTION("""COMPUTED_VALUE"""),"landlord geyser repairs")</f>
        <v>landlord geyser repairs</v>
      </c>
      <c r="Y117" s="4"/>
      <c r="Z117" s="4"/>
    </row>
    <row r="118" ht="15.7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 t="str">
        <f>IFERROR(__xludf.DUMMYFUNCTION("""COMPUTED_VALUE"""),"leak detection restaurant")</f>
        <v>leak detection restaurant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8" t="str">
        <f>IFERROR(__xludf.DUMMYFUNCTION("""COMPUTED_VALUE"""),"landlord leak detection")</f>
        <v>landlord leak detection</v>
      </c>
      <c r="Y118" s="4"/>
      <c r="Z118" s="4"/>
    </row>
    <row r="119" ht="15.75" customHeight="1">
      <c r="A119" s="1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6" t="str">
        <f>IFERROR(__xludf.DUMMYFUNCTION("""COMPUTED_VALUE"""),"leak detection school")</f>
        <v>leak detection school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 t="str">
        <f>IFERROR(__xludf.DUMMYFUNCTION("""COMPUTED_VALUE"""),"landlord maintenance plumber")</f>
        <v>landlord maintenance plumber</v>
      </c>
      <c r="Y119" s="4"/>
      <c r="Z119" s="4"/>
    </row>
    <row r="120" ht="15.75" customHeigh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 t="str">
        <f>IFERROR(__xludf.DUMMYFUNCTION("""COMPUTED_VALUE"""),"leak detection shop")</f>
        <v>leak detection shop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3" t="str">
        <f>IFERROR(__xludf.DUMMYFUNCTION("""COMPUTED_VALUE"""),"landlord plumbing company")</f>
        <v>landlord plumbing company</v>
      </c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 t="str">
        <f>IFERROR(__xludf.DUMMYFUNCTION("""COMPUTED_VALUE"""),"leak detection tenant")</f>
        <v>leak detection tenant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tr">
        <f>IFERROR(__xludf.DUMMYFUNCTION("""COMPUTED_VALUE"""),"landlord plumbing services")</f>
        <v>landlord plumbing services</v>
      </c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 t="str">
        <f>IFERROR(__xludf.DUMMYFUNCTION("""COMPUTED_VALUE"""),"leak detection townhouse")</f>
        <v>leak detection townhouse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tr">
        <f>IFERROR(__xludf.DUMMYFUNCTION("""COMPUTED_VALUE"""),"landlord refrigeration services")</f>
        <v>landlord refrigeration services</v>
      </c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 t="str">
        <f>IFERROR(__xludf.DUMMYFUNCTION("""COMPUTED_VALUE"""),"maintenance plumber apartment")</f>
        <v>maintenance plumber apartment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 t="str">
        <f>IFERROR(__xludf.DUMMYFUNCTION("""COMPUTED_VALUE"""),"office air conditioning services")</f>
        <v>office air conditioning services</v>
      </c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 t="str">
        <f>IFERROR(__xludf.DUMMYFUNCTION("""COMPUTED_VALUE"""),"maintenance plumber body corporate")</f>
        <v>maintenance plumber body corporate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tr">
        <f>IFERROR(__xludf.DUMMYFUNCTION("""COMPUTED_VALUE"""),"office drain cleaning")</f>
        <v>office drain cleaning</v>
      </c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tr">
        <f>IFERROR(__xludf.DUMMYFUNCTION("""COMPUTED_VALUE"""),"maintenance plumber building")</f>
        <v>maintenance plumber building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str">
        <f>IFERROR(__xludf.DUMMYFUNCTION("""COMPUTED_VALUE"""),"office electrical repairs")</f>
        <v>office electrical repairs</v>
      </c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tr">
        <f>IFERROR(__xludf.DUMMYFUNCTION("""COMPUTED_VALUE"""),"maintenance plumber business")</f>
        <v>maintenance plumber business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tr">
        <f>IFERROR(__xludf.DUMMYFUNCTION("""COMPUTED_VALUE"""),"office emergency plumbing")</f>
        <v>office emergency plumbing</v>
      </c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 t="str">
        <f>IFERROR(__xludf.DUMMYFUNCTION("""COMPUTED_VALUE"""),"maintenance plumber commercial property")</f>
        <v>maintenance plumber commercial property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tr">
        <f>IFERROR(__xludf.DUMMYFUNCTION("""COMPUTED_VALUE"""),"office geyser repairs")</f>
        <v>office geyser repairs</v>
      </c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 t="str">
        <f>IFERROR(__xludf.DUMMYFUNCTION("""COMPUTED_VALUE"""),"maintenance plumber estate agent")</f>
        <v>maintenance plumber estate agent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 t="str">
        <f>IFERROR(__xludf.DUMMYFUNCTION("""COMPUTED_VALUE"""),"office leak detection")</f>
        <v>office leak detection</v>
      </c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 t="str">
        <f>IFERROR(__xludf.DUMMYFUNCTION("""COMPUTED_VALUE"""),"maintenance plumber flat")</f>
        <v>maintenance plumber flat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tr">
        <f>IFERROR(__xludf.DUMMYFUNCTION("""COMPUTED_VALUE"""),"office maintenance plumber")</f>
        <v>office maintenance plumber</v>
      </c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 t="str">
        <f>IFERROR(__xludf.DUMMYFUNCTION("""COMPUTED_VALUE"""),"maintenance plumber guesthouse")</f>
        <v>maintenance plumber guesthouse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tr">
        <f>IFERROR(__xludf.DUMMYFUNCTION("""COMPUTED_VALUE"""),"office plumbing company")</f>
        <v>office plumbing company</v>
      </c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 t="str">
        <f>IFERROR(__xludf.DUMMYFUNCTION("""COMPUTED_VALUE"""),"maintenance plumber home")</f>
        <v>maintenance plumber home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tr">
        <f>IFERROR(__xludf.DUMMYFUNCTION("""COMPUTED_VALUE"""),"office plumbing services")</f>
        <v>office plumbing services</v>
      </c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 t="str">
        <f>IFERROR(__xludf.DUMMYFUNCTION("""COMPUTED_VALUE"""),"maintenance plumber hotel")</f>
        <v>maintenance plumber hotel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tr">
        <f>IFERROR(__xludf.DUMMYFUNCTION("""COMPUTED_VALUE"""),"office refrigeration services")</f>
        <v>office refrigeration services</v>
      </c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tr">
        <f>IFERROR(__xludf.DUMMYFUNCTION("""COMPUTED_VALUE"""),"maintenance plumber house")</f>
        <v>maintenance plumber house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tr">
        <f>IFERROR(__xludf.DUMMYFUNCTION("""COMPUTED_VALUE"""),"property manager air conditioning services")</f>
        <v>property manager air conditioning services</v>
      </c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tr">
        <f>IFERROR(__xludf.DUMMYFUNCTION("""COMPUTED_VALUE"""),"maintenance plumber landlord")</f>
        <v>maintenance plumber landlord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 t="str">
        <f>IFERROR(__xludf.DUMMYFUNCTION("""COMPUTED_VALUE"""),"property manager drain cleaning")</f>
        <v>property manager drain cleaning</v>
      </c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 t="str">
        <f>IFERROR(__xludf.DUMMYFUNCTION("""COMPUTED_VALUE"""),"maintenance plumber office")</f>
        <v>maintenance plumber office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str">
        <f>IFERROR(__xludf.DUMMYFUNCTION("""COMPUTED_VALUE"""),"property manager electrical repairs")</f>
        <v>property manager electrical repairs</v>
      </c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tr">
        <f>IFERROR(__xludf.DUMMYFUNCTION("""COMPUTED_VALUE"""),"maintenance plumber property manager")</f>
        <v>maintenance plumber property manager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str">
        <f>IFERROR(__xludf.DUMMYFUNCTION("""COMPUTED_VALUE"""),"property manager emergency plumbing")</f>
        <v>property manager emergency plumbing</v>
      </c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tr">
        <f>IFERROR(__xludf.DUMMYFUNCTION("""COMPUTED_VALUE"""),"maintenance plumber residential property")</f>
        <v>maintenance plumber residential property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tr">
        <f>IFERROR(__xludf.DUMMYFUNCTION("""COMPUTED_VALUE"""),"property manager geyser repairs")</f>
        <v>property manager geyser repairs</v>
      </c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 t="str">
        <f>IFERROR(__xludf.DUMMYFUNCTION("""COMPUTED_VALUE"""),"maintenance plumber restaurant")</f>
        <v>maintenance plumber restaurant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tr">
        <f>IFERROR(__xludf.DUMMYFUNCTION("""COMPUTED_VALUE"""),"property manager leak detection")</f>
        <v>property manager leak detection</v>
      </c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 t="str">
        <f>IFERROR(__xludf.DUMMYFUNCTION("""COMPUTED_VALUE"""),"maintenance plumber school")</f>
        <v>maintenance plumber school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tr">
        <f>IFERROR(__xludf.DUMMYFUNCTION("""COMPUTED_VALUE"""),"property manager maintenance plumber")</f>
        <v>property manager maintenance plumber</v>
      </c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 t="str">
        <f>IFERROR(__xludf.DUMMYFUNCTION("""COMPUTED_VALUE"""),"maintenance plumber shop")</f>
        <v>maintenance plumber shop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tr">
        <f>IFERROR(__xludf.DUMMYFUNCTION("""COMPUTED_VALUE"""),"property manager plumbing company")</f>
        <v>property manager plumbing company</v>
      </c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 t="str">
        <f>IFERROR(__xludf.DUMMYFUNCTION("""COMPUTED_VALUE"""),"maintenance plumber tenant")</f>
        <v>maintenance plumber tenant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str">
        <f>IFERROR(__xludf.DUMMYFUNCTION("""COMPUTED_VALUE"""),"property manager plumbing services")</f>
        <v>property manager plumbing services</v>
      </c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 t="str">
        <f>IFERROR(__xludf.DUMMYFUNCTION("""COMPUTED_VALUE"""),"maintenance plumber townhouse")</f>
        <v>maintenance plumber townhouse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tr">
        <f>IFERROR(__xludf.DUMMYFUNCTION("""COMPUTED_VALUE"""),"property manager refrigeration services")</f>
        <v>property manager refrigeration services</v>
      </c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 t="str">
        <f>IFERROR(__xludf.DUMMYFUNCTION("""COMPUTED_VALUE"""),"plumbing company apartment")</f>
        <v>plumbing company apartment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tr">
        <f>IFERROR(__xludf.DUMMYFUNCTION("""COMPUTED_VALUE"""),"residential property air conditioning services")</f>
        <v>residential property air conditioning services</v>
      </c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 t="str">
        <f>IFERROR(__xludf.DUMMYFUNCTION("""COMPUTED_VALUE"""),"plumbing company body corporate")</f>
        <v>plumbing company body corporate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 t="str">
        <f>IFERROR(__xludf.DUMMYFUNCTION("""COMPUTED_VALUE"""),"residential property drain cleaning")</f>
        <v>residential property drain cleaning</v>
      </c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 t="str">
        <f>IFERROR(__xludf.DUMMYFUNCTION("""COMPUTED_VALUE"""),"plumbing company building")</f>
        <v>plumbing company building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str">
        <f>IFERROR(__xludf.DUMMYFUNCTION("""COMPUTED_VALUE"""),"residential property electrical repairs")</f>
        <v>residential property electrical repairs</v>
      </c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 t="str">
        <f>IFERROR(__xludf.DUMMYFUNCTION("""COMPUTED_VALUE"""),"plumbing company business")</f>
        <v>plumbing company business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 t="str">
        <f>IFERROR(__xludf.DUMMYFUNCTION("""COMPUTED_VALUE"""),"residential property emergency plumbing")</f>
        <v>residential property emergency plumbing</v>
      </c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tr">
        <f>IFERROR(__xludf.DUMMYFUNCTION("""COMPUTED_VALUE"""),"plumbing company commercial property")</f>
        <v>plumbing company commercial property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tr">
        <f>IFERROR(__xludf.DUMMYFUNCTION("""COMPUTED_VALUE"""),"residential property geyser repairs")</f>
        <v>residential property geyser repairs</v>
      </c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tr">
        <f>IFERROR(__xludf.DUMMYFUNCTION("""COMPUTED_VALUE"""),"plumbing company estate agent")</f>
        <v>plumbing company estate agent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str">
        <f>IFERROR(__xludf.DUMMYFUNCTION("""COMPUTED_VALUE"""),"residential property leak detection")</f>
        <v>residential property leak detection</v>
      </c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 t="str">
        <f>IFERROR(__xludf.DUMMYFUNCTION("""COMPUTED_VALUE"""),"plumbing company flat")</f>
        <v>plumbing company flat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 t="str">
        <f>IFERROR(__xludf.DUMMYFUNCTION("""COMPUTED_VALUE"""),"residential property maintenance plumber")</f>
        <v>residential property maintenance plumber</v>
      </c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 t="str">
        <f>IFERROR(__xludf.DUMMYFUNCTION("""COMPUTED_VALUE"""),"plumbing company guesthouse")</f>
        <v>plumbing company guesthouse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 t="str">
        <f>IFERROR(__xludf.DUMMYFUNCTION("""COMPUTED_VALUE"""),"residential property plumbing company")</f>
        <v>residential property plumbing company</v>
      </c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 t="str">
        <f>IFERROR(__xludf.DUMMYFUNCTION("""COMPUTED_VALUE"""),"plumbing company home")</f>
        <v>plumbing company home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tr">
        <f>IFERROR(__xludf.DUMMYFUNCTION("""COMPUTED_VALUE"""),"residential property plumbing services")</f>
        <v>residential property plumbing services</v>
      </c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 t="str">
        <f>IFERROR(__xludf.DUMMYFUNCTION("""COMPUTED_VALUE"""),"plumbing company hotel")</f>
        <v>plumbing company hotel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 t="str">
        <f>IFERROR(__xludf.DUMMYFUNCTION("""COMPUTED_VALUE"""),"residential property refrigeration services")</f>
        <v>residential property refrigeration services</v>
      </c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 t="str">
        <f>IFERROR(__xludf.DUMMYFUNCTION("""COMPUTED_VALUE"""),"plumbing company house")</f>
        <v>plumbing company house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str">
        <f>IFERROR(__xludf.DUMMYFUNCTION("""COMPUTED_VALUE"""),"restaurant air conditioning services")</f>
        <v>restaurant air conditioning services</v>
      </c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 t="str">
        <f>IFERROR(__xludf.DUMMYFUNCTION("""COMPUTED_VALUE"""),"plumbing company landlord")</f>
        <v>plumbing company landlord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tr">
        <f>IFERROR(__xludf.DUMMYFUNCTION("""COMPUTED_VALUE"""),"restaurant drain cleaning")</f>
        <v>restaurant drain cleaning</v>
      </c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 t="str">
        <f>IFERROR(__xludf.DUMMYFUNCTION("""COMPUTED_VALUE"""),"plumbing company office")</f>
        <v>plumbing company office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tr">
        <f>IFERROR(__xludf.DUMMYFUNCTION("""COMPUTED_VALUE"""),"restaurant electrical repairs")</f>
        <v>restaurant electrical repairs</v>
      </c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 t="str">
        <f>IFERROR(__xludf.DUMMYFUNCTION("""COMPUTED_VALUE"""),"plumbing company property manager")</f>
        <v>plumbing company property manager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 t="str">
        <f>IFERROR(__xludf.DUMMYFUNCTION("""COMPUTED_VALUE"""),"restaurant emergency plumbing")</f>
        <v>restaurant emergency plumbing</v>
      </c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tr">
        <f>IFERROR(__xludf.DUMMYFUNCTION("""COMPUTED_VALUE"""),"plumbing company residential property")</f>
        <v>plumbing company residential property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 t="str">
        <f>IFERROR(__xludf.DUMMYFUNCTION("""COMPUTED_VALUE"""),"restaurant geyser repairs")</f>
        <v>restaurant geyser repairs</v>
      </c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tr">
        <f>IFERROR(__xludf.DUMMYFUNCTION("""COMPUTED_VALUE"""),"plumbing company restaurant")</f>
        <v>plumbing company restaurant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 t="str">
        <f>IFERROR(__xludf.DUMMYFUNCTION("""COMPUTED_VALUE"""),"restaurant leak detection")</f>
        <v>restaurant leak detection</v>
      </c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 t="str">
        <f>IFERROR(__xludf.DUMMYFUNCTION("""COMPUTED_VALUE"""),"plumbing company school")</f>
        <v>plumbing company school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str">
        <f>IFERROR(__xludf.DUMMYFUNCTION("""COMPUTED_VALUE"""),"restaurant maintenance plumber")</f>
        <v>restaurant maintenance plumber</v>
      </c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 t="str">
        <f>IFERROR(__xludf.DUMMYFUNCTION("""COMPUTED_VALUE"""),"plumbing company shop")</f>
        <v>plumbing company shop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 t="str">
        <f>IFERROR(__xludf.DUMMYFUNCTION("""COMPUTED_VALUE"""),"restaurant plumbing company")</f>
        <v>restaurant plumbing company</v>
      </c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 t="str">
        <f>IFERROR(__xludf.DUMMYFUNCTION("""COMPUTED_VALUE"""),"plumbing company tenant")</f>
        <v>plumbing company tenant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 t="str">
        <f>IFERROR(__xludf.DUMMYFUNCTION("""COMPUTED_VALUE"""),"restaurant plumbing services")</f>
        <v>restaurant plumbing services</v>
      </c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 t="str">
        <f>IFERROR(__xludf.DUMMYFUNCTION("""COMPUTED_VALUE"""),"plumbing company townhouse")</f>
        <v>plumbing company townhouse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 t="str">
        <f>IFERROR(__xludf.DUMMYFUNCTION("""COMPUTED_VALUE"""),"restaurant refrigeration services")</f>
        <v>restaurant refrigeration services</v>
      </c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 t="str">
        <f>IFERROR(__xludf.DUMMYFUNCTION("""COMPUTED_VALUE"""),"plumbing services apartment")</f>
        <v>plumbing services apartment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 t="str">
        <f>IFERROR(__xludf.DUMMYFUNCTION("""COMPUTED_VALUE"""),"school air conditioning services")</f>
        <v>school air conditioning services</v>
      </c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 t="str">
        <f>IFERROR(__xludf.DUMMYFUNCTION("""COMPUTED_VALUE"""),"plumbing services body corporate")</f>
        <v>plumbing services body corporate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tr">
        <f>IFERROR(__xludf.DUMMYFUNCTION("""COMPUTED_VALUE"""),"school drain cleaning")</f>
        <v>school drain cleaning</v>
      </c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 t="str">
        <f>IFERROR(__xludf.DUMMYFUNCTION("""COMPUTED_VALUE"""),"plumbing services building")</f>
        <v>plumbing services building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tr">
        <f>IFERROR(__xludf.DUMMYFUNCTION("""COMPUTED_VALUE"""),"school electrical repairs")</f>
        <v>school electrical repairs</v>
      </c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tr">
        <f>IFERROR(__xludf.DUMMYFUNCTION("""COMPUTED_VALUE"""),"plumbing services business")</f>
        <v>plumbing services business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tr">
        <f>IFERROR(__xludf.DUMMYFUNCTION("""COMPUTED_VALUE"""),"school emergency plumbing")</f>
        <v>school emergency plumbing</v>
      </c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tr">
        <f>IFERROR(__xludf.DUMMYFUNCTION("""COMPUTED_VALUE"""),"plumbing services commercial property")</f>
        <v>plumbing services commercial property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f>IFERROR(__xludf.DUMMYFUNCTION("""COMPUTED_VALUE"""),"school geyser repairs")</f>
        <v>school geyser repairs</v>
      </c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 t="str">
        <f>IFERROR(__xludf.DUMMYFUNCTION("""COMPUTED_VALUE"""),"plumbing services estate agent")</f>
        <v>plumbing services estate agent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tr">
        <f>IFERROR(__xludf.DUMMYFUNCTION("""COMPUTED_VALUE"""),"school leak detection")</f>
        <v>school leak detection</v>
      </c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 t="str">
        <f>IFERROR(__xludf.DUMMYFUNCTION("""COMPUTED_VALUE"""),"plumbing services flat")</f>
        <v>plumbing services flat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tr">
        <f>IFERROR(__xludf.DUMMYFUNCTION("""COMPUTED_VALUE"""),"school maintenance plumber")</f>
        <v>school maintenance plumber</v>
      </c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 t="str">
        <f>IFERROR(__xludf.DUMMYFUNCTION("""COMPUTED_VALUE"""),"plumbing services guesthouse")</f>
        <v>plumbing services guesthouse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tr">
        <f>IFERROR(__xludf.DUMMYFUNCTION("""COMPUTED_VALUE"""),"school plumbing company")</f>
        <v>school plumbing company</v>
      </c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 t="str">
        <f>IFERROR(__xludf.DUMMYFUNCTION("""COMPUTED_VALUE"""),"plumbing services home")</f>
        <v>plumbing services home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tr">
        <f>IFERROR(__xludf.DUMMYFUNCTION("""COMPUTED_VALUE"""),"school plumbing services")</f>
        <v>school plumbing services</v>
      </c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tr">
        <f>IFERROR(__xludf.DUMMYFUNCTION("""COMPUTED_VALUE"""),"plumbing services hotel")</f>
        <v>plumbing services hotel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tr">
        <f>IFERROR(__xludf.DUMMYFUNCTION("""COMPUTED_VALUE"""),"school refrigeration services")</f>
        <v>school refrigeration services</v>
      </c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 t="str">
        <f>IFERROR(__xludf.DUMMYFUNCTION("""COMPUTED_VALUE"""),"plumbing services house")</f>
        <v>plumbing services house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str">
        <f>IFERROR(__xludf.DUMMYFUNCTION("""COMPUTED_VALUE"""),"shop air conditioning services")</f>
        <v>shop air conditioning services</v>
      </c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 t="str">
        <f>IFERROR(__xludf.DUMMYFUNCTION("""COMPUTED_VALUE"""),"plumbing services landlord")</f>
        <v>plumbing services landlord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str">
        <f>IFERROR(__xludf.DUMMYFUNCTION("""COMPUTED_VALUE"""),"shop drain cleaning")</f>
        <v>shop drain cleaning</v>
      </c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tr">
        <f>IFERROR(__xludf.DUMMYFUNCTION("""COMPUTED_VALUE"""),"plumbing services office")</f>
        <v>plumbing services office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str">
        <f>IFERROR(__xludf.DUMMYFUNCTION("""COMPUTED_VALUE"""),"shop electrical repairs")</f>
        <v>shop electrical repairs</v>
      </c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 t="str">
        <f>IFERROR(__xludf.DUMMYFUNCTION("""COMPUTED_VALUE"""),"plumbing services property manager")</f>
        <v>plumbing services property manager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 t="str">
        <f>IFERROR(__xludf.DUMMYFUNCTION("""COMPUTED_VALUE"""),"shop emergency plumbing")</f>
        <v>shop emergency plumbing</v>
      </c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 t="str">
        <f>IFERROR(__xludf.DUMMYFUNCTION("""COMPUTED_VALUE"""),"plumbing services residential property")</f>
        <v>plumbing services residential property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 t="str">
        <f>IFERROR(__xludf.DUMMYFUNCTION("""COMPUTED_VALUE"""),"shop geyser repairs")</f>
        <v>shop geyser repairs</v>
      </c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 t="str">
        <f>IFERROR(__xludf.DUMMYFUNCTION("""COMPUTED_VALUE"""),"plumbing services restaurant")</f>
        <v>plumbing services restaurant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tr">
        <f>IFERROR(__xludf.DUMMYFUNCTION("""COMPUTED_VALUE"""),"shop leak detection")</f>
        <v>shop leak detection</v>
      </c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tr">
        <f>IFERROR(__xludf.DUMMYFUNCTION("""COMPUTED_VALUE"""),"plumbing services school")</f>
        <v>plumbing services school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tr">
        <f>IFERROR(__xludf.DUMMYFUNCTION("""COMPUTED_VALUE"""),"shop maintenance plumber")</f>
        <v>shop maintenance plumber</v>
      </c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 t="str">
        <f>IFERROR(__xludf.DUMMYFUNCTION("""COMPUTED_VALUE"""),"plumbing services shop")</f>
        <v>plumbing services shop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tr">
        <f>IFERROR(__xludf.DUMMYFUNCTION("""COMPUTED_VALUE"""),"shop plumbing company")</f>
        <v>shop plumbing company</v>
      </c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tr">
        <f>IFERROR(__xludf.DUMMYFUNCTION("""COMPUTED_VALUE"""),"plumbing services tenant")</f>
        <v>plumbing services tenant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 t="str">
        <f>IFERROR(__xludf.DUMMYFUNCTION("""COMPUTED_VALUE"""),"shop plumbing services")</f>
        <v>shop plumbing services</v>
      </c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 t="str">
        <f>IFERROR(__xludf.DUMMYFUNCTION("""COMPUTED_VALUE"""),"plumbing services townhouse")</f>
        <v>plumbing services townhouse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tr">
        <f>IFERROR(__xludf.DUMMYFUNCTION("""COMPUTED_VALUE"""),"shop refrigeration services")</f>
        <v>shop refrigeration services</v>
      </c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 t="str">
        <f>IFERROR(__xludf.DUMMYFUNCTION("""COMPUTED_VALUE"""),"refrigeration services apartment")</f>
        <v>refrigeration services apartment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 t="str">
        <f>IFERROR(__xludf.DUMMYFUNCTION("""COMPUTED_VALUE"""),"tenant air conditioning services")</f>
        <v>tenant air conditioning services</v>
      </c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 t="str">
        <f>IFERROR(__xludf.DUMMYFUNCTION("""COMPUTED_VALUE"""),"refrigeration services body corporate")</f>
        <v>refrigeration services body corporate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 t="str">
        <f>IFERROR(__xludf.DUMMYFUNCTION("""COMPUTED_VALUE"""),"tenant drain cleaning")</f>
        <v>tenant drain cleaning</v>
      </c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 t="str">
        <f>IFERROR(__xludf.DUMMYFUNCTION("""COMPUTED_VALUE"""),"refrigeration services building")</f>
        <v>refrigeration services building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 t="str">
        <f>IFERROR(__xludf.DUMMYFUNCTION("""COMPUTED_VALUE"""),"tenant electrical repairs")</f>
        <v>tenant electrical repairs</v>
      </c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 t="str">
        <f>IFERROR(__xludf.DUMMYFUNCTION("""COMPUTED_VALUE"""),"refrigeration services business")</f>
        <v>refrigeration services business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 t="str">
        <f>IFERROR(__xludf.DUMMYFUNCTION("""COMPUTED_VALUE"""),"tenant emergency plumbing")</f>
        <v>tenant emergency plumbing</v>
      </c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 t="str">
        <f>IFERROR(__xludf.DUMMYFUNCTION("""COMPUTED_VALUE"""),"refrigeration services commercial property")</f>
        <v>refrigeration services commercial property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 t="str">
        <f>IFERROR(__xludf.DUMMYFUNCTION("""COMPUTED_VALUE"""),"tenant geyser repairs")</f>
        <v>tenant geyser repairs</v>
      </c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 t="str">
        <f>IFERROR(__xludf.DUMMYFUNCTION("""COMPUTED_VALUE"""),"refrigeration services estate agent")</f>
        <v>refrigeration services estate agent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 t="str">
        <f>IFERROR(__xludf.DUMMYFUNCTION("""COMPUTED_VALUE"""),"tenant leak detection")</f>
        <v>tenant leak detection</v>
      </c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 t="str">
        <f>IFERROR(__xludf.DUMMYFUNCTION("""COMPUTED_VALUE"""),"refrigeration services flat")</f>
        <v>refrigeration services flat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 t="str">
        <f>IFERROR(__xludf.DUMMYFUNCTION("""COMPUTED_VALUE"""),"tenant maintenance plumber")</f>
        <v>tenant maintenance plumber</v>
      </c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 t="str">
        <f>IFERROR(__xludf.DUMMYFUNCTION("""COMPUTED_VALUE"""),"refrigeration services guesthouse")</f>
        <v>refrigeration services guesthouse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 t="str">
        <f>IFERROR(__xludf.DUMMYFUNCTION("""COMPUTED_VALUE"""),"tenant plumbing company")</f>
        <v>tenant plumbing company</v>
      </c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 t="str">
        <f>IFERROR(__xludf.DUMMYFUNCTION("""COMPUTED_VALUE"""),"refrigeration services home")</f>
        <v>refrigeration services home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 t="str">
        <f>IFERROR(__xludf.DUMMYFUNCTION("""COMPUTED_VALUE"""),"tenant plumbing services")</f>
        <v>tenant plumbing services</v>
      </c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 t="str">
        <f>IFERROR(__xludf.DUMMYFUNCTION("""COMPUTED_VALUE"""),"refrigeration services hotel")</f>
        <v>refrigeration services hotel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str">
        <f>IFERROR(__xludf.DUMMYFUNCTION("""COMPUTED_VALUE"""),"tenant refrigeration services")</f>
        <v>tenant refrigeration services</v>
      </c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 t="str">
        <f>IFERROR(__xludf.DUMMYFUNCTION("""COMPUTED_VALUE"""),"refrigeration services house")</f>
        <v>refrigeration services house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 t="str">
        <f>IFERROR(__xludf.DUMMYFUNCTION("""COMPUTED_VALUE"""),"townhouse air conditioning services")</f>
        <v>townhouse air conditioning services</v>
      </c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 t="str">
        <f>IFERROR(__xludf.DUMMYFUNCTION("""COMPUTED_VALUE"""),"refrigeration services landlord")</f>
        <v>refrigeration services landlord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 t="str">
        <f>IFERROR(__xludf.DUMMYFUNCTION("""COMPUTED_VALUE"""),"townhouse drain cleaning")</f>
        <v>townhouse drain cleaning</v>
      </c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 t="str">
        <f>IFERROR(__xludf.DUMMYFUNCTION("""COMPUTED_VALUE"""),"refrigeration services office")</f>
        <v>refrigeration services office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 t="str">
        <f>IFERROR(__xludf.DUMMYFUNCTION("""COMPUTED_VALUE"""),"townhouse electrical repairs")</f>
        <v>townhouse electrical repairs</v>
      </c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 t="str">
        <f>IFERROR(__xludf.DUMMYFUNCTION("""COMPUTED_VALUE"""),"refrigeration services property manager")</f>
        <v>refrigeration services property manager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str">
        <f>IFERROR(__xludf.DUMMYFUNCTION("""COMPUTED_VALUE"""),"townhouse emergency plumbing")</f>
        <v>townhouse emergency plumbing</v>
      </c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 t="str">
        <f>IFERROR(__xludf.DUMMYFUNCTION("""COMPUTED_VALUE"""),"refrigeration services residential property")</f>
        <v>refrigeration services residential property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 t="str">
        <f>IFERROR(__xludf.DUMMYFUNCTION("""COMPUTED_VALUE"""),"townhouse geyser repairs")</f>
        <v>townhouse geyser repairs</v>
      </c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 t="str">
        <f>IFERROR(__xludf.DUMMYFUNCTION("""COMPUTED_VALUE"""),"refrigeration services restaurant")</f>
        <v>refrigeration services restaurant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 t="str">
        <f>IFERROR(__xludf.DUMMYFUNCTION("""COMPUTED_VALUE"""),"townhouse leak detection")</f>
        <v>townhouse leak detection</v>
      </c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 t="str">
        <f>IFERROR(__xludf.DUMMYFUNCTION("""COMPUTED_VALUE"""),"refrigeration services school")</f>
        <v>refrigeration services school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 t="str">
        <f>IFERROR(__xludf.DUMMYFUNCTION("""COMPUTED_VALUE"""),"townhouse maintenance plumber")</f>
        <v>townhouse maintenance plumber</v>
      </c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 t="str">
        <f>IFERROR(__xludf.DUMMYFUNCTION("""COMPUTED_VALUE"""),"refrigeration services shop")</f>
        <v>refrigeration services shop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 t="str">
        <f>IFERROR(__xludf.DUMMYFUNCTION("""COMPUTED_VALUE"""),"townhouse plumbing company")</f>
        <v>townhouse plumbing company</v>
      </c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 t="str">
        <f>IFERROR(__xludf.DUMMYFUNCTION("""COMPUTED_VALUE"""),"refrigeration services tenant")</f>
        <v>refrigeration services tenant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tr">
        <f>IFERROR(__xludf.DUMMYFUNCTION("""COMPUTED_VALUE"""),"townhouse plumbing services")</f>
        <v>townhouse plumbing services</v>
      </c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 t="str">
        <f>IFERROR(__xludf.DUMMYFUNCTION("""COMPUTED_VALUE"""),"refrigeration services townhouse")</f>
        <v>refrigeration services townhouse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 t="str">
        <f>IFERROR(__xludf.DUMMYFUNCTION("""COMPUTED_VALUE"""),"townhouse refrigeration services")</f>
        <v>townhouse refrigeration services</v>
      </c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2" t="s">
        <v>165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119</v>
      </c>
      <c r="K1" s="2" t="s">
        <v>173</v>
      </c>
      <c r="L1" s="5" t="s">
        <v>21</v>
      </c>
      <c r="M1" s="2"/>
      <c r="N1" s="2" t="s">
        <v>165</v>
      </c>
      <c r="O1" s="2" t="s">
        <v>166</v>
      </c>
      <c r="P1" s="2" t="s">
        <v>167</v>
      </c>
      <c r="Q1" s="2" t="s">
        <v>168</v>
      </c>
      <c r="R1" s="2" t="s">
        <v>169</v>
      </c>
      <c r="S1" s="2" t="s">
        <v>170</v>
      </c>
      <c r="T1" s="2" t="s">
        <v>171</v>
      </c>
      <c r="U1" s="2" t="s">
        <v>172</v>
      </c>
      <c r="V1" s="2" t="s">
        <v>119</v>
      </c>
      <c r="W1" s="2" t="s">
        <v>173</v>
      </c>
      <c r="X1" s="8" t="s">
        <v>32</v>
      </c>
      <c r="Y1" s="4"/>
      <c r="Z1" s="4"/>
    </row>
    <row r="2">
      <c r="A2" s="9" t="s">
        <v>35</v>
      </c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41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4"/>
      <c r="Z2" s="4"/>
    </row>
    <row r="3">
      <c r="A3" s="13" t="s">
        <v>95</v>
      </c>
      <c r="B3" s="14" t="str">
        <f t="shared" ref="B3:K3" si="1">IF($A3="","",IF(OR(ISNUMBER(SEARCH(LOWER($A3),LOWER(B$1))),AND(RIGHT(LOWER($A3),1)="s",ISNUMBER(SEARCH(LEFT(LOWER($A3),LEN($A3)-1),LOWER(B$1))))),B$1,B$1&amp;" "&amp;$A3))</f>
        <v>plumbers cape town best</v>
      </c>
      <c r="C3" s="14" t="str">
        <f t="shared" si="1"/>
        <v>plumbing company cape town best</v>
      </c>
      <c r="D3" s="14" t="str">
        <f t="shared" si="1"/>
        <v>emergency plumber cape town best</v>
      </c>
      <c r="E3" s="14" t="str">
        <f t="shared" si="1"/>
        <v>drain surgeon cape town best</v>
      </c>
      <c r="F3" s="14" t="str">
        <f t="shared" si="1"/>
        <v>absolute plumbing cape town best</v>
      </c>
      <c r="G3" s="14" t="str">
        <f t="shared" si="1"/>
        <v>schmidhauser plumbing best</v>
      </c>
      <c r="H3" s="14" t="str">
        <f t="shared" si="1"/>
        <v>bosman plumbers best</v>
      </c>
      <c r="I3" s="14" t="str">
        <f t="shared" si="1"/>
        <v>plumber near me best</v>
      </c>
      <c r="J3" s="14" t="str">
        <f t="shared" si="1"/>
        <v>electrician cape town best</v>
      </c>
      <c r="K3" s="14" t="str">
        <f t="shared" si="1"/>
        <v>aircon repair cape town best</v>
      </c>
      <c r="L3" s="16" t="str">
        <f>IFERROR(__xludf.DUMMYFUNCTION("SORT(UNIQUE(FILTER(FLATTEN(B3:K82),FLATTEN(B3:K82)&lt;&gt;"""")))"),"absolute plumbing cape town 24 hour")</f>
        <v>absolute plumbing cape town 24 hour</v>
      </c>
      <c r="M3" s="17"/>
      <c r="N3" s="14" t="str">
        <f t="shared" ref="N3:W3" si="2">IF($A3="","",IF(OR(ISNUMBER(SEARCH(LOWER($A3),LOWER(N$1))),AND(RIGHT(LOWER($A3),1)="s",ISNUMBER(SEARCH(LEFT(LOWER($A3),LEN($A3)-1),LOWER(N$1))))),N$1,$A3&amp;" "&amp;N$1))</f>
        <v>best plumbers cape town</v>
      </c>
      <c r="O3" s="14" t="str">
        <f t="shared" si="2"/>
        <v>best plumbing company cape town</v>
      </c>
      <c r="P3" s="14" t="str">
        <f t="shared" si="2"/>
        <v>best emergency plumber cape town</v>
      </c>
      <c r="Q3" s="14" t="str">
        <f t="shared" si="2"/>
        <v>best drain surgeon cape town</v>
      </c>
      <c r="R3" s="14" t="str">
        <f t="shared" si="2"/>
        <v>best absolute plumbing cape town</v>
      </c>
      <c r="S3" s="14" t="str">
        <f t="shared" si="2"/>
        <v>best schmidhauser plumbing</v>
      </c>
      <c r="T3" s="14" t="str">
        <f t="shared" si="2"/>
        <v>best bosman plumbers</v>
      </c>
      <c r="U3" s="14" t="str">
        <f t="shared" si="2"/>
        <v>best plumber near me</v>
      </c>
      <c r="V3" s="14" t="str">
        <f t="shared" si="2"/>
        <v>best electrician cape town</v>
      </c>
      <c r="W3" s="14" t="str">
        <f t="shared" si="2"/>
        <v>best aircon repair cape town</v>
      </c>
      <c r="X3" s="18" t="str">
        <f>IFERROR(__xludf.DUMMYFUNCTION("SORT(UNIQUE(FILTER(FLATTEN(N3:W82),FLATTEN(N3:W82)&lt;&gt;"""")))"),"24 hour absolute plumbing cape town")</f>
        <v>24 hour absolute plumbing cape town</v>
      </c>
      <c r="Y3" s="4"/>
      <c r="Z3" s="4"/>
    </row>
    <row r="4">
      <c r="A4" s="13" t="s">
        <v>97</v>
      </c>
      <c r="B4" s="14" t="str">
        <f t="shared" ref="B4:K4" si="3">IF($A4="","",IF(OR(ISNUMBER(SEARCH(LOWER($A4),LOWER(B$1))),AND(RIGHT(LOWER($A4),1)="s",ISNUMBER(SEARCH(LEFT(LOWER($A4),LEN($A4)-1),LOWER(B$1))))),B$1,B$1&amp;" "&amp;$A4))</f>
        <v>plumbers cape town top rated</v>
      </c>
      <c r="C4" s="14" t="str">
        <f t="shared" si="3"/>
        <v>plumbing company cape town top rated</v>
      </c>
      <c r="D4" s="14" t="str">
        <f t="shared" si="3"/>
        <v>emergency plumber cape town top rated</v>
      </c>
      <c r="E4" s="14" t="str">
        <f t="shared" si="3"/>
        <v>drain surgeon cape town top rated</v>
      </c>
      <c r="F4" s="14" t="str">
        <f t="shared" si="3"/>
        <v>absolute plumbing cape town top rated</v>
      </c>
      <c r="G4" s="14" t="str">
        <f t="shared" si="3"/>
        <v>schmidhauser plumbing top rated</v>
      </c>
      <c r="H4" s="14" t="str">
        <f t="shared" si="3"/>
        <v>bosman plumbers top rated</v>
      </c>
      <c r="I4" s="14" t="str">
        <f t="shared" si="3"/>
        <v>plumber near me top rated</v>
      </c>
      <c r="J4" s="14" t="str">
        <f t="shared" si="3"/>
        <v>electrician cape town top rated</v>
      </c>
      <c r="K4" s="14" t="str">
        <f t="shared" si="3"/>
        <v>aircon repair cape town top rated</v>
      </c>
      <c r="L4" s="16" t="str">
        <f>IFERROR(__xludf.DUMMYFUNCTION("""COMPUTED_VALUE"""),"absolute plumbing cape town affordable")</f>
        <v>absolute plumbing cape town affordable</v>
      </c>
      <c r="M4" s="17"/>
      <c r="N4" s="14" t="str">
        <f t="shared" ref="N4:W4" si="4">IF($A4="","",IF(OR(ISNUMBER(SEARCH(LOWER($A4),LOWER(N$1))),AND(RIGHT(LOWER($A4),1)="s",ISNUMBER(SEARCH(LEFT(LOWER($A4),LEN($A4)-1),LOWER(N$1))))),N$1,$A4&amp;" "&amp;N$1))</f>
        <v>top rated plumbers cape town</v>
      </c>
      <c r="O4" s="14" t="str">
        <f t="shared" si="4"/>
        <v>top rated plumbing company cape town</v>
      </c>
      <c r="P4" s="14" t="str">
        <f t="shared" si="4"/>
        <v>top rated emergency plumber cape town</v>
      </c>
      <c r="Q4" s="14" t="str">
        <f t="shared" si="4"/>
        <v>top rated drain surgeon cape town</v>
      </c>
      <c r="R4" s="14" t="str">
        <f t="shared" si="4"/>
        <v>top rated absolute plumbing cape town</v>
      </c>
      <c r="S4" s="14" t="str">
        <f t="shared" si="4"/>
        <v>top rated schmidhauser plumbing</v>
      </c>
      <c r="T4" s="14" t="str">
        <f t="shared" si="4"/>
        <v>top rated bosman plumbers</v>
      </c>
      <c r="U4" s="14" t="str">
        <f t="shared" si="4"/>
        <v>top rated plumber near me</v>
      </c>
      <c r="V4" s="14" t="str">
        <f t="shared" si="4"/>
        <v>top rated electrician cape town</v>
      </c>
      <c r="W4" s="14" t="str">
        <f t="shared" si="4"/>
        <v>top rated aircon repair cape town</v>
      </c>
      <c r="X4" s="18" t="str">
        <f>IFERROR(__xludf.DUMMYFUNCTION("""COMPUTED_VALUE"""),"24 hour aircon repair cape town")</f>
        <v>24 hour aircon repair cape town</v>
      </c>
      <c r="Y4" s="4"/>
      <c r="Z4" s="4"/>
    </row>
    <row r="5">
      <c r="A5" s="13" t="s">
        <v>174</v>
      </c>
      <c r="B5" s="14" t="str">
        <f t="shared" ref="B5:K5" si="5">IF($A5="","",IF(OR(ISNUMBER(SEARCH(LOWER($A5),LOWER(B$1))),AND(RIGHT(LOWER($A5),1)="s",ISNUMBER(SEARCH(LEFT(LOWER($A5),LEN($A5)-1),LOWER(B$1))))),B$1,B$1&amp;" "&amp;$A5))</f>
        <v>plumbers cape town reviews</v>
      </c>
      <c r="C5" s="14" t="str">
        <f t="shared" si="5"/>
        <v>plumbing company cape town reviews</v>
      </c>
      <c r="D5" s="14" t="str">
        <f t="shared" si="5"/>
        <v>emergency plumber cape town reviews</v>
      </c>
      <c r="E5" s="14" t="str">
        <f t="shared" si="5"/>
        <v>drain surgeon cape town reviews</v>
      </c>
      <c r="F5" s="14" t="str">
        <f t="shared" si="5"/>
        <v>absolute plumbing cape town reviews</v>
      </c>
      <c r="G5" s="14" t="str">
        <f t="shared" si="5"/>
        <v>schmidhauser plumbing reviews</v>
      </c>
      <c r="H5" s="14" t="str">
        <f t="shared" si="5"/>
        <v>bosman plumbers reviews</v>
      </c>
      <c r="I5" s="14" t="str">
        <f t="shared" si="5"/>
        <v>plumber near me reviews</v>
      </c>
      <c r="J5" s="14" t="str">
        <f t="shared" si="5"/>
        <v>electrician cape town reviews</v>
      </c>
      <c r="K5" s="14" t="str">
        <f t="shared" si="5"/>
        <v>aircon repair cape town reviews</v>
      </c>
      <c r="L5" s="16" t="str">
        <f>IFERROR(__xludf.DUMMYFUNCTION("""COMPUTED_VALUE"""),"absolute plumbing cape town alternatives")</f>
        <v>absolute plumbing cape town alternatives</v>
      </c>
      <c r="M5" s="17"/>
      <c r="N5" s="14" t="str">
        <f t="shared" ref="N5:W5" si="6">IF($A5="","",IF(OR(ISNUMBER(SEARCH(LOWER($A5),LOWER(N$1))),AND(RIGHT(LOWER($A5),1)="s",ISNUMBER(SEARCH(LEFT(LOWER($A5),LEN($A5)-1),LOWER(N$1))))),N$1,$A5&amp;" "&amp;N$1))</f>
        <v>reviews plumbers cape town</v>
      </c>
      <c r="O5" s="14" t="str">
        <f t="shared" si="6"/>
        <v>reviews plumbing company cape town</v>
      </c>
      <c r="P5" s="14" t="str">
        <f t="shared" si="6"/>
        <v>reviews emergency plumber cape town</v>
      </c>
      <c r="Q5" s="14" t="str">
        <f t="shared" si="6"/>
        <v>reviews drain surgeon cape town</v>
      </c>
      <c r="R5" s="14" t="str">
        <f t="shared" si="6"/>
        <v>reviews absolute plumbing cape town</v>
      </c>
      <c r="S5" s="14" t="str">
        <f t="shared" si="6"/>
        <v>reviews schmidhauser plumbing</v>
      </c>
      <c r="T5" s="14" t="str">
        <f t="shared" si="6"/>
        <v>reviews bosman plumbers</v>
      </c>
      <c r="U5" s="14" t="str">
        <f t="shared" si="6"/>
        <v>reviews plumber near me</v>
      </c>
      <c r="V5" s="14" t="str">
        <f t="shared" si="6"/>
        <v>reviews electrician cape town</v>
      </c>
      <c r="W5" s="14" t="str">
        <f t="shared" si="6"/>
        <v>reviews aircon repair cape town</v>
      </c>
      <c r="X5" s="18" t="str">
        <f>IFERROR(__xludf.DUMMYFUNCTION("""COMPUTED_VALUE"""),"24 hour bosman plumbers")</f>
        <v>24 hour bosman plumbers</v>
      </c>
      <c r="Y5" s="4"/>
      <c r="Z5" s="4"/>
    </row>
    <row r="6">
      <c r="A6" s="13" t="s">
        <v>175</v>
      </c>
      <c r="B6" s="14" t="str">
        <f t="shared" ref="B6:K6" si="7">IF($A6="","",IF(OR(ISNUMBER(SEARCH(LOWER($A6),LOWER(B$1))),AND(RIGHT(LOWER($A6),1)="s",ISNUMBER(SEARCH(LEFT(LOWER($A6),LEN($A6)-1),LOWER(B$1))))),B$1,B$1&amp;" "&amp;$A6))</f>
        <v>plumbers cape town review</v>
      </c>
      <c r="C6" s="14" t="str">
        <f t="shared" si="7"/>
        <v>plumbing company cape town review</v>
      </c>
      <c r="D6" s="14" t="str">
        <f t="shared" si="7"/>
        <v>emergency plumber cape town review</v>
      </c>
      <c r="E6" s="14" t="str">
        <f t="shared" si="7"/>
        <v>drain surgeon cape town review</v>
      </c>
      <c r="F6" s="14" t="str">
        <f t="shared" si="7"/>
        <v>absolute plumbing cape town review</v>
      </c>
      <c r="G6" s="14" t="str">
        <f t="shared" si="7"/>
        <v>schmidhauser plumbing review</v>
      </c>
      <c r="H6" s="14" t="str">
        <f t="shared" si="7"/>
        <v>bosman plumbers review</v>
      </c>
      <c r="I6" s="14" t="str">
        <f t="shared" si="7"/>
        <v>plumber near me review</v>
      </c>
      <c r="J6" s="14" t="str">
        <f t="shared" si="7"/>
        <v>electrician cape town review</v>
      </c>
      <c r="K6" s="14" t="str">
        <f t="shared" si="7"/>
        <v>aircon repair cape town review</v>
      </c>
      <c r="L6" s="16" t="str">
        <f>IFERROR(__xludf.DUMMYFUNCTION("""COMPUTED_VALUE"""),"absolute plumbing cape town best")</f>
        <v>absolute plumbing cape town best</v>
      </c>
      <c r="M6" s="17"/>
      <c r="N6" s="14" t="str">
        <f t="shared" ref="N6:W6" si="8">IF($A6="","",IF(OR(ISNUMBER(SEARCH(LOWER($A6),LOWER(N$1))),AND(RIGHT(LOWER($A6),1)="s",ISNUMBER(SEARCH(LEFT(LOWER($A6),LEN($A6)-1),LOWER(N$1))))),N$1,$A6&amp;" "&amp;N$1))</f>
        <v>review plumbers cape town</v>
      </c>
      <c r="O6" s="14" t="str">
        <f t="shared" si="8"/>
        <v>review plumbing company cape town</v>
      </c>
      <c r="P6" s="14" t="str">
        <f t="shared" si="8"/>
        <v>review emergency plumber cape town</v>
      </c>
      <c r="Q6" s="14" t="str">
        <f t="shared" si="8"/>
        <v>review drain surgeon cape town</v>
      </c>
      <c r="R6" s="14" t="str">
        <f t="shared" si="8"/>
        <v>review absolute plumbing cape town</v>
      </c>
      <c r="S6" s="14" t="str">
        <f t="shared" si="8"/>
        <v>review schmidhauser plumbing</v>
      </c>
      <c r="T6" s="14" t="str">
        <f t="shared" si="8"/>
        <v>review bosman plumbers</v>
      </c>
      <c r="U6" s="14" t="str">
        <f t="shared" si="8"/>
        <v>review plumber near me</v>
      </c>
      <c r="V6" s="14" t="str">
        <f t="shared" si="8"/>
        <v>review electrician cape town</v>
      </c>
      <c r="W6" s="14" t="str">
        <f t="shared" si="8"/>
        <v>review aircon repair cape town</v>
      </c>
      <c r="X6" s="18" t="str">
        <f>IFERROR(__xludf.DUMMYFUNCTION("""COMPUTED_VALUE"""),"24 hour drain surgeon cape town")</f>
        <v>24 hour drain surgeon cape town</v>
      </c>
      <c r="Y6" s="4"/>
      <c r="Z6" s="4"/>
    </row>
    <row r="7">
      <c r="A7" s="13" t="s">
        <v>76</v>
      </c>
      <c r="B7" s="14" t="str">
        <f t="shared" ref="B7:K7" si="9">IF($A7="","",IF(OR(ISNUMBER(SEARCH(LOWER($A7),LOWER(B$1))),AND(RIGHT(LOWER($A7),1)="s",ISNUMBER(SEARCH(LEFT(LOWER($A7),LEN($A7)-1),LOWER(B$1))))),B$1,B$1&amp;" "&amp;$A7))</f>
        <v>plumbers cape town reliable</v>
      </c>
      <c r="C7" s="14" t="str">
        <f t="shared" si="9"/>
        <v>plumbing company cape town reliable</v>
      </c>
      <c r="D7" s="14" t="str">
        <f t="shared" si="9"/>
        <v>emergency plumber cape town reliable</v>
      </c>
      <c r="E7" s="14" t="str">
        <f t="shared" si="9"/>
        <v>drain surgeon cape town reliable</v>
      </c>
      <c r="F7" s="14" t="str">
        <f t="shared" si="9"/>
        <v>absolute plumbing cape town reliable</v>
      </c>
      <c r="G7" s="14" t="str">
        <f t="shared" si="9"/>
        <v>schmidhauser plumbing reliable</v>
      </c>
      <c r="H7" s="14" t="str">
        <f t="shared" si="9"/>
        <v>bosman plumbers reliable</v>
      </c>
      <c r="I7" s="14" t="str">
        <f t="shared" si="9"/>
        <v>plumber near me reliable</v>
      </c>
      <c r="J7" s="14" t="str">
        <f t="shared" si="9"/>
        <v>electrician cape town reliable</v>
      </c>
      <c r="K7" s="14" t="str">
        <f t="shared" si="9"/>
        <v>aircon repair cape town reliable</v>
      </c>
      <c r="L7" s="16" t="str">
        <f>IFERROR(__xludf.DUMMYFUNCTION("""COMPUTED_VALUE"""),"absolute plumbing cape town certified")</f>
        <v>absolute plumbing cape town certified</v>
      </c>
      <c r="M7" s="17"/>
      <c r="N7" s="14" t="str">
        <f t="shared" ref="N7:W7" si="10">IF($A7="","",IF(OR(ISNUMBER(SEARCH(LOWER($A7),LOWER(N$1))),AND(RIGHT(LOWER($A7),1)="s",ISNUMBER(SEARCH(LEFT(LOWER($A7),LEN($A7)-1),LOWER(N$1))))),N$1,$A7&amp;" "&amp;N$1))</f>
        <v>reliable plumbers cape town</v>
      </c>
      <c r="O7" s="14" t="str">
        <f t="shared" si="10"/>
        <v>reliable plumbing company cape town</v>
      </c>
      <c r="P7" s="14" t="str">
        <f t="shared" si="10"/>
        <v>reliable emergency plumber cape town</v>
      </c>
      <c r="Q7" s="14" t="str">
        <f t="shared" si="10"/>
        <v>reliable drain surgeon cape town</v>
      </c>
      <c r="R7" s="14" t="str">
        <f t="shared" si="10"/>
        <v>reliable absolute plumbing cape town</v>
      </c>
      <c r="S7" s="14" t="str">
        <f t="shared" si="10"/>
        <v>reliable schmidhauser plumbing</v>
      </c>
      <c r="T7" s="14" t="str">
        <f t="shared" si="10"/>
        <v>reliable bosman plumbers</v>
      </c>
      <c r="U7" s="14" t="str">
        <f t="shared" si="10"/>
        <v>reliable plumber near me</v>
      </c>
      <c r="V7" s="14" t="str">
        <f t="shared" si="10"/>
        <v>reliable electrician cape town</v>
      </c>
      <c r="W7" s="14" t="str">
        <f t="shared" si="10"/>
        <v>reliable aircon repair cape town</v>
      </c>
      <c r="X7" s="18" t="str">
        <f>IFERROR(__xludf.DUMMYFUNCTION("""COMPUTED_VALUE"""),"24 hour electrician cape town")</f>
        <v>24 hour electrician cape town</v>
      </c>
      <c r="Y7" s="4"/>
      <c r="Z7" s="4"/>
    </row>
    <row r="8">
      <c r="A8" s="13" t="s">
        <v>99</v>
      </c>
      <c r="B8" s="14" t="str">
        <f t="shared" ref="B8:K8" si="11">IF($A8="","",IF(OR(ISNUMBER(SEARCH(LOWER($A8),LOWER(B$1))),AND(RIGHT(LOWER($A8),1)="s",ISNUMBER(SEARCH(LEFT(LOWER($A8),LEN($A8)-1),LOWER(B$1))))),B$1,B$1&amp;" "&amp;$A8))</f>
        <v>plumbers cape town trusted</v>
      </c>
      <c r="C8" s="14" t="str">
        <f t="shared" si="11"/>
        <v>plumbing company cape town trusted</v>
      </c>
      <c r="D8" s="14" t="str">
        <f t="shared" si="11"/>
        <v>emergency plumber cape town trusted</v>
      </c>
      <c r="E8" s="14" t="str">
        <f t="shared" si="11"/>
        <v>drain surgeon cape town trusted</v>
      </c>
      <c r="F8" s="14" t="str">
        <f t="shared" si="11"/>
        <v>absolute plumbing cape town trusted</v>
      </c>
      <c r="G8" s="14" t="str">
        <f t="shared" si="11"/>
        <v>schmidhauser plumbing trusted</v>
      </c>
      <c r="H8" s="14" t="str">
        <f t="shared" si="11"/>
        <v>bosman plumbers trusted</v>
      </c>
      <c r="I8" s="14" t="str">
        <f t="shared" si="11"/>
        <v>plumber near me trusted</v>
      </c>
      <c r="J8" s="14" t="str">
        <f t="shared" si="11"/>
        <v>electrician cape town trusted</v>
      </c>
      <c r="K8" s="14" t="str">
        <f t="shared" si="11"/>
        <v>aircon repair cape town trusted</v>
      </c>
      <c r="L8" s="16" t="str">
        <f>IFERROR(__xludf.DUMMYFUNCTION("""COMPUTED_VALUE"""),"absolute plumbing cape town compare")</f>
        <v>absolute plumbing cape town compare</v>
      </c>
      <c r="M8" s="17"/>
      <c r="N8" s="14" t="str">
        <f t="shared" ref="N8:W8" si="12">IF($A8="","",IF(OR(ISNUMBER(SEARCH(LOWER($A8),LOWER(N$1))),AND(RIGHT(LOWER($A8),1)="s",ISNUMBER(SEARCH(LEFT(LOWER($A8),LEN($A8)-1),LOWER(N$1))))),N$1,$A8&amp;" "&amp;N$1))</f>
        <v>trusted plumbers cape town</v>
      </c>
      <c r="O8" s="14" t="str">
        <f t="shared" si="12"/>
        <v>trusted plumbing company cape town</v>
      </c>
      <c r="P8" s="14" t="str">
        <f t="shared" si="12"/>
        <v>trusted emergency plumber cape town</v>
      </c>
      <c r="Q8" s="14" t="str">
        <f t="shared" si="12"/>
        <v>trusted drain surgeon cape town</v>
      </c>
      <c r="R8" s="14" t="str">
        <f t="shared" si="12"/>
        <v>trusted absolute plumbing cape town</v>
      </c>
      <c r="S8" s="14" t="str">
        <f t="shared" si="12"/>
        <v>trusted schmidhauser plumbing</v>
      </c>
      <c r="T8" s="14" t="str">
        <f t="shared" si="12"/>
        <v>trusted bosman plumbers</v>
      </c>
      <c r="U8" s="14" t="str">
        <f t="shared" si="12"/>
        <v>trusted plumber near me</v>
      </c>
      <c r="V8" s="14" t="str">
        <f t="shared" si="12"/>
        <v>trusted electrician cape town</v>
      </c>
      <c r="W8" s="14" t="str">
        <f t="shared" si="12"/>
        <v>trusted aircon repair cape town</v>
      </c>
      <c r="X8" s="18" t="str">
        <f>IFERROR(__xludf.DUMMYFUNCTION("""COMPUTED_VALUE"""),"24 hour emergency plumber cape town")</f>
        <v>24 hour emergency plumber cape town</v>
      </c>
      <c r="Y8" s="4"/>
      <c r="Z8" s="4"/>
    </row>
    <row r="9">
      <c r="A9" s="13" t="s">
        <v>176</v>
      </c>
      <c r="B9" s="14" t="str">
        <f t="shared" ref="B9:K9" si="13">IF($A9="","",IF(OR(ISNUMBER(SEARCH(LOWER($A9),LOWER(B$1))),AND(RIGHT(LOWER($A9),1)="s",ISNUMBER(SEARCH(LEFT(LOWER($A9),LEN($A9)-1),LOWER(B$1))))),B$1,B$1&amp;" "&amp;$A9))</f>
        <v>plumbers cape town reputable</v>
      </c>
      <c r="C9" s="14" t="str">
        <f t="shared" si="13"/>
        <v>plumbing company cape town reputable</v>
      </c>
      <c r="D9" s="14" t="str">
        <f t="shared" si="13"/>
        <v>emergency plumber cape town reputable</v>
      </c>
      <c r="E9" s="14" t="str">
        <f t="shared" si="13"/>
        <v>drain surgeon cape town reputable</v>
      </c>
      <c r="F9" s="14" t="str">
        <f t="shared" si="13"/>
        <v>absolute plumbing cape town reputable</v>
      </c>
      <c r="G9" s="14" t="str">
        <f t="shared" si="13"/>
        <v>schmidhauser plumbing reputable</v>
      </c>
      <c r="H9" s="14" t="str">
        <f t="shared" si="13"/>
        <v>bosman plumbers reputable</v>
      </c>
      <c r="I9" s="14" t="str">
        <f t="shared" si="13"/>
        <v>plumber near me reputable</v>
      </c>
      <c r="J9" s="14" t="str">
        <f t="shared" si="13"/>
        <v>electrician cape town reputable</v>
      </c>
      <c r="K9" s="14" t="str">
        <f t="shared" si="13"/>
        <v>aircon repair cape town reputable</v>
      </c>
      <c r="L9" s="16" t="str">
        <f>IFERROR(__xludf.DUMMYFUNCTION("""COMPUTED_VALUE"""),"absolute plumbing cape town complaints")</f>
        <v>absolute plumbing cape town complaints</v>
      </c>
      <c r="M9" s="17"/>
      <c r="N9" s="14" t="str">
        <f t="shared" ref="N9:W9" si="14">IF($A9="","",IF(OR(ISNUMBER(SEARCH(LOWER($A9),LOWER(N$1))),AND(RIGHT(LOWER($A9),1)="s",ISNUMBER(SEARCH(LEFT(LOWER($A9),LEN($A9)-1),LOWER(N$1))))),N$1,$A9&amp;" "&amp;N$1))</f>
        <v>reputable plumbers cape town</v>
      </c>
      <c r="O9" s="14" t="str">
        <f t="shared" si="14"/>
        <v>reputable plumbing company cape town</v>
      </c>
      <c r="P9" s="14" t="str">
        <f t="shared" si="14"/>
        <v>reputable emergency plumber cape town</v>
      </c>
      <c r="Q9" s="14" t="str">
        <f t="shared" si="14"/>
        <v>reputable drain surgeon cape town</v>
      </c>
      <c r="R9" s="14" t="str">
        <f t="shared" si="14"/>
        <v>reputable absolute plumbing cape town</v>
      </c>
      <c r="S9" s="14" t="str">
        <f t="shared" si="14"/>
        <v>reputable schmidhauser plumbing</v>
      </c>
      <c r="T9" s="14" t="str">
        <f t="shared" si="14"/>
        <v>reputable bosman plumbers</v>
      </c>
      <c r="U9" s="14" t="str">
        <f t="shared" si="14"/>
        <v>reputable plumber near me</v>
      </c>
      <c r="V9" s="14" t="str">
        <f t="shared" si="14"/>
        <v>reputable electrician cape town</v>
      </c>
      <c r="W9" s="14" t="str">
        <f t="shared" si="14"/>
        <v>reputable aircon repair cape town</v>
      </c>
      <c r="X9" s="18" t="str">
        <f>IFERROR(__xludf.DUMMYFUNCTION("""COMPUTED_VALUE"""),"24 hour plumber near me")</f>
        <v>24 hour plumber near me</v>
      </c>
      <c r="Y9" s="4"/>
      <c r="Z9" s="4"/>
    </row>
    <row r="10">
      <c r="A10" s="13" t="s">
        <v>65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plumbers cape town affordable</v>
      </c>
      <c r="C10" s="14" t="str">
        <f t="shared" si="15"/>
        <v>plumbing company cape town affordable</v>
      </c>
      <c r="D10" s="14" t="str">
        <f t="shared" si="15"/>
        <v>emergency plumber cape town affordable</v>
      </c>
      <c r="E10" s="14" t="str">
        <f t="shared" si="15"/>
        <v>drain surgeon cape town affordable</v>
      </c>
      <c r="F10" s="14" t="str">
        <f t="shared" si="15"/>
        <v>absolute plumbing cape town affordable</v>
      </c>
      <c r="G10" s="14" t="str">
        <f t="shared" si="15"/>
        <v>schmidhauser plumbing affordable</v>
      </c>
      <c r="H10" s="14" t="str">
        <f t="shared" si="15"/>
        <v>bosman plumbers affordable</v>
      </c>
      <c r="I10" s="14" t="str">
        <f t="shared" si="15"/>
        <v>plumber near me affordable</v>
      </c>
      <c r="J10" s="14" t="str">
        <f t="shared" si="15"/>
        <v>electrician cape town affordable</v>
      </c>
      <c r="K10" s="14" t="str">
        <f t="shared" si="15"/>
        <v>aircon repair cape town affordable</v>
      </c>
      <c r="L10" s="16" t="str">
        <f>IFERROR(__xludf.DUMMYFUNCTION("""COMPUTED_VALUE"""),"absolute plumbing cape town cost")</f>
        <v>absolute plumbing cape town cost</v>
      </c>
      <c r="M10" s="17"/>
      <c r="N10" s="14" t="str">
        <f t="shared" ref="N10:W10" si="16">IF($A10="","",IF(OR(ISNUMBER(SEARCH(LOWER($A10),LOWER(N$1))),AND(RIGHT(LOWER($A10),1)="s",ISNUMBER(SEARCH(LEFT(LOWER($A10),LEN($A10)-1),LOWER(N$1))))),N$1,$A10&amp;" "&amp;N$1))</f>
        <v>affordable plumbers cape town</v>
      </c>
      <c r="O10" s="14" t="str">
        <f t="shared" si="16"/>
        <v>affordable plumbing company cape town</v>
      </c>
      <c r="P10" s="14" t="str">
        <f t="shared" si="16"/>
        <v>affordable emergency plumber cape town</v>
      </c>
      <c r="Q10" s="14" t="str">
        <f t="shared" si="16"/>
        <v>affordable drain surgeon cape town</v>
      </c>
      <c r="R10" s="14" t="str">
        <f t="shared" si="16"/>
        <v>affordable absolute plumbing cape town</v>
      </c>
      <c r="S10" s="14" t="str">
        <f t="shared" si="16"/>
        <v>affordable schmidhauser plumbing</v>
      </c>
      <c r="T10" s="14" t="str">
        <f t="shared" si="16"/>
        <v>affordable bosman plumbers</v>
      </c>
      <c r="U10" s="14" t="str">
        <f t="shared" si="16"/>
        <v>affordable plumber near me</v>
      </c>
      <c r="V10" s="14" t="str">
        <f t="shared" si="16"/>
        <v>affordable electrician cape town</v>
      </c>
      <c r="W10" s="14" t="str">
        <f t="shared" si="16"/>
        <v>affordable aircon repair cape town</v>
      </c>
      <c r="X10" s="18" t="str">
        <f>IFERROR(__xludf.DUMMYFUNCTION("""COMPUTED_VALUE"""),"24 hour plumbers cape town")</f>
        <v>24 hour plumbers cape town</v>
      </c>
      <c r="Y10" s="4"/>
      <c r="Z10" s="4"/>
    </row>
    <row r="11">
      <c r="A11" s="13" t="s">
        <v>177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plumbers cape town prices</v>
      </c>
      <c r="C11" s="14" t="str">
        <f t="shared" si="17"/>
        <v>plumbing company cape town prices</v>
      </c>
      <c r="D11" s="14" t="str">
        <f t="shared" si="17"/>
        <v>emergency plumber cape town prices</v>
      </c>
      <c r="E11" s="14" t="str">
        <f t="shared" si="17"/>
        <v>drain surgeon cape town prices</v>
      </c>
      <c r="F11" s="14" t="str">
        <f t="shared" si="17"/>
        <v>absolute plumbing cape town prices</v>
      </c>
      <c r="G11" s="14" t="str">
        <f t="shared" si="17"/>
        <v>schmidhauser plumbing prices</v>
      </c>
      <c r="H11" s="14" t="str">
        <f t="shared" si="17"/>
        <v>bosman plumbers prices</v>
      </c>
      <c r="I11" s="14" t="str">
        <f t="shared" si="17"/>
        <v>plumber near me prices</v>
      </c>
      <c r="J11" s="14" t="str">
        <f t="shared" si="17"/>
        <v>electrician cape town prices</v>
      </c>
      <c r="K11" s="14" t="str">
        <f t="shared" si="17"/>
        <v>aircon repair cape town prices</v>
      </c>
      <c r="L11" s="16" t="str">
        <f>IFERROR(__xludf.DUMMYFUNCTION("""COMPUTED_VALUE"""),"absolute plumbing cape town insured")</f>
        <v>absolute plumbing cape town insured</v>
      </c>
      <c r="M11" s="17"/>
      <c r="N11" s="14" t="str">
        <f t="shared" ref="N11:W11" si="18">IF($A11="","",IF(OR(ISNUMBER(SEARCH(LOWER($A11),LOWER(N$1))),AND(RIGHT(LOWER($A11),1)="s",ISNUMBER(SEARCH(LEFT(LOWER($A11),LEN($A11)-1),LOWER(N$1))))),N$1,$A11&amp;" "&amp;N$1))</f>
        <v>prices plumbers cape town</v>
      </c>
      <c r="O11" s="14" t="str">
        <f t="shared" si="18"/>
        <v>prices plumbing company cape town</v>
      </c>
      <c r="P11" s="14" t="str">
        <f t="shared" si="18"/>
        <v>prices emergency plumber cape town</v>
      </c>
      <c r="Q11" s="14" t="str">
        <f t="shared" si="18"/>
        <v>prices drain surgeon cape town</v>
      </c>
      <c r="R11" s="14" t="str">
        <f t="shared" si="18"/>
        <v>prices absolute plumbing cape town</v>
      </c>
      <c r="S11" s="14" t="str">
        <f t="shared" si="18"/>
        <v>prices schmidhauser plumbing</v>
      </c>
      <c r="T11" s="14" t="str">
        <f t="shared" si="18"/>
        <v>prices bosman plumbers</v>
      </c>
      <c r="U11" s="14" t="str">
        <f t="shared" si="18"/>
        <v>prices plumber near me</v>
      </c>
      <c r="V11" s="14" t="str">
        <f t="shared" si="18"/>
        <v>prices electrician cape town</v>
      </c>
      <c r="W11" s="14" t="str">
        <f t="shared" si="18"/>
        <v>prices aircon repair cape town</v>
      </c>
      <c r="X11" s="18" t="str">
        <f>IFERROR(__xludf.DUMMYFUNCTION("""COMPUTED_VALUE"""),"24 hour plumbing company cape town")</f>
        <v>24 hour plumbing company cape town</v>
      </c>
      <c r="Y11" s="4"/>
      <c r="Z11" s="4"/>
    </row>
    <row r="12">
      <c r="A12" s="13" t="s">
        <v>71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plumbers cape town cost</v>
      </c>
      <c r="C12" s="14" t="str">
        <f t="shared" si="19"/>
        <v>plumbing company cape town cost</v>
      </c>
      <c r="D12" s="14" t="str">
        <f t="shared" si="19"/>
        <v>emergency plumber cape town cost</v>
      </c>
      <c r="E12" s="14" t="str">
        <f t="shared" si="19"/>
        <v>drain surgeon cape town cost</v>
      </c>
      <c r="F12" s="14" t="str">
        <f t="shared" si="19"/>
        <v>absolute plumbing cape town cost</v>
      </c>
      <c r="G12" s="14" t="str">
        <f t="shared" si="19"/>
        <v>schmidhauser plumbing cost</v>
      </c>
      <c r="H12" s="14" t="str">
        <f t="shared" si="19"/>
        <v>bosman plumbers cost</v>
      </c>
      <c r="I12" s="14" t="str">
        <f t="shared" si="19"/>
        <v>plumber near me cost</v>
      </c>
      <c r="J12" s="14" t="str">
        <f t="shared" si="19"/>
        <v>electrician cape town cost</v>
      </c>
      <c r="K12" s="14" t="str">
        <f t="shared" si="19"/>
        <v>aircon repair cape town cost</v>
      </c>
      <c r="L12" s="16" t="str">
        <f>IFERROR(__xludf.DUMMYFUNCTION("""COMPUTED_VALUE"""),"absolute plumbing cape town licensed")</f>
        <v>absolute plumbing cape town licensed</v>
      </c>
      <c r="M12" s="17"/>
      <c r="N12" s="14" t="str">
        <f t="shared" ref="N12:W12" si="20">IF($A12="","",IF(OR(ISNUMBER(SEARCH(LOWER($A12),LOWER(N$1))),AND(RIGHT(LOWER($A12),1)="s",ISNUMBER(SEARCH(LEFT(LOWER($A12),LEN($A12)-1),LOWER(N$1))))),N$1,$A12&amp;" "&amp;N$1))</f>
        <v>cost plumbers cape town</v>
      </c>
      <c r="O12" s="14" t="str">
        <f t="shared" si="20"/>
        <v>cost plumbing company cape town</v>
      </c>
      <c r="P12" s="14" t="str">
        <f t="shared" si="20"/>
        <v>cost emergency plumber cape town</v>
      </c>
      <c r="Q12" s="14" t="str">
        <f t="shared" si="20"/>
        <v>cost drain surgeon cape town</v>
      </c>
      <c r="R12" s="14" t="str">
        <f t="shared" si="20"/>
        <v>cost absolute plumbing cape town</v>
      </c>
      <c r="S12" s="14" t="str">
        <f t="shared" si="20"/>
        <v>cost schmidhauser plumbing</v>
      </c>
      <c r="T12" s="14" t="str">
        <f t="shared" si="20"/>
        <v>cost bosman plumbers</v>
      </c>
      <c r="U12" s="14" t="str">
        <f t="shared" si="20"/>
        <v>cost plumber near me</v>
      </c>
      <c r="V12" s="14" t="str">
        <f t="shared" si="20"/>
        <v>cost electrician cape town</v>
      </c>
      <c r="W12" s="14" t="str">
        <f t="shared" si="20"/>
        <v>cost aircon repair cape town</v>
      </c>
      <c r="X12" s="18" t="str">
        <f>IFERROR(__xludf.DUMMYFUNCTION("""COMPUTED_VALUE"""),"24 hour schmidhauser plumbing")</f>
        <v>24 hour schmidhauser plumbing</v>
      </c>
      <c r="Y12" s="4"/>
      <c r="Z12" s="4"/>
    </row>
    <row r="13">
      <c r="A13" s="13" t="s">
        <v>74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plumbers cape town quote</v>
      </c>
      <c r="C13" s="14" t="str">
        <f t="shared" si="21"/>
        <v>plumbing company cape town quote</v>
      </c>
      <c r="D13" s="14" t="str">
        <f t="shared" si="21"/>
        <v>emergency plumber cape town quote</v>
      </c>
      <c r="E13" s="14" t="str">
        <f t="shared" si="21"/>
        <v>drain surgeon cape town quote</v>
      </c>
      <c r="F13" s="14" t="str">
        <f t="shared" si="21"/>
        <v>absolute plumbing cape town quote</v>
      </c>
      <c r="G13" s="14" t="str">
        <f t="shared" si="21"/>
        <v>schmidhauser plumbing quote</v>
      </c>
      <c r="H13" s="14" t="str">
        <f t="shared" si="21"/>
        <v>bosman plumbers quote</v>
      </c>
      <c r="I13" s="14" t="str">
        <f t="shared" si="21"/>
        <v>plumber near me quote</v>
      </c>
      <c r="J13" s="14" t="str">
        <f t="shared" si="21"/>
        <v>electrician cape town quote</v>
      </c>
      <c r="K13" s="14" t="str">
        <f t="shared" si="21"/>
        <v>aircon repair cape town quote</v>
      </c>
      <c r="L13" s="16" t="str">
        <f>IFERROR(__xludf.DUMMYFUNCTION("""COMPUTED_VALUE"""),"absolute plumbing cape town local")</f>
        <v>absolute plumbing cape town local</v>
      </c>
      <c r="M13" s="17"/>
      <c r="N13" s="14" t="str">
        <f t="shared" ref="N13:W13" si="22">IF($A13="","",IF(OR(ISNUMBER(SEARCH(LOWER($A13),LOWER(N$1))),AND(RIGHT(LOWER($A13),1)="s",ISNUMBER(SEARCH(LEFT(LOWER($A13),LEN($A13)-1),LOWER(N$1))))),N$1,$A13&amp;" "&amp;N$1))</f>
        <v>quote plumbers cape town</v>
      </c>
      <c r="O13" s="14" t="str">
        <f t="shared" si="22"/>
        <v>quote plumbing company cape town</v>
      </c>
      <c r="P13" s="14" t="str">
        <f t="shared" si="22"/>
        <v>quote emergency plumber cape town</v>
      </c>
      <c r="Q13" s="14" t="str">
        <f t="shared" si="22"/>
        <v>quote drain surgeon cape town</v>
      </c>
      <c r="R13" s="14" t="str">
        <f t="shared" si="22"/>
        <v>quote absolute plumbing cape town</v>
      </c>
      <c r="S13" s="14" t="str">
        <f t="shared" si="22"/>
        <v>quote schmidhauser plumbing</v>
      </c>
      <c r="T13" s="14" t="str">
        <f t="shared" si="22"/>
        <v>quote bosman plumbers</v>
      </c>
      <c r="U13" s="14" t="str">
        <f t="shared" si="22"/>
        <v>quote plumber near me</v>
      </c>
      <c r="V13" s="14" t="str">
        <f t="shared" si="22"/>
        <v>quote electrician cape town</v>
      </c>
      <c r="W13" s="14" t="str">
        <f t="shared" si="22"/>
        <v>quote aircon repair cape town</v>
      </c>
      <c r="X13" s="18" t="str">
        <f>IFERROR(__xludf.DUMMYFUNCTION("""COMPUTED_VALUE"""),"affordable absolute plumbing cape town")</f>
        <v>affordable absolute plumbing cape town</v>
      </c>
      <c r="Y13" s="4"/>
      <c r="Z13" s="4"/>
    </row>
    <row r="14">
      <c r="A14" s="13" t="s">
        <v>178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plumbers cape town complaints</v>
      </c>
      <c r="C14" s="14" t="str">
        <f t="shared" si="23"/>
        <v>plumbing company cape town complaints</v>
      </c>
      <c r="D14" s="14" t="str">
        <f t="shared" si="23"/>
        <v>emergency plumber cape town complaints</v>
      </c>
      <c r="E14" s="14" t="str">
        <f t="shared" si="23"/>
        <v>drain surgeon cape town complaints</v>
      </c>
      <c r="F14" s="14" t="str">
        <f t="shared" si="23"/>
        <v>absolute plumbing cape town complaints</v>
      </c>
      <c r="G14" s="14" t="str">
        <f t="shared" si="23"/>
        <v>schmidhauser plumbing complaints</v>
      </c>
      <c r="H14" s="14" t="str">
        <f t="shared" si="23"/>
        <v>bosman plumbers complaints</v>
      </c>
      <c r="I14" s="14" t="str">
        <f t="shared" si="23"/>
        <v>plumber near me complaints</v>
      </c>
      <c r="J14" s="14" t="str">
        <f t="shared" si="23"/>
        <v>electrician cape town complaints</v>
      </c>
      <c r="K14" s="14" t="str">
        <f t="shared" si="23"/>
        <v>aircon repair cape town complaints</v>
      </c>
      <c r="L14" s="16" t="str">
        <f>IFERROR(__xludf.DUMMYFUNCTION("""COMPUTED_VALUE"""),"absolute plumbing cape town near me")</f>
        <v>absolute plumbing cape town near me</v>
      </c>
      <c r="M14" s="17"/>
      <c r="N14" s="14" t="str">
        <f t="shared" ref="N14:W14" si="24">IF($A14="","",IF(OR(ISNUMBER(SEARCH(LOWER($A14),LOWER(N$1))),AND(RIGHT(LOWER($A14),1)="s",ISNUMBER(SEARCH(LEFT(LOWER($A14),LEN($A14)-1),LOWER(N$1))))),N$1,$A14&amp;" "&amp;N$1))</f>
        <v>complaints plumbers cape town</v>
      </c>
      <c r="O14" s="14" t="str">
        <f t="shared" si="24"/>
        <v>complaints plumbing company cape town</v>
      </c>
      <c r="P14" s="14" t="str">
        <f t="shared" si="24"/>
        <v>complaints emergency plumber cape town</v>
      </c>
      <c r="Q14" s="14" t="str">
        <f t="shared" si="24"/>
        <v>complaints drain surgeon cape town</v>
      </c>
      <c r="R14" s="14" t="str">
        <f t="shared" si="24"/>
        <v>complaints absolute plumbing cape town</v>
      </c>
      <c r="S14" s="14" t="str">
        <f t="shared" si="24"/>
        <v>complaints schmidhauser plumbing</v>
      </c>
      <c r="T14" s="14" t="str">
        <f t="shared" si="24"/>
        <v>complaints bosman plumbers</v>
      </c>
      <c r="U14" s="14" t="str">
        <f t="shared" si="24"/>
        <v>complaints plumber near me</v>
      </c>
      <c r="V14" s="14" t="str">
        <f t="shared" si="24"/>
        <v>complaints electrician cape town</v>
      </c>
      <c r="W14" s="14" t="str">
        <f t="shared" si="24"/>
        <v>complaints aircon repair cape town</v>
      </c>
      <c r="X14" s="18" t="str">
        <f>IFERROR(__xludf.DUMMYFUNCTION("""COMPUTED_VALUE"""),"affordable aircon repair cape town")</f>
        <v>affordable aircon repair cape town</v>
      </c>
      <c r="Y14" s="4"/>
      <c r="Z14" s="4"/>
    </row>
    <row r="15">
      <c r="A15" s="13" t="s">
        <v>179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plumbers cape town alternatives</v>
      </c>
      <c r="C15" s="14" t="str">
        <f t="shared" si="25"/>
        <v>plumbing company cape town alternatives</v>
      </c>
      <c r="D15" s="14" t="str">
        <f t="shared" si="25"/>
        <v>emergency plumber cape town alternatives</v>
      </c>
      <c r="E15" s="14" t="str">
        <f t="shared" si="25"/>
        <v>drain surgeon cape town alternatives</v>
      </c>
      <c r="F15" s="14" t="str">
        <f t="shared" si="25"/>
        <v>absolute plumbing cape town alternatives</v>
      </c>
      <c r="G15" s="14" t="str">
        <f t="shared" si="25"/>
        <v>schmidhauser plumbing alternatives</v>
      </c>
      <c r="H15" s="14" t="str">
        <f t="shared" si="25"/>
        <v>bosman plumbers alternatives</v>
      </c>
      <c r="I15" s="14" t="str">
        <f t="shared" si="25"/>
        <v>plumber near me alternatives</v>
      </c>
      <c r="J15" s="14" t="str">
        <f t="shared" si="25"/>
        <v>electrician cape town alternatives</v>
      </c>
      <c r="K15" s="14" t="str">
        <f t="shared" si="25"/>
        <v>aircon repair cape town alternatives</v>
      </c>
      <c r="L15" s="16" t="str">
        <f>IFERROR(__xludf.DUMMYFUNCTION("""COMPUTED_VALUE"""),"absolute plumbing cape town prices")</f>
        <v>absolute plumbing cape town prices</v>
      </c>
      <c r="M15" s="17"/>
      <c r="N15" s="14" t="str">
        <f t="shared" ref="N15:W15" si="26">IF($A15="","",IF(OR(ISNUMBER(SEARCH(LOWER($A15),LOWER(N$1))),AND(RIGHT(LOWER($A15),1)="s",ISNUMBER(SEARCH(LEFT(LOWER($A15),LEN($A15)-1),LOWER(N$1))))),N$1,$A15&amp;" "&amp;N$1))</f>
        <v>alternatives plumbers cape town</v>
      </c>
      <c r="O15" s="14" t="str">
        <f t="shared" si="26"/>
        <v>alternatives plumbing company cape town</v>
      </c>
      <c r="P15" s="14" t="str">
        <f t="shared" si="26"/>
        <v>alternatives emergency plumber cape town</v>
      </c>
      <c r="Q15" s="14" t="str">
        <f t="shared" si="26"/>
        <v>alternatives drain surgeon cape town</v>
      </c>
      <c r="R15" s="14" t="str">
        <f t="shared" si="26"/>
        <v>alternatives absolute plumbing cape town</v>
      </c>
      <c r="S15" s="14" t="str">
        <f t="shared" si="26"/>
        <v>alternatives schmidhauser plumbing</v>
      </c>
      <c r="T15" s="14" t="str">
        <f t="shared" si="26"/>
        <v>alternatives bosman plumbers</v>
      </c>
      <c r="U15" s="14" t="str">
        <f t="shared" si="26"/>
        <v>alternatives plumber near me</v>
      </c>
      <c r="V15" s="14" t="str">
        <f t="shared" si="26"/>
        <v>alternatives electrician cape town</v>
      </c>
      <c r="W15" s="14" t="str">
        <f t="shared" si="26"/>
        <v>alternatives aircon repair cape town</v>
      </c>
      <c r="X15" s="18" t="str">
        <f>IFERROR(__xludf.DUMMYFUNCTION("""COMPUTED_VALUE"""),"affordable bosman plumbers")</f>
        <v>affordable bosman plumbers</v>
      </c>
      <c r="Y15" s="4"/>
      <c r="Z15" s="4"/>
    </row>
    <row r="16">
      <c r="A16" s="13" t="s">
        <v>180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plumbers cape town vs</v>
      </c>
      <c r="C16" s="14" t="str">
        <f t="shared" si="27"/>
        <v>plumbing company cape town vs</v>
      </c>
      <c r="D16" s="14" t="str">
        <f t="shared" si="27"/>
        <v>emergency plumber cape town vs</v>
      </c>
      <c r="E16" s="14" t="str">
        <f t="shared" si="27"/>
        <v>drain surgeon cape town vs</v>
      </c>
      <c r="F16" s="14" t="str">
        <f t="shared" si="27"/>
        <v>absolute plumbing cape town vs</v>
      </c>
      <c r="G16" s="14" t="str">
        <f t="shared" si="27"/>
        <v>schmidhauser plumbing vs</v>
      </c>
      <c r="H16" s="14" t="str">
        <f t="shared" si="27"/>
        <v>bosman plumbers vs</v>
      </c>
      <c r="I16" s="14" t="str">
        <f t="shared" si="27"/>
        <v>plumber near me vs</v>
      </c>
      <c r="J16" s="14" t="str">
        <f t="shared" si="27"/>
        <v>electrician cape town vs</v>
      </c>
      <c r="K16" s="14" t="str">
        <f t="shared" si="27"/>
        <v>aircon repair cape town vs</v>
      </c>
      <c r="L16" s="16" t="str">
        <f>IFERROR(__xludf.DUMMYFUNCTION("""COMPUTED_VALUE"""),"absolute plumbing cape town qualified")</f>
        <v>absolute plumbing cape town qualified</v>
      </c>
      <c r="M16" s="17"/>
      <c r="N16" s="14" t="str">
        <f t="shared" ref="N16:W16" si="28">IF($A16="","",IF(OR(ISNUMBER(SEARCH(LOWER($A16),LOWER(N$1))),AND(RIGHT(LOWER($A16),1)="s",ISNUMBER(SEARCH(LEFT(LOWER($A16),LEN($A16)-1),LOWER(N$1))))),N$1,$A16&amp;" "&amp;N$1))</f>
        <v>vs plumbers cape town</v>
      </c>
      <c r="O16" s="14" t="str">
        <f t="shared" si="28"/>
        <v>vs plumbing company cape town</v>
      </c>
      <c r="P16" s="14" t="str">
        <f t="shared" si="28"/>
        <v>vs emergency plumber cape town</v>
      </c>
      <c r="Q16" s="14" t="str">
        <f t="shared" si="28"/>
        <v>vs drain surgeon cape town</v>
      </c>
      <c r="R16" s="14" t="str">
        <f t="shared" si="28"/>
        <v>vs absolute plumbing cape town</v>
      </c>
      <c r="S16" s="14" t="str">
        <f t="shared" si="28"/>
        <v>vs schmidhauser plumbing</v>
      </c>
      <c r="T16" s="14" t="str">
        <f t="shared" si="28"/>
        <v>vs bosman plumbers</v>
      </c>
      <c r="U16" s="14" t="str">
        <f t="shared" si="28"/>
        <v>vs plumber near me</v>
      </c>
      <c r="V16" s="14" t="str">
        <f t="shared" si="28"/>
        <v>vs electrician cape town</v>
      </c>
      <c r="W16" s="14" t="str">
        <f t="shared" si="28"/>
        <v>vs aircon repair cape town</v>
      </c>
      <c r="X16" s="18" t="str">
        <f>IFERROR(__xludf.DUMMYFUNCTION("""COMPUTED_VALUE"""),"affordable drain surgeon cape town")</f>
        <v>affordable drain surgeon cape town</v>
      </c>
      <c r="Y16" s="4"/>
      <c r="Z16" s="4"/>
    </row>
    <row r="17">
      <c r="A17" s="13" t="s">
        <v>181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plumbers cape town compare</v>
      </c>
      <c r="C17" s="14" t="str">
        <f t="shared" si="29"/>
        <v>plumbing company cape town compare</v>
      </c>
      <c r="D17" s="14" t="str">
        <f t="shared" si="29"/>
        <v>emergency plumber cape town compare</v>
      </c>
      <c r="E17" s="14" t="str">
        <f t="shared" si="29"/>
        <v>drain surgeon cape town compare</v>
      </c>
      <c r="F17" s="14" t="str">
        <f t="shared" si="29"/>
        <v>absolute plumbing cape town compare</v>
      </c>
      <c r="G17" s="14" t="str">
        <f t="shared" si="29"/>
        <v>schmidhauser plumbing compare</v>
      </c>
      <c r="H17" s="14" t="str">
        <f t="shared" si="29"/>
        <v>bosman plumbers compare</v>
      </c>
      <c r="I17" s="14" t="str">
        <f t="shared" si="29"/>
        <v>plumber near me compare</v>
      </c>
      <c r="J17" s="14" t="str">
        <f t="shared" si="29"/>
        <v>electrician cape town compare</v>
      </c>
      <c r="K17" s="14" t="str">
        <f t="shared" si="29"/>
        <v>aircon repair cape town compare</v>
      </c>
      <c r="L17" s="16" t="str">
        <f>IFERROR(__xludf.DUMMYFUNCTION("""COMPUTED_VALUE"""),"absolute plumbing cape town quote")</f>
        <v>absolute plumbing cape town quote</v>
      </c>
      <c r="M17" s="17"/>
      <c r="N17" s="14" t="str">
        <f t="shared" ref="N17:W17" si="30">IF($A17="","",IF(OR(ISNUMBER(SEARCH(LOWER($A17),LOWER(N$1))),AND(RIGHT(LOWER($A17),1)="s",ISNUMBER(SEARCH(LEFT(LOWER($A17),LEN($A17)-1),LOWER(N$1))))),N$1,$A17&amp;" "&amp;N$1))</f>
        <v>compare plumbers cape town</v>
      </c>
      <c r="O17" s="14" t="str">
        <f t="shared" si="30"/>
        <v>compare plumbing company cape town</v>
      </c>
      <c r="P17" s="14" t="str">
        <f t="shared" si="30"/>
        <v>compare emergency plumber cape town</v>
      </c>
      <c r="Q17" s="14" t="str">
        <f t="shared" si="30"/>
        <v>compare drain surgeon cape town</v>
      </c>
      <c r="R17" s="14" t="str">
        <f t="shared" si="30"/>
        <v>compare absolute plumbing cape town</v>
      </c>
      <c r="S17" s="14" t="str">
        <f t="shared" si="30"/>
        <v>compare schmidhauser plumbing</v>
      </c>
      <c r="T17" s="14" t="str">
        <f t="shared" si="30"/>
        <v>compare bosman plumbers</v>
      </c>
      <c r="U17" s="14" t="str">
        <f t="shared" si="30"/>
        <v>compare plumber near me</v>
      </c>
      <c r="V17" s="14" t="str">
        <f t="shared" si="30"/>
        <v>compare electrician cape town</v>
      </c>
      <c r="W17" s="14" t="str">
        <f t="shared" si="30"/>
        <v>compare aircon repair cape town</v>
      </c>
      <c r="X17" s="18" t="str">
        <f>IFERROR(__xludf.DUMMYFUNCTION("""COMPUTED_VALUE"""),"affordable electrician cape town")</f>
        <v>affordable electrician cape town</v>
      </c>
      <c r="Y17" s="4"/>
      <c r="Z17" s="4"/>
    </row>
    <row r="18">
      <c r="A18" s="13" t="s">
        <v>54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plumbers cape town near me</v>
      </c>
      <c r="C18" s="14" t="str">
        <f t="shared" si="31"/>
        <v>plumbing company cape town near me</v>
      </c>
      <c r="D18" s="14" t="str">
        <f t="shared" si="31"/>
        <v>emergency plumber cape town near me</v>
      </c>
      <c r="E18" s="14" t="str">
        <f t="shared" si="31"/>
        <v>drain surgeon cape town near me</v>
      </c>
      <c r="F18" s="14" t="str">
        <f t="shared" si="31"/>
        <v>absolute plumbing cape town near me</v>
      </c>
      <c r="G18" s="14" t="str">
        <f t="shared" si="31"/>
        <v>schmidhauser plumbing near me</v>
      </c>
      <c r="H18" s="14" t="str">
        <f t="shared" si="31"/>
        <v>bosman plumbers near me</v>
      </c>
      <c r="I18" s="14" t="str">
        <f t="shared" si="31"/>
        <v>plumber near me</v>
      </c>
      <c r="J18" s="14" t="str">
        <f t="shared" si="31"/>
        <v>electrician cape town near me</v>
      </c>
      <c r="K18" s="14" t="str">
        <f t="shared" si="31"/>
        <v>aircon repair cape town near me</v>
      </c>
      <c r="L18" s="16" t="str">
        <f>IFERROR(__xludf.DUMMYFUNCTION("""COMPUTED_VALUE"""),"absolute plumbing cape town reliable")</f>
        <v>absolute plumbing cape town reliable</v>
      </c>
      <c r="M18" s="17"/>
      <c r="N18" s="14" t="str">
        <f t="shared" ref="N18:W18" si="32">IF($A18="","",IF(OR(ISNUMBER(SEARCH(LOWER($A18),LOWER(N$1))),AND(RIGHT(LOWER($A18),1)="s",ISNUMBER(SEARCH(LEFT(LOWER($A18),LEN($A18)-1),LOWER(N$1))))),N$1,$A18&amp;" "&amp;N$1))</f>
        <v>near me plumbers cape town</v>
      </c>
      <c r="O18" s="14" t="str">
        <f t="shared" si="32"/>
        <v>near me plumbing company cape town</v>
      </c>
      <c r="P18" s="14" t="str">
        <f t="shared" si="32"/>
        <v>near me emergency plumber cape town</v>
      </c>
      <c r="Q18" s="14" t="str">
        <f t="shared" si="32"/>
        <v>near me drain surgeon cape town</v>
      </c>
      <c r="R18" s="14" t="str">
        <f t="shared" si="32"/>
        <v>near me absolute plumbing cape town</v>
      </c>
      <c r="S18" s="14" t="str">
        <f t="shared" si="32"/>
        <v>near me schmidhauser plumbing</v>
      </c>
      <c r="T18" s="14" t="str">
        <f t="shared" si="32"/>
        <v>near me bosman plumbers</v>
      </c>
      <c r="U18" s="14" t="str">
        <f t="shared" si="32"/>
        <v>plumber near me</v>
      </c>
      <c r="V18" s="14" t="str">
        <f t="shared" si="32"/>
        <v>near me electrician cape town</v>
      </c>
      <c r="W18" s="14" t="str">
        <f t="shared" si="32"/>
        <v>near me aircon repair cape town</v>
      </c>
      <c r="X18" s="18" t="str">
        <f>IFERROR(__xludf.DUMMYFUNCTION("""COMPUTED_VALUE"""),"affordable emergency plumber cape town")</f>
        <v>affordable emergency plumber cape town</v>
      </c>
      <c r="Y18" s="4"/>
      <c r="Z18" s="4"/>
    </row>
    <row r="19">
      <c r="A19" s="13" t="s">
        <v>62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plumbers cape town local</v>
      </c>
      <c r="C19" s="14" t="str">
        <f t="shared" si="33"/>
        <v>plumbing company cape town local</v>
      </c>
      <c r="D19" s="14" t="str">
        <f t="shared" si="33"/>
        <v>emergency plumber cape town local</v>
      </c>
      <c r="E19" s="14" t="str">
        <f t="shared" si="33"/>
        <v>drain surgeon cape town local</v>
      </c>
      <c r="F19" s="14" t="str">
        <f t="shared" si="33"/>
        <v>absolute plumbing cape town local</v>
      </c>
      <c r="G19" s="14" t="str">
        <f t="shared" si="33"/>
        <v>schmidhauser plumbing local</v>
      </c>
      <c r="H19" s="14" t="str">
        <f t="shared" si="33"/>
        <v>bosman plumbers local</v>
      </c>
      <c r="I19" s="14" t="str">
        <f t="shared" si="33"/>
        <v>plumber near me local</v>
      </c>
      <c r="J19" s="14" t="str">
        <f t="shared" si="33"/>
        <v>electrician cape town local</v>
      </c>
      <c r="K19" s="14" t="str">
        <f t="shared" si="33"/>
        <v>aircon repair cape town local</v>
      </c>
      <c r="L19" s="16" t="str">
        <f>IFERROR(__xludf.DUMMYFUNCTION("""COMPUTED_VALUE"""),"absolute plumbing cape town reputable")</f>
        <v>absolute plumbing cape town reputable</v>
      </c>
      <c r="M19" s="17"/>
      <c r="N19" s="14" t="str">
        <f t="shared" ref="N19:W19" si="34">IF($A19="","",IF(OR(ISNUMBER(SEARCH(LOWER($A19),LOWER(N$1))),AND(RIGHT(LOWER($A19),1)="s",ISNUMBER(SEARCH(LEFT(LOWER($A19),LEN($A19)-1),LOWER(N$1))))),N$1,$A19&amp;" "&amp;N$1))</f>
        <v>local plumbers cape town</v>
      </c>
      <c r="O19" s="14" t="str">
        <f t="shared" si="34"/>
        <v>local plumbing company cape town</v>
      </c>
      <c r="P19" s="14" t="str">
        <f t="shared" si="34"/>
        <v>local emergency plumber cape town</v>
      </c>
      <c r="Q19" s="14" t="str">
        <f t="shared" si="34"/>
        <v>local drain surgeon cape town</v>
      </c>
      <c r="R19" s="14" t="str">
        <f t="shared" si="34"/>
        <v>local absolute plumbing cape town</v>
      </c>
      <c r="S19" s="14" t="str">
        <f t="shared" si="34"/>
        <v>local schmidhauser plumbing</v>
      </c>
      <c r="T19" s="14" t="str">
        <f t="shared" si="34"/>
        <v>local bosman plumbers</v>
      </c>
      <c r="U19" s="14" t="str">
        <f t="shared" si="34"/>
        <v>local plumber near me</v>
      </c>
      <c r="V19" s="14" t="str">
        <f t="shared" si="34"/>
        <v>local electrician cape town</v>
      </c>
      <c r="W19" s="14" t="str">
        <f t="shared" si="34"/>
        <v>local aircon repair cape town</v>
      </c>
      <c r="X19" s="18" t="str">
        <f>IFERROR(__xludf.DUMMYFUNCTION("""COMPUTED_VALUE"""),"affordable plumber near me")</f>
        <v>affordable plumber near me</v>
      </c>
      <c r="Y19" s="4"/>
      <c r="Z19" s="4"/>
    </row>
    <row r="20">
      <c r="A20" s="13" t="s">
        <v>182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plumbers cape town certified</v>
      </c>
      <c r="C20" s="14" t="str">
        <f t="shared" si="35"/>
        <v>plumbing company cape town certified</v>
      </c>
      <c r="D20" s="14" t="str">
        <f t="shared" si="35"/>
        <v>emergency plumber cape town certified</v>
      </c>
      <c r="E20" s="14" t="str">
        <f t="shared" si="35"/>
        <v>drain surgeon cape town certified</v>
      </c>
      <c r="F20" s="14" t="str">
        <f t="shared" si="35"/>
        <v>absolute plumbing cape town certified</v>
      </c>
      <c r="G20" s="14" t="str">
        <f t="shared" si="35"/>
        <v>schmidhauser plumbing certified</v>
      </c>
      <c r="H20" s="14" t="str">
        <f t="shared" si="35"/>
        <v>bosman plumbers certified</v>
      </c>
      <c r="I20" s="14" t="str">
        <f t="shared" si="35"/>
        <v>plumber near me certified</v>
      </c>
      <c r="J20" s="14" t="str">
        <f t="shared" si="35"/>
        <v>electrician cape town certified</v>
      </c>
      <c r="K20" s="14" t="str">
        <f t="shared" si="35"/>
        <v>aircon repair cape town certified</v>
      </c>
      <c r="L20" s="16" t="str">
        <f>IFERROR(__xludf.DUMMYFUNCTION("""COMPUTED_VALUE"""),"absolute plumbing cape town review")</f>
        <v>absolute plumbing cape town review</v>
      </c>
      <c r="M20" s="17"/>
      <c r="N20" s="14" t="str">
        <f t="shared" ref="N20:W20" si="36">IF($A20="","",IF(OR(ISNUMBER(SEARCH(LOWER($A20),LOWER(N$1))),AND(RIGHT(LOWER($A20),1)="s",ISNUMBER(SEARCH(LEFT(LOWER($A20),LEN($A20)-1),LOWER(N$1))))),N$1,$A20&amp;" "&amp;N$1))</f>
        <v>certified plumbers cape town</v>
      </c>
      <c r="O20" s="14" t="str">
        <f t="shared" si="36"/>
        <v>certified plumbing company cape town</v>
      </c>
      <c r="P20" s="14" t="str">
        <f t="shared" si="36"/>
        <v>certified emergency plumber cape town</v>
      </c>
      <c r="Q20" s="14" t="str">
        <f t="shared" si="36"/>
        <v>certified drain surgeon cape town</v>
      </c>
      <c r="R20" s="14" t="str">
        <f t="shared" si="36"/>
        <v>certified absolute plumbing cape town</v>
      </c>
      <c r="S20" s="14" t="str">
        <f t="shared" si="36"/>
        <v>certified schmidhauser plumbing</v>
      </c>
      <c r="T20" s="14" t="str">
        <f t="shared" si="36"/>
        <v>certified bosman plumbers</v>
      </c>
      <c r="U20" s="14" t="str">
        <f t="shared" si="36"/>
        <v>certified plumber near me</v>
      </c>
      <c r="V20" s="14" t="str">
        <f t="shared" si="36"/>
        <v>certified electrician cape town</v>
      </c>
      <c r="W20" s="14" t="str">
        <f t="shared" si="36"/>
        <v>certified aircon repair cape town</v>
      </c>
      <c r="X20" s="18" t="str">
        <f>IFERROR(__xludf.DUMMYFUNCTION("""COMPUTED_VALUE"""),"affordable plumbers cape town")</f>
        <v>affordable plumbers cape town</v>
      </c>
      <c r="Y20" s="4"/>
      <c r="Z20" s="4"/>
    </row>
    <row r="21" ht="15.75" customHeight="1">
      <c r="A21" s="13" t="s">
        <v>70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plumbers cape town qualified</v>
      </c>
      <c r="C21" s="14" t="str">
        <f t="shared" si="37"/>
        <v>plumbing company cape town qualified</v>
      </c>
      <c r="D21" s="14" t="str">
        <f t="shared" si="37"/>
        <v>emergency plumber cape town qualified</v>
      </c>
      <c r="E21" s="14" t="str">
        <f t="shared" si="37"/>
        <v>drain surgeon cape town qualified</v>
      </c>
      <c r="F21" s="14" t="str">
        <f t="shared" si="37"/>
        <v>absolute plumbing cape town qualified</v>
      </c>
      <c r="G21" s="14" t="str">
        <f t="shared" si="37"/>
        <v>schmidhauser plumbing qualified</v>
      </c>
      <c r="H21" s="14" t="str">
        <f t="shared" si="37"/>
        <v>bosman plumbers qualified</v>
      </c>
      <c r="I21" s="14" t="str">
        <f t="shared" si="37"/>
        <v>plumber near me qualified</v>
      </c>
      <c r="J21" s="14" t="str">
        <f t="shared" si="37"/>
        <v>electrician cape town qualified</v>
      </c>
      <c r="K21" s="14" t="str">
        <f t="shared" si="37"/>
        <v>aircon repair cape town qualified</v>
      </c>
      <c r="L21" s="16" t="str">
        <f>IFERROR(__xludf.DUMMYFUNCTION("""COMPUTED_VALUE"""),"absolute plumbing cape town reviews")</f>
        <v>absolute plumbing cape town reviews</v>
      </c>
      <c r="M21" s="17"/>
      <c r="N21" s="14" t="str">
        <f t="shared" ref="N21:W21" si="38">IF($A21="","",IF(OR(ISNUMBER(SEARCH(LOWER($A21),LOWER(N$1))),AND(RIGHT(LOWER($A21),1)="s",ISNUMBER(SEARCH(LEFT(LOWER($A21),LEN($A21)-1),LOWER(N$1))))),N$1,$A21&amp;" "&amp;N$1))</f>
        <v>qualified plumbers cape town</v>
      </c>
      <c r="O21" s="14" t="str">
        <f t="shared" si="38"/>
        <v>qualified plumbing company cape town</v>
      </c>
      <c r="P21" s="14" t="str">
        <f t="shared" si="38"/>
        <v>qualified emergency plumber cape town</v>
      </c>
      <c r="Q21" s="14" t="str">
        <f t="shared" si="38"/>
        <v>qualified drain surgeon cape town</v>
      </c>
      <c r="R21" s="14" t="str">
        <f t="shared" si="38"/>
        <v>qualified absolute plumbing cape town</v>
      </c>
      <c r="S21" s="14" t="str">
        <f t="shared" si="38"/>
        <v>qualified schmidhauser plumbing</v>
      </c>
      <c r="T21" s="14" t="str">
        <f t="shared" si="38"/>
        <v>qualified bosman plumbers</v>
      </c>
      <c r="U21" s="14" t="str">
        <f t="shared" si="38"/>
        <v>qualified plumber near me</v>
      </c>
      <c r="V21" s="14" t="str">
        <f t="shared" si="38"/>
        <v>qualified electrician cape town</v>
      </c>
      <c r="W21" s="14" t="str">
        <f t="shared" si="38"/>
        <v>qualified aircon repair cape town</v>
      </c>
      <c r="X21" s="18" t="str">
        <f>IFERROR(__xludf.DUMMYFUNCTION("""COMPUTED_VALUE"""),"affordable plumbing company cape town")</f>
        <v>affordable plumbing company cape town</v>
      </c>
      <c r="Y21" s="4"/>
      <c r="Z21" s="4"/>
    </row>
    <row r="22" ht="15.75" customHeight="1">
      <c r="A22" s="13" t="s">
        <v>73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plumbers cape town licensed</v>
      </c>
      <c r="C22" s="14" t="str">
        <f t="shared" si="39"/>
        <v>plumbing company cape town licensed</v>
      </c>
      <c r="D22" s="14" t="str">
        <f t="shared" si="39"/>
        <v>emergency plumber cape town licensed</v>
      </c>
      <c r="E22" s="14" t="str">
        <f t="shared" si="39"/>
        <v>drain surgeon cape town licensed</v>
      </c>
      <c r="F22" s="14" t="str">
        <f t="shared" si="39"/>
        <v>absolute plumbing cape town licensed</v>
      </c>
      <c r="G22" s="14" t="str">
        <f t="shared" si="39"/>
        <v>schmidhauser plumbing licensed</v>
      </c>
      <c r="H22" s="14" t="str">
        <f t="shared" si="39"/>
        <v>bosman plumbers licensed</v>
      </c>
      <c r="I22" s="14" t="str">
        <f t="shared" si="39"/>
        <v>plumber near me licensed</v>
      </c>
      <c r="J22" s="14" t="str">
        <f t="shared" si="39"/>
        <v>electrician cape town licensed</v>
      </c>
      <c r="K22" s="14" t="str">
        <f t="shared" si="39"/>
        <v>aircon repair cape town licensed</v>
      </c>
      <c r="L22" s="16" t="str">
        <f>IFERROR(__xludf.DUMMYFUNCTION("""COMPUTED_VALUE"""),"absolute plumbing cape town same day")</f>
        <v>absolute plumbing cape town same day</v>
      </c>
      <c r="M22" s="17"/>
      <c r="N22" s="14" t="str">
        <f t="shared" ref="N22:W22" si="40">IF($A22="","",IF(OR(ISNUMBER(SEARCH(LOWER($A22),LOWER(N$1))),AND(RIGHT(LOWER($A22),1)="s",ISNUMBER(SEARCH(LEFT(LOWER($A22),LEN($A22)-1),LOWER(N$1))))),N$1,$A22&amp;" "&amp;N$1))</f>
        <v>licensed plumbers cape town</v>
      </c>
      <c r="O22" s="14" t="str">
        <f t="shared" si="40"/>
        <v>licensed plumbing company cape town</v>
      </c>
      <c r="P22" s="14" t="str">
        <f t="shared" si="40"/>
        <v>licensed emergency plumber cape town</v>
      </c>
      <c r="Q22" s="14" t="str">
        <f t="shared" si="40"/>
        <v>licensed drain surgeon cape town</v>
      </c>
      <c r="R22" s="14" t="str">
        <f t="shared" si="40"/>
        <v>licensed absolute plumbing cape town</v>
      </c>
      <c r="S22" s="14" t="str">
        <f t="shared" si="40"/>
        <v>licensed schmidhauser plumbing</v>
      </c>
      <c r="T22" s="14" t="str">
        <f t="shared" si="40"/>
        <v>licensed bosman plumbers</v>
      </c>
      <c r="U22" s="14" t="str">
        <f t="shared" si="40"/>
        <v>licensed plumber near me</v>
      </c>
      <c r="V22" s="14" t="str">
        <f t="shared" si="40"/>
        <v>licensed electrician cape town</v>
      </c>
      <c r="W22" s="14" t="str">
        <f t="shared" si="40"/>
        <v>licensed aircon repair cape town</v>
      </c>
      <c r="X22" s="18" t="str">
        <f>IFERROR(__xludf.DUMMYFUNCTION("""COMPUTED_VALUE"""),"affordable schmidhauser plumbing")</f>
        <v>affordable schmidhauser plumbing</v>
      </c>
      <c r="Y22" s="4"/>
      <c r="Z22" s="4"/>
    </row>
    <row r="23" ht="15.75" customHeight="1">
      <c r="A23" s="13" t="s">
        <v>183</v>
      </c>
      <c r="B23" s="14" t="str">
        <f t="shared" ref="B23:K23" si="41">IF($A23="","",IF(OR(ISNUMBER(SEARCH(LOWER($A23),LOWER(B$1))),AND(RIGHT(LOWER($A23),1)="s",ISNUMBER(SEARCH(LEFT(LOWER($A23),LEN($A23)-1),LOWER(B$1))))),B$1,B$1&amp;" "&amp;$A23))</f>
        <v>plumbers cape town insured</v>
      </c>
      <c r="C23" s="14" t="str">
        <f t="shared" si="41"/>
        <v>plumbing company cape town insured</v>
      </c>
      <c r="D23" s="14" t="str">
        <f t="shared" si="41"/>
        <v>emergency plumber cape town insured</v>
      </c>
      <c r="E23" s="14" t="str">
        <f t="shared" si="41"/>
        <v>drain surgeon cape town insured</v>
      </c>
      <c r="F23" s="14" t="str">
        <f t="shared" si="41"/>
        <v>absolute plumbing cape town insured</v>
      </c>
      <c r="G23" s="14" t="str">
        <f t="shared" si="41"/>
        <v>schmidhauser plumbing insured</v>
      </c>
      <c r="H23" s="14" t="str">
        <f t="shared" si="41"/>
        <v>bosman plumbers insured</v>
      </c>
      <c r="I23" s="14" t="str">
        <f t="shared" si="41"/>
        <v>plumber near me insured</v>
      </c>
      <c r="J23" s="14" t="str">
        <f t="shared" si="41"/>
        <v>electrician cape town insured</v>
      </c>
      <c r="K23" s="14" t="str">
        <f t="shared" si="41"/>
        <v>aircon repair cape town insured</v>
      </c>
      <c r="L23" s="16" t="str">
        <f>IFERROR(__xludf.DUMMYFUNCTION("""COMPUTED_VALUE"""),"absolute plumbing cape town top rated")</f>
        <v>absolute plumbing cape town top rated</v>
      </c>
      <c r="M23" s="17"/>
      <c r="N23" s="14" t="str">
        <f t="shared" ref="N23:W23" si="42">IF($A23="","",IF(OR(ISNUMBER(SEARCH(LOWER($A23),LOWER(N$1))),AND(RIGHT(LOWER($A23),1)="s",ISNUMBER(SEARCH(LEFT(LOWER($A23),LEN($A23)-1),LOWER(N$1))))),N$1,$A23&amp;" "&amp;N$1))</f>
        <v>insured plumbers cape town</v>
      </c>
      <c r="O23" s="14" t="str">
        <f t="shared" si="42"/>
        <v>insured plumbing company cape town</v>
      </c>
      <c r="P23" s="14" t="str">
        <f t="shared" si="42"/>
        <v>insured emergency plumber cape town</v>
      </c>
      <c r="Q23" s="14" t="str">
        <f t="shared" si="42"/>
        <v>insured drain surgeon cape town</v>
      </c>
      <c r="R23" s="14" t="str">
        <f t="shared" si="42"/>
        <v>insured absolute plumbing cape town</v>
      </c>
      <c r="S23" s="14" t="str">
        <f t="shared" si="42"/>
        <v>insured schmidhauser plumbing</v>
      </c>
      <c r="T23" s="14" t="str">
        <f t="shared" si="42"/>
        <v>insured bosman plumbers</v>
      </c>
      <c r="U23" s="14" t="str">
        <f t="shared" si="42"/>
        <v>insured plumber near me</v>
      </c>
      <c r="V23" s="14" t="str">
        <f t="shared" si="42"/>
        <v>insured electrician cape town</v>
      </c>
      <c r="W23" s="14" t="str">
        <f t="shared" si="42"/>
        <v>insured aircon repair cape town</v>
      </c>
      <c r="X23" s="18" t="str">
        <f>IFERROR(__xludf.DUMMYFUNCTION("""COMPUTED_VALUE"""),"alternatives absolute plumbing cape town")</f>
        <v>alternatives absolute plumbing cape town</v>
      </c>
      <c r="Y23" s="4"/>
      <c r="Z23" s="4"/>
    </row>
    <row r="24" ht="15.75" customHeight="1">
      <c r="A24" s="13" t="s">
        <v>56</v>
      </c>
      <c r="B24" s="14" t="str">
        <f t="shared" ref="B24:K24" si="43">IF($A24="","",IF(OR(ISNUMBER(SEARCH(LOWER($A24),LOWER(B$1))),AND(RIGHT(LOWER($A24),1)="s",ISNUMBER(SEARCH(LEFT(LOWER($A24),LEN($A24)-1),LOWER(B$1))))),B$1,B$1&amp;" "&amp;$A24))</f>
        <v>plumbers cape town 24 hour</v>
      </c>
      <c r="C24" s="14" t="str">
        <f t="shared" si="43"/>
        <v>plumbing company cape town 24 hour</v>
      </c>
      <c r="D24" s="14" t="str">
        <f t="shared" si="43"/>
        <v>emergency plumber cape town 24 hour</v>
      </c>
      <c r="E24" s="14" t="str">
        <f t="shared" si="43"/>
        <v>drain surgeon cape town 24 hour</v>
      </c>
      <c r="F24" s="14" t="str">
        <f t="shared" si="43"/>
        <v>absolute plumbing cape town 24 hour</v>
      </c>
      <c r="G24" s="14" t="str">
        <f t="shared" si="43"/>
        <v>schmidhauser plumbing 24 hour</v>
      </c>
      <c r="H24" s="14" t="str">
        <f t="shared" si="43"/>
        <v>bosman plumbers 24 hour</v>
      </c>
      <c r="I24" s="14" t="str">
        <f t="shared" si="43"/>
        <v>plumber near me 24 hour</v>
      </c>
      <c r="J24" s="14" t="str">
        <f t="shared" si="43"/>
        <v>electrician cape town 24 hour</v>
      </c>
      <c r="K24" s="14" t="str">
        <f t="shared" si="43"/>
        <v>aircon repair cape town 24 hour</v>
      </c>
      <c r="L24" s="16" t="str">
        <f>IFERROR(__xludf.DUMMYFUNCTION("""COMPUTED_VALUE"""),"absolute plumbing cape town trusted")</f>
        <v>absolute plumbing cape town trusted</v>
      </c>
      <c r="M24" s="17"/>
      <c r="N24" s="14" t="str">
        <f t="shared" ref="N24:W24" si="44">IF($A24="","",IF(OR(ISNUMBER(SEARCH(LOWER($A24),LOWER(N$1))),AND(RIGHT(LOWER($A24),1)="s",ISNUMBER(SEARCH(LEFT(LOWER($A24),LEN($A24)-1),LOWER(N$1))))),N$1,$A24&amp;" "&amp;N$1))</f>
        <v>24 hour plumbers cape town</v>
      </c>
      <c r="O24" s="14" t="str">
        <f t="shared" si="44"/>
        <v>24 hour plumbing company cape town</v>
      </c>
      <c r="P24" s="14" t="str">
        <f t="shared" si="44"/>
        <v>24 hour emergency plumber cape town</v>
      </c>
      <c r="Q24" s="14" t="str">
        <f t="shared" si="44"/>
        <v>24 hour drain surgeon cape town</v>
      </c>
      <c r="R24" s="14" t="str">
        <f t="shared" si="44"/>
        <v>24 hour absolute plumbing cape town</v>
      </c>
      <c r="S24" s="14" t="str">
        <f t="shared" si="44"/>
        <v>24 hour schmidhauser plumbing</v>
      </c>
      <c r="T24" s="14" t="str">
        <f t="shared" si="44"/>
        <v>24 hour bosman plumbers</v>
      </c>
      <c r="U24" s="14" t="str">
        <f t="shared" si="44"/>
        <v>24 hour plumber near me</v>
      </c>
      <c r="V24" s="14" t="str">
        <f t="shared" si="44"/>
        <v>24 hour electrician cape town</v>
      </c>
      <c r="W24" s="14" t="str">
        <f t="shared" si="44"/>
        <v>24 hour aircon repair cape town</v>
      </c>
      <c r="X24" s="18" t="str">
        <f>IFERROR(__xludf.DUMMYFUNCTION("""COMPUTED_VALUE"""),"alternatives aircon repair cape town")</f>
        <v>alternatives aircon repair cape town</v>
      </c>
      <c r="Y24" s="4"/>
      <c r="Z24" s="4"/>
    </row>
    <row r="25" ht="15.75" customHeight="1">
      <c r="A25" s="13" t="s">
        <v>58</v>
      </c>
      <c r="B25" s="14" t="str">
        <f t="shared" ref="B25:K25" si="45">IF($A25="","",IF(OR(ISNUMBER(SEARCH(LOWER($A25),LOWER(B$1))),AND(RIGHT(LOWER($A25),1)="s",ISNUMBER(SEARCH(LEFT(LOWER($A25),LEN($A25)-1),LOWER(B$1))))),B$1,B$1&amp;" "&amp;$A25))</f>
        <v>plumbers cape town same day</v>
      </c>
      <c r="C25" s="14" t="str">
        <f t="shared" si="45"/>
        <v>plumbing company cape town same day</v>
      </c>
      <c r="D25" s="14" t="str">
        <f t="shared" si="45"/>
        <v>emergency plumber cape town same day</v>
      </c>
      <c r="E25" s="14" t="str">
        <f t="shared" si="45"/>
        <v>drain surgeon cape town same day</v>
      </c>
      <c r="F25" s="14" t="str">
        <f t="shared" si="45"/>
        <v>absolute plumbing cape town same day</v>
      </c>
      <c r="G25" s="14" t="str">
        <f t="shared" si="45"/>
        <v>schmidhauser plumbing same day</v>
      </c>
      <c r="H25" s="14" t="str">
        <f t="shared" si="45"/>
        <v>bosman plumbers same day</v>
      </c>
      <c r="I25" s="14" t="str">
        <f t="shared" si="45"/>
        <v>plumber near me same day</v>
      </c>
      <c r="J25" s="14" t="str">
        <f t="shared" si="45"/>
        <v>electrician cape town same day</v>
      </c>
      <c r="K25" s="14" t="str">
        <f t="shared" si="45"/>
        <v>aircon repair cape town same day</v>
      </c>
      <c r="L25" s="16" t="str">
        <f>IFERROR(__xludf.DUMMYFUNCTION("""COMPUTED_VALUE"""),"absolute plumbing cape town vs")</f>
        <v>absolute plumbing cape town vs</v>
      </c>
      <c r="M25" s="17"/>
      <c r="N25" s="14" t="str">
        <f t="shared" ref="N25:W25" si="46">IF($A25="","",IF(OR(ISNUMBER(SEARCH(LOWER($A25),LOWER(N$1))),AND(RIGHT(LOWER($A25),1)="s",ISNUMBER(SEARCH(LEFT(LOWER($A25),LEN($A25)-1),LOWER(N$1))))),N$1,$A25&amp;" "&amp;N$1))</f>
        <v>same day plumbers cape town</v>
      </c>
      <c r="O25" s="14" t="str">
        <f t="shared" si="46"/>
        <v>same day plumbing company cape town</v>
      </c>
      <c r="P25" s="14" t="str">
        <f t="shared" si="46"/>
        <v>same day emergency plumber cape town</v>
      </c>
      <c r="Q25" s="14" t="str">
        <f t="shared" si="46"/>
        <v>same day drain surgeon cape town</v>
      </c>
      <c r="R25" s="14" t="str">
        <f t="shared" si="46"/>
        <v>same day absolute plumbing cape town</v>
      </c>
      <c r="S25" s="14" t="str">
        <f t="shared" si="46"/>
        <v>same day schmidhauser plumbing</v>
      </c>
      <c r="T25" s="14" t="str">
        <f t="shared" si="46"/>
        <v>same day bosman plumbers</v>
      </c>
      <c r="U25" s="14" t="str">
        <f t="shared" si="46"/>
        <v>same day plumber near me</v>
      </c>
      <c r="V25" s="14" t="str">
        <f t="shared" si="46"/>
        <v>same day electrician cape town</v>
      </c>
      <c r="W25" s="14" t="str">
        <f t="shared" si="46"/>
        <v>same day aircon repair cape town</v>
      </c>
      <c r="X25" s="18" t="str">
        <f>IFERROR(__xludf.DUMMYFUNCTION("""COMPUTED_VALUE"""),"alternatives bosman plumbers")</f>
        <v>alternatives bosman plumbers</v>
      </c>
      <c r="Y25" s="4"/>
      <c r="Z25" s="4"/>
    </row>
    <row r="26" ht="15.75" customHeight="1">
      <c r="A26" s="13"/>
      <c r="B26" s="14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14" t="str">
        <f t="shared" si="47"/>
        <v/>
      </c>
      <c r="D26" s="14" t="str">
        <f t="shared" si="47"/>
        <v/>
      </c>
      <c r="E26" s="14" t="str">
        <f t="shared" si="47"/>
        <v/>
      </c>
      <c r="F26" s="14" t="str">
        <f t="shared" si="47"/>
        <v/>
      </c>
      <c r="G26" s="14" t="str">
        <f t="shared" si="47"/>
        <v/>
      </c>
      <c r="H26" s="14" t="str">
        <f t="shared" si="47"/>
        <v/>
      </c>
      <c r="I26" s="14" t="str">
        <f t="shared" si="47"/>
        <v/>
      </c>
      <c r="J26" s="14" t="str">
        <f t="shared" si="47"/>
        <v/>
      </c>
      <c r="K26" s="14" t="str">
        <f t="shared" si="47"/>
        <v/>
      </c>
      <c r="L26" s="16" t="str">
        <f>IFERROR(__xludf.DUMMYFUNCTION("""COMPUTED_VALUE"""),"aircon repair cape town 24 hour")</f>
        <v>aircon repair cape town 24 hour</v>
      </c>
      <c r="M26" s="17"/>
      <c r="N26" s="14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14" t="str">
        <f t="shared" si="48"/>
        <v/>
      </c>
      <c r="P26" s="14" t="str">
        <f t="shared" si="48"/>
        <v/>
      </c>
      <c r="Q26" s="14" t="str">
        <f t="shared" si="48"/>
        <v/>
      </c>
      <c r="R26" s="14" t="str">
        <f t="shared" si="48"/>
        <v/>
      </c>
      <c r="S26" s="14" t="str">
        <f t="shared" si="48"/>
        <v/>
      </c>
      <c r="T26" s="14" t="str">
        <f t="shared" si="48"/>
        <v/>
      </c>
      <c r="U26" s="14" t="str">
        <f t="shared" si="48"/>
        <v/>
      </c>
      <c r="V26" s="14" t="str">
        <f t="shared" si="48"/>
        <v/>
      </c>
      <c r="W26" s="14" t="str">
        <f t="shared" si="48"/>
        <v/>
      </c>
      <c r="X26" s="18" t="str">
        <f>IFERROR(__xludf.DUMMYFUNCTION("""COMPUTED_VALUE"""),"alternatives drain surgeon cape town")</f>
        <v>alternatives drain surgeon cape town</v>
      </c>
      <c r="Y26" s="4"/>
      <c r="Z26" s="4"/>
    </row>
    <row r="27" ht="15.75" customHeight="1">
      <c r="A27" s="13"/>
      <c r="B27" s="14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14" t="str">
        <f t="shared" si="49"/>
        <v/>
      </c>
      <c r="D27" s="14" t="str">
        <f t="shared" si="49"/>
        <v/>
      </c>
      <c r="E27" s="14" t="str">
        <f t="shared" si="49"/>
        <v/>
      </c>
      <c r="F27" s="14" t="str">
        <f t="shared" si="49"/>
        <v/>
      </c>
      <c r="G27" s="14" t="str">
        <f t="shared" si="49"/>
        <v/>
      </c>
      <c r="H27" s="14" t="str">
        <f t="shared" si="49"/>
        <v/>
      </c>
      <c r="I27" s="14" t="str">
        <f t="shared" si="49"/>
        <v/>
      </c>
      <c r="J27" s="14" t="str">
        <f t="shared" si="49"/>
        <v/>
      </c>
      <c r="K27" s="14" t="str">
        <f t="shared" si="49"/>
        <v/>
      </c>
      <c r="L27" s="16" t="str">
        <f>IFERROR(__xludf.DUMMYFUNCTION("""COMPUTED_VALUE"""),"aircon repair cape town affordable")</f>
        <v>aircon repair cape town affordable</v>
      </c>
      <c r="M27" s="17"/>
      <c r="N27" s="14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14" t="str">
        <f t="shared" si="50"/>
        <v/>
      </c>
      <c r="P27" s="14" t="str">
        <f t="shared" si="50"/>
        <v/>
      </c>
      <c r="Q27" s="14" t="str">
        <f t="shared" si="50"/>
        <v/>
      </c>
      <c r="R27" s="14" t="str">
        <f t="shared" si="50"/>
        <v/>
      </c>
      <c r="S27" s="14" t="str">
        <f t="shared" si="50"/>
        <v/>
      </c>
      <c r="T27" s="14" t="str">
        <f t="shared" si="50"/>
        <v/>
      </c>
      <c r="U27" s="14" t="str">
        <f t="shared" si="50"/>
        <v/>
      </c>
      <c r="V27" s="14" t="str">
        <f t="shared" si="50"/>
        <v/>
      </c>
      <c r="W27" s="14" t="str">
        <f t="shared" si="50"/>
        <v/>
      </c>
      <c r="X27" s="18" t="str">
        <f>IFERROR(__xludf.DUMMYFUNCTION("""COMPUTED_VALUE"""),"alternatives electrician cape town")</f>
        <v>alternatives electrician cape town</v>
      </c>
      <c r="Y27" s="4"/>
      <c r="Z27" s="4"/>
    </row>
    <row r="28" ht="15.75" customHeight="1">
      <c r="A28" s="13"/>
      <c r="B28" s="14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14" t="str">
        <f t="shared" si="51"/>
        <v/>
      </c>
      <c r="D28" s="14" t="str">
        <f t="shared" si="51"/>
        <v/>
      </c>
      <c r="E28" s="14" t="str">
        <f t="shared" si="51"/>
        <v/>
      </c>
      <c r="F28" s="14" t="str">
        <f t="shared" si="51"/>
        <v/>
      </c>
      <c r="G28" s="14" t="str">
        <f t="shared" si="51"/>
        <v/>
      </c>
      <c r="H28" s="14" t="str">
        <f t="shared" si="51"/>
        <v/>
      </c>
      <c r="I28" s="14" t="str">
        <f t="shared" si="51"/>
        <v/>
      </c>
      <c r="J28" s="14" t="str">
        <f t="shared" si="51"/>
        <v/>
      </c>
      <c r="K28" s="14" t="str">
        <f t="shared" si="51"/>
        <v/>
      </c>
      <c r="L28" s="16" t="str">
        <f>IFERROR(__xludf.DUMMYFUNCTION("""COMPUTED_VALUE"""),"aircon repair cape town alternatives")</f>
        <v>aircon repair cape town alternatives</v>
      </c>
      <c r="M28" s="17"/>
      <c r="N28" s="14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14" t="str">
        <f t="shared" si="52"/>
        <v/>
      </c>
      <c r="P28" s="14" t="str">
        <f t="shared" si="52"/>
        <v/>
      </c>
      <c r="Q28" s="14" t="str">
        <f t="shared" si="52"/>
        <v/>
      </c>
      <c r="R28" s="14" t="str">
        <f t="shared" si="52"/>
        <v/>
      </c>
      <c r="S28" s="14" t="str">
        <f t="shared" si="52"/>
        <v/>
      </c>
      <c r="T28" s="14" t="str">
        <f t="shared" si="52"/>
        <v/>
      </c>
      <c r="U28" s="14" t="str">
        <f t="shared" si="52"/>
        <v/>
      </c>
      <c r="V28" s="14" t="str">
        <f t="shared" si="52"/>
        <v/>
      </c>
      <c r="W28" s="14" t="str">
        <f t="shared" si="52"/>
        <v/>
      </c>
      <c r="X28" s="18" t="str">
        <f>IFERROR(__xludf.DUMMYFUNCTION("""COMPUTED_VALUE"""),"alternatives emergency plumber cape town")</f>
        <v>alternatives emergency plumber cape town</v>
      </c>
      <c r="Y28" s="4"/>
      <c r="Z28" s="4"/>
    </row>
    <row r="29" ht="15.75" customHeight="1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6" t="str">
        <f>IFERROR(__xludf.DUMMYFUNCTION("""COMPUTED_VALUE"""),"aircon repair cape town best")</f>
        <v>aircon repair cape town best</v>
      </c>
      <c r="M29" s="17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8" t="str">
        <f>IFERROR(__xludf.DUMMYFUNCTION("""COMPUTED_VALUE"""),"alternatives plumber near me")</f>
        <v>alternatives plumber near me</v>
      </c>
      <c r="Y29" s="4"/>
      <c r="Z29" s="4"/>
    </row>
    <row r="30" ht="15.75" customHeight="1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6" t="str">
        <f>IFERROR(__xludf.DUMMYFUNCTION("""COMPUTED_VALUE"""),"aircon repair cape town certified")</f>
        <v>aircon repair cape town certified</v>
      </c>
      <c r="M30" s="17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8" t="str">
        <f>IFERROR(__xludf.DUMMYFUNCTION("""COMPUTED_VALUE"""),"alternatives plumbers cape town")</f>
        <v>alternatives plumbers cape town</v>
      </c>
      <c r="Y30" s="4"/>
      <c r="Z30" s="4"/>
    </row>
    <row r="31" ht="15.75" customHeight="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6" t="str">
        <f>IFERROR(__xludf.DUMMYFUNCTION("""COMPUTED_VALUE"""),"aircon repair cape town compare")</f>
        <v>aircon repair cape town compare</v>
      </c>
      <c r="M31" s="17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8" t="str">
        <f>IFERROR(__xludf.DUMMYFUNCTION("""COMPUTED_VALUE"""),"alternatives plumbing company cape town")</f>
        <v>alternatives plumbing company cape town</v>
      </c>
      <c r="Y31" s="4"/>
      <c r="Z31" s="4"/>
    </row>
    <row r="32" ht="15.75" customHeight="1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6" t="str">
        <f>IFERROR(__xludf.DUMMYFUNCTION("""COMPUTED_VALUE"""),"aircon repair cape town complaints")</f>
        <v>aircon repair cape town complaints</v>
      </c>
      <c r="M32" s="17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8" t="str">
        <f>IFERROR(__xludf.DUMMYFUNCTION("""COMPUTED_VALUE"""),"alternatives schmidhauser plumbing")</f>
        <v>alternatives schmidhauser plumbing</v>
      </c>
      <c r="Y32" s="4"/>
      <c r="Z32" s="4"/>
    </row>
    <row r="33" ht="15.75" customHeight="1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6" t="str">
        <f>IFERROR(__xludf.DUMMYFUNCTION("""COMPUTED_VALUE"""),"aircon repair cape town cost")</f>
        <v>aircon repair cape town cost</v>
      </c>
      <c r="M33" s="17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8" t="str">
        <f>IFERROR(__xludf.DUMMYFUNCTION("""COMPUTED_VALUE"""),"best absolute plumbing cape town")</f>
        <v>best absolute plumbing cape town</v>
      </c>
      <c r="Y33" s="4"/>
      <c r="Z33" s="4"/>
    </row>
    <row r="34" ht="15.75" customHeight="1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6" t="str">
        <f>IFERROR(__xludf.DUMMYFUNCTION("""COMPUTED_VALUE"""),"aircon repair cape town insured")</f>
        <v>aircon repair cape town insured</v>
      </c>
      <c r="M34" s="17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8" t="str">
        <f>IFERROR(__xludf.DUMMYFUNCTION("""COMPUTED_VALUE"""),"best aircon repair cape town")</f>
        <v>best aircon repair cape town</v>
      </c>
      <c r="Y34" s="4"/>
      <c r="Z34" s="4"/>
    </row>
    <row r="35" ht="15.75" customHeight="1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6" t="str">
        <f>IFERROR(__xludf.DUMMYFUNCTION("""COMPUTED_VALUE"""),"aircon repair cape town licensed")</f>
        <v>aircon repair cape town licensed</v>
      </c>
      <c r="M35" s="17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8" t="str">
        <f>IFERROR(__xludf.DUMMYFUNCTION("""COMPUTED_VALUE"""),"best bosman plumbers")</f>
        <v>best bosman plumbers</v>
      </c>
      <c r="Y35" s="4"/>
      <c r="Z35" s="4"/>
    </row>
    <row r="36" ht="15.75" customHeight="1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6" t="str">
        <f>IFERROR(__xludf.DUMMYFUNCTION("""COMPUTED_VALUE"""),"aircon repair cape town local")</f>
        <v>aircon repair cape town local</v>
      </c>
      <c r="M36" s="17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8" t="str">
        <f>IFERROR(__xludf.DUMMYFUNCTION("""COMPUTED_VALUE"""),"best drain surgeon cape town")</f>
        <v>best drain surgeon cape town</v>
      </c>
      <c r="Y36" s="4"/>
      <c r="Z36" s="4"/>
    </row>
    <row r="37" ht="15.75" customHeight="1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6" t="str">
        <f>IFERROR(__xludf.DUMMYFUNCTION("""COMPUTED_VALUE"""),"aircon repair cape town near me")</f>
        <v>aircon repair cape town near me</v>
      </c>
      <c r="M37" s="17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8" t="str">
        <f>IFERROR(__xludf.DUMMYFUNCTION("""COMPUTED_VALUE"""),"best electrician cape town")</f>
        <v>best electrician cape town</v>
      </c>
      <c r="Y37" s="4"/>
      <c r="Z37" s="4"/>
    </row>
    <row r="38" ht="15.75" customHeight="1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6" t="str">
        <f>IFERROR(__xludf.DUMMYFUNCTION("""COMPUTED_VALUE"""),"aircon repair cape town prices")</f>
        <v>aircon repair cape town prices</v>
      </c>
      <c r="M38" s="17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8" t="str">
        <f>IFERROR(__xludf.DUMMYFUNCTION("""COMPUTED_VALUE"""),"best emergency plumber cape town")</f>
        <v>best emergency plumber cape town</v>
      </c>
      <c r="Y38" s="4"/>
      <c r="Z38" s="4"/>
    </row>
    <row r="39" ht="15.75" customHeight="1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6" t="str">
        <f>IFERROR(__xludf.DUMMYFUNCTION("""COMPUTED_VALUE"""),"aircon repair cape town qualified")</f>
        <v>aircon repair cape town qualified</v>
      </c>
      <c r="M39" s="17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8" t="str">
        <f>IFERROR(__xludf.DUMMYFUNCTION("""COMPUTED_VALUE"""),"best plumber near me")</f>
        <v>best plumber near me</v>
      </c>
      <c r="Y39" s="4"/>
      <c r="Z39" s="4"/>
    </row>
    <row r="40" ht="15.75" customHeight="1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6" t="str">
        <f>IFERROR(__xludf.DUMMYFUNCTION("""COMPUTED_VALUE"""),"aircon repair cape town quote")</f>
        <v>aircon repair cape town quote</v>
      </c>
      <c r="M40" s="17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8" t="str">
        <f>IFERROR(__xludf.DUMMYFUNCTION("""COMPUTED_VALUE"""),"best plumbers cape town")</f>
        <v>best plumbers cape town</v>
      </c>
      <c r="Y40" s="4"/>
      <c r="Z40" s="4"/>
    </row>
    <row r="41" ht="15.75" customHeight="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6" t="str">
        <f>IFERROR(__xludf.DUMMYFUNCTION("""COMPUTED_VALUE"""),"aircon repair cape town reliable")</f>
        <v>aircon repair cape town reliable</v>
      </c>
      <c r="M41" s="17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8" t="str">
        <f>IFERROR(__xludf.DUMMYFUNCTION("""COMPUTED_VALUE"""),"best plumbing company cape town")</f>
        <v>best plumbing company cape town</v>
      </c>
      <c r="Y41" s="4"/>
      <c r="Z41" s="4"/>
    </row>
    <row r="42" ht="15.75" customHeight="1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6" t="str">
        <f>IFERROR(__xludf.DUMMYFUNCTION("""COMPUTED_VALUE"""),"aircon repair cape town reputable")</f>
        <v>aircon repair cape town reputable</v>
      </c>
      <c r="M42" s="17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8" t="str">
        <f>IFERROR(__xludf.DUMMYFUNCTION("""COMPUTED_VALUE"""),"best schmidhauser plumbing")</f>
        <v>best schmidhauser plumbing</v>
      </c>
      <c r="Y42" s="4"/>
      <c r="Z42" s="4"/>
    </row>
    <row r="43" ht="15.75" customHeight="1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6" t="str">
        <f>IFERROR(__xludf.DUMMYFUNCTION("""COMPUTED_VALUE"""),"aircon repair cape town review")</f>
        <v>aircon repair cape town review</v>
      </c>
      <c r="M43" s="17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8" t="str">
        <f>IFERROR(__xludf.DUMMYFUNCTION("""COMPUTED_VALUE"""),"certified absolute plumbing cape town")</f>
        <v>certified absolute plumbing cape town</v>
      </c>
      <c r="Y43" s="4"/>
      <c r="Z43" s="4"/>
    </row>
    <row r="44" ht="15.75" customHeight="1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6" t="str">
        <f>IFERROR(__xludf.DUMMYFUNCTION("""COMPUTED_VALUE"""),"aircon repair cape town reviews")</f>
        <v>aircon repair cape town reviews</v>
      </c>
      <c r="M44" s="17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8" t="str">
        <f>IFERROR(__xludf.DUMMYFUNCTION("""COMPUTED_VALUE"""),"certified aircon repair cape town")</f>
        <v>certified aircon repair cape town</v>
      </c>
      <c r="Y44" s="4"/>
      <c r="Z44" s="4"/>
    </row>
    <row r="45" ht="15.75" customHeight="1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6" t="str">
        <f>IFERROR(__xludf.DUMMYFUNCTION("""COMPUTED_VALUE"""),"aircon repair cape town same day")</f>
        <v>aircon repair cape town same day</v>
      </c>
      <c r="M45" s="17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8" t="str">
        <f>IFERROR(__xludf.DUMMYFUNCTION("""COMPUTED_VALUE"""),"certified bosman plumbers")</f>
        <v>certified bosman plumbers</v>
      </c>
      <c r="Y45" s="4"/>
      <c r="Z45" s="4"/>
    </row>
    <row r="46" ht="15.75" customHeight="1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6" t="str">
        <f>IFERROR(__xludf.DUMMYFUNCTION("""COMPUTED_VALUE"""),"aircon repair cape town top rated")</f>
        <v>aircon repair cape town top rated</v>
      </c>
      <c r="M46" s="17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8" t="str">
        <f>IFERROR(__xludf.DUMMYFUNCTION("""COMPUTED_VALUE"""),"certified drain surgeon cape town")</f>
        <v>certified drain surgeon cape town</v>
      </c>
      <c r="Y46" s="4"/>
      <c r="Z46" s="4"/>
    </row>
    <row r="47" ht="15.75" customHeight="1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6" t="str">
        <f>IFERROR(__xludf.DUMMYFUNCTION("""COMPUTED_VALUE"""),"aircon repair cape town trusted")</f>
        <v>aircon repair cape town trusted</v>
      </c>
      <c r="M47" s="17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8" t="str">
        <f>IFERROR(__xludf.DUMMYFUNCTION("""COMPUTED_VALUE"""),"certified electrician cape town")</f>
        <v>certified electrician cape town</v>
      </c>
      <c r="Y47" s="4"/>
      <c r="Z47" s="4"/>
    </row>
    <row r="48" ht="15.75" customHeight="1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6" t="str">
        <f>IFERROR(__xludf.DUMMYFUNCTION("""COMPUTED_VALUE"""),"aircon repair cape town vs")</f>
        <v>aircon repair cape town vs</v>
      </c>
      <c r="M48" s="17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8" t="str">
        <f>IFERROR(__xludf.DUMMYFUNCTION("""COMPUTED_VALUE"""),"certified emergency plumber cape town")</f>
        <v>certified emergency plumber cape town</v>
      </c>
      <c r="Y48" s="4"/>
      <c r="Z48" s="4"/>
    </row>
    <row r="49" ht="15.75" customHeight="1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6" t="str">
        <f>IFERROR(__xludf.DUMMYFUNCTION("""COMPUTED_VALUE"""),"bosman plumbers 24 hour")</f>
        <v>bosman plumbers 24 hour</v>
      </c>
      <c r="M49" s="17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8" t="str">
        <f>IFERROR(__xludf.DUMMYFUNCTION("""COMPUTED_VALUE"""),"certified plumber near me")</f>
        <v>certified plumber near me</v>
      </c>
      <c r="Y49" s="4"/>
      <c r="Z49" s="4"/>
    </row>
    <row r="50" ht="15.75" customHeight="1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6" t="str">
        <f>IFERROR(__xludf.DUMMYFUNCTION("""COMPUTED_VALUE"""),"bosman plumbers affordable")</f>
        <v>bosman plumbers affordable</v>
      </c>
      <c r="M50" s="17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8" t="str">
        <f>IFERROR(__xludf.DUMMYFUNCTION("""COMPUTED_VALUE"""),"certified plumbers cape town")</f>
        <v>certified plumbers cape town</v>
      </c>
      <c r="Y50" s="4"/>
      <c r="Z50" s="4"/>
    </row>
    <row r="51" ht="15.75" customHeight="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6" t="str">
        <f>IFERROR(__xludf.DUMMYFUNCTION("""COMPUTED_VALUE"""),"bosman plumbers alternatives")</f>
        <v>bosman plumbers alternatives</v>
      </c>
      <c r="M51" s="17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8" t="str">
        <f>IFERROR(__xludf.DUMMYFUNCTION("""COMPUTED_VALUE"""),"certified plumbing company cape town")</f>
        <v>certified plumbing company cape town</v>
      </c>
      <c r="Y51" s="4"/>
      <c r="Z51" s="4"/>
    </row>
    <row r="52" ht="15.75" customHeight="1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6" t="str">
        <f>IFERROR(__xludf.DUMMYFUNCTION("""COMPUTED_VALUE"""),"bosman plumbers best")</f>
        <v>bosman plumbers best</v>
      </c>
      <c r="M52" s="17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8" t="str">
        <f>IFERROR(__xludf.DUMMYFUNCTION("""COMPUTED_VALUE"""),"certified schmidhauser plumbing")</f>
        <v>certified schmidhauser plumbing</v>
      </c>
      <c r="Y52" s="4"/>
      <c r="Z52" s="4"/>
    </row>
    <row r="53" ht="15.75" customHeight="1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6" t="str">
        <f>IFERROR(__xludf.DUMMYFUNCTION("""COMPUTED_VALUE"""),"bosman plumbers certified")</f>
        <v>bosman plumbers certified</v>
      </c>
      <c r="M53" s="17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8" t="str">
        <f>IFERROR(__xludf.DUMMYFUNCTION("""COMPUTED_VALUE"""),"compare absolute plumbing cape town")</f>
        <v>compare absolute plumbing cape town</v>
      </c>
      <c r="Y53" s="4"/>
      <c r="Z53" s="4"/>
    </row>
    <row r="54" ht="15.75" customHeight="1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6" t="str">
        <f>IFERROR(__xludf.DUMMYFUNCTION("""COMPUTED_VALUE"""),"bosman plumbers compare")</f>
        <v>bosman plumbers compare</v>
      </c>
      <c r="M54" s="17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8" t="str">
        <f>IFERROR(__xludf.DUMMYFUNCTION("""COMPUTED_VALUE"""),"compare aircon repair cape town")</f>
        <v>compare aircon repair cape town</v>
      </c>
      <c r="Y54" s="4"/>
      <c r="Z54" s="4"/>
    </row>
    <row r="55" ht="15.75" customHeight="1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6" t="str">
        <f>IFERROR(__xludf.DUMMYFUNCTION("""COMPUTED_VALUE"""),"bosman plumbers complaints")</f>
        <v>bosman plumbers complaints</v>
      </c>
      <c r="M55" s="17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8" t="str">
        <f>IFERROR(__xludf.DUMMYFUNCTION("""COMPUTED_VALUE"""),"compare bosman plumbers")</f>
        <v>compare bosman plumbers</v>
      </c>
      <c r="Y55" s="4"/>
      <c r="Z55" s="4"/>
    </row>
    <row r="56" ht="15.75" customHeight="1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6" t="str">
        <f>IFERROR(__xludf.DUMMYFUNCTION("""COMPUTED_VALUE"""),"bosman plumbers cost")</f>
        <v>bosman plumbers cost</v>
      </c>
      <c r="M56" s="17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8" t="str">
        <f>IFERROR(__xludf.DUMMYFUNCTION("""COMPUTED_VALUE"""),"compare drain surgeon cape town")</f>
        <v>compare drain surgeon cape town</v>
      </c>
      <c r="Y56" s="4"/>
      <c r="Z56" s="4"/>
    </row>
    <row r="57" ht="15.75" customHeight="1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6" t="str">
        <f>IFERROR(__xludf.DUMMYFUNCTION("""COMPUTED_VALUE"""),"bosman plumbers insured")</f>
        <v>bosman plumbers insured</v>
      </c>
      <c r="M57" s="17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8" t="str">
        <f>IFERROR(__xludf.DUMMYFUNCTION("""COMPUTED_VALUE"""),"compare electrician cape town")</f>
        <v>compare electrician cape town</v>
      </c>
      <c r="Y57" s="4"/>
      <c r="Z57" s="4"/>
    </row>
    <row r="58" ht="15.75" customHeight="1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6" t="str">
        <f>IFERROR(__xludf.DUMMYFUNCTION("""COMPUTED_VALUE"""),"bosman plumbers licensed")</f>
        <v>bosman plumbers licensed</v>
      </c>
      <c r="M58" s="17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8" t="str">
        <f>IFERROR(__xludf.DUMMYFUNCTION("""COMPUTED_VALUE"""),"compare emergency plumber cape town")</f>
        <v>compare emergency plumber cape town</v>
      </c>
      <c r="Y58" s="4"/>
      <c r="Z58" s="4"/>
    </row>
    <row r="59" ht="15.75" customHeight="1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6" t="str">
        <f>IFERROR(__xludf.DUMMYFUNCTION("""COMPUTED_VALUE"""),"bosman plumbers local")</f>
        <v>bosman plumbers local</v>
      </c>
      <c r="M59" s="17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8" t="str">
        <f>IFERROR(__xludf.DUMMYFUNCTION("""COMPUTED_VALUE"""),"compare plumber near me")</f>
        <v>compare plumber near me</v>
      </c>
      <c r="Y59" s="4"/>
      <c r="Z59" s="4"/>
    </row>
    <row r="60" ht="15.75" customHeight="1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6" t="str">
        <f>IFERROR(__xludf.DUMMYFUNCTION("""COMPUTED_VALUE"""),"bosman plumbers near me")</f>
        <v>bosman plumbers near me</v>
      </c>
      <c r="M60" s="17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8" t="str">
        <f>IFERROR(__xludf.DUMMYFUNCTION("""COMPUTED_VALUE"""),"compare plumbers cape town")</f>
        <v>compare plumbers cape town</v>
      </c>
      <c r="Y60" s="4"/>
      <c r="Z60" s="4"/>
    </row>
    <row r="61" ht="15.75" customHeight="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6" t="str">
        <f>IFERROR(__xludf.DUMMYFUNCTION("""COMPUTED_VALUE"""),"bosman plumbers prices")</f>
        <v>bosman plumbers prices</v>
      </c>
      <c r="M61" s="17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8" t="str">
        <f>IFERROR(__xludf.DUMMYFUNCTION("""COMPUTED_VALUE"""),"compare plumbing company cape town")</f>
        <v>compare plumbing company cape town</v>
      </c>
      <c r="Y61" s="4"/>
      <c r="Z61" s="4"/>
    </row>
    <row r="62" ht="15.75" customHeight="1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6" t="str">
        <f>IFERROR(__xludf.DUMMYFUNCTION("""COMPUTED_VALUE"""),"bosman plumbers qualified")</f>
        <v>bosman plumbers qualified</v>
      </c>
      <c r="M62" s="17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8" t="str">
        <f>IFERROR(__xludf.DUMMYFUNCTION("""COMPUTED_VALUE"""),"compare schmidhauser plumbing")</f>
        <v>compare schmidhauser plumbing</v>
      </c>
      <c r="Y62" s="4"/>
      <c r="Z62" s="4"/>
    </row>
    <row r="63" ht="15.75" customHeight="1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6" t="str">
        <f>IFERROR(__xludf.DUMMYFUNCTION("""COMPUTED_VALUE"""),"bosman plumbers quote")</f>
        <v>bosman plumbers quote</v>
      </c>
      <c r="M63" s="17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8" t="str">
        <f>IFERROR(__xludf.DUMMYFUNCTION("""COMPUTED_VALUE"""),"complaints absolute plumbing cape town")</f>
        <v>complaints absolute plumbing cape town</v>
      </c>
      <c r="Y63" s="4"/>
      <c r="Z63" s="4"/>
    </row>
    <row r="64" ht="15.75" customHeight="1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6" t="str">
        <f>IFERROR(__xludf.DUMMYFUNCTION("""COMPUTED_VALUE"""),"bosman plumbers reliable")</f>
        <v>bosman plumbers reliable</v>
      </c>
      <c r="M64" s="17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8" t="str">
        <f>IFERROR(__xludf.DUMMYFUNCTION("""COMPUTED_VALUE"""),"complaints aircon repair cape town")</f>
        <v>complaints aircon repair cape town</v>
      </c>
      <c r="Y64" s="4"/>
      <c r="Z64" s="4"/>
    </row>
    <row r="65" ht="15.75" customHeight="1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6" t="str">
        <f>IFERROR(__xludf.DUMMYFUNCTION("""COMPUTED_VALUE"""),"bosman plumbers reputable")</f>
        <v>bosman plumbers reputable</v>
      </c>
      <c r="M65" s="17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8" t="str">
        <f>IFERROR(__xludf.DUMMYFUNCTION("""COMPUTED_VALUE"""),"complaints bosman plumbers")</f>
        <v>complaints bosman plumbers</v>
      </c>
      <c r="Y65" s="4"/>
      <c r="Z65" s="4"/>
    </row>
    <row r="66" ht="15.75" customHeight="1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6" t="str">
        <f>IFERROR(__xludf.DUMMYFUNCTION("""COMPUTED_VALUE"""),"bosman plumbers review")</f>
        <v>bosman plumbers review</v>
      </c>
      <c r="M66" s="17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8" t="str">
        <f>IFERROR(__xludf.DUMMYFUNCTION("""COMPUTED_VALUE"""),"complaints drain surgeon cape town")</f>
        <v>complaints drain surgeon cape town</v>
      </c>
      <c r="Y66" s="4"/>
      <c r="Z66" s="4"/>
    </row>
    <row r="67" ht="15.75" customHeight="1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6" t="str">
        <f>IFERROR(__xludf.DUMMYFUNCTION("""COMPUTED_VALUE"""),"bosman plumbers reviews")</f>
        <v>bosman plumbers reviews</v>
      </c>
      <c r="M67" s="17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8" t="str">
        <f>IFERROR(__xludf.DUMMYFUNCTION("""COMPUTED_VALUE"""),"complaints electrician cape town")</f>
        <v>complaints electrician cape town</v>
      </c>
      <c r="Y67" s="4"/>
      <c r="Z67" s="4"/>
    </row>
    <row r="68" ht="15.75" customHeight="1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6" t="str">
        <f>IFERROR(__xludf.DUMMYFUNCTION("""COMPUTED_VALUE"""),"bosman plumbers same day")</f>
        <v>bosman plumbers same day</v>
      </c>
      <c r="M68" s="17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8" t="str">
        <f>IFERROR(__xludf.DUMMYFUNCTION("""COMPUTED_VALUE"""),"complaints emergency plumber cape town")</f>
        <v>complaints emergency plumber cape town</v>
      </c>
      <c r="Y68" s="4"/>
      <c r="Z68" s="4"/>
    </row>
    <row r="69" ht="15.75" customHeight="1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6" t="str">
        <f>IFERROR(__xludf.DUMMYFUNCTION("""COMPUTED_VALUE"""),"bosman plumbers top rated")</f>
        <v>bosman plumbers top rated</v>
      </c>
      <c r="M69" s="17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8" t="str">
        <f>IFERROR(__xludf.DUMMYFUNCTION("""COMPUTED_VALUE"""),"complaints plumber near me")</f>
        <v>complaints plumber near me</v>
      </c>
      <c r="Y69" s="4"/>
      <c r="Z69" s="4"/>
    </row>
    <row r="70" ht="15.75" customHeight="1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6" t="str">
        <f>IFERROR(__xludf.DUMMYFUNCTION("""COMPUTED_VALUE"""),"bosman plumbers trusted")</f>
        <v>bosman plumbers trusted</v>
      </c>
      <c r="M70" s="17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8" t="str">
        <f>IFERROR(__xludf.DUMMYFUNCTION("""COMPUTED_VALUE"""),"complaints plumbers cape town")</f>
        <v>complaints plumbers cape town</v>
      </c>
      <c r="Y70" s="4"/>
      <c r="Z70" s="4"/>
    </row>
    <row r="71" ht="15.75" customHeight="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6" t="str">
        <f>IFERROR(__xludf.DUMMYFUNCTION("""COMPUTED_VALUE"""),"bosman plumbers vs")</f>
        <v>bosman plumbers vs</v>
      </c>
      <c r="M71" s="17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8" t="str">
        <f>IFERROR(__xludf.DUMMYFUNCTION("""COMPUTED_VALUE"""),"complaints plumbing company cape town")</f>
        <v>complaints plumbing company cape town</v>
      </c>
      <c r="Y71" s="4"/>
      <c r="Z71" s="4"/>
    </row>
    <row r="72" ht="15.75" customHeight="1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6" t="str">
        <f>IFERROR(__xludf.DUMMYFUNCTION("""COMPUTED_VALUE"""),"drain surgeon cape town 24 hour")</f>
        <v>drain surgeon cape town 24 hour</v>
      </c>
      <c r="M72" s="17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8" t="str">
        <f>IFERROR(__xludf.DUMMYFUNCTION("""COMPUTED_VALUE"""),"complaints schmidhauser plumbing")</f>
        <v>complaints schmidhauser plumbing</v>
      </c>
      <c r="Y72" s="4"/>
      <c r="Z72" s="4"/>
    </row>
    <row r="73" ht="15.75" customHeight="1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6" t="str">
        <f>IFERROR(__xludf.DUMMYFUNCTION("""COMPUTED_VALUE"""),"drain surgeon cape town affordable")</f>
        <v>drain surgeon cape town affordable</v>
      </c>
      <c r="M73" s="17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8" t="str">
        <f>IFERROR(__xludf.DUMMYFUNCTION("""COMPUTED_VALUE"""),"cost absolute plumbing cape town")</f>
        <v>cost absolute plumbing cape town</v>
      </c>
      <c r="Y73" s="4"/>
      <c r="Z73" s="4"/>
    </row>
    <row r="74" ht="15.75" customHeight="1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6" t="str">
        <f>IFERROR(__xludf.DUMMYFUNCTION("""COMPUTED_VALUE"""),"drain surgeon cape town alternatives")</f>
        <v>drain surgeon cape town alternatives</v>
      </c>
      <c r="M74" s="17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8" t="str">
        <f>IFERROR(__xludf.DUMMYFUNCTION("""COMPUTED_VALUE"""),"cost aircon repair cape town")</f>
        <v>cost aircon repair cape town</v>
      </c>
      <c r="Y74" s="4"/>
      <c r="Z74" s="4"/>
    </row>
    <row r="75" ht="15.75" customHeight="1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6" t="str">
        <f>IFERROR(__xludf.DUMMYFUNCTION("""COMPUTED_VALUE"""),"drain surgeon cape town best")</f>
        <v>drain surgeon cape town best</v>
      </c>
      <c r="M75" s="17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8" t="str">
        <f>IFERROR(__xludf.DUMMYFUNCTION("""COMPUTED_VALUE"""),"cost bosman plumbers")</f>
        <v>cost bosman plumbers</v>
      </c>
      <c r="Y75" s="4"/>
      <c r="Z75" s="4"/>
    </row>
    <row r="76" ht="15.75" customHeight="1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6" t="str">
        <f>IFERROR(__xludf.DUMMYFUNCTION("""COMPUTED_VALUE"""),"drain surgeon cape town certified")</f>
        <v>drain surgeon cape town certified</v>
      </c>
      <c r="M76" s="17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8" t="str">
        <f>IFERROR(__xludf.DUMMYFUNCTION("""COMPUTED_VALUE"""),"cost drain surgeon cape town")</f>
        <v>cost drain surgeon cape town</v>
      </c>
      <c r="Y76" s="4"/>
      <c r="Z76" s="4"/>
    </row>
    <row r="77" ht="15.75" customHeight="1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6" t="str">
        <f>IFERROR(__xludf.DUMMYFUNCTION("""COMPUTED_VALUE"""),"drain surgeon cape town compare")</f>
        <v>drain surgeon cape town compare</v>
      </c>
      <c r="M77" s="17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8" t="str">
        <f>IFERROR(__xludf.DUMMYFUNCTION("""COMPUTED_VALUE"""),"cost electrician cape town")</f>
        <v>cost electrician cape town</v>
      </c>
      <c r="Y77" s="4"/>
      <c r="Z77" s="4"/>
    </row>
    <row r="78" ht="15.75" customHeight="1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6" t="str">
        <f>IFERROR(__xludf.DUMMYFUNCTION("""COMPUTED_VALUE"""),"drain surgeon cape town complaints")</f>
        <v>drain surgeon cape town complaints</v>
      </c>
      <c r="M78" s="17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8" t="str">
        <f>IFERROR(__xludf.DUMMYFUNCTION("""COMPUTED_VALUE"""),"cost emergency plumber cape town")</f>
        <v>cost emergency plumber cape town</v>
      </c>
      <c r="Y78" s="4"/>
      <c r="Z78" s="4"/>
    </row>
    <row r="79" ht="15.75" customHeight="1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6" t="str">
        <f>IFERROR(__xludf.DUMMYFUNCTION("""COMPUTED_VALUE"""),"drain surgeon cape town cost")</f>
        <v>drain surgeon cape town cost</v>
      </c>
      <c r="M79" s="17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8" t="str">
        <f>IFERROR(__xludf.DUMMYFUNCTION("""COMPUTED_VALUE"""),"cost plumber near me")</f>
        <v>cost plumber near me</v>
      </c>
      <c r="Y79" s="4"/>
      <c r="Z79" s="4"/>
    </row>
    <row r="80" ht="15.75" customHeight="1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6" t="str">
        <f>IFERROR(__xludf.DUMMYFUNCTION("""COMPUTED_VALUE"""),"drain surgeon cape town insured")</f>
        <v>drain surgeon cape town insured</v>
      </c>
      <c r="M80" s="17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8" t="str">
        <f>IFERROR(__xludf.DUMMYFUNCTION("""COMPUTED_VALUE"""),"cost plumbers cape town")</f>
        <v>cost plumbers cape town</v>
      </c>
      <c r="Y80" s="4"/>
      <c r="Z80" s="4"/>
    </row>
    <row r="81" ht="15.75" customHeight="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6" t="str">
        <f>IFERROR(__xludf.DUMMYFUNCTION("""COMPUTED_VALUE"""),"drain surgeon cape town licensed")</f>
        <v>drain surgeon cape town licensed</v>
      </c>
      <c r="M81" s="17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8" t="str">
        <f>IFERROR(__xludf.DUMMYFUNCTION("""COMPUTED_VALUE"""),"cost plumbing company cape town")</f>
        <v>cost plumbing company cape town</v>
      </c>
      <c r="Y81" s="4"/>
      <c r="Z81" s="4"/>
    </row>
    <row r="82" ht="15.75" customHeight="1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6" t="str">
        <f>IFERROR(__xludf.DUMMYFUNCTION("""COMPUTED_VALUE"""),"drain surgeon cape town local")</f>
        <v>drain surgeon cape town local</v>
      </c>
      <c r="M82" s="17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8" t="str">
        <f>IFERROR(__xludf.DUMMYFUNCTION("""COMPUTED_VALUE"""),"cost schmidhauser plumbing")</f>
        <v>cost schmidhauser plumbing</v>
      </c>
      <c r="Y82" s="4"/>
      <c r="Z82" s="4"/>
    </row>
    <row r="83" ht="15.7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6" t="str">
        <f>IFERROR(__xludf.DUMMYFUNCTION("""COMPUTED_VALUE"""),"drain surgeon cape town near me")</f>
        <v>drain surgeon cape town near me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8" t="str">
        <f>IFERROR(__xludf.DUMMYFUNCTION("""COMPUTED_VALUE"""),"insured absolute plumbing cape town")</f>
        <v>insured absolute plumbing cape town</v>
      </c>
      <c r="Y83" s="4"/>
      <c r="Z83" s="4"/>
    </row>
    <row r="84" ht="15.7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 t="str">
        <f>IFERROR(__xludf.DUMMYFUNCTION("""COMPUTED_VALUE"""),"drain surgeon cape town prices")</f>
        <v>drain surgeon cape town prices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8" t="str">
        <f>IFERROR(__xludf.DUMMYFUNCTION("""COMPUTED_VALUE"""),"insured aircon repair cape town")</f>
        <v>insured aircon repair cape town</v>
      </c>
      <c r="Y84" s="4"/>
      <c r="Z84" s="4"/>
    </row>
    <row r="85" ht="15.7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6" t="str">
        <f>IFERROR(__xludf.DUMMYFUNCTION("""COMPUTED_VALUE"""),"drain surgeon cape town qualified")</f>
        <v>drain surgeon cape town qualified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8" t="str">
        <f>IFERROR(__xludf.DUMMYFUNCTION("""COMPUTED_VALUE"""),"insured bosman plumbers")</f>
        <v>insured bosman plumbers</v>
      </c>
      <c r="Y85" s="4"/>
      <c r="Z85" s="4"/>
    </row>
    <row r="86" ht="15.7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 t="str">
        <f>IFERROR(__xludf.DUMMYFUNCTION("""COMPUTED_VALUE"""),"drain surgeon cape town quote")</f>
        <v>drain surgeon cape town quote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8" t="str">
        <f>IFERROR(__xludf.DUMMYFUNCTION("""COMPUTED_VALUE"""),"insured drain surgeon cape town")</f>
        <v>insured drain surgeon cape town</v>
      </c>
      <c r="Y86" s="4"/>
      <c r="Z86" s="4"/>
    </row>
    <row r="87" ht="15.7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 t="str">
        <f>IFERROR(__xludf.DUMMYFUNCTION("""COMPUTED_VALUE"""),"drain surgeon cape town reliable")</f>
        <v>drain surgeon cape town reliable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8" t="str">
        <f>IFERROR(__xludf.DUMMYFUNCTION("""COMPUTED_VALUE"""),"insured electrician cape town")</f>
        <v>insured electrician cape town</v>
      </c>
      <c r="Y87" s="4"/>
      <c r="Z87" s="4"/>
    </row>
    <row r="88" ht="15.7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 t="str">
        <f>IFERROR(__xludf.DUMMYFUNCTION("""COMPUTED_VALUE"""),"drain surgeon cape town reputable")</f>
        <v>drain surgeon cape town reputable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8" t="str">
        <f>IFERROR(__xludf.DUMMYFUNCTION("""COMPUTED_VALUE"""),"insured emergency plumber cape town")</f>
        <v>insured emergency plumber cape town</v>
      </c>
      <c r="Y88" s="4"/>
      <c r="Z88" s="4"/>
    </row>
    <row r="89" ht="15.7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 t="str">
        <f>IFERROR(__xludf.DUMMYFUNCTION("""COMPUTED_VALUE"""),"drain surgeon cape town review")</f>
        <v>drain surgeon cape town review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8" t="str">
        <f>IFERROR(__xludf.DUMMYFUNCTION("""COMPUTED_VALUE"""),"insured plumber near me")</f>
        <v>insured plumber near me</v>
      </c>
      <c r="Y89" s="4"/>
      <c r="Z89" s="4"/>
    </row>
    <row r="90" ht="15.75" customHeight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 t="str">
        <f>IFERROR(__xludf.DUMMYFUNCTION("""COMPUTED_VALUE"""),"drain surgeon cape town reviews")</f>
        <v>drain surgeon cape town reviews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8" t="str">
        <f>IFERROR(__xludf.DUMMYFUNCTION("""COMPUTED_VALUE"""),"insured plumbers cape town")</f>
        <v>insured plumbers cape town</v>
      </c>
      <c r="Y90" s="4"/>
      <c r="Z90" s="4"/>
    </row>
    <row r="91" ht="15.75" customHeight="1">
      <c r="A91" s="1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6" t="str">
        <f>IFERROR(__xludf.DUMMYFUNCTION("""COMPUTED_VALUE"""),"drain surgeon cape town same day")</f>
        <v>drain surgeon cape town same day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 t="str">
        <f>IFERROR(__xludf.DUMMYFUNCTION("""COMPUTED_VALUE"""),"insured plumbing company cape town")</f>
        <v>insured plumbing company cape town</v>
      </c>
      <c r="Y91" s="4"/>
      <c r="Z91" s="4"/>
    </row>
    <row r="92" ht="15.75" customHeight="1">
      <c r="A92" s="1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 t="str">
        <f>IFERROR(__xludf.DUMMYFUNCTION("""COMPUTED_VALUE"""),"drain surgeon cape town top rated")</f>
        <v>drain surgeon cape town top rated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8" t="str">
        <f>IFERROR(__xludf.DUMMYFUNCTION("""COMPUTED_VALUE"""),"insured schmidhauser plumbing")</f>
        <v>insured schmidhauser plumbing</v>
      </c>
      <c r="Y92" s="4"/>
      <c r="Z92" s="4"/>
    </row>
    <row r="93" ht="15.75" customHeight="1">
      <c r="A93" s="1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6" t="str">
        <f>IFERROR(__xludf.DUMMYFUNCTION("""COMPUTED_VALUE"""),"drain surgeon cape town trusted")</f>
        <v>drain surgeon cape town trusted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8" t="str">
        <f>IFERROR(__xludf.DUMMYFUNCTION("""COMPUTED_VALUE"""),"licensed absolute plumbing cape town")</f>
        <v>licensed absolute plumbing cape town</v>
      </c>
      <c r="Y93" s="4"/>
      <c r="Z93" s="4"/>
    </row>
    <row r="94" ht="15.75" customHeight="1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6" t="str">
        <f>IFERROR(__xludf.DUMMYFUNCTION("""COMPUTED_VALUE"""),"drain surgeon cape town vs")</f>
        <v>drain surgeon cape town vs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8" t="str">
        <f>IFERROR(__xludf.DUMMYFUNCTION("""COMPUTED_VALUE"""),"licensed aircon repair cape town")</f>
        <v>licensed aircon repair cape town</v>
      </c>
      <c r="Y94" s="4"/>
      <c r="Z94" s="4"/>
    </row>
    <row r="95" ht="15.75" customHeight="1">
      <c r="A95" s="1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 t="str">
        <f>IFERROR(__xludf.DUMMYFUNCTION("""COMPUTED_VALUE"""),"electrician cape town 24 hour")</f>
        <v>electrician cape town 24 hour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8" t="str">
        <f>IFERROR(__xludf.DUMMYFUNCTION("""COMPUTED_VALUE"""),"licensed bosman plumbers")</f>
        <v>licensed bosman plumbers</v>
      </c>
      <c r="Y95" s="4"/>
      <c r="Z95" s="4"/>
    </row>
    <row r="96" ht="15.75" customHeight="1">
      <c r="A96" s="1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6" t="str">
        <f>IFERROR(__xludf.DUMMYFUNCTION("""COMPUTED_VALUE"""),"electrician cape town affordable")</f>
        <v>electrician cape town affordable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 t="str">
        <f>IFERROR(__xludf.DUMMYFUNCTION("""COMPUTED_VALUE"""),"licensed drain surgeon cape town")</f>
        <v>licensed drain surgeon cape town</v>
      </c>
      <c r="Y96" s="4"/>
      <c r="Z96" s="4"/>
    </row>
    <row r="97" ht="15.75" customHeight="1">
      <c r="A97" s="1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6" t="str">
        <f>IFERROR(__xludf.DUMMYFUNCTION("""COMPUTED_VALUE"""),"electrician cape town alternatives")</f>
        <v>electrician cape town alternatives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8" t="str">
        <f>IFERROR(__xludf.DUMMYFUNCTION("""COMPUTED_VALUE"""),"licensed electrician cape town")</f>
        <v>licensed electrician cape town</v>
      </c>
      <c r="Y97" s="4"/>
      <c r="Z97" s="4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 t="str">
        <f>IFERROR(__xludf.DUMMYFUNCTION("""COMPUTED_VALUE"""),"electrician cape town best")</f>
        <v>electrician cape town best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 t="str">
        <f>IFERROR(__xludf.DUMMYFUNCTION("""COMPUTED_VALUE"""),"licensed emergency plumber cape town")</f>
        <v>licensed emergency plumber cape town</v>
      </c>
      <c r="Y98" s="4"/>
      <c r="Z98" s="4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 t="str">
        <f>IFERROR(__xludf.DUMMYFUNCTION("""COMPUTED_VALUE"""),"electrician cape town certified")</f>
        <v>electrician cape town certified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8" t="str">
        <f>IFERROR(__xludf.DUMMYFUNCTION("""COMPUTED_VALUE"""),"licensed plumber near me")</f>
        <v>licensed plumber near me</v>
      </c>
      <c r="Y99" s="4"/>
      <c r="Z99" s="4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6" t="str">
        <f>IFERROR(__xludf.DUMMYFUNCTION("""COMPUTED_VALUE"""),"electrician cape town compare")</f>
        <v>electrician cape town compare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8" t="str">
        <f>IFERROR(__xludf.DUMMYFUNCTION("""COMPUTED_VALUE"""),"licensed plumbers cape town")</f>
        <v>licensed plumbers cape town</v>
      </c>
      <c r="Y100" s="4"/>
      <c r="Z100" s="4"/>
    </row>
    <row r="101" ht="15.75" customHeight="1">
      <c r="A101" s="1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 t="str">
        <f>IFERROR(__xludf.DUMMYFUNCTION("""COMPUTED_VALUE"""),"electrician cape town complaints")</f>
        <v>electrician cape town complaints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8" t="str">
        <f>IFERROR(__xludf.DUMMYFUNCTION("""COMPUTED_VALUE"""),"licensed plumbing company cape town")</f>
        <v>licensed plumbing company cape town</v>
      </c>
      <c r="Y101" s="4"/>
      <c r="Z101" s="4"/>
    </row>
    <row r="102" ht="15.75" customHeight="1">
      <c r="A102" s="1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 t="str">
        <f>IFERROR(__xludf.DUMMYFUNCTION("""COMPUTED_VALUE"""),"electrician cape town cost")</f>
        <v>electrician cape town cost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8" t="str">
        <f>IFERROR(__xludf.DUMMYFUNCTION("""COMPUTED_VALUE"""),"licensed schmidhauser plumbing")</f>
        <v>licensed schmidhauser plumbing</v>
      </c>
      <c r="Y102" s="4"/>
      <c r="Z102" s="4"/>
    </row>
    <row r="103" ht="15.75" customHeight="1">
      <c r="A103" s="1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 t="str">
        <f>IFERROR(__xludf.DUMMYFUNCTION("""COMPUTED_VALUE"""),"electrician cape town insured")</f>
        <v>electrician cape town insured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 t="str">
        <f>IFERROR(__xludf.DUMMYFUNCTION("""COMPUTED_VALUE"""),"local absolute plumbing cape town")</f>
        <v>local absolute plumbing cape town</v>
      </c>
      <c r="Y103" s="4"/>
      <c r="Z103" s="4"/>
    </row>
    <row r="104" ht="15.75" customHeight="1">
      <c r="A104" s="1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6" t="str">
        <f>IFERROR(__xludf.DUMMYFUNCTION("""COMPUTED_VALUE"""),"electrician cape town licensed")</f>
        <v>electrician cape town licensed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8" t="str">
        <f>IFERROR(__xludf.DUMMYFUNCTION("""COMPUTED_VALUE"""),"local aircon repair cape town")</f>
        <v>local aircon repair cape town</v>
      </c>
      <c r="Y104" s="4"/>
      <c r="Z104" s="4"/>
    </row>
    <row r="105" ht="15.75" customHeight="1">
      <c r="A105" s="1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 t="str">
        <f>IFERROR(__xludf.DUMMYFUNCTION("""COMPUTED_VALUE"""),"electrician cape town local")</f>
        <v>electrician cape town local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 t="str">
        <f>IFERROR(__xludf.DUMMYFUNCTION("""COMPUTED_VALUE"""),"local bosman plumbers")</f>
        <v>local bosman plumbers</v>
      </c>
      <c r="Y105" s="4"/>
      <c r="Z105" s="4"/>
    </row>
    <row r="106" ht="15.75" customHeight="1">
      <c r="A106" s="1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6" t="str">
        <f>IFERROR(__xludf.DUMMYFUNCTION("""COMPUTED_VALUE"""),"electrician cape town near me")</f>
        <v>electrician cape town near me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8" t="str">
        <f>IFERROR(__xludf.DUMMYFUNCTION("""COMPUTED_VALUE"""),"local drain surgeon cape town")</f>
        <v>local drain surgeon cape town</v>
      </c>
      <c r="Y106" s="4"/>
      <c r="Z106" s="4"/>
    </row>
    <row r="107" ht="15.75" customHeight="1">
      <c r="A107" s="1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tr">
        <f>IFERROR(__xludf.DUMMYFUNCTION("""COMPUTED_VALUE"""),"electrician cape town prices")</f>
        <v>electrician cape town prices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 t="str">
        <f>IFERROR(__xludf.DUMMYFUNCTION("""COMPUTED_VALUE"""),"local electrician cape town")</f>
        <v>local electrician cape town</v>
      </c>
      <c r="Y107" s="4"/>
      <c r="Z107" s="4"/>
    </row>
    <row r="108" ht="15.75" customHeight="1">
      <c r="A108" s="1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6" t="str">
        <f>IFERROR(__xludf.DUMMYFUNCTION("""COMPUTED_VALUE"""),"electrician cape town qualified")</f>
        <v>electrician cape town qualified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8" t="str">
        <f>IFERROR(__xludf.DUMMYFUNCTION("""COMPUTED_VALUE"""),"local emergency plumber cape town")</f>
        <v>local emergency plumber cape town</v>
      </c>
      <c r="Y108" s="4"/>
      <c r="Z108" s="4"/>
    </row>
    <row r="109" ht="15.75" customHeight="1">
      <c r="A109" s="1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6" t="str">
        <f>IFERROR(__xludf.DUMMYFUNCTION("""COMPUTED_VALUE"""),"electrician cape town quote")</f>
        <v>electrician cape town quote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 t="str">
        <f>IFERROR(__xludf.DUMMYFUNCTION("""COMPUTED_VALUE"""),"local plumber near me")</f>
        <v>local plumber near me</v>
      </c>
      <c r="Y109" s="4"/>
      <c r="Z109" s="4"/>
    </row>
    <row r="110" ht="15.75" customHeight="1">
      <c r="A110" s="1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6" t="str">
        <f>IFERROR(__xludf.DUMMYFUNCTION("""COMPUTED_VALUE"""),"electrician cape town reliable")</f>
        <v>electrician cape town reliable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8" t="str">
        <f>IFERROR(__xludf.DUMMYFUNCTION("""COMPUTED_VALUE"""),"local plumbers cape town")</f>
        <v>local plumbers cape town</v>
      </c>
      <c r="Y110" s="4"/>
      <c r="Z110" s="4"/>
    </row>
    <row r="111" ht="15.75" customHeight="1">
      <c r="A111" s="1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6" t="str">
        <f>IFERROR(__xludf.DUMMYFUNCTION("""COMPUTED_VALUE"""),"electrician cape town reputable")</f>
        <v>electrician cape town reputable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 t="str">
        <f>IFERROR(__xludf.DUMMYFUNCTION("""COMPUTED_VALUE"""),"local plumbing company cape town")</f>
        <v>local plumbing company cape town</v>
      </c>
      <c r="Y111" s="4"/>
      <c r="Z111" s="4"/>
    </row>
    <row r="112" ht="15.75" customHeight="1">
      <c r="A112" s="1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6" t="str">
        <f>IFERROR(__xludf.DUMMYFUNCTION("""COMPUTED_VALUE"""),"electrician cape town review")</f>
        <v>electrician cape town review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 t="str">
        <f>IFERROR(__xludf.DUMMYFUNCTION("""COMPUTED_VALUE"""),"local schmidhauser plumbing")</f>
        <v>local schmidhauser plumbing</v>
      </c>
      <c r="Y112" s="4"/>
      <c r="Z112" s="4"/>
    </row>
    <row r="113" ht="15.75" customHeight="1">
      <c r="A113" s="1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6" t="str">
        <f>IFERROR(__xludf.DUMMYFUNCTION("""COMPUTED_VALUE"""),"electrician cape town reviews")</f>
        <v>electrician cape town reviews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8" t="str">
        <f>IFERROR(__xludf.DUMMYFUNCTION("""COMPUTED_VALUE"""),"near me absolute plumbing cape town")</f>
        <v>near me absolute plumbing cape town</v>
      </c>
      <c r="Y113" s="4"/>
      <c r="Z113" s="4"/>
    </row>
    <row r="114" ht="15.75" customHeight="1">
      <c r="A114" s="1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6" t="str">
        <f>IFERROR(__xludf.DUMMYFUNCTION("""COMPUTED_VALUE"""),"electrician cape town same day")</f>
        <v>electrician cape town same day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8" t="str">
        <f>IFERROR(__xludf.DUMMYFUNCTION("""COMPUTED_VALUE"""),"near me aircon repair cape town")</f>
        <v>near me aircon repair cape town</v>
      </c>
      <c r="Y114" s="4"/>
      <c r="Z114" s="4"/>
    </row>
    <row r="115" ht="15.75" customHeight="1">
      <c r="A115" s="1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6" t="str">
        <f>IFERROR(__xludf.DUMMYFUNCTION("""COMPUTED_VALUE"""),"electrician cape town top rated")</f>
        <v>electrician cape town top rated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8" t="str">
        <f>IFERROR(__xludf.DUMMYFUNCTION("""COMPUTED_VALUE"""),"near me bosman plumbers")</f>
        <v>near me bosman plumbers</v>
      </c>
      <c r="Y115" s="4"/>
      <c r="Z115" s="4"/>
    </row>
    <row r="116" ht="15.75" customHeight="1">
      <c r="A116" s="1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6" t="str">
        <f>IFERROR(__xludf.DUMMYFUNCTION("""COMPUTED_VALUE"""),"electrician cape town trusted")</f>
        <v>electrician cape town trusted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8" t="str">
        <f>IFERROR(__xludf.DUMMYFUNCTION("""COMPUTED_VALUE"""),"near me drain surgeon cape town")</f>
        <v>near me drain surgeon cape town</v>
      </c>
      <c r="Y116" s="4"/>
      <c r="Z116" s="4"/>
    </row>
    <row r="117" ht="15.75" customHeight="1">
      <c r="A117" s="1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6" t="str">
        <f>IFERROR(__xludf.DUMMYFUNCTION("""COMPUTED_VALUE"""),"electrician cape town vs")</f>
        <v>electrician cape town vs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8" t="str">
        <f>IFERROR(__xludf.DUMMYFUNCTION("""COMPUTED_VALUE"""),"near me electrician cape town")</f>
        <v>near me electrician cape town</v>
      </c>
      <c r="Y117" s="4"/>
      <c r="Z117" s="4"/>
    </row>
    <row r="118" ht="15.7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 t="str">
        <f>IFERROR(__xludf.DUMMYFUNCTION("""COMPUTED_VALUE"""),"emergency plumber cape town 24 hour")</f>
        <v>emergency plumber cape town 24 hour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8" t="str">
        <f>IFERROR(__xludf.DUMMYFUNCTION("""COMPUTED_VALUE"""),"near me emergency plumber cape town")</f>
        <v>near me emergency plumber cape town</v>
      </c>
      <c r="Y118" s="4"/>
      <c r="Z118" s="4"/>
    </row>
    <row r="119" ht="15.75" customHeight="1">
      <c r="A119" s="1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6" t="str">
        <f>IFERROR(__xludf.DUMMYFUNCTION("""COMPUTED_VALUE"""),"emergency plumber cape town affordable")</f>
        <v>emergency plumber cape town affordable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 t="str">
        <f>IFERROR(__xludf.DUMMYFUNCTION("""COMPUTED_VALUE"""),"near me plumbers cape town")</f>
        <v>near me plumbers cape town</v>
      </c>
      <c r="Y119" s="4"/>
      <c r="Z119" s="4"/>
    </row>
    <row r="120" ht="15.75" customHeigh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 t="str">
        <f>IFERROR(__xludf.DUMMYFUNCTION("""COMPUTED_VALUE"""),"emergency plumber cape town alternatives")</f>
        <v>emergency plumber cape town alternatives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3" t="str">
        <f>IFERROR(__xludf.DUMMYFUNCTION("""COMPUTED_VALUE"""),"near me plumbing company cape town")</f>
        <v>near me plumbing company cape town</v>
      </c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 t="str">
        <f>IFERROR(__xludf.DUMMYFUNCTION("""COMPUTED_VALUE"""),"emergency plumber cape town best")</f>
        <v>emergency plumber cape town best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tr">
        <f>IFERROR(__xludf.DUMMYFUNCTION("""COMPUTED_VALUE"""),"near me schmidhauser plumbing")</f>
        <v>near me schmidhauser plumbing</v>
      </c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 t="str">
        <f>IFERROR(__xludf.DUMMYFUNCTION("""COMPUTED_VALUE"""),"emergency plumber cape town certified")</f>
        <v>emergency plumber cape town certified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tr">
        <f>IFERROR(__xludf.DUMMYFUNCTION("""COMPUTED_VALUE"""),"plumber near me")</f>
        <v>plumber near me</v>
      </c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 t="str">
        <f>IFERROR(__xludf.DUMMYFUNCTION("""COMPUTED_VALUE"""),"emergency plumber cape town compare")</f>
        <v>emergency plumber cape town compare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 t="str">
        <f>IFERROR(__xludf.DUMMYFUNCTION("""COMPUTED_VALUE"""),"prices absolute plumbing cape town")</f>
        <v>prices absolute plumbing cape town</v>
      </c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 t="str">
        <f>IFERROR(__xludf.DUMMYFUNCTION("""COMPUTED_VALUE"""),"emergency plumber cape town complaints")</f>
        <v>emergency plumber cape town complaints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tr">
        <f>IFERROR(__xludf.DUMMYFUNCTION("""COMPUTED_VALUE"""),"prices aircon repair cape town")</f>
        <v>prices aircon repair cape town</v>
      </c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tr">
        <f>IFERROR(__xludf.DUMMYFUNCTION("""COMPUTED_VALUE"""),"emergency plumber cape town cost")</f>
        <v>emergency plumber cape town cost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str">
        <f>IFERROR(__xludf.DUMMYFUNCTION("""COMPUTED_VALUE"""),"prices bosman plumbers")</f>
        <v>prices bosman plumbers</v>
      </c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tr">
        <f>IFERROR(__xludf.DUMMYFUNCTION("""COMPUTED_VALUE"""),"emergency plumber cape town insured")</f>
        <v>emergency plumber cape town insured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tr">
        <f>IFERROR(__xludf.DUMMYFUNCTION("""COMPUTED_VALUE"""),"prices drain surgeon cape town")</f>
        <v>prices drain surgeon cape town</v>
      </c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 t="str">
        <f>IFERROR(__xludf.DUMMYFUNCTION("""COMPUTED_VALUE"""),"emergency plumber cape town licensed")</f>
        <v>emergency plumber cape town licensed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tr">
        <f>IFERROR(__xludf.DUMMYFUNCTION("""COMPUTED_VALUE"""),"prices electrician cape town")</f>
        <v>prices electrician cape town</v>
      </c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 t="str">
        <f>IFERROR(__xludf.DUMMYFUNCTION("""COMPUTED_VALUE"""),"emergency plumber cape town local")</f>
        <v>emergency plumber cape town local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 t="str">
        <f>IFERROR(__xludf.DUMMYFUNCTION("""COMPUTED_VALUE"""),"prices emergency plumber cape town")</f>
        <v>prices emergency plumber cape town</v>
      </c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 t="str">
        <f>IFERROR(__xludf.DUMMYFUNCTION("""COMPUTED_VALUE"""),"emergency plumber cape town near me")</f>
        <v>emergency plumber cape town near me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tr">
        <f>IFERROR(__xludf.DUMMYFUNCTION("""COMPUTED_VALUE"""),"prices plumber near me")</f>
        <v>prices plumber near me</v>
      </c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 t="str">
        <f>IFERROR(__xludf.DUMMYFUNCTION("""COMPUTED_VALUE"""),"emergency plumber cape town prices")</f>
        <v>emergency plumber cape town prices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tr">
        <f>IFERROR(__xludf.DUMMYFUNCTION("""COMPUTED_VALUE"""),"prices plumbers cape town")</f>
        <v>prices plumbers cape town</v>
      </c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 t="str">
        <f>IFERROR(__xludf.DUMMYFUNCTION("""COMPUTED_VALUE"""),"emergency plumber cape town qualified")</f>
        <v>emergency plumber cape town qualified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tr">
        <f>IFERROR(__xludf.DUMMYFUNCTION("""COMPUTED_VALUE"""),"prices plumbing company cape town")</f>
        <v>prices plumbing company cape town</v>
      </c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 t="str">
        <f>IFERROR(__xludf.DUMMYFUNCTION("""COMPUTED_VALUE"""),"emergency plumber cape town quote")</f>
        <v>emergency plumber cape town quote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tr">
        <f>IFERROR(__xludf.DUMMYFUNCTION("""COMPUTED_VALUE"""),"prices schmidhauser plumbing")</f>
        <v>prices schmidhauser plumbing</v>
      </c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tr">
        <f>IFERROR(__xludf.DUMMYFUNCTION("""COMPUTED_VALUE"""),"emergency plumber cape town reliable")</f>
        <v>emergency plumber cape town reliable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tr">
        <f>IFERROR(__xludf.DUMMYFUNCTION("""COMPUTED_VALUE"""),"qualified absolute plumbing cape town")</f>
        <v>qualified absolute plumbing cape town</v>
      </c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tr">
        <f>IFERROR(__xludf.DUMMYFUNCTION("""COMPUTED_VALUE"""),"emergency plumber cape town reputable")</f>
        <v>emergency plumber cape town reputable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 t="str">
        <f>IFERROR(__xludf.DUMMYFUNCTION("""COMPUTED_VALUE"""),"qualified aircon repair cape town")</f>
        <v>qualified aircon repair cape town</v>
      </c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 t="str">
        <f>IFERROR(__xludf.DUMMYFUNCTION("""COMPUTED_VALUE"""),"emergency plumber cape town review")</f>
        <v>emergency plumber cape town review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str">
        <f>IFERROR(__xludf.DUMMYFUNCTION("""COMPUTED_VALUE"""),"qualified bosman plumbers")</f>
        <v>qualified bosman plumbers</v>
      </c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tr">
        <f>IFERROR(__xludf.DUMMYFUNCTION("""COMPUTED_VALUE"""),"emergency plumber cape town reviews")</f>
        <v>emergency plumber cape town reviews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str">
        <f>IFERROR(__xludf.DUMMYFUNCTION("""COMPUTED_VALUE"""),"qualified drain surgeon cape town")</f>
        <v>qualified drain surgeon cape town</v>
      </c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tr">
        <f>IFERROR(__xludf.DUMMYFUNCTION("""COMPUTED_VALUE"""),"emergency plumber cape town same day")</f>
        <v>emergency plumber cape town same day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tr">
        <f>IFERROR(__xludf.DUMMYFUNCTION("""COMPUTED_VALUE"""),"qualified electrician cape town")</f>
        <v>qualified electrician cape town</v>
      </c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 t="str">
        <f>IFERROR(__xludf.DUMMYFUNCTION("""COMPUTED_VALUE"""),"emergency plumber cape town top rated")</f>
        <v>emergency plumber cape town top rated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tr">
        <f>IFERROR(__xludf.DUMMYFUNCTION("""COMPUTED_VALUE"""),"qualified emergency plumber cape town")</f>
        <v>qualified emergency plumber cape town</v>
      </c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 t="str">
        <f>IFERROR(__xludf.DUMMYFUNCTION("""COMPUTED_VALUE"""),"emergency plumber cape town trusted")</f>
        <v>emergency plumber cape town trusted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tr">
        <f>IFERROR(__xludf.DUMMYFUNCTION("""COMPUTED_VALUE"""),"qualified plumber near me")</f>
        <v>qualified plumber near me</v>
      </c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 t="str">
        <f>IFERROR(__xludf.DUMMYFUNCTION("""COMPUTED_VALUE"""),"emergency plumber cape town vs")</f>
        <v>emergency plumber cape town vs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tr">
        <f>IFERROR(__xludf.DUMMYFUNCTION("""COMPUTED_VALUE"""),"qualified plumbers cape town")</f>
        <v>qualified plumbers cape town</v>
      </c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 t="str">
        <f>IFERROR(__xludf.DUMMYFUNCTION("""COMPUTED_VALUE"""),"plumber near me")</f>
        <v>plumber near me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str">
        <f>IFERROR(__xludf.DUMMYFUNCTION("""COMPUTED_VALUE"""),"qualified plumbing company cape town")</f>
        <v>qualified plumbing company cape town</v>
      </c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 t="str">
        <f>IFERROR(__xludf.DUMMYFUNCTION("""COMPUTED_VALUE"""),"plumber near me 24 hour")</f>
        <v>plumber near me 24 hour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tr">
        <f>IFERROR(__xludf.DUMMYFUNCTION("""COMPUTED_VALUE"""),"qualified schmidhauser plumbing")</f>
        <v>qualified schmidhauser plumbing</v>
      </c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 t="str">
        <f>IFERROR(__xludf.DUMMYFUNCTION("""COMPUTED_VALUE"""),"plumber near me affordable")</f>
        <v>plumber near me affordable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tr">
        <f>IFERROR(__xludf.DUMMYFUNCTION("""COMPUTED_VALUE"""),"quote absolute plumbing cape town")</f>
        <v>quote absolute plumbing cape town</v>
      </c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 t="str">
        <f>IFERROR(__xludf.DUMMYFUNCTION("""COMPUTED_VALUE"""),"plumber near me alternatives")</f>
        <v>plumber near me alternatives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 t="str">
        <f>IFERROR(__xludf.DUMMYFUNCTION("""COMPUTED_VALUE"""),"quote aircon repair cape town")</f>
        <v>quote aircon repair cape town</v>
      </c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 t="str">
        <f>IFERROR(__xludf.DUMMYFUNCTION("""COMPUTED_VALUE"""),"plumber near me best")</f>
        <v>plumber near me best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str">
        <f>IFERROR(__xludf.DUMMYFUNCTION("""COMPUTED_VALUE"""),"quote bosman plumbers")</f>
        <v>quote bosman plumbers</v>
      </c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 t="str">
        <f>IFERROR(__xludf.DUMMYFUNCTION("""COMPUTED_VALUE"""),"plumber near me certified")</f>
        <v>plumber near me certified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 t="str">
        <f>IFERROR(__xludf.DUMMYFUNCTION("""COMPUTED_VALUE"""),"quote drain surgeon cape town")</f>
        <v>quote drain surgeon cape town</v>
      </c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tr">
        <f>IFERROR(__xludf.DUMMYFUNCTION("""COMPUTED_VALUE"""),"plumber near me compare")</f>
        <v>plumber near me compare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tr">
        <f>IFERROR(__xludf.DUMMYFUNCTION("""COMPUTED_VALUE"""),"quote electrician cape town")</f>
        <v>quote electrician cape town</v>
      </c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tr">
        <f>IFERROR(__xludf.DUMMYFUNCTION("""COMPUTED_VALUE"""),"plumber near me complaints")</f>
        <v>plumber near me complaints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str">
        <f>IFERROR(__xludf.DUMMYFUNCTION("""COMPUTED_VALUE"""),"quote emergency plumber cape town")</f>
        <v>quote emergency plumber cape town</v>
      </c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 t="str">
        <f>IFERROR(__xludf.DUMMYFUNCTION("""COMPUTED_VALUE"""),"plumber near me cost")</f>
        <v>plumber near me cost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 t="str">
        <f>IFERROR(__xludf.DUMMYFUNCTION("""COMPUTED_VALUE"""),"quote plumber near me")</f>
        <v>quote plumber near me</v>
      </c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 t="str">
        <f>IFERROR(__xludf.DUMMYFUNCTION("""COMPUTED_VALUE"""),"plumber near me insured")</f>
        <v>plumber near me insured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 t="str">
        <f>IFERROR(__xludf.DUMMYFUNCTION("""COMPUTED_VALUE"""),"quote plumbers cape town")</f>
        <v>quote plumbers cape town</v>
      </c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 t="str">
        <f>IFERROR(__xludf.DUMMYFUNCTION("""COMPUTED_VALUE"""),"plumber near me licensed")</f>
        <v>plumber near me licensed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tr">
        <f>IFERROR(__xludf.DUMMYFUNCTION("""COMPUTED_VALUE"""),"quote plumbing company cape town")</f>
        <v>quote plumbing company cape town</v>
      </c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 t="str">
        <f>IFERROR(__xludf.DUMMYFUNCTION("""COMPUTED_VALUE"""),"plumber near me local")</f>
        <v>plumber near me local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 t="str">
        <f>IFERROR(__xludf.DUMMYFUNCTION("""COMPUTED_VALUE"""),"quote schmidhauser plumbing")</f>
        <v>quote schmidhauser plumbing</v>
      </c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 t="str">
        <f>IFERROR(__xludf.DUMMYFUNCTION("""COMPUTED_VALUE"""),"plumber near me prices")</f>
        <v>plumber near me prices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str">
        <f>IFERROR(__xludf.DUMMYFUNCTION("""COMPUTED_VALUE"""),"reliable absolute plumbing cape town")</f>
        <v>reliable absolute plumbing cape town</v>
      </c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 t="str">
        <f>IFERROR(__xludf.DUMMYFUNCTION("""COMPUTED_VALUE"""),"plumber near me qualified")</f>
        <v>plumber near me qualified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tr">
        <f>IFERROR(__xludf.DUMMYFUNCTION("""COMPUTED_VALUE"""),"reliable aircon repair cape town")</f>
        <v>reliable aircon repair cape town</v>
      </c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 t="str">
        <f>IFERROR(__xludf.DUMMYFUNCTION("""COMPUTED_VALUE"""),"plumber near me quote")</f>
        <v>plumber near me quote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tr">
        <f>IFERROR(__xludf.DUMMYFUNCTION("""COMPUTED_VALUE"""),"reliable bosman plumbers")</f>
        <v>reliable bosman plumbers</v>
      </c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 t="str">
        <f>IFERROR(__xludf.DUMMYFUNCTION("""COMPUTED_VALUE"""),"plumber near me reliable")</f>
        <v>plumber near me reliable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 t="str">
        <f>IFERROR(__xludf.DUMMYFUNCTION("""COMPUTED_VALUE"""),"reliable drain surgeon cape town")</f>
        <v>reliable drain surgeon cape town</v>
      </c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tr">
        <f>IFERROR(__xludf.DUMMYFUNCTION("""COMPUTED_VALUE"""),"plumber near me reputable")</f>
        <v>plumber near me reputable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 t="str">
        <f>IFERROR(__xludf.DUMMYFUNCTION("""COMPUTED_VALUE"""),"reliable electrician cape town")</f>
        <v>reliable electrician cape town</v>
      </c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tr">
        <f>IFERROR(__xludf.DUMMYFUNCTION("""COMPUTED_VALUE"""),"plumber near me review")</f>
        <v>plumber near me review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 t="str">
        <f>IFERROR(__xludf.DUMMYFUNCTION("""COMPUTED_VALUE"""),"reliable emergency plumber cape town")</f>
        <v>reliable emergency plumber cape town</v>
      </c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 t="str">
        <f>IFERROR(__xludf.DUMMYFUNCTION("""COMPUTED_VALUE"""),"plumber near me reviews")</f>
        <v>plumber near me reviews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str">
        <f>IFERROR(__xludf.DUMMYFUNCTION("""COMPUTED_VALUE"""),"reliable plumber near me")</f>
        <v>reliable plumber near me</v>
      </c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 t="str">
        <f>IFERROR(__xludf.DUMMYFUNCTION("""COMPUTED_VALUE"""),"plumber near me same day")</f>
        <v>plumber near me same day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 t="str">
        <f>IFERROR(__xludf.DUMMYFUNCTION("""COMPUTED_VALUE"""),"reliable plumbers cape town")</f>
        <v>reliable plumbers cape town</v>
      </c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 t="str">
        <f>IFERROR(__xludf.DUMMYFUNCTION("""COMPUTED_VALUE"""),"plumber near me top rated")</f>
        <v>plumber near me top rated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 t="str">
        <f>IFERROR(__xludf.DUMMYFUNCTION("""COMPUTED_VALUE"""),"reliable plumbing company cape town")</f>
        <v>reliable plumbing company cape town</v>
      </c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 t="str">
        <f>IFERROR(__xludf.DUMMYFUNCTION("""COMPUTED_VALUE"""),"plumber near me trusted")</f>
        <v>plumber near me trusted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 t="str">
        <f>IFERROR(__xludf.DUMMYFUNCTION("""COMPUTED_VALUE"""),"reliable schmidhauser plumbing")</f>
        <v>reliable schmidhauser plumbing</v>
      </c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 t="str">
        <f>IFERROR(__xludf.DUMMYFUNCTION("""COMPUTED_VALUE"""),"plumber near me vs")</f>
        <v>plumber near me vs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 t="str">
        <f>IFERROR(__xludf.DUMMYFUNCTION("""COMPUTED_VALUE"""),"reputable absolute plumbing cape town")</f>
        <v>reputable absolute plumbing cape town</v>
      </c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 t="str">
        <f>IFERROR(__xludf.DUMMYFUNCTION("""COMPUTED_VALUE"""),"plumbers cape town 24 hour")</f>
        <v>plumbers cape town 24 hour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tr">
        <f>IFERROR(__xludf.DUMMYFUNCTION("""COMPUTED_VALUE"""),"reputable aircon repair cape town")</f>
        <v>reputable aircon repair cape town</v>
      </c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 t="str">
        <f>IFERROR(__xludf.DUMMYFUNCTION("""COMPUTED_VALUE"""),"plumbers cape town affordable")</f>
        <v>plumbers cape town affordable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tr">
        <f>IFERROR(__xludf.DUMMYFUNCTION("""COMPUTED_VALUE"""),"reputable bosman plumbers")</f>
        <v>reputable bosman plumbers</v>
      </c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tr">
        <f>IFERROR(__xludf.DUMMYFUNCTION("""COMPUTED_VALUE"""),"plumbers cape town alternatives")</f>
        <v>plumbers cape town alternatives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tr">
        <f>IFERROR(__xludf.DUMMYFUNCTION("""COMPUTED_VALUE"""),"reputable drain surgeon cape town")</f>
        <v>reputable drain surgeon cape town</v>
      </c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tr">
        <f>IFERROR(__xludf.DUMMYFUNCTION("""COMPUTED_VALUE"""),"plumbers cape town best")</f>
        <v>plumbers cape town best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f>IFERROR(__xludf.DUMMYFUNCTION("""COMPUTED_VALUE"""),"reputable electrician cape town")</f>
        <v>reputable electrician cape town</v>
      </c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 t="str">
        <f>IFERROR(__xludf.DUMMYFUNCTION("""COMPUTED_VALUE"""),"plumbers cape town certified")</f>
        <v>plumbers cape town certified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tr">
        <f>IFERROR(__xludf.DUMMYFUNCTION("""COMPUTED_VALUE"""),"reputable emergency plumber cape town")</f>
        <v>reputable emergency plumber cape town</v>
      </c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 t="str">
        <f>IFERROR(__xludf.DUMMYFUNCTION("""COMPUTED_VALUE"""),"plumbers cape town compare")</f>
        <v>plumbers cape town compare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tr">
        <f>IFERROR(__xludf.DUMMYFUNCTION("""COMPUTED_VALUE"""),"reputable plumber near me")</f>
        <v>reputable plumber near me</v>
      </c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 t="str">
        <f>IFERROR(__xludf.DUMMYFUNCTION("""COMPUTED_VALUE"""),"plumbers cape town complaints")</f>
        <v>plumbers cape town complaints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tr">
        <f>IFERROR(__xludf.DUMMYFUNCTION("""COMPUTED_VALUE"""),"reputable plumbers cape town")</f>
        <v>reputable plumbers cape town</v>
      </c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 t="str">
        <f>IFERROR(__xludf.DUMMYFUNCTION("""COMPUTED_VALUE"""),"plumbers cape town cost")</f>
        <v>plumbers cape town cost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tr">
        <f>IFERROR(__xludf.DUMMYFUNCTION("""COMPUTED_VALUE"""),"reputable plumbing company cape town")</f>
        <v>reputable plumbing company cape town</v>
      </c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tr">
        <f>IFERROR(__xludf.DUMMYFUNCTION("""COMPUTED_VALUE"""),"plumbers cape town insured")</f>
        <v>plumbers cape town insured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tr">
        <f>IFERROR(__xludf.DUMMYFUNCTION("""COMPUTED_VALUE"""),"reputable schmidhauser plumbing")</f>
        <v>reputable schmidhauser plumbing</v>
      </c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 t="str">
        <f>IFERROR(__xludf.DUMMYFUNCTION("""COMPUTED_VALUE"""),"plumbers cape town licensed")</f>
        <v>plumbers cape town licensed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str">
        <f>IFERROR(__xludf.DUMMYFUNCTION("""COMPUTED_VALUE"""),"review absolute plumbing cape town")</f>
        <v>review absolute plumbing cape town</v>
      </c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 t="str">
        <f>IFERROR(__xludf.DUMMYFUNCTION("""COMPUTED_VALUE"""),"plumbers cape town local")</f>
        <v>plumbers cape town local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str">
        <f>IFERROR(__xludf.DUMMYFUNCTION("""COMPUTED_VALUE"""),"review aircon repair cape town")</f>
        <v>review aircon repair cape town</v>
      </c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tr">
        <f>IFERROR(__xludf.DUMMYFUNCTION("""COMPUTED_VALUE"""),"plumbers cape town near me")</f>
        <v>plumbers cape town near me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str">
        <f>IFERROR(__xludf.DUMMYFUNCTION("""COMPUTED_VALUE"""),"review bosman plumbers")</f>
        <v>review bosman plumbers</v>
      </c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 t="str">
        <f>IFERROR(__xludf.DUMMYFUNCTION("""COMPUTED_VALUE"""),"plumbers cape town prices")</f>
        <v>plumbers cape town prices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 t="str">
        <f>IFERROR(__xludf.DUMMYFUNCTION("""COMPUTED_VALUE"""),"review drain surgeon cape town")</f>
        <v>review drain surgeon cape town</v>
      </c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 t="str">
        <f>IFERROR(__xludf.DUMMYFUNCTION("""COMPUTED_VALUE"""),"plumbers cape town qualified")</f>
        <v>plumbers cape town qualified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 t="str">
        <f>IFERROR(__xludf.DUMMYFUNCTION("""COMPUTED_VALUE"""),"review electrician cape town")</f>
        <v>review electrician cape town</v>
      </c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 t="str">
        <f>IFERROR(__xludf.DUMMYFUNCTION("""COMPUTED_VALUE"""),"plumbers cape town quote")</f>
        <v>plumbers cape town quote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tr">
        <f>IFERROR(__xludf.DUMMYFUNCTION("""COMPUTED_VALUE"""),"review emergency plumber cape town")</f>
        <v>review emergency plumber cape town</v>
      </c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tr">
        <f>IFERROR(__xludf.DUMMYFUNCTION("""COMPUTED_VALUE"""),"plumbers cape town reliable")</f>
        <v>plumbers cape town reliable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tr">
        <f>IFERROR(__xludf.DUMMYFUNCTION("""COMPUTED_VALUE"""),"review plumber near me")</f>
        <v>review plumber near me</v>
      </c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 t="str">
        <f>IFERROR(__xludf.DUMMYFUNCTION("""COMPUTED_VALUE"""),"plumbers cape town reputable")</f>
        <v>plumbers cape town reputable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tr">
        <f>IFERROR(__xludf.DUMMYFUNCTION("""COMPUTED_VALUE"""),"review plumbers cape town")</f>
        <v>review plumbers cape town</v>
      </c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tr">
        <f>IFERROR(__xludf.DUMMYFUNCTION("""COMPUTED_VALUE"""),"plumbers cape town review")</f>
        <v>plumbers cape town review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 t="str">
        <f>IFERROR(__xludf.DUMMYFUNCTION("""COMPUTED_VALUE"""),"review plumbing company cape town")</f>
        <v>review plumbing company cape town</v>
      </c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 t="str">
        <f>IFERROR(__xludf.DUMMYFUNCTION("""COMPUTED_VALUE"""),"plumbers cape town reviews")</f>
        <v>plumbers cape town reviews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tr">
        <f>IFERROR(__xludf.DUMMYFUNCTION("""COMPUTED_VALUE"""),"review schmidhauser plumbing")</f>
        <v>review schmidhauser plumbing</v>
      </c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 t="str">
        <f>IFERROR(__xludf.DUMMYFUNCTION("""COMPUTED_VALUE"""),"plumbers cape town same day")</f>
        <v>plumbers cape town same day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 t="str">
        <f>IFERROR(__xludf.DUMMYFUNCTION("""COMPUTED_VALUE"""),"reviews absolute plumbing cape town")</f>
        <v>reviews absolute plumbing cape town</v>
      </c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 t="str">
        <f>IFERROR(__xludf.DUMMYFUNCTION("""COMPUTED_VALUE"""),"plumbers cape town top rated")</f>
        <v>plumbers cape town top rated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 t="str">
        <f>IFERROR(__xludf.DUMMYFUNCTION("""COMPUTED_VALUE"""),"reviews aircon repair cape town")</f>
        <v>reviews aircon repair cape town</v>
      </c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 t="str">
        <f>IFERROR(__xludf.DUMMYFUNCTION("""COMPUTED_VALUE"""),"plumbers cape town trusted")</f>
        <v>plumbers cape town trusted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 t="str">
        <f>IFERROR(__xludf.DUMMYFUNCTION("""COMPUTED_VALUE"""),"reviews bosman plumbers")</f>
        <v>reviews bosman plumbers</v>
      </c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 t="str">
        <f>IFERROR(__xludf.DUMMYFUNCTION("""COMPUTED_VALUE"""),"plumbers cape town vs")</f>
        <v>plumbers cape town vs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 t="str">
        <f>IFERROR(__xludf.DUMMYFUNCTION("""COMPUTED_VALUE"""),"reviews drain surgeon cape town")</f>
        <v>reviews drain surgeon cape town</v>
      </c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 t="str">
        <f>IFERROR(__xludf.DUMMYFUNCTION("""COMPUTED_VALUE"""),"plumbing company cape town 24 hour")</f>
        <v>plumbing company cape town 24 hour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 t="str">
        <f>IFERROR(__xludf.DUMMYFUNCTION("""COMPUTED_VALUE"""),"reviews electrician cape town")</f>
        <v>reviews electrician cape town</v>
      </c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 t="str">
        <f>IFERROR(__xludf.DUMMYFUNCTION("""COMPUTED_VALUE"""),"plumbing company cape town affordable")</f>
        <v>plumbing company cape town affordable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 t="str">
        <f>IFERROR(__xludf.DUMMYFUNCTION("""COMPUTED_VALUE"""),"reviews emergency plumber cape town")</f>
        <v>reviews emergency plumber cape town</v>
      </c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 t="str">
        <f>IFERROR(__xludf.DUMMYFUNCTION("""COMPUTED_VALUE"""),"plumbing company cape town alternatives")</f>
        <v>plumbing company cape town alternatives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 t="str">
        <f>IFERROR(__xludf.DUMMYFUNCTION("""COMPUTED_VALUE"""),"reviews plumber near me")</f>
        <v>reviews plumber near me</v>
      </c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 t="str">
        <f>IFERROR(__xludf.DUMMYFUNCTION("""COMPUTED_VALUE"""),"plumbing company cape town best")</f>
        <v>plumbing company cape town best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 t="str">
        <f>IFERROR(__xludf.DUMMYFUNCTION("""COMPUTED_VALUE"""),"reviews plumbers cape town")</f>
        <v>reviews plumbers cape town</v>
      </c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 t="str">
        <f>IFERROR(__xludf.DUMMYFUNCTION("""COMPUTED_VALUE"""),"plumbing company cape town certified")</f>
        <v>plumbing company cape town certified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 t="str">
        <f>IFERROR(__xludf.DUMMYFUNCTION("""COMPUTED_VALUE"""),"reviews plumbing company cape town")</f>
        <v>reviews plumbing company cape town</v>
      </c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 t="str">
        <f>IFERROR(__xludf.DUMMYFUNCTION("""COMPUTED_VALUE"""),"plumbing company cape town compare")</f>
        <v>plumbing company cape town compare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str">
        <f>IFERROR(__xludf.DUMMYFUNCTION("""COMPUTED_VALUE"""),"reviews schmidhauser plumbing")</f>
        <v>reviews schmidhauser plumbing</v>
      </c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 t="str">
        <f>IFERROR(__xludf.DUMMYFUNCTION("""COMPUTED_VALUE"""),"plumbing company cape town complaints")</f>
        <v>plumbing company cape town complaints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 t="str">
        <f>IFERROR(__xludf.DUMMYFUNCTION("""COMPUTED_VALUE"""),"same day absolute plumbing cape town")</f>
        <v>same day absolute plumbing cape town</v>
      </c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 t="str">
        <f>IFERROR(__xludf.DUMMYFUNCTION("""COMPUTED_VALUE"""),"plumbing company cape town cost")</f>
        <v>plumbing company cape town cost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 t="str">
        <f>IFERROR(__xludf.DUMMYFUNCTION("""COMPUTED_VALUE"""),"same day aircon repair cape town")</f>
        <v>same day aircon repair cape town</v>
      </c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 t="str">
        <f>IFERROR(__xludf.DUMMYFUNCTION("""COMPUTED_VALUE"""),"plumbing company cape town insured")</f>
        <v>plumbing company cape town insured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 t="str">
        <f>IFERROR(__xludf.DUMMYFUNCTION("""COMPUTED_VALUE"""),"same day bosman plumbers")</f>
        <v>same day bosman plumbers</v>
      </c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 t="str">
        <f>IFERROR(__xludf.DUMMYFUNCTION("""COMPUTED_VALUE"""),"plumbing company cape town licensed")</f>
        <v>plumbing company cape town licensed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str">
        <f>IFERROR(__xludf.DUMMYFUNCTION("""COMPUTED_VALUE"""),"same day drain surgeon cape town")</f>
        <v>same day drain surgeon cape town</v>
      </c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 t="str">
        <f>IFERROR(__xludf.DUMMYFUNCTION("""COMPUTED_VALUE"""),"plumbing company cape town local")</f>
        <v>plumbing company cape town local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 t="str">
        <f>IFERROR(__xludf.DUMMYFUNCTION("""COMPUTED_VALUE"""),"same day electrician cape town")</f>
        <v>same day electrician cape town</v>
      </c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 t="str">
        <f>IFERROR(__xludf.DUMMYFUNCTION("""COMPUTED_VALUE"""),"plumbing company cape town near me")</f>
        <v>plumbing company cape town near me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 t="str">
        <f>IFERROR(__xludf.DUMMYFUNCTION("""COMPUTED_VALUE"""),"same day emergency plumber cape town")</f>
        <v>same day emergency plumber cape town</v>
      </c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 t="str">
        <f>IFERROR(__xludf.DUMMYFUNCTION("""COMPUTED_VALUE"""),"plumbing company cape town prices")</f>
        <v>plumbing company cape town prices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 t="str">
        <f>IFERROR(__xludf.DUMMYFUNCTION("""COMPUTED_VALUE"""),"same day plumber near me")</f>
        <v>same day plumber near me</v>
      </c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 t="str">
        <f>IFERROR(__xludf.DUMMYFUNCTION("""COMPUTED_VALUE"""),"plumbing company cape town qualified")</f>
        <v>plumbing company cape town qualified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 t="str">
        <f>IFERROR(__xludf.DUMMYFUNCTION("""COMPUTED_VALUE"""),"same day plumbers cape town")</f>
        <v>same day plumbers cape town</v>
      </c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 t="str">
        <f>IFERROR(__xludf.DUMMYFUNCTION("""COMPUTED_VALUE"""),"plumbing company cape town quote")</f>
        <v>plumbing company cape town quote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tr">
        <f>IFERROR(__xludf.DUMMYFUNCTION("""COMPUTED_VALUE"""),"same day plumbing company cape town")</f>
        <v>same day plumbing company cape town</v>
      </c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 t="str">
        <f>IFERROR(__xludf.DUMMYFUNCTION("""COMPUTED_VALUE"""),"plumbing company cape town reliable")</f>
        <v>plumbing company cape town reliable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 t="str">
        <f>IFERROR(__xludf.DUMMYFUNCTION("""COMPUTED_VALUE"""),"same day schmidhauser plumbing")</f>
        <v>same day schmidhauser plumbing</v>
      </c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 t="str">
        <f>IFERROR(__xludf.DUMMYFUNCTION("""COMPUTED_VALUE"""),"plumbing company cape town reputable")</f>
        <v>plumbing company cape town reputable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 t="str">
        <f>IFERROR(__xludf.DUMMYFUNCTION("""COMPUTED_VALUE"""),"top rated absolute plumbing cape town")</f>
        <v>top rated absolute plumbing cape town</v>
      </c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 t="str">
        <f>IFERROR(__xludf.DUMMYFUNCTION("""COMPUTED_VALUE"""),"plumbing company cape town review")</f>
        <v>plumbing company cape town review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 t="str">
        <f>IFERROR(__xludf.DUMMYFUNCTION("""COMPUTED_VALUE"""),"top rated aircon repair cape town")</f>
        <v>top rated aircon repair cape town</v>
      </c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 t="str">
        <f>IFERROR(__xludf.DUMMYFUNCTION("""COMPUTED_VALUE"""),"plumbing company cape town reviews")</f>
        <v>plumbing company cape town reviews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 t="str">
        <f>IFERROR(__xludf.DUMMYFUNCTION("""COMPUTED_VALUE"""),"top rated bosman plumbers")</f>
        <v>top rated bosman plumbers</v>
      </c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 t="str">
        <f>IFERROR(__xludf.DUMMYFUNCTION("""COMPUTED_VALUE"""),"plumbing company cape town same day")</f>
        <v>plumbing company cape town same day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 t="str">
        <f>IFERROR(__xludf.DUMMYFUNCTION("""COMPUTED_VALUE"""),"top rated drain surgeon cape town")</f>
        <v>top rated drain surgeon cape town</v>
      </c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 t="str">
        <f>IFERROR(__xludf.DUMMYFUNCTION("""COMPUTED_VALUE"""),"plumbing company cape town top rated")</f>
        <v>plumbing company cape town top rated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 t="str">
        <f>IFERROR(__xludf.DUMMYFUNCTION("""COMPUTED_VALUE"""),"top rated electrician cape town")</f>
        <v>top rated electrician cape town</v>
      </c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 t="str">
        <f>IFERROR(__xludf.DUMMYFUNCTION("""COMPUTED_VALUE"""),"plumbing company cape town trusted")</f>
        <v>plumbing company cape town trusted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 t="str">
        <f>IFERROR(__xludf.DUMMYFUNCTION("""COMPUTED_VALUE"""),"top rated emergency plumber cape town")</f>
        <v>top rated emergency plumber cape town</v>
      </c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 t="str">
        <f>IFERROR(__xludf.DUMMYFUNCTION("""COMPUTED_VALUE"""),"plumbing company cape town vs")</f>
        <v>plumbing company cape town vs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 t="str">
        <f>IFERROR(__xludf.DUMMYFUNCTION("""COMPUTED_VALUE"""),"top rated plumber near me")</f>
        <v>top rated plumber near me</v>
      </c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 t="str">
        <f>IFERROR(__xludf.DUMMYFUNCTION("""COMPUTED_VALUE"""),"schmidhauser plumbing 24 hour")</f>
        <v>schmidhauser plumbing 24 hour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 t="str">
        <f>IFERROR(__xludf.DUMMYFUNCTION("""COMPUTED_VALUE"""),"top rated plumbers cape town")</f>
        <v>top rated plumbers cape town</v>
      </c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 t="str">
        <f>IFERROR(__xludf.DUMMYFUNCTION("""COMPUTED_VALUE"""),"schmidhauser plumbing affordable")</f>
        <v>schmidhauser plumbing affordable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 t="str">
        <f>IFERROR(__xludf.DUMMYFUNCTION("""COMPUTED_VALUE"""),"top rated plumbing company cape town")</f>
        <v>top rated plumbing company cape town</v>
      </c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 t="str">
        <f>IFERROR(__xludf.DUMMYFUNCTION("""COMPUTED_VALUE"""),"schmidhauser plumbing alternatives")</f>
        <v>schmidhauser plumbing alternatives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 t="str">
        <f>IFERROR(__xludf.DUMMYFUNCTION("""COMPUTED_VALUE"""),"top rated schmidhauser plumbing")</f>
        <v>top rated schmidhauser plumbing</v>
      </c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 t="str">
        <f>IFERROR(__xludf.DUMMYFUNCTION("""COMPUTED_VALUE"""),"schmidhauser plumbing best")</f>
        <v>schmidhauser plumbing best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 t="str">
        <f>IFERROR(__xludf.DUMMYFUNCTION("""COMPUTED_VALUE"""),"trusted absolute plumbing cape town")</f>
        <v>trusted absolute plumbing cape town</v>
      </c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 t="str">
        <f>IFERROR(__xludf.DUMMYFUNCTION("""COMPUTED_VALUE"""),"schmidhauser plumbing certified")</f>
        <v>schmidhauser plumbing certified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 t="str">
        <f>IFERROR(__xludf.DUMMYFUNCTION("""COMPUTED_VALUE"""),"trusted aircon repair cape town")</f>
        <v>trusted aircon repair cape town</v>
      </c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 t="str">
        <f>IFERROR(__xludf.DUMMYFUNCTION("""COMPUTED_VALUE"""),"schmidhauser plumbing compare")</f>
        <v>schmidhauser plumbing compare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 t="str">
        <f>IFERROR(__xludf.DUMMYFUNCTION("""COMPUTED_VALUE"""),"trusted bosman plumbers")</f>
        <v>trusted bosman plumbers</v>
      </c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 t="str">
        <f>IFERROR(__xludf.DUMMYFUNCTION("""COMPUTED_VALUE"""),"schmidhauser plumbing complaints")</f>
        <v>schmidhauser plumbing complaints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 t="str">
        <f>IFERROR(__xludf.DUMMYFUNCTION("""COMPUTED_VALUE"""),"trusted drain surgeon cape town")</f>
        <v>trusted drain surgeon cape town</v>
      </c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 t="str">
        <f>IFERROR(__xludf.DUMMYFUNCTION("""COMPUTED_VALUE"""),"schmidhauser plumbing cost")</f>
        <v>schmidhauser plumbing cost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 t="str">
        <f>IFERROR(__xludf.DUMMYFUNCTION("""COMPUTED_VALUE"""),"trusted electrician cape town")</f>
        <v>trusted electrician cape town</v>
      </c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 t="str">
        <f>IFERROR(__xludf.DUMMYFUNCTION("""COMPUTED_VALUE"""),"schmidhauser plumbing insured")</f>
        <v>schmidhauser plumbing insured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 t="str">
        <f>IFERROR(__xludf.DUMMYFUNCTION("""COMPUTED_VALUE"""),"trusted emergency plumber cape town")</f>
        <v>trusted emergency plumber cape town</v>
      </c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 t="str">
        <f>IFERROR(__xludf.DUMMYFUNCTION("""COMPUTED_VALUE"""),"schmidhauser plumbing licensed")</f>
        <v>schmidhauser plumbing licensed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 t="str">
        <f>IFERROR(__xludf.DUMMYFUNCTION("""COMPUTED_VALUE"""),"trusted plumber near me")</f>
        <v>trusted plumber near me</v>
      </c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 t="str">
        <f>IFERROR(__xludf.DUMMYFUNCTION("""COMPUTED_VALUE"""),"schmidhauser plumbing local")</f>
        <v>schmidhauser plumbing local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 t="str">
        <f>IFERROR(__xludf.DUMMYFUNCTION("""COMPUTED_VALUE"""),"trusted plumbers cape town")</f>
        <v>trusted plumbers cape town</v>
      </c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 t="str">
        <f>IFERROR(__xludf.DUMMYFUNCTION("""COMPUTED_VALUE"""),"schmidhauser plumbing near me")</f>
        <v>schmidhauser plumbing near me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 t="str">
        <f>IFERROR(__xludf.DUMMYFUNCTION("""COMPUTED_VALUE"""),"trusted plumbing company cape town")</f>
        <v>trusted plumbing company cape town</v>
      </c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 t="str">
        <f>IFERROR(__xludf.DUMMYFUNCTION("""COMPUTED_VALUE"""),"schmidhauser plumbing prices")</f>
        <v>schmidhauser plumbing prices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 t="str">
        <f>IFERROR(__xludf.DUMMYFUNCTION("""COMPUTED_VALUE"""),"trusted schmidhauser plumbing")</f>
        <v>trusted schmidhauser plumbing</v>
      </c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 t="str">
        <f>IFERROR(__xludf.DUMMYFUNCTION("""COMPUTED_VALUE"""),"schmidhauser plumbing qualified")</f>
        <v>schmidhauser plumbing qualified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 t="str">
        <f>IFERROR(__xludf.DUMMYFUNCTION("""COMPUTED_VALUE"""),"vs absolute plumbing cape town")</f>
        <v>vs absolute plumbing cape town</v>
      </c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 t="str">
        <f>IFERROR(__xludf.DUMMYFUNCTION("""COMPUTED_VALUE"""),"schmidhauser plumbing quote")</f>
        <v>schmidhauser plumbing quote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 t="str">
        <f>IFERROR(__xludf.DUMMYFUNCTION("""COMPUTED_VALUE"""),"vs aircon repair cape town")</f>
        <v>vs aircon repair cape town</v>
      </c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 t="str">
        <f>IFERROR(__xludf.DUMMYFUNCTION("""COMPUTED_VALUE"""),"schmidhauser plumbing reliable")</f>
        <v>schmidhauser plumbing reliable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 t="str">
        <f>IFERROR(__xludf.DUMMYFUNCTION("""COMPUTED_VALUE"""),"vs bosman plumbers")</f>
        <v>vs bosman plumbers</v>
      </c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 t="str">
        <f>IFERROR(__xludf.DUMMYFUNCTION("""COMPUTED_VALUE"""),"schmidhauser plumbing reputable")</f>
        <v>schmidhauser plumbing reputable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 t="str">
        <f>IFERROR(__xludf.DUMMYFUNCTION("""COMPUTED_VALUE"""),"vs drain surgeon cape town")</f>
        <v>vs drain surgeon cape town</v>
      </c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 t="str">
        <f>IFERROR(__xludf.DUMMYFUNCTION("""COMPUTED_VALUE"""),"schmidhauser plumbing review")</f>
        <v>schmidhauser plumbing review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 t="str">
        <f>IFERROR(__xludf.DUMMYFUNCTION("""COMPUTED_VALUE"""),"vs electrician cape town")</f>
        <v>vs electrician cape town</v>
      </c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 t="str">
        <f>IFERROR(__xludf.DUMMYFUNCTION("""COMPUTED_VALUE"""),"schmidhauser plumbing reviews")</f>
        <v>schmidhauser plumbing reviews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 t="str">
        <f>IFERROR(__xludf.DUMMYFUNCTION("""COMPUTED_VALUE"""),"vs emergency plumber cape town")</f>
        <v>vs emergency plumber cape town</v>
      </c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 t="str">
        <f>IFERROR(__xludf.DUMMYFUNCTION("""COMPUTED_VALUE"""),"schmidhauser plumbing same day")</f>
        <v>schmidhauser plumbing same day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 t="str">
        <f>IFERROR(__xludf.DUMMYFUNCTION("""COMPUTED_VALUE"""),"vs plumber near me")</f>
        <v>vs plumber near me</v>
      </c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 t="str">
        <f>IFERROR(__xludf.DUMMYFUNCTION("""COMPUTED_VALUE"""),"schmidhauser plumbing top rated")</f>
        <v>schmidhauser plumbing top rated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 t="str">
        <f>IFERROR(__xludf.DUMMYFUNCTION("""COMPUTED_VALUE"""),"vs plumbers cape town")</f>
        <v>vs plumbers cape town</v>
      </c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 t="str">
        <f>IFERROR(__xludf.DUMMYFUNCTION("""COMPUTED_VALUE"""),"schmidhauser plumbing trusted")</f>
        <v>schmidhauser plumbing trusted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 t="str">
        <f>IFERROR(__xludf.DUMMYFUNCTION("""COMPUTED_VALUE"""),"vs plumbing company cape town")</f>
        <v>vs plumbing company cape town</v>
      </c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 t="str">
        <f>IFERROR(__xludf.DUMMYFUNCTION("""COMPUTED_VALUE"""),"schmidhauser plumbing vs")</f>
        <v>schmidhauser plumbing vs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 t="str">
        <f>IFERROR(__xludf.DUMMYFUNCTION("""COMPUTED_VALUE"""),"vs schmidhauser plumbing")</f>
        <v>vs schmidhauser plumbing</v>
      </c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2" t="s">
        <v>184</v>
      </c>
      <c r="C1" s="2" t="s">
        <v>11</v>
      </c>
      <c r="D1" s="2" t="s">
        <v>106</v>
      </c>
      <c r="E1" s="2" t="s">
        <v>112</v>
      </c>
      <c r="F1" s="2" t="s">
        <v>185</v>
      </c>
      <c r="G1" s="2" t="s">
        <v>186</v>
      </c>
      <c r="H1" s="2" t="s">
        <v>135</v>
      </c>
      <c r="I1" s="2" t="s">
        <v>137</v>
      </c>
      <c r="J1" s="2" t="s">
        <v>7</v>
      </c>
      <c r="K1" s="2" t="s">
        <v>187</v>
      </c>
      <c r="L1" s="5" t="s">
        <v>21</v>
      </c>
      <c r="M1" s="2"/>
      <c r="N1" s="2" t="s">
        <v>184</v>
      </c>
      <c r="O1" s="2" t="s">
        <v>11</v>
      </c>
      <c r="P1" s="2" t="s">
        <v>106</v>
      </c>
      <c r="Q1" s="2" t="s">
        <v>112</v>
      </c>
      <c r="R1" s="2" t="s">
        <v>185</v>
      </c>
      <c r="S1" s="2" t="s">
        <v>186</v>
      </c>
      <c r="T1" s="2" t="s">
        <v>135</v>
      </c>
      <c r="U1" s="2" t="s">
        <v>137</v>
      </c>
      <c r="V1" s="2" t="s">
        <v>7</v>
      </c>
      <c r="W1" s="2" t="s">
        <v>187</v>
      </c>
      <c r="X1" s="8" t="s">
        <v>32</v>
      </c>
      <c r="Y1" s="4"/>
      <c r="Z1" s="4"/>
    </row>
    <row r="2">
      <c r="A2" s="9" t="s">
        <v>35</v>
      </c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41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4"/>
      <c r="Z2" s="4"/>
    </row>
    <row r="3">
      <c r="A3" s="13" t="s">
        <v>188</v>
      </c>
      <c r="B3" s="14" t="str">
        <f t="shared" ref="B3:K3" si="1">IF($A3="","",IF(OR(ISNUMBER(SEARCH(LOWER($A3),LOWER(B$1))),AND(RIGHT(LOWER($A3),1)="s",ISNUMBER(SEARCH(LEFT(LOWER($A3),LEN($A3)-1),LOWER(B$1))))),B$1,B$1&amp;" "&amp;$A3))</f>
        <v>plumber cost how much does</v>
      </c>
      <c r="C3" s="14" t="str">
        <f t="shared" si="1"/>
        <v>geyser repair how much does</v>
      </c>
      <c r="D3" s="14" t="str">
        <f t="shared" si="1"/>
        <v>blocked drain how much does</v>
      </c>
      <c r="E3" s="14" t="str">
        <f t="shared" si="1"/>
        <v>leak detection how much does</v>
      </c>
      <c r="F3" s="14" t="str">
        <f t="shared" si="1"/>
        <v>burst pipe how much does</v>
      </c>
      <c r="G3" s="14" t="str">
        <f t="shared" si="1"/>
        <v>electrical COC how much does</v>
      </c>
      <c r="H3" s="14" t="str">
        <f t="shared" si="1"/>
        <v>aircon service how much does</v>
      </c>
      <c r="I3" s="14" t="str">
        <f t="shared" si="1"/>
        <v>refrigeration repair how much does</v>
      </c>
      <c r="J3" s="14" t="str">
        <f t="shared" si="1"/>
        <v>emergency plumber how much does</v>
      </c>
      <c r="K3" s="14" t="str">
        <f t="shared" si="1"/>
        <v>plumbing maintenance how much does</v>
      </c>
      <c r="L3" s="16" t="str">
        <f>IFERROR(__xludf.DUMMYFUNCTION("SORT(UNIQUE(FILTER(FLATTEN(B3:K82),FLATTEN(B3:K82)&lt;&gt;"""")))"),"aircon service best way to fix")</f>
        <v>aircon service best way to fix</v>
      </c>
      <c r="M3" s="17"/>
      <c r="N3" s="14" t="str">
        <f t="shared" ref="N3:W3" si="2">IF($A3="","",IF(OR(ISNUMBER(SEARCH(LOWER($A3),LOWER(N$1))),AND(RIGHT(LOWER($A3),1)="s",ISNUMBER(SEARCH(LEFT(LOWER($A3),LEN($A3)-1),LOWER(N$1))))),N$1,$A3&amp;" "&amp;N$1))</f>
        <v>how much does plumber cost</v>
      </c>
      <c r="O3" s="14" t="str">
        <f t="shared" si="2"/>
        <v>how much does geyser repair</v>
      </c>
      <c r="P3" s="14" t="str">
        <f t="shared" si="2"/>
        <v>how much does blocked drain</v>
      </c>
      <c r="Q3" s="14" t="str">
        <f t="shared" si="2"/>
        <v>how much does leak detection</v>
      </c>
      <c r="R3" s="14" t="str">
        <f t="shared" si="2"/>
        <v>how much does burst pipe</v>
      </c>
      <c r="S3" s="14" t="str">
        <f t="shared" si="2"/>
        <v>how much does electrical COC</v>
      </c>
      <c r="T3" s="14" t="str">
        <f t="shared" si="2"/>
        <v>how much does aircon service</v>
      </c>
      <c r="U3" s="14" t="str">
        <f t="shared" si="2"/>
        <v>how much does refrigeration repair</v>
      </c>
      <c r="V3" s="14" t="str">
        <f t="shared" si="2"/>
        <v>how much does emergency plumber</v>
      </c>
      <c r="W3" s="14" t="str">
        <f t="shared" si="2"/>
        <v>how much does plumbing maintenance</v>
      </c>
      <c r="X3" s="18" t="str">
        <f>IFERROR(__xludf.DUMMYFUNCTION("SORT(UNIQUE(FILTER(FLATTEN(N3:W82),FLATTEN(N3:W82)&lt;&gt;"""")))"),"best way to fix aircon service")</f>
        <v>best way to fix aircon service</v>
      </c>
      <c r="Y3" s="4"/>
      <c r="Z3" s="4"/>
    </row>
    <row r="4">
      <c r="A4" s="13" t="s">
        <v>189</v>
      </c>
      <c r="B4" s="14" t="str">
        <f t="shared" ref="B4:K4" si="3">IF($A4="","",IF(OR(ISNUMBER(SEARCH(LOWER($A4),LOWER(B$1))),AND(RIGHT(LOWER($A4),1)="s",ISNUMBER(SEARCH(LEFT(LOWER($A4),LEN($A4)-1),LOWER(B$1))))),B$1,B$1&amp;" "&amp;$A4))</f>
        <v>plumber cost what is</v>
      </c>
      <c r="C4" s="14" t="str">
        <f t="shared" si="3"/>
        <v>geyser repair what is</v>
      </c>
      <c r="D4" s="14" t="str">
        <f t="shared" si="3"/>
        <v>blocked drain what is</v>
      </c>
      <c r="E4" s="14" t="str">
        <f t="shared" si="3"/>
        <v>leak detection what is</v>
      </c>
      <c r="F4" s="14" t="str">
        <f t="shared" si="3"/>
        <v>burst pipe what is</v>
      </c>
      <c r="G4" s="14" t="str">
        <f t="shared" si="3"/>
        <v>electrical COC what is</v>
      </c>
      <c r="H4" s="14" t="str">
        <f t="shared" si="3"/>
        <v>aircon service what is</v>
      </c>
      <c r="I4" s="14" t="str">
        <f t="shared" si="3"/>
        <v>refrigeration repair what is</v>
      </c>
      <c r="J4" s="14" t="str">
        <f t="shared" si="3"/>
        <v>emergency plumber what is</v>
      </c>
      <c r="K4" s="14" t="str">
        <f t="shared" si="3"/>
        <v>plumbing maintenance what is</v>
      </c>
      <c r="L4" s="16" t="str">
        <f>IFERROR(__xludf.DUMMYFUNCTION("""COMPUTED_VALUE"""),"aircon service can a plumber fix")</f>
        <v>aircon service can a plumber fix</v>
      </c>
      <c r="M4" s="17"/>
      <c r="N4" s="14" t="str">
        <f t="shared" ref="N4:W4" si="4">IF($A4="","",IF(OR(ISNUMBER(SEARCH(LOWER($A4),LOWER(N$1))),AND(RIGHT(LOWER($A4),1)="s",ISNUMBER(SEARCH(LEFT(LOWER($A4),LEN($A4)-1),LOWER(N$1))))),N$1,$A4&amp;" "&amp;N$1))</f>
        <v>what is plumber cost</v>
      </c>
      <c r="O4" s="14" t="str">
        <f t="shared" si="4"/>
        <v>what is geyser repair</v>
      </c>
      <c r="P4" s="14" t="str">
        <f t="shared" si="4"/>
        <v>what is blocked drain</v>
      </c>
      <c r="Q4" s="14" t="str">
        <f t="shared" si="4"/>
        <v>what is leak detection</v>
      </c>
      <c r="R4" s="14" t="str">
        <f t="shared" si="4"/>
        <v>what is burst pipe</v>
      </c>
      <c r="S4" s="14" t="str">
        <f t="shared" si="4"/>
        <v>what is electrical COC</v>
      </c>
      <c r="T4" s="14" t="str">
        <f t="shared" si="4"/>
        <v>what is aircon service</v>
      </c>
      <c r="U4" s="14" t="str">
        <f t="shared" si="4"/>
        <v>what is refrigeration repair</v>
      </c>
      <c r="V4" s="14" t="str">
        <f t="shared" si="4"/>
        <v>what is emergency plumber</v>
      </c>
      <c r="W4" s="14" t="str">
        <f t="shared" si="4"/>
        <v>what is plumbing maintenance</v>
      </c>
      <c r="X4" s="18" t="str">
        <f>IFERROR(__xludf.DUMMYFUNCTION("""COMPUTED_VALUE"""),"best way to fix blocked drain")</f>
        <v>best way to fix blocked drain</v>
      </c>
      <c r="Y4" s="4"/>
      <c r="Z4" s="4"/>
    </row>
    <row r="5">
      <c r="A5" s="13" t="s">
        <v>190</v>
      </c>
      <c r="B5" s="14" t="str">
        <f t="shared" ref="B5:K5" si="5">IF($A5="","",IF(OR(ISNUMBER(SEARCH(LOWER($A5),LOWER(B$1))),AND(RIGHT(LOWER($A5),1)="s",ISNUMBER(SEARCH(LEFT(LOWER($A5),LEN($A5)-1),LOWER(B$1))))),B$1,B$1&amp;" "&amp;$A5))</f>
        <v>plumber cost when to call a</v>
      </c>
      <c r="C5" s="14" t="str">
        <f t="shared" si="5"/>
        <v>geyser repair when to call a</v>
      </c>
      <c r="D5" s="14" t="str">
        <f t="shared" si="5"/>
        <v>blocked drain when to call a</v>
      </c>
      <c r="E5" s="14" t="str">
        <f t="shared" si="5"/>
        <v>leak detection when to call a</v>
      </c>
      <c r="F5" s="14" t="str">
        <f t="shared" si="5"/>
        <v>burst pipe when to call a</v>
      </c>
      <c r="G5" s="14" t="str">
        <f t="shared" si="5"/>
        <v>electrical COC when to call a</v>
      </c>
      <c r="H5" s="14" t="str">
        <f t="shared" si="5"/>
        <v>aircon service when to call a</v>
      </c>
      <c r="I5" s="14" t="str">
        <f t="shared" si="5"/>
        <v>refrigeration repair when to call a</v>
      </c>
      <c r="J5" s="14" t="str">
        <f t="shared" si="5"/>
        <v>emergency plumber when to call a</v>
      </c>
      <c r="K5" s="14" t="str">
        <f t="shared" si="5"/>
        <v>plumbing maintenance when to call a</v>
      </c>
      <c r="L5" s="16" t="str">
        <f>IFERROR(__xludf.DUMMYFUNCTION("""COMPUTED_VALUE"""),"aircon service cost of")</f>
        <v>aircon service cost of</v>
      </c>
      <c r="M5" s="17"/>
      <c r="N5" s="14" t="str">
        <f t="shared" ref="N5:W5" si="6">IF($A5="","",IF(OR(ISNUMBER(SEARCH(LOWER($A5),LOWER(N$1))),AND(RIGHT(LOWER($A5),1)="s",ISNUMBER(SEARCH(LEFT(LOWER($A5),LEN($A5)-1),LOWER(N$1))))),N$1,$A5&amp;" "&amp;N$1))</f>
        <v>when to call a plumber cost</v>
      </c>
      <c r="O5" s="14" t="str">
        <f t="shared" si="6"/>
        <v>when to call a geyser repair</v>
      </c>
      <c r="P5" s="14" t="str">
        <f t="shared" si="6"/>
        <v>when to call a blocked drain</v>
      </c>
      <c r="Q5" s="14" t="str">
        <f t="shared" si="6"/>
        <v>when to call a leak detection</v>
      </c>
      <c r="R5" s="14" t="str">
        <f t="shared" si="6"/>
        <v>when to call a burst pipe</v>
      </c>
      <c r="S5" s="14" t="str">
        <f t="shared" si="6"/>
        <v>when to call a electrical COC</v>
      </c>
      <c r="T5" s="14" t="str">
        <f t="shared" si="6"/>
        <v>when to call a aircon service</v>
      </c>
      <c r="U5" s="14" t="str">
        <f t="shared" si="6"/>
        <v>when to call a refrigeration repair</v>
      </c>
      <c r="V5" s="14" t="str">
        <f t="shared" si="6"/>
        <v>when to call a emergency plumber</v>
      </c>
      <c r="W5" s="14" t="str">
        <f t="shared" si="6"/>
        <v>when to call a plumbing maintenance</v>
      </c>
      <c r="X5" s="18" t="str">
        <f>IFERROR(__xludf.DUMMYFUNCTION("""COMPUTED_VALUE"""),"best way to fix burst pipe")</f>
        <v>best way to fix burst pipe</v>
      </c>
      <c r="Y5" s="4"/>
      <c r="Z5" s="4"/>
    </row>
    <row r="6">
      <c r="A6" s="13" t="s">
        <v>191</v>
      </c>
      <c r="B6" s="14" t="str">
        <f t="shared" ref="B6:K6" si="7">IF($A6="","",IF(OR(ISNUMBER(SEARCH(LOWER($A6),LOWER(B$1))),AND(RIGHT(LOWER($A6),1)="s",ISNUMBER(SEARCH(LEFT(LOWER($A6),LEN($A6)-1),LOWER(B$1))))),B$1,B$1&amp;" "&amp;$A6))</f>
        <v>plumber cost who fixes</v>
      </c>
      <c r="C6" s="14" t="str">
        <f t="shared" si="7"/>
        <v>geyser repair who fixes</v>
      </c>
      <c r="D6" s="14" t="str">
        <f t="shared" si="7"/>
        <v>blocked drain who fixes</v>
      </c>
      <c r="E6" s="14" t="str">
        <f t="shared" si="7"/>
        <v>leak detection who fixes</v>
      </c>
      <c r="F6" s="14" t="str">
        <f t="shared" si="7"/>
        <v>burst pipe who fixes</v>
      </c>
      <c r="G6" s="14" t="str">
        <f t="shared" si="7"/>
        <v>electrical COC who fixes</v>
      </c>
      <c r="H6" s="14" t="str">
        <f t="shared" si="7"/>
        <v>aircon service who fixes</v>
      </c>
      <c r="I6" s="14" t="str">
        <f t="shared" si="7"/>
        <v>refrigeration repair who fixes</v>
      </c>
      <c r="J6" s="14" t="str">
        <f t="shared" si="7"/>
        <v>emergency plumber who fixes</v>
      </c>
      <c r="K6" s="14" t="str">
        <f t="shared" si="7"/>
        <v>plumbing maintenance who fixes</v>
      </c>
      <c r="L6" s="16" t="str">
        <f>IFERROR(__xludf.DUMMYFUNCTION("""COMPUTED_VALUE"""),"aircon service do I need")</f>
        <v>aircon service do I need</v>
      </c>
      <c r="M6" s="17"/>
      <c r="N6" s="14" t="str">
        <f t="shared" ref="N6:W6" si="8">IF($A6="","",IF(OR(ISNUMBER(SEARCH(LOWER($A6),LOWER(N$1))),AND(RIGHT(LOWER($A6),1)="s",ISNUMBER(SEARCH(LEFT(LOWER($A6),LEN($A6)-1),LOWER(N$1))))),N$1,$A6&amp;" "&amp;N$1))</f>
        <v>who fixes plumber cost</v>
      </c>
      <c r="O6" s="14" t="str">
        <f t="shared" si="8"/>
        <v>who fixes geyser repair</v>
      </c>
      <c r="P6" s="14" t="str">
        <f t="shared" si="8"/>
        <v>who fixes blocked drain</v>
      </c>
      <c r="Q6" s="14" t="str">
        <f t="shared" si="8"/>
        <v>who fixes leak detection</v>
      </c>
      <c r="R6" s="14" t="str">
        <f t="shared" si="8"/>
        <v>who fixes burst pipe</v>
      </c>
      <c r="S6" s="14" t="str">
        <f t="shared" si="8"/>
        <v>who fixes electrical COC</v>
      </c>
      <c r="T6" s="14" t="str">
        <f t="shared" si="8"/>
        <v>who fixes aircon service</v>
      </c>
      <c r="U6" s="14" t="str">
        <f t="shared" si="8"/>
        <v>who fixes refrigeration repair</v>
      </c>
      <c r="V6" s="14" t="str">
        <f t="shared" si="8"/>
        <v>who fixes emergency plumber</v>
      </c>
      <c r="W6" s="14" t="str">
        <f t="shared" si="8"/>
        <v>who fixes plumbing maintenance</v>
      </c>
      <c r="X6" s="18" t="str">
        <f>IFERROR(__xludf.DUMMYFUNCTION("""COMPUTED_VALUE"""),"best way to fix electrical COC")</f>
        <v>best way to fix electrical COC</v>
      </c>
      <c r="Y6" s="4"/>
      <c r="Z6" s="4"/>
    </row>
    <row r="7">
      <c r="A7" s="13" t="s">
        <v>192</v>
      </c>
      <c r="B7" s="14" t="str">
        <f t="shared" ref="B7:K7" si="9">IF($A7="","",IF(OR(ISNUMBER(SEARCH(LOWER($A7),LOWER(B$1))),AND(RIGHT(LOWER($A7),1)="s",ISNUMBER(SEARCH(LEFT(LOWER($A7),LEN($A7)-1),LOWER(B$1))))),B$1,B$1&amp;" "&amp;$A7))</f>
        <v>plumber cost how to choose</v>
      </c>
      <c r="C7" s="14" t="str">
        <f t="shared" si="9"/>
        <v>geyser repair how to choose</v>
      </c>
      <c r="D7" s="14" t="str">
        <f t="shared" si="9"/>
        <v>blocked drain how to choose</v>
      </c>
      <c r="E7" s="14" t="str">
        <f t="shared" si="9"/>
        <v>leak detection how to choose</v>
      </c>
      <c r="F7" s="14" t="str">
        <f t="shared" si="9"/>
        <v>burst pipe how to choose</v>
      </c>
      <c r="G7" s="14" t="str">
        <f t="shared" si="9"/>
        <v>electrical COC how to choose</v>
      </c>
      <c r="H7" s="14" t="str">
        <f t="shared" si="9"/>
        <v>aircon service how to choose</v>
      </c>
      <c r="I7" s="14" t="str">
        <f t="shared" si="9"/>
        <v>refrigeration repair how to choose</v>
      </c>
      <c r="J7" s="14" t="str">
        <f t="shared" si="9"/>
        <v>emergency plumber how to choose</v>
      </c>
      <c r="K7" s="14" t="str">
        <f t="shared" si="9"/>
        <v>plumbing maintenance how to choose</v>
      </c>
      <c r="L7" s="16" t="str">
        <f>IFERROR(__xludf.DUMMYFUNCTION("""COMPUTED_VALUE"""),"aircon service emergency help for")</f>
        <v>aircon service emergency help for</v>
      </c>
      <c r="M7" s="17"/>
      <c r="N7" s="14" t="str">
        <f t="shared" ref="N7:W7" si="10">IF($A7="","",IF(OR(ISNUMBER(SEARCH(LOWER($A7),LOWER(N$1))),AND(RIGHT(LOWER($A7),1)="s",ISNUMBER(SEARCH(LEFT(LOWER($A7),LEN($A7)-1),LOWER(N$1))))),N$1,$A7&amp;" "&amp;N$1))</f>
        <v>how to choose plumber cost</v>
      </c>
      <c r="O7" s="14" t="str">
        <f t="shared" si="10"/>
        <v>how to choose geyser repair</v>
      </c>
      <c r="P7" s="14" t="str">
        <f t="shared" si="10"/>
        <v>how to choose blocked drain</v>
      </c>
      <c r="Q7" s="14" t="str">
        <f t="shared" si="10"/>
        <v>how to choose leak detection</v>
      </c>
      <c r="R7" s="14" t="str">
        <f t="shared" si="10"/>
        <v>how to choose burst pipe</v>
      </c>
      <c r="S7" s="14" t="str">
        <f t="shared" si="10"/>
        <v>how to choose electrical COC</v>
      </c>
      <c r="T7" s="14" t="str">
        <f t="shared" si="10"/>
        <v>how to choose aircon service</v>
      </c>
      <c r="U7" s="14" t="str">
        <f t="shared" si="10"/>
        <v>how to choose refrigeration repair</v>
      </c>
      <c r="V7" s="14" t="str">
        <f t="shared" si="10"/>
        <v>how to choose emergency plumber</v>
      </c>
      <c r="W7" s="14" t="str">
        <f t="shared" si="10"/>
        <v>how to choose plumbing maintenance</v>
      </c>
      <c r="X7" s="18" t="str">
        <f>IFERROR(__xludf.DUMMYFUNCTION("""COMPUTED_VALUE"""),"best way to fix emergency plumber")</f>
        <v>best way to fix emergency plumber</v>
      </c>
      <c r="Y7" s="4"/>
      <c r="Z7" s="4"/>
    </row>
    <row r="8">
      <c r="A8" s="13" t="s">
        <v>193</v>
      </c>
      <c r="B8" s="14" t="str">
        <f t="shared" ref="B8:K8" si="11">IF($A8="","",IF(OR(ISNUMBER(SEARCH(LOWER($A8),LOWER(B$1))),AND(RIGHT(LOWER($A8),1)="s",ISNUMBER(SEARCH(LEFT(LOWER($A8),LEN($A8)-1),LOWER(B$1))))),B$1,B$1&amp;" "&amp;$A8))</f>
        <v>plumber cost how long does</v>
      </c>
      <c r="C8" s="14" t="str">
        <f t="shared" si="11"/>
        <v>geyser repair how long does</v>
      </c>
      <c r="D8" s="14" t="str">
        <f t="shared" si="11"/>
        <v>blocked drain how long does</v>
      </c>
      <c r="E8" s="14" t="str">
        <f t="shared" si="11"/>
        <v>leak detection how long does</v>
      </c>
      <c r="F8" s="14" t="str">
        <f t="shared" si="11"/>
        <v>burst pipe how long does</v>
      </c>
      <c r="G8" s="14" t="str">
        <f t="shared" si="11"/>
        <v>electrical COC how long does</v>
      </c>
      <c r="H8" s="14" t="str">
        <f t="shared" si="11"/>
        <v>aircon service how long does</v>
      </c>
      <c r="I8" s="14" t="str">
        <f t="shared" si="11"/>
        <v>refrigeration repair how long does</v>
      </c>
      <c r="J8" s="14" t="str">
        <f t="shared" si="11"/>
        <v>emergency plumber how long does</v>
      </c>
      <c r="K8" s="14" t="str">
        <f t="shared" si="11"/>
        <v>plumbing maintenance how long does</v>
      </c>
      <c r="L8" s="16" t="str">
        <f>IFERROR(__xludf.DUMMYFUNCTION("""COMPUTED_VALUE"""),"aircon service how long does")</f>
        <v>aircon service how long does</v>
      </c>
      <c r="M8" s="17"/>
      <c r="N8" s="14" t="str">
        <f t="shared" ref="N8:W8" si="12">IF($A8="","",IF(OR(ISNUMBER(SEARCH(LOWER($A8),LOWER(N$1))),AND(RIGHT(LOWER($A8),1)="s",ISNUMBER(SEARCH(LEFT(LOWER($A8),LEN($A8)-1),LOWER(N$1))))),N$1,$A8&amp;" "&amp;N$1))</f>
        <v>how long does plumber cost</v>
      </c>
      <c r="O8" s="14" t="str">
        <f t="shared" si="12"/>
        <v>how long does geyser repair</v>
      </c>
      <c r="P8" s="14" t="str">
        <f t="shared" si="12"/>
        <v>how long does blocked drain</v>
      </c>
      <c r="Q8" s="14" t="str">
        <f t="shared" si="12"/>
        <v>how long does leak detection</v>
      </c>
      <c r="R8" s="14" t="str">
        <f t="shared" si="12"/>
        <v>how long does burst pipe</v>
      </c>
      <c r="S8" s="14" t="str">
        <f t="shared" si="12"/>
        <v>how long does electrical COC</v>
      </c>
      <c r="T8" s="14" t="str">
        <f t="shared" si="12"/>
        <v>how long does aircon service</v>
      </c>
      <c r="U8" s="14" t="str">
        <f t="shared" si="12"/>
        <v>how long does refrigeration repair</v>
      </c>
      <c r="V8" s="14" t="str">
        <f t="shared" si="12"/>
        <v>how long does emergency plumber</v>
      </c>
      <c r="W8" s="14" t="str">
        <f t="shared" si="12"/>
        <v>how long does plumbing maintenance</v>
      </c>
      <c r="X8" s="18" t="str">
        <f>IFERROR(__xludf.DUMMYFUNCTION("""COMPUTED_VALUE"""),"best way to fix geyser repair")</f>
        <v>best way to fix geyser repair</v>
      </c>
      <c r="Y8" s="4"/>
      <c r="Z8" s="4"/>
    </row>
    <row r="9">
      <c r="A9" s="13" t="s">
        <v>194</v>
      </c>
      <c r="B9" s="14" t="str">
        <f t="shared" ref="B9:K9" si="13">IF($A9="","",IF(OR(ISNUMBER(SEARCH(LOWER($A9),LOWER(B$1))),AND(RIGHT(LOWER($A9),1)="s",ISNUMBER(SEARCH(LEFT(LOWER($A9),LEN($A9)-1),LOWER(B$1))))),B$1,B$1&amp;" "&amp;$A9))</f>
        <v>plumber cost why is my</v>
      </c>
      <c r="C9" s="14" t="str">
        <f t="shared" si="13"/>
        <v>geyser repair why is my</v>
      </c>
      <c r="D9" s="14" t="str">
        <f t="shared" si="13"/>
        <v>blocked drain why is my</v>
      </c>
      <c r="E9" s="14" t="str">
        <f t="shared" si="13"/>
        <v>leak detection why is my</v>
      </c>
      <c r="F9" s="14" t="str">
        <f t="shared" si="13"/>
        <v>burst pipe why is my</v>
      </c>
      <c r="G9" s="14" t="str">
        <f t="shared" si="13"/>
        <v>electrical COC why is my</v>
      </c>
      <c r="H9" s="14" t="str">
        <f t="shared" si="13"/>
        <v>aircon service why is my</v>
      </c>
      <c r="I9" s="14" t="str">
        <f t="shared" si="13"/>
        <v>refrigeration repair why is my</v>
      </c>
      <c r="J9" s="14" t="str">
        <f t="shared" si="13"/>
        <v>emergency plumber why is my</v>
      </c>
      <c r="K9" s="14" t="str">
        <f t="shared" si="13"/>
        <v>plumbing maintenance why is my</v>
      </c>
      <c r="L9" s="16" t="str">
        <f>IFERROR(__xludf.DUMMYFUNCTION("""COMPUTED_VALUE"""),"aircon service how much does")</f>
        <v>aircon service how much does</v>
      </c>
      <c r="M9" s="17"/>
      <c r="N9" s="14" t="str">
        <f t="shared" ref="N9:W9" si="14">IF($A9="","",IF(OR(ISNUMBER(SEARCH(LOWER($A9),LOWER(N$1))),AND(RIGHT(LOWER($A9),1)="s",ISNUMBER(SEARCH(LEFT(LOWER($A9),LEN($A9)-1),LOWER(N$1))))),N$1,$A9&amp;" "&amp;N$1))</f>
        <v>why is my plumber cost</v>
      </c>
      <c r="O9" s="14" t="str">
        <f t="shared" si="14"/>
        <v>why is my geyser repair</v>
      </c>
      <c r="P9" s="14" t="str">
        <f t="shared" si="14"/>
        <v>why is my blocked drain</v>
      </c>
      <c r="Q9" s="14" t="str">
        <f t="shared" si="14"/>
        <v>why is my leak detection</v>
      </c>
      <c r="R9" s="14" t="str">
        <f t="shared" si="14"/>
        <v>why is my burst pipe</v>
      </c>
      <c r="S9" s="14" t="str">
        <f t="shared" si="14"/>
        <v>why is my electrical COC</v>
      </c>
      <c r="T9" s="14" t="str">
        <f t="shared" si="14"/>
        <v>why is my aircon service</v>
      </c>
      <c r="U9" s="14" t="str">
        <f t="shared" si="14"/>
        <v>why is my refrigeration repair</v>
      </c>
      <c r="V9" s="14" t="str">
        <f t="shared" si="14"/>
        <v>why is my emergency plumber</v>
      </c>
      <c r="W9" s="14" t="str">
        <f t="shared" si="14"/>
        <v>why is my plumbing maintenance</v>
      </c>
      <c r="X9" s="18" t="str">
        <f>IFERROR(__xludf.DUMMYFUNCTION("""COMPUTED_VALUE"""),"best way to fix leak detection")</f>
        <v>best way to fix leak detection</v>
      </c>
      <c r="Y9" s="4"/>
      <c r="Z9" s="4"/>
    </row>
    <row r="10">
      <c r="A10" s="13" t="s">
        <v>195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plumber cost can a plumber fix</v>
      </c>
      <c r="C10" s="14" t="str">
        <f t="shared" si="15"/>
        <v>geyser repair can a plumber fix</v>
      </c>
      <c r="D10" s="14" t="str">
        <f t="shared" si="15"/>
        <v>blocked drain can a plumber fix</v>
      </c>
      <c r="E10" s="14" t="str">
        <f t="shared" si="15"/>
        <v>leak detection can a plumber fix</v>
      </c>
      <c r="F10" s="14" t="str">
        <f t="shared" si="15"/>
        <v>burst pipe can a plumber fix</v>
      </c>
      <c r="G10" s="14" t="str">
        <f t="shared" si="15"/>
        <v>electrical COC can a plumber fix</v>
      </c>
      <c r="H10" s="14" t="str">
        <f t="shared" si="15"/>
        <v>aircon service can a plumber fix</v>
      </c>
      <c r="I10" s="14" t="str">
        <f t="shared" si="15"/>
        <v>refrigeration repair can a plumber fix</v>
      </c>
      <c r="J10" s="14" t="str">
        <f t="shared" si="15"/>
        <v>emergency plumber can a plumber fix</v>
      </c>
      <c r="K10" s="14" t="str">
        <f t="shared" si="15"/>
        <v>plumbing maintenance can a plumber fix</v>
      </c>
      <c r="L10" s="16" t="str">
        <f>IFERROR(__xludf.DUMMYFUNCTION("""COMPUTED_VALUE"""),"aircon service how to choose")</f>
        <v>aircon service how to choose</v>
      </c>
      <c r="M10" s="17"/>
      <c r="N10" s="14" t="str">
        <f t="shared" ref="N10:W10" si="16">IF($A10="","",IF(OR(ISNUMBER(SEARCH(LOWER($A10),LOWER(N$1))),AND(RIGHT(LOWER($A10),1)="s",ISNUMBER(SEARCH(LEFT(LOWER($A10),LEN($A10)-1),LOWER(N$1))))),N$1,$A10&amp;" "&amp;N$1))</f>
        <v>can a plumber fix plumber cost</v>
      </c>
      <c r="O10" s="14" t="str">
        <f t="shared" si="16"/>
        <v>can a plumber fix geyser repair</v>
      </c>
      <c r="P10" s="14" t="str">
        <f t="shared" si="16"/>
        <v>can a plumber fix blocked drain</v>
      </c>
      <c r="Q10" s="14" t="str">
        <f t="shared" si="16"/>
        <v>can a plumber fix leak detection</v>
      </c>
      <c r="R10" s="14" t="str">
        <f t="shared" si="16"/>
        <v>can a plumber fix burst pipe</v>
      </c>
      <c r="S10" s="14" t="str">
        <f t="shared" si="16"/>
        <v>can a plumber fix electrical COC</v>
      </c>
      <c r="T10" s="14" t="str">
        <f t="shared" si="16"/>
        <v>can a plumber fix aircon service</v>
      </c>
      <c r="U10" s="14" t="str">
        <f t="shared" si="16"/>
        <v>can a plumber fix refrigeration repair</v>
      </c>
      <c r="V10" s="14" t="str">
        <f t="shared" si="16"/>
        <v>can a plumber fix emergency plumber</v>
      </c>
      <c r="W10" s="14" t="str">
        <f t="shared" si="16"/>
        <v>can a plumber fix plumbing maintenance</v>
      </c>
      <c r="X10" s="18" t="str">
        <f>IFERROR(__xludf.DUMMYFUNCTION("""COMPUTED_VALUE"""),"best way to fix plumber cost")</f>
        <v>best way to fix plumber cost</v>
      </c>
      <c r="Y10" s="4"/>
      <c r="Z10" s="4"/>
    </row>
    <row r="11">
      <c r="A11" s="13" t="s">
        <v>196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plumber cost do I need</v>
      </c>
      <c r="C11" s="14" t="str">
        <f t="shared" si="17"/>
        <v>geyser repair do I need</v>
      </c>
      <c r="D11" s="14" t="str">
        <f t="shared" si="17"/>
        <v>blocked drain do I need</v>
      </c>
      <c r="E11" s="14" t="str">
        <f t="shared" si="17"/>
        <v>leak detection do I need</v>
      </c>
      <c r="F11" s="14" t="str">
        <f t="shared" si="17"/>
        <v>burst pipe do I need</v>
      </c>
      <c r="G11" s="14" t="str">
        <f t="shared" si="17"/>
        <v>electrical COC do I need</v>
      </c>
      <c r="H11" s="14" t="str">
        <f t="shared" si="17"/>
        <v>aircon service do I need</v>
      </c>
      <c r="I11" s="14" t="str">
        <f t="shared" si="17"/>
        <v>refrigeration repair do I need</v>
      </c>
      <c r="J11" s="14" t="str">
        <f t="shared" si="17"/>
        <v>emergency plumber do I need</v>
      </c>
      <c r="K11" s="14" t="str">
        <f t="shared" si="17"/>
        <v>plumbing maintenance do I need</v>
      </c>
      <c r="L11" s="16" t="str">
        <f>IFERROR(__xludf.DUMMYFUNCTION("""COMPUTED_VALUE"""),"aircon service how to prevent")</f>
        <v>aircon service how to prevent</v>
      </c>
      <c r="M11" s="17"/>
      <c r="N11" s="14" t="str">
        <f t="shared" ref="N11:W11" si="18">IF($A11="","",IF(OR(ISNUMBER(SEARCH(LOWER($A11),LOWER(N$1))),AND(RIGHT(LOWER($A11),1)="s",ISNUMBER(SEARCH(LEFT(LOWER($A11),LEN($A11)-1),LOWER(N$1))))),N$1,$A11&amp;" "&amp;N$1))</f>
        <v>do I need plumber cost</v>
      </c>
      <c r="O11" s="14" t="str">
        <f t="shared" si="18"/>
        <v>do I need geyser repair</v>
      </c>
      <c r="P11" s="14" t="str">
        <f t="shared" si="18"/>
        <v>do I need blocked drain</v>
      </c>
      <c r="Q11" s="14" t="str">
        <f t="shared" si="18"/>
        <v>do I need leak detection</v>
      </c>
      <c r="R11" s="14" t="str">
        <f t="shared" si="18"/>
        <v>do I need burst pipe</v>
      </c>
      <c r="S11" s="14" t="str">
        <f t="shared" si="18"/>
        <v>do I need electrical COC</v>
      </c>
      <c r="T11" s="14" t="str">
        <f t="shared" si="18"/>
        <v>do I need aircon service</v>
      </c>
      <c r="U11" s="14" t="str">
        <f t="shared" si="18"/>
        <v>do I need refrigeration repair</v>
      </c>
      <c r="V11" s="14" t="str">
        <f t="shared" si="18"/>
        <v>do I need emergency plumber</v>
      </c>
      <c r="W11" s="14" t="str">
        <f t="shared" si="18"/>
        <v>do I need plumbing maintenance</v>
      </c>
      <c r="X11" s="18" t="str">
        <f>IFERROR(__xludf.DUMMYFUNCTION("""COMPUTED_VALUE"""),"best way to fix plumbing maintenance")</f>
        <v>best way to fix plumbing maintenance</v>
      </c>
      <c r="Y11" s="4"/>
      <c r="Z11" s="4"/>
    </row>
    <row r="12">
      <c r="A12" s="13" t="s">
        <v>197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plumber cost signs you need</v>
      </c>
      <c r="C12" s="14" t="str">
        <f t="shared" si="19"/>
        <v>geyser repair signs you need</v>
      </c>
      <c r="D12" s="14" t="str">
        <f t="shared" si="19"/>
        <v>blocked drain signs you need</v>
      </c>
      <c r="E12" s="14" t="str">
        <f t="shared" si="19"/>
        <v>leak detection signs you need</v>
      </c>
      <c r="F12" s="14" t="str">
        <f t="shared" si="19"/>
        <v>burst pipe signs you need</v>
      </c>
      <c r="G12" s="14" t="str">
        <f t="shared" si="19"/>
        <v>electrical COC signs you need</v>
      </c>
      <c r="H12" s="14" t="str">
        <f t="shared" si="19"/>
        <v>aircon service signs you need</v>
      </c>
      <c r="I12" s="14" t="str">
        <f t="shared" si="19"/>
        <v>refrigeration repair signs you need</v>
      </c>
      <c r="J12" s="14" t="str">
        <f t="shared" si="19"/>
        <v>emergency plumber signs you need</v>
      </c>
      <c r="K12" s="14" t="str">
        <f t="shared" si="19"/>
        <v>plumbing maintenance signs you need</v>
      </c>
      <c r="L12" s="16" t="str">
        <f>IFERROR(__xludf.DUMMYFUNCTION("""COMPUTED_VALUE"""),"aircon service is it safe to")</f>
        <v>aircon service is it safe to</v>
      </c>
      <c r="M12" s="17"/>
      <c r="N12" s="14" t="str">
        <f t="shared" ref="N12:W12" si="20">IF($A12="","",IF(OR(ISNUMBER(SEARCH(LOWER($A12),LOWER(N$1))),AND(RIGHT(LOWER($A12),1)="s",ISNUMBER(SEARCH(LEFT(LOWER($A12),LEN($A12)-1),LOWER(N$1))))),N$1,$A12&amp;" "&amp;N$1))</f>
        <v>signs you need plumber cost</v>
      </c>
      <c r="O12" s="14" t="str">
        <f t="shared" si="20"/>
        <v>signs you need geyser repair</v>
      </c>
      <c r="P12" s="14" t="str">
        <f t="shared" si="20"/>
        <v>signs you need blocked drain</v>
      </c>
      <c r="Q12" s="14" t="str">
        <f t="shared" si="20"/>
        <v>signs you need leak detection</v>
      </c>
      <c r="R12" s="14" t="str">
        <f t="shared" si="20"/>
        <v>signs you need burst pipe</v>
      </c>
      <c r="S12" s="14" t="str">
        <f t="shared" si="20"/>
        <v>signs you need electrical COC</v>
      </c>
      <c r="T12" s="14" t="str">
        <f t="shared" si="20"/>
        <v>signs you need aircon service</v>
      </c>
      <c r="U12" s="14" t="str">
        <f t="shared" si="20"/>
        <v>signs you need refrigeration repair</v>
      </c>
      <c r="V12" s="14" t="str">
        <f t="shared" si="20"/>
        <v>signs you need emergency plumber</v>
      </c>
      <c r="W12" s="14" t="str">
        <f t="shared" si="20"/>
        <v>signs you need plumbing maintenance</v>
      </c>
      <c r="X12" s="18" t="str">
        <f>IFERROR(__xludf.DUMMYFUNCTION("""COMPUTED_VALUE"""),"best way to fix refrigeration repair")</f>
        <v>best way to fix refrigeration repair</v>
      </c>
      <c r="Y12" s="4"/>
      <c r="Z12" s="4"/>
    </row>
    <row r="13">
      <c r="A13" s="13" t="s">
        <v>198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plumber cost cost of</v>
      </c>
      <c r="C13" s="14" t="str">
        <f t="shared" si="21"/>
        <v>geyser repair cost of</v>
      </c>
      <c r="D13" s="14" t="str">
        <f t="shared" si="21"/>
        <v>blocked drain cost of</v>
      </c>
      <c r="E13" s="14" t="str">
        <f t="shared" si="21"/>
        <v>leak detection cost of</v>
      </c>
      <c r="F13" s="14" t="str">
        <f t="shared" si="21"/>
        <v>burst pipe cost of</v>
      </c>
      <c r="G13" s="14" t="str">
        <f t="shared" si="21"/>
        <v>electrical COC cost of</v>
      </c>
      <c r="H13" s="14" t="str">
        <f t="shared" si="21"/>
        <v>aircon service cost of</v>
      </c>
      <c r="I13" s="14" t="str">
        <f t="shared" si="21"/>
        <v>refrigeration repair cost of</v>
      </c>
      <c r="J13" s="14" t="str">
        <f t="shared" si="21"/>
        <v>emergency plumber cost of</v>
      </c>
      <c r="K13" s="14" t="str">
        <f t="shared" si="21"/>
        <v>plumbing maintenance cost of</v>
      </c>
      <c r="L13" s="16" t="str">
        <f>IFERROR(__xludf.DUMMYFUNCTION("""COMPUTED_VALUE"""),"aircon service near me for")</f>
        <v>aircon service near me for</v>
      </c>
      <c r="M13" s="17"/>
      <c r="N13" s="14" t="str">
        <f t="shared" ref="N13:W13" si="22">IF($A13="","",IF(OR(ISNUMBER(SEARCH(LOWER($A13),LOWER(N$1))),AND(RIGHT(LOWER($A13),1)="s",ISNUMBER(SEARCH(LEFT(LOWER($A13),LEN($A13)-1),LOWER(N$1))))),N$1,$A13&amp;" "&amp;N$1))</f>
        <v>cost of plumber cost</v>
      </c>
      <c r="O13" s="14" t="str">
        <f t="shared" si="22"/>
        <v>cost of geyser repair</v>
      </c>
      <c r="P13" s="14" t="str">
        <f t="shared" si="22"/>
        <v>cost of blocked drain</v>
      </c>
      <c r="Q13" s="14" t="str">
        <f t="shared" si="22"/>
        <v>cost of leak detection</v>
      </c>
      <c r="R13" s="14" t="str">
        <f t="shared" si="22"/>
        <v>cost of burst pipe</v>
      </c>
      <c r="S13" s="14" t="str">
        <f t="shared" si="22"/>
        <v>cost of electrical COC</v>
      </c>
      <c r="T13" s="14" t="str">
        <f t="shared" si="22"/>
        <v>cost of aircon service</v>
      </c>
      <c r="U13" s="14" t="str">
        <f t="shared" si="22"/>
        <v>cost of refrigeration repair</v>
      </c>
      <c r="V13" s="14" t="str">
        <f t="shared" si="22"/>
        <v>cost of emergency plumber</v>
      </c>
      <c r="W13" s="14" t="str">
        <f t="shared" si="22"/>
        <v>cost of plumbing maintenance</v>
      </c>
      <c r="X13" s="18" t="str">
        <f>IFERROR(__xludf.DUMMYFUNCTION("""COMPUTED_VALUE"""),"can a plumber fix aircon service")</f>
        <v>can a plumber fix aircon service</v>
      </c>
      <c r="Y13" s="4"/>
      <c r="Z13" s="4"/>
    </row>
    <row r="14">
      <c r="A14" s="13" t="s">
        <v>199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plumber cost best way to fix</v>
      </c>
      <c r="C14" s="14" t="str">
        <f t="shared" si="23"/>
        <v>geyser repair best way to fix</v>
      </c>
      <c r="D14" s="14" t="str">
        <f t="shared" si="23"/>
        <v>blocked drain best way to fix</v>
      </c>
      <c r="E14" s="14" t="str">
        <f t="shared" si="23"/>
        <v>leak detection best way to fix</v>
      </c>
      <c r="F14" s="14" t="str">
        <f t="shared" si="23"/>
        <v>burst pipe best way to fix</v>
      </c>
      <c r="G14" s="14" t="str">
        <f t="shared" si="23"/>
        <v>electrical COC best way to fix</v>
      </c>
      <c r="H14" s="14" t="str">
        <f t="shared" si="23"/>
        <v>aircon service best way to fix</v>
      </c>
      <c r="I14" s="14" t="str">
        <f t="shared" si="23"/>
        <v>refrigeration repair best way to fix</v>
      </c>
      <c r="J14" s="14" t="str">
        <f t="shared" si="23"/>
        <v>emergency plumber best way to fix</v>
      </c>
      <c r="K14" s="14" t="str">
        <f t="shared" si="23"/>
        <v>plumbing maintenance best way to fix</v>
      </c>
      <c r="L14" s="16" t="str">
        <f>IFERROR(__xludf.DUMMYFUNCTION("""COMPUTED_VALUE"""),"aircon service same day help for")</f>
        <v>aircon service same day help for</v>
      </c>
      <c r="M14" s="17"/>
      <c r="N14" s="14" t="str">
        <f t="shared" ref="N14:W14" si="24">IF($A14="","",IF(OR(ISNUMBER(SEARCH(LOWER($A14),LOWER(N$1))),AND(RIGHT(LOWER($A14),1)="s",ISNUMBER(SEARCH(LEFT(LOWER($A14),LEN($A14)-1),LOWER(N$1))))),N$1,$A14&amp;" "&amp;N$1))</f>
        <v>best way to fix plumber cost</v>
      </c>
      <c r="O14" s="14" t="str">
        <f t="shared" si="24"/>
        <v>best way to fix geyser repair</v>
      </c>
      <c r="P14" s="14" t="str">
        <f t="shared" si="24"/>
        <v>best way to fix blocked drain</v>
      </c>
      <c r="Q14" s="14" t="str">
        <f t="shared" si="24"/>
        <v>best way to fix leak detection</v>
      </c>
      <c r="R14" s="14" t="str">
        <f t="shared" si="24"/>
        <v>best way to fix burst pipe</v>
      </c>
      <c r="S14" s="14" t="str">
        <f t="shared" si="24"/>
        <v>best way to fix electrical COC</v>
      </c>
      <c r="T14" s="14" t="str">
        <f t="shared" si="24"/>
        <v>best way to fix aircon service</v>
      </c>
      <c r="U14" s="14" t="str">
        <f t="shared" si="24"/>
        <v>best way to fix refrigeration repair</v>
      </c>
      <c r="V14" s="14" t="str">
        <f t="shared" si="24"/>
        <v>best way to fix emergency plumber</v>
      </c>
      <c r="W14" s="14" t="str">
        <f t="shared" si="24"/>
        <v>best way to fix plumbing maintenance</v>
      </c>
      <c r="X14" s="18" t="str">
        <f>IFERROR(__xludf.DUMMYFUNCTION("""COMPUTED_VALUE"""),"can a plumber fix blocked drain")</f>
        <v>can a plumber fix blocked drain</v>
      </c>
      <c r="Y14" s="4"/>
      <c r="Z14" s="4"/>
    </row>
    <row r="15">
      <c r="A15" s="13" t="s">
        <v>200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plumber cost how to prevent</v>
      </c>
      <c r="C15" s="14" t="str">
        <f t="shared" si="25"/>
        <v>geyser repair how to prevent</v>
      </c>
      <c r="D15" s="14" t="str">
        <f t="shared" si="25"/>
        <v>blocked drain how to prevent</v>
      </c>
      <c r="E15" s="14" t="str">
        <f t="shared" si="25"/>
        <v>leak detection how to prevent</v>
      </c>
      <c r="F15" s="14" t="str">
        <f t="shared" si="25"/>
        <v>burst pipe how to prevent</v>
      </c>
      <c r="G15" s="14" t="str">
        <f t="shared" si="25"/>
        <v>electrical COC how to prevent</v>
      </c>
      <c r="H15" s="14" t="str">
        <f t="shared" si="25"/>
        <v>aircon service how to prevent</v>
      </c>
      <c r="I15" s="14" t="str">
        <f t="shared" si="25"/>
        <v>refrigeration repair how to prevent</v>
      </c>
      <c r="J15" s="14" t="str">
        <f t="shared" si="25"/>
        <v>emergency plumber how to prevent</v>
      </c>
      <c r="K15" s="14" t="str">
        <f t="shared" si="25"/>
        <v>plumbing maintenance how to prevent</v>
      </c>
      <c r="L15" s="16" t="str">
        <f>IFERROR(__xludf.DUMMYFUNCTION("""COMPUTED_VALUE"""),"aircon service signs you need")</f>
        <v>aircon service signs you need</v>
      </c>
      <c r="M15" s="17"/>
      <c r="N15" s="14" t="str">
        <f t="shared" ref="N15:W15" si="26">IF($A15="","",IF(OR(ISNUMBER(SEARCH(LOWER($A15),LOWER(N$1))),AND(RIGHT(LOWER($A15),1)="s",ISNUMBER(SEARCH(LEFT(LOWER($A15),LEN($A15)-1),LOWER(N$1))))),N$1,$A15&amp;" "&amp;N$1))</f>
        <v>how to prevent plumber cost</v>
      </c>
      <c r="O15" s="14" t="str">
        <f t="shared" si="26"/>
        <v>how to prevent geyser repair</v>
      </c>
      <c r="P15" s="14" t="str">
        <f t="shared" si="26"/>
        <v>how to prevent blocked drain</v>
      </c>
      <c r="Q15" s="14" t="str">
        <f t="shared" si="26"/>
        <v>how to prevent leak detection</v>
      </c>
      <c r="R15" s="14" t="str">
        <f t="shared" si="26"/>
        <v>how to prevent burst pipe</v>
      </c>
      <c r="S15" s="14" t="str">
        <f t="shared" si="26"/>
        <v>how to prevent electrical COC</v>
      </c>
      <c r="T15" s="14" t="str">
        <f t="shared" si="26"/>
        <v>how to prevent aircon service</v>
      </c>
      <c r="U15" s="14" t="str">
        <f t="shared" si="26"/>
        <v>how to prevent refrigeration repair</v>
      </c>
      <c r="V15" s="14" t="str">
        <f t="shared" si="26"/>
        <v>how to prevent emergency plumber</v>
      </c>
      <c r="W15" s="14" t="str">
        <f t="shared" si="26"/>
        <v>how to prevent plumbing maintenance</v>
      </c>
      <c r="X15" s="18" t="str">
        <f>IFERROR(__xludf.DUMMYFUNCTION("""COMPUTED_VALUE"""),"can a plumber fix burst pipe")</f>
        <v>can a plumber fix burst pipe</v>
      </c>
      <c r="Y15" s="4"/>
      <c r="Z15" s="4"/>
    </row>
    <row r="16">
      <c r="A16" s="13" t="s">
        <v>201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plumber cost what causes</v>
      </c>
      <c r="C16" s="14" t="str">
        <f t="shared" si="27"/>
        <v>geyser repair what causes</v>
      </c>
      <c r="D16" s="14" t="str">
        <f t="shared" si="27"/>
        <v>blocked drain what causes</v>
      </c>
      <c r="E16" s="14" t="str">
        <f t="shared" si="27"/>
        <v>leak detection what causes</v>
      </c>
      <c r="F16" s="14" t="str">
        <f t="shared" si="27"/>
        <v>burst pipe what causes</v>
      </c>
      <c r="G16" s="14" t="str">
        <f t="shared" si="27"/>
        <v>electrical COC what causes</v>
      </c>
      <c r="H16" s="14" t="str">
        <f t="shared" si="27"/>
        <v>aircon service what causes</v>
      </c>
      <c r="I16" s="14" t="str">
        <f t="shared" si="27"/>
        <v>refrigeration repair what causes</v>
      </c>
      <c r="J16" s="14" t="str">
        <f t="shared" si="27"/>
        <v>emergency plumber what causes</v>
      </c>
      <c r="K16" s="14" t="str">
        <f t="shared" si="27"/>
        <v>plumbing maintenance what causes</v>
      </c>
      <c r="L16" s="16" t="str">
        <f>IFERROR(__xludf.DUMMYFUNCTION("""COMPUTED_VALUE"""),"aircon service what causes")</f>
        <v>aircon service what causes</v>
      </c>
      <c r="M16" s="17"/>
      <c r="N16" s="14" t="str">
        <f t="shared" ref="N16:W16" si="28">IF($A16="","",IF(OR(ISNUMBER(SEARCH(LOWER($A16),LOWER(N$1))),AND(RIGHT(LOWER($A16),1)="s",ISNUMBER(SEARCH(LEFT(LOWER($A16),LEN($A16)-1),LOWER(N$1))))),N$1,$A16&amp;" "&amp;N$1))</f>
        <v>what causes plumber cost</v>
      </c>
      <c r="O16" s="14" t="str">
        <f t="shared" si="28"/>
        <v>what causes geyser repair</v>
      </c>
      <c r="P16" s="14" t="str">
        <f t="shared" si="28"/>
        <v>what causes blocked drain</v>
      </c>
      <c r="Q16" s="14" t="str">
        <f t="shared" si="28"/>
        <v>what causes leak detection</v>
      </c>
      <c r="R16" s="14" t="str">
        <f t="shared" si="28"/>
        <v>what causes burst pipe</v>
      </c>
      <c r="S16" s="14" t="str">
        <f t="shared" si="28"/>
        <v>what causes electrical COC</v>
      </c>
      <c r="T16" s="14" t="str">
        <f t="shared" si="28"/>
        <v>what causes aircon service</v>
      </c>
      <c r="U16" s="14" t="str">
        <f t="shared" si="28"/>
        <v>what causes refrigeration repair</v>
      </c>
      <c r="V16" s="14" t="str">
        <f t="shared" si="28"/>
        <v>what causes emergency plumber</v>
      </c>
      <c r="W16" s="14" t="str">
        <f t="shared" si="28"/>
        <v>what causes plumbing maintenance</v>
      </c>
      <c r="X16" s="18" t="str">
        <f>IFERROR(__xludf.DUMMYFUNCTION("""COMPUTED_VALUE"""),"can a plumber fix electrical COC")</f>
        <v>can a plumber fix electrical COC</v>
      </c>
      <c r="Y16" s="4"/>
      <c r="Z16" s="4"/>
    </row>
    <row r="17">
      <c r="A17" s="13" t="s">
        <v>202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plumber cost is it safe to</v>
      </c>
      <c r="C17" s="14" t="str">
        <f t="shared" si="29"/>
        <v>geyser repair is it safe to</v>
      </c>
      <c r="D17" s="14" t="str">
        <f t="shared" si="29"/>
        <v>blocked drain is it safe to</v>
      </c>
      <c r="E17" s="14" t="str">
        <f t="shared" si="29"/>
        <v>leak detection is it safe to</v>
      </c>
      <c r="F17" s="14" t="str">
        <f t="shared" si="29"/>
        <v>burst pipe is it safe to</v>
      </c>
      <c r="G17" s="14" t="str">
        <f t="shared" si="29"/>
        <v>electrical COC is it safe to</v>
      </c>
      <c r="H17" s="14" t="str">
        <f t="shared" si="29"/>
        <v>aircon service is it safe to</v>
      </c>
      <c r="I17" s="14" t="str">
        <f t="shared" si="29"/>
        <v>refrigeration repair is it safe to</v>
      </c>
      <c r="J17" s="14" t="str">
        <f t="shared" si="29"/>
        <v>emergency plumber is it safe to</v>
      </c>
      <c r="K17" s="14" t="str">
        <f t="shared" si="29"/>
        <v>plumbing maintenance is it safe to</v>
      </c>
      <c r="L17" s="16" t="str">
        <f>IFERROR(__xludf.DUMMYFUNCTION("""COMPUTED_VALUE"""),"aircon service what is")</f>
        <v>aircon service what is</v>
      </c>
      <c r="M17" s="17"/>
      <c r="N17" s="14" t="str">
        <f t="shared" ref="N17:W17" si="30">IF($A17="","",IF(OR(ISNUMBER(SEARCH(LOWER($A17),LOWER(N$1))),AND(RIGHT(LOWER($A17),1)="s",ISNUMBER(SEARCH(LEFT(LOWER($A17),LEN($A17)-1),LOWER(N$1))))),N$1,$A17&amp;" "&amp;N$1))</f>
        <v>is it safe to plumber cost</v>
      </c>
      <c r="O17" s="14" t="str">
        <f t="shared" si="30"/>
        <v>is it safe to geyser repair</v>
      </c>
      <c r="P17" s="14" t="str">
        <f t="shared" si="30"/>
        <v>is it safe to blocked drain</v>
      </c>
      <c r="Q17" s="14" t="str">
        <f t="shared" si="30"/>
        <v>is it safe to leak detection</v>
      </c>
      <c r="R17" s="14" t="str">
        <f t="shared" si="30"/>
        <v>is it safe to burst pipe</v>
      </c>
      <c r="S17" s="14" t="str">
        <f t="shared" si="30"/>
        <v>is it safe to electrical COC</v>
      </c>
      <c r="T17" s="14" t="str">
        <f t="shared" si="30"/>
        <v>is it safe to aircon service</v>
      </c>
      <c r="U17" s="14" t="str">
        <f t="shared" si="30"/>
        <v>is it safe to refrigeration repair</v>
      </c>
      <c r="V17" s="14" t="str">
        <f t="shared" si="30"/>
        <v>is it safe to emergency plumber</v>
      </c>
      <c r="W17" s="14" t="str">
        <f t="shared" si="30"/>
        <v>is it safe to plumbing maintenance</v>
      </c>
      <c r="X17" s="18" t="str">
        <f>IFERROR(__xludf.DUMMYFUNCTION("""COMPUTED_VALUE"""),"can a plumber fix emergency plumber")</f>
        <v>can a plumber fix emergency plumber</v>
      </c>
      <c r="Y17" s="4"/>
      <c r="Z17" s="4"/>
    </row>
    <row r="18">
      <c r="A18" s="13" t="s">
        <v>203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plumber cost emergency help for</v>
      </c>
      <c r="C18" s="14" t="str">
        <f t="shared" si="31"/>
        <v>geyser repair emergency help for</v>
      </c>
      <c r="D18" s="14" t="str">
        <f t="shared" si="31"/>
        <v>blocked drain emergency help for</v>
      </c>
      <c r="E18" s="14" t="str">
        <f t="shared" si="31"/>
        <v>leak detection emergency help for</v>
      </c>
      <c r="F18" s="14" t="str">
        <f t="shared" si="31"/>
        <v>burst pipe emergency help for</v>
      </c>
      <c r="G18" s="14" t="str">
        <f t="shared" si="31"/>
        <v>electrical COC emergency help for</v>
      </c>
      <c r="H18" s="14" t="str">
        <f t="shared" si="31"/>
        <v>aircon service emergency help for</v>
      </c>
      <c r="I18" s="14" t="str">
        <f t="shared" si="31"/>
        <v>refrigeration repair emergency help for</v>
      </c>
      <c r="J18" s="14" t="str">
        <f t="shared" si="31"/>
        <v>emergency plumber emergency help for</v>
      </c>
      <c r="K18" s="14" t="str">
        <f t="shared" si="31"/>
        <v>plumbing maintenance emergency help for</v>
      </c>
      <c r="L18" s="16" t="str">
        <f>IFERROR(__xludf.DUMMYFUNCTION("""COMPUTED_VALUE"""),"aircon service when to call a")</f>
        <v>aircon service when to call a</v>
      </c>
      <c r="M18" s="17"/>
      <c r="N18" s="14" t="str">
        <f t="shared" ref="N18:W18" si="32">IF($A18="","",IF(OR(ISNUMBER(SEARCH(LOWER($A18),LOWER(N$1))),AND(RIGHT(LOWER($A18),1)="s",ISNUMBER(SEARCH(LEFT(LOWER($A18),LEN($A18)-1),LOWER(N$1))))),N$1,$A18&amp;" "&amp;N$1))</f>
        <v>emergency help for plumber cost</v>
      </c>
      <c r="O18" s="14" t="str">
        <f t="shared" si="32"/>
        <v>emergency help for geyser repair</v>
      </c>
      <c r="P18" s="14" t="str">
        <f t="shared" si="32"/>
        <v>emergency help for blocked drain</v>
      </c>
      <c r="Q18" s="14" t="str">
        <f t="shared" si="32"/>
        <v>emergency help for leak detection</v>
      </c>
      <c r="R18" s="14" t="str">
        <f t="shared" si="32"/>
        <v>emergency help for burst pipe</v>
      </c>
      <c r="S18" s="14" t="str">
        <f t="shared" si="32"/>
        <v>emergency help for electrical COC</v>
      </c>
      <c r="T18" s="14" t="str">
        <f t="shared" si="32"/>
        <v>emergency help for aircon service</v>
      </c>
      <c r="U18" s="14" t="str">
        <f t="shared" si="32"/>
        <v>emergency help for refrigeration repair</v>
      </c>
      <c r="V18" s="14" t="str">
        <f t="shared" si="32"/>
        <v>emergency help for emergency plumber</v>
      </c>
      <c r="W18" s="14" t="str">
        <f t="shared" si="32"/>
        <v>emergency help for plumbing maintenance</v>
      </c>
      <c r="X18" s="18" t="str">
        <f>IFERROR(__xludf.DUMMYFUNCTION("""COMPUTED_VALUE"""),"can a plumber fix geyser repair")</f>
        <v>can a plumber fix geyser repair</v>
      </c>
      <c r="Y18" s="4"/>
      <c r="Z18" s="4"/>
    </row>
    <row r="19">
      <c r="A19" s="13" t="s">
        <v>204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plumber cost same day help for</v>
      </c>
      <c r="C19" s="14" t="str">
        <f t="shared" si="33"/>
        <v>geyser repair same day help for</v>
      </c>
      <c r="D19" s="14" t="str">
        <f t="shared" si="33"/>
        <v>blocked drain same day help for</v>
      </c>
      <c r="E19" s="14" t="str">
        <f t="shared" si="33"/>
        <v>leak detection same day help for</v>
      </c>
      <c r="F19" s="14" t="str">
        <f t="shared" si="33"/>
        <v>burst pipe same day help for</v>
      </c>
      <c r="G19" s="14" t="str">
        <f t="shared" si="33"/>
        <v>electrical COC same day help for</v>
      </c>
      <c r="H19" s="14" t="str">
        <f t="shared" si="33"/>
        <v>aircon service same day help for</v>
      </c>
      <c r="I19" s="14" t="str">
        <f t="shared" si="33"/>
        <v>refrigeration repair same day help for</v>
      </c>
      <c r="J19" s="14" t="str">
        <f t="shared" si="33"/>
        <v>emergency plumber same day help for</v>
      </c>
      <c r="K19" s="14" t="str">
        <f t="shared" si="33"/>
        <v>plumbing maintenance same day help for</v>
      </c>
      <c r="L19" s="16" t="str">
        <f>IFERROR(__xludf.DUMMYFUNCTION("""COMPUTED_VALUE"""),"aircon service who fixes")</f>
        <v>aircon service who fixes</v>
      </c>
      <c r="M19" s="17"/>
      <c r="N19" s="14" t="str">
        <f t="shared" ref="N19:W19" si="34">IF($A19="","",IF(OR(ISNUMBER(SEARCH(LOWER($A19),LOWER(N$1))),AND(RIGHT(LOWER($A19),1)="s",ISNUMBER(SEARCH(LEFT(LOWER($A19),LEN($A19)-1),LOWER(N$1))))),N$1,$A19&amp;" "&amp;N$1))</f>
        <v>same day help for plumber cost</v>
      </c>
      <c r="O19" s="14" t="str">
        <f t="shared" si="34"/>
        <v>same day help for geyser repair</v>
      </c>
      <c r="P19" s="14" t="str">
        <f t="shared" si="34"/>
        <v>same day help for blocked drain</v>
      </c>
      <c r="Q19" s="14" t="str">
        <f t="shared" si="34"/>
        <v>same day help for leak detection</v>
      </c>
      <c r="R19" s="14" t="str">
        <f t="shared" si="34"/>
        <v>same day help for burst pipe</v>
      </c>
      <c r="S19" s="14" t="str">
        <f t="shared" si="34"/>
        <v>same day help for electrical COC</v>
      </c>
      <c r="T19" s="14" t="str">
        <f t="shared" si="34"/>
        <v>same day help for aircon service</v>
      </c>
      <c r="U19" s="14" t="str">
        <f t="shared" si="34"/>
        <v>same day help for refrigeration repair</v>
      </c>
      <c r="V19" s="14" t="str">
        <f t="shared" si="34"/>
        <v>same day help for emergency plumber</v>
      </c>
      <c r="W19" s="14" t="str">
        <f t="shared" si="34"/>
        <v>same day help for plumbing maintenance</v>
      </c>
      <c r="X19" s="18" t="str">
        <f>IFERROR(__xludf.DUMMYFUNCTION("""COMPUTED_VALUE"""),"can a plumber fix leak detection")</f>
        <v>can a plumber fix leak detection</v>
      </c>
      <c r="Y19" s="4"/>
      <c r="Z19" s="4"/>
    </row>
    <row r="20">
      <c r="A20" s="13" t="s">
        <v>205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plumber cost near me for</v>
      </c>
      <c r="C20" s="14" t="str">
        <f t="shared" si="35"/>
        <v>geyser repair near me for</v>
      </c>
      <c r="D20" s="14" t="str">
        <f t="shared" si="35"/>
        <v>blocked drain near me for</v>
      </c>
      <c r="E20" s="14" t="str">
        <f t="shared" si="35"/>
        <v>leak detection near me for</v>
      </c>
      <c r="F20" s="14" t="str">
        <f t="shared" si="35"/>
        <v>burst pipe near me for</v>
      </c>
      <c r="G20" s="14" t="str">
        <f t="shared" si="35"/>
        <v>electrical COC near me for</v>
      </c>
      <c r="H20" s="14" t="str">
        <f t="shared" si="35"/>
        <v>aircon service near me for</v>
      </c>
      <c r="I20" s="14" t="str">
        <f t="shared" si="35"/>
        <v>refrigeration repair near me for</v>
      </c>
      <c r="J20" s="14" t="str">
        <f t="shared" si="35"/>
        <v>emergency plumber near me for</v>
      </c>
      <c r="K20" s="14" t="str">
        <f t="shared" si="35"/>
        <v>plumbing maintenance near me for</v>
      </c>
      <c r="L20" s="16" t="str">
        <f>IFERROR(__xludf.DUMMYFUNCTION("""COMPUTED_VALUE"""),"aircon service why is my")</f>
        <v>aircon service why is my</v>
      </c>
      <c r="M20" s="17"/>
      <c r="N20" s="14" t="str">
        <f t="shared" ref="N20:W20" si="36">IF($A20="","",IF(OR(ISNUMBER(SEARCH(LOWER($A20),LOWER(N$1))),AND(RIGHT(LOWER($A20),1)="s",ISNUMBER(SEARCH(LEFT(LOWER($A20),LEN($A20)-1),LOWER(N$1))))),N$1,$A20&amp;" "&amp;N$1))</f>
        <v>near me for plumber cost</v>
      </c>
      <c r="O20" s="14" t="str">
        <f t="shared" si="36"/>
        <v>near me for geyser repair</v>
      </c>
      <c r="P20" s="14" t="str">
        <f t="shared" si="36"/>
        <v>near me for blocked drain</v>
      </c>
      <c r="Q20" s="14" t="str">
        <f t="shared" si="36"/>
        <v>near me for leak detection</v>
      </c>
      <c r="R20" s="14" t="str">
        <f t="shared" si="36"/>
        <v>near me for burst pipe</v>
      </c>
      <c r="S20" s="14" t="str">
        <f t="shared" si="36"/>
        <v>near me for electrical COC</v>
      </c>
      <c r="T20" s="14" t="str">
        <f t="shared" si="36"/>
        <v>near me for aircon service</v>
      </c>
      <c r="U20" s="14" t="str">
        <f t="shared" si="36"/>
        <v>near me for refrigeration repair</v>
      </c>
      <c r="V20" s="14" t="str">
        <f t="shared" si="36"/>
        <v>near me for emergency plumber</v>
      </c>
      <c r="W20" s="14" t="str">
        <f t="shared" si="36"/>
        <v>near me for plumbing maintenance</v>
      </c>
      <c r="X20" s="18" t="str">
        <f>IFERROR(__xludf.DUMMYFUNCTION("""COMPUTED_VALUE"""),"can a plumber fix plumber cost")</f>
        <v>can a plumber fix plumber cost</v>
      </c>
      <c r="Y20" s="4"/>
      <c r="Z20" s="4"/>
    </row>
    <row r="21" ht="15.75" customHeight="1">
      <c r="A21" s="13"/>
      <c r="B21" s="14" t="str">
        <f t="shared" ref="B21:K21" si="37">IF($A21="","",IF(OR(ISNUMBER(SEARCH(LOWER($A21),LOWER(B$1))),AND(RIGHT(LOWER($A21),1)="s",ISNUMBER(SEARCH(LEFT(LOWER($A21),LEN($A21)-1),LOWER(B$1))))),B$1,B$1&amp;" "&amp;$A21))</f>
        <v/>
      </c>
      <c r="C21" s="14" t="str">
        <f t="shared" si="37"/>
        <v/>
      </c>
      <c r="D21" s="14" t="str">
        <f t="shared" si="37"/>
        <v/>
      </c>
      <c r="E21" s="14" t="str">
        <f t="shared" si="37"/>
        <v/>
      </c>
      <c r="F21" s="14" t="str">
        <f t="shared" si="37"/>
        <v/>
      </c>
      <c r="G21" s="14" t="str">
        <f t="shared" si="37"/>
        <v/>
      </c>
      <c r="H21" s="14" t="str">
        <f t="shared" si="37"/>
        <v/>
      </c>
      <c r="I21" s="14" t="str">
        <f t="shared" si="37"/>
        <v/>
      </c>
      <c r="J21" s="14" t="str">
        <f t="shared" si="37"/>
        <v/>
      </c>
      <c r="K21" s="14" t="str">
        <f t="shared" si="37"/>
        <v/>
      </c>
      <c r="L21" s="16" t="str">
        <f>IFERROR(__xludf.DUMMYFUNCTION("""COMPUTED_VALUE"""),"blocked drain best way to fix")</f>
        <v>blocked drain best way to fix</v>
      </c>
      <c r="M21" s="17"/>
      <c r="N21" s="14" t="str">
        <f t="shared" ref="N21:W21" si="38">IF($A21="","",IF(OR(ISNUMBER(SEARCH(LOWER($A21),LOWER(N$1))),AND(RIGHT(LOWER($A21),1)="s",ISNUMBER(SEARCH(LEFT(LOWER($A21),LEN($A21)-1),LOWER(N$1))))),N$1,$A21&amp;" "&amp;N$1))</f>
        <v/>
      </c>
      <c r="O21" s="14" t="str">
        <f t="shared" si="38"/>
        <v/>
      </c>
      <c r="P21" s="14" t="str">
        <f t="shared" si="38"/>
        <v/>
      </c>
      <c r="Q21" s="14" t="str">
        <f t="shared" si="38"/>
        <v/>
      </c>
      <c r="R21" s="14" t="str">
        <f t="shared" si="38"/>
        <v/>
      </c>
      <c r="S21" s="14" t="str">
        <f t="shared" si="38"/>
        <v/>
      </c>
      <c r="T21" s="14" t="str">
        <f t="shared" si="38"/>
        <v/>
      </c>
      <c r="U21" s="14" t="str">
        <f t="shared" si="38"/>
        <v/>
      </c>
      <c r="V21" s="14" t="str">
        <f t="shared" si="38"/>
        <v/>
      </c>
      <c r="W21" s="14" t="str">
        <f t="shared" si="38"/>
        <v/>
      </c>
      <c r="X21" s="18" t="str">
        <f>IFERROR(__xludf.DUMMYFUNCTION("""COMPUTED_VALUE"""),"can a plumber fix plumbing maintenance")</f>
        <v>can a plumber fix plumbing maintenance</v>
      </c>
      <c r="Y21" s="4"/>
      <c r="Z21" s="4"/>
    </row>
    <row r="22" ht="15.75" customHeight="1">
      <c r="A22" s="13"/>
      <c r="B22" s="14" t="str">
        <f t="shared" ref="B22:K22" si="39">IF($A22="","",IF(OR(ISNUMBER(SEARCH(LOWER($A22),LOWER(B$1))),AND(RIGHT(LOWER($A22),1)="s",ISNUMBER(SEARCH(LEFT(LOWER($A22),LEN($A22)-1),LOWER(B$1))))),B$1,B$1&amp;" "&amp;$A22))</f>
        <v/>
      </c>
      <c r="C22" s="14" t="str">
        <f t="shared" si="39"/>
        <v/>
      </c>
      <c r="D22" s="14" t="str">
        <f t="shared" si="39"/>
        <v/>
      </c>
      <c r="E22" s="14" t="str">
        <f t="shared" si="39"/>
        <v/>
      </c>
      <c r="F22" s="14" t="str">
        <f t="shared" si="39"/>
        <v/>
      </c>
      <c r="G22" s="14" t="str">
        <f t="shared" si="39"/>
        <v/>
      </c>
      <c r="H22" s="14" t="str">
        <f t="shared" si="39"/>
        <v/>
      </c>
      <c r="I22" s="14" t="str">
        <f t="shared" si="39"/>
        <v/>
      </c>
      <c r="J22" s="14" t="str">
        <f t="shared" si="39"/>
        <v/>
      </c>
      <c r="K22" s="14" t="str">
        <f t="shared" si="39"/>
        <v/>
      </c>
      <c r="L22" s="16" t="str">
        <f>IFERROR(__xludf.DUMMYFUNCTION("""COMPUTED_VALUE"""),"blocked drain can a plumber fix")</f>
        <v>blocked drain can a plumber fix</v>
      </c>
      <c r="M22" s="17"/>
      <c r="N22" s="14" t="str">
        <f t="shared" ref="N22:W22" si="40">IF($A22="","",IF(OR(ISNUMBER(SEARCH(LOWER($A22),LOWER(N$1))),AND(RIGHT(LOWER($A22),1)="s",ISNUMBER(SEARCH(LEFT(LOWER($A22),LEN($A22)-1),LOWER(N$1))))),N$1,$A22&amp;" "&amp;N$1))</f>
        <v/>
      </c>
      <c r="O22" s="14" t="str">
        <f t="shared" si="40"/>
        <v/>
      </c>
      <c r="P22" s="14" t="str">
        <f t="shared" si="40"/>
        <v/>
      </c>
      <c r="Q22" s="14" t="str">
        <f t="shared" si="40"/>
        <v/>
      </c>
      <c r="R22" s="14" t="str">
        <f t="shared" si="40"/>
        <v/>
      </c>
      <c r="S22" s="14" t="str">
        <f t="shared" si="40"/>
        <v/>
      </c>
      <c r="T22" s="14" t="str">
        <f t="shared" si="40"/>
        <v/>
      </c>
      <c r="U22" s="14" t="str">
        <f t="shared" si="40"/>
        <v/>
      </c>
      <c r="V22" s="14" t="str">
        <f t="shared" si="40"/>
        <v/>
      </c>
      <c r="W22" s="14" t="str">
        <f t="shared" si="40"/>
        <v/>
      </c>
      <c r="X22" s="18" t="str">
        <f>IFERROR(__xludf.DUMMYFUNCTION("""COMPUTED_VALUE"""),"can a plumber fix refrigeration repair")</f>
        <v>can a plumber fix refrigeration repair</v>
      </c>
      <c r="Y22" s="4"/>
      <c r="Z22" s="4"/>
    </row>
    <row r="23" ht="15.75" customHeight="1">
      <c r="A23" s="13"/>
      <c r="B23" s="14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14" t="str">
        <f t="shared" si="41"/>
        <v/>
      </c>
      <c r="D23" s="14" t="str">
        <f t="shared" si="41"/>
        <v/>
      </c>
      <c r="E23" s="14" t="str">
        <f t="shared" si="41"/>
        <v/>
      </c>
      <c r="F23" s="14" t="str">
        <f t="shared" si="41"/>
        <v/>
      </c>
      <c r="G23" s="14" t="str">
        <f t="shared" si="41"/>
        <v/>
      </c>
      <c r="H23" s="14" t="str">
        <f t="shared" si="41"/>
        <v/>
      </c>
      <c r="I23" s="14" t="str">
        <f t="shared" si="41"/>
        <v/>
      </c>
      <c r="J23" s="14" t="str">
        <f t="shared" si="41"/>
        <v/>
      </c>
      <c r="K23" s="14" t="str">
        <f t="shared" si="41"/>
        <v/>
      </c>
      <c r="L23" s="16" t="str">
        <f>IFERROR(__xludf.DUMMYFUNCTION("""COMPUTED_VALUE"""),"blocked drain cost of")</f>
        <v>blocked drain cost of</v>
      </c>
      <c r="M23" s="17"/>
      <c r="N23" s="14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14" t="str">
        <f t="shared" si="42"/>
        <v/>
      </c>
      <c r="P23" s="14" t="str">
        <f t="shared" si="42"/>
        <v/>
      </c>
      <c r="Q23" s="14" t="str">
        <f t="shared" si="42"/>
        <v/>
      </c>
      <c r="R23" s="14" t="str">
        <f t="shared" si="42"/>
        <v/>
      </c>
      <c r="S23" s="14" t="str">
        <f t="shared" si="42"/>
        <v/>
      </c>
      <c r="T23" s="14" t="str">
        <f t="shared" si="42"/>
        <v/>
      </c>
      <c r="U23" s="14" t="str">
        <f t="shared" si="42"/>
        <v/>
      </c>
      <c r="V23" s="14" t="str">
        <f t="shared" si="42"/>
        <v/>
      </c>
      <c r="W23" s="14" t="str">
        <f t="shared" si="42"/>
        <v/>
      </c>
      <c r="X23" s="18" t="str">
        <f>IFERROR(__xludf.DUMMYFUNCTION("""COMPUTED_VALUE"""),"cost of aircon service")</f>
        <v>cost of aircon service</v>
      </c>
      <c r="Y23" s="4"/>
      <c r="Z23" s="4"/>
    </row>
    <row r="24" ht="15.75" customHeight="1">
      <c r="A24" s="13"/>
      <c r="B24" s="14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14" t="str">
        <f t="shared" si="43"/>
        <v/>
      </c>
      <c r="D24" s="14" t="str">
        <f t="shared" si="43"/>
        <v/>
      </c>
      <c r="E24" s="14" t="str">
        <f t="shared" si="43"/>
        <v/>
      </c>
      <c r="F24" s="14" t="str">
        <f t="shared" si="43"/>
        <v/>
      </c>
      <c r="G24" s="14" t="str">
        <f t="shared" si="43"/>
        <v/>
      </c>
      <c r="H24" s="14" t="str">
        <f t="shared" si="43"/>
        <v/>
      </c>
      <c r="I24" s="14" t="str">
        <f t="shared" si="43"/>
        <v/>
      </c>
      <c r="J24" s="14" t="str">
        <f t="shared" si="43"/>
        <v/>
      </c>
      <c r="K24" s="14" t="str">
        <f t="shared" si="43"/>
        <v/>
      </c>
      <c r="L24" s="16" t="str">
        <f>IFERROR(__xludf.DUMMYFUNCTION("""COMPUTED_VALUE"""),"blocked drain do I need")</f>
        <v>blocked drain do I need</v>
      </c>
      <c r="M24" s="17"/>
      <c r="N24" s="14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14" t="str">
        <f t="shared" si="44"/>
        <v/>
      </c>
      <c r="P24" s="14" t="str">
        <f t="shared" si="44"/>
        <v/>
      </c>
      <c r="Q24" s="14" t="str">
        <f t="shared" si="44"/>
        <v/>
      </c>
      <c r="R24" s="14" t="str">
        <f t="shared" si="44"/>
        <v/>
      </c>
      <c r="S24" s="14" t="str">
        <f t="shared" si="44"/>
        <v/>
      </c>
      <c r="T24" s="14" t="str">
        <f t="shared" si="44"/>
        <v/>
      </c>
      <c r="U24" s="14" t="str">
        <f t="shared" si="44"/>
        <v/>
      </c>
      <c r="V24" s="14" t="str">
        <f t="shared" si="44"/>
        <v/>
      </c>
      <c r="W24" s="14" t="str">
        <f t="shared" si="44"/>
        <v/>
      </c>
      <c r="X24" s="18" t="str">
        <f>IFERROR(__xludf.DUMMYFUNCTION("""COMPUTED_VALUE"""),"cost of blocked drain")</f>
        <v>cost of blocked drain</v>
      </c>
      <c r="Y24" s="4"/>
      <c r="Z24" s="4"/>
    </row>
    <row r="25" ht="15.75" customHeight="1">
      <c r="A25" s="13"/>
      <c r="B25" s="14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14" t="str">
        <f t="shared" si="45"/>
        <v/>
      </c>
      <c r="D25" s="14" t="str">
        <f t="shared" si="45"/>
        <v/>
      </c>
      <c r="E25" s="14" t="str">
        <f t="shared" si="45"/>
        <v/>
      </c>
      <c r="F25" s="14" t="str">
        <f t="shared" si="45"/>
        <v/>
      </c>
      <c r="G25" s="14" t="str">
        <f t="shared" si="45"/>
        <v/>
      </c>
      <c r="H25" s="14" t="str">
        <f t="shared" si="45"/>
        <v/>
      </c>
      <c r="I25" s="14" t="str">
        <f t="shared" si="45"/>
        <v/>
      </c>
      <c r="J25" s="14" t="str">
        <f t="shared" si="45"/>
        <v/>
      </c>
      <c r="K25" s="14" t="str">
        <f t="shared" si="45"/>
        <v/>
      </c>
      <c r="L25" s="16" t="str">
        <f>IFERROR(__xludf.DUMMYFUNCTION("""COMPUTED_VALUE"""),"blocked drain emergency help for")</f>
        <v>blocked drain emergency help for</v>
      </c>
      <c r="M25" s="17"/>
      <c r="N25" s="14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14" t="str">
        <f t="shared" si="46"/>
        <v/>
      </c>
      <c r="P25" s="14" t="str">
        <f t="shared" si="46"/>
        <v/>
      </c>
      <c r="Q25" s="14" t="str">
        <f t="shared" si="46"/>
        <v/>
      </c>
      <c r="R25" s="14" t="str">
        <f t="shared" si="46"/>
        <v/>
      </c>
      <c r="S25" s="14" t="str">
        <f t="shared" si="46"/>
        <v/>
      </c>
      <c r="T25" s="14" t="str">
        <f t="shared" si="46"/>
        <v/>
      </c>
      <c r="U25" s="14" t="str">
        <f t="shared" si="46"/>
        <v/>
      </c>
      <c r="V25" s="14" t="str">
        <f t="shared" si="46"/>
        <v/>
      </c>
      <c r="W25" s="14" t="str">
        <f t="shared" si="46"/>
        <v/>
      </c>
      <c r="X25" s="18" t="str">
        <f>IFERROR(__xludf.DUMMYFUNCTION("""COMPUTED_VALUE"""),"cost of burst pipe")</f>
        <v>cost of burst pipe</v>
      </c>
      <c r="Y25" s="4"/>
      <c r="Z25" s="4"/>
    </row>
    <row r="26" ht="15.75" customHeight="1">
      <c r="A26" s="13"/>
      <c r="B26" s="14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14" t="str">
        <f t="shared" si="47"/>
        <v/>
      </c>
      <c r="D26" s="14" t="str">
        <f t="shared" si="47"/>
        <v/>
      </c>
      <c r="E26" s="14" t="str">
        <f t="shared" si="47"/>
        <v/>
      </c>
      <c r="F26" s="14" t="str">
        <f t="shared" si="47"/>
        <v/>
      </c>
      <c r="G26" s="14" t="str">
        <f t="shared" si="47"/>
        <v/>
      </c>
      <c r="H26" s="14" t="str">
        <f t="shared" si="47"/>
        <v/>
      </c>
      <c r="I26" s="14" t="str">
        <f t="shared" si="47"/>
        <v/>
      </c>
      <c r="J26" s="14" t="str">
        <f t="shared" si="47"/>
        <v/>
      </c>
      <c r="K26" s="14" t="str">
        <f t="shared" si="47"/>
        <v/>
      </c>
      <c r="L26" s="16" t="str">
        <f>IFERROR(__xludf.DUMMYFUNCTION("""COMPUTED_VALUE"""),"blocked drain how long does")</f>
        <v>blocked drain how long does</v>
      </c>
      <c r="M26" s="17"/>
      <c r="N26" s="14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14" t="str">
        <f t="shared" si="48"/>
        <v/>
      </c>
      <c r="P26" s="14" t="str">
        <f t="shared" si="48"/>
        <v/>
      </c>
      <c r="Q26" s="14" t="str">
        <f t="shared" si="48"/>
        <v/>
      </c>
      <c r="R26" s="14" t="str">
        <f t="shared" si="48"/>
        <v/>
      </c>
      <c r="S26" s="14" t="str">
        <f t="shared" si="48"/>
        <v/>
      </c>
      <c r="T26" s="14" t="str">
        <f t="shared" si="48"/>
        <v/>
      </c>
      <c r="U26" s="14" t="str">
        <f t="shared" si="48"/>
        <v/>
      </c>
      <c r="V26" s="14" t="str">
        <f t="shared" si="48"/>
        <v/>
      </c>
      <c r="W26" s="14" t="str">
        <f t="shared" si="48"/>
        <v/>
      </c>
      <c r="X26" s="18" t="str">
        <f>IFERROR(__xludf.DUMMYFUNCTION("""COMPUTED_VALUE"""),"cost of electrical COC")</f>
        <v>cost of electrical COC</v>
      </c>
      <c r="Y26" s="4"/>
      <c r="Z26" s="4"/>
    </row>
    <row r="27" ht="15.75" customHeight="1">
      <c r="A27" s="13"/>
      <c r="B27" s="14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14" t="str">
        <f t="shared" si="49"/>
        <v/>
      </c>
      <c r="D27" s="14" t="str">
        <f t="shared" si="49"/>
        <v/>
      </c>
      <c r="E27" s="14" t="str">
        <f t="shared" si="49"/>
        <v/>
      </c>
      <c r="F27" s="14" t="str">
        <f t="shared" si="49"/>
        <v/>
      </c>
      <c r="G27" s="14" t="str">
        <f t="shared" si="49"/>
        <v/>
      </c>
      <c r="H27" s="14" t="str">
        <f t="shared" si="49"/>
        <v/>
      </c>
      <c r="I27" s="14" t="str">
        <f t="shared" si="49"/>
        <v/>
      </c>
      <c r="J27" s="14" t="str">
        <f t="shared" si="49"/>
        <v/>
      </c>
      <c r="K27" s="14" t="str">
        <f t="shared" si="49"/>
        <v/>
      </c>
      <c r="L27" s="16" t="str">
        <f>IFERROR(__xludf.DUMMYFUNCTION("""COMPUTED_VALUE"""),"blocked drain how much does")</f>
        <v>blocked drain how much does</v>
      </c>
      <c r="M27" s="17"/>
      <c r="N27" s="14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14" t="str">
        <f t="shared" si="50"/>
        <v/>
      </c>
      <c r="P27" s="14" t="str">
        <f t="shared" si="50"/>
        <v/>
      </c>
      <c r="Q27" s="14" t="str">
        <f t="shared" si="50"/>
        <v/>
      </c>
      <c r="R27" s="14" t="str">
        <f t="shared" si="50"/>
        <v/>
      </c>
      <c r="S27" s="14" t="str">
        <f t="shared" si="50"/>
        <v/>
      </c>
      <c r="T27" s="14" t="str">
        <f t="shared" si="50"/>
        <v/>
      </c>
      <c r="U27" s="14" t="str">
        <f t="shared" si="50"/>
        <v/>
      </c>
      <c r="V27" s="14" t="str">
        <f t="shared" si="50"/>
        <v/>
      </c>
      <c r="W27" s="14" t="str">
        <f t="shared" si="50"/>
        <v/>
      </c>
      <c r="X27" s="18" t="str">
        <f>IFERROR(__xludf.DUMMYFUNCTION("""COMPUTED_VALUE"""),"cost of emergency plumber")</f>
        <v>cost of emergency plumber</v>
      </c>
      <c r="Y27" s="4"/>
      <c r="Z27" s="4"/>
    </row>
    <row r="28" ht="15.75" customHeight="1">
      <c r="A28" s="13"/>
      <c r="B28" s="14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14" t="str">
        <f t="shared" si="51"/>
        <v/>
      </c>
      <c r="D28" s="14" t="str">
        <f t="shared" si="51"/>
        <v/>
      </c>
      <c r="E28" s="14" t="str">
        <f t="shared" si="51"/>
        <v/>
      </c>
      <c r="F28" s="14" t="str">
        <f t="shared" si="51"/>
        <v/>
      </c>
      <c r="G28" s="14" t="str">
        <f t="shared" si="51"/>
        <v/>
      </c>
      <c r="H28" s="14" t="str">
        <f t="shared" si="51"/>
        <v/>
      </c>
      <c r="I28" s="14" t="str">
        <f t="shared" si="51"/>
        <v/>
      </c>
      <c r="J28" s="14" t="str">
        <f t="shared" si="51"/>
        <v/>
      </c>
      <c r="K28" s="14" t="str">
        <f t="shared" si="51"/>
        <v/>
      </c>
      <c r="L28" s="16" t="str">
        <f>IFERROR(__xludf.DUMMYFUNCTION("""COMPUTED_VALUE"""),"blocked drain how to choose")</f>
        <v>blocked drain how to choose</v>
      </c>
      <c r="M28" s="17"/>
      <c r="N28" s="14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14" t="str">
        <f t="shared" si="52"/>
        <v/>
      </c>
      <c r="P28" s="14" t="str">
        <f t="shared" si="52"/>
        <v/>
      </c>
      <c r="Q28" s="14" t="str">
        <f t="shared" si="52"/>
        <v/>
      </c>
      <c r="R28" s="14" t="str">
        <f t="shared" si="52"/>
        <v/>
      </c>
      <c r="S28" s="14" t="str">
        <f t="shared" si="52"/>
        <v/>
      </c>
      <c r="T28" s="14" t="str">
        <f t="shared" si="52"/>
        <v/>
      </c>
      <c r="U28" s="14" t="str">
        <f t="shared" si="52"/>
        <v/>
      </c>
      <c r="V28" s="14" t="str">
        <f t="shared" si="52"/>
        <v/>
      </c>
      <c r="W28" s="14" t="str">
        <f t="shared" si="52"/>
        <v/>
      </c>
      <c r="X28" s="18" t="str">
        <f>IFERROR(__xludf.DUMMYFUNCTION("""COMPUTED_VALUE"""),"cost of geyser repair")</f>
        <v>cost of geyser repair</v>
      </c>
      <c r="Y28" s="4"/>
      <c r="Z28" s="4"/>
    </row>
    <row r="29" ht="15.75" customHeight="1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6" t="str">
        <f>IFERROR(__xludf.DUMMYFUNCTION("""COMPUTED_VALUE"""),"blocked drain how to prevent")</f>
        <v>blocked drain how to prevent</v>
      </c>
      <c r="M29" s="17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8" t="str">
        <f>IFERROR(__xludf.DUMMYFUNCTION("""COMPUTED_VALUE"""),"cost of leak detection")</f>
        <v>cost of leak detection</v>
      </c>
      <c r="Y29" s="4"/>
      <c r="Z29" s="4"/>
    </row>
    <row r="30" ht="15.75" customHeight="1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6" t="str">
        <f>IFERROR(__xludf.DUMMYFUNCTION("""COMPUTED_VALUE"""),"blocked drain is it safe to")</f>
        <v>blocked drain is it safe to</v>
      </c>
      <c r="M30" s="17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8" t="str">
        <f>IFERROR(__xludf.DUMMYFUNCTION("""COMPUTED_VALUE"""),"cost of plumber cost")</f>
        <v>cost of plumber cost</v>
      </c>
      <c r="Y30" s="4"/>
      <c r="Z30" s="4"/>
    </row>
    <row r="31" ht="15.75" customHeight="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6" t="str">
        <f>IFERROR(__xludf.DUMMYFUNCTION("""COMPUTED_VALUE"""),"blocked drain near me for")</f>
        <v>blocked drain near me for</v>
      </c>
      <c r="M31" s="17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8" t="str">
        <f>IFERROR(__xludf.DUMMYFUNCTION("""COMPUTED_VALUE"""),"cost of plumbing maintenance")</f>
        <v>cost of plumbing maintenance</v>
      </c>
      <c r="Y31" s="4"/>
      <c r="Z31" s="4"/>
    </row>
    <row r="32" ht="15.75" customHeight="1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6" t="str">
        <f>IFERROR(__xludf.DUMMYFUNCTION("""COMPUTED_VALUE"""),"blocked drain same day help for")</f>
        <v>blocked drain same day help for</v>
      </c>
      <c r="M32" s="17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8" t="str">
        <f>IFERROR(__xludf.DUMMYFUNCTION("""COMPUTED_VALUE"""),"cost of refrigeration repair")</f>
        <v>cost of refrigeration repair</v>
      </c>
      <c r="Y32" s="4"/>
      <c r="Z32" s="4"/>
    </row>
    <row r="33" ht="15.75" customHeight="1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6" t="str">
        <f>IFERROR(__xludf.DUMMYFUNCTION("""COMPUTED_VALUE"""),"blocked drain signs you need")</f>
        <v>blocked drain signs you need</v>
      </c>
      <c r="M33" s="17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8" t="str">
        <f>IFERROR(__xludf.DUMMYFUNCTION("""COMPUTED_VALUE"""),"do I need aircon service")</f>
        <v>do I need aircon service</v>
      </c>
      <c r="Y33" s="4"/>
      <c r="Z33" s="4"/>
    </row>
    <row r="34" ht="15.75" customHeight="1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6" t="str">
        <f>IFERROR(__xludf.DUMMYFUNCTION("""COMPUTED_VALUE"""),"blocked drain what causes")</f>
        <v>blocked drain what causes</v>
      </c>
      <c r="M34" s="17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8" t="str">
        <f>IFERROR(__xludf.DUMMYFUNCTION("""COMPUTED_VALUE"""),"do I need blocked drain")</f>
        <v>do I need blocked drain</v>
      </c>
      <c r="Y34" s="4"/>
      <c r="Z34" s="4"/>
    </row>
    <row r="35" ht="15.75" customHeight="1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6" t="str">
        <f>IFERROR(__xludf.DUMMYFUNCTION("""COMPUTED_VALUE"""),"blocked drain what is")</f>
        <v>blocked drain what is</v>
      </c>
      <c r="M35" s="17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8" t="str">
        <f>IFERROR(__xludf.DUMMYFUNCTION("""COMPUTED_VALUE"""),"do I need burst pipe")</f>
        <v>do I need burst pipe</v>
      </c>
      <c r="Y35" s="4"/>
      <c r="Z35" s="4"/>
    </row>
    <row r="36" ht="15.75" customHeight="1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6" t="str">
        <f>IFERROR(__xludf.DUMMYFUNCTION("""COMPUTED_VALUE"""),"blocked drain when to call a")</f>
        <v>blocked drain when to call a</v>
      </c>
      <c r="M36" s="17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8" t="str">
        <f>IFERROR(__xludf.DUMMYFUNCTION("""COMPUTED_VALUE"""),"do I need electrical COC")</f>
        <v>do I need electrical COC</v>
      </c>
      <c r="Y36" s="4"/>
      <c r="Z36" s="4"/>
    </row>
    <row r="37" ht="15.75" customHeight="1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6" t="str">
        <f>IFERROR(__xludf.DUMMYFUNCTION("""COMPUTED_VALUE"""),"blocked drain who fixes")</f>
        <v>blocked drain who fixes</v>
      </c>
      <c r="M37" s="17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8" t="str">
        <f>IFERROR(__xludf.DUMMYFUNCTION("""COMPUTED_VALUE"""),"do I need emergency plumber")</f>
        <v>do I need emergency plumber</v>
      </c>
      <c r="Y37" s="4"/>
      <c r="Z37" s="4"/>
    </row>
    <row r="38" ht="15.75" customHeight="1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6" t="str">
        <f>IFERROR(__xludf.DUMMYFUNCTION("""COMPUTED_VALUE"""),"blocked drain why is my")</f>
        <v>blocked drain why is my</v>
      </c>
      <c r="M38" s="17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8" t="str">
        <f>IFERROR(__xludf.DUMMYFUNCTION("""COMPUTED_VALUE"""),"do I need geyser repair")</f>
        <v>do I need geyser repair</v>
      </c>
      <c r="Y38" s="4"/>
      <c r="Z38" s="4"/>
    </row>
    <row r="39" ht="15.75" customHeight="1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6" t="str">
        <f>IFERROR(__xludf.DUMMYFUNCTION("""COMPUTED_VALUE"""),"burst pipe best way to fix")</f>
        <v>burst pipe best way to fix</v>
      </c>
      <c r="M39" s="17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8" t="str">
        <f>IFERROR(__xludf.DUMMYFUNCTION("""COMPUTED_VALUE"""),"do I need leak detection")</f>
        <v>do I need leak detection</v>
      </c>
      <c r="Y39" s="4"/>
      <c r="Z39" s="4"/>
    </row>
    <row r="40" ht="15.75" customHeight="1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6" t="str">
        <f>IFERROR(__xludf.DUMMYFUNCTION("""COMPUTED_VALUE"""),"burst pipe can a plumber fix")</f>
        <v>burst pipe can a plumber fix</v>
      </c>
      <c r="M40" s="17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8" t="str">
        <f>IFERROR(__xludf.DUMMYFUNCTION("""COMPUTED_VALUE"""),"do I need plumber cost")</f>
        <v>do I need plumber cost</v>
      </c>
      <c r="Y40" s="4"/>
      <c r="Z40" s="4"/>
    </row>
    <row r="41" ht="15.75" customHeight="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6" t="str">
        <f>IFERROR(__xludf.DUMMYFUNCTION("""COMPUTED_VALUE"""),"burst pipe cost of")</f>
        <v>burst pipe cost of</v>
      </c>
      <c r="M41" s="17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8" t="str">
        <f>IFERROR(__xludf.DUMMYFUNCTION("""COMPUTED_VALUE"""),"do I need plumbing maintenance")</f>
        <v>do I need plumbing maintenance</v>
      </c>
      <c r="Y41" s="4"/>
      <c r="Z41" s="4"/>
    </row>
    <row r="42" ht="15.75" customHeight="1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6" t="str">
        <f>IFERROR(__xludf.DUMMYFUNCTION("""COMPUTED_VALUE"""),"burst pipe do I need")</f>
        <v>burst pipe do I need</v>
      </c>
      <c r="M42" s="17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8" t="str">
        <f>IFERROR(__xludf.DUMMYFUNCTION("""COMPUTED_VALUE"""),"do I need refrigeration repair")</f>
        <v>do I need refrigeration repair</v>
      </c>
      <c r="Y42" s="4"/>
      <c r="Z42" s="4"/>
    </row>
    <row r="43" ht="15.75" customHeight="1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6" t="str">
        <f>IFERROR(__xludf.DUMMYFUNCTION("""COMPUTED_VALUE"""),"burst pipe emergency help for")</f>
        <v>burst pipe emergency help for</v>
      </c>
      <c r="M43" s="17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8" t="str">
        <f>IFERROR(__xludf.DUMMYFUNCTION("""COMPUTED_VALUE"""),"emergency help for aircon service")</f>
        <v>emergency help for aircon service</v>
      </c>
      <c r="Y43" s="4"/>
      <c r="Z43" s="4"/>
    </row>
    <row r="44" ht="15.75" customHeight="1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6" t="str">
        <f>IFERROR(__xludf.DUMMYFUNCTION("""COMPUTED_VALUE"""),"burst pipe how long does")</f>
        <v>burst pipe how long does</v>
      </c>
      <c r="M44" s="17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8" t="str">
        <f>IFERROR(__xludf.DUMMYFUNCTION("""COMPUTED_VALUE"""),"emergency help for blocked drain")</f>
        <v>emergency help for blocked drain</v>
      </c>
      <c r="Y44" s="4"/>
      <c r="Z44" s="4"/>
    </row>
    <row r="45" ht="15.75" customHeight="1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6" t="str">
        <f>IFERROR(__xludf.DUMMYFUNCTION("""COMPUTED_VALUE"""),"burst pipe how much does")</f>
        <v>burst pipe how much does</v>
      </c>
      <c r="M45" s="17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8" t="str">
        <f>IFERROR(__xludf.DUMMYFUNCTION("""COMPUTED_VALUE"""),"emergency help for burst pipe")</f>
        <v>emergency help for burst pipe</v>
      </c>
      <c r="Y45" s="4"/>
      <c r="Z45" s="4"/>
    </row>
    <row r="46" ht="15.75" customHeight="1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6" t="str">
        <f>IFERROR(__xludf.DUMMYFUNCTION("""COMPUTED_VALUE"""),"burst pipe how to choose")</f>
        <v>burst pipe how to choose</v>
      </c>
      <c r="M46" s="17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8" t="str">
        <f>IFERROR(__xludf.DUMMYFUNCTION("""COMPUTED_VALUE"""),"emergency help for electrical COC")</f>
        <v>emergency help for electrical COC</v>
      </c>
      <c r="Y46" s="4"/>
      <c r="Z46" s="4"/>
    </row>
    <row r="47" ht="15.75" customHeight="1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6" t="str">
        <f>IFERROR(__xludf.DUMMYFUNCTION("""COMPUTED_VALUE"""),"burst pipe how to prevent")</f>
        <v>burst pipe how to prevent</v>
      </c>
      <c r="M47" s="17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8" t="str">
        <f>IFERROR(__xludf.DUMMYFUNCTION("""COMPUTED_VALUE"""),"emergency help for emergency plumber")</f>
        <v>emergency help for emergency plumber</v>
      </c>
      <c r="Y47" s="4"/>
      <c r="Z47" s="4"/>
    </row>
    <row r="48" ht="15.75" customHeight="1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6" t="str">
        <f>IFERROR(__xludf.DUMMYFUNCTION("""COMPUTED_VALUE"""),"burst pipe is it safe to")</f>
        <v>burst pipe is it safe to</v>
      </c>
      <c r="M48" s="17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8" t="str">
        <f>IFERROR(__xludf.DUMMYFUNCTION("""COMPUTED_VALUE"""),"emergency help for geyser repair")</f>
        <v>emergency help for geyser repair</v>
      </c>
      <c r="Y48" s="4"/>
      <c r="Z48" s="4"/>
    </row>
    <row r="49" ht="15.75" customHeight="1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6" t="str">
        <f>IFERROR(__xludf.DUMMYFUNCTION("""COMPUTED_VALUE"""),"burst pipe near me for")</f>
        <v>burst pipe near me for</v>
      </c>
      <c r="M49" s="17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8" t="str">
        <f>IFERROR(__xludf.DUMMYFUNCTION("""COMPUTED_VALUE"""),"emergency help for leak detection")</f>
        <v>emergency help for leak detection</v>
      </c>
      <c r="Y49" s="4"/>
      <c r="Z49" s="4"/>
    </row>
    <row r="50" ht="15.75" customHeight="1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6" t="str">
        <f>IFERROR(__xludf.DUMMYFUNCTION("""COMPUTED_VALUE"""),"burst pipe same day help for")</f>
        <v>burst pipe same day help for</v>
      </c>
      <c r="M50" s="17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8" t="str">
        <f>IFERROR(__xludf.DUMMYFUNCTION("""COMPUTED_VALUE"""),"emergency help for plumber cost")</f>
        <v>emergency help for plumber cost</v>
      </c>
      <c r="Y50" s="4"/>
      <c r="Z50" s="4"/>
    </row>
    <row r="51" ht="15.75" customHeight="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6" t="str">
        <f>IFERROR(__xludf.DUMMYFUNCTION("""COMPUTED_VALUE"""),"burst pipe signs you need")</f>
        <v>burst pipe signs you need</v>
      </c>
      <c r="M51" s="17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8" t="str">
        <f>IFERROR(__xludf.DUMMYFUNCTION("""COMPUTED_VALUE"""),"emergency help for plumbing maintenance")</f>
        <v>emergency help for plumbing maintenance</v>
      </c>
      <c r="Y51" s="4"/>
      <c r="Z51" s="4"/>
    </row>
    <row r="52" ht="15.75" customHeight="1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6" t="str">
        <f>IFERROR(__xludf.DUMMYFUNCTION("""COMPUTED_VALUE"""),"burst pipe what causes")</f>
        <v>burst pipe what causes</v>
      </c>
      <c r="M52" s="17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8" t="str">
        <f>IFERROR(__xludf.DUMMYFUNCTION("""COMPUTED_VALUE"""),"emergency help for refrigeration repair")</f>
        <v>emergency help for refrigeration repair</v>
      </c>
      <c r="Y52" s="4"/>
      <c r="Z52" s="4"/>
    </row>
    <row r="53" ht="15.75" customHeight="1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6" t="str">
        <f>IFERROR(__xludf.DUMMYFUNCTION("""COMPUTED_VALUE"""),"burst pipe what is")</f>
        <v>burst pipe what is</v>
      </c>
      <c r="M53" s="17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8" t="str">
        <f>IFERROR(__xludf.DUMMYFUNCTION("""COMPUTED_VALUE"""),"how long does aircon service")</f>
        <v>how long does aircon service</v>
      </c>
      <c r="Y53" s="4"/>
      <c r="Z53" s="4"/>
    </row>
    <row r="54" ht="15.75" customHeight="1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6" t="str">
        <f>IFERROR(__xludf.DUMMYFUNCTION("""COMPUTED_VALUE"""),"burst pipe when to call a")</f>
        <v>burst pipe when to call a</v>
      </c>
      <c r="M54" s="17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8" t="str">
        <f>IFERROR(__xludf.DUMMYFUNCTION("""COMPUTED_VALUE"""),"how long does blocked drain")</f>
        <v>how long does blocked drain</v>
      </c>
      <c r="Y54" s="4"/>
      <c r="Z54" s="4"/>
    </row>
    <row r="55" ht="15.75" customHeight="1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6" t="str">
        <f>IFERROR(__xludf.DUMMYFUNCTION("""COMPUTED_VALUE"""),"burst pipe who fixes")</f>
        <v>burst pipe who fixes</v>
      </c>
      <c r="M55" s="17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8" t="str">
        <f>IFERROR(__xludf.DUMMYFUNCTION("""COMPUTED_VALUE"""),"how long does burst pipe")</f>
        <v>how long does burst pipe</v>
      </c>
      <c r="Y55" s="4"/>
      <c r="Z55" s="4"/>
    </row>
    <row r="56" ht="15.75" customHeight="1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6" t="str">
        <f>IFERROR(__xludf.DUMMYFUNCTION("""COMPUTED_VALUE"""),"burst pipe why is my")</f>
        <v>burst pipe why is my</v>
      </c>
      <c r="M56" s="17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8" t="str">
        <f>IFERROR(__xludf.DUMMYFUNCTION("""COMPUTED_VALUE"""),"how long does electrical COC")</f>
        <v>how long does electrical COC</v>
      </c>
      <c r="Y56" s="4"/>
      <c r="Z56" s="4"/>
    </row>
    <row r="57" ht="15.75" customHeight="1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6" t="str">
        <f>IFERROR(__xludf.DUMMYFUNCTION("""COMPUTED_VALUE"""),"electrical COC best way to fix")</f>
        <v>electrical COC best way to fix</v>
      </c>
      <c r="M57" s="17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8" t="str">
        <f>IFERROR(__xludf.DUMMYFUNCTION("""COMPUTED_VALUE"""),"how long does emergency plumber")</f>
        <v>how long does emergency plumber</v>
      </c>
      <c r="Y57" s="4"/>
      <c r="Z57" s="4"/>
    </row>
    <row r="58" ht="15.75" customHeight="1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6" t="str">
        <f>IFERROR(__xludf.DUMMYFUNCTION("""COMPUTED_VALUE"""),"electrical COC can a plumber fix")</f>
        <v>electrical COC can a plumber fix</v>
      </c>
      <c r="M58" s="17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8" t="str">
        <f>IFERROR(__xludf.DUMMYFUNCTION("""COMPUTED_VALUE"""),"how long does geyser repair")</f>
        <v>how long does geyser repair</v>
      </c>
      <c r="Y58" s="4"/>
      <c r="Z58" s="4"/>
    </row>
    <row r="59" ht="15.75" customHeight="1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6" t="str">
        <f>IFERROR(__xludf.DUMMYFUNCTION("""COMPUTED_VALUE"""),"electrical COC cost of")</f>
        <v>electrical COC cost of</v>
      </c>
      <c r="M59" s="17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8" t="str">
        <f>IFERROR(__xludf.DUMMYFUNCTION("""COMPUTED_VALUE"""),"how long does leak detection")</f>
        <v>how long does leak detection</v>
      </c>
      <c r="Y59" s="4"/>
      <c r="Z59" s="4"/>
    </row>
    <row r="60" ht="15.75" customHeight="1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6" t="str">
        <f>IFERROR(__xludf.DUMMYFUNCTION("""COMPUTED_VALUE"""),"electrical COC do I need")</f>
        <v>electrical COC do I need</v>
      </c>
      <c r="M60" s="17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8" t="str">
        <f>IFERROR(__xludf.DUMMYFUNCTION("""COMPUTED_VALUE"""),"how long does plumber cost")</f>
        <v>how long does plumber cost</v>
      </c>
      <c r="Y60" s="4"/>
      <c r="Z60" s="4"/>
    </row>
    <row r="61" ht="15.75" customHeight="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6" t="str">
        <f>IFERROR(__xludf.DUMMYFUNCTION("""COMPUTED_VALUE"""),"electrical COC emergency help for")</f>
        <v>electrical COC emergency help for</v>
      </c>
      <c r="M61" s="17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8" t="str">
        <f>IFERROR(__xludf.DUMMYFUNCTION("""COMPUTED_VALUE"""),"how long does plumbing maintenance")</f>
        <v>how long does plumbing maintenance</v>
      </c>
      <c r="Y61" s="4"/>
      <c r="Z61" s="4"/>
    </row>
    <row r="62" ht="15.75" customHeight="1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6" t="str">
        <f>IFERROR(__xludf.DUMMYFUNCTION("""COMPUTED_VALUE"""),"electrical COC how long does")</f>
        <v>electrical COC how long does</v>
      </c>
      <c r="M62" s="17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8" t="str">
        <f>IFERROR(__xludf.DUMMYFUNCTION("""COMPUTED_VALUE"""),"how long does refrigeration repair")</f>
        <v>how long does refrigeration repair</v>
      </c>
      <c r="Y62" s="4"/>
      <c r="Z62" s="4"/>
    </row>
    <row r="63" ht="15.75" customHeight="1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6" t="str">
        <f>IFERROR(__xludf.DUMMYFUNCTION("""COMPUTED_VALUE"""),"electrical COC how much does")</f>
        <v>electrical COC how much does</v>
      </c>
      <c r="M63" s="17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8" t="str">
        <f>IFERROR(__xludf.DUMMYFUNCTION("""COMPUTED_VALUE"""),"how much does aircon service")</f>
        <v>how much does aircon service</v>
      </c>
      <c r="Y63" s="4"/>
      <c r="Z63" s="4"/>
    </row>
    <row r="64" ht="15.75" customHeight="1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6" t="str">
        <f>IFERROR(__xludf.DUMMYFUNCTION("""COMPUTED_VALUE"""),"electrical COC how to choose")</f>
        <v>electrical COC how to choose</v>
      </c>
      <c r="M64" s="17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8" t="str">
        <f>IFERROR(__xludf.DUMMYFUNCTION("""COMPUTED_VALUE"""),"how much does blocked drain")</f>
        <v>how much does blocked drain</v>
      </c>
      <c r="Y64" s="4"/>
      <c r="Z64" s="4"/>
    </row>
    <row r="65" ht="15.75" customHeight="1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6" t="str">
        <f>IFERROR(__xludf.DUMMYFUNCTION("""COMPUTED_VALUE"""),"electrical COC how to prevent")</f>
        <v>electrical COC how to prevent</v>
      </c>
      <c r="M65" s="17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8" t="str">
        <f>IFERROR(__xludf.DUMMYFUNCTION("""COMPUTED_VALUE"""),"how much does burst pipe")</f>
        <v>how much does burst pipe</v>
      </c>
      <c r="Y65" s="4"/>
      <c r="Z65" s="4"/>
    </row>
    <row r="66" ht="15.75" customHeight="1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6" t="str">
        <f>IFERROR(__xludf.DUMMYFUNCTION("""COMPUTED_VALUE"""),"electrical COC is it safe to")</f>
        <v>electrical COC is it safe to</v>
      </c>
      <c r="M66" s="17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8" t="str">
        <f>IFERROR(__xludf.DUMMYFUNCTION("""COMPUTED_VALUE"""),"how much does electrical COC")</f>
        <v>how much does electrical COC</v>
      </c>
      <c r="Y66" s="4"/>
      <c r="Z66" s="4"/>
    </row>
    <row r="67" ht="15.75" customHeight="1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6" t="str">
        <f>IFERROR(__xludf.DUMMYFUNCTION("""COMPUTED_VALUE"""),"electrical COC near me for")</f>
        <v>electrical COC near me for</v>
      </c>
      <c r="M67" s="17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8" t="str">
        <f>IFERROR(__xludf.DUMMYFUNCTION("""COMPUTED_VALUE"""),"how much does emergency plumber")</f>
        <v>how much does emergency plumber</v>
      </c>
      <c r="Y67" s="4"/>
      <c r="Z67" s="4"/>
    </row>
    <row r="68" ht="15.75" customHeight="1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6" t="str">
        <f>IFERROR(__xludf.DUMMYFUNCTION("""COMPUTED_VALUE"""),"electrical COC same day help for")</f>
        <v>electrical COC same day help for</v>
      </c>
      <c r="M68" s="17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8" t="str">
        <f>IFERROR(__xludf.DUMMYFUNCTION("""COMPUTED_VALUE"""),"how much does geyser repair")</f>
        <v>how much does geyser repair</v>
      </c>
      <c r="Y68" s="4"/>
      <c r="Z68" s="4"/>
    </row>
    <row r="69" ht="15.75" customHeight="1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6" t="str">
        <f>IFERROR(__xludf.DUMMYFUNCTION("""COMPUTED_VALUE"""),"electrical COC signs you need")</f>
        <v>electrical COC signs you need</v>
      </c>
      <c r="M69" s="17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8" t="str">
        <f>IFERROR(__xludf.DUMMYFUNCTION("""COMPUTED_VALUE"""),"how much does leak detection")</f>
        <v>how much does leak detection</v>
      </c>
      <c r="Y69" s="4"/>
      <c r="Z69" s="4"/>
    </row>
    <row r="70" ht="15.75" customHeight="1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6" t="str">
        <f>IFERROR(__xludf.DUMMYFUNCTION("""COMPUTED_VALUE"""),"electrical COC what causes")</f>
        <v>electrical COC what causes</v>
      </c>
      <c r="M70" s="17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8" t="str">
        <f>IFERROR(__xludf.DUMMYFUNCTION("""COMPUTED_VALUE"""),"how much does plumber cost")</f>
        <v>how much does plumber cost</v>
      </c>
      <c r="Y70" s="4"/>
      <c r="Z70" s="4"/>
    </row>
    <row r="71" ht="15.75" customHeight="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6" t="str">
        <f>IFERROR(__xludf.DUMMYFUNCTION("""COMPUTED_VALUE"""),"electrical COC what is")</f>
        <v>electrical COC what is</v>
      </c>
      <c r="M71" s="17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8" t="str">
        <f>IFERROR(__xludf.DUMMYFUNCTION("""COMPUTED_VALUE"""),"how much does plumbing maintenance")</f>
        <v>how much does plumbing maintenance</v>
      </c>
      <c r="Y71" s="4"/>
      <c r="Z71" s="4"/>
    </row>
    <row r="72" ht="15.75" customHeight="1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6" t="str">
        <f>IFERROR(__xludf.DUMMYFUNCTION("""COMPUTED_VALUE"""),"electrical COC when to call a")</f>
        <v>electrical COC when to call a</v>
      </c>
      <c r="M72" s="17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8" t="str">
        <f>IFERROR(__xludf.DUMMYFUNCTION("""COMPUTED_VALUE"""),"how much does refrigeration repair")</f>
        <v>how much does refrigeration repair</v>
      </c>
      <c r="Y72" s="4"/>
      <c r="Z72" s="4"/>
    </row>
    <row r="73" ht="15.75" customHeight="1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6" t="str">
        <f>IFERROR(__xludf.DUMMYFUNCTION("""COMPUTED_VALUE"""),"electrical COC who fixes")</f>
        <v>electrical COC who fixes</v>
      </c>
      <c r="M73" s="17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8" t="str">
        <f>IFERROR(__xludf.DUMMYFUNCTION("""COMPUTED_VALUE"""),"how to choose aircon service")</f>
        <v>how to choose aircon service</v>
      </c>
      <c r="Y73" s="4"/>
      <c r="Z73" s="4"/>
    </row>
    <row r="74" ht="15.75" customHeight="1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6" t="str">
        <f>IFERROR(__xludf.DUMMYFUNCTION("""COMPUTED_VALUE"""),"electrical COC why is my")</f>
        <v>electrical COC why is my</v>
      </c>
      <c r="M74" s="17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8" t="str">
        <f>IFERROR(__xludf.DUMMYFUNCTION("""COMPUTED_VALUE"""),"how to choose blocked drain")</f>
        <v>how to choose blocked drain</v>
      </c>
      <c r="Y74" s="4"/>
      <c r="Z74" s="4"/>
    </row>
    <row r="75" ht="15.75" customHeight="1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6" t="str">
        <f>IFERROR(__xludf.DUMMYFUNCTION("""COMPUTED_VALUE"""),"emergency plumber best way to fix")</f>
        <v>emergency plumber best way to fix</v>
      </c>
      <c r="M75" s="17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8" t="str">
        <f>IFERROR(__xludf.DUMMYFUNCTION("""COMPUTED_VALUE"""),"how to choose burst pipe")</f>
        <v>how to choose burst pipe</v>
      </c>
      <c r="Y75" s="4"/>
      <c r="Z75" s="4"/>
    </row>
    <row r="76" ht="15.75" customHeight="1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6" t="str">
        <f>IFERROR(__xludf.DUMMYFUNCTION("""COMPUTED_VALUE"""),"emergency plumber can a plumber fix")</f>
        <v>emergency plumber can a plumber fix</v>
      </c>
      <c r="M76" s="17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8" t="str">
        <f>IFERROR(__xludf.DUMMYFUNCTION("""COMPUTED_VALUE"""),"how to choose electrical COC")</f>
        <v>how to choose electrical COC</v>
      </c>
      <c r="Y76" s="4"/>
      <c r="Z76" s="4"/>
    </row>
    <row r="77" ht="15.75" customHeight="1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6" t="str">
        <f>IFERROR(__xludf.DUMMYFUNCTION("""COMPUTED_VALUE"""),"emergency plumber cost of")</f>
        <v>emergency plumber cost of</v>
      </c>
      <c r="M77" s="17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8" t="str">
        <f>IFERROR(__xludf.DUMMYFUNCTION("""COMPUTED_VALUE"""),"how to choose emergency plumber")</f>
        <v>how to choose emergency plumber</v>
      </c>
      <c r="Y77" s="4"/>
      <c r="Z77" s="4"/>
    </row>
    <row r="78" ht="15.75" customHeight="1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6" t="str">
        <f>IFERROR(__xludf.DUMMYFUNCTION("""COMPUTED_VALUE"""),"emergency plumber do I need")</f>
        <v>emergency plumber do I need</v>
      </c>
      <c r="M78" s="17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8" t="str">
        <f>IFERROR(__xludf.DUMMYFUNCTION("""COMPUTED_VALUE"""),"how to choose geyser repair")</f>
        <v>how to choose geyser repair</v>
      </c>
      <c r="Y78" s="4"/>
      <c r="Z78" s="4"/>
    </row>
    <row r="79" ht="15.75" customHeight="1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6" t="str">
        <f>IFERROR(__xludf.DUMMYFUNCTION("""COMPUTED_VALUE"""),"emergency plumber emergency help for")</f>
        <v>emergency plumber emergency help for</v>
      </c>
      <c r="M79" s="17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8" t="str">
        <f>IFERROR(__xludf.DUMMYFUNCTION("""COMPUTED_VALUE"""),"how to choose leak detection")</f>
        <v>how to choose leak detection</v>
      </c>
      <c r="Y79" s="4"/>
      <c r="Z79" s="4"/>
    </row>
    <row r="80" ht="15.75" customHeight="1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6" t="str">
        <f>IFERROR(__xludf.DUMMYFUNCTION("""COMPUTED_VALUE"""),"emergency plumber how long does")</f>
        <v>emergency plumber how long does</v>
      </c>
      <c r="M80" s="17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8" t="str">
        <f>IFERROR(__xludf.DUMMYFUNCTION("""COMPUTED_VALUE"""),"how to choose plumber cost")</f>
        <v>how to choose plumber cost</v>
      </c>
      <c r="Y80" s="4"/>
      <c r="Z80" s="4"/>
    </row>
    <row r="81" ht="15.75" customHeight="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6" t="str">
        <f>IFERROR(__xludf.DUMMYFUNCTION("""COMPUTED_VALUE"""),"emergency plumber how much does")</f>
        <v>emergency plumber how much does</v>
      </c>
      <c r="M81" s="17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8" t="str">
        <f>IFERROR(__xludf.DUMMYFUNCTION("""COMPUTED_VALUE"""),"how to choose plumbing maintenance")</f>
        <v>how to choose plumbing maintenance</v>
      </c>
      <c r="Y81" s="4"/>
      <c r="Z81" s="4"/>
    </row>
    <row r="82" ht="15.75" customHeight="1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6" t="str">
        <f>IFERROR(__xludf.DUMMYFUNCTION("""COMPUTED_VALUE"""),"emergency plumber how to choose")</f>
        <v>emergency plumber how to choose</v>
      </c>
      <c r="M82" s="17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8" t="str">
        <f>IFERROR(__xludf.DUMMYFUNCTION("""COMPUTED_VALUE"""),"how to choose refrigeration repair")</f>
        <v>how to choose refrigeration repair</v>
      </c>
      <c r="Y82" s="4"/>
      <c r="Z82" s="4"/>
    </row>
    <row r="83" ht="15.7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6" t="str">
        <f>IFERROR(__xludf.DUMMYFUNCTION("""COMPUTED_VALUE"""),"emergency plumber how to prevent")</f>
        <v>emergency plumber how to prevent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8" t="str">
        <f>IFERROR(__xludf.DUMMYFUNCTION("""COMPUTED_VALUE"""),"how to prevent aircon service")</f>
        <v>how to prevent aircon service</v>
      </c>
      <c r="Y83" s="4"/>
      <c r="Z83" s="4"/>
    </row>
    <row r="84" ht="15.7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 t="str">
        <f>IFERROR(__xludf.DUMMYFUNCTION("""COMPUTED_VALUE"""),"emergency plumber is it safe to")</f>
        <v>emergency plumber is it safe to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8" t="str">
        <f>IFERROR(__xludf.DUMMYFUNCTION("""COMPUTED_VALUE"""),"how to prevent blocked drain")</f>
        <v>how to prevent blocked drain</v>
      </c>
      <c r="Y84" s="4"/>
      <c r="Z84" s="4"/>
    </row>
    <row r="85" ht="15.7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6" t="str">
        <f>IFERROR(__xludf.DUMMYFUNCTION("""COMPUTED_VALUE"""),"emergency plumber near me for")</f>
        <v>emergency plumber near me for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8" t="str">
        <f>IFERROR(__xludf.DUMMYFUNCTION("""COMPUTED_VALUE"""),"how to prevent burst pipe")</f>
        <v>how to prevent burst pipe</v>
      </c>
      <c r="Y85" s="4"/>
      <c r="Z85" s="4"/>
    </row>
    <row r="86" ht="15.7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 t="str">
        <f>IFERROR(__xludf.DUMMYFUNCTION("""COMPUTED_VALUE"""),"emergency plumber same day help for")</f>
        <v>emergency plumber same day help for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8" t="str">
        <f>IFERROR(__xludf.DUMMYFUNCTION("""COMPUTED_VALUE"""),"how to prevent electrical COC")</f>
        <v>how to prevent electrical COC</v>
      </c>
      <c r="Y86" s="4"/>
      <c r="Z86" s="4"/>
    </row>
    <row r="87" ht="15.7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 t="str">
        <f>IFERROR(__xludf.DUMMYFUNCTION("""COMPUTED_VALUE"""),"emergency plumber signs you need")</f>
        <v>emergency plumber signs you need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8" t="str">
        <f>IFERROR(__xludf.DUMMYFUNCTION("""COMPUTED_VALUE"""),"how to prevent emergency plumber")</f>
        <v>how to prevent emergency plumber</v>
      </c>
      <c r="Y87" s="4"/>
      <c r="Z87" s="4"/>
    </row>
    <row r="88" ht="15.7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 t="str">
        <f>IFERROR(__xludf.DUMMYFUNCTION("""COMPUTED_VALUE"""),"emergency plumber what causes")</f>
        <v>emergency plumber what causes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8" t="str">
        <f>IFERROR(__xludf.DUMMYFUNCTION("""COMPUTED_VALUE"""),"how to prevent geyser repair")</f>
        <v>how to prevent geyser repair</v>
      </c>
      <c r="Y88" s="4"/>
      <c r="Z88" s="4"/>
    </row>
    <row r="89" ht="15.7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 t="str">
        <f>IFERROR(__xludf.DUMMYFUNCTION("""COMPUTED_VALUE"""),"emergency plumber what is")</f>
        <v>emergency plumber what is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8" t="str">
        <f>IFERROR(__xludf.DUMMYFUNCTION("""COMPUTED_VALUE"""),"how to prevent leak detection")</f>
        <v>how to prevent leak detection</v>
      </c>
      <c r="Y89" s="4"/>
      <c r="Z89" s="4"/>
    </row>
    <row r="90" ht="15.75" customHeight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 t="str">
        <f>IFERROR(__xludf.DUMMYFUNCTION("""COMPUTED_VALUE"""),"emergency plumber when to call a")</f>
        <v>emergency plumber when to call a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8" t="str">
        <f>IFERROR(__xludf.DUMMYFUNCTION("""COMPUTED_VALUE"""),"how to prevent plumber cost")</f>
        <v>how to prevent plumber cost</v>
      </c>
      <c r="Y90" s="4"/>
      <c r="Z90" s="4"/>
    </row>
    <row r="91" ht="15.75" customHeight="1">
      <c r="A91" s="1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6" t="str">
        <f>IFERROR(__xludf.DUMMYFUNCTION("""COMPUTED_VALUE"""),"emergency plumber who fixes")</f>
        <v>emergency plumber who fixes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 t="str">
        <f>IFERROR(__xludf.DUMMYFUNCTION("""COMPUTED_VALUE"""),"how to prevent plumbing maintenance")</f>
        <v>how to prevent plumbing maintenance</v>
      </c>
      <c r="Y91" s="4"/>
      <c r="Z91" s="4"/>
    </row>
    <row r="92" ht="15.75" customHeight="1">
      <c r="A92" s="1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 t="str">
        <f>IFERROR(__xludf.DUMMYFUNCTION("""COMPUTED_VALUE"""),"emergency plumber why is my")</f>
        <v>emergency plumber why is my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8" t="str">
        <f>IFERROR(__xludf.DUMMYFUNCTION("""COMPUTED_VALUE"""),"how to prevent refrigeration repair")</f>
        <v>how to prevent refrigeration repair</v>
      </c>
      <c r="Y92" s="4"/>
      <c r="Z92" s="4"/>
    </row>
    <row r="93" ht="15.75" customHeight="1">
      <c r="A93" s="1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6" t="str">
        <f>IFERROR(__xludf.DUMMYFUNCTION("""COMPUTED_VALUE"""),"geyser repair best way to fix")</f>
        <v>geyser repair best way to fix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8" t="str">
        <f>IFERROR(__xludf.DUMMYFUNCTION("""COMPUTED_VALUE"""),"is it safe to aircon service")</f>
        <v>is it safe to aircon service</v>
      </c>
      <c r="Y93" s="4"/>
      <c r="Z93" s="4"/>
    </row>
    <row r="94" ht="15.75" customHeight="1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6" t="str">
        <f>IFERROR(__xludf.DUMMYFUNCTION("""COMPUTED_VALUE"""),"geyser repair can a plumber fix")</f>
        <v>geyser repair can a plumber fix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8" t="str">
        <f>IFERROR(__xludf.DUMMYFUNCTION("""COMPUTED_VALUE"""),"is it safe to blocked drain")</f>
        <v>is it safe to blocked drain</v>
      </c>
      <c r="Y94" s="4"/>
      <c r="Z94" s="4"/>
    </row>
    <row r="95" ht="15.75" customHeight="1">
      <c r="A95" s="1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 t="str">
        <f>IFERROR(__xludf.DUMMYFUNCTION("""COMPUTED_VALUE"""),"geyser repair cost of")</f>
        <v>geyser repair cost of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8" t="str">
        <f>IFERROR(__xludf.DUMMYFUNCTION("""COMPUTED_VALUE"""),"is it safe to burst pipe")</f>
        <v>is it safe to burst pipe</v>
      </c>
      <c r="Y95" s="4"/>
      <c r="Z95" s="4"/>
    </row>
    <row r="96" ht="15.75" customHeight="1">
      <c r="A96" s="1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6" t="str">
        <f>IFERROR(__xludf.DUMMYFUNCTION("""COMPUTED_VALUE"""),"geyser repair do I need")</f>
        <v>geyser repair do I need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 t="str">
        <f>IFERROR(__xludf.DUMMYFUNCTION("""COMPUTED_VALUE"""),"is it safe to electrical COC")</f>
        <v>is it safe to electrical COC</v>
      </c>
      <c r="Y96" s="4"/>
      <c r="Z96" s="4"/>
    </row>
    <row r="97" ht="15.75" customHeight="1">
      <c r="A97" s="1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6" t="str">
        <f>IFERROR(__xludf.DUMMYFUNCTION("""COMPUTED_VALUE"""),"geyser repair emergency help for")</f>
        <v>geyser repair emergency help for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8" t="str">
        <f>IFERROR(__xludf.DUMMYFUNCTION("""COMPUTED_VALUE"""),"is it safe to emergency plumber")</f>
        <v>is it safe to emergency plumber</v>
      </c>
      <c r="Y97" s="4"/>
      <c r="Z97" s="4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 t="str">
        <f>IFERROR(__xludf.DUMMYFUNCTION("""COMPUTED_VALUE"""),"geyser repair how long does")</f>
        <v>geyser repair how long does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 t="str">
        <f>IFERROR(__xludf.DUMMYFUNCTION("""COMPUTED_VALUE"""),"is it safe to geyser repair")</f>
        <v>is it safe to geyser repair</v>
      </c>
      <c r="Y98" s="4"/>
      <c r="Z98" s="4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 t="str">
        <f>IFERROR(__xludf.DUMMYFUNCTION("""COMPUTED_VALUE"""),"geyser repair how much does")</f>
        <v>geyser repair how much does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8" t="str">
        <f>IFERROR(__xludf.DUMMYFUNCTION("""COMPUTED_VALUE"""),"is it safe to leak detection")</f>
        <v>is it safe to leak detection</v>
      </c>
      <c r="Y99" s="4"/>
      <c r="Z99" s="4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6" t="str">
        <f>IFERROR(__xludf.DUMMYFUNCTION("""COMPUTED_VALUE"""),"geyser repair how to choose")</f>
        <v>geyser repair how to choose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8" t="str">
        <f>IFERROR(__xludf.DUMMYFUNCTION("""COMPUTED_VALUE"""),"is it safe to plumber cost")</f>
        <v>is it safe to plumber cost</v>
      </c>
      <c r="Y100" s="4"/>
      <c r="Z100" s="4"/>
    </row>
    <row r="101" ht="15.75" customHeight="1">
      <c r="A101" s="1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 t="str">
        <f>IFERROR(__xludf.DUMMYFUNCTION("""COMPUTED_VALUE"""),"geyser repair how to prevent")</f>
        <v>geyser repair how to prevent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8" t="str">
        <f>IFERROR(__xludf.DUMMYFUNCTION("""COMPUTED_VALUE"""),"is it safe to plumbing maintenance")</f>
        <v>is it safe to plumbing maintenance</v>
      </c>
      <c r="Y101" s="4"/>
      <c r="Z101" s="4"/>
    </row>
    <row r="102" ht="15.75" customHeight="1">
      <c r="A102" s="1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6" t="str">
        <f>IFERROR(__xludf.DUMMYFUNCTION("""COMPUTED_VALUE"""),"geyser repair is it safe to")</f>
        <v>geyser repair is it safe to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8" t="str">
        <f>IFERROR(__xludf.DUMMYFUNCTION("""COMPUTED_VALUE"""),"is it safe to refrigeration repair")</f>
        <v>is it safe to refrigeration repair</v>
      </c>
      <c r="Y102" s="4"/>
      <c r="Z102" s="4"/>
    </row>
    <row r="103" ht="15.75" customHeight="1">
      <c r="A103" s="1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 t="str">
        <f>IFERROR(__xludf.DUMMYFUNCTION("""COMPUTED_VALUE"""),"geyser repair near me for")</f>
        <v>geyser repair near me for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 t="str">
        <f>IFERROR(__xludf.DUMMYFUNCTION("""COMPUTED_VALUE"""),"near me for aircon service")</f>
        <v>near me for aircon service</v>
      </c>
      <c r="Y103" s="4"/>
      <c r="Z103" s="4"/>
    </row>
    <row r="104" ht="15.75" customHeight="1">
      <c r="A104" s="1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6" t="str">
        <f>IFERROR(__xludf.DUMMYFUNCTION("""COMPUTED_VALUE"""),"geyser repair same day help for")</f>
        <v>geyser repair same day help for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8" t="str">
        <f>IFERROR(__xludf.DUMMYFUNCTION("""COMPUTED_VALUE"""),"near me for blocked drain")</f>
        <v>near me for blocked drain</v>
      </c>
      <c r="Y104" s="4"/>
      <c r="Z104" s="4"/>
    </row>
    <row r="105" ht="15.75" customHeight="1">
      <c r="A105" s="1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6" t="str">
        <f>IFERROR(__xludf.DUMMYFUNCTION("""COMPUTED_VALUE"""),"geyser repair signs you need")</f>
        <v>geyser repair signs you need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 t="str">
        <f>IFERROR(__xludf.DUMMYFUNCTION("""COMPUTED_VALUE"""),"near me for burst pipe")</f>
        <v>near me for burst pipe</v>
      </c>
      <c r="Y105" s="4"/>
      <c r="Z105" s="4"/>
    </row>
    <row r="106" ht="15.75" customHeight="1">
      <c r="A106" s="1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6" t="str">
        <f>IFERROR(__xludf.DUMMYFUNCTION("""COMPUTED_VALUE"""),"geyser repair what causes")</f>
        <v>geyser repair what causes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8" t="str">
        <f>IFERROR(__xludf.DUMMYFUNCTION("""COMPUTED_VALUE"""),"near me for electrical COC")</f>
        <v>near me for electrical COC</v>
      </c>
      <c r="Y106" s="4"/>
      <c r="Z106" s="4"/>
    </row>
    <row r="107" ht="15.75" customHeight="1">
      <c r="A107" s="1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tr">
        <f>IFERROR(__xludf.DUMMYFUNCTION("""COMPUTED_VALUE"""),"geyser repair what is")</f>
        <v>geyser repair what is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 t="str">
        <f>IFERROR(__xludf.DUMMYFUNCTION("""COMPUTED_VALUE"""),"near me for emergency plumber")</f>
        <v>near me for emergency plumber</v>
      </c>
      <c r="Y107" s="4"/>
      <c r="Z107" s="4"/>
    </row>
    <row r="108" ht="15.75" customHeight="1">
      <c r="A108" s="1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6" t="str">
        <f>IFERROR(__xludf.DUMMYFUNCTION("""COMPUTED_VALUE"""),"geyser repair when to call a")</f>
        <v>geyser repair when to call a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8" t="str">
        <f>IFERROR(__xludf.DUMMYFUNCTION("""COMPUTED_VALUE"""),"near me for geyser repair")</f>
        <v>near me for geyser repair</v>
      </c>
      <c r="Y108" s="4"/>
      <c r="Z108" s="4"/>
    </row>
    <row r="109" ht="15.75" customHeight="1">
      <c r="A109" s="1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6" t="str">
        <f>IFERROR(__xludf.DUMMYFUNCTION("""COMPUTED_VALUE"""),"geyser repair who fixes")</f>
        <v>geyser repair who fixes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 t="str">
        <f>IFERROR(__xludf.DUMMYFUNCTION("""COMPUTED_VALUE"""),"near me for leak detection")</f>
        <v>near me for leak detection</v>
      </c>
      <c r="Y109" s="4"/>
      <c r="Z109" s="4"/>
    </row>
    <row r="110" ht="15.75" customHeight="1">
      <c r="A110" s="1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6" t="str">
        <f>IFERROR(__xludf.DUMMYFUNCTION("""COMPUTED_VALUE"""),"geyser repair why is my")</f>
        <v>geyser repair why is my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8" t="str">
        <f>IFERROR(__xludf.DUMMYFUNCTION("""COMPUTED_VALUE"""),"near me for plumber cost")</f>
        <v>near me for plumber cost</v>
      </c>
      <c r="Y110" s="4"/>
      <c r="Z110" s="4"/>
    </row>
    <row r="111" ht="15.75" customHeight="1">
      <c r="A111" s="1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6" t="str">
        <f>IFERROR(__xludf.DUMMYFUNCTION("""COMPUTED_VALUE"""),"leak detection best way to fix")</f>
        <v>leak detection best way to fix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8" t="str">
        <f>IFERROR(__xludf.DUMMYFUNCTION("""COMPUTED_VALUE"""),"near me for plumbing maintenance")</f>
        <v>near me for plumbing maintenance</v>
      </c>
      <c r="Y111" s="4"/>
      <c r="Z111" s="4"/>
    </row>
    <row r="112" ht="15.75" customHeight="1">
      <c r="A112" s="1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6" t="str">
        <f>IFERROR(__xludf.DUMMYFUNCTION("""COMPUTED_VALUE"""),"leak detection can a plumber fix")</f>
        <v>leak detection can a plumber fix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 t="str">
        <f>IFERROR(__xludf.DUMMYFUNCTION("""COMPUTED_VALUE"""),"near me for refrigeration repair")</f>
        <v>near me for refrigeration repair</v>
      </c>
      <c r="Y112" s="4"/>
      <c r="Z112" s="4"/>
    </row>
    <row r="113" ht="15.75" customHeight="1">
      <c r="A113" s="1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6" t="str">
        <f>IFERROR(__xludf.DUMMYFUNCTION("""COMPUTED_VALUE"""),"leak detection cost of")</f>
        <v>leak detection cost of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8" t="str">
        <f>IFERROR(__xludf.DUMMYFUNCTION("""COMPUTED_VALUE"""),"same day help for aircon service")</f>
        <v>same day help for aircon service</v>
      </c>
      <c r="Y113" s="4"/>
      <c r="Z113" s="4"/>
    </row>
    <row r="114" ht="15.75" customHeight="1">
      <c r="A114" s="1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6" t="str">
        <f>IFERROR(__xludf.DUMMYFUNCTION("""COMPUTED_VALUE"""),"leak detection do I need")</f>
        <v>leak detection do I need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8" t="str">
        <f>IFERROR(__xludf.DUMMYFUNCTION("""COMPUTED_VALUE"""),"same day help for blocked drain")</f>
        <v>same day help for blocked drain</v>
      </c>
      <c r="Y114" s="4"/>
      <c r="Z114" s="4"/>
    </row>
    <row r="115" ht="15.75" customHeight="1">
      <c r="A115" s="1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6" t="str">
        <f>IFERROR(__xludf.DUMMYFUNCTION("""COMPUTED_VALUE"""),"leak detection emergency help for")</f>
        <v>leak detection emergency help for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8" t="str">
        <f>IFERROR(__xludf.DUMMYFUNCTION("""COMPUTED_VALUE"""),"same day help for burst pipe")</f>
        <v>same day help for burst pipe</v>
      </c>
      <c r="Y115" s="4"/>
      <c r="Z115" s="4"/>
    </row>
    <row r="116" ht="15.75" customHeight="1">
      <c r="A116" s="1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6" t="str">
        <f>IFERROR(__xludf.DUMMYFUNCTION("""COMPUTED_VALUE"""),"leak detection how long does")</f>
        <v>leak detection how long does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8" t="str">
        <f>IFERROR(__xludf.DUMMYFUNCTION("""COMPUTED_VALUE"""),"same day help for electrical COC")</f>
        <v>same day help for electrical COC</v>
      </c>
      <c r="Y116" s="4"/>
      <c r="Z116" s="4"/>
    </row>
    <row r="117" ht="15.75" customHeight="1">
      <c r="A117" s="1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6" t="str">
        <f>IFERROR(__xludf.DUMMYFUNCTION("""COMPUTED_VALUE"""),"leak detection how much does")</f>
        <v>leak detection how much does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8" t="str">
        <f>IFERROR(__xludf.DUMMYFUNCTION("""COMPUTED_VALUE"""),"same day help for emergency plumber")</f>
        <v>same day help for emergency plumber</v>
      </c>
      <c r="Y117" s="4"/>
      <c r="Z117" s="4"/>
    </row>
    <row r="118" ht="15.7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 t="str">
        <f>IFERROR(__xludf.DUMMYFUNCTION("""COMPUTED_VALUE"""),"leak detection how to choose")</f>
        <v>leak detection how to choose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8" t="str">
        <f>IFERROR(__xludf.DUMMYFUNCTION("""COMPUTED_VALUE"""),"same day help for geyser repair")</f>
        <v>same day help for geyser repair</v>
      </c>
      <c r="Y118" s="4"/>
      <c r="Z118" s="4"/>
    </row>
    <row r="119" ht="15.75" customHeight="1">
      <c r="A119" s="1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6" t="str">
        <f>IFERROR(__xludf.DUMMYFUNCTION("""COMPUTED_VALUE"""),"leak detection how to prevent")</f>
        <v>leak detection how to prevent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 t="str">
        <f>IFERROR(__xludf.DUMMYFUNCTION("""COMPUTED_VALUE"""),"same day help for leak detection")</f>
        <v>same day help for leak detection</v>
      </c>
      <c r="Y119" s="4"/>
      <c r="Z119" s="4"/>
    </row>
    <row r="120" ht="15.75" customHeigh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 t="str">
        <f>IFERROR(__xludf.DUMMYFUNCTION("""COMPUTED_VALUE"""),"leak detection is it safe to")</f>
        <v>leak detection is it safe to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3" t="str">
        <f>IFERROR(__xludf.DUMMYFUNCTION("""COMPUTED_VALUE"""),"same day help for plumber cost")</f>
        <v>same day help for plumber cost</v>
      </c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 t="str">
        <f>IFERROR(__xludf.DUMMYFUNCTION("""COMPUTED_VALUE"""),"leak detection near me for")</f>
        <v>leak detection near me for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tr">
        <f>IFERROR(__xludf.DUMMYFUNCTION("""COMPUTED_VALUE"""),"same day help for plumbing maintenance")</f>
        <v>same day help for plumbing maintenance</v>
      </c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 t="str">
        <f>IFERROR(__xludf.DUMMYFUNCTION("""COMPUTED_VALUE"""),"leak detection same day help for")</f>
        <v>leak detection same day help for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tr">
        <f>IFERROR(__xludf.DUMMYFUNCTION("""COMPUTED_VALUE"""),"same day help for refrigeration repair")</f>
        <v>same day help for refrigeration repair</v>
      </c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 t="str">
        <f>IFERROR(__xludf.DUMMYFUNCTION("""COMPUTED_VALUE"""),"leak detection signs you need")</f>
        <v>leak detection signs you need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 t="str">
        <f>IFERROR(__xludf.DUMMYFUNCTION("""COMPUTED_VALUE"""),"signs you need aircon service")</f>
        <v>signs you need aircon service</v>
      </c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 t="str">
        <f>IFERROR(__xludf.DUMMYFUNCTION("""COMPUTED_VALUE"""),"leak detection what causes")</f>
        <v>leak detection what causes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tr">
        <f>IFERROR(__xludf.DUMMYFUNCTION("""COMPUTED_VALUE"""),"signs you need blocked drain")</f>
        <v>signs you need blocked drain</v>
      </c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tr">
        <f>IFERROR(__xludf.DUMMYFUNCTION("""COMPUTED_VALUE"""),"leak detection what is")</f>
        <v>leak detection what is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str">
        <f>IFERROR(__xludf.DUMMYFUNCTION("""COMPUTED_VALUE"""),"signs you need burst pipe")</f>
        <v>signs you need burst pipe</v>
      </c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tr">
        <f>IFERROR(__xludf.DUMMYFUNCTION("""COMPUTED_VALUE"""),"leak detection when to call a")</f>
        <v>leak detection when to call a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tr">
        <f>IFERROR(__xludf.DUMMYFUNCTION("""COMPUTED_VALUE"""),"signs you need electrical COC")</f>
        <v>signs you need electrical COC</v>
      </c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 t="str">
        <f>IFERROR(__xludf.DUMMYFUNCTION("""COMPUTED_VALUE"""),"leak detection who fixes")</f>
        <v>leak detection who fixes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tr">
        <f>IFERROR(__xludf.DUMMYFUNCTION("""COMPUTED_VALUE"""),"signs you need emergency plumber")</f>
        <v>signs you need emergency plumber</v>
      </c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 t="str">
        <f>IFERROR(__xludf.DUMMYFUNCTION("""COMPUTED_VALUE"""),"leak detection why is my")</f>
        <v>leak detection why is my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 t="str">
        <f>IFERROR(__xludf.DUMMYFUNCTION("""COMPUTED_VALUE"""),"signs you need geyser repair")</f>
        <v>signs you need geyser repair</v>
      </c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 t="str">
        <f>IFERROR(__xludf.DUMMYFUNCTION("""COMPUTED_VALUE"""),"plumber cost best way to fix")</f>
        <v>plumber cost best way to fix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tr">
        <f>IFERROR(__xludf.DUMMYFUNCTION("""COMPUTED_VALUE"""),"signs you need leak detection")</f>
        <v>signs you need leak detection</v>
      </c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 t="str">
        <f>IFERROR(__xludf.DUMMYFUNCTION("""COMPUTED_VALUE"""),"plumber cost can a plumber fix")</f>
        <v>plumber cost can a plumber fix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tr">
        <f>IFERROR(__xludf.DUMMYFUNCTION("""COMPUTED_VALUE"""),"signs you need plumber cost")</f>
        <v>signs you need plumber cost</v>
      </c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 t="str">
        <f>IFERROR(__xludf.DUMMYFUNCTION("""COMPUTED_VALUE"""),"plumber cost cost of")</f>
        <v>plumber cost cost of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tr">
        <f>IFERROR(__xludf.DUMMYFUNCTION("""COMPUTED_VALUE"""),"signs you need plumbing maintenance")</f>
        <v>signs you need plumbing maintenance</v>
      </c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 t="str">
        <f>IFERROR(__xludf.DUMMYFUNCTION("""COMPUTED_VALUE"""),"plumber cost do I need")</f>
        <v>plumber cost do I need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tr">
        <f>IFERROR(__xludf.DUMMYFUNCTION("""COMPUTED_VALUE"""),"signs you need refrigeration repair")</f>
        <v>signs you need refrigeration repair</v>
      </c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tr">
        <f>IFERROR(__xludf.DUMMYFUNCTION("""COMPUTED_VALUE"""),"plumber cost emergency help for")</f>
        <v>plumber cost emergency help for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tr">
        <f>IFERROR(__xludf.DUMMYFUNCTION("""COMPUTED_VALUE"""),"what causes aircon service")</f>
        <v>what causes aircon service</v>
      </c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tr">
        <f>IFERROR(__xludf.DUMMYFUNCTION("""COMPUTED_VALUE"""),"plumber cost how long does")</f>
        <v>plumber cost how long does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 t="str">
        <f>IFERROR(__xludf.DUMMYFUNCTION("""COMPUTED_VALUE"""),"what causes blocked drain")</f>
        <v>what causes blocked drain</v>
      </c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 t="str">
        <f>IFERROR(__xludf.DUMMYFUNCTION("""COMPUTED_VALUE"""),"plumber cost how much does")</f>
        <v>plumber cost how much does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str">
        <f>IFERROR(__xludf.DUMMYFUNCTION("""COMPUTED_VALUE"""),"what causes burst pipe")</f>
        <v>what causes burst pipe</v>
      </c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tr">
        <f>IFERROR(__xludf.DUMMYFUNCTION("""COMPUTED_VALUE"""),"plumber cost how to choose")</f>
        <v>plumber cost how to choose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str">
        <f>IFERROR(__xludf.DUMMYFUNCTION("""COMPUTED_VALUE"""),"what causes electrical COC")</f>
        <v>what causes electrical COC</v>
      </c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tr">
        <f>IFERROR(__xludf.DUMMYFUNCTION("""COMPUTED_VALUE"""),"plumber cost how to prevent")</f>
        <v>plumber cost how to prevent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tr">
        <f>IFERROR(__xludf.DUMMYFUNCTION("""COMPUTED_VALUE"""),"what causes emergency plumber")</f>
        <v>what causes emergency plumber</v>
      </c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 t="str">
        <f>IFERROR(__xludf.DUMMYFUNCTION("""COMPUTED_VALUE"""),"plumber cost is it safe to")</f>
        <v>plumber cost is it safe to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tr">
        <f>IFERROR(__xludf.DUMMYFUNCTION("""COMPUTED_VALUE"""),"what causes geyser repair")</f>
        <v>what causes geyser repair</v>
      </c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 t="str">
        <f>IFERROR(__xludf.DUMMYFUNCTION("""COMPUTED_VALUE"""),"plumber cost near me for")</f>
        <v>plumber cost near me for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tr">
        <f>IFERROR(__xludf.DUMMYFUNCTION("""COMPUTED_VALUE"""),"what causes leak detection")</f>
        <v>what causes leak detection</v>
      </c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 t="str">
        <f>IFERROR(__xludf.DUMMYFUNCTION("""COMPUTED_VALUE"""),"plumber cost same day help for")</f>
        <v>plumber cost same day help for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tr">
        <f>IFERROR(__xludf.DUMMYFUNCTION("""COMPUTED_VALUE"""),"what causes plumber cost")</f>
        <v>what causes plumber cost</v>
      </c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 t="str">
        <f>IFERROR(__xludf.DUMMYFUNCTION("""COMPUTED_VALUE"""),"plumber cost signs you need")</f>
        <v>plumber cost signs you need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str">
        <f>IFERROR(__xludf.DUMMYFUNCTION("""COMPUTED_VALUE"""),"what causes plumbing maintenance")</f>
        <v>what causes plumbing maintenance</v>
      </c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 t="str">
        <f>IFERROR(__xludf.DUMMYFUNCTION("""COMPUTED_VALUE"""),"plumber cost what causes")</f>
        <v>plumber cost what causes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tr">
        <f>IFERROR(__xludf.DUMMYFUNCTION("""COMPUTED_VALUE"""),"what causes refrigeration repair")</f>
        <v>what causes refrigeration repair</v>
      </c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 t="str">
        <f>IFERROR(__xludf.DUMMYFUNCTION("""COMPUTED_VALUE"""),"plumber cost what is")</f>
        <v>plumber cost what is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tr">
        <f>IFERROR(__xludf.DUMMYFUNCTION("""COMPUTED_VALUE"""),"what is aircon service")</f>
        <v>what is aircon service</v>
      </c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 t="str">
        <f>IFERROR(__xludf.DUMMYFUNCTION("""COMPUTED_VALUE"""),"plumber cost when to call a")</f>
        <v>plumber cost when to call a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 t="str">
        <f>IFERROR(__xludf.DUMMYFUNCTION("""COMPUTED_VALUE"""),"what is blocked drain")</f>
        <v>what is blocked drain</v>
      </c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 t="str">
        <f>IFERROR(__xludf.DUMMYFUNCTION("""COMPUTED_VALUE"""),"plumber cost who fixes")</f>
        <v>plumber cost who fixes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str">
        <f>IFERROR(__xludf.DUMMYFUNCTION("""COMPUTED_VALUE"""),"what is burst pipe")</f>
        <v>what is burst pipe</v>
      </c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 t="str">
        <f>IFERROR(__xludf.DUMMYFUNCTION("""COMPUTED_VALUE"""),"plumber cost why is my")</f>
        <v>plumber cost why is my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 t="str">
        <f>IFERROR(__xludf.DUMMYFUNCTION("""COMPUTED_VALUE"""),"what is electrical COC")</f>
        <v>what is electrical COC</v>
      </c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tr">
        <f>IFERROR(__xludf.DUMMYFUNCTION("""COMPUTED_VALUE"""),"plumbing maintenance best way to fix")</f>
        <v>plumbing maintenance best way to fix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tr">
        <f>IFERROR(__xludf.DUMMYFUNCTION("""COMPUTED_VALUE"""),"what is emergency plumber")</f>
        <v>what is emergency plumber</v>
      </c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tr">
        <f>IFERROR(__xludf.DUMMYFUNCTION("""COMPUTED_VALUE"""),"plumbing maintenance can a plumber fix")</f>
        <v>plumbing maintenance can a plumber fix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str">
        <f>IFERROR(__xludf.DUMMYFUNCTION("""COMPUTED_VALUE"""),"what is geyser repair")</f>
        <v>what is geyser repair</v>
      </c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 t="str">
        <f>IFERROR(__xludf.DUMMYFUNCTION("""COMPUTED_VALUE"""),"plumbing maintenance cost of")</f>
        <v>plumbing maintenance cost of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 t="str">
        <f>IFERROR(__xludf.DUMMYFUNCTION("""COMPUTED_VALUE"""),"what is leak detection")</f>
        <v>what is leak detection</v>
      </c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 t="str">
        <f>IFERROR(__xludf.DUMMYFUNCTION("""COMPUTED_VALUE"""),"plumbing maintenance do I need")</f>
        <v>plumbing maintenance do I need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 t="str">
        <f>IFERROR(__xludf.DUMMYFUNCTION("""COMPUTED_VALUE"""),"what is plumber cost")</f>
        <v>what is plumber cost</v>
      </c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 t="str">
        <f>IFERROR(__xludf.DUMMYFUNCTION("""COMPUTED_VALUE"""),"plumbing maintenance emergency help for")</f>
        <v>plumbing maintenance emergency help for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tr">
        <f>IFERROR(__xludf.DUMMYFUNCTION("""COMPUTED_VALUE"""),"what is plumbing maintenance")</f>
        <v>what is plumbing maintenance</v>
      </c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 t="str">
        <f>IFERROR(__xludf.DUMMYFUNCTION("""COMPUTED_VALUE"""),"plumbing maintenance how long does")</f>
        <v>plumbing maintenance how long does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 t="str">
        <f>IFERROR(__xludf.DUMMYFUNCTION("""COMPUTED_VALUE"""),"what is refrigeration repair")</f>
        <v>what is refrigeration repair</v>
      </c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 t="str">
        <f>IFERROR(__xludf.DUMMYFUNCTION("""COMPUTED_VALUE"""),"plumbing maintenance how much does")</f>
        <v>plumbing maintenance how much does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str">
        <f>IFERROR(__xludf.DUMMYFUNCTION("""COMPUTED_VALUE"""),"when to call a aircon service")</f>
        <v>when to call a aircon service</v>
      </c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 t="str">
        <f>IFERROR(__xludf.DUMMYFUNCTION("""COMPUTED_VALUE"""),"plumbing maintenance how to choose")</f>
        <v>plumbing maintenance how to choose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tr">
        <f>IFERROR(__xludf.DUMMYFUNCTION("""COMPUTED_VALUE"""),"when to call a blocked drain")</f>
        <v>when to call a blocked drain</v>
      </c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 t="str">
        <f>IFERROR(__xludf.DUMMYFUNCTION("""COMPUTED_VALUE"""),"plumbing maintenance how to prevent")</f>
        <v>plumbing maintenance how to prevent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tr">
        <f>IFERROR(__xludf.DUMMYFUNCTION("""COMPUTED_VALUE"""),"when to call a burst pipe")</f>
        <v>when to call a burst pipe</v>
      </c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 t="str">
        <f>IFERROR(__xludf.DUMMYFUNCTION("""COMPUTED_VALUE"""),"plumbing maintenance is it safe to")</f>
        <v>plumbing maintenance is it safe to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 t="str">
        <f>IFERROR(__xludf.DUMMYFUNCTION("""COMPUTED_VALUE"""),"when to call a electrical COC")</f>
        <v>when to call a electrical COC</v>
      </c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tr">
        <f>IFERROR(__xludf.DUMMYFUNCTION("""COMPUTED_VALUE"""),"plumbing maintenance near me for")</f>
        <v>plumbing maintenance near me for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 t="str">
        <f>IFERROR(__xludf.DUMMYFUNCTION("""COMPUTED_VALUE"""),"when to call a emergency plumber")</f>
        <v>when to call a emergency plumber</v>
      </c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tr">
        <f>IFERROR(__xludf.DUMMYFUNCTION("""COMPUTED_VALUE"""),"plumbing maintenance same day help for")</f>
        <v>plumbing maintenance same day help for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 t="str">
        <f>IFERROR(__xludf.DUMMYFUNCTION("""COMPUTED_VALUE"""),"when to call a geyser repair")</f>
        <v>when to call a geyser repair</v>
      </c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 t="str">
        <f>IFERROR(__xludf.DUMMYFUNCTION("""COMPUTED_VALUE"""),"plumbing maintenance signs you need")</f>
        <v>plumbing maintenance signs you need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str">
        <f>IFERROR(__xludf.DUMMYFUNCTION("""COMPUTED_VALUE"""),"when to call a leak detection")</f>
        <v>when to call a leak detection</v>
      </c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 t="str">
        <f>IFERROR(__xludf.DUMMYFUNCTION("""COMPUTED_VALUE"""),"plumbing maintenance what causes")</f>
        <v>plumbing maintenance what causes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 t="str">
        <f>IFERROR(__xludf.DUMMYFUNCTION("""COMPUTED_VALUE"""),"when to call a plumber cost")</f>
        <v>when to call a plumber cost</v>
      </c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 t="str">
        <f>IFERROR(__xludf.DUMMYFUNCTION("""COMPUTED_VALUE"""),"plumbing maintenance what is")</f>
        <v>plumbing maintenance what is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 t="str">
        <f>IFERROR(__xludf.DUMMYFUNCTION("""COMPUTED_VALUE"""),"when to call a plumbing maintenance")</f>
        <v>when to call a plumbing maintenance</v>
      </c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 t="str">
        <f>IFERROR(__xludf.DUMMYFUNCTION("""COMPUTED_VALUE"""),"plumbing maintenance when to call a")</f>
        <v>plumbing maintenance when to call a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 t="str">
        <f>IFERROR(__xludf.DUMMYFUNCTION("""COMPUTED_VALUE"""),"when to call a refrigeration repair")</f>
        <v>when to call a refrigeration repair</v>
      </c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 t="str">
        <f>IFERROR(__xludf.DUMMYFUNCTION("""COMPUTED_VALUE"""),"plumbing maintenance who fixes")</f>
        <v>plumbing maintenance who fixes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 t="str">
        <f>IFERROR(__xludf.DUMMYFUNCTION("""COMPUTED_VALUE"""),"who fixes aircon service")</f>
        <v>who fixes aircon service</v>
      </c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 t="str">
        <f>IFERROR(__xludf.DUMMYFUNCTION("""COMPUTED_VALUE"""),"plumbing maintenance why is my")</f>
        <v>plumbing maintenance why is my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tr">
        <f>IFERROR(__xludf.DUMMYFUNCTION("""COMPUTED_VALUE"""),"who fixes blocked drain")</f>
        <v>who fixes blocked drain</v>
      </c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 t="str">
        <f>IFERROR(__xludf.DUMMYFUNCTION("""COMPUTED_VALUE"""),"refrigeration repair best way to fix")</f>
        <v>refrigeration repair best way to fix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tr">
        <f>IFERROR(__xludf.DUMMYFUNCTION("""COMPUTED_VALUE"""),"who fixes burst pipe")</f>
        <v>who fixes burst pipe</v>
      </c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tr">
        <f>IFERROR(__xludf.DUMMYFUNCTION("""COMPUTED_VALUE"""),"refrigeration repair can a plumber fix")</f>
        <v>refrigeration repair can a plumber fix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tr">
        <f>IFERROR(__xludf.DUMMYFUNCTION("""COMPUTED_VALUE"""),"who fixes electrical COC")</f>
        <v>who fixes electrical COC</v>
      </c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tr">
        <f>IFERROR(__xludf.DUMMYFUNCTION("""COMPUTED_VALUE"""),"refrigeration repair cost of")</f>
        <v>refrigeration repair cost of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tr">
        <f>IFERROR(__xludf.DUMMYFUNCTION("""COMPUTED_VALUE"""),"who fixes emergency plumber")</f>
        <v>who fixes emergency plumber</v>
      </c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 t="str">
        <f>IFERROR(__xludf.DUMMYFUNCTION("""COMPUTED_VALUE"""),"refrigeration repair do I need")</f>
        <v>refrigeration repair do I need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tr">
        <f>IFERROR(__xludf.DUMMYFUNCTION("""COMPUTED_VALUE"""),"who fixes geyser repair")</f>
        <v>who fixes geyser repair</v>
      </c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 t="str">
        <f>IFERROR(__xludf.DUMMYFUNCTION("""COMPUTED_VALUE"""),"refrigeration repair emergency help for")</f>
        <v>refrigeration repair emergency help for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tr">
        <f>IFERROR(__xludf.DUMMYFUNCTION("""COMPUTED_VALUE"""),"who fixes leak detection")</f>
        <v>who fixes leak detection</v>
      </c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 t="str">
        <f>IFERROR(__xludf.DUMMYFUNCTION("""COMPUTED_VALUE"""),"refrigeration repair how long does")</f>
        <v>refrigeration repair how long does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tr">
        <f>IFERROR(__xludf.DUMMYFUNCTION("""COMPUTED_VALUE"""),"who fixes plumber cost")</f>
        <v>who fixes plumber cost</v>
      </c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 t="str">
        <f>IFERROR(__xludf.DUMMYFUNCTION("""COMPUTED_VALUE"""),"refrigeration repair how much does")</f>
        <v>refrigeration repair how much does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tr">
        <f>IFERROR(__xludf.DUMMYFUNCTION("""COMPUTED_VALUE"""),"who fixes plumbing maintenance")</f>
        <v>who fixes plumbing maintenance</v>
      </c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tr">
        <f>IFERROR(__xludf.DUMMYFUNCTION("""COMPUTED_VALUE"""),"refrigeration repair how to choose")</f>
        <v>refrigeration repair how to choose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tr">
        <f>IFERROR(__xludf.DUMMYFUNCTION("""COMPUTED_VALUE"""),"who fixes refrigeration repair")</f>
        <v>who fixes refrigeration repair</v>
      </c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 t="str">
        <f>IFERROR(__xludf.DUMMYFUNCTION("""COMPUTED_VALUE"""),"refrigeration repair how to prevent")</f>
        <v>refrigeration repair how to prevent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str">
        <f>IFERROR(__xludf.DUMMYFUNCTION("""COMPUTED_VALUE"""),"why is my aircon service")</f>
        <v>why is my aircon service</v>
      </c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 t="str">
        <f>IFERROR(__xludf.DUMMYFUNCTION("""COMPUTED_VALUE"""),"refrigeration repair is it safe to")</f>
        <v>refrigeration repair is it safe to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str">
        <f>IFERROR(__xludf.DUMMYFUNCTION("""COMPUTED_VALUE"""),"why is my blocked drain")</f>
        <v>why is my blocked drain</v>
      </c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tr">
        <f>IFERROR(__xludf.DUMMYFUNCTION("""COMPUTED_VALUE"""),"refrigeration repair near me for")</f>
        <v>refrigeration repair near me for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str">
        <f>IFERROR(__xludf.DUMMYFUNCTION("""COMPUTED_VALUE"""),"why is my burst pipe")</f>
        <v>why is my burst pipe</v>
      </c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 t="str">
        <f>IFERROR(__xludf.DUMMYFUNCTION("""COMPUTED_VALUE"""),"refrigeration repair same day help for")</f>
        <v>refrigeration repair same day help for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 t="str">
        <f>IFERROR(__xludf.DUMMYFUNCTION("""COMPUTED_VALUE"""),"why is my electrical COC")</f>
        <v>why is my electrical COC</v>
      </c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 t="str">
        <f>IFERROR(__xludf.DUMMYFUNCTION("""COMPUTED_VALUE"""),"refrigeration repair signs you need")</f>
        <v>refrigeration repair signs you need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 t="str">
        <f>IFERROR(__xludf.DUMMYFUNCTION("""COMPUTED_VALUE"""),"why is my emergency plumber")</f>
        <v>why is my emergency plumber</v>
      </c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 t="str">
        <f>IFERROR(__xludf.DUMMYFUNCTION("""COMPUTED_VALUE"""),"refrigeration repair what causes")</f>
        <v>refrigeration repair what causes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tr">
        <f>IFERROR(__xludf.DUMMYFUNCTION("""COMPUTED_VALUE"""),"why is my geyser repair")</f>
        <v>why is my geyser repair</v>
      </c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tr">
        <f>IFERROR(__xludf.DUMMYFUNCTION("""COMPUTED_VALUE"""),"refrigeration repair what is")</f>
        <v>refrigeration repair what is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tr">
        <f>IFERROR(__xludf.DUMMYFUNCTION("""COMPUTED_VALUE"""),"why is my leak detection")</f>
        <v>why is my leak detection</v>
      </c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 t="str">
        <f>IFERROR(__xludf.DUMMYFUNCTION("""COMPUTED_VALUE"""),"refrigeration repair when to call a")</f>
        <v>refrigeration repair when to call a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tr">
        <f>IFERROR(__xludf.DUMMYFUNCTION("""COMPUTED_VALUE"""),"why is my plumber cost")</f>
        <v>why is my plumber cost</v>
      </c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tr">
        <f>IFERROR(__xludf.DUMMYFUNCTION("""COMPUTED_VALUE"""),"refrigeration repair who fixes")</f>
        <v>refrigeration repair who fixes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 t="str">
        <f>IFERROR(__xludf.DUMMYFUNCTION("""COMPUTED_VALUE"""),"why is my plumbing maintenance")</f>
        <v>why is my plumbing maintenance</v>
      </c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 t="str">
        <f>IFERROR(__xludf.DUMMYFUNCTION("""COMPUTED_VALUE"""),"refrigeration repair why is my")</f>
        <v>refrigeration repair why is my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tr">
        <f>IFERROR(__xludf.DUMMYFUNCTION("""COMPUTED_VALUE"""),"why is my refrigeration repair")</f>
        <v>why is my refrigeration repair</v>
      </c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26.63"/>
    <col customWidth="1" min="4" max="4" width="8.63"/>
    <col customWidth="1" min="5" max="5" width="35.5"/>
    <col customWidth="1" min="6" max="26" width="8.63"/>
  </cols>
  <sheetData>
    <row r="1">
      <c r="A1" s="24" t="s">
        <v>206</v>
      </c>
      <c r="B1" s="24" t="s">
        <v>207</v>
      </c>
      <c r="C1" s="24" t="s">
        <v>208</v>
      </c>
      <c r="D1" s="25" t="s">
        <v>209</v>
      </c>
      <c r="E1" s="26" t="s">
        <v>210</v>
      </c>
      <c r="F1" s="27" t="s">
        <v>211</v>
      </c>
      <c r="G1" s="27" t="s">
        <v>212</v>
      </c>
      <c r="H1" s="27" t="s">
        <v>213</v>
      </c>
      <c r="I1" s="27" t="s">
        <v>214</v>
      </c>
      <c r="J1" s="27" t="s">
        <v>215</v>
      </c>
      <c r="K1" s="27" t="s">
        <v>216</v>
      </c>
      <c r="L1" s="27" t="s">
        <v>217</v>
      </c>
      <c r="M1" s="27" t="s">
        <v>218</v>
      </c>
      <c r="N1" s="27" t="s">
        <v>219</v>
      </c>
      <c r="O1" s="27" t="s">
        <v>220</v>
      </c>
      <c r="P1" s="27" t="s">
        <v>221</v>
      </c>
      <c r="Q1" s="27" t="s">
        <v>222</v>
      </c>
      <c r="R1" s="27" t="s">
        <v>223</v>
      </c>
      <c r="S1" s="27" t="s">
        <v>224</v>
      </c>
      <c r="T1" s="27" t="s">
        <v>225</v>
      </c>
      <c r="U1" s="4"/>
      <c r="V1" s="4"/>
      <c r="W1" s="4"/>
      <c r="X1" s="4"/>
      <c r="Y1" s="4"/>
      <c r="Z1" s="4"/>
    </row>
    <row r="2">
      <c r="A2" s="7" t="str">
        <f>IFERROR(__xludf.DUMMYFUNCTION("FILTER('Bracket 1 - Locations'!L3:L900,'Bracket 1 - Locations'!L3:L900&lt;&gt;"""")"),"aircon repairs Atlantic Seaboard")</f>
        <v>aircon repairs Atlantic Seaboard</v>
      </c>
      <c r="B2" s="7" t="str">
        <f>IFERROR(__xludf.DUMMYFUNCTION("FILTER('Bracket 1 - Locations'!X3:X900,'Bracket 1 - Locations'!X3:X900&lt;&gt;"""")"),"Atlantic Seaboard aircon repairs")</f>
        <v>Atlantic Seaboard aircon repairs</v>
      </c>
      <c r="C2" s="7" t="str">
        <f>IFERROR(__xludf.DUMMYFUNCTION("FILTER('Bracket 2 - Core Plumbing'!L3:L900,'Bracket 2 - Core Plumbing'!L3:L900&lt;&gt;"""")"),"commercial plumber 24 hour")</f>
        <v>commercial plumber 24 hour</v>
      </c>
      <c r="D2" s="4" t="str">
        <f>IFERROR(__xludf.DUMMYFUNCTION("FILTER('Bracket 2 - Core Plumbing'!X3:X900,'Bracket 2 - Core Plumbing'!X3:X900&lt;&gt;"""")"),"24 hour commercial plumber")</f>
        <v>24 hour commercial plumber</v>
      </c>
      <c r="E2" s="28" t="str">
        <f>IFERROR(__xludf.DUMMYFUNCTION("FILTER('Bracket 3 - Emergency Repairs'!L3:L900,'Bracket 3 - Emergency Repairs'!L3:L900&lt;&gt;"""")"),"24 hour plumber")</f>
        <v>24 hour plumber</v>
      </c>
      <c r="F2" s="4" t="str">
        <f>IFERROR(__xludf.DUMMYFUNCTION("FILTER('Bracket 3 - Emergency Repairs'!X3:X900,'Bracket 3 - Emergency Repairs'!X3:X900&lt;&gt;"""")"),"24 hour plumber")</f>
        <v>24 hour plumber</v>
      </c>
      <c r="G2" s="4" t="str">
        <f>IFERROR(__xludf.DUMMYFUNCTION("FILTER('Bracket 4 - Drain Geyser Leak'!L3:L900,'Bracket 4 - Drain Geyser Leak'!L3:L900&lt;&gt;"""")"),"blocked drain affordable")</f>
        <v>blocked drain affordable</v>
      </c>
      <c r="H2" s="4" t="str">
        <f>IFERROR(__xludf.DUMMYFUNCTION("FILTER('Bracket 4 - Drain Geyser Leak'!X3:X900,'Bracket 4 - Drain Geyser Leak'!X3:X900&lt;&gt;"""")"),"affordable blocked drain")</f>
        <v>affordable blocked drain</v>
      </c>
      <c r="I2" s="4" t="str">
        <f>IFERROR(__xludf.DUMMYFUNCTION("FILTER('Bracket 5 - Electrical'!L3:L900,'Bracket 5 - Electrical'!L3:L900&lt;&gt;"""")"),"commercial electrician affordable")</f>
        <v>commercial electrician affordable</v>
      </c>
      <c r="J2" s="4" t="str">
        <f>IFERROR(__xludf.DUMMYFUNCTION("FILTER('Bracket 5 - Electrical'!X3:X900,'Bracket 5 - Electrical'!X3:X900&lt;&gt;"""")"),"affordable commercial electrician")</f>
        <v>affordable commercial electrician</v>
      </c>
      <c r="K2" s="4" t="str">
        <f>IFERROR(__xludf.DUMMYFUNCTION("FILTER('Bracket 6 - HVAC Refrigeration'!L3:L900,'Bracket 6 - HVAC Refrigeration'!L3:L900&lt;&gt;"""")"),"air conditioning affordable")</f>
        <v>air conditioning affordable</v>
      </c>
      <c r="L2" s="4" t="str">
        <f>IFERROR(__xludf.DUMMYFUNCTION("FILTER('Bracket 6 - HVAC Refrigeration'!X3:X900,'Bracket 6 - HVAC Refrigeration'!X3:X900&lt;&gt;"""")"),"affordable air conditioning")</f>
        <v>affordable air conditioning</v>
      </c>
      <c r="M2" s="4" t="str">
        <f>IFERROR(__xludf.DUMMYFUNCTION("FILTER('Bracket 7 - Property Types'!L3:L900,'Bracket 7 - Property Types'!L3:L900&lt;&gt;"""")"),"air conditioning services apartment")</f>
        <v>air conditioning services apartment</v>
      </c>
      <c r="N2" s="4" t="str">
        <f>IFERROR(__xludf.DUMMYFUNCTION("FILTER('Bracket 7 - Property Types'!X3:X900,'Bracket 7 - Property Types'!X3:X900&lt;&gt;"""")"),"apartment air conditioning services")</f>
        <v>apartment air conditioning services</v>
      </c>
      <c r="O2" s="4" t="str">
        <f>IFERROR(__xludf.DUMMYFUNCTION("FILTER('Bracket 8 - Trust Comparisons'!L3:L900,'Bracket 8 - Trust Comparisons'!L3:L900&lt;&gt;"""")"),"absolute plumbing cape town 24 hour")</f>
        <v>absolute plumbing cape town 24 hour</v>
      </c>
      <c r="P2" s="4" t="str">
        <f>IFERROR(__xludf.DUMMYFUNCTION("FILTER('Bracket 8 - Trust Comparisons'!X3:X900,'Bracket 8 - Trust Comparisons'!X3:X900&lt;&gt;"""")"),"24 hour absolute plumbing cape town")</f>
        <v>24 hour absolute plumbing cape town</v>
      </c>
      <c r="Q2" s="4" t="str">
        <f>IFERROR(__xludf.DUMMYFUNCTION("FILTER('Bracket 9 - Questions'!L3:L900,'Bracket 9 - Questions'!L3:L900&lt;&gt;"""")"),"aircon service best way to fix")</f>
        <v>aircon service best way to fix</v>
      </c>
      <c r="R2" s="4" t="str">
        <f>IFERROR(__xludf.DUMMYFUNCTION("FILTER('Bracket 9 - Questions'!X3:X900,'Bracket 9 - Questions'!X3:X900&lt;&gt;"""")"),"best way to fix aircon service")</f>
        <v>best way to fix aircon service</v>
      </c>
      <c r="S2" s="27" t="s">
        <v>224</v>
      </c>
      <c r="T2" s="4" t="str">
        <f>IFERROR(__xludf.DUMMYFUNCTION("SORT(UNIQUE(FILTER(FLATTEN(A2:R1000),FLATTEN(A2:R1000)&lt;&gt;"""")))"),"24 hour absolute plumbing cape town")</f>
        <v>24 hour absolute plumbing cape town</v>
      </c>
      <c r="U2" s="4"/>
      <c r="V2" s="4"/>
      <c r="W2" s="4"/>
      <c r="X2" s="4"/>
      <c r="Y2" s="4"/>
      <c r="Z2" s="4"/>
    </row>
    <row r="3">
      <c r="A3" s="7" t="str">
        <f>IFERROR(__xludf.DUMMYFUNCTION("""COMPUTED_VALUE"""),"aircon repairs Bellville")</f>
        <v>aircon repairs Bellville</v>
      </c>
      <c r="B3" s="7" t="str">
        <f>IFERROR(__xludf.DUMMYFUNCTION("""COMPUTED_VALUE"""),"Atlantic Seaboard blocked drain plumber")</f>
        <v>Atlantic Seaboard blocked drain plumber</v>
      </c>
      <c r="C3" s="7" t="str">
        <f>IFERROR(__xludf.DUMMYFUNCTION("""COMPUTED_VALUE"""),"commercial plumber affordable")</f>
        <v>commercial plumber affordable</v>
      </c>
      <c r="D3" s="4" t="str">
        <f>IFERROR(__xludf.DUMMYFUNCTION("""COMPUTED_VALUE"""),"24 hour maintenance plumber")</f>
        <v>24 hour maintenance plumber</v>
      </c>
      <c r="E3" s="28" t="str">
        <f>IFERROR(__xludf.DUMMYFUNCTION("""COMPUTED_VALUE"""),"24 hour plumber after hours")</f>
        <v>24 hour plumber after hours</v>
      </c>
      <c r="F3" s="4" t="str">
        <f>IFERROR(__xludf.DUMMYFUNCTION("""COMPUTED_VALUE"""),"after hours 24 hour plumber")</f>
        <v>after hours 24 hour plumber</v>
      </c>
      <c r="G3" s="4" t="str">
        <f>IFERROR(__xludf.DUMMYFUNCTION("""COMPUTED_VALUE"""),"blocked drain best")</f>
        <v>blocked drain best</v>
      </c>
      <c r="H3" s="4" t="str">
        <f>IFERROR(__xludf.DUMMYFUNCTION("""COMPUTED_VALUE"""),"affordable burst geyser")</f>
        <v>affordable burst geyser</v>
      </c>
      <c r="I3" s="4" t="str">
        <f>IFERROR(__xludf.DUMMYFUNCTION("""COMPUTED_VALUE"""),"commercial electrician call out")</f>
        <v>commercial electrician call out</v>
      </c>
      <c r="J3" s="4" t="str">
        <f>IFERROR(__xludf.DUMMYFUNCTION("""COMPUTED_VALUE"""),"affordable electrical compliance certificate")</f>
        <v>affordable electrical compliance certificate</v>
      </c>
      <c r="K3" s="4" t="str">
        <f>IFERROR(__xludf.DUMMYFUNCTION("""COMPUTED_VALUE"""),"air conditioning best")</f>
        <v>air conditioning best</v>
      </c>
      <c r="L3" s="4" t="str">
        <f>IFERROR(__xludf.DUMMYFUNCTION("""COMPUTED_VALUE"""),"affordable air conditioning repair")</f>
        <v>affordable air conditioning repair</v>
      </c>
      <c r="M3" s="4" t="str">
        <f>IFERROR(__xludf.DUMMYFUNCTION("""COMPUTED_VALUE"""),"air conditioning services body corporate")</f>
        <v>air conditioning services body corporate</v>
      </c>
      <c r="N3" s="4" t="str">
        <f>IFERROR(__xludf.DUMMYFUNCTION("""COMPUTED_VALUE"""),"apartment drain cleaning")</f>
        <v>apartment drain cleaning</v>
      </c>
      <c r="O3" s="4" t="str">
        <f>IFERROR(__xludf.DUMMYFUNCTION("""COMPUTED_VALUE"""),"absolute plumbing cape town affordable")</f>
        <v>absolute plumbing cape town affordable</v>
      </c>
      <c r="P3" s="4" t="str">
        <f>IFERROR(__xludf.DUMMYFUNCTION("""COMPUTED_VALUE"""),"24 hour aircon repair cape town")</f>
        <v>24 hour aircon repair cape town</v>
      </c>
      <c r="Q3" s="4" t="str">
        <f>IFERROR(__xludf.DUMMYFUNCTION("""COMPUTED_VALUE"""),"aircon service can a plumber fix")</f>
        <v>aircon service can a plumber fix</v>
      </c>
      <c r="R3" s="4" t="str">
        <f>IFERROR(__xludf.DUMMYFUNCTION("""COMPUTED_VALUE"""),"best way to fix blocked drain")</f>
        <v>best way to fix blocked drain</v>
      </c>
      <c r="S3" s="4"/>
      <c r="T3" s="4" t="str">
        <f>IFERROR(__xludf.DUMMYFUNCTION("""COMPUTED_VALUE"""),"24 hour aircon repair cape town")</f>
        <v>24 hour aircon repair cape town</v>
      </c>
      <c r="U3" s="4"/>
      <c r="V3" s="4"/>
      <c r="W3" s="4"/>
      <c r="X3" s="4"/>
      <c r="Y3" s="4"/>
      <c r="Z3" s="4"/>
    </row>
    <row r="4">
      <c r="A4" s="7" t="str">
        <f>IFERROR(__xludf.DUMMYFUNCTION("""COMPUTED_VALUE"""),"aircon repairs Camps Bay")</f>
        <v>aircon repairs Camps Bay</v>
      </c>
      <c r="B4" s="7" t="str">
        <f>IFERROR(__xludf.DUMMYFUNCTION("""COMPUTED_VALUE"""),"Atlantic Seaboard electrician")</f>
        <v>Atlantic Seaboard electrician</v>
      </c>
      <c r="C4" s="7" t="str">
        <f>IFERROR(__xludf.DUMMYFUNCTION("""COMPUTED_VALUE"""),"commercial plumber after hours")</f>
        <v>commercial plumber after hours</v>
      </c>
      <c r="D4" s="4" t="str">
        <f>IFERROR(__xludf.DUMMYFUNCTION("""COMPUTED_VALUE"""),"24 hour plumber cape town")</f>
        <v>24 hour plumber cape town</v>
      </c>
      <c r="E4" s="28" t="str">
        <f>IFERROR(__xludf.DUMMYFUNCTION("""COMPUTED_VALUE"""),"24 hour plumber call out")</f>
        <v>24 hour plumber call out</v>
      </c>
      <c r="F4" s="4" t="str">
        <f>IFERROR(__xludf.DUMMYFUNCTION("""COMPUTED_VALUE"""),"after hours bathroom plumbing repair")</f>
        <v>after hours bathroom plumbing repair</v>
      </c>
      <c r="G4" s="4" t="str">
        <f>IFERROR(__xludf.DUMMYFUNCTION("""COMPUTED_VALUE"""),"blocked drain cape town")</f>
        <v>blocked drain cape town</v>
      </c>
      <c r="H4" s="4" t="str">
        <f>IFERROR(__xludf.DUMMYFUNCTION("""COMPUTED_VALUE"""),"affordable drain cleaning")</f>
        <v>affordable drain cleaning</v>
      </c>
      <c r="I4" s="4" t="str">
        <f>IFERROR(__xludf.DUMMYFUNCTION("""COMPUTED_VALUE"""),"commercial electrician cape town")</f>
        <v>commercial electrician cape town</v>
      </c>
      <c r="J4" s="4" t="str">
        <f>IFERROR(__xludf.DUMMYFUNCTION("""COMPUTED_VALUE"""),"affordable electrical contractor")</f>
        <v>affordable electrical contractor</v>
      </c>
      <c r="K4" s="4" t="str">
        <f>IFERROR(__xludf.DUMMYFUNCTION("""COMPUTED_VALUE"""),"air conditioning cape town")</f>
        <v>air conditioning cape town</v>
      </c>
      <c r="L4" s="4" t="str">
        <f>IFERROR(__xludf.DUMMYFUNCTION("""COMPUTED_VALUE"""),"affordable aircon installation")</f>
        <v>affordable aircon installation</v>
      </c>
      <c r="M4" s="4" t="str">
        <f>IFERROR(__xludf.DUMMYFUNCTION("""COMPUTED_VALUE"""),"air conditioning services building")</f>
        <v>air conditioning services building</v>
      </c>
      <c r="N4" s="4" t="str">
        <f>IFERROR(__xludf.DUMMYFUNCTION("""COMPUTED_VALUE"""),"apartment electrical repairs")</f>
        <v>apartment electrical repairs</v>
      </c>
      <c r="O4" s="4" t="str">
        <f>IFERROR(__xludf.DUMMYFUNCTION("""COMPUTED_VALUE"""),"absolute plumbing cape town alternatives")</f>
        <v>absolute plumbing cape town alternatives</v>
      </c>
      <c r="P4" s="4" t="str">
        <f>IFERROR(__xludf.DUMMYFUNCTION("""COMPUTED_VALUE"""),"24 hour bosman plumbers")</f>
        <v>24 hour bosman plumbers</v>
      </c>
      <c r="Q4" s="4" t="str">
        <f>IFERROR(__xludf.DUMMYFUNCTION("""COMPUTED_VALUE"""),"aircon service cost of")</f>
        <v>aircon service cost of</v>
      </c>
      <c r="R4" s="4" t="str">
        <f>IFERROR(__xludf.DUMMYFUNCTION("""COMPUTED_VALUE"""),"best way to fix burst pipe")</f>
        <v>best way to fix burst pipe</v>
      </c>
      <c r="S4" s="4"/>
      <c r="T4" s="4" t="str">
        <f>IFERROR(__xludf.DUMMYFUNCTION("""COMPUTED_VALUE"""),"24 hour bosman plumbers")</f>
        <v>24 hour bosman plumbers</v>
      </c>
      <c r="U4" s="4"/>
      <c r="V4" s="4"/>
      <c r="W4" s="4"/>
      <c r="X4" s="4"/>
      <c r="Y4" s="4"/>
      <c r="Z4" s="4"/>
    </row>
    <row r="5">
      <c r="A5" s="7" t="str">
        <f>IFERROR(__xludf.DUMMYFUNCTION("""COMPUTED_VALUE"""),"aircon repairs Cape Town")</f>
        <v>aircon repairs Cape Town</v>
      </c>
      <c r="B5" s="7" t="str">
        <f>IFERROR(__xludf.DUMMYFUNCTION("""COMPUTED_VALUE"""),"Atlantic Seaboard emergency plumber")</f>
        <v>Atlantic Seaboard emergency plumber</v>
      </c>
      <c r="C5" s="7" t="str">
        <f>IFERROR(__xludf.DUMMYFUNCTION("""COMPUTED_VALUE"""),"commercial plumber best")</f>
        <v>commercial plumber best</v>
      </c>
      <c r="D5" s="4" t="str">
        <f>IFERROR(__xludf.DUMMYFUNCTION("""COMPUTED_VALUE"""),"24 hour plumbing company")</f>
        <v>24 hour plumbing company</v>
      </c>
      <c r="E5" s="28" t="str">
        <f>IFERROR(__xludf.DUMMYFUNCTION("""COMPUTED_VALUE"""),"24 hour plumber cape town")</f>
        <v>24 hour plumber cape town</v>
      </c>
      <c r="F5" s="4" t="str">
        <f>IFERROR(__xludf.DUMMYFUNCTION("""COMPUTED_VALUE"""),"after hours blocked toilet plumber")</f>
        <v>after hours blocked toilet plumber</v>
      </c>
      <c r="G5" s="4" t="str">
        <f>IFERROR(__xludf.DUMMYFUNCTION("""COMPUTED_VALUE"""),"blocked drain CCTV")</f>
        <v>blocked drain CCTV</v>
      </c>
      <c r="H5" s="4" t="str">
        <f>IFERROR(__xludf.DUMMYFUNCTION("""COMPUTED_VALUE"""),"affordable drain inspection")</f>
        <v>affordable drain inspection</v>
      </c>
      <c r="I5" s="4" t="str">
        <f>IFERROR(__xludf.DUMMYFUNCTION("""COMPUTED_VALUE"""),"commercial electrician COC")</f>
        <v>commercial electrician COC</v>
      </c>
      <c r="J5" s="4" t="str">
        <f>IFERROR(__xludf.DUMMYFUNCTION("""COMPUTED_VALUE"""),"affordable electrical installation")</f>
        <v>affordable electrical installation</v>
      </c>
      <c r="K5" s="4" t="str">
        <f>IFERROR(__xludf.DUMMYFUNCTION("""COMPUTED_VALUE"""),"air conditioning commercial")</f>
        <v>air conditioning commercial</v>
      </c>
      <c r="L5" s="4" t="str">
        <f>IFERROR(__xludf.DUMMYFUNCTION("""COMPUTED_VALUE"""),"affordable aircon repair")</f>
        <v>affordable aircon repair</v>
      </c>
      <c r="M5" s="4" t="str">
        <f>IFERROR(__xludf.DUMMYFUNCTION("""COMPUTED_VALUE"""),"air conditioning services business")</f>
        <v>air conditioning services business</v>
      </c>
      <c r="N5" s="4" t="str">
        <f>IFERROR(__xludf.DUMMYFUNCTION("""COMPUTED_VALUE"""),"apartment emergency plumbing")</f>
        <v>apartment emergency plumbing</v>
      </c>
      <c r="O5" s="4" t="str">
        <f>IFERROR(__xludf.DUMMYFUNCTION("""COMPUTED_VALUE"""),"absolute plumbing cape town best")</f>
        <v>absolute plumbing cape town best</v>
      </c>
      <c r="P5" s="4" t="str">
        <f>IFERROR(__xludf.DUMMYFUNCTION("""COMPUTED_VALUE"""),"24 hour drain surgeon cape town")</f>
        <v>24 hour drain surgeon cape town</v>
      </c>
      <c r="Q5" s="4" t="str">
        <f>IFERROR(__xludf.DUMMYFUNCTION("""COMPUTED_VALUE"""),"aircon service do I need")</f>
        <v>aircon service do I need</v>
      </c>
      <c r="R5" s="4" t="str">
        <f>IFERROR(__xludf.DUMMYFUNCTION("""COMPUTED_VALUE"""),"best way to fix electrical COC")</f>
        <v>best way to fix electrical COC</v>
      </c>
      <c r="S5" s="4"/>
      <c r="T5" s="4" t="str">
        <f>IFERROR(__xludf.DUMMYFUNCTION("""COMPUTED_VALUE"""),"24 hour commercial plumber")</f>
        <v>24 hour commercial plumber</v>
      </c>
      <c r="U5" s="4"/>
      <c r="V5" s="4"/>
      <c r="W5" s="4"/>
      <c r="X5" s="4"/>
      <c r="Y5" s="4"/>
      <c r="Z5" s="4"/>
    </row>
    <row r="6">
      <c r="A6" s="7" t="str">
        <f>IFERROR(__xludf.DUMMYFUNCTION("""COMPUTED_VALUE"""),"aircon repairs Cape Town CBD")</f>
        <v>aircon repairs Cape Town CBD</v>
      </c>
      <c r="B6" s="7" t="str">
        <f>IFERROR(__xludf.DUMMYFUNCTION("""COMPUTED_VALUE"""),"Atlantic Seaboard geyser repair")</f>
        <v>Atlantic Seaboard geyser repair</v>
      </c>
      <c r="C6" s="7" t="str">
        <f>IFERROR(__xludf.DUMMYFUNCTION("""COMPUTED_VALUE"""),"commercial plumber call out")</f>
        <v>commercial plumber call out</v>
      </c>
      <c r="D6" s="4" t="str">
        <f>IFERROR(__xludf.DUMMYFUNCTION("""COMPUTED_VALUE"""),"24 hour plumbing contractors")</f>
        <v>24 hour plumbing contractors</v>
      </c>
      <c r="E6" s="28" t="str">
        <f>IFERROR(__xludf.DUMMYFUNCTION("""COMPUTED_VALUE"""),"24 hour plumber commercial")</f>
        <v>24 hour plumber commercial</v>
      </c>
      <c r="F6" s="4" t="str">
        <f>IFERROR(__xludf.DUMMYFUNCTION("""COMPUTED_VALUE"""),"after hours burst pipe repair")</f>
        <v>after hours burst pipe repair</v>
      </c>
      <c r="G6" s="4" t="str">
        <f>IFERROR(__xludf.DUMMYFUNCTION("""COMPUTED_VALUE"""),"blocked drain commercial")</f>
        <v>blocked drain commercial</v>
      </c>
      <c r="H6" s="4" t="str">
        <f>IFERROR(__xludf.DUMMYFUNCTION("""COMPUTED_VALUE"""),"affordable drain unblocking")</f>
        <v>affordable drain unblocking</v>
      </c>
      <c r="I6" s="4" t="str">
        <f>IFERROR(__xludf.DUMMYFUNCTION("""COMPUTED_VALUE"""),"commercial electrician company")</f>
        <v>commercial electrician company</v>
      </c>
      <c r="J6" s="4" t="str">
        <f>IFERROR(__xludf.DUMMYFUNCTION("""COMPUTED_VALUE"""),"affordable electrical maintenance")</f>
        <v>affordable electrical maintenance</v>
      </c>
      <c r="K6" s="4" t="str">
        <f>IFERROR(__xludf.DUMMYFUNCTION("""COMPUTED_VALUE"""),"air conditioning company")</f>
        <v>air conditioning company</v>
      </c>
      <c r="L6" s="4" t="str">
        <f>IFERROR(__xludf.DUMMYFUNCTION("""COMPUTED_VALUE"""),"affordable aircon service")</f>
        <v>affordable aircon service</v>
      </c>
      <c r="M6" s="4" t="str">
        <f>IFERROR(__xludf.DUMMYFUNCTION("""COMPUTED_VALUE"""),"air conditioning services commercial property")</f>
        <v>air conditioning services commercial property</v>
      </c>
      <c r="N6" s="4" t="str">
        <f>IFERROR(__xludf.DUMMYFUNCTION("""COMPUTED_VALUE"""),"apartment geyser repairs")</f>
        <v>apartment geyser repairs</v>
      </c>
      <c r="O6" s="4" t="str">
        <f>IFERROR(__xludf.DUMMYFUNCTION("""COMPUTED_VALUE"""),"absolute plumbing cape town certified")</f>
        <v>absolute plumbing cape town certified</v>
      </c>
      <c r="P6" s="4" t="str">
        <f>IFERROR(__xludf.DUMMYFUNCTION("""COMPUTED_VALUE"""),"24 hour electrician cape town")</f>
        <v>24 hour electrician cape town</v>
      </c>
      <c r="Q6" s="4" t="str">
        <f>IFERROR(__xludf.DUMMYFUNCTION("""COMPUTED_VALUE"""),"aircon service emergency help for")</f>
        <v>aircon service emergency help for</v>
      </c>
      <c r="R6" s="4" t="str">
        <f>IFERROR(__xludf.DUMMYFUNCTION("""COMPUTED_VALUE"""),"best way to fix emergency plumber")</f>
        <v>best way to fix emergency plumber</v>
      </c>
      <c r="S6" s="4"/>
      <c r="T6" s="4" t="str">
        <f>IFERROR(__xludf.DUMMYFUNCTION("""COMPUTED_VALUE"""),"24 hour drain surgeon cape town")</f>
        <v>24 hour drain surgeon cape town</v>
      </c>
      <c r="U6" s="4"/>
      <c r="V6" s="4"/>
      <c r="W6" s="4"/>
      <c r="X6" s="4"/>
      <c r="Y6" s="4"/>
      <c r="Z6" s="4"/>
    </row>
    <row r="7">
      <c r="A7" s="7" t="str">
        <f>IFERROR(__xludf.DUMMYFUNCTION("""COMPUTED_VALUE"""),"aircon repairs Claremont")</f>
        <v>aircon repairs Claremont</v>
      </c>
      <c r="B7" s="7" t="str">
        <f>IFERROR(__xludf.DUMMYFUNCTION("""COMPUTED_VALUE"""),"Atlantic Seaboard leak detection plumber")</f>
        <v>Atlantic Seaboard leak detection plumber</v>
      </c>
      <c r="C7" s="7" t="str">
        <f>IFERROR(__xludf.DUMMYFUNCTION("""COMPUTED_VALUE"""),"commercial plumber company")</f>
        <v>commercial plumber company</v>
      </c>
      <c r="D7" s="4" t="str">
        <f>IFERROR(__xludf.DUMMYFUNCTION("""COMPUTED_VALUE"""),"24 hour plumbing inspection")</f>
        <v>24 hour plumbing inspection</v>
      </c>
      <c r="E7" s="28" t="str">
        <f>IFERROR(__xludf.DUMMYFUNCTION("""COMPUTED_VALUE"""),"24 hour plumber company")</f>
        <v>24 hour plumber company</v>
      </c>
      <c r="F7" s="4" t="str">
        <f>IFERROR(__xludf.DUMMYFUNCTION("""COMPUTED_VALUE"""),"after hours emergency plumber")</f>
        <v>after hours emergency plumber</v>
      </c>
      <c r="G7" s="4" t="str">
        <f>IFERROR(__xludf.DUMMYFUNCTION("""COMPUTED_VALUE"""),"blocked drain cost")</f>
        <v>blocked drain cost</v>
      </c>
      <c r="H7" s="4" t="str">
        <f>IFERROR(__xludf.DUMMYFUNCTION("""COMPUTED_VALUE"""),"affordable geyser repair")</f>
        <v>affordable geyser repair</v>
      </c>
      <c r="I7" s="4" t="str">
        <f>IFERROR(__xludf.DUMMYFUNCTION("""COMPUTED_VALUE"""),"commercial electrician contractor")</f>
        <v>commercial electrician contractor</v>
      </c>
      <c r="J7" s="4" t="str">
        <f>IFERROR(__xludf.DUMMYFUNCTION("""COMPUTED_VALUE"""),"affordable electrical repairs")</f>
        <v>affordable electrical repairs</v>
      </c>
      <c r="K7" s="4" t="str">
        <f>IFERROR(__xludf.DUMMYFUNCTION("""COMPUTED_VALUE"""),"air conditioning contractor")</f>
        <v>air conditioning contractor</v>
      </c>
      <c r="L7" s="4" t="str">
        <f>IFERROR(__xludf.DUMMYFUNCTION("""COMPUTED_VALUE"""),"affordable cold room repair")</f>
        <v>affordable cold room repair</v>
      </c>
      <c r="M7" s="4" t="str">
        <f>IFERROR(__xludf.DUMMYFUNCTION("""COMPUTED_VALUE"""),"air conditioning services estate agent")</f>
        <v>air conditioning services estate agent</v>
      </c>
      <c r="N7" s="4" t="str">
        <f>IFERROR(__xludf.DUMMYFUNCTION("""COMPUTED_VALUE"""),"apartment leak detection")</f>
        <v>apartment leak detection</v>
      </c>
      <c r="O7" s="4" t="str">
        <f>IFERROR(__xludf.DUMMYFUNCTION("""COMPUTED_VALUE"""),"absolute plumbing cape town compare")</f>
        <v>absolute plumbing cape town compare</v>
      </c>
      <c r="P7" s="4" t="str">
        <f>IFERROR(__xludf.DUMMYFUNCTION("""COMPUTED_VALUE"""),"24 hour emergency plumber cape town")</f>
        <v>24 hour emergency plumber cape town</v>
      </c>
      <c r="Q7" s="4" t="str">
        <f>IFERROR(__xludf.DUMMYFUNCTION("""COMPUTED_VALUE"""),"aircon service how long does")</f>
        <v>aircon service how long does</v>
      </c>
      <c r="R7" s="4" t="str">
        <f>IFERROR(__xludf.DUMMYFUNCTION("""COMPUTED_VALUE"""),"best way to fix geyser repair")</f>
        <v>best way to fix geyser repair</v>
      </c>
      <c r="S7" s="4"/>
      <c r="T7" s="4" t="str">
        <f>IFERROR(__xludf.DUMMYFUNCTION("""COMPUTED_VALUE"""),"24 hour electrician cape town")</f>
        <v>24 hour electrician cape town</v>
      </c>
      <c r="U7" s="4"/>
      <c r="V7" s="4"/>
      <c r="W7" s="4"/>
      <c r="X7" s="4"/>
      <c r="Y7" s="4"/>
      <c r="Z7" s="4"/>
    </row>
    <row r="8">
      <c r="A8" s="7" t="str">
        <f>IFERROR(__xludf.DUMMYFUNCTION("""COMPUTED_VALUE"""),"aircon repairs Constantia")</f>
        <v>aircon repairs Constantia</v>
      </c>
      <c r="B8" s="7" t="str">
        <f>IFERROR(__xludf.DUMMYFUNCTION("""COMPUTED_VALUE"""),"Atlantic Seaboard plumber")</f>
        <v>Atlantic Seaboard plumber</v>
      </c>
      <c r="C8" s="7" t="str">
        <f>IFERROR(__xludf.DUMMYFUNCTION("""COMPUTED_VALUE"""),"commercial plumber contractor")</f>
        <v>commercial plumber contractor</v>
      </c>
      <c r="D8" s="4" t="str">
        <f>IFERROR(__xludf.DUMMYFUNCTION("""COMPUTED_VALUE"""),"24 hour plumbing installation")</f>
        <v>24 hour plumbing installation</v>
      </c>
      <c r="E8" s="28" t="str">
        <f>IFERROR(__xludf.DUMMYFUNCTION("""COMPUTED_VALUE"""),"24 hour plumber cost")</f>
        <v>24 hour plumber cost</v>
      </c>
      <c r="F8" s="4" t="str">
        <f>IFERROR(__xludf.DUMMYFUNCTION("""COMPUTED_VALUE"""),"after hours kitchen plumbing repair")</f>
        <v>after hours kitchen plumbing repair</v>
      </c>
      <c r="G8" s="4" t="str">
        <f>IFERROR(__xludf.DUMMYFUNCTION("""COMPUTED_VALUE"""),"blocked drain emergency")</f>
        <v>blocked drain emergency</v>
      </c>
      <c r="H8" s="4" t="str">
        <f>IFERROR(__xludf.DUMMYFUNCTION("""COMPUTED_VALUE"""),"affordable geyser replacement")</f>
        <v>affordable geyser replacement</v>
      </c>
      <c r="I8" s="4" t="str">
        <f>IFERROR(__xludf.DUMMYFUNCTION("""COMPUTED_VALUE"""),"commercial electrician cost")</f>
        <v>commercial electrician cost</v>
      </c>
      <c r="J8" s="4" t="str">
        <f>IFERROR(__xludf.DUMMYFUNCTION("""COMPUTED_VALUE"""),"affordable electrical services")</f>
        <v>affordable electrical services</v>
      </c>
      <c r="K8" s="4" t="str">
        <f>IFERROR(__xludf.DUMMYFUNCTION("""COMPUTED_VALUE"""),"air conditioning cost")</f>
        <v>air conditioning cost</v>
      </c>
      <c r="L8" s="4" t="str">
        <f>IFERROR(__xludf.DUMMYFUNCTION("""COMPUTED_VALUE"""),"affordable commercial refrigeration")</f>
        <v>affordable commercial refrigeration</v>
      </c>
      <c r="M8" s="4" t="str">
        <f>IFERROR(__xludf.DUMMYFUNCTION("""COMPUTED_VALUE"""),"air conditioning services flat")</f>
        <v>air conditioning services flat</v>
      </c>
      <c r="N8" s="4" t="str">
        <f>IFERROR(__xludf.DUMMYFUNCTION("""COMPUTED_VALUE"""),"apartment maintenance plumber")</f>
        <v>apartment maintenance plumber</v>
      </c>
      <c r="O8" s="4" t="str">
        <f>IFERROR(__xludf.DUMMYFUNCTION("""COMPUTED_VALUE"""),"absolute plumbing cape town complaints")</f>
        <v>absolute plumbing cape town complaints</v>
      </c>
      <c r="P8" s="4" t="str">
        <f>IFERROR(__xludf.DUMMYFUNCTION("""COMPUTED_VALUE"""),"24 hour plumber near me")</f>
        <v>24 hour plumber near me</v>
      </c>
      <c r="Q8" s="4" t="str">
        <f>IFERROR(__xludf.DUMMYFUNCTION("""COMPUTED_VALUE"""),"aircon service how much does")</f>
        <v>aircon service how much does</v>
      </c>
      <c r="R8" s="4" t="str">
        <f>IFERROR(__xludf.DUMMYFUNCTION("""COMPUTED_VALUE"""),"best way to fix leak detection")</f>
        <v>best way to fix leak detection</v>
      </c>
      <c r="S8" s="4"/>
      <c r="T8" s="4" t="str">
        <f>IFERROR(__xludf.DUMMYFUNCTION("""COMPUTED_VALUE"""),"24 hour emergency plumber cape town")</f>
        <v>24 hour emergency plumber cape town</v>
      </c>
      <c r="U8" s="4"/>
      <c r="V8" s="4"/>
      <c r="W8" s="4"/>
      <c r="X8" s="4"/>
      <c r="Y8" s="4"/>
      <c r="Z8" s="4"/>
    </row>
    <row r="9">
      <c r="A9" s="7" t="str">
        <f>IFERROR(__xludf.DUMMYFUNCTION("""COMPUTED_VALUE"""),"aircon repairs Durbanville")</f>
        <v>aircon repairs Durbanville</v>
      </c>
      <c r="B9" s="7" t="str">
        <f>IFERROR(__xludf.DUMMYFUNCTION("""COMPUTED_VALUE"""),"Atlantic Seaboard plumbers")</f>
        <v>Atlantic Seaboard plumbers</v>
      </c>
      <c r="C9" s="7" t="str">
        <f>IFERROR(__xludf.DUMMYFUNCTION("""COMPUTED_VALUE"""),"commercial plumber cost")</f>
        <v>commercial plumber cost</v>
      </c>
      <c r="D9" s="4" t="str">
        <f>IFERROR(__xludf.DUMMYFUNCTION("""COMPUTED_VALUE"""),"24 hour plumbing repairs")</f>
        <v>24 hour plumbing repairs</v>
      </c>
      <c r="E9" s="28" t="str">
        <f>IFERROR(__xludf.DUMMYFUNCTION("""COMPUTED_VALUE"""),"24 hour plumber emergency")</f>
        <v>24 hour plumber emergency</v>
      </c>
      <c r="F9" s="4" t="str">
        <f>IFERROR(__xludf.DUMMYFUNCTION("""COMPUTED_VALUE"""),"after hours leaking pipe repair")</f>
        <v>after hours leaking pipe repair</v>
      </c>
      <c r="G9" s="4" t="str">
        <f>IFERROR(__xludf.DUMMYFUNCTION("""COMPUTED_VALUE"""),"blocked drain high pressure jetting")</f>
        <v>blocked drain high pressure jetting</v>
      </c>
      <c r="H9" s="4" t="str">
        <f>IFERROR(__xludf.DUMMYFUNCTION("""COMPUTED_VALUE"""),"affordable leak detection")</f>
        <v>affordable leak detection</v>
      </c>
      <c r="I9" s="4" t="str">
        <f>IFERROR(__xludf.DUMMYFUNCTION("""COMPUTED_VALUE"""),"commercial electrician emergency")</f>
        <v>commercial electrician emergency</v>
      </c>
      <c r="J9" s="4" t="str">
        <f>IFERROR(__xludf.DUMMYFUNCTION("""COMPUTED_VALUE"""),"affordable electrician cape town")</f>
        <v>affordable electrician cape town</v>
      </c>
      <c r="K9" s="4" t="str">
        <f>IFERROR(__xludf.DUMMYFUNCTION("""COMPUTED_VALUE"""),"air conditioning emergency")</f>
        <v>air conditioning emergency</v>
      </c>
      <c r="L9" s="4" t="str">
        <f>IFERROR(__xludf.DUMMYFUNCTION("""COMPUTED_VALUE"""),"affordable fridge repair")</f>
        <v>affordable fridge repair</v>
      </c>
      <c r="M9" s="4" t="str">
        <f>IFERROR(__xludf.DUMMYFUNCTION("""COMPUTED_VALUE"""),"air conditioning services guesthouse")</f>
        <v>air conditioning services guesthouse</v>
      </c>
      <c r="N9" s="4" t="str">
        <f>IFERROR(__xludf.DUMMYFUNCTION("""COMPUTED_VALUE"""),"apartment plumbing company")</f>
        <v>apartment plumbing company</v>
      </c>
      <c r="O9" s="4" t="str">
        <f>IFERROR(__xludf.DUMMYFUNCTION("""COMPUTED_VALUE"""),"absolute plumbing cape town cost")</f>
        <v>absolute plumbing cape town cost</v>
      </c>
      <c r="P9" s="4" t="str">
        <f>IFERROR(__xludf.DUMMYFUNCTION("""COMPUTED_VALUE"""),"24 hour plumbers cape town")</f>
        <v>24 hour plumbers cape town</v>
      </c>
      <c r="Q9" s="4" t="str">
        <f>IFERROR(__xludf.DUMMYFUNCTION("""COMPUTED_VALUE"""),"aircon service how to choose")</f>
        <v>aircon service how to choose</v>
      </c>
      <c r="R9" s="4" t="str">
        <f>IFERROR(__xludf.DUMMYFUNCTION("""COMPUTED_VALUE"""),"best way to fix plumber cost")</f>
        <v>best way to fix plumber cost</v>
      </c>
      <c r="S9" s="4"/>
      <c r="T9" s="4" t="str">
        <f>IFERROR(__xludf.DUMMYFUNCTION("""COMPUTED_VALUE"""),"24 hour maintenance plumber")</f>
        <v>24 hour maintenance plumber</v>
      </c>
      <c r="U9" s="4"/>
      <c r="V9" s="4"/>
      <c r="W9" s="4"/>
      <c r="X9" s="4"/>
      <c r="Y9" s="4"/>
      <c r="Z9" s="4"/>
    </row>
    <row r="10">
      <c r="A10" s="7" t="str">
        <f>IFERROR(__xludf.DUMMYFUNCTION("""COMPUTED_VALUE"""),"aircon repairs Fish Hoek")</f>
        <v>aircon repairs Fish Hoek</v>
      </c>
      <c r="B10" s="7" t="str">
        <f>IFERROR(__xludf.DUMMYFUNCTION("""COMPUTED_VALUE"""),"Atlantic Seaboard plumbing company")</f>
        <v>Atlantic Seaboard plumbing company</v>
      </c>
      <c r="C10" s="7" t="str">
        <f>IFERROR(__xludf.DUMMYFUNCTION("""COMPUTED_VALUE"""),"commercial plumber emergency")</f>
        <v>commercial plumber emergency</v>
      </c>
      <c r="D10" s="4" t="str">
        <f>IFERROR(__xludf.DUMMYFUNCTION("""COMPUTED_VALUE"""),"24 hour plumbing services")</f>
        <v>24 hour plumbing services</v>
      </c>
      <c r="E10" s="28" t="str">
        <f>IFERROR(__xludf.DUMMYFUNCTION("""COMPUTED_VALUE"""),"24 hour plumber fast")</f>
        <v>24 hour plumber fast</v>
      </c>
      <c r="F10" s="4" t="str">
        <f>IFERROR(__xludf.DUMMYFUNCTION("""COMPUTED_VALUE"""),"after hours leaking tap repair")</f>
        <v>after hours leaking tap repair</v>
      </c>
      <c r="G10" s="4" t="str">
        <f>IFERROR(__xludf.DUMMYFUNCTION("""COMPUTED_VALUE"""),"blocked drain installation")</f>
        <v>blocked drain installation</v>
      </c>
      <c r="H10" s="4" t="str">
        <f>IFERROR(__xludf.DUMMYFUNCTION("""COMPUTED_VALUE"""),"affordable pipe repair")</f>
        <v>affordable pipe repair</v>
      </c>
      <c r="I10" s="4" t="str">
        <f>IFERROR(__xludf.DUMMYFUNCTION("""COMPUTED_VALUE"""),"commercial electrician inspection")</f>
        <v>commercial electrician inspection</v>
      </c>
      <c r="J10" s="4" t="str">
        <f>IFERROR(__xludf.DUMMYFUNCTION("""COMPUTED_VALUE"""),"affordable emergency electrician")</f>
        <v>affordable emergency electrician</v>
      </c>
      <c r="K10" s="4" t="str">
        <f>IFERROR(__xludf.DUMMYFUNCTION("""COMPUTED_VALUE"""),"air conditioning installation")</f>
        <v>air conditioning installation</v>
      </c>
      <c r="L10" s="4" t="str">
        <f>IFERROR(__xludf.DUMMYFUNCTION("""COMPUTED_VALUE"""),"affordable HVAC services")</f>
        <v>affordable HVAC services</v>
      </c>
      <c r="M10" s="4" t="str">
        <f>IFERROR(__xludf.DUMMYFUNCTION("""COMPUTED_VALUE"""),"air conditioning services home")</f>
        <v>air conditioning services home</v>
      </c>
      <c r="N10" s="4" t="str">
        <f>IFERROR(__xludf.DUMMYFUNCTION("""COMPUTED_VALUE"""),"apartment plumbing services")</f>
        <v>apartment plumbing services</v>
      </c>
      <c r="O10" s="4" t="str">
        <f>IFERROR(__xludf.DUMMYFUNCTION("""COMPUTED_VALUE"""),"absolute plumbing cape town insured")</f>
        <v>absolute plumbing cape town insured</v>
      </c>
      <c r="P10" s="4" t="str">
        <f>IFERROR(__xludf.DUMMYFUNCTION("""COMPUTED_VALUE"""),"24 hour plumbing company cape town")</f>
        <v>24 hour plumbing company cape town</v>
      </c>
      <c r="Q10" s="4" t="str">
        <f>IFERROR(__xludf.DUMMYFUNCTION("""COMPUTED_VALUE"""),"aircon service how to prevent")</f>
        <v>aircon service how to prevent</v>
      </c>
      <c r="R10" s="4" t="str">
        <f>IFERROR(__xludf.DUMMYFUNCTION("""COMPUTED_VALUE"""),"best way to fix plumbing maintenance")</f>
        <v>best way to fix plumbing maintenance</v>
      </c>
      <c r="S10" s="4"/>
      <c r="T10" s="4" t="str">
        <f>IFERROR(__xludf.DUMMYFUNCTION("""COMPUTED_VALUE"""),"24 hour plumber")</f>
        <v>24 hour plumber</v>
      </c>
      <c r="U10" s="4"/>
      <c r="V10" s="4"/>
      <c r="W10" s="4"/>
      <c r="X10" s="4"/>
      <c r="Y10" s="4"/>
      <c r="Z10" s="4"/>
    </row>
    <row r="11">
      <c r="A11" s="7" t="str">
        <f>IFERROR(__xludf.DUMMYFUNCTION("""COMPUTED_VALUE"""),"aircon repairs Green Point")</f>
        <v>aircon repairs Green Point</v>
      </c>
      <c r="B11" s="7" t="str">
        <f>IFERROR(__xludf.DUMMYFUNCTION("""COMPUTED_VALUE"""),"Atlantic Seaboard refrigeration services")</f>
        <v>Atlantic Seaboard refrigeration services</v>
      </c>
      <c r="C11" s="7" t="str">
        <f>IFERROR(__xludf.DUMMYFUNCTION("""COMPUTED_VALUE"""),"commercial plumber installation")</f>
        <v>commercial plumber installation</v>
      </c>
      <c r="D11" s="4" t="str">
        <f>IFERROR(__xludf.DUMMYFUNCTION("""COMPUTED_VALUE"""),"24 hour residential plumber")</f>
        <v>24 hour residential plumber</v>
      </c>
      <c r="E11" s="28" t="str">
        <f>IFERROR(__xludf.DUMMYFUNCTION("""COMPUTED_VALUE"""),"24 hour plumber local")</f>
        <v>24 hour plumber local</v>
      </c>
      <c r="F11" s="4" t="str">
        <f>IFERROR(__xludf.DUMMYFUNCTION("""COMPUTED_VALUE"""),"after hours toilet repair")</f>
        <v>after hours toilet repair</v>
      </c>
      <c r="G11" s="4" t="str">
        <f>IFERROR(__xludf.DUMMYFUNCTION("""COMPUTED_VALUE"""),"blocked drain near me")</f>
        <v>blocked drain near me</v>
      </c>
      <c r="H11" s="4" t="str">
        <f>IFERROR(__xludf.DUMMYFUNCTION("""COMPUTED_VALUE"""),"affordable water leak detection")</f>
        <v>affordable water leak detection</v>
      </c>
      <c r="I11" s="4" t="str">
        <f>IFERROR(__xludf.DUMMYFUNCTION("""COMPUTED_VALUE"""),"commercial electrician installation")</f>
        <v>commercial electrician installation</v>
      </c>
      <c r="J11" s="4" t="str">
        <f>IFERROR(__xludf.DUMMYFUNCTION("""COMPUTED_VALUE"""),"affordable residential electrician")</f>
        <v>affordable residential electrician</v>
      </c>
      <c r="K11" s="4" t="str">
        <f>IFERROR(__xludf.DUMMYFUNCTION("""COMPUTED_VALUE"""),"air conditioning local")</f>
        <v>air conditioning local</v>
      </c>
      <c r="L11" s="4" t="str">
        <f>IFERROR(__xludf.DUMMYFUNCTION("""COMPUTED_VALUE"""),"affordable refrigeration repair")</f>
        <v>affordable refrigeration repair</v>
      </c>
      <c r="M11" s="4" t="str">
        <f>IFERROR(__xludf.DUMMYFUNCTION("""COMPUTED_VALUE"""),"air conditioning services hotel")</f>
        <v>air conditioning services hotel</v>
      </c>
      <c r="N11" s="4" t="str">
        <f>IFERROR(__xludf.DUMMYFUNCTION("""COMPUTED_VALUE"""),"apartment refrigeration services")</f>
        <v>apartment refrigeration services</v>
      </c>
      <c r="O11" s="4" t="str">
        <f>IFERROR(__xludf.DUMMYFUNCTION("""COMPUTED_VALUE"""),"absolute plumbing cape town licensed")</f>
        <v>absolute plumbing cape town licensed</v>
      </c>
      <c r="P11" s="4" t="str">
        <f>IFERROR(__xludf.DUMMYFUNCTION("""COMPUTED_VALUE"""),"24 hour schmidhauser plumbing")</f>
        <v>24 hour schmidhauser plumbing</v>
      </c>
      <c r="Q11" s="4" t="str">
        <f>IFERROR(__xludf.DUMMYFUNCTION("""COMPUTED_VALUE"""),"aircon service is it safe to")</f>
        <v>aircon service is it safe to</v>
      </c>
      <c r="R11" s="4" t="str">
        <f>IFERROR(__xludf.DUMMYFUNCTION("""COMPUTED_VALUE"""),"best way to fix refrigeration repair")</f>
        <v>best way to fix refrigeration repair</v>
      </c>
      <c r="S11" s="4"/>
      <c r="T11" s="4" t="str">
        <f>IFERROR(__xludf.DUMMYFUNCTION("""COMPUTED_VALUE"""),"24 hour plumber after hours")</f>
        <v>24 hour plumber after hours</v>
      </c>
      <c r="U11" s="4"/>
      <c r="V11" s="4"/>
      <c r="W11" s="4"/>
      <c r="X11" s="4"/>
      <c r="Y11" s="4"/>
      <c r="Z11" s="4"/>
    </row>
    <row r="12">
      <c r="A12" s="7" t="str">
        <f>IFERROR(__xludf.DUMMYFUNCTION("""COMPUTED_VALUE"""),"aircon repairs Hout Bay")</f>
        <v>aircon repairs Hout Bay</v>
      </c>
      <c r="B12" s="7" t="str">
        <f>IFERROR(__xludf.DUMMYFUNCTION("""COMPUTED_VALUE"""),"Bellville aircon repairs")</f>
        <v>Bellville aircon repairs</v>
      </c>
      <c r="C12" s="7" t="str">
        <f>IFERROR(__xludf.DUMMYFUNCTION("""COMPUTED_VALUE"""),"commercial plumber licensed")</f>
        <v>commercial plumber licensed</v>
      </c>
      <c r="D12" s="4" t="str">
        <f>IFERROR(__xludf.DUMMYFUNCTION("""COMPUTED_VALUE"""),"affordable commercial plumber")</f>
        <v>affordable commercial plumber</v>
      </c>
      <c r="E12" s="28" t="str">
        <f>IFERROR(__xludf.DUMMYFUNCTION("""COMPUTED_VALUE"""),"24 hour plumber near me")</f>
        <v>24 hour plumber near me</v>
      </c>
      <c r="F12" s="4" t="str">
        <f>IFERROR(__xludf.DUMMYFUNCTION("""COMPUTED_VALUE"""),"after hours water leak repair")</f>
        <v>after hours water leak repair</v>
      </c>
      <c r="G12" s="4" t="str">
        <f>IFERROR(__xludf.DUMMYFUNCTION("""COMPUTED_VALUE"""),"blocked drain plumber")</f>
        <v>blocked drain plumber</v>
      </c>
      <c r="H12" s="4" t="str">
        <f>IFERROR(__xludf.DUMMYFUNCTION("""COMPUTED_VALUE"""),"best blocked drain")</f>
        <v>best blocked drain</v>
      </c>
      <c r="I12" s="4" t="str">
        <f>IFERROR(__xludf.DUMMYFUNCTION("""COMPUTED_VALUE"""),"commercial electrician licensed")</f>
        <v>commercial electrician licensed</v>
      </c>
      <c r="J12" s="4" t="str">
        <f>IFERROR(__xludf.DUMMYFUNCTION("""COMPUTED_VALUE"""),"call out commercial electrician")</f>
        <v>call out commercial electrician</v>
      </c>
      <c r="K12" s="4" t="str">
        <f>IFERROR(__xludf.DUMMYFUNCTION("""COMPUTED_VALUE"""),"air conditioning maintenance")</f>
        <v>air conditioning maintenance</v>
      </c>
      <c r="L12" s="4" t="str">
        <f>IFERROR(__xludf.DUMMYFUNCTION("""COMPUTED_VALUE"""),"air conditioning repair")</f>
        <v>air conditioning repair</v>
      </c>
      <c r="M12" s="4" t="str">
        <f>IFERROR(__xludf.DUMMYFUNCTION("""COMPUTED_VALUE"""),"air conditioning services house")</f>
        <v>air conditioning services house</v>
      </c>
      <c r="N12" s="4" t="str">
        <f>IFERROR(__xludf.DUMMYFUNCTION("""COMPUTED_VALUE"""),"body corporate air conditioning services")</f>
        <v>body corporate air conditioning services</v>
      </c>
      <c r="O12" s="4" t="str">
        <f>IFERROR(__xludf.DUMMYFUNCTION("""COMPUTED_VALUE"""),"absolute plumbing cape town local")</f>
        <v>absolute plumbing cape town local</v>
      </c>
      <c r="P12" s="4" t="str">
        <f>IFERROR(__xludf.DUMMYFUNCTION("""COMPUTED_VALUE"""),"affordable absolute plumbing cape town")</f>
        <v>affordable absolute plumbing cape town</v>
      </c>
      <c r="Q12" s="4" t="str">
        <f>IFERROR(__xludf.DUMMYFUNCTION("""COMPUTED_VALUE"""),"aircon service near me for")</f>
        <v>aircon service near me for</v>
      </c>
      <c r="R12" s="4" t="str">
        <f>IFERROR(__xludf.DUMMYFUNCTION("""COMPUTED_VALUE"""),"can a plumber fix aircon service")</f>
        <v>can a plumber fix aircon service</v>
      </c>
      <c r="S12" s="4"/>
      <c r="T12" s="4" t="str">
        <f>IFERROR(__xludf.DUMMYFUNCTION("""COMPUTED_VALUE"""),"24 hour plumber call out")</f>
        <v>24 hour plumber call out</v>
      </c>
      <c r="U12" s="4"/>
      <c r="V12" s="4"/>
      <c r="W12" s="4"/>
      <c r="X12" s="4"/>
      <c r="Y12" s="4"/>
      <c r="Z12" s="4"/>
    </row>
    <row r="13">
      <c r="A13" s="7" t="str">
        <f>IFERROR(__xludf.DUMMYFUNCTION("""COMPUTED_VALUE"""),"aircon repairs Maitland")</f>
        <v>aircon repairs Maitland</v>
      </c>
      <c r="B13" s="7" t="str">
        <f>IFERROR(__xludf.DUMMYFUNCTION("""COMPUTED_VALUE"""),"Bellville blocked drain plumber")</f>
        <v>Bellville blocked drain plumber</v>
      </c>
      <c r="C13" s="7" t="str">
        <f>IFERROR(__xludf.DUMMYFUNCTION("""COMPUTED_VALUE"""),"commercial plumber local")</f>
        <v>commercial plumber local</v>
      </c>
      <c r="D13" s="4" t="str">
        <f>IFERROR(__xludf.DUMMYFUNCTION("""COMPUTED_VALUE"""),"affordable maintenance plumber")</f>
        <v>affordable maintenance plumber</v>
      </c>
      <c r="E13" s="28" t="str">
        <f>IFERROR(__xludf.DUMMYFUNCTION("""COMPUTED_VALUE"""),"24 hour plumber professional")</f>
        <v>24 hour plumber professional</v>
      </c>
      <c r="F13" s="4" t="str">
        <f>IFERROR(__xludf.DUMMYFUNCTION("""COMPUTED_VALUE"""),"bathroom plumbing repair")</f>
        <v>bathroom plumbing repair</v>
      </c>
      <c r="G13" s="4" t="str">
        <f>IFERROR(__xludf.DUMMYFUNCTION("""COMPUTED_VALUE"""),"blocked drain plumbing company")</f>
        <v>blocked drain plumbing company</v>
      </c>
      <c r="H13" s="4" t="str">
        <f>IFERROR(__xludf.DUMMYFUNCTION("""COMPUTED_VALUE"""),"best burst geyser")</f>
        <v>best burst geyser</v>
      </c>
      <c r="I13" s="4" t="str">
        <f>IFERROR(__xludf.DUMMYFUNCTION("""COMPUTED_VALUE"""),"commercial electrician local")</f>
        <v>commercial electrician local</v>
      </c>
      <c r="J13" s="4" t="str">
        <f>IFERROR(__xludf.DUMMYFUNCTION("""COMPUTED_VALUE"""),"call out electrical compliance certificate")</f>
        <v>call out electrical compliance certificate</v>
      </c>
      <c r="K13" s="4" t="str">
        <f>IFERROR(__xludf.DUMMYFUNCTION("""COMPUTED_VALUE"""),"air conditioning near me")</f>
        <v>air conditioning near me</v>
      </c>
      <c r="L13" s="4" t="str">
        <f>IFERROR(__xludf.DUMMYFUNCTION("""COMPUTED_VALUE"""),"aircon installation")</f>
        <v>aircon installation</v>
      </c>
      <c r="M13" s="4" t="str">
        <f>IFERROR(__xludf.DUMMYFUNCTION("""COMPUTED_VALUE"""),"air conditioning services landlord")</f>
        <v>air conditioning services landlord</v>
      </c>
      <c r="N13" s="4" t="str">
        <f>IFERROR(__xludf.DUMMYFUNCTION("""COMPUTED_VALUE"""),"body corporate drain cleaning")</f>
        <v>body corporate drain cleaning</v>
      </c>
      <c r="O13" s="4" t="str">
        <f>IFERROR(__xludf.DUMMYFUNCTION("""COMPUTED_VALUE"""),"absolute plumbing cape town near me")</f>
        <v>absolute plumbing cape town near me</v>
      </c>
      <c r="P13" s="4" t="str">
        <f>IFERROR(__xludf.DUMMYFUNCTION("""COMPUTED_VALUE"""),"affordable aircon repair cape town")</f>
        <v>affordable aircon repair cape town</v>
      </c>
      <c r="Q13" s="4" t="str">
        <f>IFERROR(__xludf.DUMMYFUNCTION("""COMPUTED_VALUE"""),"aircon service same day help for")</f>
        <v>aircon service same day help for</v>
      </c>
      <c r="R13" s="4" t="str">
        <f>IFERROR(__xludf.DUMMYFUNCTION("""COMPUTED_VALUE"""),"can a plumber fix blocked drain")</f>
        <v>can a plumber fix blocked drain</v>
      </c>
      <c r="S13" s="4"/>
      <c r="T13" s="4" t="str">
        <f>IFERROR(__xludf.DUMMYFUNCTION("""COMPUTED_VALUE"""),"24 hour plumber cape town")</f>
        <v>24 hour plumber cape town</v>
      </c>
      <c r="U13" s="4"/>
      <c r="V13" s="4"/>
      <c r="W13" s="4"/>
      <c r="X13" s="4"/>
      <c r="Y13" s="4"/>
      <c r="Z13" s="4"/>
    </row>
    <row r="14">
      <c r="A14" s="7" t="str">
        <f>IFERROR(__xludf.DUMMYFUNCTION("""COMPUTED_VALUE"""),"aircon repairs Milnerton")</f>
        <v>aircon repairs Milnerton</v>
      </c>
      <c r="B14" s="7" t="str">
        <f>IFERROR(__xludf.DUMMYFUNCTION("""COMPUTED_VALUE"""),"Bellville electrician")</f>
        <v>Bellville electrician</v>
      </c>
      <c r="C14" s="7" t="str">
        <f>IFERROR(__xludf.DUMMYFUNCTION("""COMPUTED_VALUE"""),"commercial plumber maintenance")</f>
        <v>commercial plumber maintenance</v>
      </c>
      <c r="D14" s="4" t="str">
        <f>IFERROR(__xludf.DUMMYFUNCTION("""COMPUTED_VALUE"""),"affordable plumber cape town")</f>
        <v>affordable plumber cape town</v>
      </c>
      <c r="E14" s="28" t="str">
        <f>IFERROR(__xludf.DUMMYFUNCTION("""COMPUTED_VALUE"""),"24 hour plumber quote")</f>
        <v>24 hour plumber quote</v>
      </c>
      <c r="F14" s="4" t="str">
        <f>IFERROR(__xludf.DUMMYFUNCTION("""COMPUTED_VALUE"""),"blocked toilet plumber")</f>
        <v>blocked toilet plumber</v>
      </c>
      <c r="G14" s="4" t="str">
        <f>IFERROR(__xludf.DUMMYFUNCTION("""COMPUTED_VALUE"""),"blocked drain quote")</f>
        <v>blocked drain quote</v>
      </c>
      <c r="H14" s="4" t="str">
        <f>IFERROR(__xludf.DUMMYFUNCTION("""COMPUTED_VALUE"""),"best drain cleaning")</f>
        <v>best drain cleaning</v>
      </c>
      <c r="I14" s="4" t="str">
        <f>IFERROR(__xludf.DUMMYFUNCTION("""COMPUTED_VALUE"""),"commercial electrician near me")</f>
        <v>commercial electrician near me</v>
      </c>
      <c r="J14" s="4" t="str">
        <f>IFERROR(__xludf.DUMMYFUNCTION("""COMPUTED_VALUE"""),"call out electrical contractor")</f>
        <v>call out electrical contractor</v>
      </c>
      <c r="K14" s="4" t="str">
        <f>IFERROR(__xludf.DUMMYFUNCTION("""COMPUTED_VALUE"""),"air conditioning professional")</f>
        <v>air conditioning professional</v>
      </c>
      <c r="L14" s="4" t="str">
        <f>IFERROR(__xludf.DUMMYFUNCTION("""COMPUTED_VALUE"""),"aircon repair")</f>
        <v>aircon repair</v>
      </c>
      <c r="M14" s="4" t="str">
        <f>IFERROR(__xludf.DUMMYFUNCTION("""COMPUTED_VALUE"""),"air conditioning services office")</f>
        <v>air conditioning services office</v>
      </c>
      <c r="N14" s="4" t="str">
        <f>IFERROR(__xludf.DUMMYFUNCTION("""COMPUTED_VALUE"""),"body corporate electrical repairs")</f>
        <v>body corporate electrical repairs</v>
      </c>
      <c r="O14" s="4" t="str">
        <f>IFERROR(__xludf.DUMMYFUNCTION("""COMPUTED_VALUE"""),"absolute plumbing cape town prices")</f>
        <v>absolute plumbing cape town prices</v>
      </c>
      <c r="P14" s="4" t="str">
        <f>IFERROR(__xludf.DUMMYFUNCTION("""COMPUTED_VALUE"""),"affordable bosman plumbers")</f>
        <v>affordable bosman plumbers</v>
      </c>
      <c r="Q14" s="4" t="str">
        <f>IFERROR(__xludf.DUMMYFUNCTION("""COMPUTED_VALUE"""),"aircon service signs you need")</f>
        <v>aircon service signs you need</v>
      </c>
      <c r="R14" s="4" t="str">
        <f>IFERROR(__xludf.DUMMYFUNCTION("""COMPUTED_VALUE"""),"can a plumber fix burst pipe")</f>
        <v>can a plumber fix burst pipe</v>
      </c>
      <c r="S14" s="4"/>
      <c r="T14" s="4" t="str">
        <f>IFERROR(__xludf.DUMMYFUNCTION("""COMPUTED_VALUE"""),"24 hour plumber commercial")</f>
        <v>24 hour plumber commercial</v>
      </c>
      <c r="U14" s="4"/>
      <c r="V14" s="4"/>
      <c r="W14" s="4"/>
      <c r="X14" s="4"/>
      <c r="Y14" s="4"/>
      <c r="Z14" s="4"/>
    </row>
    <row r="15">
      <c r="A15" s="7" t="str">
        <f>IFERROR(__xludf.DUMMYFUNCTION("""COMPUTED_VALUE"""),"aircon repairs Muizenberg")</f>
        <v>aircon repairs Muizenberg</v>
      </c>
      <c r="B15" s="7" t="str">
        <f>IFERROR(__xludf.DUMMYFUNCTION("""COMPUTED_VALUE"""),"Bellville emergency plumber")</f>
        <v>Bellville emergency plumber</v>
      </c>
      <c r="C15" s="7" t="str">
        <f>IFERROR(__xludf.DUMMYFUNCTION("""COMPUTED_VALUE"""),"commercial plumber near me")</f>
        <v>commercial plumber near me</v>
      </c>
      <c r="D15" s="4" t="str">
        <f>IFERROR(__xludf.DUMMYFUNCTION("""COMPUTED_VALUE"""),"affordable plumbing company")</f>
        <v>affordable plumbing company</v>
      </c>
      <c r="E15" s="28" t="str">
        <f>IFERROR(__xludf.DUMMYFUNCTION("""COMPUTED_VALUE"""),"24 hour plumber reliable")</f>
        <v>24 hour plumber reliable</v>
      </c>
      <c r="F15" s="4" t="str">
        <f>IFERROR(__xludf.DUMMYFUNCTION("""COMPUTED_VALUE"""),"burst pipe repair")</f>
        <v>burst pipe repair</v>
      </c>
      <c r="G15" s="4" t="str">
        <f>IFERROR(__xludf.DUMMYFUNCTION("""COMPUTED_VALUE"""),"blocked drain reliable")</f>
        <v>blocked drain reliable</v>
      </c>
      <c r="H15" s="4" t="str">
        <f>IFERROR(__xludf.DUMMYFUNCTION("""COMPUTED_VALUE"""),"best drain inspection")</f>
        <v>best drain inspection</v>
      </c>
      <c r="I15" s="4" t="str">
        <f>IFERROR(__xludf.DUMMYFUNCTION("""COMPUTED_VALUE"""),"commercial electrician professional")</f>
        <v>commercial electrician professional</v>
      </c>
      <c r="J15" s="4" t="str">
        <f>IFERROR(__xludf.DUMMYFUNCTION("""COMPUTED_VALUE"""),"call out electrical installation")</f>
        <v>call out electrical installation</v>
      </c>
      <c r="K15" s="4" t="str">
        <f>IFERROR(__xludf.DUMMYFUNCTION("""COMPUTED_VALUE"""),"air conditioning quote")</f>
        <v>air conditioning quote</v>
      </c>
      <c r="L15" s="4" t="str">
        <f>IFERROR(__xludf.DUMMYFUNCTION("""COMPUTED_VALUE"""),"aircon service")</f>
        <v>aircon service</v>
      </c>
      <c r="M15" s="4" t="str">
        <f>IFERROR(__xludf.DUMMYFUNCTION("""COMPUTED_VALUE"""),"air conditioning services property manager")</f>
        <v>air conditioning services property manager</v>
      </c>
      <c r="N15" s="4" t="str">
        <f>IFERROR(__xludf.DUMMYFUNCTION("""COMPUTED_VALUE"""),"body corporate emergency plumbing")</f>
        <v>body corporate emergency plumbing</v>
      </c>
      <c r="O15" s="4" t="str">
        <f>IFERROR(__xludf.DUMMYFUNCTION("""COMPUTED_VALUE"""),"absolute plumbing cape town qualified")</f>
        <v>absolute plumbing cape town qualified</v>
      </c>
      <c r="P15" s="4" t="str">
        <f>IFERROR(__xludf.DUMMYFUNCTION("""COMPUTED_VALUE"""),"affordable drain surgeon cape town")</f>
        <v>affordable drain surgeon cape town</v>
      </c>
      <c r="Q15" s="4" t="str">
        <f>IFERROR(__xludf.DUMMYFUNCTION("""COMPUTED_VALUE"""),"aircon service what causes")</f>
        <v>aircon service what causes</v>
      </c>
      <c r="R15" s="4" t="str">
        <f>IFERROR(__xludf.DUMMYFUNCTION("""COMPUTED_VALUE"""),"can a plumber fix electrical COC")</f>
        <v>can a plumber fix electrical COC</v>
      </c>
      <c r="S15" s="4"/>
      <c r="T15" s="4" t="str">
        <f>IFERROR(__xludf.DUMMYFUNCTION("""COMPUTED_VALUE"""),"24 hour plumber company")</f>
        <v>24 hour plumber company</v>
      </c>
      <c r="U15" s="4"/>
      <c r="V15" s="4"/>
      <c r="W15" s="4"/>
      <c r="X15" s="4"/>
      <c r="Y15" s="4"/>
      <c r="Z15" s="4"/>
    </row>
    <row r="16">
      <c r="A16" s="7" t="str">
        <f>IFERROR(__xludf.DUMMYFUNCTION("""COMPUTED_VALUE"""),"aircon repairs Newlands")</f>
        <v>aircon repairs Newlands</v>
      </c>
      <c r="B16" s="7" t="str">
        <f>IFERROR(__xludf.DUMMYFUNCTION("""COMPUTED_VALUE"""),"Bellville geyser repair")</f>
        <v>Bellville geyser repair</v>
      </c>
      <c r="C16" s="7" t="str">
        <f>IFERROR(__xludf.DUMMYFUNCTION("""COMPUTED_VALUE"""),"commercial plumber professional")</f>
        <v>commercial plumber professional</v>
      </c>
      <c r="D16" s="4" t="str">
        <f>IFERROR(__xludf.DUMMYFUNCTION("""COMPUTED_VALUE"""),"affordable plumbing contractors")</f>
        <v>affordable plumbing contractors</v>
      </c>
      <c r="E16" s="28" t="str">
        <f>IFERROR(__xludf.DUMMYFUNCTION("""COMPUTED_VALUE"""),"24 hour plumber repair")</f>
        <v>24 hour plumber repair</v>
      </c>
      <c r="F16" s="4" t="str">
        <f>IFERROR(__xludf.DUMMYFUNCTION("""COMPUTED_VALUE"""),"call out 24 hour plumber")</f>
        <v>call out 24 hour plumber</v>
      </c>
      <c r="G16" s="4" t="str">
        <f>IFERROR(__xludf.DUMMYFUNCTION("""COMPUTED_VALUE"""),"blocked drain repair")</f>
        <v>blocked drain repair</v>
      </c>
      <c r="H16" s="4" t="str">
        <f>IFERROR(__xludf.DUMMYFUNCTION("""COMPUTED_VALUE"""),"best drain unblocking")</f>
        <v>best drain unblocking</v>
      </c>
      <c r="I16" s="4" t="str">
        <f>IFERROR(__xludf.DUMMYFUNCTION("""COMPUTED_VALUE"""),"commercial electrician qualified")</f>
        <v>commercial electrician qualified</v>
      </c>
      <c r="J16" s="4" t="str">
        <f>IFERROR(__xludf.DUMMYFUNCTION("""COMPUTED_VALUE"""),"call out electrical maintenance")</f>
        <v>call out electrical maintenance</v>
      </c>
      <c r="K16" s="4" t="str">
        <f>IFERROR(__xludf.DUMMYFUNCTION("""COMPUTED_VALUE"""),"air conditioning reliable")</f>
        <v>air conditioning reliable</v>
      </c>
      <c r="L16" s="4" t="str">
        <f>IFERROR(__xludf.DUMMYFUNCTION("""COMPUTED_VALUE"""),"best air conditioning")</f>
        <v>best air conditioning</v>
      </c>
      <c r="M16" s="4" t="str">
        <f>IFERROR(__xludf.DUMMYFUNCTION("""COMPUTED_VALUE"""),"air conditioning services residential property")</f>
        <v>air conditioning services residential property</v>
      </c>
      <c r="N16" s="4" t="str">
        <f>IFERROR(__xludf.DUMMYFUNCTION("""COMPUTED_VALUE"""),"body corporate geyser repairs")</f>
        <v>body corporate geyser repairs</v>
      </c>
      <c r="O16" s="4" t="str">
        <f>IFERROR(__xludf.DUMMYFUNCTION("""COMPUTED_VALUE"""),"absolute plumbing cape town quote")</f>
        <v>absolute plumbing cape town quote</v>
      </c>
      <c r="P16" s="4" t="str">
        <f>IFERROR(__xludf.DUMMYFUNCTION("""COMPUTED_VALUE"""),"affordable electrician cape town")</f>
        <v>affordable electrician cape town</v>
      </c>
      <c r="Q16" s="4" t="str">
        <f>IFERROR(__xludf.DUMMYFUNCTION("""COMPUTED_VALUE"""),"aircon service what is")</f>
        <v>aircon service what is</v>
      </c>
      <c r="R16" s="4" t="str">
        <f>IFERROR(__xludf.DUMMYFUNCTION("""COMPUTED_VALUE"""),"can a plumber fix emergency plumber")</f>
        <v>can a plumber fix emergency plumber</v>
      </c>
      <c r="S16" s="4"/>
      <c r="T16" s="4" t="str">
        <f>IFERROR(__xludf.DUMMYFUNCTION("""COMPUTED_VALUE"""),"24 hour plumber cost")</f>
        <v>24 hour plumber cost</v>
      </c>
      <c r="U16" s="4"/>
      <c r="V16" s="4"/>
      <c r="W16" s="4"/>
      <c r="X16" s="4"/>
      <c r="Y16" s="4"/>
      <c r="Z16" s="4"/>
    </row>
    <row r="17">
      <c r="A17" s="7" t="str">
        <f>IFERROR(__xludf.DUMMYFUNCTION("""COMPUTED_VALUE"""),"aircon repairs Northern Suburbs")</f>
        <v>aircon repairs Northern Suburbs</v>
      </c>
      <c r="B17" s="7" t="str">
        <f>IFERROR(__xludf.DUMMYFUNCTION("""COMPUTED_VALUE"""),"Bellville leak detection plumber")</f>
        <v>Bellville leak detection plumber</v>
      </c>
      <c r="C17" s="7" t="str">
        <f>IFERROR(__xludf.DUMMYFUNCTION("""COMPUTED_VALUE"""),"commercial plumber qualified")</f>
        <v>commercial plumber qualified</v>
      </c>
      <c r="D17" s="4" t="str">
        <f>IFERROR(__xludf.DUMMYFUNCTION("""COMPUTED_VALUE"""),"affordable plumbing inspection")</f>
        <v>affordable plumbing inspection</v>
      </c>
      <c r="E17" s="28" t="str">
        <f>IFERROR(__xludf.DUMMYFUNCTION("""COMPUTED_VALUE"""),"24 hour plumber residential")</f>
        <v>24 hour plumber residential</v>
      </c>
      <c r="F17" s="4" t="str">
        <f>IFERROR(__xludf.DUMMYFUNCTION("""COMPUTED_VALUE"""),"call out bathroom plumbing repair")</f>
        <v>call out bathroom plumbing repair</v>
      </c>
      <c r="G17" s="4" t="str">
        <f>IFERROR(__xludf.DUMMYFUNCTION("""COMPUTED_VALUE"""),"blocked drain replacement")</f>
        <v>blocked drain replacement</v>
      </c>
      <c r="H17" s="4" t="str">
        <f>IFERROR(__xludf.DUMMYFUNCTION("""COMPUTED_VALUE"""),"best geyser repair")</f>
        <v>best geyser repair</v>
      </c>
      <c r="I17" s="4" t="str">
        <f>IFERROR(__xludf.DUMMYFUNCTION("""COMPUTED_VALUE"""),"commercial electrician quote")</f>
        <v>commercial electrician quote</v>
      </c>
      <c r="J17" s="4" t="str">
        <f>IFERROR(__xludf.DUMMYFUNCTION("""COMPUTED_VALUE"""),"call out electrical repairs")</f>
        <v>call out electrical repairs</v>
      </c>
      <c r="K17" s="4" t="str">
        <f>IFERROR(__xludf.DUMMYFUNCTION("""COMPUTED_VALUE"""),"air conditioning repair")</f>
        <v>air conditioning repair</v>
      </c>
      <c r="L17" s="4" t="str">
        <f>IFERROR(__xludf.DUMMYFUNCTION("""COMPUTED_VALUE"""),"best air conditioning repair")</f>
        <v>best air conditioning repair</v>
      </c>
      <c r="M17" s="4" t="str">
        <f>IFERROR(__xludf.DUMMYFUNCTION("""COMPUTED_VALUE"""),"air conditioning services restaurant")</f>
        <v>air conditioning services restaurant</v>
      </c>
      <c r="N17" s="4" t="str">
        <f>IFERROR(__xludf.DUMMYFUNCTION("""COMPUTED_VALUE"""),"body corporate leak detection")</f>
        <v>body corporate leak detection</v>
      </c>
      <c r="O17" s="4" t="str">
        <f>IFERROR(__xludf.DUMMYFUNCTION("""COMPUTED_VALUE"""),"absolute plumbing cape town reliable")</f>
        <v>absolute plumbing cape town reliable</v>
      </c>
      <c r="P17" s="4" t="str">
        <f>IFERROR(__xludf.DUMMYFUNCTION("""COMPUTED_VALUE"""),"affordable emergency plumber cape town")</f>
        <v>affordable emergency plumber cape town</v>
      </c>
      <c r="Q17" s="4" t="str">
        <f>IFERROR(__xludf.DUMMYFUNCTION("""COMPUTED_VALUE"""),"aircon service when to call a")</f>
        <v>aircon service when to call a</v>
      </c>
      <c r="R17" s="4" t="str">
        <f>IFERROR(__xludf.DUMMYFUNCTION("""COMPUTED_VALUE"""),"can a plumber fix geyser repair")</f>
        <v>can a plumber fix geyser repair</v>
      </c>
      <c r="S17" s="4"/>
      <c r="T17" s="4" t="str">
        <f>IFERROR(__xludf.DUMMYFUNCTION("""COMPUTED_VALUE"""),"24 hour plumber emergency")</f>
        <v>24 hour plumber emergency</v>
      </c>
      <c r="U17" s="4"/>
      <c r="V17" s="4"/>
      <c r="W17" s="4"/>
      <c r="X17" s="4"/>
      <c r="Y17" s="4"/>
      <c r="Z17" s="4"/>
    </row>
    <row r="18">
      <c r="A18" s="7" t="str">
        <f>IFERROR(__xludf.DUMMYFUNCTION("""COMPUTED_VALUE"""),"aircon repairs Observatory")</f>
        <v>aircon repairs Observatory</v>
      </c>
      <c r="B18" s="7" t="str">
        <f>IFERROR(__xludf.DUMMYFUNCTION("""COMPUTED_VALUE"""),"Bellville plumber")</f>
        <v>Bellville plumber</v>
      </c>
      <c r="C18" s="7" t="str">
        <f>IFERROR(__xludf.DUMMYFUNCTION("""COMPUTED_VALUE"""),"commercial plumber quote")</f>
        <v>commercial plumber quote</v>
      </c>
      <c r="D18" s="4" t="str">
        <f>IFERROR(__xludf.DUMMYFUNCTION("""COMPUTED_VALUE"""),"affordable plumbing installation")</f>
        <v>affordable plumbing installation</v>
      </c>
      <c r="E18" s="28" t="str">
        <f>IFERROR(__xludf.DUMMYFUNCTION("""COMPUTED_VALUE"""),"24 hour plumber same day")</f>
        <v>24 hour plumber same day</v>
      </c>
      <c r="F18" s="4" t="str">
        <f>IFERROR(__xludf.DUMMYFUNCTION("""COMPUTED_VALUE"""),"call out blocked toilet plumber")</f>
        <v>call out blocked toilet plumber</v>
      </c>
      <c r="G18" s="4" t="str">
        <f>IFERROR(__xludf.DUMMYFUNCTION("""COMPUTED_VALUE"""),"blocked drain residential")</f>
        <v>blocked drain residential</v>
      </c>
      <c r="H18" s="4" t="str">
        <f>IFERROR(__xludf.DUMMYFUNCTION("""COMPUTED_VALUE"""),"best geyser replacement")</f>
        <v>best geyser replacement</v>
      </c>
      <c r="I18" s="4" t="str">
        <f>IFERROR(__xludf.DUMMYFUNCTION("""COMPUTED_VALUE"""),"commercial electrician reliable")</f>
        <v>commercial electrician reliable</v>
      </c>
      <c r="J18" s="4" t="str">
        <f>IFERROR(__xludf.DUMMYFUNCTION("""COMPUTED_VALUE"""),"call out electrical services")</f>
        <v>call out electrical services</v>
      </c>
      <c r="K18" s="4" t="str">
        <f>IFERROR(__xludf.DUMMYFUNCTION("""COMPUTED_VALUE"""),"air conditioning repair affordable")</f>
        <v>air conditioning repair affordable</v>
      </c>
      <c r="L18" s="4" t="str">
        <f>IFERROR(__xludf.DUMMYFUNCTION("""COMPUTED_VALUE"""),"best aircon installation")</f>
        <v>best aircon installation</v>
      </c>
      <c r="M18" s="4" t="str">
        <f>IFERROR(__xludf.DUMMYFUNCTION("""COMPUTED_VALUE"""),"air conditioning services school")</f>
        <v>air conditioning services school</v>
      </c>
      <c r="N18" s="4" t="str">
        <f>IFERROR(__xludf.DUMMYFUNCTION("""COMPUTED_VALUE"""),"body corporate maintenance plumber")</f>
        <v>body corporate maintenance plumber</v>
      </c>
      <c r="O18" s="4" t="str">
        <f>IFERROR(__xludf.DUMMYFUNCTION("""COMPUTED_VALUE"""),"absolute plumbing cape town reputable")</f>
        <v>absolute plumbing cape town reputable</v>
      </c>
      <c r="P18" s="4" t="str">
        <f>IFERROR(__xludf.DUMMYFUNCTION("""COMPUTED_VALUE"""),"affordable plumber near me")</f>
        <v>affordable plumber near me</v>
      </c>
      <c r="Q18" s="4" t="str">
        <f>IFERROR(__xludf.DUMMYFUNCTION("""COMPUTED_VALUE"""),"aircon service who fixes")</f>
        <v>aircon service who fixes</v>
      </c>
      <c r="R18" s="4" t="str">
        <f>IFERROR(__xludf.DUMMYFUNCTION("""COMPUTED_VALUE"""),"can a plumber fix leak detection")</f>
        <v>can a plumber fix leak detection</v>
      </c>
      <c r="S18" s="4"/>
      <c r="T18" s="4" t="str">
        <f>IFERROR(__xludf.DUMMYFUNCTION("""COMPUTED_VALUE"""),"24 hour plumber fast")</f>
        <v>24 hour plumber fast</v>
      </c>
      <c r="U18" s="4"/>
      <c r="V18" s="4"/>
      <c r="W18" s="4"/>
      <c r="X18" s="4"/>
      <c r="Y18" s="4"/>
      <c r="Z18" s="4"/>
    </row>
    <row r="19">
      <c r="A19" s="7" t="str">
        <f>IFERROR(__xludf.DUMMYFUNCTION("""COMPUTED_VALUE"""),"aircon repairs Plumstead")</f>
        <v>aircon repairs Plumstead</v>
      </c>
      <c r="B19" s="7" t="str">
        <f>IFERROR(__xludf.DUMMYFUNCTION("""COMPUTED_VALUE"""),"Bellville plumbers")</f>
        <v>Bellville plumbers</v>
      </c>
      <c r="C19" s="7" t="str">
        <f>IFERROR(__xludf.DUMMYFUNCTION("""COMPUTED_VALUE"""),"commercial plumber reliable")</f>
        <v>commercial plumber reliable</v>
      </c>
      <c r="D19" s="4" t="str">
        <f>IFERROR(__xludf.DUMMYFUNCTION("""COMPUTED_VALUE"""),"affordable plumbing repairs")</f>
        <v>affordable plumbing repairs</v>
      </c>
      <c r="E19" s="28" t="str">
        <f>IFERROR(__xludf.DUMMYFUNCTION("""COMPUTED_VALUE"""),"24 hour plumber service")</f>
        <v>24 hour plumber service</v>
      </c>
      <c r="F19" s="4" t="str">
        <f>IFERROR(__xludf.DUMMYFUNCTION("""COMPUTED_VALUE"""),"call out burst pipe repair")</f>
        <v>call out burst pipe repair</v>
      </c>
      <c r="G19" s="4" t="str">
        <f>IFERROR(__xludf.DUMMYFUNCTION("""COMPUTED_VALUE"""),"blocked drain same day")</f>
        <v>blocked drain same day</v>
      </c>
      <c r="H19" s="4" t="str">
        <f>IFERROR(__xludf.DUMMYFUNCTION("""COMPUTED_VALUE"""),"best leak detection")</f>
        <v>best leak detection</v>
      </c>
      <c r="I19" s="4" t="str">
        <f>IFERROR(__xludf.DUMMYFUNCTION("""COMPUTED_VALUE"""),"commercial electrician repair")</f>
        <v>commercial electrician repair</v>
      </c>
      <c r="J19" s="4" t="str">
        <f>IFERROR(__xludf.DUMMYFUNCTION("""COMPUTED_VALUE"""),"call out electrician cape town")</f>
        <v>call out electrician cape town</v>
      </c>
      <c r="K19" s="4" t="str">
        <f>IFERROR(__xludf.DUMMYFUNCTION("""COMPUTED_VALUE"""),"air conditioning repair best")</f>
        <v>air conditioning repair best</v>
      </c>
      <c r="L19" s="4" t="str">
        <f>IFERROR(__xludf.DUMMYFUNCTION("""COMPUTED_VALUE"""),"best aircon repair")</f>
        <v>best aircon repair</v>
      </c>
      <c r="M19" s="4" t="str">
        <f>IFERROR(__xludf.DUMMYFUNCTION("""COMPUTED_VALUE"""),"air conditioning services shop")</f>
        <v>air conditioning services shop</v>
      </c>
      <c r="N19" s="4" t="str">
        <f>IFERROR(__xludf.DUMMYFUNCTION("""COMPUTED_VALUE"""),"body corporate plumbing company")</f>
        <v>body corporate plumbing company</v>
      </c>
      <c r="O19" s="4" t="str">
        <f>IFERROR(__xludf.DUMMYFUNCTION("""COMPUTED_VALUE"""),"absolute plumbing cape town review")</f>
        <v>absolute plumbing cape town review</v>
      </c>
      <c r="P19" s="4" t="str">
        <f>IFERROR(__xludf.DUMMYFUNCTION("""COMPUTED_VALUE"""),"affordable plumbers cape town")</f>
        <v>affordable plumbers cape town</v>
      </c>
      <c r="Q19" s="4" t="str">
        <f>IFERROR(__xludf.DUMMYFUNCTION("""COMPUTED_VALUE"""),"aircon service why is my")</f>
        <v>aircon service why is my</v>
      </c>
      <c r="R19" s="4" t="str">
        <f>IFERROR(__xludf.DUMMYFUNCTION("""COMPUTED_VALUE"""),"can a plumber fix plumber cost")</f>
        <v>can a plumber fix plumber cost</v>
      </c>
      <c r="S19" s="4"/>
      <c r="T19" s="4" t="str">
        <f>IFERROR(__xludf.DUMMYFUNCTION("""COMPUTED_VALUE"""),"24 hour plumber local")</f>
        <v>24 hour plumber local</v>
      </c>
      <c r="U19" s="4"/>
      <c r="V19" s="4"/>
      <c r="W19" s="4"/>
      <c r="X19" s="4"/>
      <c r="Y19" s="4"/>
      <c r="Z19" s="4"/>
    </row>
    <row r="20">
      <c r="A20" s="4" t="str">
        <f>IFERROR(__xludf.DUMMYFUNCTION("""COMPUTED_VALUE"""),"aircon repairs Rondebosch")</f>
        <v>aircon repairs Rondebosch</v>
      </c>
      <c r="B20" s="4" t="str">
        <f>IFERROR(__xludf.DUMMYFUNCTION("""COMPUTED_VALUE"""),"Bellville plumbing company")</f>
        <v>Bellville plumbing company</v>
      </c>
      <c r="C20" s="4" t="str">
        <f>IFERROR(__xludf.DUMMYFUNCTION("""COMPUTED_VALUE"""),"commercial plumber repair")</f>
        <v>commercial plumber repair</v>
      </c>
      <c r="D20" s="4" t="str">
        <f>IFERROR(__xludf.DUMMYFUNCTION("""COMPUTED_VALUE"""),"affordable plumbing services")</f>
        <v>affordable plumbing services</v>
      </c>
      <c r="E20" s="28" t="str">
        <f>IFERROR(__xludf.DUMMYFUNCTION("""COMPUTED_VALUE"""),"24 hour plumber urgent")</f>
        <v>24 hour plumber urgent</v>
      </c>
      <c r="F20" s="4" t="str">
        <f>IFERROR(__xludf.DUMMYFUNCTION("""COMPUTED_VALUE"""),"call out emergency plumber")</f>
        <v>call out emergency plumber</v>
      </c>
      <c r="G20" s="4" t="str">
        <f>IFERROR(__xludf.DUMMYFUNCTION("""COMPUTED_VALUE"""),"blocked drain service")</f>
        <v>blocked drain service</v>
      </c>
      <c r="H20" s="4" t="str">
        <f>IFERROR(__xludf.DUMMYFUNCTION("""COMPUTED_VALUE"""),"best pipe repair")</f>
        <v>best pipe repair</v>
      </c>
      <c r="I20" s="4" t="str">
        <f>IFERROR(__xludf.DUMMYFUNCTION("""COMPUTED_VALUE"""),"commercial electrician same day")</f>
        <v>commercial electrician same day</v>
      </c>
      <c r="J20" s="4" t="str">
        <f>IFERROR(__xludf.DUMMYFUNCTION("""COMPUTED_VALUE"""),"call out emergency electrician")</f>
        <v>call out emergency electrician</v>
      </c>
      <c r="K20" s="4" t="str">
        <f>IFERROR(__xludf.DUMMYFUNCTION("""COMPUTED_VALUE"""),"air conditioning repair cape town")</f>
        <v>air conditioning repair cape town</v>
      </c>
      <c r="L20" s="4" t="str">
        <f>IFERROR(__xludf.DUMMYFUNCTION("""COMPUTED_VALUE"""),"best aircon service")</f>
        <v>best aircon service</v>
      </c>
      <c r="M20" s="4" t="str">
        <f>IFERROR(__xludf.DUMMYFUNCTION("""COMPUTED_VALUE"""),"air conditioning services tenant")</f>
        <v>air conditioning services tenant</v>
      </c>
      <c r="N20" s="4" t="str">
        <f>IFERROR(__xludf.DUMMYFUNCTION("""COMPUTED_VALUE"""),"body corporate plumbing services")</f>
        <v>body corporate plumbing services</v>
      </c>
      <c r="O20" s="4" t="str">
        <f>IFERROR(__xludf.DUMMYFUNCTION("""COMPUTED_VALUE"""),"absolute plumbing cape town reviews")</f>
        <v>absolute plumbing cape town reviews</v>
      </c>
      <c r="P20" s="4" t="str">
        <f>IFERROR(__xludf.DUMMYFUNCTION("""COMPUTED_VALUE"""),"affordable plumbing company cape town")</f>
        <v>affordable plumbing company cape town</v>
      </c>
      <c r="Q20" s="4" t="str">
        <f>IFERROR(__xludf.DUMMYFUNCTION("""COMPUTED_VALUE"""),"blocked drain best way to fix")</f>
        <v>blocked drain best way to fix</v>
      </c>
      <c r="R20" s="4" t="str">
        <f>IFERROR(__xludf.DUMMYFUNCTION("""COMPUTED_VALUE"""),"can a plumber fix plumbing maintenance")</f>
        <v>can a plumber fix plumbing maintenance</v>
      </c>
      <c r="S20" s="4"/>
      <c r="T20" s="4" t="str">
        <f>IFERROR(__xludf.DUMMYFUNCTION("""COMPUTED_VALUE"""),"24 hour plumber near me")</f>
        <v>24 hour plumber near me</v>
      </c>
      <c r="U20" s="4"/>
      <c r="V20" s="4"/>
      <c r="W20" s="4"/>
      <c r="X20" s="4"/>
      <c r="Y20" s="4"/>
      <c r="Z20" s="4"/>
    </row>
    <row r="21" ht="15.75" customHeight="1">
      <c r="A21" s="4" t="str">
        <f>IFERROR(__xludf.DUMMYFUNCTION("""COMPUTED_VALUE"""),"aircon repairs Sea Point")</f>
        <v>aircon repairs Sea Point</v>
      </c>
      <c r="B21" s="4" t="str">
        <f>IFERROR(__xludf.DUMMYFUNCTION("""COMPUTED_VALUE"""),"Bellville refrigeration services")</f>
        <v>Bellville refrigeration services</v>
      </c>
      <c r="C21" s="4" t="str">
        <f>IFERROR(__xludf.DUMMYFUNCTION("""COMPUTED_VALUE"""),"commercial plumber same day")</f>
        <v>commercial plumber same day</v>
      </c>
      <c r="D21" s="4" t="str">
        <f>IFERROR(__xludf.DUMMYFUNCTION("""COMPUTED_VALUE"""),"affordable residential plumber")</f>
        <v>affordable residential plumber</v>
      </c>
      <c r="E21" s="28" t="str">
        <f>IFERROR(__xludf.DUMMYFUNCTION("""COMPUTED_VALUE"""),"24 hour plumber weekend")</f>
        <v>24 hour plumber weekend</v>
      </c>
      <c r="F21" s="4" t="str">
        <f>IFERROR(__xludf.DUMMYFUNCTION("""COMPUTED_VALUE"""),"call out kitchen plumbing repair")</f>
        <v>call out kitchen plumbing repair</v>
      </c>
      <c r="G21" s="4" t="str">
        <f>IFERROR(__xludf.DUMMYFUNCTION("""COMPUTED_VALUE"""),"blocked drain specialist")</f>
        <v>blocked drain specialist</v>
      </c>
      <c r="H21" s="4" t="str">
        <f>IFERROR(__xludf.DUMMYFUNCTION("""COMPUTED_VALUE"""),"best water leak detection")</f>
        <v>best water leak detection</v>
      </c>
      <c r="I21" s="4" t="str">
        <f>IFERROR(__xludf.DUMMYFUNCTION("""COMPUTED_VALUE"""),"commercial electrician service")</f>
        <v>commercial electrician service</v>
      </c>
      <c r="J21" s="4" t="str">
        <f>IFERROR(__xludf.DUMMYFUNCTION("""COMPUTED_VALUE"""),"call out residential electrician")</f>
        <v>call out residential electrician</v>
      </c>
      <c r="K21" s="4" t="str">
        <f>IFERROR(__xludf.DUMMYFUNCTION("""COMPUTED_VALUE"""),"air conditioning repair commercial")</f>
        <v>air conditioning repair commercial</v>
      </c>
      <c r="L21" s="4" t="str">
        <f>IFERROR(__xludf.DUMMYFUNCTION("""COMPUTED_VALUE"""),"best cold room repair")</f>
        <v>best cold room repair</v>
      </c>
      <c r="M21" s="4" t="str">
        <f>IFERROR(__xludf.DUMMYFUNCTION("""COMPUTED_VALUE"""),"air conditioning services townhouse")</f>
        <v>air conditioning services townhouse</v>
      </c>
      <c r="N21" s="4" t="str">
        <f>IFERROR(__xludf.DUMMYFUNCTION("""COMPUTED_VALUE"""),"body corporate refrigeration services")</f>
        <v>body corporate refrigeration services</v>
      </c>
      <c r="O21" s="4" t="str">
        <f>IFERROR(__xludf.DUMMYFUNCTION("""COMPUTED_VALUE"""),"absolute plumbing cape town same day")</f>
        <v>absolute plumbing cape town same day</v>
      </c>
      <c r="P21" s="4" t="str">
        <f>IFERROR(__xludf.DUMMYFUNCTION("""COMPUTED_VALUE"""),"affordable schmidhauser plumbing")</f>
        <v>affordable schmidhauser plumbing</v>
      </c>
      <c r="Q21" s="4" t="str">
        <f>IFERROR(__xludf.DUMMYFUNCTION("""COMPUTED_VALUE"""),"blocked drain can a plumber fix")</f>
        <v>blocked drain can a plumber fix</v>
      </c>
      <c r="R21" s="4" t="str">
        <f>IFERROR(__xludf.DUMMYFUNCTION("""COMPUTED_VALUE"""),"can a plumber fix refrigeration repair")</f>
        <v>can a plumber fix refrigeration repair</v>
      </c>
      <c r="S21" s="4"/>
      <c r="T21" s="4" t="str">
        <f>IFERROR(__xludf.DUMMYFUNCTION("""COMPUTED_VALUE"""),"24 hour plumber professional")</f>
        <v>24 hour plumber professional</v>
      </c>
      <c r="U21" s="4"/>
      <c r="V21" s="4"/>
      <c r="W21" s="4"/>
      <c r="X21" s="4"/>
      <c r="Y21" s="4"/>
      <c r="Z21" s="4"/>
    </row>
    <row r="22" ht="15.75" customHeight="1">
      <c r="A22" s="4" t="str">
        <f>IFERROR(__xludf.DUMMYFUNCTION("""COMPUTED_VALUE"""),"aircon repairs South Africa")</f>
        <v>aircon repairs South Africa</v>
      </c>
      <c r="B22" s="4" t="str">
        <f>IFERROR(__xludf.DUMMYFUNCTION("""COMPUTED_VALUE"""),"Camps Bay aircon repairs")</f>
        <v>Camps Bay aircon repairs</v>
      </c>
      <c r="C22" s="4" t="str">
        <f>IFERROR(__xludf.DUMMYFUNCTION("""COMPUTED_VALUE"""),"commercial plumber service")</f>
        <v>commercial plumber service</v>
      </c>
      <c r="D22" s="4" t="str">
        <f>IFERROR(__xludf.DUMMYFUNCTION("""COMPUTED_VALUE"""),"after hours commercial plumber")</f>
        <v>after hours commercial plumber</v>
      </c>
      <c r="E22" s="28" t="str">
        <f>IFERROR(__xludf.DUMMYFUNCTION("""COMPUTED_VALUE"""),"bathroom plumbing repair")</f>
        <v>bathroom plumbing repair</v>
      </c>
      <c r="F22" s="4" t="str">
        <f>IFERROR(__xludf.DUMMYFUNCTION("""COMPUTED_VALUE"""),"call out leaking pipe repair")</f>
        <v>call out leaking pipe repair</v>
      </c>
      <c r="G22" s="4" t="str">
        <f>IFERROR(__xludf.DUMMYFUNCTION("""COMPUTED_VALUE"""),"burst geyser affordable")</f>
        <v>burst geyser affordable</v>
      </c>
      <c r="H22" s="4" t="str">
        <f>IFERROR(__xludf.DUMMYFUNCTION("""COMPUTED_VALUE"""),"cape town blocked drain")</f>
        <v>cape town blocked drain</v>
      </c>
      <c r="I22" s="4" t="str">
        <f>IFERROR(__xludf.DUMMYFUNCTION("""COMPUTED_VALUE"""),"electrical compliance certificate affordable")</f>
        <v>electrical compliance certificate affordable</v>
      </c>
      <c r="J22" s="4" t="str">
        <f>IFERROR(__xludf.DUMMYFUNCTION("""COMPUTED_VALUE"""),"cape town commercial electrician")</f>
        <v>cape town commercial electrician</v>
      </c>
      <c r="K22" s="4" t="str">
        <f>IFERROR(__xludf.DUMMYFUNCTION("""COMPUTED_VALUE"""),"air conditioning repair company")</f>
        <v>air conditioning repair company</v>
      </c>
      <c r="L22" s="4" t="str">
        <f>IFERROR(__xludf.DUMMYFUNCTION("""COMPUTED_VALUE"""),"best commercial refrigeration")</f>
        <v>best commercial refrigeration</v>
      </c>
      <c r="M22" s="4" t="str">
        <f>IFERROR(__xludf.DUMMYFUNCTION("""COMPUTED_VALUE"""),"drain cleaning apartment")</f>
        <v>drain cleaning apartment</v>
      </c>
      <c r="N22" s="4" t="str">
        <f>IFERROR(__xludf.DUMMYFUNCTION("""COMPUTED_VALUE"""),"building air conditioning services")</f>
        <v>building air conditioning services</v>
      </c>
      <c r="O22" s="4" t="str">
        <f>IFERROR(__xludf.DUMMYFUNCTION("""COMPUTED_VALUE"""),"absolute plumbing cape town top rated")</f>
        <v>absolute plumbing cape town top rated</v>
      </c>
      <c r="P22" s="4" t="str">
        <f>IFERROR(__xludf.DUMMYFUNCTION("""COMPUTED_VALUE"""),"alternatives absolute plumbing cape town")</f>
        <v>alternatives absolute plumbing cape town</v>
      </c>
      <c r="Q22" s="4" t="str">
        <f>IFERROR(__xludf.DUMMYFUNCTION("""COMPUTED_VALUE"""),"blocked drain cost of")</f>
        <v>blocked drain cost of</v>
      </c>
      <c r="R22" s="4" t="str">
        <f>IFERROR(__xludf.DUMMYFUNCTION("""COMPUTED_VALUE"""),"cost of aircon service")</f>
        <v>cost of aircon service</v>
      </c>
      <c r="S22" s="4"/>
      <c r="T22" s="4" t="str">
        <f>IFERROR(__xludf.DUMMYFUNCTION("""COMPUTED_VALUE"""),"24 hour plumber quote")</f>
        <v>24 hour plumber quote</v>
      </c>
      <c r="U22" s="4"/>
      <c r="V22" s="4"/>
      <c r="W22" s="4"/>
      <c r="X22" s="4"/>
      <c r="Y22" s="4"/>
      <c r="Z22" s="4"/>
    </row>
    <row r="23" ht="15.75" customHeight="1">
      <c r="A23" s="4" t="str">
        <f>IFERROR(__xludf.DUMMYFUNCTION("""COMPUTED_VALUE"""),"aircon repairs Southern Suburbs")</f>
        <v>aircon repairs Southern Suburbs</v>
      </c>
      <c r="B23" s="4" t="str">
        <f>IFERROR(__xludf.DUMMYFUNCTION("""COMPUTED_VALUE"""),"Camps Bay blocked drain plumber")</f>
        <v>Camps Bay blocked drain plumber</v>
      </c>
      <c r="C23" s="4" t="str">
        <f>IFERROR(__xludf.DUMMYFUNCTION("""COMPUTED_VALUE"""),"commercial plumber top rated")</f>
        <v>commercial plumber top rated</v>
      </c>
      <c r="D23" s="4" t="str">
        <f>IFERROR(__xludf.DUMMYFUNCTION("""COMPUTED_VALUE"""),"after hours maintenance plumber")</f>
        <v>after hours maintenance plumber</v>
      </c>
      <c r="E23" s="28" t="str">
        <f>IFERROR(__xludf.DUMMYFUNCTION("""COMPUTED_VALUE"""),"bathroom plumbing repair after hours")</f>
        <v>bathroom plumbing repair after hours</v>
      </c>
      <c r="F23" s="4" t="str">
        <f>IFERROR(__xludf.DUMMYFUNCTION("""COMPUTED_VALUE"""),"call out leaking tap repair")</f>
        <v>call out leaking tap repair</v>
      </c>
      <c r="G23" s="4" t="str">
        <f>IFERROR(__xludf.DUMMYFUNCTION("""COMPUTED_VALUE"""),"burst geyser best")</f>
        <v>burst geyser best</v>
      </c>
      <c r="H23" s="4" t="str">
        <f>IFERROR(__xludf.DUMMYFUNCTION("""COMPUTED_VALUE"""),"cape town burst geyser")</f>
        <v>cape town burst geyser</v>
      </c>
      <c r="I23" s="4" t="str">
        <f>IFERROR(__xludf.DUMMYFUNCTION("""COMPUTED_VALUE"""),"electrical compliance certificate call out")</f>
        <v>electrical compliance certificate call out</v>
      </c>
      <c r="J23" s="4" t="str">
        <f>IFERROR(__xludf.DUMMYFUNCTION("""COMPUTED_VALUE"""),"cape town electrical compliance certificate")</f>
        <v>cape town electrical compliance certificate</v>
      </c>
      <c r="K23" s="4" t="str">
        <f>IFERROR(__xludf.DUMMYFUNCTION("""COMPUTED_VALUE"""),"air conditioning repair contractor")</f>
        <v>air conditioning repair contractor</v>
      </c>
      <c r="L23" s="4" t="str">
        <f>IFERROR(__xludf.DUMMYFUNCTION("""COMPUTED_VALUE"""),"best fridge repair")</f>
        <v>best fridge repair</v>
      </c>
      <c r="M23" s="4" t="str">
        <f>IFERROR(__xludf.DUMMYFUNCTION("""COMPUTED_VALUE"""),"drain cleaning body corporate")</f>
        <v>drain cleaning body corporate</v>
      </c>
      <c r="N23" s="4" t="str">
        <f>IFERROR(__xludf.DUMMYFUNCTION("""COMPUTED_VALUE"""),"building drain cleaning")</f>
        <v>building drain cleaning</v>
      </c>
      <c r="O23" s="4" t="str">
        <f>IFERROR(__xludf.DUMMYFUNCTION("""COMPUTED_VALUE"""),"absolute plumbing cape town trusted")</f>
        <v>absolute plumbing cape town trusted</v>
      </c>
      <c r="P23" s="4" t="str">
        <f>IFERROR(__xludf.DUMMYFUNCTION("""COMPUTED_VALUE"""),"alternatives aircon repair cape town")</f>
        <v>alternatives aircon repair cape town</v>
      </c>
      <c r="Q23" s="4" t="str">
        <f>IFERROR(__xludf.DUMMYFUNCTION("""COMPUTED_VALUE"""),"blocked drain do I need")</f>
        <v>blocked drain do I need</v>
      </c>
      <c r="R23" s="4" t="str">
        <f>IFERROR(__xludf.DUMMYFUNCTION("""COMPUTED_VALUE"""),"cost of blocked drain")</f>
        <v>cost of blocked drain</v>
      </c>
      <c r="S23" s="4"/>
      <c r="T23" s="4" t="str">
        <f>IFERROR(__xludf.DUMMYFUNCTION("""COMPUTED_VALUE"""),"24 hour plumber reliable")</f>
        <v>24 hour plumber reliable</v>
      </c>
      <c r="U23" s="4"/>
      <c r="V23" s="4"/>
      <c r="W23" s="4"/>
      <c r="X23" s="4"/>
      <c r="Y23" s="4"/>
      <c r="Z23" s="4"/>
    </row>
    <row r="24" ht="15.75" customHeight="1">
      <c r="A24" s="4" t="str">
        <f>IFERROR(__xludf.DUMMYFUNCTION("""COMPUTED_VALUE"""),"aircon repairs Table View")</f>
        <v>aircon repairs Table View</v>
      </c>
      <c r="B24" s="4" t="str">
        <f>IFERROR(__xludf.DUMMYFUNCTION("""COMPUTED_VALUE"""),"Camps Bay electrician")</f>
        <v>Camps Bay electrician</v>
      </c>
      <c r="C24" s="4" t="str">
        <f>IFERROR(__xludf.DUMMYFUNCTION("""COMPUTED_VALUE"""),"commercial plumber trusted")</f>
        <v>commercial plumber trusted</v>
      </c>
      <c r="D24" s="4" t="str">
        <f>IFERROR(__xludf.DUMMYFUNCTION("""COMPUTED_VALUE"""),"after hours plumber cape town")</f>
        <v>after hours plumber cape town</v>
      </c>
      <c r="E24" s="28" t="str">
        <f>IFERROR(__xludf.DUMMYFUNCTION("""COMPUTED_VALUE"""),"bathroom plumbing repair call out")</f>
        <v>bathroom plumbing repair call out</v>
      </c>
      <c r="F24" s="4" t="str">
        <f>IFERROR(__xludf.DUMMYFUNCTION("""COMPUTED_VALUE"""),"call out toilet repair")</f>
        <v>call out toilet repair</v>
      </c>
      <c r="G24" s="4" t="str">
        <f>IFERROR(__xludf.DUMMYFUNCTION("""COMPUTED_VALUE"""),"burst geyser cape town")</f>
        <v>burst geyser cape town</v>
      </c>
      <c r="H24" s="4" t="str">
        <f>IFERROR(__xludf.DUMMYFUNCTION("""COMPUTED_VALUE"""),"cape town drain cleaning")</f>
        <v>cape town drain cleaning</v>
      </c>
      <c r="I24" s="4" t="str">
        <f>IFERROR(__xludf.DUMMYFUNCTION("""COMPUTED_VALUE"""),"electrical compliance certificate cape town")</f>
        <v>electrical compliance certificate cape town</v>
      </c>
      <c r="J24" s="4" t="str">
        <f>IFERROR(__xludf.DUMMYFUNCTION("""COMPUTED_VALUE"""),"cape town electrical contractor")</f>
        <v>cape town electrical contractor</v>
      </c>
      <c r="K24" s="4" t="str">
        <f>IFERROR(__xludf.DUMMYFUNCTION("""COMPUTED_VALUE"""),"air conditioning repair cost")</f>
        <v>air conditioning repair cost</v>
      </c>
      <c r="L24" s="4" t="str">
        <f>IFERROR(__xludf.DUMMYFUNCTION("""COMPUTED_VALUE"""),"best HVAC services")</f>
        <v>best HVAC services</v>
      </c>
      <c r="M24" s="4" t="str">
        <f>IFERROR(__xludf.DUMMYFUNCTION("""COMPUTED_VALUE"""),"drain cleaning building")</f>
        <v>drain cleaning building</v>
      </c>
      <c r="N24" s="4" t="str">
        <f>IFERROR(__xludf.DUMMYFUNCTION("""COMPUTED_VALUE"""),"building electrical repairs")</f>
        <v>building electrical repairs</v>
      </c>
      <c r="O24" s="4" t="str">
        <f>IFERROR(__xludf.DUMMYFUNCTION("""COMPUTED_VALUE"""),"absolute plumbing cape town vs")</f>
        <v>absolute plumbing cape town vs</v>
      </c>
      <c r="P24" s="4" t="str">
        <f>IFERROR(__xludf.DUMMYFUNCTION("""COMPUTED_VALUE"""),"alternatives bosman plumbers")</f>
        <v>alternatives bosman plumbers</v>
      </c>
      <c r="Q24" s="4" t="str">
        <f>IFERROR(__xludf.DUMMYFUNCTION("""COMPUTED_VALUE"""),"blocked drain emergency help for")</f>
        <v>blocked drain emergency help for</v>
      </c>
      <c r="R24" s="4" t="str">
        <f>IFERROR(__xludf.DUMMYFUNCTION("""COMPUTED_VALUE"""),"cost of burst pipe")</f>
        <v>cost of burst pipe</v>
      </c>
      <c r="S24" s="4"/>
      <c r="T24" s="4" t="str">
        <f>IFERROR(__xludf.DUMMYFUNCTION("""COMPUTED_VALUE"""),"24 hour plumber repair")</f>
        <v>24 hour plumber repair</v>
      </c>
      <c r="U24" s="4"/>
      <c r="V24" s="4"/>
      <c r="W24" s="4"/>
      <c r="X24" s="4"/>
      <c r="Y24" s="4"/>
      <c r="Z24" s="4"/>
    </row>
    <row r="25" ht="15.75" customHeight="1">
      <c r="A25" s="4" t="str">
        <f>IFERROR(__xludf.DUMMYFUNCTION("""COMPUTED_VALUE"""),"aircon repairs Tokai")</f>
        <v>aircon repairs Tokai</v>
      </c>
      <c r="B25" s="4" t="str">
        <f>IFERROR(__xludf.DUMMYFUNCTION("""COMPUTED_VALUE"""),"Camps Bay emergency plumber")</f>
        <v>Camps Bay emergency plumber</v>
      </c>
      <c r="C25" s="4" t="str">
        <f>IFERROR(__xludf.DUMMYFUNCTION("""COMPUTED_VALUE"""),"maintenance plumber")</f>
        <v>maintenance plumber</v>
      </c>
      <c r="D25" s="4" t="str">
        <f>IFERROR(__xludf.DUMMYFUNCTION("""COMPUTED_VALUE"""),"after hours plumbing company")</f>
        <v>after hours plumbing company</v>
      </c>
      <c r="E25" s="28" t="str">
        <f>IFERROR(__xludf.DUMMYFUNCTION("""COMPUTED_VALUE"""),"bathroom plumbing repair cape town")</f>
        <v>bathroom plumbing repair cape town</v>
      </c>
      <c r="F25" s="4" t="str">
        <f>IFERROR(__xludf.DUMMYFUNCTION("""COMPUTED_VALUE"""),"call out water leak repair")</f>
        <v>call out water leak repair</v>
      </c>
      <c r="G25" s="4" t="str">
        <f>IFERROR(__xludf.DUMMYFUNCTION("""COMPUTED_VALUE"""),"burst geyser CCTV")</f>
        <v>burst geyser CCTV</v>
      </c>
      <c r="H25" s="4" t="str">
        <f>IFERROR(__xludf.DUMMYFUNCTION("""COMPUTED_VALUE"""),"cape town drain inspection")</f>
        <v>cape town drain inspection</v>
      </c>
      <c r="I25" s="4" t="str">
        <f>IFERROR(__xludf.DUMMYFUNCTION("""COMPUTED_VALUE"""),"electrical compliance certificate COC")</f>
        <v>electrical compliance certificate COC</v>
      </c>
      <c r="J25" s="4" t="str">
        <f>IFERROR(__xludf.DUMMYFUNCTION("""COMPUTED_VALUE"""),"cape town electrical installation")</f>
        <v>cape town electrical installation</v>
      </c>
      <c r="K25" s="4" t="str">
        <f>IFERROR(__xludf.DUMMYFUNCTION("""COMPUTED_VALUE"""),"air conditioning repair emergency")</f>
        <v>air conditioning repair emergency</v>
      </c>
      <c r="L25" s="4" t="str">
        <f>IFERROR(__xludf.DUMMYFUNCTION("""COMPUTED_VALUE"""),"best refrigeration repair")</f>
        <v>best refrigeration repair</v>
      </c>
      <c r="M25" s="4" t="str">
        <f>IFERROR(__xludf.DUMMYFUNCTION("""COMPUTED_VALUE"""),"drain cleaning business")</f>
        <v>drain cleaning business</v>
      </c>
      <c r="N25" s="4" t="str">
        <f>IFERROR(__xludf.DUMMYFUNCTION("""COMPUTED_VALUE"""),"building emergency plumbing")</f>
        <v>building emergency plumbing</v>
      </c>
      <c r="O25" s="4" t="str">
        <f>IFERROR(__xludf.DUMMYFUNCTION("""COMPUTED_VALUE"""),"aircon repair cape town 24 hour")</f>
        <v>aircon repair cape town 24 hour</v>
      </c>
      <c r="P25" s="4" t="str">
        <f>IFERROR(__xludf.DUMMYFUNCTION("""COMPUTED_VALUE"""),"alternatives drain surgeon cape town")</f>
        <v>alternatives drain surgeon cape town</v>
      </c>
      <c r="Q25" s="4" t="str">
        <f>IFERROR(__xludf.DUMMYFUNCTION("""COMPUTED_VALUE"""),"blocked drain how long does")</f>
        <v>blocked drain how long does</v>
      </c>
      <c r="R25" s="4" t="str">
        <f>IFERROR(__xludf.DUMMYFUNCTION("""COMPUTED_VALUE"""),"cost of electrical COC")</f>
        <v>cost of electrical COC</v>
      </c>
      <c r="S25" s="4"/>
      <c r="T25" s="4" t="str">
        <f>IFERROR(__xludf.DUMMYFUNCTION("""COMPUTED_VALUE"""),"24 hour plumber residential")</f>
        <v>24 hour plumber residential</v>
      </c>
      <c r="U25" s="4"/>
      <c r="V25" s="4"/>
      <c r="W25" s="4"/>
      <c r="X25" s="4"/>
      <c r="Y25" s="4"/>
      <c r="Z25" s="4"/>
    </row>
    <row r="26" ht="15.75" customHeight="1">
      <c r="A26" s="4" t="str">
        <f>IFERROR(__xludf.DUMMYFUNCTION("""COMPUTED_VALUE"""),"aircon repairs Woodstock")</f>
        <v>aircon repairs Woodstock</v>
      </c>
      <c r="B26" s="4" t="str">
        <f>IFERROR(__xludf.DUMMYFUNCTION("""COMPUTED_VALUE"""),"Camps Bay geyser repair")</f>
        <v>Camps Bay geyser repair</v>
      </c>
      <c r="C26" s="4" t="str">
        <f>IFERROR(__xludf.DUMMYFUNCTION("""COMPUTED_VALUE"""),"maintenance plumber 24 hour")</f>
        <v>maintenance plumber 24 hour</v>
      </c>
      <c r="D26" s="4" t="str">
        <f>IFERROR(__xludf.DUMMYFUNCTION("""COMPUTED_VALUE"""),"after hours plumbing contractors")</f>
        <v>after hours plumbing contractors</v>
      </c>
      <c r="E26" s="28" t="str">
        <f>IFERROR(__xludf.DUMMYFUNCTION("""COMPUTED_VALUE"""),"bathroom plumbing repair commercial")</f>
        <v>bathroom plumbing repair commercial</v>
      </c>
      <c r="F26" s="4" t="str">
        <f>IFERROR(__xludf.DUMMYFUNCTION("""COMPUTED_VALUE"""),"cape town 24 hour plumber")</f>
        <v>cape town 24 hour plumber</v>
      </c>
      <c r="G26" s="4" t="str">
        <f>IFERROR(__xludf.DUMMYFUNCTION("""COMPUTED_VALUE"""),"burst geyser commercial")</f>
        <v>burst geyser commercial</v>
      </c>
      <c r="H26" s="4" t="str">
        <f>IFERROR(__xludf.DUMMYFUNCTION("""COMPUTED_VALUE"""),"cape town drain unblocking")</f>
        <v>cape town drain unblocking</v>
      </c>
      <c r="I26" s="4" t="str">
        <f>IFERROR(__xludf.DUMMYFUNCTION("""COMPUTED_VALUE"""),"electrical compliance certificate company")</f>
        <v>electrical compliance certificate company</v>
      </c>
      <c r="J26" s="4" t="str">
        <f>IFERROR(__xludf.DUMMYFUNCTION("""COMPUTED_VALUE"""),"cape town electrical maintenance")</f>
        <v>cape town electrical maintenance</v>
      </c>
      <c r="K26" s="4" t="str">
        <f>IFERROR(__xludf.DUMMYFUNCTION("""COMPUTED_VALUE"""),"air conditioning repair installation")</f>
        <v>air conditioning repair installation</v>
      </c>
      <c r="L26" s="4" t="str">
        <f>IFERROR(__xludf.DUMMYFUNCTION("""COMPUTED_VALUE"""),"cape town air conditioning")</f>
        <v>cape town air conditioning</v>
      </c>
      <c r="M26" s="4" t="str">
        <f>IFERROR(__xludf.DUMMYFUNCTION("""COMPUTED_VALUE"""),"drain cleaning commercial property")</f>
        <v>drain cleaning commercial property</v>
      </c>
      <c r="N26" s="4" t="str">
        <f>IFERROR(__xludf.DUMMYFUNCTION("""COMPUTED_VALUE"""),"building geyser repairs")</f>
        <v>building geyser repairs</v>
      </c>
      <c r="O26" s="4" t="str">
        <f>IFERROR(__xludf.DUMMYFUNCTION("""COMPUTED_VALUE"""),"aircon repair cape town affordable")</f>
        <v>aircon repair cape town affordable</v>
      </c>
      <c r="P26" s="4" t="str">
        <f>IFERROR(__xludf.DUMMYFUNCTION("""COMPUTED_VALUE"""),"alternatives electrician cape town")</f>
        <v>alternatives electrician cape town</v>
      </c>
      <c r="Q26" s="4" t="str">
        <f>IFERROR(__xludf.DUMMYFUNCTION("""COMPUTED_VALUE"""),"blocked drain how much does")</f>
        <v>blocked drain how much does</v>
      </c>
      <c r="R26" s="4" t="str">
        <f>IFERROR(__xludf.DUMMYFUNCTION("""COMPUTED_VALUE"""),"cost of emergency plumber")</f>
        <v>cost of emergency plumber</v>
      </c>
      <c r="S26" s="4"/>
      <c r="T26" s="4" t="str">
        <f>IFERROR(__xludf.DUMMYFUNCTION("""COMPUTED_VALUE"""),"24 hour plumber same day")</f>
        <v>24 hour plumber same day</v>
      </c>
      <c r="U26" s="4"/>
      <c r="V26" s="4"/>
      <c r="W26" s="4"/>
      <c r="X26" s="4"/>
      <c r="Y26" s="4"/>
      <c r="Z26" s="4"/>
    </row>
    <row r="27" ht="15.75" customHeight="1">
      <c r="A27" s="4" t="str">
        <f>IFERROR(__xludf.DUMMYFUNCTION("""COMPUTED_VALUE"""),"aircon repairs Wynberg")</f>
        <v>aircon repairs Wynberg</v>
      </c>
      <c r="B27" s="4" t="str">
        <f>IFERROR(__xludf.DUMMYFUNCTION("""COMPUTED_VALUE"""),"Camps Bay leak detection plumber")</f>
        <v>Camps Bay leak detection plumber</v>
      </c>
      <c r="C27" s="4" t="str">
        <f>IFERROR(__xludf.DUMMYFUNCTION("""COMPUTED_VALUE"""),"maintenance plumber affordable")</f>
        <v>maintenance plumber affordable</v>
      </c>
      <c r="D27" s="4" t="str">
        <f>IFERROR(__xludf.DUMMYFUNCTION("""COMPUTED_VALUE"""),"after hours plumbing inspection")</f>
        <v>after hours plumbing inspection</v>
      </c>
      <c r="E27" s="28" t="str">
        <f>IFERROR(__xludf.DUMMYFUNCTION("""COMPUTED_VALUE"""),"bathroom plumbing repair company")</f>
        <v>bathroom plumbing repair company</v>
      </c>
      <c r="F27" s="4" t="str">
        <f>IFERROR(__xludf.DUMMYFUNCTION("""COMPUTED_VALUE"""),"cape town bathroom plumbing repair")</f>
        <v>cape town bathroom plumbing repair</v>
      </c>
      <c r="G27" s="4" t="str">
        <f>IFERROR(__xludf.DUMMYFUNCTION("""COMPUTED_VALUE"""),"burst geyser cost")</f>
        <v>burst geyser cost</v>
      </c>
      <c r="H27" s="4" t="str">
        <f>IFERROR(__xludf.DUMMYFUNCTION("""COMPUTED_VALUE"""),"cape town geyser repair")</f>
        <v>cape town geyser repair</v>
      </c>
      <c r="I27" s="4" t="str">
        <f>IFERROR(__xludf.DUMMYFUNCTION("""COMPUTED_VALUE"""),"electrical compliance certificate contractor")</f>
        <v>electrical compliance certificate contractor</v>
      </c>
      <c r="J27" s="4" t="str">
        <f>IFERROR(__xludf.DUMMYFUNCTION("""COMPUTED_VALUE"""),"cape town electrical repairs")</f>
        <v>cape town electrical repairs</v>
      </c>
      <c r="K27" s="4" t="str">
        <f>IFERROR(__xludf.DUMMYFUNCTION("""COMPUTED_VALUE"""),"air conditioning repair local")</f>
        <v>air conditioning repair local</v>
      </c>
      <c r="L27" s="4" t="str">
        <f>IFERROR(__xludf.DUMMYFUNCTION("""COMPUTED_VALUE"""),"cape town air conditioning repair")</f>
        <v>cape town air conditioning repair</v>
      </c>
      <c r="M27" s="4" t="str">
        <f>IFERROR(__xludf.DUMMYFUNCTION("""COMPUTED_VALUE"""),"drain cleaning estate agent")</f>
        <v>drain cleaning estate agent</v>
      </c>
      <c r="N27" s="4" t="str">
        <f>IFERROR(__xludf.DUMMYFUNCTION("""COMPUTED_VALUE"""),"building leak detection")</f>
        <v>building leak detection</v>
      </c>
      <c r="O27" s="4" t="str">
        <f>IFERROR(__xludf.DUMMYFUNCTION("""COMPUTED_VALUE"""),"aircon repair cape town alternatives")</f>
        <v>aircon repair cape town alternatives</v>
      </c>
      <c r="P27" s="4" t="str">
        <f>IFERROR(__xludf.DUMMYFUNCTION("""COMPUTED_VALUE"""),"alternatives emergency plumber cape town")</f>
        <v>alternatives emergency plumber cape town</v>
      </c>
      <c r="Q27" s="4" t="str">
        <f>IFERROR(__xludf.DUMMYFUNCTION("""COMPUTED_VALUE"""),"blocked drain how to choose")</f>
        <v>blocked drain how to choose</v>
      </c>
      <c r="R27" s="4" t="str">
        <f>IFERROR(__xludf.DUMMYFUNCTION("""COMPUTED_VALUE"""),"cost of geyser repair")</f>
        <v>cost of geyser repair</v>
      </c>
      <c r="S27" s="4"/>
      <c r="T27" s="4" t="str">
        <f>IFERROR(__xludf.DUMMYFUNCTION("""COMPUTED_VALUE"""),"24 hour plumber service")</f>
        <v>24 hour plumber service</v>
      </c>
      <c r="U27" s="4"/>
      <c r="V27" s="4"/>
      <c r="W27" s="4"/>
      <c r="X27" s="4"/>
      <c r="Y27" s="4"/>
      <c r="Z27" s="4"/>
    </row>
    <row r="28" ht="15.75" customHeight="1">
      <c r="A28" s="4" t="str">
        <f>IFERROR(__xludf.DUMMYFUNCTION("""COMPUTED_VALUE"""),"blocked drain plumber Atlantic Seaboard")</f>
        <v>blocked drain plumber Atlantic Seaboard</v>
      </c>
      <c r="B28" s="4" t="str">
        <f>IFERROR(__xludf.DUMMYFUNCTION("""COMPUTED_VALUE"""),"Camps Bay plumber")</f>
        <v>Camps Bay plumber</v>
      </c>
      <c r="C28" s="4" t="str">
        <f>IFERROR(__xludf.DUMMYFUNCTION("""COMPUTED_VALUE"""),"maintenance plumber after hours")</f>
        <v>maintenance plumber after hours</v>
      </c>
      <c r="D28" s="4" t="str">
        <f>IFERROR(__xludf.DUMMYFUNCTION("""COMPUTED_VALUE"""),"after hours plumbing installation")</f>
        <v>after hours plumbing installation</v>
      </c>
      <c r="E28" s="28" t="str">
        <f>IFERROR(__xludf.DUMMYFUNCTION("""COMPUTED_VALUE"""),"bathroom plumbing repair cost")</f>
        <v>bathroom plumbing repair cost</v>
      </c>
      <c r="F28" s="4" t="str">
        <f>IFERROR(__xludf.DUMMYFUNCTION("""COMPUTED_VALUE"""),"cape town blocked toilet plumber")</f>
        <v>cape town blocked toilet plumber</v>
      </c>
      <c r="G28" s="4" t="str">
        <f>IFERROR(__xludf.DUMMYFUNCTION("""COMPUTED_VALUE"""),"burst geyser emergency")</f>
        <v>burst geyser emergency</v>
      </c>
      <c r="H28" s="4" t="str">
        <f>IFERROR(__xludf.DUMMYFUNCTION("""COMPUTED_VALUE"""),"cape town geyser replacement")</f>
        <v>cape town geyser replacement</v>
      </c>
      <c r="I28" s="4" t="str">
        <f>IFERROR(__xludf.DUMMYFUNCTION("""COMPUTED_VALUE"""),"electrical compliance certificate cost")</f>
        <v>electrical compliance certificate cost</v>
      </c>
      <c r="J28" s="4" t="str">
        <f>IFERROR(__xludf.DUMMYFUNCTION("""COMPUTED_VALUE"""),"cape town electrical services")</f>
        <v>cape town electrical services</v>
      </c>
      <c r="K28" s="4" t="str">
        <f>IFERROR(__xludf.DUMMYFUNCTION("""COMPUTED_VALUE"""),"air conditioning repair maintenance")</f>
        <v>air conditioning repair maintenance</v>
      </c>
      <c r="L28" s="4" t="str">
        <f>IFERROR(__xludf.DUMMYFUNCTION("""COMPUTED_VALUE"""),"cape town aircon installation")</f>
        <v>cape town aircon installation</v>
      </c>
      <c r="M28" s="4" t="str">
        <f>IFERROR(__xludf.DUMMYFUNCTION("""COMPUTED_VALUE"""),"drain cleaning flat")</f>
        <v>drain cleaning flat</v>
      </c>
      <c r="N28" s="4" t="str">
        <f>IFERROR(__xludf.DUMMYFUNCTION("""COMPUTED_VALUE"""),"building maintenance plumber")</f>
        <v>building maintenance plumber</v>
      </c>
      <c r="O28" s="4" t="str">
        <f>IFERROR(__xludf.DUMMYFUNCTION("""COMPUTED_VALUE"""),"aircon repair cape town best")</f>
        <v>aircon repair cape town best</v>
      </c>
      <c r="P28" s="4" t="str">
        <f>IFERROR(__xludf.DUMMYFUNCTION("""COMPUTED_VALUE"""),"alternatives plumber near me")</f>
        <v>alternatives plumber near me</v>
      </c>
      <c r="Q28" s="4" t="str">
        <f>IFERROR(__xludf.DUMMYFUNCTION("""COMPUTED_VALUE"""),"blocked drain how to prevent")</f>
        <v>blocked drain how to prevent</v>
      </c>
      <c r="R28" s="4" t="str">
        <f>IFERROR(__xludf.DUMMYFUNCTION("""COMPUTED_VALUE"""),"cost of leak detection")</f>
        <v>cost of leak detection</v>
      </c>
      <c r="S28" s="4"/>
      <c r="T28" s="4" t="str">
        <f>IFERROR(__xludf.DUMMYFUNCTION("""COMPUTED_VALUE"""),"24 hour plumber urgent")</f>
        <v>24 hour plumber urgent</v>
      </c>
      <c r="U28" s="4"/>
      <c r="V28" s="4"/>
      <c r="W28" s="4"/>
      <c r="X28" s="4"/>
      <c r="Y28" s="4"/>
      <c r="Z28" s="4"/>
    </row>
    <row r="29" ht="15.75" customHeight="1">
      <c r="A29" s="4" t="str">
        <f>IFERROR(__xludf.DUMMYFUNCTION("""COMPUTED_VALUE"""),"blocked drain plumber Bellville")</f>
        <v>blocked drain plumber Bellville</v>
      </c>
      <c r="B29" s="4" t="str">
        <f>IFERROR(__xludf.DUMMYFUNCTION("""COMPUTED_VALUE"""),"Camps Bay plumbers")</f>
        <v>Camps Bay plumbers</v>
      </c>
      <c r="C29" s="4" t="str">
        <f>IFERROR(__xludf.DUMMYFUNCTION("""COMPUTED_VALUE"""),"maintenance plumber best")</f>
        <v>maintenance plumber best</v>
      </c>
      <c r="D29" s="4" t="str">
        <f>IFERROR(__xludf.DUMMYFUNCTION("""COMPUTED_VALUE"""),"after hours plumbing repairs")</f>
        <v>after hours plumbing repairs</v>
      </c>
      <c r="E29" s="28" t="str">
        <f>IFERROR(__xludf.DUMMYFUNCTION("""COMPUTED_VALUE"""),"bathroom plumbing repair emergency")</f>
        <v>bathroom plumbing repair emergency</v>
      </c>
      <c r="F29" s="4" t="str">
        <f>IFERROR(__xludf.DUMMYFUNCTION("""COMPUTED_VALUE"""),"cape town burst pipe repair")</f>
        <v>cape town burst pipe repair</v>
      </c>
      <c r="G29" s="4" t="str">
        <f>IFERROR(__xludf.DUMMYFUNCTION("""COMPUTED_VALUE"""),"burst geyser high pressure jetting")</f>
        <v>burst geyser high pressure jetting</v>
      </c>
      <c r="H29" s="4" t="str">
        <f>IFERROR(__xludf.DUMMYFUNCTION("""COMPUTED_VALUE"""),"cape town leak detection")</f>
        <v>cape town leak detection</v>
      </c>
      <c r="I29" s="4" t="str">
        <f>IFERROR(__xludf.DUMMYFUNCTION("""COMPUTED_VALUE"""),"electrical compliance certificate emergency")</f>
        <v>electrical compliance certificate emergency</v>
      </c>
      <c r="J29" s="4" t="str">
        <f>IFERROR(__xludf.DUMMYFUNCTION("""COMPUTED_VALUE"""),"cape town emergency electrician")</f>
        <v>cape town emergency electrician</v>
      </c>
      <c r="K29" s="4" t="str">
        <f>IFERROR(__xludf.DUMMYFUNCTION("""COMPUTED_VALUE"""),"air conditioning repair near me")</f>
        <v>air conditioning repair near me</v>
      </c>
      <c r="L29" s="4" t="str">
        <f>IFERROR(__xludf.DUMMYFUNCTION("""COMPUTED_VALUE"""),"cape town aircon repair")</f>
        <v>cape town aircon repair</v>
      </c>
      <c r="M29" s="4" t="str">
        <f>IFERROR(__xludf.DUMMYFUNCTION("""COMPUTED_VALUE"""),"drain cleaning guesthouse")</f>
        <v>drain cleaning guesthouse</v>
      </c>
      <c r="N29" s="4" t="str">
        <f>IFERROR(__xludf.DUMMYFUNCTION("""COMPUTED_VALUE"""),"building plumbing company")</f>
        <v>building plumbing company</v>
      </c>
      <c r="O29" s="4" t="str">
        <f>IFERROR(__xludf.DUMMYFUNCTION("""COMPUTED_VALUE"""),"aircon repair cape town certified")</f>
        <v>aircon repair cape town certified</v>
      </c>
      <c r="P29" s="4" t="str">
        <f>IFERROR(__xludf.DUMMYFUNCTION("""COMPUTED_VALUE"""),"alternatives plumbers cape town")</f>
        <v>alternatives plumbers cape town</v>
      </c>
      <c r="Q29" s="4" t="str">
        <f>IFERROR(__xludf.DUMMYFUNCTION("""COMPUTED_VALUE"""),"blocked drain is it safe to")</f>
        <v>blocked drain is it safe to</v>
      </c>
      <c r="R29" s="4" t="str">
        <f>IFERROR(__xludf.DUMMYFUNCTION("""COMPUTED_VALUE"""),"cost of plumber cost")</f>
        <v>cost of plumber cost</v>
      </c>
      <c r="S29" s="4"/>
      <c r="T29" s="4" t="str">
        <f>IFERROR(__xludf.DUMMYFUNCTION("""COMPUTED_VALUE"""),"24 hour plumber weekend")</f>
        <v>24 hour plumber weekend</v>
      </c>
      <c r="U29" s="4"/>
      <c r="V29" s="4"/>
      <c r="W29" s="4"/>
      <c r="X29" s="4"/>
      <c r="Y29" s="4"/>
      <c r="Z29" s="4"/>
    </row>
    <row r="30" ht="15.75" customHeight="1">
      <c r="A30" s="4" t="str">
        <f>IFERROR(__xludf.DUMMYFUNCTION("""COMPUTED_VALUE"""),"blocked drain plumber Camps Bay")</f>
        <v>blocked drain plumber Camps Bay</v>
      </c>
      <c r="B30" s="4" t="str">
        <f>IFERROR(__xludf.DUMMYFUNCTION("""COMPUTED_VALUE"""),"Camps Bay plumbing company")</f>
        <v>Camps Bay plumbing company</v>
      </c>
      <c r="C30" s="4" t="str">
        <f>IFERROR(__xludf.DUMMYFUNCTION("""COMPUTED_VALUE"""),"maintenance plumber call out")</f>
        <v>maintenance plumber call out</v>
      </c>
      <c r="D30" s="4" t="str">
        <f>IFERROR(__xludf.DUMMYFUNCTION("""COMPUTED_VALUE"""),"after hours plumbing services")</f>
        <v>after hours plumbing services</v>
      </c>
      <c r="E30" s="28" t="str">
        <f>IFERROR(__xludf.DUMMYFUNCTION("""COMPUTED_VALUE"""),"bathroom plumbing repair fast")</f>
        <v>bathroom plumbing repair fast</v>
      </c>
      <c r="F30" s="4" t="str">
        <f>IFERROR(__xludf.DUMMYFUNCTION("""COMPUTED_VALUE"""),"cape town emergency plumber")</f>
        <v>cape town emergency plumber</v>
      </c>
      <c r="G30" s="4" t="str">
        <f>IFERROR(__xludf.DUMMYFUNCTION("""COMPUTED_VALUE"""),"burst geyser installation")</f>
        <v>burst geyser installation</v>
      </c>
      <c r="H30" s="4" t="str">
        <f>IFERROR(__xludf.DUMMYFUNCTION("""COMPUTED_VALUE"""),"cape town pipe repair")</f>
        <v>cape town pipe repair</v>
      </c>
      <c r="I30" s="4" t="str">
        <f>IFERROR(__xludf.DUMMYFUNCTION("""COMPUTED_VALUE"""),"electrical compliance certificate inspection")</f>
        <v>electrical compliance certificate inspection</v>
      </c>
      <c r="J30" s="4" t="str">
        <f>IFERROR(__xludf.DUMMYFUNCTION("""COMPUTED_VALUE"""),"cape town residential electrician")</f>
        <v>cape town residential electrician</v>
      </c>
      <c r="K30" s="4" t="str">
        <f>IFERROR(__xludf.DUMMYFUNCTION("""COMPUTED_VALUE"""),"air conditioning repair professional")</f>
        <v>air conditioning repair professional</v>
      </c>
      <c r="L30" s="4" t="str">
        <f>IFERROR(__xludf.DUMMYFUNCTION("""COMPUTED_VALUE"""),"cape town aircon service")</f>
        <v>cape town aircon service</v>
      </c>
      <c r="M30" s="4" t="str">
        <f>IFERROR(__xludf.DUMMYFUNCTION("""COMPUTED_VALUE"""),"drain cleaning home")</f>
        <v>drain cleaning home</v>
      </c>
      <c r="N30" s="4" t="str">
        <f>IFERROR(__xludf.DUMMYFUNCTION("""COMPUTED_VALUE"""),"building plumbing services")</f>
        <v>building plumbing services</v>
      </c>
      <c r="O30" s="4" t="str">
        <f>IFERROR(__xludf.DUMMYFUNCTION("""COMPUTED_VALUE"""),"aircon repair cape town compare")</f>
        <v>aircon repair cape town compare</v>
      </c>
      <c r="P30" s="4" t="str">
        <f>IFERROR(__xludf.DUMMYFUNCTION("""COMPUTED_VALUE"""),"alternatives plumbing company cape town")</f>
        <v>alternatives plumbing company cape town</v>
      </c>
      <c r="Q30" s="4" t="str">
        <f>IFERROR(__xludf.DUMMYFUNCTION("""COMPUTED_VALUE"""),"blocked drain near me for")</f>
        <v>blocked drain near me for</v>
      </c>
      <c r="R30" s="4" t="str">
        <f>IFERROR(__xludf.DUMMYFUNCTION("""COMPUTED_VALUE"""),"cost of plumbing maintenance")</f>
        <v>cost of plumbing maintenance</v>
      </c>
      <c r="S30" s="4"/>
      <c r="T30" s="4" t="str">
        <f>IFERROR(__xludf.DUMMYFUNCTION("""COMPUTED_VALUE"""),"24 hour plumbers cape town")</f>
        <v>24 hour plumbers cape town</v>
      </c>
      <c r="U30" s="4"/>
      <c r="V30" s="4"/>
      <c r="W30" s="4"/>
      <c r="X30" s="4"/>
      <c r="Y30" s="4"/>
      <c r="Z30" s="4"/>
    </row>
    <row r="31" ht="15.75" customHeight="1">
      <c r="A31" s="4" t="str">
        <f>IFERROR(__xludf.DUMMYFUNCTION("""COMPUTED_VALUE"""),"blocked drain plumber Cape Town")</f>
        <v>blocked drain plumber Cape Town</v>
      </c>
      <c r="B31" s="4" t="str">
        <f>IFERROR(__xludf.DUMMYFUNCTION("""COMPUTED_VALUE"""),"Camps Bay refrigeration services")</f>
        <v>Camps Bay refrigeration services</v>
      </c>
      <c r="C31" s="4" t="str">
        <f>IFERROR(__xludf.DUMMYFUNCTION("""COMPUTED_VALUE"""),"maintenance plumber company")</f>
        <v>maintenance plumber company</v>
      </c>
      <c r="D31" s="4" t="str">
        <f>IFERROR(__xludf.DUMMYFUNCTION("""COMPUTED_VALUE"""),"after hours residential plumber")</f>
        <v>after hours residential plumber</v>
      </c>
      <c r="E31" s="28" t="str">
        <f>IFERROR(__xludf.DUMMYFUNCTION("""COMPUTED_VALUE"""),"bathroom plumbing repair local")</f>
        <v>bathroom plumbing repair local</v>
      </c>
      <c r="F31" s="4" t="str">
        <f>IFERROR(__xludf.DUMMYFUNCTION("""COMPUTED_VALUE"""),"cape town kitchen plumbing repair")</f>
        <v>cape town kitchen plumbing repair</v>
      </c>
      <c r="G31" s="4" t="str">
        <f>IFERROR(__xludf.DUMMYFUNCTION("""COMPUTED_VALUE"""),"burst geyser near me")</f>
        <v>burst geyser near me</v>
      </c>
      <c r="H31" s="4" t="str">
        <f>IFERROR(__xludf.DUMMYFUNCTION("""COMPUTED_VALUE"""),"cape town water leak detection")</f>
        <v>cape town water leak detection</v>
      </c>
      <c r="I31" s="4" t="str">
        <f>IFERROR(__xludf.DUMMYFUNCTION("""COMPUTED_VALUE"""),"electrical compliance certificate installation")</f>
        <v>electrical compliance certificate installation</v>
      </c>
      <c r="J31" s="4" t="str">
        <f>IFERROR(__xludf.DUMMYFUNCTION("""COMPUTED_VALUE"""),"COC commercial electrician")</f>
        <v>COC commercial electrician</v>
      </c>
      <c r="K31" s="4" t="str">
        <f>IFERROR(__xludf.DUMMYFUNCTION("""COMPUTED_VALUE"""),"air conditioning repair quote")</f>
        <v>air conditioning repair quote</v>
      </c>
      <c r="L31" s="4" t="str">
        <f>IFERROR(__xludf.DUMMYFUNCTION("""COMPUTED_VALUE"""),"cape town cold room repair")</f>
        <v>cape town cold room repair</v>
      </c>
      <c r="M31" s="4" t="str">
        <f>IFERROR(__xludf.DUMMYFUNCTION("""COMPUTED_VALUE"""),"drain cleaning hotel")</f>
        <v>drain cleaning hotel</v>
      </c>
      <c r="N31" s="4" t="str">
        <f>IFERROR(__xludf.DUMMYFUNCTION("""COMPUTED_VALUE"""),"building refrigeration services")</f>
        <v>building refrigeration services</v>
      </c>
      <c r="O31" s="4" t="str">
        <f>IFERROR(__xludf.DUMMYFUNCTION("""COMPUTED_VALUE"""),"aircon repair cape town complaints")</f>
        <v>aircon repair cape town complaints</v>
      </c>
      <c r="P31" s="4" t="str">
        <f>IFERROR(__xludf.DUMMYFUNCTION("""COMPUTED_VALUE"""),"alternatives schmidhauser plumbing")</f>
        <v>alternatives schmidhauser plumbing</v>
      </c>
      <c r="Q31" s="4" t="str">
        <f>IFERROR(__xludf.DUMMYFUNCTION("""COMPUTED_VALUE"""),"blocked drain same day help for")</f>
        <v>blocked drain same day help for</v>
      </c>
      <c r="R31" s="4" t="str">
        <f>IFERROR(__xludf.DUMMYFUNCTION("""COMPUTED_VALUE"""),"cost of refrigeration repair")</f>
        <v>cost of refrigeration repair</v>
      </c>
      <c r="S31" s="4"/>
      <c r="T31" s="4" t="str">
        <f>IFERROR(__xludf.DUMMYFUNCTION("""COMPUTED_VALUE"""),"24 hour plumbing company")</f>
        <v>24 hour plumbing company</v>
      </c>
      <c r="U31" s="4"/>
      <c r="V31" s="4"/>
      <c r="W31" s="4"/>
      <c r="X31" s="4"/>
      <c r="Y31" s="4"/>
      <c r="Z31" s="4"/>
    </row>
    <row r="32" ht="15.75" customHeight="1">
      <c r="A32" s="4" t="str">
        <f>IFERROR(__xludf.DUMMYFUNCTION("""COMPUTED_VALUE"""),"blocked drain plumber Cape Town CBD")</f>
        <v>blocked drain plumber Cape Town CBD</v>
      </c>
      <c r="B32" s="4" t="str">
        <f>IFERROR(__xludf.DUMMYFUNCTION("""COMPUTED_VALUE"""),"Cape Town aircon repairs")</f>
        <v>Cape Town aircon repairs</v>
      </c>
      <c r="C32" s="4" t="str">
        <f>IFERROR(__xludf.DUMMYFUNCTION("""COMPUTED_VALUE"""),"maintenance plumber contractor")</f>
        <v>maintenance plumber contractor</v>
      </c>
      <c r="D32" s="4" t="str">
        <f>IFERROR(__xludf.DUMMYFUNCTION("""COMPUTED_VALUE"""),"best commercial plumber")</f>
        <v>best commercial plumber</v>
      </c>
      <c r="E32" s="28" t="str">
        <f>IFERROR(__xludf.DUMMYFUNCTION("""COMPUTED_VALUE"""),"bathroom plumbing repair near me")</f>
        <v>bathroom plumbing repair near me</v>
      </c>
      <c r="F32" s="4" t="str">
        <f>IFERROR(__xludf.DUMMYFUNCTION("""COMPUTED_VALUE"""),"cape town leaking pipe repair")</f>
        <v>cape town leaking pipe repair</v>
      </c>
      <c r="G32" s="4" t="str">
        <f>IFERROR(__xludf.DUMMYFUNCTION("""COMPUTED_VALUE"""),"burst geyser plumber")</f>
        <v>burst geyser plumber</v>
      </c>
      <c r="H32" s="4" t="str">
        <f>IFERROR(__xludf.DUMMYFUNCTION("""COMPUTED_VALUE"""),"CCTV blocked drain")</f>
        <v>CCTV blocked drain</v>
      </c>
      <c r="I32" s="4" t="str">
        <f>IFERROR(__xludf.DUMMYFUNCTION("""COMPUTED_VALUE"""),"electrical compliance certificate licensed")</f>
        <v>electrical compliance certificate licensed</v>
      </c>
      <c r="J32" s="4" t="str">
        <f>IFERROR(__xludf.DUMMYFUNCTION("""COMPUTED_VALUE"""),"COC electrical compliance certificate")</f>
        <v>COC electrical compliance certificate</v>
      </c>
      <c r="K32" s="4" t="str">
        <f>IFERROR(__xludf.DUMMYFUNCTION("""COMPUTED_VALUE"""),"air conditioning repair reliable")</f>
        <v>air conditioning repair reliable</v>
      </c>
      <c r="L32" s="4" t="str">
        <f>IFERROR(__xludf.DUMMYFUNCTION("""COMPUTED_VALUE"""),"cape town commercial refrigeration")</f>
        <v>cape town commercial refrigeration</v>
      </c>
      <c r="M32" s="4" t="str">
        <f>IFERROR(__xludf.DUMMYFUNCTION("""COMPUTED_VALUE"""),"drain cleaning house")</f>
        <v>drain cleaning house</v>
      </c>
      <c r="N32" s="4" t="str">
        <f>IFERROR(__xludf.DUMMYFUNCTION("""COMPUTED_VALUE"""),"business air conditioning services")</f>
        <v>business air conditioning services</v>
      </c>
      <c r="O32" s="4" t="str">
        <f>IFERROR(__xludf.DUMMYFUNCTION("""COMPUTED_VALUE"""),"aircon repair cape town cost")</f>
        <v>aircon repair cape town cost</v>
      </c>
      <c r="P32" s="4" t="str">
        <f>IFERROR(__xludf.DUMMYFUNCTION("""COMPUTED_VALUE"""),"best absolute plumbing cape town")</f>
        <v>best absolute plumbing cape town</v>
      </c>
      <c r="Q32" s="4" t="str">
        <f>IFERROR(__xludf.DUMMYFUNCTION("""COMPUTED_VALUE"""),"blocked drain signs you need")</f>
        <v>blocked drain signs you need</v>
      </c>
      <c r="R32" s="4" t="str">
        <f>IFERROR(__xludf.DUMMYFUNCTION("""COMPUTED_VALUE"""),"do I need aircon service")</f>
        <v>do I need aircon service</v>
      </c>
      <c r="S32" s="4"/>
      <c r="T32" s="4" t="str">
        <f>IFERROR(__xludf.DUMMYFUNCTION("""COMPUTED_VALUE"""),"24 hour plumbing company cape town")</f>
        <v>24 hour plumbing company cape town</v>
      </c>
      <c r="U32" s="4"/>
      <c r="V32" s="4"/>
      <c r="W32" s="4"/>
      <c r="X32" s="4"/>
      <c r="Y32" s="4"/>
      <c r="Z32" s="4"/>
    </row>
    <row r="33" ht="15.75" customHeight="1">
      <c r="A33" s="4" t="str">
        <f>IFERROR(__xludf.DUMMYFUNCTION("""COMPUTED_VALUE"""),"blocked drain plumber Claremont")</f>
        <v>blocked drain plumber Claremont</v>
      </c>
      <c r="B33" s="4" t="str">
        <f>IFERROR(__xludf.DUMMYFUNCTION("""COMPUTED_VALUE"""),"Cape Town blocked drain plumber")</f>
        <v>Cape Town blocked drain plumber</v>
      </c>
      <c r="C33" s="4" t="str">
        <f>IFERROR(__xludf.DUMMYFUNCTION("""COMPUTED_VALUE"""),"maintenance plumber cost")</f>
        <v>maintenance plumber cost</v>
      </c>
      <c r="D33" s="4" t="str">
        <f>IFERROR(__xludf.DUMMYFUNCTION("""COMPUTED_VALUE"""),"best maintenance plumber")</f>
        <v>best maintenance plumber</v>
      </c>
      <c r="E33" s="28" t="str">
        <f>IFERROR(__xludf.DUMMYFUNCTION("""COMPUTED_VALUE"""),"bathroom plumbing repair plumber")</f>
        <v>bathroom plumbing repair plumber</v>
      </c>
      <c r="F33" s="4" t="str">
        <f>IFERROR(__xludf.DUMMYFUNCTION("""COMPUTED_VALUE"""),"cape town leaking tap repair")</f>
        <v>cape town leaking tap repair</v>
      </c>
      <c r="G33" s="4" t="str">
        <f>IFERROR(__xludf.DUMMYFUNCTION("""COMPUTED_VALUE"""),"burst geyser plumbing company")</f>
        <v>burst geyser plumbing company</v>
      </c>
      <c r="H33" s="4" t="str">
        <f>IFERROR(__xludf.DUMMYFUNCTION("""COMPUTED_VALUE"""),"CCTV burst geyser")</f>
        <v>CCTV burst geyser</v>
      </c>
      <c r="I33" s="4" t="str">
        <f>IFERROR(__xludf.DUMMYFUNCTION("""COMPUTED_VALUE"""),"electrical compliance certificate local")</f>
        <v>electrical compliance certificate local</v>
      </c>
      <c r="J33" s="4" t="str">
        <f>IFERROR(__xludf.DUMMYFUNCTION("""COMPUTED_VALUE"""),"COC electrical contractor")</f>
        <v>COC electrical contractor</v>
      </c>
      <c r="K33" s="4" t="str">
        <f>IFERROR(__xludf.DUMMYFUNCTION("""COMPUTED_VALUE"""),"air conditioning repair residential")</f>
        <v>air conditioning repair residential</v>
      </c>
      <c r="L33" s="4" t="str">
        <f>IFERROR(__xludf.DUMMYFUNCTION("""COMPUTED_VALUE"""),"cape town fridge repair")</f>
        <v>cape town fridge repair</v>
      </c>
      <c r="M33" s="4" t="str">
        <f>IFERROR(__xludf.DUMMYFUNCTION("""COMPUTED_VALUE"""),"drain cleaning landlord")</f>
        <v>drain cleaning landlord</v>
      </c>
      <c r="N33" s="4" t="str">
        <f>IFERROR(__xludf.DUMMYFUNCTION("""COMPUTED_VALUE"""),"business drain cleaning")</f>
        <v>business drain cleaning</v>
      </c>
      <c r="O33" s="4" t="str">
        <f>IFERROR(__xludf.DUMMYFUNCTION("""COMPUTED_VALUE"""),"aircon repair cape town insured")</f>
        <v>aircon repair cape town insured</v>
      </c>
      <c r="P33" s="4" t="str">
        <f>IFERROR(__xludf.DUMMYFUNCTION("""COMPUTED_VALUE"""),"best aircon repair cape town")</f>
        <v>best aircon repair cape town</v>
      </c>
      <c r="Q33" s="4" t="str">
        <f>IFERROR(__xludf.DUMMYFUNCTION("""COMPUTED_VALUE"""),"blocked drain what causes")</f>
        <v>blocked drain what causes</v>
      </c>
      <c r="R33" s="4" t="str">
        <f>IFERROR(__xludf.DUMMYFUNCTION("""COMPUTED_VALUE"""),"do I need blocked drain")</f>
        <v>do I need blocked drain</v>
      </c>
      <c r="S33" s="4"/>
      <c r="T33" s="4" t="str">
        <f>IFERROR(__xludf.DUMMYFUNCTION("""COMPUTED_VALUE"""),"24 hour plumbing contractors")</f>
        <v>24 hour plumbing contractors</v>
      </c>
      <c r="U33" s="4"/>
      <c r="V33" s="4"/>
      <c r="W33" s="4"/>
      <c r="X33" s="4"/>
      <c r="Y33" s="4"/>
      <c r="Z33" s="4"/>
    </row>
    <row r="34" ht="15.75" customHeight="1">
      <c r="A34" s="4" t="str">
        <f>IFERROR(__xludf.DUMMYFUNCTION("""COMPUTED_VALUE"""),"blocked drain plumber Constantia")</f>
        <v>blocked drain plumber Constantia</v>
      </c>
      <c r="B34" s="4" t="str">
        <f>IFERROR(__xludf.DUMMYFUNCTION("""COMPUTED_VALUE"""),"Cape Town CBD aircon repairs")</f>
        <v>Cape Town CBD aircon repairs</v>
      </c>
      <c r="C34" s="4" t="str">
        <f>IFERROR(__xludf.DUMMYFUNCTION("""COMPUTED_VALUE"""),"maintenance plumber emergency")</f>
        <v>maintenance plumber emergency</v>
      </c>
      <c r="D34" s="4" t="str">
        <f>IFERROR(__xludf.DUMMYFUNCTION("""COMPUTED_VALUE"""),"best plumber cape town")</f>
        <v>best plumber cape town</v>
      </c>
      <c r="E34" s="28" t="str">
        <f>IFERROR(__xludf.DUMMYFUNCTION("""COMPUTED_VALUE"""),"bathroom plumbing repair professional")</f>
        <v>bathroom plumbing repair professional</v>
      </c>
      <c r="F34" s="4" t="str">
        <f>IFERROR(__xludf.DUMMYFUNCTION("""COMPUTED_VALUE"""),"cape town toilet repair")</f>
        <v>cape town toilet repair</v>
      </c>
      <c r="G34" s="4" t="str">
        <f>IFERROR(__xludf.DUMMYFUNCTION("""COMPUTED_VALUE"""),"burst geyser quote")</f>
        <v>burst geyser quote</v>
      </c>
      <c r="H34" s="4" t="str">
        <f>IFERROR(__xludf.DUMMYFUNCTION("""COMPUTED_VALUE"""),"CCTV drain cleaning")</f>
        <v>CCTV drain cleaning</v>
      </c>
      <c r="I34" s="4" t="str">
        <f>IFERROR(__xludf.DUMMYFUNCTION("""COMPUTED_VALUE"""),"electrical compliance certificate near me")</f>
        <v>electrical compliance certificate near me</v>
      </c>
      <c r="J34" s="4" t="str">
        <f>IFERROR(__xludf.DUMMYFUNCTION("""COMPUTED_VALUE"""),"COC electrical installation")</f>
        <v>COC electrical installation</v>
      </c>
      <c r="K34" s="4" t="str">
        <f>IFERROR(__xludf.DUMMYFUNCTION("""COMPUTED_VALUE"""),"air conditioning repair same day")</f>
        <v>air conditioning repair same day</v>
      </c>
      <c r="L34" s="4" t="str">
        <f>IFERROR(__xludf.DUMMYFUNCTION("""COMPUTED_VALUE"""),"cape town HVAC services")</f>
        <v>cape town HVAC services</v>
      </c>
      <c r="M34" s="4" t="str">
        <f>IFERROR(__xludf.DUMMYFUNCTION("""COMPUTED_VALUE"""),"drain cleaning office")</f>
        <v>drain cleaning office</v>
      </c>
      <c r="N34" s="4" t="str">
        <f>IFERROR(__xludf.DUMMYFUNCTION("""COMPUTED_VALUE"""),"business electrical repairs")</f>
        <v>business electrical repairs</v>
      </c>
      <c r="O34" s="4" t="str">
        <f>IFERROR(__xludf.DUMMYFUNCTION("""COMPUTED_VALUE"""),"aircon repair cape town licensed")</f>
        <v>aircon repair cape town licensed</v>
      </c>
      <c r="P34" s="4" t="str">
        <f>IFERROR(__xludf.DUMMYFUNCTION("""COMPUTED_VALUE"""),"best bosman plumbers")</f>
        <v>best bosman plumbers</v>
      </c>
      <c r="Q34" s="4" t="str">
        <f>IFERROR(__xludf.DUMMYFUNCTION("""COMPUTED_VALUE"""),"blocked drain what is")</f>
        <v>blocked drain what is</v>
      </c>
      <c r="R34" s="4" t="str">
        <f>IFERROR(__xludf.DUMMYFUNCTION("""COMPUTED_VALUE"""),"do I need burst pipe")</f>
        <v>do I need burst pipe</v>
      </c>
      <c r="S34" s="4"/>
      <c r="T34" s="4" t="str">
        <f>IFERROR(__xludf.DUMMYFUNCTION("""COMPUTED_VALUE"""),"24 hour plumbing inspection")</f>
        <v>24 hour plumbing inspection</v>
      </c>
      <c r="U34" s="4"/>
      <c r="V34" s="4"/>
      <c r="W34" s="4"/>
      <c r="X34" s="4"/>
      <c r="Y34" s="4"/>
      <c r="Z34" s="4"/>
    </row>
    <row r="35" ht="15.75" customHeight="1">
      <c r="A35" s="4" t="str">
        <f>IFERROR(__xludf.DUMMYFUNCTION("""COMPUTED_VALUE"""),"blocked drain plumber Durbanville")</f>
        <v>blocked drain plumber Durbanville</v>
      </c>
      <c r="B35" s="4" t="str">
        <f>IFERROR(__xludf.DUMMYFUNCTION("""COMPUTED_VALUE"""),"Cape Town CBD blocked drain plumber")</f>
        <v>Cape Town CBD blocked drain plumber</v>
      </c>
      <c r="C35" s="4" t="str">
        <f>IFERROR(__xludf.DUMMYFUNCTION("""COMPUTED_VALUE"""),"maintenance plumber installation")</f>
        <v>maintenance plumber installation</v>
      </c>
      <c r="D35" s="4" t="str">
        <f>IFERROR(__xludf.DUMMYFUNCTION("""COMPUTED_VALUE"""),"best plumbing company")</f>
        <v>best plumbing company</v>
      </c>
      <c r="E35" s="28" t="str">
        <f>IFERROR(__xludf.DUMMYFUNCTION("""COMPUTED_VALUE"""),"bathroom plumbing repair quote")</f>
        <v>bathroom plumbing repair quote</v>
      </c>
      <c r="F35" s="4" t="str">
        <f>IFERROR(__xludf.DUMMYFUNCTION("""COMPUTED_VALUE"""),"cape town water leak repair")</f>
        <v>cape town water leak repair</v>
      </c>
      <c r="G35" s="4" t="str">
        <f>IFERROR(__xludf.DUMMYFUNCTION("""COMPUTED_VALUE"""),"burst geyser reliable")</f>
        <v>burst geyser reliable</v>
      </c>
      <c r="H35" s="4" t="str">
        <f>IFERROR(__xludf.DUMMYFUNCTION("""COMPUTED_VALUE"""),"CCTV drain inspection")</f>
        <v>CCTV drain inspection</v>
      </c>
      <c r="I35" s="4" t="str">
        <f>IFERROR(__xludf.DUMMYFUNCTION("""COMPUTED_VALUE"""),"electrical compliance certificate professional")</f>
        <v>electrical compliance certificate professional</v>
      </c>
      <c r="J35" s="4" t="str">
        <f>IFERROR(__xludf.DUMMYFUNCTION("""COMPUTED_VALUE"""),"COC electrical maintenance")</f>
        <v>COC electrical maintenance</v>
      </c>
      <c r="K35" s="4" t="str">
        <f>IFERROR(__xludf.DUMMYFUNCTION("""COMPUTED_VALUE"""),"air conditioning repair service")</f>
        <v>air conditioning repair service</v>
      </c>
      <c r="L35" s="4" t="str">
        <f>IFERROR(__xludf.DUMMYFUNCTION("""COMPUTED_VALUE"""),"cape town refrigeration repair")</f>
        <v>cape town refrigeration repair</v>
      </c>
      <c r="M35" s="4" t="str">
        <f>IFERROR(__xludf.DUMMYFUNCTION("""COMPUTED_VALUE"""),"drain cleaning property manager")</f>
        <v>drain cleaning property manager</v>
      </c>
      <c r="N35" s="4" t="str">
        <f>IFERROR(__xludf.DUMMYFUNCTION("""COMPUTED_VALUE"""),"business emergency plumbing")</f>
        <v>business emergency plumbing</v>
      </c>
      <c r="O35" s="4" t="str">
        <f>IFERROR(__xludf.DUMMYFUNCTION("""COMPUTED_VALUE"""),"aircon repair cape town local")</f>
        <v>aircon repair cape town local</v>
      </c>
      <c r="P35" s="4" t="str">
        <f>IFERROR(__xludf.DUMMYFUNCTION("""COMPUTED_VALUE"""),"best drain surgeon cape town")</f>
        <v>best drain surgeon cape town</v>
      </c>
      <c r="Q35" s="4" t="str">
        <f>IFERROR(__xludf.DUMMYFUNCTION("""COMPUTED_VALUE"""),"blocked drain when to call a")</f>
        <v>blocked drain when to call a</v>
      </c>
      <c r="R35" s="4" t="str">
        <f>IFERROR(__xludf.DUMMYFUNCTION("""COMPUTED_VALUE"""),"do I need electrical COC")</f>
        <v>do I need electrical COC</v>
      </c>
      <c r="S35" s="4"/>
      <c r="T35" s="4" t="str">
        <f>IFERROR(__xludf.DUMMYFUNCTION("""COMPUTED_VALUE"""),"24 hour plumbing installation")</f>
        <v>24 hour plumbing installation</v>
      </c>
      <c r="U35" s="4"/>
      <c r="V35" s="4"/>
      <c r="W35" s="4"/>
      <c r="X35" s="4"/>
      <c r="Y35" s="4"/>
      <c r="Z35" s="4"/>
    </row>
    <row r="36" ht="15.75" customHeight="1">
      <c r="A36" s="4" t="str">
        <f>IFERROR(__xludf.DUMMYFUNCTION("""COMPUTED_VALUE"""),"blocked drain plumber Fish Hoek")</f>
        <v>blocked drain plumber Fish Hoek</v>
      </c>
      <c r="B36" s="4" t="str">
        <f>IFERROR(__xludf.DUMMYFUNCTION("""COMPUTED_VALUE"""),"Cape Town CBD electrician")</f>
        <v>Cape Town CBD electrician</v>
      </c>
      <c r="C36" s="4" t="str">
        <f>IFERROR(__xludf.DUMMYFUNCTION("""COMPUTED_VALUE"""),"maintenance plumber licensed")</f>
        <v>maintenance plumber licensed</v>
      </c>
      <c r="D36" s="4" t="str">
        <f>IFERROR(__xludf.DUMMYFUNCTION("""COMPUTED_VALUE"""),"best plumbing contractors")</f>
        <v>best plumbing contractors</v>
      </c>
      <c r="E36" s="28" t="str">
        <f>IFERROR(__xludf.DUMMYFUNCTION("""COMPUTED_VALUE"""),"bathroom plumbing repair reliable")</f>
        <v>bathroom plumbing repair reliable</v>
      </c>
      <c r="F36" s="4" t="str">
        <f>IFERROR(__xludf.DUMMYFUNCTION("""COMPUTED_VALUE"""),"commercial 24 hour plumber")</f>
        <v>commercial 24 hour plumber</v>
      </c>
      <c r="G36" s="4" t="str">
        <f>IFERROR(__xludf.DUMMYFUNCTION("""COMPUTED_VALUE"""),"burst geyser repair")</f>
        <v>burst geyser repair</v>
      </c>
      <c r="H36" s="4" t="str">
        <f>IFERROR(__xludf.DUMMYFUNCTION("""COMPUTED_VALUE"""),"CCTV drain unblocking")</f>
        <v>CCTV drain unblocking</v>
      </c>
      <c r="I36" s="4" t="str">
        <f>IFERROR(__xludf.DUMMYFUNCTION("""COMPUTED_VALUE"""),"electrical compliance certificate qualified")</f>
        <v>electrical compliance certificate qualified</v>
      </c>
      <c r="J36" s="4" t="str">
        <f>IFERROR(__xludf.DUMMYFUNCTION("""COMPUTED_VALUE"""),"COC electrical repairs")</f>
        <v>COC electrical repairs</v>
      </c>
      <c r="K36" s="4" t="str">
        <f>IFERROR(__xludf.DUMMYFUNCTION("""COMPUTED_VALUE"""),"air conditioning repair technician")</f>
        <v>air conditioning repair technician</v>
      </c>
      <c r="L36" s="4" t="str">
        <f>IFERROR(__xludf.DUMMYFUNCTION("""COMPUTED_VALUE"""),"cold room repair")</f>
        <v>cold room repair</v>
      </c>
      <c r="M36" s="4" t="str">
        <f>IFERROR(__xludf.DUMMYFUNCTION("""COMPUTED_VALUE"""),"drain cleaning residential property")</f>
        <v>drain cleaning residential property</v>
      </c>
      <c r="N36" s="4" t="str">
        <f>IFERROR(__xludf.DUMMYFUNCTION("""COMPUTED_VALUE"""),"business geyser repairs")</f>
        <v>business geyser repairs</v>
      </c>
      <c r="O36" s="4" t="str">
        <f>IFERROR(__xludf.DUMMYFUNCTION("""COMPUTED_VALUE"""),"aircon repair cape town near me")</f>
        <v>aircon repair cape town near me</v>
      </c>
      <c r="P36" s="4" t="str">
        <f>IFERROR(__xludf.DUMMYFUNCTION("""COMPUTED_VALUE"""),"best electrician cape town")</f>
        <v>best electrician cape town</v>
      </c>
      <c r="Q36" s="4" t="str">
        <f>IFERROR(__xludf.DUMMYFUNCTION("""COMPUTED_VALUE"""),"blocked drain who fixes")</f>
        <v>blocked drain who fixes</v>
      </c>
      <c r="R36" s="4" t="str">
        <f>IFERROR(__xludf.DUMMYFUNCTION("""COMPUTED_VALUE"""),"do I need emergency plumber")</f>
        <v>do I need emergency plumber</v>
      </c>
      <c r="S36" s="4"/>
      <c r="T36" s="4" t="str">
        <f>IFERROR(__xludf.DUMMYFUNCTION("""COMPUTED_VALUE"""),"24 hour plumbing repairs")</f>
        <v>24 hour plumbing repairs</v>
      </c>
      <c r="U36" s="4"/>
      <c r="V36" s="4"/>
      <c r="W36" s="4"/>
      <c r="X36" s="4"/>
      <c r="Y36" s="4"/>
      <c r="Z36" s="4"/>
    </row>
    <row r="37" ht="15.75" customHeight="1">
      <c r="A37" s="4" t="str">
        <f>IFERROR(__xludf.DUMMYFUNCTION("""COMPUTED_VALUE"""),"blocked drain plumber Green Point")</f>
        <v>blocked drain plumber Green Point</v>
      </c>
      <c r="B37" s="4" t="str">
        <f>IFERROR(__xludf.DUMMYFUNCTION("""COMPUTED_VALUE"""),"Cape Town CBD emergency plumber")</f>
        <v>Cape Town CBD emergency plumber</v>
      </c>
      <c r="C37" s="4" t="str">
        <f>IFERROR(__xludf.DUMMYFUNCTION("""COMPUTED_VALUE"""),"maintenance plumber local")</f>
        <v>maintenance plumber local</v>
      </c>
      <c r="D37" s="4" t="str">
        <f>IFERROR(__xludf.DUMMYFUNCTION("""COMPUTED_VALUE"""),"best plumbing inspection")</f>
        <v>best plumbing inspection</v>
      </c>
      <c r="E37" s="28" t="str">
        <f>IFERROR(__xludf.DUMMYFUNCTION("""COMPUTED_VALUE"""),"bathroom plumbing repair residential")</f>
        <v>bathroom plumbing repair residential</v>
      </c>
      <c r="F37" s="4" t="str">
        <f>IFERROR(__xludf.DUMMYFUNCTION("""COMPUTED_VALUE"""),"commercial bathroom plumbing repair")</f>
        <v>commercial bathroom plumbing repair</v>
      </c>
      <c r="G37" s="4" t="str">
        <f>IFERROR(__xludf.DUMMYFUNCTION("""COMPUTED_VALUE"""),"burst geyser replacement")</f>
        <v>burst geyser replacement</v>
      </c>
      <c r="H37" s="4" t="str">
        <f>IFERROR(__xludf.DUMMYFUNCTION("""COMPUTED_VALUE"""),"CCTV geyser repair")</f>
        <v>CCTV geyser repair</v>
      </c>
      <c r="I37" s="4" t="str">
        <f>IFERROR(__xludf.DUMMYFUNCTION("""COMPUTED_VALUE"""),"electrical compliance certificate quote")</f>
        <v>electrical compliance certificate quote</v>
      </c>
      <c r="J37" s="4" t="str">
        <f>IFERROR(__xludf.DUMMYFUNCTION("""COMPUTED_VALUE"""),"COC electrical services")</f>
        <v>COC electrical services</v>
      </c>
      <c r="K37" s="4" t="str">
        <f>IFERROR(__xludf.DUMMYFUNCTION("""COMPUTED_VALUE"""),"air conditioning residential")</f>
        <v>air conditioning residential</v>
      </c>
      <c r="L37" s="4" t="str">
        <f>IFERROR(__xludf.DUMMYFUNCTION("""COMPUTED_VALUE"""),"commercial air conditioning")</f>
        <v>commercial air conditioning</v>
      </c>
      <c r="M37" s="4" t="str">
        <f>IFERROR(__xludf.DUMMYFUNCTION("""COMPUTED_VALUE"""),"drain cleaning restaurant")</f>
        <v>drain cleaning restaurant</v>
      </c>
      <c r="N37" s="4" t="str">
        <f>IFERROR(__xludf.DUMMYFUNCTION("""COMPUTED_VALUE"""),"business leak detection")</f>
        <v>business leak detection</v>
      </c>
      <c r="O37" s="4" t="str">
        <f>IFERROR(__xludf.DUMMYFUNCTION("""COMPUTED_VALUE"""),"aircon repair cape town prices")</f>
        <v>aircon repair cape town prices</v>
      </c>
      <c r="P37" s="4" t="str">
        <f>IFERROR(__xludf.DUMMYFUNCTION("""COMPUTED_VALUE"""),"best emergency plumber cape town")</f>
        <v>best emergency plumber cape town</v>
      </c>
      <c r="Q37" s="4" t="str">
        <f>IFERROR(__xludf.DUMMYFUNCTION("""COMPUTED_VALUE"""),"blocked drain why is my")</f>
        <v>blocked drain why is my</v>
      </c>
      <c r="R37" s="4" t="str">
        <f>IFERROR(__xludf.DUMMYFUNCTION("""COMPUTED_VALUE"""),"do I need geyser repair")</f>
        <v>do I need geyser repair</v>
      </c>
      <c r="S37" s="4"/>
      <c r="T37" s="4" t="str">
        <f>IFERROR(__xludf.DUMMYFUNCTION("""COMPUTED_VALUE"""),"24 hour plumbing services")</f>
        <v>24 hour plumbing services</v>
      </c>
      <c r="U37" s="4"/>
      <c r="V37" s="4"/>
      <c r="W37" s="4"/>
      <c r="X37" s="4"/>
      <c r="Y37" s="4"/>
      <c r="Z37" s="4"/>
    </row>
    <row r="38" ht="15.75" customHeight="1">
      <c r="A38" s="4" t="str">
        <f>IFERROR(__xludf.DUMMYFUNCTION("""COMPUTED_VALUE"""),"blocked drain plumber Hout Bay")</f>
        <v>blocked drain plumber Hout Bay</v>
      </c>
      <c r="B38" s="4" t="str">
        <f>IFERROR(__xludf.DUMMYFUNCTION("""COMPUTED_VALUE"""),"Cape Town CBD geyser repair")</f>
        <v>Cape Town CBD geyser repair</v>
      </c>
      <c r="C38" s="4" t="str">
        <f>IFERROR(__xludf.DUMMYFUNCTION("""COMPUTED_VALUE"""),"maintenance plumber near me")</f>
        <v>maintenance plumber near me</v>
      </c>
      <c r="D38" s="4" t="str">
        <f>IFERROR(__xludf.DUMMYFUNCTION("""COMPUTED_VALUE"""),"best plumbing installation")</f>
        <v>best plumbing installation</v>
      </c>
      <c r="E38" s="28" t="str">
        <f>IFERROR(__xludf.DUMMYFUNCTION("""COMPUTED_VALUE"""),"bathroom plumbing repair same day")</f>
        <v>bathroom plumbing repair same day</v>
      </c>
      <c r="F38" s="4" t="str">
        <f>IFERROR(__xludf.DUMMYFUNCTION("""COMPUTED_VALUE"""),"commercial blocked toilet plumber")</f>
        <v>commercial blocked toilet plumber</v>
      </c>
      <c r="G38" s="4" t="str">
        <f>IFERROR(__xludf.DUMMYFUNCTION("""COMPUTED_VALUE"""),"burst geyser residential")</f>
        <v>burst geyser residential</v>
      </c>
      <c r="H38" s="4" t="str">
        <f>IFERROR(__xludf.DUMMYFUNCTION("""COMPUTED_VALUE"""),"CCTV geyser replacement")</f>
        <v>CCTV geyser replacement</v>
      </c>
      <c r="I38" s="4" t="str">
        <f>IFERROR(__xludf.DUMMYFUNCTION("""COMPUTED_VALUE"""),"electrical compliance certificate reliable")</f>
        <v>electrical compliance certificate reliable</v>
      </c>
      <c r="J38" s="4" t="str">
        <f>IFERROR(__xludf.DUMMYFUNCTION("""COMPUTED_VALUE"""),"COC electrician cape town")</f>
        <v>COC electrician cape town</v>
      </c>
      <c r="K38" s="4" t="str">
        <f>IFERROR(__xludf.DUMMYFUNCTION("""COMPUTED_VALUE"""),"air conditioning same day")</f>
        <v>air conditioning same day</v>
      </c>
      <c r="L38" s="4" t="str">
        <f>IFERROR(__xludf.DUMMYFUNCTION("""COMPUTED_VALUE"""),"commercial air conditioning repair")</f>
        <v>commercial air conditioning repair</v>
      </c>
      <c r="M38" s="4" t="str">
        <f>IFERROR(__xludf.DUMMYFUNCTION("""COMPUTED_VALUE"""),"drain cleaning school")</f>
        <v>drain cleaning school</v>
      </c>
      <c r="N38" s="4" t="str">
        <f>IFERROR(__xludf.DUMMYFUNCTION("""COMPUTED_VALUE"""),"business maintenance plumber")</f>
        <v>business maintenance plumber</v>
      </c>
      <c r="O38" s="4" t="str">
        <f>IFERROR(__xludf.DUMMYFUNCTION("""COMPUTED_VALUE"""),"aircon repair cape town qualified")</f>
        <v>aircon repair cape town qualified</v>
      </c>
      <c r="P38" s="4" t="str">
        <f>IFERROR(__xludf.DUMMYFUNCTION("""COMPUTED_VALUE"""),"best plumber near me")</f>
        <v>best plumber near me</v>
      </c>
      <c r="Q38" s="4" t="str">
        <f>IFERROR(__xludf.DUMMYFUNCTION("""COMPUTED_VALUE"""),"burst pipe best way to fix")</f>
        <v>burst pipe best way to fix</v>
      </c>
      <c r="R38" s="4" t="str">
        <f>IFERROR(__xludf.DUMMYFUNCTION("""COMPUTED_VALUE"""),"do I need leak detection")</f>
        <v>do I need leak detection</v>
      </c>
      <c r="S38" s="4"/>
      <c r="T38" s="4" t="str">
        <f>IFERROR(__xludf.DUMMYFUNCTION("""COMPUTED_VALUE"""),"24 hour residential plumber")</f>
        <v>24 hour residential plumber</v>
      </c>
      <c r="U38" s="4"/>
      <c r="V38" s="4"/>
      <c r="W38" s="4"/>
      <c r="X38" s="4"/>
      <c r="Y38" s="4"/>
      <c r="Z38" s="4"/>
    </row>
    <row r="39" ht="15.75" customHeight="1">
      <c r="A39" s="4" t="str">
        <f>IFERROR(__xludf.DUMMYFUNCTION("""COMPUTED_VALUE"""),"blocked drain plumber Maitland")</f>
        <v>blocked drain plumber Maitland</v>
      </c>
      <c r="B39" s="4" t="str">
        <f>IFERROR(__xludf.DUMMYFUNCTION("""COMPUTED_VALUE"""),"Cape Town CBD leak detection plumber")</f>
        <v>Cape Town CBD leak detection plumber</v>
      </c>
      <c r="C39" s="4" t="str">
        <f>IFERROR(__xludf.DUMMYFUNCTION("""COMPUTED_VALUE"""),"maintenance plumber professional")</f>
        <v>maintenance plumber professional</v>
      </c>
      <c r="D39" s="4" t="str">
        <f>IFERROR(__xludf.DUMMYFUNCTION("""COMPUTED_VALUE"""),"best plumbing repairs")</f>
        <v>best plumbing repairs</v>
      </c>
      <c r="E39" s="28" t="str">
        <f>IFERROR(__xludf.DUMMYFUNCTION("""COMPUTED_VALUE"""),"bathroom plumbing repair service")</f>
        <v>bathroom plumbing repair service</v>
      </c>
      <c r="F39" s="4" t="str">
        <f>IFERROR(__xludf.DUMMYFUNCTION("""COMPUTED_VALUE"""),"commercial burst pipe repair")</f>
        <v>commercial burst pipe repair</v>
      </c>
      <c r="G39" s="4" t="str">
        <f>IFERROR(__xludf.DUMMYFUNCTION("""COMPUTED_VALUE"""),"burst geyser same day")</f>
        <v>burst geyser same day</v>
      </c>
      <c r="H39" s="4" t="str">
        <f>IFERROR(__xludf.DUMMYFUNCTION("""COMPUTED_VALUE"""),"CCTV leak detection")</f>
        <v>CCTV leak detection</v>
      </c>
      <c r="I39" s="4" t="str">
        <f>IFERROR(__xludf.DUMMYFUNCTION("""COMPUTED_VALUE"""),"electrical compliance certificate repair")</f>
        <v>electrical compliance certificate repair</v>
      </c>
      <c r="J39" s="4" t="str">
        <f>IFERROR(__xludf.DUMMYFUNCTION("""COMPUTED_VALUE"""),"COC emergency electrician")</f>
        <v>COC emergency electrician</v>
      </c>
      <c r="K39" s="4" t="str">
        <f>IFERROR(__xludf.DUMMYFUNCTION("""COMPUTED_VALUE"""),"air conditioning service")</f>
        <v>air conditioning service</v>
      </c>
      <c r="L39" s="4" t="str">
        <f>IFERROR(__xludf.DUMMYFUNCTION("""COMPUTED_VALUE"""),"commercial aircon installation")</f>
        <v>commercial aircon installation</v>
      </c>
      <c r="M39" s="4" t="str">
        <f>IFERROR(__xludf.DUMMYFUNCTION("""COMPUTED_VALUE"""),"drain cleaning shop")</f>
        <v>drain cleaning shop</v>
      </c>
      <c r="N39" s="4" t="str">
        <f>IFERROR(__xludf.DUMMYFUNCTION("""COMPUTED_VALUE"""),"business plumbing company")</f>
        <v>business plumbing company</v>
      </c>
      <c r="O39" s="4" t="str">
        <f>IFERROR(__xludf.DUMMYFUNCTION("""COMPUTED_VALUE"""),"aircon repair cape town quote")</f>
        <v>aircon repair cape town quote</v>
      </c>
      <c r="P39" s="4" t="str">
        <f>IFERROR(__xludf.DUMMYFUNCTION("""COMPUTED_VALUE"""),"best plumbers cape town")</f>
        <v>best plumbers cape town</v>
      </c>
      <c r="Q39" s="4" t="str">
        <f>IFERROR(__xludf.DUMMYFUNCTION("""COMPUTED_VALUE"""),"burst pipe can a plumber fix")</f>
        <v>burst pipe can a plumber fix</v>
      </c>
      <c r="R39" s="4" t="str">
        <f>IFERROR(__xludf.DUMMYFUNCTION("""COMPUTED_VALUE"""),"do I need plumber cost")</f>
        <v>do I need plumber cost</v>
      </c>
      <c r="S39" s="4"/>
      <c r="T39" s="4" t="str">
        <f>IFERROR(__xludf.DUMMYFUNCTION("""COMPUTED_VALUE"""),"24 hour schmidhauser plumbing")</f>
        <v>24 hour schmidhauser plumbing</v>
      </c>
      <c r="U39" s="4"/>
      <c r="V39" s="4"/>
      <c r="W39" s="4"/>
      <c r="X39" s="4"/>
      <c r="Y39" s="4"/>
      <c r="Z39" s="4"/>
    </row>
    <row r="40" ht="15.75" customHeight="1">
      <c r="A40" s="4" t="str">
        <f>IFERROR(__xludf.DUMMYFUNCTION("""COMPUTED_VALUE"""),"blocked drain plumber Milnerton")</f>
        <v>blocked drain plumber Milnerton</v>
      </c>
      <c r="B40" s="4" t="str">
        <f>IFERROR(__xludf.DUMMYFUNCTION("""COMPUTED_VALUE"""),"Cape Town CBD plumber")</f>
        <v>Cape Town CBD plumber</v>
      </c>
      <c r="C40" s="4" t="str">
        <f>IFERROR(__xludf.DUMMYFUNCTION("""COMPUTED_VALUE"""),"maintenance plumber qualified")</f>
        <v>maintenance plumber qualified</v>
      </c>
      <c r="D40" s="4" t="str">
        <f>IFERROR(__xludf.DUMMYFUNCTION("""COMPUTED_VALUE"""),"best plumbing services")</f>
        <v>best plumbing services</v>
      </c>
      <c r="E40" s="28" t="str">
        <f>IFERROR(__xludf.DUMMYFUNCTION("""COMPUTED_VALUE"""),"bathroom plumbing repair urgent")</f>
        <v>bathroom plumbing repair urgent</v>
      </c>
      <c r="F40" s="4" t="str">
        <f>IFERROR(__xludf.DUMMYFUNCTION("""COMPUTED_VALUE"""),"commercial emergency plumber")</f>
        <v>commercial emergency plumber</v>
      </c>
      <c r="G40" s="4" t="str">
        <f>IFERROR(__xludf.DUMMYFUNCTION("""COMPUTED_VALUE"""),"burst geyser service")</f>
        <v>burst geyser service</v>
      </c>
      <c r="H40" s="4" t="str">
        <f>IFERROR(__xludf.DUMMYFUNCTION("""COMPUTED_VALUE"""),"CCTV pipe repair")</f>
        <v>CCTV pipe repair</v>
      </c>
      <c r="I40" s="4" t="str">
        <f>IFERROR(__xludf.DUMMYFUNCTION("""COMPUTED_VALUE"""),"electrical compliance certificate same day")</f>
        <v>electrical compliance certificate same day</v>
      </c>
      <c r="J40" s="4" t="str">
        <f>IFERROR(__xludf.DUMMYFUNCTION("""COMPUTED_VALUE"""),"COC residential electrician")</f>
        <v>COC residential electrician</v>
      </c>
      <c r="K40" s="4" t="str">
        <f>IFERROR(__xludf.DUMMYFUNCTION("""COMPUTED_VALUE"""),"air conditioning technician")</f>
        <v>air conditioning technician</v>
      </c>
      <c r="L40" s="4" t="str">
        <f>IFERROR(__xludf.DUMMYFUNCTION("""COMPUTED_VALUE"""),"commercial aircon repair")</f>
        <v>commercial aircon repair</v>
      </c>
      <c r="M40" s="4" t="str">
        <f>IFERROR(__xludf.DUMMYFUNCTION("""COMPUTED_VALUE"""),"drain cleaning tenant")</f>
        <v>drain cleaning tenant</v>
      </c>
      <c r="N40" s="4" t="str">
        <f>IFERROR(__xludf.DUMMYFUNCTION("""COMPUTED_VALUE"""),"business plumbing services")</f>
        <v>business plumbing services</v>
      </c>
      <c r="O40" s="4" t="str">
        <f>IFERROR(__xludf.DUMMYFUNCTION("""COMPUTED_VALUE"""),"aircon repair cape town reliable")</f>
        <v>aircon repair cape town reliable</v>
      </c>
      <c r="P40" s="4" t="str">
        <f>IFERROR(__xludf.DUMMYFUNCTION("""COMPUTED_VALUE"""),"best plumbing company cape town")</f>
        <v>best plumbing company cape town</v>
      </c>
      <c r="Q40" s="4" t="str">
        <f>IFERROR(__xludf.DUMMYFUNCTION("""COMPUTED_VALUE"""),"burst pipe cost of")</f>
        <v>burst pipe cost of</v>
      </c>
      <c r="R40" s="4" t="str">
        <f>IFERROR(__xludf.DUMMYFUNCTION("""COMPUTED_VALUE"""),"do I need plumbing maintenance")</f>
        <v>do I need plumbing maintenance</v>
      </c>
      <c r="S40" s="4"/>
      <c r="T40" s="4" t="str">
        <f>IFERROR(__xludf.DUMMYFUNCTION("""COMPUTED_VALUE"""),"absolute plumbing cape town 24 hour")</f>
        <v>absolute plumbing cape town 24 hour</v>
      </c>
      <c r="U40" s="4"/>
      <c r="V40" s="4"/>
      <c r="W40" s="4"/>
      <c r="X40" s="4"/>
      <c r="Y40" s="4"/>
      <c r="Z40" s="4"/>
    </row>
    <row r="41" ht="15.75" customHeight="1">
      <c r="A41" s="4" t="str">
        <f>IFERROR(__xludf.DUMMYFUNCTION("""COMPUTED_VALUE"""),"blocked drain plumber Muizenberg")</f>
        <v>blocked drain plumber Muizenberg</v>
      </c>
      <c r="B41" s="4" t="str">
        <f>IFERROR(__xludf.DUMMYFUNCTION("""COMPUTED_VALUE"""),"Cape Town CBD plumbers")</f>
        <v>Cape Town CBD plumbers</v>
      </c>
      <c r="C41" s="4" t="str">
        <f>IFERROR(__xludf.DUMMYFUNCTION("""COMPUTED_VALUE"""),"maintenance plumber quote")</f>
        <v>maintenance plumber quote</v>
      </c>
      <c r="D41" s="4" t="str">
        <f>IFERROR(__xludf.DUMMYFUNCTION("""COMPUTED_VALUE"""),"best residential plumber")</f>
        <v>best residential plumber</v>
      </c>
      <c r="E41" s="28" t="str">
        <f>IFERROR(__xludf.DUMMYFUNCTION("""COMPUTED_VALUE"""),"bathroom plumbing repair weekend")</f>
        <v>bathroom plumbing repair weekend</v>
      </c>
      <c r="F41" s="4" t="str">
        <f>IFERROR(__xludf.DUMMYFUNCTION("""COMPUTED_VALUE"""),"commercial kitchen plumbing repair")</f>
        <v>commercial kitchen plumbing repair</v>
      </c>
      <c r="G41" s="4" t="str">
        <f>IFERROR(__xludf.DUMMYFUNCTION("""COMPUTED_VALUE"""),"burst geyser specialist")</f>
        <v>burst geyser specialist</v>
      </c>
      <c r="H41" s="4" t="str">
        <f>IFERROR(__xludf.DUMMYFUNCTION("""COMPUTED_VALUE"""),"CCTV water leak detection")</f>
        <v>CCTV water leak detection</v>
      </c>
      <c r="I41" s="4" t="str">
        <f>IFERROR(__xludf.DUMMYFUNCTION("""COMPUTED_VALUE"""),"electrical compliance certificate service")</f>
        <v>electrical compliance certificate service</v>
      </c>
      <c r="J41" s="4" t="str">
        <f>IFERROR(__xludf.DUMMYFUNCTION("""COMPUTED_VALUE"""),"company commercial electrician")</f>
        <v>company commercial electrician</v>
      </c>
      <c r="K41" s="4" t="str">
        <f>IFERROR(__xludf.DUMMYFUNCTION("""COMPUTED_VALUE"""),"aircon installation")</f>
        <v>aircon installation</v>
      </c>
      <c r="L41" s="4" t="str">
        <f>IFERROR(__xludf.DUMMYFUNCTION("""COMPUTED_VALUE"""),"commercial aircon service")</f>
        <v>commercial aircon service</v>
      </c>
      <c r="M41" s="4" t="str">
        <f>IFERROR(__xludf.DUMMYFUNCTION("""COMPUTED_VALUE"""),"drain cleaning townhouse")</f>
        <v>drain cleaning townhouse</v>
      </c>
      <c r="N41" s="4" t="str">
        <f>IFERROR(__xludf.DUMMYFUNCTION("""COMPUTED_VALUE"""),"business refrigeration services")</f>
        <v>business refrigeration services</v>
      </c>
      <c r="O41" s="4" t="str">
        <f>IFERROR(__xludf.DUMMYFUNCTION("""COMPUTED_VALUE"""),"aircon repair cape town reputable")</f>
        <v>aircon repair cape town reputable</v>
      </c>
      <c r="P41" s="4" t="str">
        <f>IFERROR(__xludf.DUMMYFUNCTION("""COMPUTED_VALUE"""),"best schmidhauser plumbing")</f>
        <v>best schmidhauser plumbing</v>
      </c>
      <c r="Q41" s="4" t="str">
        <f>IFERROR(__xludf.DUMMYFUNCTION("""COMPUTED_VALUE"""),"burst pipe do I need")</f>
        <v>burst pipe do I need</v>
      </c>
      <c r="R41" s="4" t="str">
        <f>IFERROR(__xludf.DUMMYFUNCTION("""COMPUTED_VALUE"""),"do I need refrigeration repair")</f>
        <v>do I need refrigeration repair</v>
      </c>
      <c r="S41" s="4"/>
      <c r="T41" s="4" t="str">
        <f>IFERROR(__xludf.DUMMYFUNCTION("""COMPUTED_VALUE"""),"absolute plumbing cape town affordable")</f>
        <v>absolute plumbing cape town affordable</v>
      </c>
      <c r="U41" s="4"/>
      <c r="V41" s="4"/>
      <c r="W41" s="4"/>
      <c r="X41" s="4"/>
      <c r="Y41" s="4"/>
      <c r="Z41" s="4"/>
    </row>
    <row r="42" ht="15.75" customHeight="1">
      <c r="A42" s="4" t="str">
        <f>IFERROR(__xludf.DUMMYFUNCTION("""COMPUTED_VALUE"""),"blocked drain plumber Newlands")</f>
        <v>blocked drain plumber Newlands</v>
      </c>
      <c r="B42" s="4" t="str">
        <f>IFERROR(__xludf.DUMMYFUNCTION("""COMPUTED_VALUE"""),"Cape Town CBD plumbing company")</f>
        <v>Cape Town CBD plumbing company</v>
      </c>
      <c r="C42" s="4" t="str">
        <f>IFERROR(__xludf.DUMMYFUNCTION("""COMPUTED_VALUE"""),"maintenance plumber reliable")</f>
        <v>maintenance plumber reliable</v>
      </c>
      <c r="D42" s="4" t="str">
        <f>IFERROR(__xludf.DUMMYFUNCTION("""COMPUTED_VALUE"""),"call out commercial plumber")</f>
        <v>call out commercial plumber</v>
      </c>
      <c r="E42" s="28" t="str">
        <f>IFERROR(__xludf.DUMMYFUNCTION("""COMPUTED_VALUE"""),"blocked toilet plumber")</f>
        <v>blocked toilet plumber</v>
      </c>
      <c r="F42" s="4" t="str">
        <f>IFERROR(__xludf.DUMMYFUNCTION("""COMPUTED_VALUE"""),"commercial leaking pipe repair")</f>
        <v>commercial leaking pipe repair</v>
      </c>
      <c r="G42" s="4" t="str">
        <f>IFERROR(__xludf.DUMMYFUNCTION("""COMPUTED_VALUE"""),"drain cleaning affordable")</f>
        <v>drain cleaning affordable</v>
      </c>
      <c r="H42" s="4" t="str">
        <f>IFERROR(__xludf.DUMMYFUNCTION("""COMPUTED_VALUE"""),"commercial blocked drain")</f>
        <v>commercial blocked drain</v>
      </c>
      <c r="I42" s="4" t="str">
        <f>IFERROR(__xludf.DUMMYFUNCTION("""COMPUTED_VALUE"""),"electrical contractor")</f>
        <v>electrical contractor</v>
      </c>
      <c r="J42" s="4" t="str">
        <f>IFERROR(__xludf.DUMMYFUNCTION("""COMPUTED_VALUE"""),"company electrical compliance certificate")</f>
        <v>company electrical compliance certificate</v>
      </c>
      <c r="K42" s="4" t="str">
        <f>IFERROR(__xludf.DUMMYFUNCTION("""COMPUTED_VALUE"""),"aircon installation affordable")</f>
        <v>aircon installation affordable</v>
      </c>
      <c r="L42" s="4" t="str">
        <f>IFERROR(__xludf.DUMMYFUNCTION("""COMPUTED_VALUE"""),"commercial cold room repair")</f>
        <v>commercial cold room repair</v>
      </c>
      <c r="M42" s="4" t="str">
        <f>IFERROR(__xludf.DUMMYFUNCTION("""COMPUTED_VALUE"""),"electrical repairs apartment")</f>
        <v>electrical repairs apartment</v>
      </c>
      <c r="N42" s="4" t="str">
        <f>IFERROR(__xludf.DUMMYFUNCTION("""COMPUTED_VALUE"""),"commercial property air conditioning services")</f>
        <v>commercial property air conditioning services</v>
      </c>
      <c r="O42" s="4" t="str">
        <f>IFERROR(__xludf.DUMMYFUNCTION("""COMPUTED_VALUE"""),"aircon repair cape town review")</f>
        <v>aircon repair cape town review</v>
      </c>
      <c r="P42" s="4" t="str">
        <f>IFERROR(__xludf.DUMMYFUNCTION("""COMPUTED_VALUE"""),"certified absolute plumbing cape town")</f>
        <v>certified absolute plumbing cape town</v>
      </c>
      <c r="Q42" s="4" t="str">
        <f>IFERROR(__xludf.DUMMYFUNCTION("""COMPUTED_VALUE"""),"burst pipe emergency help for")</f>
        <v>burst pipe emergency help for</v>
      </c>
      <c r="R42" s="4" t="str">
        <f>IFERROR(__xludf.DUMMYFUNCTION("""COMPUTED_VALUE"""),"emergency help for aircon service")</f>
        <v>emergency help for aircon service</v>
      </c>
      <c r="S42" s="4"/>
      <c r="T42" s="4" t="str">
        <f>IFERROR(__xludf.DUMMYFUNCTION("""COMPUTED_VALUE"""),"absolute plumbing cape town alternatives")</f>
        <v>absolute plumbing cape town alternatives</v>
      </c>
      <c r="U42" s="4"/>
      <c r="V42" s="4"/>
      <c r="W42" s="4"/>
      <c r="X42" s="4"/>
      <c r="Y42" s="4"/>
      <c r="Z42" s="4"/>
    </row>
    <row r="43" ht="15.75" customHeight="1">
      <c r="A43" s="4" t="str">
        <f>IFERROR(__xludf.DUMMYFUNCTION("""COMPUTED_VALUE"""),"blocked drain plumber Northern Suburbs")</f>
        <v>blocked drain plumber Northern Suburbs</v>
      </c>
      <c r="B43" s="4" t="str">
        <f>IFERROR(__xludf.DUMMYFUNCTION("""COMPUTED_VALUE"""),"Cape Town CBD refrigeration services")</f>
        <v>Cape Town CBD refrigeration services</v>
      </c>
      <c r="C43" s="4" t="str">
        <f>IFERROR(__xludf.DUMMYFUNCTION("""COMPUTED_VALUE"""),"maintenance plumber repair")</f>
        <v>maintenance plumber repair</v>
      </c>
      <c r="D43" s="4" t="str">
        <f>IFERROR(__xludf.DUMMYFUNCTION("""COMPUTED_VALUE"""),"call out maintenance plumber")</f>
        <v>call out maintenance plumber</v>
      </c>
      <c r="E43" s="28" t="str">
        <f>IFERROR(__xludf.DUMMYFUNCTION("""COMPUTED_VALUE"""),"blocked toilet plumber after hours")</f>
        <v>blocked toilet plumber after hours</v>
      </c>
      <c r="F43" s="4" t="str">
        <f>IFERROR(__xludf.DUMMYFUNCTION("""COMPUTED_VALUE"""),"commercial leaking tap repair")</f>
        <v>commercial leaking tap repair</v>
      </c>
      <c r="G43" s="4" t="str">
        <f>IFERROR(__xludf.DUMMYFUNCTION("""COMPUTED_VALUE"""),"drain cleaning best")</f>
        <v>drain cleaning best</v>
      </c>
      <c r="H43" s="4" t="str">
        <f>IFERROR(__xludf.DUMMYFUNCTION("""COMPUTED_VALUE"""),"commercial burst geyser")</f>
        <v>commercial burst geyser</v>
      </c>
      <c r="I43" s="4" t="str">
        <f>IFERROR(__xludf.DUMMYFUNCTION("""COMPUTED_VALUE"""),"electrical contractor affordable")</f>
        <v>electrical contractor affordable</v>
      </c>
      <c r="J43" s="4" t="str">
        <f>IFERROR(__xludf.DUMMYFUNCTION("""COMPUTED_VALUE"""),"company electrical contractor")</f>
        <v>company electrical contractor</v>
      </c>
      <c r="K43" s="4" t="str">
        <f>IFERROR(__xludf.DUMMYFUNCTION("""COMPUTED_VALUE"""),"aircon installation best")</f>
        <v>aircon installation best</v>
      </c>
      <c r="L43" s="4" t="str">
        <f>IFERROR(__xludf.DUMMYFUNCTION("""COMPUTED_VALUE"""),"commercial fridge repair")</f>
        <v>commercial fridge repair</v>
      </c>
      <c r="M43" s="4" t="str">
        <f>IFERROR(__xludf.DUMMYFUNCTION("""COMPUTED_VALUE"""),"electrical repairs body corporate")</f>
        <v>electrical repairs body corporate</v>
      </c>
      <c r="N43" s="4" t="str">
        <f>IFERROR(__xludf.DUMMYFUNCTION("""COMPUTED_VALUE"""),"commercial property drain cleaning")</f>
        <v>commercial property drain cleaning</v>
      </c>
      <c r="O43" s="4" t="str">
        <f>IFERROR(__xludf.DUMMYFUNCTION("""COMPUTED_VALUE"""),"aircon repair cape town reviews")</f>
        <v>aircon repair cape town reviews</v>
      </c>
      <c r="P43" s="4" t="str">
        <f>IFERROR(__xludf.DUMMYFUNCTION("""COMPUTED_VALUE"""),"certified aircon repair cape town")</f>
        <v>certified aircon repair cape town</v>
      </c>
      <c r="Q43" s="4" t="str">
        <f>IFERROR(__xludf.DUMMYFUNCTION("""COMPUTED_VALUE"""),"burst pipe how long does")</f>
        <v>burst pipe how long does</v>
      </c>
      <c r="R43" s="4" t="str">
        <f>IFERROR(__xludf.DUMMYFUNCTION("""COMPUTED_VALUE"""),"emergency help for blocked drain")</f>
        <v>emergency help for blocked drain</v>
      </c>
      <c r="S43" s="4"/>
      <c r="T43" s="4" t="str">
        <f>IFERROR(__xludf.DUMMYFUNCTION("""COMPUTED_VALUE"""),"absolute plumbing cape town best")</f>
        <v>absolute plumbing cape town best</v>
      </c>
      <c r="U43" s="4"/>
      <c r="V43" s="4"/>
      <c r="W43" s="4"/>
      <c r="X43" s="4"/>
      <c r="Y43" s="4"/>
      <c r="Z43" s="4"/>
    </row>
    <row r="44" ht="15.75" customHeight="1">
      <c r="A44" s="4" t="str">
        <f>IFERROR(__xludf.DUMMYFUNCTION("""COMPUTED_VALUE"""),"blocked drain plumber Observatory")</f>
        <v>blocked drain plumber Observatory</v>
      </c>
      <c r="B44" s="4" t="str">
        <f>IFERROR(__xludf.DUMMYFUNCTION("""COMPUTED_VALUE"""),"Cape Town electrician")</f>
        <v>Cape Town electrician</v>
      </c>
      <c r="C44" s="4" t="str">
        <f>IFERROR(__xludf.DUMMYFUNCTION("""COMPUTED_VALUE"""),"maintenance plumber same day")</f>
        <v>maintenance plumber same day</v>
      </c>
      <c r="D44" s="4" t="str">
        <f>IFERROR(__xludf.DUMMYFUNCTION("""COMPUTED_VALUE"""),"call out plumber cape town")</f>
        <v>call out plumber cape town</v>
      </c>
      <c r="E44" s="28" t="str">
        <f>IFERROR(__xludf.DUMMYFUNCTION("""COMPUTED_VALUE"""),"blocked toilet plumber call out")</f>
        <v>blocked toilet plumber call out</v>
      </c>
      <c r="F44" s="4" t="str">
        <f>IFERROR(__xludf.DUMMYFUNCTION("""COMPUTED_VALUE"""),"commercial toilet repair")</f>
        <v>commercial toilet repair</v>
      </c>
      <c r="G44" s="4" t="str">
        <f>IFERROR(__xludf.DUMMYFUNCTION("""COMPUTED_VALUE"""),"drain cleaning cape town")</f>
        <v>drain cleaning cape town</v>
      </c>
      <c r="H44" s="4" t="str">
        <f>IFERROR(__xludf.DUMMYFUNCTION("""COMPUTED_VALUE"""),"commercial drain cleaning")</f>
        <v>commercial drain cleaning</v>
      </c>
      <c r="I44" s="4" t="str">
        <f>IFERROR(__xludf.DUMMYFUNCTION("""COMPUTED_VALUE"""),"electrical contractor call out")</f>
        <v>electrical contractor call out</v>
      </c>
      <c r="J44" s="4" t="str">
        <f>IFERROR(__xludf.DUMMYFUNCTION("""COMPUTED_VALUE"""),"company electrical installation")</f>
        <v>company electrical installation</v>
      </c>
      <c r="K44" s="4" t="str">
        <f>IFERROR(__xludf.DUMMYFUNCTION("""COMPUTED_VALUE"""),"aircon installation cape town")</f>
        <v>aircon installation cape town</v>
      </c>
      <c r="L44" s="4" t="str">
        <f>IFERROR(__xludf.DUMMYFUNCTION("""COMPUTED_VALUE"""),"commercial HVAC services")</f>
        <v>commercial HVAC services</v>
      </c>
      <c r="M44" s="4" t="str">
        <f>IFERROR(__xludf.DUMMYFUNCTION("""COMPUTED_VALUE"""),"electrical repairs building")</f>
        <v>electrical repairs building</v>
      </c>
      <c r="N44" s="4" t="str">
        <f>IFERROR(__xludf.DUMMYFUNCTION("""COMPUTED_VALUE"""),"commercial property electrical repairs")</f>
        <v>commercial property electrical repairs</v>
      </c>
      <c r="O44" s="4" t="str">
        <f>IFERROR(__xludf.DUMMYFUNCTION("""COMPUTED_VALUE"""),"aircon repair cape town same day")</f>
        <v>aircon repair cape town same day</v>
      </c>
      <c r="P44" s="4" t="str">
        <f>IFERROR(__xludf.DUMMYFUNCTION("""COMPUTED_VALUE"""),"certified bosman plumbers")</f>
        <v>certified bosman plumbers</v>
      </c>
      <c r="Q44" s="4" t="str">
        <f>IFERROR(__xludf.DUMMYFUNCTION("""COMPUTED_VALUE"""),"burst pipe how much does")</f>
        <v>burst pipe how much does</v>
      </c>
      <c r="R44" s="4" t="str">
        <f>IFERROR(__xludf.DUMMYFUNCTION("""COMPUTED_VALUE"""),"emergency help for burst pipe")</f>
        <v>emergency help for burst pipe</v>
      </c>
      <c r="S44" s="4"/>
      <c r="T44" s="4" t="str">
        <f>IFERROR(__xludf.DUMMYFUNCTION("""COMPUTED_VALUE"""),"absolute plumbing cape town certified")</f>
        <v>absolute plumbing cape town certified</v>
      </c>
      <c r="U44" s="4"/>
      <c r="V44" s="4"/>
      <c r="W44" s="4"/>
      <c r="X44" s="4"/>
      <c r="Y44" s="4"/>
      <c r="Z44" s="4"/>
    </row>
    <row r="45" ht="15.75" customHeight="1">
      <c r="A45" s="4" t="str">
        <f>IFERROR(__xludf.DUMMYFUNCTION("""COMPUTED_VALUE"""),"blocked drain plumber Plumstead")</f>
        <v>blocked drain plumber Plumstead</v>
      </c>
      <c r="B45" s="4" t="str">
        <f>IFERROR(__xludf.DUMMYFUNCTION("""COMPUTED_VALUE"""),"Cape Town emergency plumber")</f>
        <v>Cape Town emergency plumber</v>
      </c>
      <c r="C45" s="4" t="str">
        <f>IFERROR(__xludf.DUMMYFUNCTION("""COMPUTED_VALUE"""),"maintenance plumber service")</f>
        <v>maintenance plumber service</v>
      </c>
      <c r="D45" s="4" t="str">
        <f>IFERROR(__xludf.DUMMYFUNCTION("""COMPUTED_VALUE"""),"call out plumbing company")</f>
        <v>call out plumbing company</v>
      </c>
      <c r="E45" s="28" t="str">
        <f>IFERROR(__xludf.DUMMYFUNCTION("""COMPUTED_VALUE"""),"blocked toilet plumber cape town")</f>
        <v>blocked toilet plumber cape town</v>
      </c>
      <c r="F45" s="4" t="str">
        <f>IFERROR(__xludf.DUMMYFUNCTION("""COMPUTED_VALUE"""),"commercial water leak repair")</f>
        <v>commercial water leak repair</v>
      </c>
      <c r="G45" s="4" t="str">
        <f>IFERROR(__xludf.DUMMYFUNCTION("""COMPUTED_VALUE"""),"drain cleaning CCTV")</f>
        <v>drain cleaning CCTV</v>
      </c>
      <c r="H45" s="4" t="str">
        <f>IFERROR(__xludf.DUMMYFUNCTION("""COMPUTED_VALUE"""),"commercial drain inspection")</f>
        <v>commercial drain inspection</v>
      </c>
      <c r="I45" s="4" t="str">
        <f>IFERROR(__xludf.DUMMYFUNCTION("""COMPUTED_VALUE"""),"electrical contractor cape town")</f>
        <v>electrical contractor cape town</v>
      </c>
      <c r="J45" s="4" t="str">
        <f>IFERROR(__xludf.DUMMYFUNCTION("""COMPUTED_VALUE"""),"company electrical maintenance")</f>
        <v>company electrical maintenance</v>
      </c>
      <c r="K45" s="4" t="str">
        <f>IFERROR(__xludf.DUMMYFUNCTION("""COMPUTED_VALUE"""),"aircon installation commercial")</f>
        <v>aircon installation commercial</v>
      </c>
      <c r="L45" s="4" t="str">
        <f>IFERROR(__xludf.DUMMYFUNCTION("""COMPUTED_VALUE"""),"commercial refrigeration")</f>
        <v>commercial refrigeration</v>
      </c>
      <c r="M45" s="4" t="str">
        <f>IFERROR(__xludf.DUMMYFUNCTION("""COMPUTED_VALUE"""),"electrical repairs business")</f>
        <v>electrical repairs business</v>
      </c>
      <c r="N45" s="4" t="str">
        <f>IFERROR(__xludf.DUMMYFUNCTION("""COMPUTED_VALUE"""),"commercial property emergency plumbing")</f>
        <v>commercial property emergency plumbing</v>
      </c>
      <c r="O45" s="4" t="str">
        <f>IFERROR(__xludf.DUMMYFUNCTION("""COMPUTED_VALUE"""),"aircon repair cape town top rated")</f>
        <v>aircon repair cape town top rated</v>
      </c>
      <c r="P45" s="4" t="str">
        <f>IFERROR(__xludf.DUMMYFUNCTION("""COMPUTED_VALUE"""),"certified drain surgeon cape town")</f>
        <v>certified drain surgeon cape town</v>
      </c>
      <c r="Q45" s="4" t="str">
        <f>IFERROR(__xludf.DUMMYFUNCTION("""COMPUTED_VALUE"""),"burst pipe how to choose")</f>
        <v>burst pipe how to choose</v>
      </c>
      <c r="R45" s="4" t="str">
        <f>IFERROR(__xludf.DUMMYFUNCTION("""COMPUTED_VALUE"""),"emergency help for electrical COC")</f>
        <v>emergency help for electrical COC</v>
      </c>
      <c r="S45" s="4"/>
      <c r="T45" s="4" t="str">
        <f>IFERROR(__xludf.DUMMYFUNCTION("""COMPUTED_VALUE"""),"absolute plumbing cape town compare")</f>
        <v>absolute plumbing cape town compare</v>
      </c>
      <c r="U45" s="4"/>
      <c r="V45" s="4"/>
      <c r="W45" s="4"/>
      <c r="X45" s="4"/>
      <c r="Y45" s="4"/>
      <c r="Z45" s="4"/>
    </row>
    <row r="46" ht="15.75" customHeight="1">
      <c r="A46" s="4" t="str">
        <f>IFERROR(__xludf.DUMMYFUNCTION("""COMPUTED_VALUE"""),"blocked drain plumber Rondebosch")</f>
        <v>blocked drain plumber Rondebosch</v>
      </c>
      <c r="B46" s="4" t="str">
        <f>IFERROR(__xludf.DUMMYFUNCTION("""COMPUTED_VALUE"""),"Cape Town geyser repair")</f>
        <v>Cape Town geyser repair</v>
      </c>
      <c r="C46" s="4" t="str">
        <f>IFERROR(__xludf.DUMMYFUNCTION("""COMPUTED_VALUE"""),"maintenance plumber top rated")</f>
        <v>maintenance plumber top rated</v>
      </c>
      <c r="D46" s="4" t="str">
        <f>IFERROR(__xludf.DUMMYFUNCTION("""COMPUTED_VALUE"""),"call out plumbing contractors")</f>
        <v>call out plumbing contractors</v>
      </c>
      <c r="E46" s="28" t="str">
        <f>IFERROR(__xludf.DUMMYFUNCTION("""COMPUTED_VALUE"""),"blocked toilet plumber commercial")</f>
        <v>blocked toilet plumber commercial</v>
      </c>
      <c r="F46" s="4" t="str">
        <f>IFERROR(__xludf.DUMMYFUNCTION("""COMPUTED_VALUE"""),"company 24 hour plumber")</f>
        <v>company 24 hour plumber</v>
      </c>
      <c r="G46" s="4" t="str">
        <f>IFERROR(__xludf.DUMMYFUNCTION("""COMPUTED_VALUE"""),"drain cleaning commercial")</f>
        <v>drain cleaning commercial</v>
      </c>
      <c r="H46" s="4" t="str">
        <f>IFERROR(__xludf.DUMMYFUNCTION("""COMPUTED_VALUE"""),"commercial drain unblocking")</f>
        <v>commercial drain unblocking</v>
      </c>
      <c r="I46" s="4" t="str">
        <f>IFERROR(__xludf.DUMMYFUNCTION("""COMPUTED_VALUE"""),"electrical contractor COC")</f>
        <v>electrical contractor COC</v>
      </c>
      <c r="J46" s="4" t="str">
        <f>IFERROR(__xludf.DUMMYFUNCTION("""COMPUTED_VALUE"""),"company electrical repairs")</f>
        <v>company electrical repairs</v>
      </c>
      <c r="K46" s="4" t="str">
        <f>IFERROR(__xludf.DUMMYFUNCTION("""COMPUTED_VALUE"""),"aircon installation company")</f>
        <v>aircon installation company</v>
      </c>
      <c r="L46" s="4" t="str">
        <f>IFERROR(__xludf.DUMMYFUNCTION("""COMPUTED_VALUE"""),"commercial refrigeration repair")</f>
        <v>commercial refrigeration repair</v>
      </c>
      <c r="M46" s="4" t="str">
        <f>IFERROR(__xludf.DUMMYFUNCTION("""COMPUTED_VALUE"""),"electrical repairs commercial property")</f>
        <v>electrical repairs commercial property</v>
      </c>
      <c r="N46" s="4" t="str">
        <f>IFERROR(__xludf.DUMMYFUNCTION("""COMPUTED_VALUE"""),"commercial property geyser repairs")</f>
        <v>commercial property geyser repairs</v>
      </c>
      <c r="O46" s="4" t="str">
        <f>IFERROR(__xludf.DUMMYFUNCTION("""COMPUTED_VALUE"""),"aircon repair cape town trusted")</f>
        <v>aircon repair cape town trusted</v>
      </c>
      <c r="P46" s="4" t="str">
        <f>IFERROR(__xludf.DUMMYFUNCTION("""COMPUTED_VALUE"""),"certified electrician cape town")</f>
        <v>certified electrician cape town</v>
      </c>
      <c r="Q46" s="4" t="str">
        <f>IFERROR(__xludf.DUMMYFUNCTION("""COMPUTED_VALUE"""),"burst pipe how to prevent")</f>
        <v>burst pipe how to prevent</v>
      </c>
      <c r="R46" s="4" t="str">
        <f>IFERROR(__xludf.DUMMYFUNCTION("""COMPUTED_VALUE"""),"emergency help for emergency plumber")</f>
        <v>emergency help for emergency plumber</v>
      </c>
      <c r="S46" s="4"/>
      <c r="T46" s="4" t="str">
        <f>IFERROR(__xludf.DUMMYFUNCTION("""COMPUTED_VALUE"""),"absolute plumbing cape town complaints")</f>
        <v>absolute plumbing cape town complaints</v>
      </c>
      <c r="U46" s="4"/>
      <c r="V46" s="4"/>
      <c r="W46" s="4"/>
      <c r="X46" s="4"/>
      <c r="Y46" s="4"/>
      <c r="Z46" s="4"/>
    </row>
    <row r="47" ht="15.75" customHeight="1">
      <c r="A47" s="4" t="str">
        <f>IFERROR(__xludf.DUMMYFUNCTION("""COMPUTED_VALUE"""),"blocked drain plumber Sea Point")</f>
        <v>blocked drain plumber Sea Point</v>
      </c>
      <c r="B47" s="4" t="str">
        <f>IFERROR(__xludf.DUMMYFUNCTION("""COMPUTED_VALUE"""),"Cape Town leak detection plumber")</f>
        <v>Cape Town leak detection plumber</v>
      </c>
      <c r="C47" s="4" t="str">
        <f>IFERROR(__xludf.DUMMYFUNCTION("""COMPUTED_VALUE"""),"maintenance plumber trusted")</f>
        <v>maintenance plumber trusted</v>
      </c>
      <c r="D47" s="4" t="str">
        <f>IFERROR(__xludf.DUMMYFUNCTION("""COMPUTED_VALUE"""),"call out plumbing inspection")</f>
        <v>call out plumbing inspection</v>
      </c>
      <c r="E47" s="28" t="str">
        <f>IFERROR(__xludf.DUMMYFUNCTION("""COMPUTED_VALUE"""),"blocked toilet plumber company")</f>
        <v>blocked toilet plumber company</v>
      </c>
      <c r="F47" s="4" t="str">
        <f>IFERROR(__xludf.DUMMYFUNCTION("""COMPUTED_VALUE"""),"company bathroom plumbing repair")</f>
        <v>company bathroom plumbing repair</v>
      </c>
      <c r="G47" s="4" t="str">
        <f>IFERROR(__xludf.DUMMYFUNCTION("""COMPUTED_VALUE"""),"drain cleaning cost")</f>
        <v>drain cleaning cost</v>
      </c>
      <c r="H47" s="4" t="str">
        <f>IFERROR(__xludf.DUMMYFUNCTION("""COMPUTED_VALUE"""),"commercial geyser repair")</f>
        <v>commercial geyser repair</v>
      </c>
      <c r="I47" s="4" t="str">
        <f>IFERROR(__xludf.DUMMYFUNCTION("""COMPUTED_VALUE"""),"electrical contractor company")</f>
        <v>electrical contractor company</v>
      </c>
      <c r="J47" s="4" t="str">
        <f>IFERROR(__xludf.DUMMYFUNCTION("""COMPUTED_VALUE"""),"company electrical services")</f>
        <v>company electrical services</v>
      </c>
      <c r="K47" s="4" t="str">
        <f>IFERROR(__xludf.DUMMYFUNCTION("""COMPUTED_VALUE"""),"aircon installation contractor")</f>
        <v>aircon installation contractor</v>
      </c>
      <c r="L47" s="4" t="str">
        <f>IFERROR(__xludf.DUMMYFUNCTION("""COMPUTED_VALUE"""),"company air conditioning")</f>
        <v>company air conditioning</v>
      </c>
      <c r="M47" s="4" t="str">
        <f>IFERROR(__xludf.DUMMYFUNCTION("""COMPUTED_VALUE"""),"electrical repairs estate agent")</f>
        <v>electrical repairs estate agent</v>
      </c>
      <c r="N47" s="4" t="str">
        <f>IFERROR(__xludf.DUMMYFUNCTION("""COMPUTED_VALUE"""),"commercial property leak detection")</f>
        <v>commercial property leak detection</v>
      </c>
      <c r="O47" s="4" t="str">
        <f>IFERROR(__xludf.DUMMYFUNCTION("""COMPUTED_VALUE"""),"aircon repair cape town vs")</f>
        <v>aircon repair cape town vs</v>
      </c>
      <c r="P47" s="4" t="str">
        <f>IFERROR(__xludf.DUMMYFUNCTION("""COMPUTED_VALUE"""),"certified emergency plumber cape town")</f>
        <v>certified emergency plumber cape town</v>
      </c>
      <c r="Q47" s="4" t="str">
        <f>IFERROR(__xludf.DUMMYFUNCTION("""COMPUTED_VALUE"""),"burst pipe is it safe to")</f>
        <v>burst pipe is it safe to</v>
      </c>
      <c r="R47" s="4" t="str">
        <f>IFERROR(__xludf.DUMMYFUNCTION("""COMPUTED_VALUE"""),"emergency help for geyser repair")</f>
        <v>emergency help for geyser repair</v>
      </c>
      <c r="S47" s="4"/>
      <c r="T47" s="4" t="str">
        <f>IFERROR(__xludf.DUMMYFUNCTION("""COMPUTED_VALUE"""),"absolute plumbing cape town cost")</f>
        <v>absolute plumbing cape town cost</v>
      </c>
      <c r="U47" s="4"/>
      <c r="V47" s="4"/>
      <c r="W47" s="4"/>
      <c r="X47" s="4"/>
      <c r="Y47" s="4"/>
      <c r="Z47" s="4"/>
    </row>
    <row r="48" ht="15.75" customHeight="1">
      <c r="A48" s="4" t="str">
        <f>IFERROR(__xludf.DUMMYFUNCTION("""COMPUTED_VALUE"""),"blocked drain plumber South Africa")</f>
        <v>blocked drain plumber South Africa</v>
      </c>
      <c r="B48" s="4" t="str">
        <f>IFERROR(__xludf.DUMMYFUNCTION("""COMPUTED_VALUE"""),"Cape Town plumber")</f>
        <v>Cape Town plumber</v>
      </c>
      <c r="C48" s="4" t="str">
        <f>IFERROR(__xludf.DUMMYFUNCTION("""COMPUTED_VALUE"""),"plumber cape town 24 hour")</f>
        <v>plumber cape town 24 hour</v>
      </c>
      <c r="D48" s="4" t="str">
        <f>IFERROR(__xludf.DUMMYFUNCTION("""COMPUTED_VALUE"""),"call out plumbing installation")</f>
        <v>call out plumbing installation</v>
      </c>
      <c r="E48" s="28" t="str">
        <f>IFERROR(__xludf.DUMMYFUNCTION("""COMPUTED_VALUE"""),"blocked toilet plumber cost")</f>
        <v>blocked toilet plumber cost</v>
      </c>
      <c r="F48" s="4" t="str">
        <f>IFERROR(__xludf.DUMMYFUNCTION("""COMPUTED_VALUE"""),"company blocked toilet plumber")</f>
        <v>company blocked toilet plumber</v>
      </c>
      <c r="G48" s="4" t="str">
        <f>IFERROR(__xludf.DUMMYFUNCTION("""COMPUTED_VALUE"""),"drain cleaning emergency")</f>
        <v>drain cleaning emergency</v>
      </c>
      <c r="H48" s="4" t="str">
        <f>IFERROR(__xludf.DUMMYFUNCTION("""COMPUTED_VALUE"""),"commercial geyser replacement")</f>
        <v>commercial geyser replacement</v>
      </c>
      <c r="I48" s="4" t="str">
        <f>IFERROR(__xludf.DUMMYFUNCTION("""COMPUTED_VALUE"""),"electrical contractor cost")</f>
        <v>electrical contractor cost</v>
      </c>
      <c r="J48" s="4" t="str">
        <f>IFERROR(__xludf.DUMMYFUNCTION("""COMPUTED_VALUE"""),"company electrician cape town")</f>
        <v>company electrician cape town</v>
      </c>
      <c r="K48" s="4" t="str">
        <f>IFERROR(__xludf.DUMMYFUNCTION("""COMPUTED_VALUE"""),"aircon installation cost")</f>
        <v>aircon installation cost</v>
      </c>
      <c r="L48" s="4" t="str">
        <f>IFERROR(__xludf.DUMMYFUNCTION("""COMPUTED_VALUE"""),"company air conditioning repair")</f>
        <v>company air conditioning repair</v>
      </c>
      <c r="M48" s="4" t="str">
        <f>IFERROR(__xludf.DUMMYFUNCTION("""COMPUTED_VALUE"""),"electrical repairs flat")</f>
        <v>electrical repairs flat</v>
      </c>
      <c r="N48" s="4" t="str">
        <f>IFERROR(__xludf.DUMMYFUNCTION("""COMPUTED_VALUE"""),"commercial property maintenance plumber")</f>
        <v>commercial property maintenance plumber</v>
      </c>
      <c r="O48" s="4" t="str">
        <f>IFERROR(__xludf.DUMMYFUNCTION("""COMPUTED_VALUE"""),"bosman plumbers 24 hour")</f>
        <v>bosman plumbers 24 hour</v>
      </c>
      <c r="P48" s="4" t="str">
        <f>IFERROR(__xludf.DUMMYFUNCTION("""COMPUTED_VALUE"""),"certified plumber near me")</f>
        <v>certified plumber near me</v>
      </c>
      <c r="Q48" s="4" t="str">
        <f>IFERROR(__xludf.DUMMYFUNCTION("""COMPUTED_VALUE"""),"burst pipe near me for")</f>
        <v>burst pipe near me for</v>
      </c>
      <c r="R48" s="4" t="str">
        <f>IFERROR(__xludf.DUMMYFUNCTION("""COMPUTED_VALUE"""),"emergency help for leak detection")</f>
        <v>emergency help for leak detection</v>
      </c>
      <c r="S48" s="4"/>
      <c r="T48" s="4" t="str">
        <f>IFERROR(__xludf.DUMMYFUNCTION("""COMPUTED_VALUE"""),"absolute plumbing cape town insured")</f>
        <v>absolute plumbing cape town insured</v>
      </c>
      <c r="U48" s="4"/>
      <c r="V48" s="4"/>
      <c r="W48" s="4"/>
      <c r="X48" s="4"/>
      <c r="Y48" s="4"/>
      <c r="Z48" s="4"/>
    </row>
    <row r="49" ht="15.75" customHeight="1">
      <c r="A49" s="4" t="str">
        <f>IFERROR(__xludf.DUMMYFUNCTION("""COMPUTED_VALUE"""),"blocked drain plumber Southern Suburbs")</f>
        <v>blocked drain plumber Southern Suburbs</v>
      </c>
      <c r="B49" s="4" t="str">
        <f>IFERROR(__xludf.DUMMYFUNCTION("""COMPUTED_VALUE"""),"Cape Town plumbers")</f>
        <v>Cape Town plumbers</v>
      </c>
      <c r="C49" s="4" t="str">
        <f>IFERROR(__xludf.DUMMYFUNCTION("""COMPUTED_VALUE"""),"plumber cape town affordable")</f>
        <v>plumber cape town affordable</v>
      </c>
      <c r="D49" s="4" t="str">
        <f>IFERROR(__xludf.DUMMYFUNCTION("""COMPUTED_VALUE"""),"call out plumbing repairs")</f>
        <v>call out plumbing repairs</v>
      </c>
      <c r="E49" s="28" t="str">
        <f>IFERROR(__xludf.DUMMYFUNCTION("""COMPUTED_VALUE"""),"blocked toilet plumber emergency")</f>
        <v>blocked toilet plumber emergency</v>
      </c>
      <c r="F49" s="4" t="str">
        <f>IFERROR(__xludf.DUMMYFUNCTION("""COMPUTED_VALUE"""),"company burst pipe repair")</f>
        <v>company burst pipe repair</v>
      </c>
      <c r="G49" s="4" t="str">
        <f>IFERROR(__xludf.DUMMYFUNCTION("""COMPUTED_VALUE"""),"drain cleaning high pressure jetting")</f>
        <v>drain cleaning high pressure jetting</v>
      </c>
      <c r="H49" s="4" t="str">
        <f>IFERROR(__xludf.DUMMYFUNCTION("""COMPUTED_VALUE"""),"commercial leak detection")</f>
        <v>commercial leak detection</v>
      </c>
      <c r="I49" s="4" t="str">
        <f>IFERROR(__xludf.DUMMYFUNCTION("""COMPUTED_VALUE"""),"electrical contractor emergency")</f>
        <v>electrical contractor emergency</v>
      </c>
      <c r="J49" s="4" t="str">
        <f>IFERROR(__xludf.DUMMYFUNCTION("""COMPUTED_VALUE"""),"company emergency electrician")</f>
        <v>company emergency electrician</v>
      </c>
      <c r="K49" s="4" t="str">
        <f>IFERROR(__xludf.DUMMYFUNCTION("""COMPUTED_VALUE"""),"aircon installation emergency")</f>
        <v>aircon installation emergency</v>
      </c>
      <c r="L49" s="4" t="str">
        <f>IFERROR(__xludf.DUMMYFUNCTION("""COMPUTED_VALUE"""),"company aircon installation")</f>
        <v>company aircon installation</v>
      </c>
      <c r="M49" s="4" t="str">
        <f>IFERROR(__xludf.DUMMYFUNCTION("""COMPUTED_VALUE"""),"electrical repairs guesthouse")</f>
        <v>electrical repairs guesthouse</v>
      </c>
      <c r="N49" s="4" t="str">
        <f>IFERROR(__xludf.DUMMYFUNCTION("""COMPUTED_VALUE"""),"commercial property plumbing company")</f>
        <v>commercial property plumbing company</v>
      </c>
      <c r="O49" s="4" t="str">
        <f>IFERROR(__xludf.DUMMYFUNCTION("""COMPUTED_VALUE"""),"bosman plumbers affordable")</f>
        <v>bosman plumbers affordable</v>
      </c>
      <c r="P49" s="4" t="str">
        <f>IFERROR(__xludf.DUMMYFUNCTION("""COMPUTED_VALUE"""),"certified plumbers cape town")</f>
        <v>certified plumbers cape town</v>
      </c>
      <c r="Q49" s="4" t="str">
        <f>IFERROR(__xludf.DUMMYFUNCTION("""COMPUTED_VALUE"""),"burst pipe same day help for")</f>
        <v>burst pipe same day help for</v>
      </c>
      <c r="R49" s="4" t="str">
        <f>IFERROR(__xludf.DUMMYFUNCTION("""COMPUTED_VALUE"""),"emergency help for plumber cost")</f>
        <v>emergency help for plumber cost</v>
      </c>
      <c r="S49" s="4"/>
      <c r="T49" s="4" t="str">
        <f>IFERROR(__xludf.DUMMYFUNCTION("""COMPUTED_VALUE"""),"absolute plumbing cape town licensed")</f>
        <v>absolute plumbing cape town licensed</v>
      </c>
      <c r="U49" s="4"/>
      <c r="V49" s="4"/>
      <c r="W49" s="4"/>
      <c r="X49" s="4"/>
      <c r="Y49" s="4"/>
      <c r="Z49" s="4"/>
    </row>
    <row r="50" ht="15.75" customHeight="1">
      <c r="A50" s="4" t="str">
        <f>IFERROR(__xludf.DUMMYFUNCTION("""COMPUTED_VALUE"""),"blocked drain plumber Table View")</f>
        <v>blocked drain plumber Table View</v>
      </c>
      <c r="B50" s="4" t="str">
        <f>IFERROR(__xludf.DUMMYFUNCTION("""COMPUTED_VALUE"""),"Cape Town plumbing company")</f>
        <v>Cape Town plumbing company</v>
      </c>
      <c r="C50" s="4" t="str">
        <f>IFERROR(__xludf.DUMMYFUNCTION("""COMPUTED_VALUE"""),"plumber cape town after hours")</f>
        <v>plumber cape town after hours</v>
      </c>
      <c r="D50" s="4" t="str">
        <f>IFERROR(__xludf.DUMMYFUNCTION("""COMPUTED_VALUE"""),"call out plumbing services")</f>
        <v>call out plumbing services</v>
      </c>
      <c r="E50" s="28" t="str">
        <f>IFERROR(__xludf.DUMMYFUNCTION("""COMPUTED_VALUE"""),"blocked toilet plumber fast")</f>
        <v>blocked toilet plumber fast</v>
      </c>
      <c r="F50" s="4" t="str">
        <f>IFERROR(__xludf.DUMMYFUNCTION("""COMPUTED_VALUE"""),"company emergency plumber")</f>
        <v>company emergency plumber</v>
      </c>
      <c r="G50" s="4" t="str">
        <f>IFERROR(__xludf.DUMMYFUNCTION("""COMPUTED_VALUE"""),"drain cleaning installation")</f>
        <v>drain cleaning installation</v>
      </c>
      <c r="H50" s="4" t="str">
        <f>IFERROR(__xludf.DUMMYFUNCTION("""COMPUTED_VALUE"""),"commercial pipe repair")</f>
        <v>commercial pipe repair</v>
      </c>
      <c r="I50" s="4" t="str">
        <f>IFERROR(__xludf.DUMMYFUNCTION("""COMPUTED_VALUE"""),"electrical contractor inspection")</f>
        <v>electrical contractor inspection</v>
      </c>
      <c r="J50" s="4" t="str">
        <f>IFERROR(__xludf.DUMMYFUNCTION("""COMPUTED_VALUE"""),"company residential electrician")</f>
        <v>company residential electrician</v>
      </c>
      <c r="K50" s="4" t="str">
        <f>IFERROR(__xludf.DUMMYFUNCTION("""COMPUTED_VALUE"""),"aircon installation local")</f>
        <v>aircon installation local</v>
      </c>
      <c r="L50" s="4" t="str">
        <f>IFERROR(__xludf.DUMMYFUNCTION("""COMPUTED_VALUE"""),"company aircon repair")</f>
        <v>company aircon repair</v>
      </c>
      <c r="M50" s="4" t="str">
        <f>IFERROR(__xludf.DUMMYFUNCTION("""COMPUTED_VALUE"""),"electrical repairs home")</f>
        <v>electrical repairs home</v>
      </c>
      <c r="N50" s="4" t="str">
        <f>IFERROR(__xludf.DUMMYFUNCTION("""COMPUTED_VALUE"""),"commercial property plumbing services")</f>
        <v>commercial property plumbing services</v>
      </c>
      <c r="O50" s="4" t="str">
        <f>IFERROR(__xludf.DUMMYFUNCTION("""COMPUTED_VALUE"""),"bosman plumbers alternatives")</f>
        <v>bosman plumbers alternatives</v>
      </c>
      <c r="P50" s="4" t="str">
        <f>IFERROR(__xludf.DUMMYFUNCTION("""COMPUTED_VALUE"""),"certified plumbing company cape town")</f>
        <v>certified plumbing company cape town</v>
      </c>
      <c r="Q50" s="4" t="str">
        <f>IFERROR(__xludf.DUMMYFUNCTION("""COMPUTED_VALUE"""),"burst pipe signs you need")</f>
        <v>burst pipe signs you need</v>
      </c>
      <c r="R50" s="4" t="str">
        <f>IFERROR(__xludf.DUMMYFUNCTION("""COMPUTED_VALUE"""),"emergency help for plumbing maintenance")</f>
        <v>emergency help for plumbing maintenance</v>
      </c>
      <c r="S50" s="4"/>
      <c r="T50" s="4" t="str">
        <f>IFERROR(__xludf.DUMMYFUNCTION("""COMPUTED_VALUE"""),"absolute plumbing cape town local")</f>
        <v>absolute plumbing cape town local</v>
      </c>
      <c r="U50" s="4"/>
      <c r="V50" s="4"/>
      <c r="W50" s="4"/>
      <c r="X50" s="4"/>
      <c r="Y50" s="4"/>
      <c r="Z50" s="4"/>
    </row>
    <row r="51" ht="15.75" customHeight="1">
      <c r="A51" s="4" t="str">
        <f>IFERROR(__xludf.DUMMYFUNCTION("""COMPUTED_VALUE"""),"blocked drain plumber Tokai")</f>
        <v>blocked drain plumber Tokai</v>
      </c>
      <c r="B51" s="4" t="str">
        <f>IFERROR(__xludf.DUMMYFUNCTION("""COMPUTED_VALUE"""),"Cape Town refrigeration services")</f>
        <v>Cape Town refrigeration services</v>
      </c>
      <c r="C51" s="4" t="str">
        <f>IFERROR(__xludf.DUMMYFUNCTION("""COMPUTED_VALUE"""),"plumber cape town best")</f>
        <v>plumber cape town best</v>
      </c>
      <c r="D51" s="4" t="str">
        <f>IFERROR(__xludf.DUMMYFUNCTION("""COMPUTED_VALUE"""),"call out residential plumber")</f>
        <v>call out residential plumber</v>
      </c>
      <c r="E51" s="28" t="str">
        <f>IFERROR(__xludf.DUMMYFUNCTION("""COMPUTED_VALUE"""),"blocked toilet plumber local")</f>
        <v>blocked toilet plumber local</v>
      </c>
      <c r="F51" s="4" t="str">
        <f>IFERROR(__xludf.DUMMYFUNCTION("""COMPUTED_VALUE"""),"company kitchen plumbing repair")</f>
        <v>company kitchen plumbing repair</v>
      </c>
      <c r="G51" s="4" t="str">
        <f>IFERROR(__xludf.DUMMYFUNCTION("""COMPUTED_VALUE"""),"drain cleaning near me")</f>
        <v>drain cleaning near me</v>
      </c>
      <c r="H51" s="4" t="str">
        <f>IFERROR(__xludf.DUMMYFUNCTION("""COMPUTED_VALUE"""),"commercial water leak detection")</f>
        <v>commercial water leak detection</v>
      </c>
      <c r="I51" s="4" t="str">
        <f>IFERROR(__xludf.DUMMYFUNCTION("""COMPUTED_VALUE"""),"electrical contractor installation")</f>
        <v>electrical contractor installation</v>
      </c>
      <c r="J51" s="4" t="str">
        <f>IFERROR(__xludf.DUMMYFUNCTION("""COMPUTED_VALUE"""),"contractor commercial electrician")</f>
        <v>contractor commercial electrician</v>
      </c>
      <c r="K51" s="4" t="str">
        <f>IFERROR(__xludf.DUMMYFUNCTION("""COMPUTED_VALUE"""),"aircon installation maintenance")</f>
        <v>aircon installation maintenance</v>
      </c>
      <c r="L51" s="4" t="str">
        <f>IFERROR(__xludf.DUMMYFUNCTION("""COMPUTED_VALUE"""),"company aircon service")</f>
        <v>company aircon service</v>
      </c>
      <c r="M51" s="4" t="str">
        <f>IFERROR(__xludf.DUMMYFUNCTION("""COMPUTED_VALUE"""),"electrical repairs hotel")</f>
        <v>electrical repairs hotel</v>
      </c>
      <c r="N51" s="4" t="str">
        <f>IFERROR(__xludf.DUMMYFUNCTION("""COMPUTED_VALUE"""),"commercial property refrigeration services")</f>
        <v>commercial property refrigeration services</v>
      </c>
      <c r="O51" s="4" t="str">
        <f>IFERROR(__xludf.DUMMYFUNCTION("""COMPUTED_VALUE"""),"bosman plumbers best")</f>
        <v>bosman plumbers best</v>
      </c>
      <c r="P51" s="4" t="str">
        <f>IFERROR(__xludf.DUMMYFUNCTION("""COMPUTED_VALUE"""),"certified schmidhauser plumbing")</f>
        <v>certified schmidhauser plumbing</v>
      </c>
      <c r="Q51" s="4" t="str">
        <f>IFERROR(__xludf.DUMMYFUNCTION("""COMPUTED_VALUE"""),"burst pipe what causes")</f>
        <v>burst pipe what causes</v>
      </c>
      <c r="R51" s="4" t="str">
        <f>IFERROR(__xludf.DUMMYFUNCTION("""COMPUTED_VALUE"""),"emergency help for refrigeration repair")</f>
        <v>emergency help for refrigeration repair</v>
      </c>
      <c r="S51" s="4"/>
      <c r="T51" s="4" t="str">
        <f>IFERROR(__xludf.DUMMYFUNCTION("""COMPUTED_VALUE"""),"absolute plumbing cape town near me")</f>
        <v>absolute plumbing cape town near me</v>
      </c>
      <c r="U51" s="4"/>
      <c r="V51" s="4"/>
      <c r="W51" s="4"/>
      <c r="X51" s="4"/>
      <c r="Y51" s="4"/>
      <c r="Z51" s="4"/>
    </row>
    <row r="52" ht="15.75" customHeight="1">
      <c r="A52" s="4" t="str">
        <f>IFERROR(__xludf.DUMMYFUNCTION("""COMPUTED_VALUE"""),"blocked drain plumber Woodstock")</f>
        <v>blocked drain plumber Woodstock</v>
      </c>
      <c r="B52" s="4" t="str">
        <f>IFERROR(__xludf.DUMMYFUNCTION("""COMPUTED_VALUE"""),"Claremont aircon repairs")</f>
        <v>Claremont aircon repairs</v>
      </c>
      <c r="C52" s="4" t="str">
        <f>IFERROR(__xludf.DUMMYFUNCTION("""COMPUTED_VALUE"""),"plumber cape town call out")</f>
        <v>plumber cape town call out</v>
      </c>
      <c r="D52" s="4" t="str">
        <f>IFERROR(__xludf.DUMMYFUNCTION("""COMPUTED_VALUE"""),"company commercial plumber")</f>
        <v>company commercial plumber</v>
      </c>
      <c r="E52" s="28" t="str">
        <f>IFERROR(__xludf.DUMMYFUNCTION("""COMPUTED_VALUE"""),"blocked toilet plumber near me")</f>
        <v>blocked toilet plumber near me</v>
      </c>
      <c r="F52" s="4" t="str">
        <f>IFERROR(__xludf.DUMMYFUNCTION("""COMPUTED_VALUE"""),"company leaking pipe repair")</f>
        <v>company leaking pipe repair</v>
      </c>
      <c r="G52" s="4" t="str">
        <f>IFERROR(__xludf.DUMMYFUNCTION("""COMPUTED_VALUE"""),"drain cleaning plumber")</f>
        <v>drain cleaning plumber</v>
      </c>
      <c r="H52" s="4" t="str">
        <f>IFERROR(__xludf.DUMMYFUNCTION("""COMPUTED_VALUE"""),"cost blocked drain")</f>
        <v>cost blocked drain</v>
      </c>
      <c r="I52" s="4" t="str">
        <f>IFERROR(__xludf.DUMMYFUNCTION("""COMPUTED_VALUE"""),"electrical contractor licensed")</f>
        <v>electrical contractor licensed</v>
      </c>
      <c r="J52" s="4" t="str">
        <f>IFERROR(__xludf.DUMMYFUNCTION("""COMPUTED_VALUE"""),"contractor electrical compliance certificate")</f>
        <v>contractor electrical compliance certificate</v>
      </c>
      <c r="K52" s="4" t="str">
        <f>IFERROR(__xludf.DUMMYFUNCTION("""COMPUTED_VALUE"""),"aircon installation near me")</f>
        <v>aircon installation near me</v>
      </c>
      <c r="L52" s="4" t="str">
        <f>IFERROR(__xludf.DUMMYFUNCTION("""COMPUTED_VALUE"""),"company cold room repair")</f>
        <v>company cold room repair</v>
      </c>
      <c r="M52" s="4" t="str">
        <f>IFERROR(__xludf.DUMMYFUNCTION("""COMPUTED_VALUE"""),"electrical repairs house")</f>
        <v>electrical repairs house</v>
      </c>
      <c r="N52" s="4" t="str">
        <f>IFERROR(__xludf.DUMMYFUNCTION("""COMPUTED_VALUE"""),"estate agent air conditioning services")</f>
        <v>estate agent air conditioning services</v>
      </c>
      <c r="O52" s="4" t="str">
        <f>IFERROR(__xludf.DUMMYFUNCTION("""COMPUTED_VALUE"""),"bosman plumbers certified")</f>
        <v>bosman plumbers certified</v>
      </c>
      <c r="P52" s="4" t="str">
        <f>IFERROR(__xludf.DUMMYFUNCTION("""COMPUTED_VALUE"""),"compare absolute plumbing cape town")</f>
        <v>compare absolute plumbing cape town</v>
      </c>
      <c r="Q52" s="4" t="str">
        <f>IFERROR(__xludf.DUMMYFUNCTION("""COMPUTED_VALUE"""),"burst pipe what is")</f>
        <v>burst pipe what is</v>
      </c>
      <c r="R52" s="4" t="str">
        <f>IFERROR(__xludf.DUMMYFUNCTION("""COMPUTED_VALUE"""),"how long does aircon service")</f>
        <v>how long does aircon service</v>
      </c>
      <c r="S52" s="4"/>
      <c r="T52" s="4" t="str">
        <f>IFERROR(__xludf.DUMMYFUNCTION("""COMPUTED_VALUE"""),"absolute plumbing cape town prices")</f>
        <v>absolute plumbing cape town prices</v>
      </c>
      <c r="U52" s="4"/>
      <c r="V52" s="4"/>
      <c r="W52" s="4"/>
      <c r="X52" s="4"/>
      <c r="Y52" s="4"/>
      <c r="Z52" s="4"/>
    </row>
    <row r="53" ht="15.75" customHeight="1">
      <c r="A53" s="4" t="str">
        <f>IFERROR(__xludf.DUMMYFUNCTION("""COMPUTED_VALUE"""),"blocked drain plumber Wynberg")</f>
        <v>blocked drain plumber Wynberg</v>
      </c>
      <c r="B53" s="4" t="str">
        <f>IFERROR(__xludf.DUMMYFUNCTION("""COMPUTED_VALUE"""),"Claremont blocked drain plumber")</f>
        <v>Claremont blocked drain plumber</v>
      </c>
      <c r="C53" s="4" t="str">
        <f>IFERROR(__xludf.DUMMYFUNCTION("""COMPUTED_VALUE"""),"plumber cape town company")</f>
        <v>plumber cape town company</v>
      </c>
      <c r="D53" s="4" t="str">
        <f>IFERROR(__xludf.DUMMYFUNCTION("""COMPUTED_VALUE"""),"company maintenance plumber")</f>
        <v>company maintenance plumber</v>
      </c>
      <c r="E53" s="28" t="str">
        <f>IFERROR(__xludf.DUMMYFUNCTION("""COMPUTED_VALUE"""),"blocked toilet plumber professional")</f>
        <v>blocked toilet plumber professional</v>
      </c>
      <c r="F53" s="4" t="str">
        <f>IFERROR(__xludf.DUMMYFUNCTION("""COMPUTED_VALUE"""),"company leaking tap repair")</f>
        <v>company leaking tap repair</v>
      </c>
      <c r="G53" s="4" t="str">
        <f>IFERROR(__xludf.DUMMYFUNCTION("""COMPUTED_VALUE"""),"drain cleaning plumbing company")</f>
        <v>drain cleaning plumbing company</v>
      </c>
      <c r="H53" s="4" t="str">
        <f>IFERROR(__xludf.DUMMYFUNCTION("""COMPUTED_VALUE"""),"cost burst geyser")</f>
        <v>cost burst geyser</v>
      </c>
      <c r="I53" s="4" t="str">
        <f>IFERROR(__xludf.DUMMYFUNCTION("""COMPUTED_VALUE"""),"electrical contractor local")</f>
        <v>electrical contractor local</v>
      </c>
      <c r="J53" s="4" t="str">
        <f>IFERROR(__xludf.DUMMYFUNCTION("""COMPUTED_VALUE"""),"contractor electrical installation")</f>
        <v>contractor electrical installation</v>
      </c>
      <c r="K53" s="4" t="str">
        <f>IFERROR(__xludf.DUMMYFUNCTION("""COMPUTED_VALUE"""),"aircon installation professional")</f>
        <v>aircon installation professional</v>
      </c>
      <c r="L53" s="4" t="str">
        <f>IFERROR(__xludf.DUMMYFUNCTION("""COMPUTED_VALUE"""),"company commercial refrigeration")</f>
        <v>company commercial refrigeration</v>
      </c>
      <c r="M53" s="4" t="str">
        <f>IFERROR(__xludf.DUMMYFUNCTION("""COMPUTED_VALUE"""),"electrical repairs landlord")</f>
        <v>electrical repairs landlord</v>
      </c>
      <c r="N53" s="4" t="str">
        <f>IFERROR(__xludf.DUMMYFUNCTION("""COMPUTED_VALUE"""),"estate agent drain cleaning")</f>
        <v>estate agent drain cleaning</v>
      </c>
      <c r="O53" s="4" t="str">
        <f>IFERROR(__xludf.DUMMYFUNCTION("""COMPUTED_VALUE"""),"bosman plumbers compare")</f>
        <v>bosman plumbers compare</v>
      </c>
      <c r="P53" s="4" t="str">
        <f>IFERROR(__xludf.DUMMYFUNCTION("""COMPUTED_VALUE"""),"compare aircon repair cape town")</f>
        <v>compare aircon repair cape town</v>
      </c>
      <c r="Q53" s="4" t="str">
        <f>IFERROR(__xludf.DUMMYFUNCTION("""COMPUTED_VALUE"""),"burst pipe when to call a")</f>
        <v>burst pipe when to call a</v>
      </c>
      <c r="R53" s="4" t="str">
        <f>IFERROR(__xludf.DUMMYFUNCTION("""COMPUTED_VALUE"""),"how long does blocked drain")</f>
        <v>how long does blocked drain</v>
      </c>
      <c r="S53" s="4"/>
      <c r="T53" s="4" t="str">
        <f>IFERROR(__xludf.DUMMYFUNCTION("""COMPUTED_VALUE"""),"absolute plumbing cape town qualified")</f>
        <v>absolute plumbing cape town qualified</v>
      </c>
      <c r="U53" s="4"/>
      <c r="V53" s="4"/>
      <c r="W53" s="4"/>
      <c r="X53" s="4"/>
      <c r="Y53" s="4"/>
      <c r="Z53" s="4"/>
    </row>
    <row r="54" ht="15.75" customHeight="1">
      <c r="A54" s="4" t="str">
        <f>IFERROR(__xludf.DUMMYFUNCTION("""COMPUTED_VALUE"""),"electrician Atlantic Seaboard")</f>
        <v>electrician Atlantic Seaboard</v>
      </c>
      <c r="B54" s="4" t="str">
        <f>IFERROR(__xludf.DUMMYFUNCTION("""COMPUTED_VALUE"""),"Claremont electrician")</f>
        <v>Claremont electrician</v>
      </c>
      <c r="C54" s="4" t="str">
        <f>IFERROR(__xludf.DUMMYFUNCTION("""COMPUTED_VALUE"""),"plumber cape town contractor")</f>
        <v>plumber cape town contractor</v>
      </c>
      <c r="D54" s="4" t="str">
        <f>IFERROR(__xludf.DUMMYFUNCTION("""COMPUTED_VALUE"""),"company plumber cape town")</f>
        <v>company plumber cape town</v>
      </c>
      <c r="E54" s="28" t="str">
        <f>IFERROR(__xludf.DUMMYFUNCTION("""COMPUTED_VALUE"""),"blocked toilet plumber quote")</f>
        <v>blocked toilet plumber quote</v>
      </c>
      <c r="F54" s="4" t="str">
        <f>IFERROR(__xludf.DUMMYFUNCTION("""COMPUTED_VALUE"""),"company toilet repair")</f>
        <v>company toilet repair</v>
      </c>
      <c r="G54" s="4" t="str">
        <f>IFERROR(__xludf.DUMMYFUNCTION("""COMPUTED_VALUE"""),"drain cleaning quote")</f>
        <v>drain cleaning quote</v>
      </c>
      <c r="H54" s="4" t="str">
        <f>IFERROR(__xludf.DUMMYFUNCTION("""COMPUTED_VALUE"""),"cost drain cleaning")</f>
        <v>cost drain cleaning</v>
      </c>
      <c r="I54" s="4" t="str">
        <f>IFERROR(__xludf.DUMMYFUNCTION("""COMPUTED_VALUE"""),"electrical contractor near me")</f>
        <v>electrical contractor near me</v>
      </c>
      <c r="J54" s="4" t="str">
        <f>IFERROR(__xludf.DUMMYFUNCTION("""COMPUTED_VALUE"""),"contractor electrical maintenance")</f>
        <v>contractor electrical maintenance</v>
      </c>
      <c r="K54" s="4" t="str">
        <f>IFERROR(__xludf.DUMMYFUNCTION("""COMPUTED_VALUE"""),"aircon installation quote")</f>
        <v>aircon installation quote</v>
      </c>
      <c r="L54" s="4" t="str">
        <f>IFERROR(__xludf.DUMMYFUNCTION("""COMPUTED_VALUE"""),"company fridge repair")</f>
        <v>company fridge repair</v>
      </c>
      <c r="M54" s="4" t="str">
        <f>IFERROR(__xludf.DUMMYFUNCTION("""COMPUTED_VALUE"""),"electrical repairs office")</f>
        <v>electrical repairs office</v>
      </c>
      <c r="N54" s="4" t="str">
        <f>IFERROR(__xludf.DUMMYFUNCTION("""COMPUTED_VALUE"""),"estate agent electrical repairs")</f>
        <v>estate agent electrical repairs</v>
      </c>
      <c r="O54" s="4" t="str">
        <f>IFERROR(__xludf.DUMMYFUNCTION("""COMPUTED_VALUE"""),"bosman plumbers complaints")</f>
        <v>bosman plumbers complaints</v>
      </c>
      <c r="P54" s="4" t="str">
        <f>IFERROR(__xludf.DUMMYFUNCTION("""COMPUTED_VALUE"""),"compare bosman plumbers")</f>
        <v>compare bosman plumbers</v>
      </c>
      <c r="Q54" s="4" t="str">
        <f>IFERROR(__xludf.DUMMYFUNCTION("""COMPUTED_VALUE"""),"burst pipe who fixes")</f>
        <v>burst pipe who fixes</v>
      </c>
      <c r="R54" s="4" t="str">
        <f>IFERROR(__xludf.DUMMYFUNCTION("""COMPUTED_VALUE"""),"how long does burst pipe")</f>
        <v>how long does burst pipe</v>
      </c>
      <c r="S54" s="4"/>
      <c r="T54" s="4" t="str">
        <f>IFERROR(__xludf.DUMMYFUNCTION("""COMPUTED_VALUE"""),"absolute plumbing cape town quote")</f>
        <v>absolute plumbing cape town quote</v>
      </c>
      <c r="U54" s="4"/>
      <c r="V54" s="4"/>
      <c r="W54" s="4"/>
      <c r="X54" s="4"/>
      <c r="Y54" s="4"/>
      <c r="Z54" s="4"/>
    </row>
    <row r="55" ht="15.75" customHeight="1">
      <c r="A55" s="4" t="str">
        <f>IFERROR(__xludf.DUMMYFUNCTION("""COMPUTED_VALUE"""),"electrician Bellville")</f>
        <v>electrician Bellville</v>
      </c>
      <c r="B55" s="4" t="str">
        <f>IFERROR(__xludf.DUMMYFUNCTION("""COMPUTED_VALUE"""),"Claremont emergency plumber")</f>
        <v>Claremont emergency plumber</v>
      </c>
      <c r="C55" s="4" t="str">
        <f>IFERROR(__xludf.DUMMYFUNCTION("""COMPUTED_VALUE"""),"plumber cape town cost")</f>
        <v>plumber cape town cost</v>
      </c>
      <c r="D55" s="4" t="str">
        <f>IFERROR(__xludf.DUMMYFUNCTION("""COMPUTED_VALUE"""),"company plumbing contractors")</f>
        <v>company plumbing contractors</v>
      </c>
      <c r="E55" s="28" t="str">
        <f>IFERROR(__xludf.DUMMYFUNCTION("""COMPUTED_VALUE"""),"blocked toilet plumber reliable")</f>
        <v>blocked toilet plumber reliable</v>
      </c>
      <c r="F55" s="4" t="str">
        <f>IFERROR(__xludf.DUMMYFUNCTION("""COMPUTED_VALUE"""),"company water leak repair")</f>
        <v>company water leak repair</v>
      </c>
      <c r="G55" s="4" t="str">
        <f>IFERROR(__xludf.DUMMYFUNCTION("""COMPUTED_VALUE"""),"drain cleaning reliable")</f>
        <v>drain cleaning reliable</v>
      </c>
      <c r="H55" s="4" t="str">
        <f>IFERROR(__xludf.DUMMYFUNCTION("""COMPUTED_VALUE"""),"cost drain inspection")</f>
        <v>cost drain inspection</v>
      </c>
      <c r="I55" s="4" t="str">
        <f>IFERROR(__xludf.DUMMYFUNCTION("""COMPUTED_VALUE"""),"electrical contractor professional")</f>
        <v>electrical contractor professional</v>
      </c>
      <c r="J55" s="4" t="str">
        <f>IFERROR(__xludf.DUMMYFUNCTION("""COMPUTED_VALUE"""),"contractor electrical repairs")</f>
        <v>contractor electrical repairs</v>
      </c>
      <c r="K55" s="4" t="str">
        <f>IFERROR(__xludf.DUMMYFUNCTION("""COMPUTED_VALUE"""),"aircon installation reliable")</f>
        <v>aircon installation reliable</v>
      </c>
      <c r="L55" s="4" t="str">
        <f>IFERROR(__xludf.DUMMYFUNCTION("""COMPUTED_VALUE"""),"company HVAC services")</f>
        <v>company HVAC services</v>
      </c>
      <c r="M55" s="4" t="str">
        <f>IFERROR(__xludf.DUMMYFUNCTION("""COMPUTED_VALUE"""),"electrical repairs property manager")</f>
        <v>electrical repairs property manager</v>
      </c>
      <c r="N55" s="4" t="str">
        <f>IFERROR(__xludf.DUMMYFUNCTION("""COMPUTED_VALUE"""),"estate agent emergency plumbing")</f>
        <v>estate agent emergency plumbing</v>
      </c>
      <c r="O55" s="4" t="str">
        <f>IFERROR(__xludf.DUMMYFUNCTION("""COMPUTED_VALUE"""),"bosman plumbers cost")</f>
        <v>bosman plumbers cost</v>
      </c>
      <c r="P55" s="4" t="str">
        <f>IFERROR(__xludf.DUMMYFUNCTION("""COMPUTED_VALUE"""),"compare drain surgeon cape town")</f>
        <v>compare drain surgeon cape town</v>
      </c>
      <c r="Q55" s="4" t="str">
        <f>IFERROR(__xludf.DUMMYFUNCTION("""COMPUTED_VALUE"""),"burst pipe why is my")</f>
        <v>burst pipe why is my</v>
      </c>
      <c r="R55" s="4" t="str">
        <f>IFERROR(__xludf.DUMMYFUNCTION("""COMPUTED_VALUE"""),"how long does electrical COC")</f>
        <v>how long does electrical COC</v>
      </c>
      <c r="S55" s="4"/>
      <c r="T55" s="4" t="str">
        <f>IFERROR(__xludf.DUMMYFUNCTION("""COMPUTED_VALUE"""),"absolute plumbing cape town reliable")</f>
        <v>absolute plumbing cape town reliable</v>
      </c>
      <c r="U55" s="4"/>
      <c r="V55" s="4"/>
      <c r="W55" s="4"/>
      <c r="X55" s="4"/>
      <c r="Y55" s="4"/>
      <c r="Z55" s="4"/>
    </row>
    <row r="56" ht="15.75" customHeight="1">
      <c r="A56" s="4" t="str">
        <f>IFERROR(__xludf.DUMMYFUNCTION("""COMPUTED_VALUE"""),"electrician Camps Bay")</f>
        <v>electrician Camps Bay</v>
      </c>
      <c r="B56" s="4" t="str">
        <f>IFERROR(__xludf.DUMMYFUNCTION("""COMPUTED_VALUE"""),"Claremont geyser repair")</f>
        <v>Claremont geyser repair</v>
      </c>
      <c r="C56" s="4" t="str">
        <f>IFERROR(__xludf.DUMMYFUNCTION("""COMPUTED_VALUE"""),"plumber cape town emergency")</f>
        <v>plumber cape town emergency</v>
      </c>
      <c r="D56" s="4" t="str">
        <f>IFERROR(__xludf.DUMMYFUNCTION("""COMPUTED_VALUE"""),"company plumbing inspection")</f>
        <v>company plumbing inspection</v>
      </c>
      <c r="E56" s="28" t="str">
        <f>IFERROR(__xludf.DUMMYFUNCTION("""COMPUTED_VALUE"""),"blocked toilet plumber repair")</f>
        <v>blocked toilet plumber repair</v>
      </c>
      <c r="F56" s="4" t="str">
        <f>IFERROR(__xludf.DUMMYFUNCTION("""COMPUTED_VALUE"""),"cost 24 hour plumber")</f>
        <v>cost 24 hour plumber</v>
      </c>
      <c r="G56" s="4" t="str">
        <f>IFERROR(__xludf.DUMMYFUNCTION("""COMPUTED_VALUE"""),"drain cleaning repair")</f>
        <v>drain cleaning repair</v>
      </c>
      <c r="H56" s="4" t="str">
        <f>IFERROR(__xludf.DUMMYFUNCTION("""COMPUTED_VALUE"""),"cost drain unblocking")</f>
        <v>cost drain unblocking</v>
      </c>
      <c r="I56" s="4" t="str">
        <f>IFERROR(__xludf.DUMMYFUNCTION("""COMPUTED_VALUE"""),"electrical contractor qualified")</f>
        <v>electrical contractor qualified</v>
      </c>
      <c r="J56" s="4" t="str">
        <f>IFERROR(__xludf.DUMMYFUNCTION("""COMPUTED_VALUE"""),"contractor electrical services")</f>
        <v>contractor electrical services</v>
      </c>
      <c r="K56" s="4" t="str">
        <f>IFERROR(__xludf.DUMMYFUNCTION("""COMPUTED_VALUE"""),"aircon installation repair")</f>
        <v>aircon installation repair</v>
      </c>
      <c r="L56" s="4" t="str">
        <f>IFERROR(__xludf.DUMMYFUNCTION("""COMPUTED_VALUE"""),"company refrigeration repair")</f>
        <v>company refrigeration repair</v>
      </c>
      <c r="M56" s="4" t="str">
        <f>IFERROR(__xludf.DUMMYFUNCTION("""COMPUTED_VALUE"""),"electrical repairs residential property")</f>
        <v>electrical repairs residential property</v>
      </c>
      <c r="N56" s="4" t="str">
        <f>IFERROR(__xludf.DUMMYFUNCTION("""COMPUTED_VALUE"""),"estate agent geyser repairs")</f>
        <v>estate agent geyser repairs</v>
      </c>
      <c r="O56" s="4" t="str">
        <f>IFERROR(__xludf.DUMMYFUNCTION("""COMPUTED_VALUE"""),"bosman plumbers insured")</f>
        <v>bosman plumbers insured</v>
      </c>
      <c r="P56" s="4" t="str">
        <f>IFERROR(__xludf.DUMMYFUNCTION("""COMPUTED_VALUE"""),"compare electrician cape town")</f>
        <v>compare electrician cape town</v>
      </c>
      <c r="Q56" s="4" t="str">
        <f>IFERROR(__xludf.DUMMYFUNCTION("""COMPUTED_VALUE"""),"electrical COC best way to fix")</f>
        <v>electrical COC best way to fix</v>
      </c>
      <c r="R56" s="4" t="str">
        <f>IFERROR(__xludf.DUMMYFUNCTION("""COMPUTED_VALUE"""),"how long does emergency plumber")</f>
        <v>how long does emergency plumber</v>
      </c>
      <c r="S56" s="4"/>
      <c r="T56" s="4" t="str">
        <f>IFERROR(__xludf.DUMMYFUNCTION("""COMPUTED_VALUE"""),"absolute plumbing cape town reputable")</f>
        <v>absolute plumbing cape town reputable</v>
      </c>
      <c r="U56" s="4"/>
      <c r="V56" s="4"/>
      <c r="W56" s="4"/>
      <c r="X56" s="4"/>
      <c r="Y56" s="4"/>
      <c r="Z56" s="4"/>
    </row>
    <row r="57" ht="15.75" customHeight="1">
      <c r="A57" s="4" t="str">
        <f>IFERROR(__xludf.DUMMYFUNCTION("""COMPUTED_VALUE"""),"electrician Cape Town")</f>
        <v>electrician Cape Town</v>
      </c>
      <c r="B57" s="4" t="str">
        <f>IFERROR(__xludf.DUMMYFUNCTION("""COMPUTED_VALUE"""),"Claremont leak detection plumber")</f>
        <v>Claremont leak detection plumber</v>
      </c>
      <c r="C57" s="4" t="str">
        <f>IFERROR(__xludf.DUMMYFUNCTION("""COMPUTED_VALUE"""),"plumber cape town installation")</f>
        <v>plumber cape town installation</v>
      </c>
      <c r="D57" s="4" t="str">
        <f>IFERROR(__xludf.DUMMYFUNCTION("""COMPUTED_VALUE"""),"company plumbing installation")</f>
        <v>company plumbing installation</v>
      </c>
      <c r="E57" s="28" t="str">
        <f>IFERROR(__xludf.DUMMYFUNCTION("""COMPUTED_VALUE"""),"blocked toilet plumber residential")</f>
        <v>blocked toilet plumber residential</v>
      </c>
      <c r="F57" s="4" t="str">
        <f>IFERROR(__xludf.DUMMYFUNCTION("""COMPUTED_VALUE"""),"cost bathroom plumbing repair")</f>
        <v>cost bathroom plumbing repair</v>
      </c>
      <c r="G57" s="4" t="str">
        <f>IFERROR(__xludf.DUMMYFUNCTION("""COMPUTED_VALUE"""),"drain cleaning replacement")</f>
        <v>drain cleaning replacement</v>
      </c>
      <c r="H57" s="4" t="str">
        <f>IFERROR(__xludf.DUMMYFUNCTION("""COMPUTED_VALUE"""),"cost geyser repair")</f>
        <v>cost geyser repair</v>
      </c>
      <c r="I57" s="4" t="str">
        <f>IFERROR(__xludf.DUMMYFUNCTION("""COMPUTED_VALUE"""),"electrical contractor quote")</f>
        <v>electrical contractor quote</v>
      </c>
      <c r="J57" s="4" t="str">
        <f>IFERROR(__xludf.DUMMYFUNCTION("""COMPUTED_VALUE"""),"contractor electrician cape town")</f>
        <v>contractor electrician cape town</v>
      </c>
      <c r="K57" s="4" t="str">
        <f>IFERROR(__xludf.DUMMYFUNCTION("""COMPUTED_VALUE"""),"aircon installation residential")</f>
        <v>aircon installation residential</v>
      </c>
      <c r="L57" s="4" t="str">
        <f>IFERROR(__xludf.DUMMYFUNCTION("""COMPUTED_VALUE"""),"contractor air conditioning")</f>
        <v>contractor air conditioning</v>
      </c>
      <c r="M57" s="4" t="str">
        <f>IFERROR(__xludf.DUMMYFUNCTION("""COMPUTED_VALUE"""),"electrical repairs restaurant")</f>
        <v>electrical repairs restaurant</v>
      </c>
      <c r="N57" s="4" t="str">
        <f>IFERROR(__xludf.DUMMYFUNCTION("""COMPUTED_VALUE"""),"estate agent leak detection")</f>
        <v>estate agent leak detection</v>
      </c>
      <c r="O57" s="4" t="str">
        <f>IFERROR(__xludf.DUMMYFUNCTION("""COMPUTED_VALUE"""),"bosman plumbers licensed")</f>
        <v>bosman plumbers licensed</v>
      </c>
      <c r="P57" s="4" t="str">
        <f>IFERROR(__xludf.DUMMYFUNCTION("""COMPUTED_VALUE"""),"compare emergency plumber cape town")</f>
        <v>compare emergency plumber cape town</v>
      </c>
      <c r="Q57" s="4" t="str">
        <f>IFERROR(__xludf.DUMMYFUNCTION("""COMPUTED_VALUE"""),"electrical COC can a plumber fix")</f>
        <v>electrical COC can a plumber fix</v>
      </c>
      <c r="R57" s="4" t="str">
        <f>IFERROR(__xludf.DUMMYFUNCTION("""COMPUTED_VALUE"""),"how long does geyser repair")</f>
        <v>how long does geyser repair</v>
      </c>
      <c r="S57" s="4"/>
      <c r="T57" s="4" t="str">
        <f>IFERROR(__xludf.DUMMYFUNCTION("""COMPUTED_VALUE"""),"absolute plumbing cape town review")</f>
        <v>absolute plumbing cape town review</v>
      </c>
      <c r="U57" s="4"/>
      <c r="V57" s="4"/>
      <c r="W57" s="4"/>
      <c r="X57" s="4"/>
      <c r="Y57" s="4"/>
      <c r="Z57" s="4"/>
    </row>
    <row r="58" ht="15.75" customHeight="1">
      <c r="A58" s="4" t="str">
        <f>IFERROR(__xludf.DUMMYFUNCTION("""COMPUTED_VALUE"""),"electrician Cape Town CBD")</f>
        <v>electrician Cape Town CBD</v>
      </c>
      <c r="B58" s="4" t="str">
        <f>IFERROR(__xludf.DUMMYFUNCTION("""COMPUTED_VALUE"""),"Claremont plumber")</f>
        <v>Claremont plumber</v>
      </c>
      <c r="C58" s="4" t="str">
        <f>IFERROR(__xludf.DUMMYFUNCTION("""COMPUTED_VALUE"""),"plumber cape town licensed")</f>
        <v>plumber cape town licensed</v>
      </c>
      <c r="D58" s="4" t="str">
        <f>IFERROR(__xludf.DUMMYFUNCTION("""COMPUTED_VALUE"""),"company plumbing repairs")</f>
        <v>company plumbing repairs</v>
      </c>
      <c r="E58" s="28" t="str">
        <f>IFERROR(__xludf.DUMMYFUNCTION("""COMPUTED_VALUE"""),"blocked toilet plumber same day")</f>
        <v>blocked toilet plumber same day</v>
      </c>
      <c r="F58" s="4" t="str">
        <f>IFERROR(__xludf.DUMMYFUNCTION("""COMPUTED_VALUE"""),"cost blocked toilet plumber")</f>
        <v>cost blocked toilet plumber</v>
      </c>
      <c r="G58" s="4" t="str">
        <f>IFERROR(__xludf.DUMMYFUNCTION("""COMPUTED_VALUE"""),"drain cleaning residential")</f>
        <v>drain cleaning residential</v>
      </c>
      <c r="H58" s="4" t="str">
        <f>IFERROR(__xludf.DUMMYFUNCTION("""COMPUTED_VALUE"""),"cost geyser replacement")</f>
        <v>cost geyser replacement</v>
      </c>
      <c r="I58" s="4" t="str">
        <f>IFERROR(__xludf.DUMMYFUNCTION("""COMPUTED_VALUE"""),"electrical contractor reliable")</f>
        <v>electrical contractor reliable</v>
      </c>
      <c r="J58" s="4" t="str">
        <f>IFERROR(__xludf.DUMMYFUNCTION("""COMPUTED_VALUE"""),"contractor emergency electrician")</f>
        <v>contractor emergency electrician</v>
      </c>
      <c r="K58" s="4" t="str">
        <f>IFERROR(__xludf.DUMMYFUNCTION("""COMPUTED_VALUE"""),"aircon installation same day")</f>
        <v>aircon installation same day</v>
      </c>
      <c r="L58" s="4" t="str">
        <f>IFERROR(__xludf.DUMMYFUNCTION("""COMPUTED_VALUE"""),"contractor air conditioning repair")</f>
        <v>contractor air conditioning repair</v>
      </c>
      <c r="M58" s="4" t="str">
        <f>IFERROR(__xludf.DUMMYFUNCTION("""COMPUTED_VALUE"""),"electrical repairs school")</f>
        <v>electrical repairs school</v>
      </c>
      <c r="N58" s="4" t="str">
        <f>IFERROR(__xludf.DUMMYFUNCTION("""COMPUTED_VALUE"""),"estate agent maintenance plumber")</f>
        <v>estate agent maintenance plumber</v>
      </c>
      <c r="O58" s="4" t="str">
        <f>IFERROR(__xludf.DUMMYFUNCTION("""COMPUTED_VALUE"""),"bosman plumbers local")</f>
        <v>bosman plumbers local</v>
      </c>
      <c r="P58" s="4" t="str">
        <f>IFERROR(__xludf.DUMMYFUNCTION("""COMPUTED_VALUE"""),"compare plumber near me")</f>
        <v>compare plumber near me</v>
      </c>
      <c r="Q58" s="4" t="str">
        <f>IFERROR(__xludf.DUMMYFUNCTION("""COMPUTED_VALUE"""),"electrical COC cost of")</f>
        <v>electrical COC cost of</v>
      </c>
      <c r="R58" s="4" t="str">
        <f>IFERROR(__xludf.DUMMYFUNCTION("""COMPUTED_VALUE"""),"how long does leak detection")</f>
        <v>how long does leak detection</v>
      </c>
      <c r="S58" s="4"/>
      <c r="T58" s="4" t="str">
        <f>IFERROR(__xludf.DUMMYFUNCTION("""COMPUTED_VALUE"""),"absolute plumbing cape town reviews")</f>
        <v>absolute plumbing cape town reviews</v>
      </c>
      <c r="U58" s="4"/>
      <c r="V58" s="4"/>
      <c r="W58" s="4"/>
      <c r="X58" s="4"/>
      <c r="Y58" s="4"/>
      <c r="Z58" s="4"/>
    </row>
    <row r="59" ht="15.75" customHeight="1">
      <c r="A59" s="4" t="str">
        <f>IFERROR(__xludf.DUMMYFUNCTION("""COMPUTED_VALUE"""),"electrician Claremont")</f>
        <v>electrician Claremont</v>
      </c>
      <c r="B59" s="4" t="str">
        <f>IFERROR(__xludf.DUMMYFUNCTION("""COMPUTED_VALUE"""),"Claremont plumbers")</f>
        <v>Claremont plumbers</v>
      </c>
      <c r="C59" s="4" t="str">
        <f>IFERROR(__xludf.DUMMYFUNCTION("""COMPUTED_VALUE"""),"plumber cape town local")</f>
        <v>plumber cape town local</v>
      </c>
      <c r="D59" s="4" t="str">
        <f>IFERROR(__xludf.DUMMYFUNCTION("""COMPUTED_VALUE"""),"company plumbing services")</f>
        <v>company plumbing services</v>
      </c>
      <c r="E59" s="28" t="str">
        <f>IFERROR(__xludf.DUMMYFUNCTION("""COMPUTED_VALUE"""),"blocked toilet plumber service")</f>
        <v>blocked toilet plumber service</v>
      </c>
      <c r="F59" s="4" t="str">
        <f>IFERROR(__xludf.DUMMYFUNCTION("""COMPUTED_VALUE"""),"cost burst pipe repair")</f>
        <v>cost burst pipe repair</v>
      </c>
      <c r="G59" s="4" t="str">
        <f>IFERROR(__xludf.DUMMYFUNCTION("""COMPUTED_VALUE"""),"drain cleaning same day")</f>
        <v>drain cleaning same day</v>
      </c>
      <c r="H59" s="4" t="str">
        <f>IFERROR(__xludf.DUMMYFUNCTION("""COMPUTED_VALUE"""),"cost leak detection")</f>
        <v>cost leak detection</v>
      </c>
      <c r="I59" s="4" t="str">
        <f>IFERROR(__xludf.DUMMYFUNCTION("""COMPUTED_VALUE"""),"electrical contractor repair")</f>
        <v>electrical contractor repair</v>
      </c>
      <c r="J59" s="4" t="str">
        <f>IFERROR(__xludf.DUMMYFUNCTION("""COMPUTED_VALUE"""),"contractor residential electrician")</f>
        <v>contractor residential electrician</v>
      </c>
      <c r="K59" s="4" t="str">
        <f>IFERROR(__xludf.DUMMYFUNCTION("""COMPUTED_VALUE"""),"aircon installation service")</f>
        <v>aircon installation service</v>
      </c>
      <c r="L59" s="4" t="str">
        <f>IFERROR(__xludf.DUMMYFUNCTION("""COMPUTED_VALUE"""),"contractor aircon installation")</f>
        <v>contractor aircon installation</v>
      </c>
      <c r="M59" s="4" t="str">
        <f>IFERROR(__xludf.DUMMYFUNCTION("""COMPUTED_VALUE"""),"electrical repairs shop")</f>
        <v>electrical repairs shop</v>
      </c>
      <c r="N59" s="4" t="str">
        <f>IFERROR(__xludf.DUMMYFUNCTION("""COMPUTED_VALUE"""),"estate agent plumbing company")</f>
        <v>estate agent plumbing company</v>
      </c>
      <c r="O59" s="4" t="str">
        <f>IFERROR(__xludf.DUMMYFUNCTION("""COMPUTED_VALUE"""),"bosman plumbers near me")</f>
        <v>bosman plumbers near me</v>
      </c>
      <c r="P59" s="4" t="str">
        <f>IFERROR(__xludf.DUMMYFUNCTION("""COMPUTED_VALUE"""),"compare plumbers cape town")</f>
        <v>compare plumbers cape town</v>
      </c>
      <c r="Q59" s="4" t="str">
        <f>IFERROR(__xludf.DUMMYFUNCTION("""COMPUTED_VALUE"""),"electrical COC do I need")</f>
        <v>electrical COC do I need</v>
      </c>
      <c r="R59" s="4" t="str">
        <f>IFERROR(__xludf.DUMMYFUNCTION("""COMPUTED_VALUE"""),"how long does plumber cost")</f>
        <v>how long does plumber cost</v>
      </c>
      <c r="S59" s="4"/>
      <c r="T59" s="4" t="str">
        <f>IFERROR(__xludf.DUMMYFUNCTION("""COMPUTED_VALUE"""),"absolute plumbing cape town same day")</f>
        <v>absolute plumbing cape town same day</v>
      </c>
      <c r="U59" s="4"/>
      <c r="V59" s="4"/>
      <c r="W59" s="4"/>
      <c r="X59" s="4"/>
      <c r="Y59" s="4"/>
      <c r="Z59" s="4"/>
    </row>
    <row r="60" ht="15.75" customHeight="1">
      <c r="A60" s="4" t="str">
        <f>IFERROR(__xludf.DUMMYFUNCTION("""COMPUTED_VALUE"""),"electrician Constantia")</f>
        <v>electrician Constantia</v>
      </c>
      <c r="B60" s="4" t="str">
        <f>IFERROR(__xludf.DUMMYFUNCTION("""COMPUTED_VALUE"""),"Claremont plumbing company")</f>
        <v>Claremont plumbing company</v>
      </c>
      <c r="C60" s="4" t="str">
        <f>IFERROR(__xludf.DUMMYFUNCTION("""COMPUTED_VALUE"""),"plumber cape town maintenance")</f>
        <v>plumber cape town maintenance</v>
      </c>
      <c r="D60" s="4" t="str">
        <f>IFERROR(__xludf.DUMMYFUNCTION("""COMPUTED_VALUE"""),"company residential plumber")</f>
        <v>company residential plumber</v>
      </c>
      <c r="E60" s="28" t="str">
        <f>IFERROR(__xludf.DUMMYFUNCTION("""COMPUTED_VALUE"""),"blocked toilet plumber urgent")</f>
        <v>blocked toilet plumber urgent</v>
      </c>
      <c r="F60" s="4" t="str">
        <f>IFERROR(__xludf.DUMMYFUNCTION("""COMPUTED_VALUE"""),"cost emergency plumber")</f>
        <v>cost emergency plumber</v>
      </c>
      <c r="G60" s="4" t="str">
        <f>IFERROR(__xludf.DUMMYFUNCTION("""COMPUTED_VALUE"""),"drain cleaning service")</f>
        <v>drain cleaning service</v>
      </c>
      <c r="H60" s="4" t="str">
        <f>IFERROR(__xludf.DUMMYFUNCTION("""COMPUTED_VALUE"""),"cost pipe repair")</f>
        <v>cost pipe repair</v>
      </c>
      <c r="I60" s="4" t="str">
        <f>IFERROR(__xludf.DUMMYFUNCTION("""COMPUTED_VALUE"""),"electrical contractor same day")</f>
        <v>electrical contractor same day</v>
      </c>
      <c r="J60" s="4" t="str">
        <f>IFERROR(__xludf.DUMMYFUNCTION("""COMPUTED_VALUE"""),"cost commercial electrician")</f>
        <v>cost commercial electrician</v>
      </c>
      <c r="K60" s="4" t="str">
        <f>IFERROR(__xludf.DUMMYFUNCTION("""COMPUTED_VALUE"""),"aircon installation technician")</f>
        <v>aircon installation technician</v>
      </c>
      <c r="L60" s="4" t="str">
        <f>IFERROR(__xludf.DUMMYFUNCTION("""COMPUTED_VALUE"""),"contractor aircon repair")</f>
        <v>contractor aircon repair</v>
      </c>
      <c r="M60" s="4" t="str">
        <f>IFERROR(__xludf.DUMMYFUNCTION("""COMPUTED_VALUE"""),"electrical repairs tenant")</f>
        <v>electrical repairs tenant</v>
      </c>
      <c r="N60" s="4" t="str">
        <f>IFERROR(__xludf.DUMMYFUNCTION("""COMPUTED_VALUE"""),"estate agent plumbing services")</f>
        <v>estate agent plumbing services</v>
      </c>
      <c r="O60" s="4" t="str">
        <f>IFERROR(__xludf.DUMMYFUNCTION("""COMPUTED_VALUE"""),"bosman plumbers prices")</f>
        <v>bosman plumbers prices</v>
      </c>
      <c r="P60" s="4" t="str">
        <f>IFERROR(__xludf.DUMMYFUNCTION("""COMPUTED_VALUE"""),"compare plumbing company cape town")</f>
        <v>compare plumbing company cape town</v>
      </c>
      <c r="Q60" s="4" t="str">
        <f>IFERROR(__xludf.DUMMYFUNCTION("""COMPUTED_VALUE"""),"electrical COC emergency help for")</f>
        <v>electrical COC emergency help for</v>
      </c>
      <c r="R60" s="4" t="str">
        <f>IFERROR(__xludf.DUMMYFUNCTION("""COMPUTED_VALUE"""),"how long does plumbing maintenance")</f>
        <v>how long does plumbing maintenance</v>
      </c>
      <c r="S60" s="4"/>
      <c r="T60" s="4" t="str">
        <f>IFERROR(__xludf.DUMMYFUNCTION("""COMPUTED_VALUE"""),"absolute plumbing cape town top rated")</f>
        <v>absolute plumbing cape town top rated</v>
      </c>
      <c r="U60" s="4"/>
      <c r="V60" s="4"/>
      <c r="W60" s="4"/>
      <c r="X60" s="4"/>
      <c r="Y60" s="4"/>
      <c r="Z60" s="4"/>
    </row>
    <row r="61" ht="15.75" customHeight="1">
      <c r="A61" s="4" t="str">
        <f>IFERROR(__xludf.DUMMYFUNCTION("""COMPUTED_VALUE"""),"electrician Durbanville")</f>
        <v>electrician Durbanville</v>
      </c>
      <c r="B61" s="4" t="str">
        <f>IFERROR(__xludf.DUMMYFUNCTION("""COMPUTED_VALUE"""),"Claremont refrigeration services")</f>
        <v>Claremont refrigeration services</v>
      </c>
      <c r="C61" s="4" t="str">
        <f>IFERROR(__xludf.DUMMYFUNCTION("""COMPUTED_VALUE"""),"plumber cape town near me")</f>
        <v>plumber cape town near me</v>
      </c>
      <c r="D61" s="4" t="str">
        <f>IFERROR(__xludf.DUMMYFUNCTION("""COMPUTED_VALUE"""),"contractor commercial plumber")</f>
        <v>contractor commercial plumber</v>
      </c>
      <c r="E61" s="28" t="str">
        <f>IFERROR(__xludf.DUMMYFUNCTION("""COMPUTED_VALUE"""),"blocked toilet plumber weekend")</f>
        <v>blocked toilet plumber weekend</v>
      </c>
      <c r="F61" s="4" t="str">
        <f>IFERROR(__xludf.DUMMYFUNCTION("""COMPUTED_VALUE"""),"cost kitchen plumbing repair")</f>
        <v>cost kitchen plumbing repair</v>
      </c>
      <c r="G61" s="4" t="str">
        <f>IFERROR(__xludf.DUMMYFUNCTION("""COMPUTED_VALUE"""),"drain cleaning specialist")</f>
        <v>drain cleaning specialist</v>
      </c>
      <c r="H61" s="4" t="str">
        <f>IFERROR(__xludf.DUMMYFUNCTION("""COMPUTED_VALUE"""),"cost water leak detection")</f>
        <v>cost water leak detection</v>
      </c>
      <c r="I61" s="4" t="str">
        <f>IFERROR(__xludf.DUMMYFUNCTION("""COMPUTED_VALUE"""),"electrical contractor service")</f>
        <v>electrical contractor service</v>
      </c>
      <c r="J61" s="4" t="str">
        <f>IFERROR(__xludf.DUMMYFUNCTION("""COMPUTED_VALUE"""),"cost electrical compliance certificate")</f>
        <v>cost electrical compliance certificate</v>
      </c>
      <c r="K61" s="4" t="str">
        <f>IFERROR(__xludf.DUMMYFUNCTION("""COMPUTED_VALUE"""),"aircon repair")</f>
        <v>aircon repair</v>
      </c>
      <c r="L61" s="4" t="str">
        <f>IFERROR(__xludf.DUMMYFUNCTION("""COMPUTED_VALUE"""),"contractor aircon service")</f>
        <v>contractor aircon service</v>
      </c>
      <c r="M61" s="4" t="str">
        <f>IFERROR(__xludf.DUMMYFUNCTION("""COMPUTED_VALUE"""),"electrical repairs townhouse")</f>
        <v>electrical repairs townhouse</v>
      </c>
      <c r="N61" s="4" t="str">
        <f>IFERROR(__xludf.DUMMYFUNCTION("""COMPUTED_VALUE"""),"estate agent refrigeration services")</f>
        <v>estate agent refrigeration services</v>
      </c>
      <c r="O61" s="4" t="str">
        <f>IFERROR(__xludf.DUMMYFUNCTION("""COMPUTED_VALUE"""),"bosman plumbers qualified")</f>
        <v>bosman plumbers qualified</v>
      </c>
      <c r="P61" s="4" t="str">
        <f>IFERROR(__xludf.DUMMYFUNCTION("""COMPUTED_VALUE"""),"compare schmidhauser plumbing")</f>
        <v>compare schmidhauser plumbing</v>
      </c>
      <c r="Q61" s="4" t="str">
        <f>IFERROR(__xludf.DUMMYFUNCTION("""COMPUTED_VALUE"""),"electrical COC how long does")</f>
        <v>electrical COC how long does</v>
      </c>
      <c r="R61" s="4" t="str">
        <f>IFERROR(__xludf.DUMMYFUNCTION("""COMPUTED_VALUE"""),"how long does refrigeration repair")</f>
        <v>how long does refrigeration repair</v>
      </c>
      <c r="S61" s="4"/>
      <c r="T61" s="4" t="str">
        <f>IFERROR(__xludf.DUMMYFUNCTION("""COMPUTED_VALUE"""),"absolute plumbing cape town trusted")</f>
        <v>absolute plumbing cape town trusted</v>
      </c>
      <c r="U61" s="4"/>
      <c r="V61" s="4"/>
      <c r="W61" s="4"/>
      <c r="X61" s="4"/>
      <c r="Y61" s="4"/>
      <c r="Z61" s="4"/>
    </row>
    <row r="62" ht="15.75" customHeight="1">
      <c r="A62" s="4" t="str">
        <f>IFERROR(__xludf.DUMMYFUNCTION("""COMPUTED_VALUE"""),"electrician Fish Hoek")</f>
        <v>electrician Fish Hoek</v>
      </c>
      <c r="B62" s="4" t="str">
        <f>IFERROR(__xludf.DUMMYFUNCTION("""COMPUTED_VALUE"""),"Constantia aircon repairs")</f>
        <v>Constantia aircon repairs</v>
      </c>
      <c r="C62" s="4" t="str">
        <f>IFERROR(__xludf.DUMMYFUNCTION("""COMPUTED_VALUE"""),"plumber cape town professional")</f>
        <v>plumber cape town professional</v>
      </c>
      <c r="D62" s="4" t="str">
        <f>IFERROR(__xludf.DUMMYFUNCTION("""COMPUTED_VALUE"""),"contractor maintenance plumber")</f>
        <v>contractor maintenance plumber</v>
      </c>
      <c r="E62" s="28" t="str">
        <f>IFERROR(__xludf.DUMMYFUNCTION("""COMPUTED_VALUE"""),"burst pipe repair")</f>
        <v>burst pipe repair</v>
      </c>
      <c r="F62" s="4" t="str">
        <f>IFERROR(__xludf.DUMMYFUNCTION("""COMPUTED_VALUE"""),"cost leaking pipe repair")</f>
        <v>cost leaking pipe repair</v>
      </c>
      <c r="G62" s="4" t="str">
        <f>IFERROR(__xludf.DUMMYFUNCTION("""COMPUTED_VALUE"""),"drain inspection affordable")</f>
        <v>drain inspection affordable</v>
      </c>
      <c r="H62" s="4" t="str">
        <f>IFERROR(__xludf.DUMMYFUNCTION("""COMPUTED_VALUE"""),"emergency blocked drain")</f>
        <v>emergency blocked drain</v>
      </c>
      <c r="I62" s="4" t="str">
        <f>IFERROR(__xludf.DUMMYFUNCTION("""COMPUTED_VALUE"""),"electrical installation")</f>
        <v>electrical installation</v>
      </c>
      <c r="J62" s="4" t="str">
        <f>IFERROR(__xludf.DUMMYFUNCTION("""COMPUTED_VALUE"""),"cost electrical contractor")</f>
        <v>cost electrical contractor</v>
      </c>
      <c r="K62" s="4" t="str">
        <f>IFERROR(__xludf.DUMMYFUNCTION("""COMPUTED_VALUE"""),"aircon repair affordable")</f>
        <v>aircon repair affordable</v>
      </c>
      <c r="L62" s="4" t="str">
        <f>IFERROR(__xludf.DUMMYFUNCTION("""COMPUTED_VALUE"""),"contractor cold room repair")</f>
        <v>contractor cold room repair</v>
      </c>
      <c r="M62" s="4" t="str">
        <f>IFERROR(__xludf.DUMMYFUNCTION("""COMPUTED_VALUE"""),"emergency plumbing apartment")</f>
        <v>emergency plumbing apartment</v>
      </c>
      <c r="N62" s="4" t="str">
        <f>IFERROR(__xludf.DUMMYFUNCTION("""COMPUTED_VALUE"""),"flat air conditioning services")</f>
        <v>flat air conditioning services</v>
      </c>
      <c r="O62" s="4" t="str">
        <f>IFERROR(__xludf.DUMMYFUNCTION("""COMPUTED_VALUE"""),"bosman plumbers quote")</f>
        <v>bosman plumbers quote</v>
      </c>
      <c r="P62" s="4" t="str">
        <f>IFERROR(__xludf.DUMMYFUNCTION("""COMPUTED_VALUE"""),"complaints absolute plumbing cape town")</f>
        <v>complaints absolute plumbing cape town</v>
      </c>
      <c r="Q62" s="4" t="str">
        <f>IFERROR(__xludf.DUMMYFUNCTION("""COMPUTED_VALUE"""),"electrical COC how much does")</f>
        <v>electrical COC how much does</v>
      </c>
      <c r="R62" s="4" t="str">
        <f>IFERROR(__xludf.DUMMYFUNCTION("""COMPUTED_VALUE"""),"how much does aircon service")</f>
        <v>how much does aircon service</v>
      </c>
      <c r="S62" s="4"/>
      <c r="T62" s="4" t="str">
        <f>IFERROR(__xludf.DUMMYFUNCTION("""COMPUTED_VALUE"""),"absolute plumbing cape town vs")</f>
        <v>absolute plumbing cape town vs</v>
      </c>
      <c r="U62" s="4"/>
      <c r="V62" s="4"/>
      <c r="W62" s="4"/>
      <c r="X62" s="4"/>
      <c r="Y62" s="4"/>
      <c r="Z62" s="4"/>
    </row>
    <row r="63" ht="15.75" customHeight="1">
      <c r="A63" s="4" t="str">
        <f>IFERROR(__xludf.DUMMYFUNCTION("""COMPUTED_VALUE"""),"electrician Green Point")</f>
        <v>electrician Green Point</v>
      </c>
      <c r="B63" s="4" t="str">
        <f>IFERROR(__xludf.DUMMYFUNCTION("""COMPUTED_VALUE"""),"Constantia blocked drain plumber")</f>
        <v>Constantia blocked drain plumber</v>
      </c>
      <c r="C63" s="4" t="str">
        <f>IFERROR(__xludf.DUMMYFUNCTION("""COMPUTED_VALUE"""),"plumber cape town qualified")</f>
        <v>plumber cape town qualified</v>
      </c>
      <c r="D63" s="4" t="str">
        <f>IFERROR(__xludf.DUMMYFUNCTION("""COMPUTED_VALUE"""),"contractor plumber cape town")</f>
        <v>contractor plumber cape town</v>
      </c>
      <c r="E63" s="28" t="str">
        <f>IFERROR(__xludf.DUMMYFUNCTION("""COMPUTED_VALUE"""),"burst pipe repair after hours")</f>
        <v>burst pipe repair after hours</v>
      </c>
      <c r="F63" s="4" t="str">
        <f>IFERROR(__xludf.DUMMYFUNCTION("""COMPUTED_VALUE"""),"cost leaking tap repair")</f>
        <v>cost leaking tap repair</v>
      </c>
      <c r="G63" s="4" t="str">
        <f>IFERROR(__xludf.DUMMYFUNCTION("""COMPUTED_VALUE"""),"drain inspection best")</f>
        <v>drain inspection best</v>
      </c>
      <c r="H63" s="4" t="str">
        <f>IFERROR(__xludf.DUMMYFUNCTION("""COMPUTED_VALUE"""),"emergency burst geyser")</f>
        <v>emergency burst geyser</v>
      </c>
      <c r="I63" s="4" t="str">
        <f>IFERROR(__xludf.DUMMYFUNCTION("""COMPUTED_VALUE"""),"electrical installation affordable")</f>
        <v>electrical installation affordable</v>
      </c>
      <c r="J63" s="4" t="str">
        <f>IFERROR(__xludf.DUMMYFUNCTION("""COMPUTED_VALUE"""),"cost electrical installation")</f>
        <v>cost electrical installation</v>
      </c>
      <c r="K63" s="4" t="str">
        <f>IFERROR(__xludf.DUMMYFUNCTION("""COMPUTED_VALUE"""),"aircon repair best")</f>
        <v>aircon repair best</v>
      </c>
      <c r="L63" s="4" t="str">
        <f>IFERROR(__xludf.DUMMYFUNCTION("""COMPUTED_VALUE"""),"contractor commercial refrigeration")</f>
        <v>contractor commercial refrigeration</v>
      </c>
      <c r="M63" s="4" t="str">
        <f>IFERROR(__xludf.DUMMYFUNCTION("""COMPUTED_VALUE"""),"emergency plumbing body corporate")</f>
        <v>emergency plumbing body corporate</v>
      </c>
      <c r="N63" s="4" t="str">
        <f>IFERROR(__xludf.DUMMYFUNCTION("""COMPUTED_VALUE"""),"flat drain cleaning")</f>
        <v>flat drain cleaning</v>
      </c>
      <c r="O63" s="4" t="str">
        <f>IFERROR(__xludf.DUMMYFUNCTION("""COMPUTED_VALUE"""),"bosman plumbers reliable")</f>
        <v>bosman plumbers reliable</v>
      </c>
      <c r="P63" s="4" t="str">
        <f>IFERROR(__xludf.DUMMYFUNCTION("""COMPUTED_VALUE"""),"complaints aircon repair cape town")</f>
        <v>complaints aircon repair cape town</v>
      </c>
      <c r="Q63" s="4" t="str">
        <f>IFERROR(__xludf.DUMMYFUNCTION("""COMPUTED_VALUE"""),"electrical COC how to choose")</f>
        <v>electrical COC how to choose</v>
      </c>
      <c r="R63" s="4" t="str">
        <f>IFERROR(__xludf.DUMMYFUNCTION("""COMPUTED_VALUE"""),"how much does blocked drain")</f>
        <v>how much does blocked drain</v>
      </c>
      <c r="S63" s="4"/>
      <c r="T63" s="4" t="str">
        <f>IFERROR(__xludf.DUMMYFUNCTION("""COMPUTED_VALUE"""),"affordable absolute plumbing cape town")</f>
        <v>affordable absolute plumbing cape town</v>
      </c>
      <c r="U63" s="4"/>
      <c r="V63" s="4"/>
      <c r="W63" s="4"/>
      <c r="X63" s="4"/>
      <c r="Y63" s="4"/>
      <c r="Z63" s="4"/>
    </row>
    <row r="64" ht="15.75" customHeight="1">
      <c r="A64" s="4" t="str">
        <f>IFERROR(__xludf.DUMMYFUNCTION("""COMPUTED_VALUE"""),"electrician Hout Bay")</f>
        <v>electrician Hout Bay</v>
      </c>
      <c r="B64" s="4" t="str">
        <f>IFERROR(__xludf.DUMMYFUNCTION("""COMPUTED_VALUE"""),"Constantia electrician")</f>
        <v>Constantia electrician</v>
      </c>
      <c r="C64" s="4" t="str">
        <f>IFERROR(__xludf.DUMMYFUNCTION("""COMPUTED_VALUE"""),"plumber cape town quote")</f>
        <v>plumber cape town quote</v>
      </c>
      <c r="D64" s="4" t="str">
        <f>IFERROR(__xludf.DUMMYFUNCTION("""COMPUTED_VALUE"""),"contractor plumbing company")</f>
        <v>contractor plumbing company</v>
      </c>
      <c r="E64" s="28" t="str">
        <f>IFERROR(__xludf.DUMMYFUNCTION("""COMPUTED_VALUE"""),"burst pipe repair call out")</f>
        <v>burst pipe repair call out</v>
      </c>
      <c r="F64" s="4" t="str">
        <f>IFERROR(__xludf.DUMMYFUNCTION("""COMPUTED_VALUE"""),"cost toilet repair")</f>
        <v>cost toilet repair</v>
      </c>
      <c r="G64" s="4" t="str">
        <f>IFERROR(__xludf.DUMMYFUNCTION("""COMPUTED_VALUE"""),"drain inspection cape town")</f>
        <v>drain inspection cape town</v>
      </c>
      <c r="H64" s="4" t="str">
        <f>IFERROR(__xludf.DUMMYFUNCTION("""COMPUTED_VALUE"""),"emergency drain cleaning")</f>
        <v>emergency drain cleaning</v>
      </c>
      <c r="I64" s="4" t="str">
        <f>IFERROR(__xludf.DUMMYFUNCTION("""COMPUTED_VALUE"""),"electrical installation call out")</f>
        <v>electrical installation call out</v>
      </c>
      <c r="J64" s="4" t="str">
        <f>IFERROR(__xludf.DUMMYFUNCTION("""COMPUTED_VALUE"""),"cost electrical maintenance")</f>
        <v>cost electrical maintenance</v>
      </c>
      <c r="K64" s="4" t="str">
        <f>IFERROR(__xludf.DUMMYFUNCTION("""COMPUTED_VALUE"""),"aircon repair cape town")</f>
        <v>aircon repair cape town</v>
      </c>
      <c r="L64" s="4" t="str">
        <f>IFERROR(__xludf.DUMMYFUNCTION("""COMPUTED_VALUE"""),"contractor fridge repair")</f>
        <v>contractor fridge repair</v>
      </c>
      <c r="M64" s="4" t="str">
        <f>IFERROR(__xludf.DUMMYFUNCTION("""COMPUTED_VALUE"""),"emergency plumbing building")</f>
        <v>emergency plumbing building</v>
      </c>
      <c r="N64" s="4" t="str">
        <f>IFERROR(__xludf.DUMMYFUNCTION("""COMPUTED_VALUE"""),"flat electrical repairs")</f>
        <v>flat electrical repairs</v>
      </c>
      <c r="O64" s="4" t="str">
        <f>IFERROR(__xludf.DUMMYFUNCTION("""COMPUTED_VALUE"""),"bosman plumbers reputable")</f>
        <v>bosman plumbers reputable</v>
      </c>
      <c r="P64" s="4" t="str">
        <f>IFERROR(__xludf.DUMMYFUNCTION("""COMPUTED_VALUE"""),"complaints bosman plumbers")</f>
        <v>complaints bosman plumbers</v>
      </c>
      <c r="Q64" s="4" t="str">
        <f>IFERROR(__xludf.DUMMYFUNCTION("""COMPUTED_VALUE"""),"electrical COC how to prevent")</f>
        <v>electrical COC how to prevent</v>
      </c>
      <c r="R64" s="4" t="str">
        <f>IFERROR(__xludf.DUMMYFUNCTION("""COMPUTED_VALUE"""),"how much does burst pipe")</f>
        <v>how much does burst pipe</v>
      </c>
      <c r="S64" s="4"/>
      <c r="T64" s="4" t="str">
        <f>IFERROR(__xludf.DUMMYFUNCTION("""COMPUTED_VALUE"""),"affordable air conditioning")</f>
        <v>affordable air conditioning</v>
      </c>
      <c r="U64" s="4"/>
      <c r="V64" s="4"/>
      <c r="W64" s="4"/>
      <c r="X64" s="4"/>
      <c r="Y64" s="4"/>
      <c r="Z64" s="4"/>
    </row>
    <row r="65" ht="15.75" customHeight="1">
      <c r="A65" s="4" t="str">
        <f>IFERROR(__xludf.DUMMYFUNCTION("""COMPUTED_VALUE"""),"electrician Maitland")</f>
        <v>electrician Maitland</v>
      </c>
      <c r="B65" s="4" t="str">
        <f>IFERROR(__xludf.DUMMYFUNCTION("""COMPUTED_VALUE"""),"Constantia emergency plumber")</f>
        <v>Constantia emergency plumber</v>
      </c>
      <c r="C65" s="4" t="str">
        <f>IFERROR(__xludf.DUMMYFUNCTION("""COMPUTED_VALUE"""),"plumber cape town reliable")</f>
        <v>plumber cape town reliable</v>
      </c>
      <c r="D65" s="4" t="str">
        <f>IFERROR(__xludf.DUMMYFUNCTION("""COMPUTED_VALUE"""),"contractor plumbing inspection")</f>
        <v>contractor plumbing inspection</v>
      </c>
      <c r="E65" s="28" t="str">
        <f>IFERROR(__xludf.DUMMYFUNCTION("""COMPUTED_VALUE"""),"burst pipe repair cape town")</f>
        <v>burst pipe repair cape town</v>
      </c>
      <c r="F65" s="4" t="str">
        <f>IFERROR(__xludf.DUMMYFUNCTION("""COMPUTED_VALUE"""),"cost water leak repair")</f>
        <v>cost water leak repair</v>
      </c>
      <c r="G65" s="4" t="str">
        <f>IFERROR(__xludf.DUMMYFUNCTION("""COMPUTED_VALUE"""),"drain inspection CCTV")</f>
        <v>drain inspection CCTV</v>
      </c>
      <c r="H65" s="4" t="str">
        <f>IFERROR(__xludf.DUMMYFUNCTION("""COMPUTED_VALUE"""),"emergency drain inspection")</f>
        <v>emergency drain inspection</v>
      </c>
      <c r="I65" s="4" t="str">
        <f>IFERROR(__xludf.DUMMYFUNCTION("""COMPUTED_VALUE"""),"electrical installation cape town")</f>
        <v>electrical installation cape town</v>
      </c>
      <c r="J65" s="4" t="str">
        <f>IFERROR(__xludf.DUMMYFUNCTION("""COMPUTED_VALUE"""),"cost electrical repairs")</f>
        <v>cost electrical repairs</v>
      </c>
      <c r="K65" s="4" t="str">
        <f>IFERROR(__xludf.DUMMYFUNCTION("""COMPUTED_VALUE"""),"aircon repair commercial")</f>
        <v>aircon repair commercial</v>
      </c>
      <c r="L65" s="4" t="str">
        <f>IFERROR(__xludf.DUMMYFUNCTION("""COMPUTED_VALUE"""),"contractor HVAC services")</f>
        <v>contractor HVAC services</v>
      </c>
      <c r="M65" s="4" t="str">
        <f>IFERROR(__xludf.DUMMYFUNCTION("""COMPUTED_VALUE"""),"emergency plumbing business")</f>
        <v>emergency plumbing business</v>
      </c>
      <c r="N65" s="4" t="str">
        <f>IFERROR(__xludf.DUMMYFUNCTION("""COMPUTED_VALUE"""),"flat emergency plumbing")</f>
        <v>flat emergency plumbing</v>
      </c>
      <c r="O65" s="4" t="str">
        <f>IFERROR(__xludf.DUMMYFUNCTION("""COMPUTED_VALUE"""),"bosman plumbers review")</f>
        <v>bosman plumbers review</v>
      </c>
      <c r="P65" s="4" t="str">
        <f>IFERROR(__xludf.DUMMYFUNCTION("""COMPUTED_VALUE"""),"complaints drain surgeon cape town")</f>
        <v>complaints drain surgeon cape town</v>
      </c>
      <c r="Q65" s="4" t="str">
        <f>IFERROR(__xludf.DUMMYFUNCTION("""COMPUTED_VALUE"""),"electrical COC is it safe to")</f>
        <v>electrical COC is it safe to</v>
      </c>
      <c r="R65" s="4" t="str">
        <f>IFERROR(__xludf.DUMMYFUNCTION("""COMPUTED_VALUE"""),"how much does electrical COC")</f>
        <v>how much does electrical COC</v>
      </c>
      <c r="S65" s="4"/>
      <c r="T65" s="4" t="str">
        <f>IFERROR(__xludf.DUMMYFUNCTION("""COMPUTED_VALUE"""),"affordable air conditioning repair")</f>
        <v>affordable air conditioning repair</v>
      </c>
      <c r="U65" s="4"/>
      <c r="V65" s="4"/>
      <c r="W65" s="4"/>
      <c r="X65" s="4"/>
      <c r="Y65" s="4"/>
      <c r="Z65" s="4"/>
    </row>
    <row r="66" ht="15.75" customHeight="1">
      <c r="A66" s="4" t="str">
        <f>IFERROR(__xludf.DUMMYFUNCTION("""COMPUTED_VALUE"""),"electrician Milnerton")</f>
        <v>electrician Milnerton</v>
      </c>
      <c r="B66" s="4" t="str">
        <f>IFERROR(__xludf.DUMMYFUNCTION("""COMPUTED_VALUE"""),"Constantia geyser repair")</f>
        <v>Constantia geyser repair</v>
      </c>
      <c r="C66" s="4" t="str">
        <f>IFERROR(__xludf.DUMMYFUNCTION("""COMPUTED_VALUE"""),"plumber cape town repair")</f>
        <v>plumber cape town repair</v>
      </c>
      <c r="D66" s="4" t="str">
        <f>IFERROR(__xludf.DUMMYFUNCTION("""COMPUTED_VALUE"""),"contractor plumbing installation")</f>
        <v>contractor plumbing installation</v>
      </c>
      <c r="E66" s="28" t="str">
        <f>IFERROR(__xludf.DUMMYFUNCTION("""COMPUTED_VALUE"""),"burst pipe repair commercial")</f>
        <v>burst pipe repair commercial</v>
      </c>
      <c r="F66" s="4" t="str">
        <f>IFERROR(__xludf.DUMMYFUNCTION("""COMPUTED_VALUE"""),"emergency 24 hour plumber")</f>
        <v>emergency 24 hour plumber</v>
      </c>
      <c r="G66" s="4" t="str">
        <f>IFERROR(__xludf.DUMMYFUNCTION("""COMPUTED_VALUE"""),"drain inspection commercial")</f>
        <v>drain inspection commercial</v>
      </c>
      <c r="H66" s="4" t="str">
        <f>IFERROR(__xludf.DUMMYFUNCTION("""COMPUTED_VALUE"""),"emergency drain unblocking")</f>
        <v>emergency drain unblocking</v>
      </c>
      <c r="I66" s="4" t="str">
        <f>IFERROR(__xludf.DUMMYFUNCTION("""COMPUTED_VALUE"""),"electrical installation COC")</f>
        <v>electrical installation COC</v>
      </c>
      <c r="J66" s="4" t="str">
        <f>IFERROR(__xludf.DUMMYFUNCTION("""COMPUTED_VALUE"""),"cost electrical services")</f>
        <v>cost electrical services</v>
      </c>
      <c r="K66" s="4" t="str">
        <f>IFERROR(__xludf.DUMMYFUNCTION("""COMPUTED_VALUE"""),"aircon repair company")</f>
        <v>aircon repair company</v>
      </c>
      <c r="L66" s="4" t="str">
        <f>IFERROR(__xludf.DUMMYFUNCTION("""COMPUTED_VALUE"""),"contractor refrigeration repair")</f>
        <v>contractor refrigeration repair</v>
      </c>
      <c r="M66" s="4" t="str">
        <f>IFERROR(__xludf.DUMMYFUNCTION("""COMPUTED_VALUE"""),"emergency plumbing commercial property")</f>
        <v>emergency plumbing commercial property</v>
      </c>
      <c r="N66" s="4" t="str">
        <f>IFERROR(__xludf.DUMMYFUNCTION("""COMPUTED_VALUE"""),"flat geyser repairs")</f>
        <v>flat geyser repairs</v>
      </c>
      <c r="O66" s="4" t="str">
        <f>IFERROR(__xludf.DUMMYFUNCTION("""COMPUTED_VALUE"""),"bosman plumbers reviews")</f>
        <v>bosman plumbers reviews</v>
      </c>
      <c r="P66" s="4" t="str">
        <f>IFERROR(__xludf.DUMMYFUNCTION("""COMPUTED_VALUE"""),"complaints electrician cape town")</f>
        <v>complaints electrician cape town</v>
      </c>
      <c r="Q66" s="4" t="str">
        <f>IFERROR(__xludf.DUMMYFUNCTION("""COMPUTED_VALUE"""),"electrical COC near me for")</f>
        <v>electrical COC near me for</v>
      </c>
      <c r="R66" s="4" t="str">
        <f>IFERROR(__xludf.DUMMYFUNCTION("""COMPUTED_VALUE"""),"how much does emergency plumber")</f>
        <v>how much does emergency plumber</v>
      </c>
      <c r="S66" s="4"/>
      <c r="T66" s="4" t="str">
        <f>IFERROR(__xludf.DUMMYFUNCTION("""COMPUTED_VALUE"""),"affordable aircon installation")</f>
        <v>affordable aircon installation</v>
      </c>
      <c r="U66" s="4"/>
      <c r="V66" s="4"/>
      <c r="W66" s="4"/>
      <c r="X66" s="4"/>
      <c r="Y66" s="4"/>
      <c r="Z66" s="4"/>
    </row>
    <row r="67" ht="15.75" customHeight="1">
      <c r="A67" s="4" t="str">
        <f>IFERROR(__xludf.DUMMYFUNCTION("""COMPUTED_VALUE"""),"electrician Muizenberg")</f>
        <v>electrician Muizenberg</v>
      </c>
      <c r="B67" s="4" t="str">
        <f>IFERROR(__xludf.DUMMYFUNCTION("""COMPUTED_VALUE"""),"Constantia leak detection plumber")</f>
        <v>Constantia leak detection plumber</v>
      </c>
      <c r="C67" s="4" t="str">
        <f>IFERROR(__xludf.DUMMYFUNCTION("""COMPUTED_VALUE"""),"plumber cape town same day")</f>
        <v>plumber cape town same day</v>
      </c>
      <c r="D67" s="4" t="str">
        <f>IFERROR(__xludf.DUMMYFUNCTION("""COMPUTED_VALUE"""),"contractor plumbing repairs")</f>
        <v>contractor plumbing repairs</v>
      </c>
      <c r="E67" s="28" t="str">
        <f>IFERROR(__xludf.DUMMYFUNCTION("""COMPUTED_VALUE"""),"burst pipe repair company")</f>
        <v>burst pipe repair company</v>
      </c>
      <c r="F67" s="4" t="str">
        <f>IFERROR(__xludf.DUMMYFUNCTION("""COMPUTED_VALUE"""),"emergency bathroom plumbing repair")</f>
        <v>emergency bathroom plumbing repair</v>
      </c>
      <c r="G67" s="4" t="str">
        <f>IFERROR(__xludf.DUMMYFUNCTION("""COMPUTED_VALUE"""),"drain inspection cost")</f>
        <v>drain inspection cost</v>
      </c>
      <c r="H67" s="4" t="str">
        <f>IFERROR(__xludf.DUMMYFUNCTION("""COMPUTED_VALUE"""),"emergency geyser repair")</f>
        <v>emergency geyser repair</v>
      </c>
      <c r="I67" s="4" t="str">
        <f>IFERROR(__xludf.DUMMYFUNCTION("""COMPUTED_VALUE"""),"electrical installation company")</f>
        <v>electrical installation company</v>
      </c>
      <c r="J67" s="4" t="str">
        <f>IFERROR(__xludf.DUMMYFUNCTION("""COMPUTED_VALUE"""),"cost electrician cape town")</f>
        <v>cost electrician cape town</v>
      </c>
      <c r="K67" s="4" t="str">
        <f>IFERROR(__xludf.DUMMYFUNCTION("""COMPUTED_VALUE"""),"aircon repair contractor")</f>
        <v>aircon repair contractor</v>
      </c>
      <c r="L67" s="4" t="str">
        <f>IFERROR(__xludf.DUMMYFUNCTION("""COMPUTED_VALUE"""),"cost air conditioning")</f>
        <v>cost air conditioning</v>
      </c>
      <c r="M67" s="4" t="str">
        <f>IFERROR(__xludf.DUMMYFUNCTION("""COMPUTED_VALUE"""),"emergency plumbing estate agent")</f>
        <v>emergency plumbing estate agent</v>
      </c>
      <c r="N67" s="4" t="str">
        <f>IFERROR(__xludf.DUMMYFUNCTION("""COMPUTED_VALUE"""),"flat leak detection")</f>
        <v>flat leak detection</v>
      </c>
      <c r="O67" s="4" t="str">
        <f>IFERROR(__xludf.DUMMYFUNCTION("""COMPUTED_VALUE"""),"bosman plumbers same day")</f>
        <v>bosman plumbers same day</v>
      </c>
      <c r="P67" s="4" t="str">
        <f>IFERROR(__xludf.DUMMYFUNCTION("""COMPUTED_VALUE"""),"complaints emergency plumber cape town")</f>
        <v>complaints emergency plumber cape town</v>
      </c>
      <c r="Q67" s="4" t="str">
        <f>IFERROR(__xludf.DUMMYFUNCTION("""COMPUTED_VALUE"""),"electrical COC same day help for")</f>
        <v>electrical COC same day help for</v>
      </c>
      <c r="R67" s="4" t="str">
        <f>IFERROR(__xludf.DUMMYFUNCTION("""COMPUTED_VALUE"""),"how much does geyser repair")</f>
        <v>how much does geyser repair</v>
      </c>
      <c r="S67" s="4"/>
      <c r="T67" s="4" t="str">
        <f>IFERROR(__xludf.DUMMYFUNCTION("""COMPUTED_VALUE"""),"affordable aircon repair")</f>
        <v>affordable aircon repair</v>
      </c>
      <c r="U67" s="4"/>
      <c r="V67" s="4"/>
      <c r="W67" s="4"/>
      <c r="X67" s="4"/>
      <c r="Y67" s="4"/>
      <c r="Z67" s="4"/>
    </row>
    <row r="68" ht="15.75" customHeight="1">
      <c r="A68" s="4" t="str">
        <f>IFERROR(__xludf.DUMMYFUNCTION("""COMPUTED_VALUE"""),"electrician Newlands")</f>
        <v>electrician Newlands</v>
      </c>
      <c r="B68" s="4" t="str">
        <f>IFERROR(__xludf.DUMMYFUNCTION("""COMPUTED_VALUE"""),"Constantia plumber")</f>
        <v>Constantia plumber</v>
      </c>
      <c r="C68" s="4" t="str">
        <f>IFERROR(__xludf.DUMMYFUNCTION("""COMPUTED_VALUE"""),"plumber cape town service")</f>
        <v>plumber cape town service</v>
      </c>
      <c r="D68" s="4" t="str">
        <f>IFERROR(__xludf.DUMMYFUNCTION("""COMPUTED_VALUE"""),"contractor plumbing services")</f>
        <v>contractor plumbing services</v>
      </c>
      <c r="E68" s="28" t="str">
        <f>IFERROR(__xludf.DUMMYFUNCTION("""COMPUTED_VALUE"""),"burst pipe repair cost")</f>
        <v>burst pipe repair cost</v>
      </c>
      <c r="F68" s="4" t="str">
        <f>IFERROR(__xludf.DUMMYFUNCTION("""COMPUTED_VALUE"""),"emergency blocked toilet plumber")</f>
        <v>emergency blocked toilet plumber</v>
      </c>
      <c r="G68" s="4" t="str">
        <f>IFERROR(__xludf.DUMMYFUNCTION("""COMPUTED_VALUE"""),"drain inspection emergency")</f>
        <v>drain inspection emergency</v>
      </c>
      <c r="H68" s="4" t="str">
        <f>IFERROR(__xludf.DUMMYFUNCTION("""COMPUTED_VALUE"""),"emergency geyser replacement")</f>
        <v>emergency geyser replacement</v>
      </c>
      <c r="I68" s="4" t="str">
        <f>IFERROR(__xludf.DUMMYFUNCTION("""COMPUTED_VALUE"""),"electrical installation contractor")</f>
        <v>electrical installation contractor</v>
      </c>
      <c r="J68" s="4" t="str">
        <f>IFERROR(__xludf.DUMMYFUNCTION("""COMPUTED_VALUE"""),"cost emergency electrician")</f>
        <v>cost emergency electrician</v>
      </c>
      <c r="K68" s="4" t="str">
        <f>IFERROR(__xludf.DUMMYFUNCTION("""COMPUTED_VALUE"""),"aircon repair cost")</f>
        <v>aircon repair cost</v>
      </c>
      <c r="L68" s="4" t="str">
        <f>IFERROR(__xludf.DUMMYFUNCTION("""COMPUTED_VALUE"""),"cost air conditioning repair")</f>
        <v>cost air conditioning repair</v>
      </c>
      <c r="M68" s="4" t="str">
        <f>IFERROR(__xludf.DUMMYFUNCTION("""COMPUTED_VALUE"""),"emergency plumbing flat")</f>
        <v>emergency plumbing flat</v>
      </c>
      <c r="N68" s="4" t="str">
        <f>IFERROR(__xludf.DUMMYFUNCTION("""COMPUTED_VALUE"""),"flat maintenance plumber")</f>
        <v>flat maintenance plumber</v>
      </c>
      <c r="O68" s="4" t="str">
        <f>IFERROR(__xludf.DUMMYFUNCTION("""COMPUTED_VALUE"""),"bosman plumbers top rated")</f>
        <v>bosman plumbers top rated</v>
      </c>
      <c r="P68" s="4" t="str">
        <f>IFERROR(__xludf.DUMMYFUNCTION("""COMPUTED_VALUE"""),"complaints plumber near me")</f>
        <v>complaints plumber near me</v>
      </c>
      <c r="Q68" s="4" t="str">
        <f>IFERROR(__xludf.DUMMYFUNCTION("""COMPUTED_VALUE"""),"electrical COC signs you need")</f>
        <v>electrical COC signs you need</v>
      </c>
      <c r="R68" s="4" t="str">
        <f>IFERROR(__xludf.DUMMYFUNCTION("""COMPUTED_VALUE"""),"how much does leak detection")</f>
        <v>how much does leak detection</v>
      </c>
      <c r="S68" s="4"/>
      <c r="T68" s="4" t="str">
        <f>IFERROR(__xludf.DUMMYFUNCTION("""COMPUTED_VALUE"""),"affordable aircon repair cape town")</f>
        <v>affordable aircon repair cape town</v>
      </c>
      <c r="U68" s="4"/>
      <c r="V68" s="4"/>
      <c r="W68" s="4"/>
      <c r="X68" s="4"/>
      <c r="Y68" s="4"/>
      <c r="Z68" s="4"/>
    </row>
    <row r="69" ht="15.75" customHeight="1">
      <c r="A69" s="4" t="str">
        <f>IFERROR(__xludf.DUMMYFUNCTION("""COMPUTED_VALUE"""),"electrician Northern Suburbs")</f>
        <v>electrician Northern Suburbs</v>
      </c>
      <c r="B69" s="4" t="str">
        <f>IFERROR(__xludf.DUMMYFUNCTION("""COMPUTED_VALUE"""),"Constantia plumbers")</f>
        <v>Constantia plumbers</v>
      </c>
      <c r="C69" s="4" t="str">
        <f>IFERROR(__xludf.DUMMYFUNCTION("""COMPUTED_VALUE"""),"plumber cape town top rated")</f>
        <v>plumber cape town top rated</v>
      </c>
      <c r="D69" s="4" t="str">
        <f>IFERROR(__xludf.DUMMYFUNCTION("""COMPUTED_VALUE"""),"contractor residential plumber")</f>
        <v>contractor residential plumber</v>
      </c>
      <c r="E69" s="28" t="str">
        <f>IFERROR(__xludf.DUMMYFUNCTION("""COMPUTED_VALUE"""),"burst pipe repair emergency")</f>
        <v>burst pipe repair emergency</v>
      </c>
      <c r="F69" s="4" t="str">
        <f>IFERROR(__xludf.DUMMYFUNCTION("""COMPUTED_VALUE"""),"emergency burst pipe repair")</f>
        <v>emergency burst pipe repair</v>
      </c>
      <c r="G69" s="4" t="str">
        <f>IFERROR(__xludf.DUMMYFUNCTION("""COMPUTED_VALUE"""),"drain inspection high pressure jetting")</f>
        <v>drain inspection high pressure jetting</v>
      </c>
      <c r="H69" s="4" t="str">
        <f>IFERROR(__xludf.DUMMYFUNCTION("""COMPUTED_VALUE"""),"emergency leak detection")</f>
        <v>emergency leak detection</v>
      </c>
      <c r="I69" s="4" t="str">
        <f>IFERROR(__xludf.DUMMYFUNCTION("""COMPUTED_VALUE"""),"electrical installation cost")</f>
        <v>electrical installation cost</v>
      </c>
      <c r="J69" s="4" t="str">
        <f>IFERROR(__xludf.DUMMYFUNCTION("""COMPUTED_VALUE"""),"cost residential electrician")</f>
        <v>cost residential electrician</v>
      </c>
      <c r="K69" s="4" t="str">
        <f>IFERROR(__xludf.DUMMYFUNCTION("""COMPUTED_VALUE"""),"aircon repair emergency")</f>
        <v>aircon repair emergency</v>
      </c>
      <c r="L69" s="4" t="str">
        <f>IFERROR(__xludf.DUMMYFUNCTION("""COMPUTED_VALUE"""),"cost aircon installation")</f>
        <v>cost aircon installation</v>
      </c>
      <c r="M69" s="4" t="str">
        <f>IFERROR(__xludf.DUMMYFUNCTION("""COMPUTED_VALUE"""),"emergency plumbing guesthouse")</f>
        <v>emergency plumbing guesthouse</v>
      </c>
      <c r="N69" s="4" t="str">
        <f>IFERROR(__xludf.DUMMYFUNCTION("""COMPUTED_VALUE"""),"flat plumbing company")</f>
        <v>flat plumbing company</v>
      </c>
      <c r="O69" s="4" t="str">
        <f>IFERROR(__xludf.DUMMYFUNCTION("""COMPUTED_VALUE"""),"bosman plumbers trusted")</f>
        <v>bosman plumbers trusted</v>
      </c>
      <c r="P69" s="4" t="str">
        <f>IFERROR(__xludf.DUMMYFUNCTION("""COMPUTED_VALUE"""),"complaints plumbers cape town")</f>
        <v>complaints plumbers cape town</v>
      </c>
      <c r="Q69" s="4" t="str">
        <f>IFERROR(__xludf.DUMMYFUNCTION("""COMPUTED_VALUE"""),"electrical COC what causes")</f>
        <v>electrical COC what causes</v>
      </c>
      <c r="R69" s="4" t="str">
        <f>IFERROR(__xludf.DUMMYFUNCTION("""COMPUTED_VALUE"""),"how much does plumber cost")</f>
        <v>how much does plumber cost</v>
      </c>
      <c r="S69" s="4"/>
      <c r="T69" s="4" t="str">
        <f>IFERROR(__xludf.DUMMYFUNCTION("""COMPUTED_VALUE"""),"affordable aircon service")</f>
        <v>affordable aircon service</v>
      </c>
      <c r="U69" s="4"/>
      <c r="V69" s="4"/>
      <c r="W69" s="4"/>
      <c r="X69" s="4"/>
      <c r="Y69" s="4"/>
      <c r="Z69" s="4"/>
    </row>
    <row r="70" ht="15.75" customHeight="1">
      <c r="A70" s="4" t="str">
        <f>IFERROR(__xludf.DUMMYFUNCTION("""COMPUTED_VALUE"""),"electrician Observatory")</f>
        <v>electrician Observatory</v>
      </c>
      <c r="B70" s="4" t="str">
        <f>IFERROR(__xludf.DUMMYFUNCTION("""COMPUTED_VALUE"""),"Constantia plumbing company")</f>
        <v>Constantia plumbing company</v>
      </c>
      <c r="C70" s="4" t="str">
        <f>IFERROR(__xludf.DUMMYFUNCTION("""COMPUTED_VALUE"""),"plumber cape town trusted")</f>
        <v>plumber cape town trusted</v>
      </c>
      <c r="D70" s="4" t="str">
        <f>IFERROR(__xludf.DUMMYFUNCTION("""COMPUTED_VALUE"""),"cost commercial plumber")</f>
        <v>cost commercial plumber</v>
      </c>
      <c r="E70" s="28" t="str">
        <f>IFERROR(__xludf.DUMMYFUNCTION("""COMPUTED_VALUE"""),"burst pipe repair fast")</f>
        <v>burst pipe repair fast</v>
      </c>
      <c r="F70" s="4" t="str">
        <f>IFERROR(__xludf.DUMMYFUNCTION("""COMPUTED_VALUE"""),"emergency kitchen plumbing repair")</f>
        <v>emergency kitchen plumbing repair</v>
      </c>
      <c r="G70" s="4" t="str">
        <f>IFERROR(__xludf.DUMMYFUNCTION("""COMPUTED_VALUE"""),"drain inspection installation")</f>
        <v>drain inspection installation</v>
      </c>
      <c r="H70" s="4" t="str">
        <f>IFERROR(__xludf.DUMMYFUNCTION("""COMPUTED_VALUE"""),"emergency pipe repair")</f>
        <v>emergency pipe repair</v>
      </c>
      <c r="I70" s="4" t="str">
        <f>IFERROR(__xludf.DUMMYFUNCTION("""COMPUTED_VALUE"""),"electrical installation emergency")</f>
        <v>electrical installation emergency</v>
      </c>
      <c r="J70" s="4" t="str">
        <f>IFERROR(__xludf.DUMMYFUNCTION("""COMPUTED_VALUE"""),"electrical contractor")</f>
        <v>electrical contractor</v>
      </c>
      <c r="K70" s="4" t="str">
        <f>IFERROR(__xludf.DUMMYFUNCTION("""COMPUTED_VALUE"""),"aircon repair installation")</f>
        <v>aircon repair installation</v>
      </c>
      <c r="L70" s="4" t="str">
        <f>IFERROR(__xludf.DUMMYFUNCTION("""COMPUTED_VALUE"""),"cost aircon repair")</f>
        <v>cost aircon repair</v>
      </c>
      <c r="M70" s="4" t="str">
        <f>IFERROR(__xludf.DUMMYFUNCTION("""COMPUTED_VALUE"""),"emergency plumbing home")</f>
        <v>emergency plumbing home</v>
      </c>
      <c r="N70" s="4" t="str">
        <f>IFERROR(__xludf.DUMMYFUNCTION("""COMPUTED_VALUE"""),"flat plumbing services")</f>
        <v>flat plumbing services</v>
      </c>
      <c r="O70" s="4" t="str">
        <f>IFERROR(__xludf.DUMMYFUNCTION("""COMPUTED_VALUE"""),"bosman plumbers vs")</f>
        <v>bosman plumbers vs</v>
      </c>
      <c r="P70" s="4" t="str">
        <f>IFERROR(__xludf.DUMMYFUNCTION("""COMPUTED_VALUE"""),"complaints plumbing company cape town")</f>
        <v>complaints plumbing company cape town</v>
      </c>
      <c r="Q70" s="4" t="str">
        <f>IFERROR(__xludf.DUMMYFUNCTION("""COMPUTED_VALUE"""),"electrical COC what is")</f>
        <v>electrical COC what is</v>
      </c>
      <c r="R70" s="4" t="str">
        <f>IFERROR(__xludf.DUMMYFUNCTION("""COMPUTED_VALUE"""),"how much does plumbing maintenance")</f>
        <v>how much does plumbing maintenance</v>
      </c>
      <c r="S70" s="4"/>
      <c r="T70" s="4" t="str">
        <f>IFERROR(__xludf.DUMMYFUNCTION("""COMPUTED_VALUE"""),"affordable blocked drain")</f>
        <v>affordable blocked drain</v>
      </c>
      <c r="U70" s="4"/>
      <c r="V70" s="4"/>
      <c r="W70" s="4"/>
      <c r="X70" s="4"/>
      <c r="Y70" s="4"/>
      <c r="Z70" s="4"/>
    </row>
    <row r="71" ht="15.75" customHeight="1">
      <c r="A71" s="4" t="str">
        <f>IFERROR(__xludf.DUMMYFUNCTION("""COMPUTED_VALUE"""),"electrician Plumstead")</f>
        <v>electrician Plumstead</v>
      </c>
      <c r="B71" s="4" t="str">
        <f>IFERROR(__xludf.DUMMYFUNCTION("""COMPUTED_VALUE"""),"Constantia refrigeration services")</f>
        <v>Constantia refrigeration services</v>
      </c>
      <c r="C71" s="4" t="str">
        <f>IFERROR(__xludf.DUMMYFUNCTION("""COMPUTED_VALUE"""),"plumbing company")</f>
        <v>plumbing company</v>
      </c>
      <c r="D71" s="4" t="str">
        <f>IFERROR(__xludf.DUMMYFUNCTION("""COMPUTED_VALUE"""),"cost maintenance plumber")</f>
        <v>cost maintenance plumber</v>
      </c>
      <c r="E71" s="28" t="str">
        <f>IFERROR(__xludf.DUMMYFUNCTION("""COMPUTED_VALUE"""),"burst pipe repair local")</f>
        <v>burst pipe repair local</v>
      </c>
      <c r="F71" s="4" t="str">
        <f>IFERROR(__xludf.DUMMYFUNCTION("""COMPUTED_VALUE"""),"emergency leaking pipe repair")</f>
        <v>emergency leaking pipe repair</v>
      </c>
      <c r="G71" s="4" t="str">
        <f>IFERROR(__xludf.DUMMYFUNCTION("""COMPUTED_VALUE"""),"drain inspection near me")</f>
        <v>drain inspection near me</v>
      </c>
      <c r="H71" s="4" t="str">
        <f>IFERROR(__xludf.DUMMYFUNCTION("""COMPUTED_VALUE"""),"emergency water leak detection")</f>
        <v>emergency water leak detection</v>
      </c>
      <c r="I71" s="4" t="str">
        <f>IFERROR(__xludf.DUMMYFUNCTION("""COMPUTED_VALUE"""),"electrical installation inspection")</f>
        <v>electrical installation inspection</v>
      </c>
      <c r="J71" s="4" t="str">
        <f>IFERROR(__xludf.DUMMYFUNCTION("""COMPUTED_VALUE"""),"electrical installation")</f>
        <v>electrical installation</v>
      </c>
      <c r="K71" s="4" t="str">
        <f>IFERROR(__xludf.DUMMYFUNCTION("""COMPUTED_VALUE"""),"aircon repair local")</f>
        <v>aircon repair local</v>
      </c>
      <c r="L71" s="4" t="str">
        <f>IFERROR(__xludf.DUMMYFUNCTION("""COMPUTED_VALUE"""),"cost aircon service")</f>
        <v>cost aircon service</v>
      </c>
      <c r="M71" s="4" t="str">
        <f>IFERROR(__xludf.DUMMYFUNCTION("""COMPUTED_VALUE"""),"emergency plumbing hotel")</f>
        <v>emergency plumbing hotel</v>
      </c>
      <c r="N71" s="4" t="str">
        <f>IFERROR(__xludf.DUMMYFUNCTION("""COMPUTED_VALUE"""),"flat refrigeration services")</f>
        <v>flat refrigeration services</v>
      </c>
      <c r="O71" s="4" t="str">
        <f>IFERROR(__xludf.DUMMYFUNCTION("""COMPUTED_VALUE"""),"drain surgeon cape town 24 hour")</f>
        <v>drain surgeon cape town 24 hour</v>
      </c>
      <c r="P71" s="4" t="str">
        <f>IFERROR(__xludf.DUMMYFUNCTION("""COMPUTED_VALUE"""),"complaints schmidhauser plumbing")</f>
        <v>complaints schmidhauser plumbing</v>
      </c>
      <c r="Q71" s="4" t="str">
        <f>IFERROR(__xludf.DUMMYFUNCTION("""COMPUTED_VALUE"""),"electrical COC when to call a")</f>
        <v>electrical COC when to call a</v>
      </c>
      <c r="R71" s="4" t="str">
        <f>IFERROR(__xludf.DUMMYFUNCTION("""COMPUTED_VALUE"""),"how much does refrigeration repair")</f>
        <v>how much does refrigeration repair</v>
      </c>
      <c r="S71" s="4"/>
      <c r="T71" s="4" t="str">
        <f>IFERROR(__xludf.DUMMYFUNCTION("""COMPUTED_VALUE"""),"affordable bosman plumbers")</f>
        <v>affordable bosman plumbers</v>
      </c>
      <c r="U71" s="4"/>
      <c r="V71" s="4"/>
      <c r="W71" s="4"/>
      <c r="X71" s="4"/>
      <c r="Y71" s="4"/>
      <c r="Z71" s="4"/>
    </row>
    <row r="72" ht="15.75" customHeight="1">
      <c r="A72" s="4" t="str">
        <f>IFERROR(__xludf.DUMMYFUNCTION("""COMPUTED_VALUE"""),"electrician Rondebosch")</f>
        <v>electrician Rondebosch</v>
      </c>
      <c r="B72" s="4" t="str">
        <f>IFERROR(__xludf.DUMMYFUNCTION("""COMPUTED_VALUE"""),"Durbanville aircon repairs")</f>
        <v>Durbanville aircon repairs</v>
      </c>
      <c r="C72" s="4" t="str">
        <f>IFERROR(__xludf.DUMMYFUNCTION("""COMPUTED_VALUE"""),"plumbing company 24 hour")</f>
        <v>plumbing company 24 hour</v>
      </c>
      <c r="D72" s="4" t="str">
        <f>IFERROR(__xludf.DUMMYFUNCTION("""COMPUTED_VALUE"""),"cost plumber cape town")</f>
        <v>cost plumber cape town</v>
      </c>
      <c r="E72" s="28" t="str">
        <f>IFERROR(__xludf.DUMMYFUNCTION("""COMPUTED_VALUE"""),"burst pipe repair near me")</f>
        <v>burst pipe repair near me</v>
      </c>
      <c r="F72" s="4" t="str">
        <f>IFERROR(__xludf.DUMMYFUNCTION("""COMPUTED_VALUE"""),"emergency leaking tap repair")</f>
        <v>emergency leaking tap repair</v>
      </c>
      <c r="G72" s="4" t="str">
        <f>IFERROR(__xludf.DUMMYFUNCTION("""COMPUTED_VALUE"""),"drain inspection plumber")</f>
        <v>drain inspection plumber</v>
      </c>
      <c r="H72" s="4" t="str">
        <f>IFERROR(__xludf.DUMMYFUNCTION("""COMPUTED_VALUE"""),"geyser repair")</f>
        <v>geyser repair</v>
      </c>
      <c r="I72" s="4" t="str">
        <f>IFERROR(__xludf.DUMMYFUNCTION("""COMPUTED_VALUE"""),"electrical installation licensed")</f>
        <v>electrical installation licensed</v>
      </c>
      <c r="J72" s="4" t="str">
        <f>IFERROR(__xludf.DUMMYFUNCTION("""COMPUTED_VALUE"""),"electrical repairs")</f>
        <v>electrical repairs</v>
      </c>
      <c r="K72" s="4" t="str">
        <f>IFERROR(__xludf.DUMMYFUNCTION("""COMPUTED_VALUE"""),"aircon repair maintenance")</f>
        <v>aircon repair maintenance</v>
      </c>
      <c r="L72" s="4" t="str">
        <f>IFERROR(__xludf.DUMMYFUNCTION("""COMPUTED_VALUE"""),"cost cold room repair")</f>
        <v>cost cold room repair</v>
      </c>
      <c r="M72" s="4" t="str">
        <f>IFERROR(__xludf.DUMMYFUNCTION("""COMPUTED_VALUE"""),"emergency plumbing house")</f>
        <v>emergency plumbing house</v>
      </c>
      <c r="N72" s="4" t="str">
        <f>IFERROR(__xludf.DUMMYFUNCTION("""COMPUTED_VALUE"""),"guesthouse air conditioning services")</f>
        <v>guesthouse air conditioning services</v>
      </c>
      <c r="O72" s="4" t="str">
        <f>IFERROR(__xludf.DUMMYFUNCTION("""COMPUTED_VALUE"""),"drain surgeon cape town affordable")</f>
        <v>drain surgeon cape town affordable</v>
      </c>
      <c r="P72" s="4" t="str">
        <f>IFERROR(__xludf.DUMMYFUNCTION("""COMPUTED_VALUE"""),"cost absolute plumbing cape town")</f>
        <v>cost absolute plumbing cape town</v>
      </c>
      <c r="Q72" s="4" t="str">
        <f>IFERROR(__xludf.DUMMYFUNCTION("""COMPUTED_VALUE"""),"electrical COC who fixes")</f>
        <v>electrical COC who fixes</v>
      </c>
      <c r="R72" s="4" t="str">
        <f>IFERROR(__xludf.DUMMYFUNCTION("""COMPUTED_VALUE"""),"how to choose aircon service")</f>
        <v>how to choose aircon service</v>
      </c>
      <c r="S72" s="4"/>
      <c r="T72" s="4" t="str">
        <f>IFERROR(__xludf.DUMMYFUNCTION("""COMPUTED_VALUE"""),"affordable burst geyser")</f>
        <v>affordable burst geyser</v>
      </c>
      <c r="U72" s="4"/>
      <c r="V72" s="4"/>
      <c r="W72" s="4"/>
      <c r="X72" s="4"/>
      <c r="Y72" s="4"/>
      <c r="Z72" s="4"/>
    </row>
    <row r="73" ht="15.75" customHeight="1">
      <c r="A73" s="4" t="str">
        <f>IFERROR(__xludf.DUMMYFUNCTION("""COMPUTED_VALUE"""),"electrician Sea Point")</f>
        <v>electrician Sea Point</v>
      </c>
      <c r="B73" s="4" t="str">
        <f>IFERROR(__xludf.DUMMYFUNCTION("""COMPUTED_VALUE"""),"Durbanville blocked drain plumber")</f>
        <v>Durbanville blocked drain plumber</v>
      </c>
      <c r="C73" s="4" t="str">
        <f>IFERROR(__xludf.DUMMYFUNCTION("""COMPUTED_VALUE"""),"plumbing company affordable")</f>
        <v>plumbing company affordable</v>
      </c>
      <c r="D73" s="4" t="str">
        <f>IFERROR(__xludf.DUMMYFUNCTION("""COMPUTED_VALUE"""),"cost plumbing company")</f>
        <v>cost plumbing company</v>
      </c>
      <c r="E73" s="28" t="str">
        <f>IFERROR(__xludf.DUMMYFUNCTION("""COMPUTED_VALUE"""),"burst pipe repair plumber")</f>
        <v>burst pipe repair plumber</v>
      </c>
      <c r="F73" s="4" t="str">
        <f>IFERROR(__xludf.DUMMYFUNCTION("""COMPUTED_VALUE"""),"emergency plumber")</f>
        <v>emergency plumber</v>
      </c>
      <c r="G73" s="4" t="str">
        <f>IFERROR(__xludf.DUMMYFUNCTION("""COMPUTED_VALUE"""),"drain inspection plumbing company")</f>
        <v>drain inspection plumbing company</v>
      </c>
      <c r="H73" s="4" t="str">
        <f>IFERROR(__xludf.DUMMYFUNCTION("""COMPUTED_VALUE"""),"geyser replacement")</f>
        <v>geyser replacement</v>
      </c>
      <c r="I73" s="4" t="str">
        <f>IFERROR(__xludf.DUMMYFUNCTION("""COMPUTED_VALUE"""),"electrical installation local")</f>
        <v>electrical installation local</v>
      </c>
      <c r="J73" s="4" t="str">
        <f>IFERROR(__xludf.DUMMYFUNCTION("""COMPUTED_VALUE"""),"electrical services")</f>
        <v>electrical services</v>
      </c>
      <c r="K73" s="4" t="str">
        <f>IFERROR(__xludf.DUMMYFUNCTION("""COMPUTED_VALUE"""),"aircon repair near me")</f>
        <v>aircon repair near me</v>
      </c>
      <c r="L73" s="4" t="str">
        <f>IFERROR(__xludf.DUMMYFUNCTION("""COMPUTED_VALUE"""),"cost commercial refrigeration")</f>
        <v>cost commercial refrigeration</v>
      </c>
      <c r="M73" s="4" t="str">
        <f>IFERROR(__xludf.DUMMYFUNCTION("""COMPUTED_VALUE"""),"emergency plumbing landlord")</f>
        <v>emergency plumbing landlord</v>
      </c>
      <c r="N73" s="4" t="str">
        <f>IFERROR(__xludf.DUMMYFUNCTION("""COMPUTED_VALUE"""),"guesthouse drain cleaning")</f>
        <v>guesthouse drain cleaning</v>
      </c>
      <c r="O73" s="4" t="str">
        <f>IFERROR(__xludf.DUMMYFUNCTION("""COMPUTED_VALUE"""),"drain surgeon cape town alternatives")</f>
        <v>drain surgeon cape town alternatives</v>
      </c>
      <c r="P73" s="4" t="str">
        <f>IFERROR(__xludf.DUMMYFUNCTION("""COMPUTED_VALUE"""),"cost aircon repair cape town")</f>
        <v>cost aircon repair cape town</v>
      </c>
      <c r="Q73" s="4" t="str">
        <f>IFERROR(__xludf.DUMMYFUNCTION("""COMPUTED_VALUE"""),"electrical COC why is my")</f>
        <v>electrical COC why is my</v>
      </c>
      <c r="R73" s="4" t="str">
        <f>IFERROR(__xludf.DUMMYFUNCTION("""COMPUTED_VALUE"""),"how to choose blocked drain")</f>
        <v>how to choose blocked drain</v>
      </c>
      <c r="S73" s="4"/>
      <c r="T73" s="4" t="str">
        <f>IFERROR(__xludf.DUMMYFUNCTION("""COMPUTED_VALUE"""),"affordable cold room repair")</f>
        <v>affordable cold room repair</v>
      </c>
      <c r="U73" s="4"/>
      <c r="V73" s="4"/>
      <c r="W73" s="4"/>
      <c r="X73" s="4"/>
      <c r="Y73" s="4"/>
      <c r="Z73" s="4"/>
    </row>
    <row r="74" ht="15.75" customHeight="1">
      <c r="A74" s="4" t="str">
        <f>IFERROR(__xludf.DUMMYFUNCTION("""COMPUTED_VALUE"""),"electrician South Africa")</f>
        <v>electrician South Africa</v>
      </c>
      <c r="B74" s="4" t="str">
        <f>IFERROR(__xludf.DUMMYFUNCTION("""COMPUTED_VALUE"""),"Durbanville electrician")</f>
        <v>Durbanville electrician</v>
      </c>
      <c r="C74" s="4" t="str">
        <f>IFERROR(__xludf.DUMMYFUNCTION("""COMPUTED_VALUE"""),"plumbing company after hours")</f>
        <v>plumbing company after hours</v>
      </c>
      <c r="D74" s="4" t="str">
        <f>IFERROR(__xludf.DUMMYFUNCTION("""COMPUTED_VALUE"""),"cost plumbing contractors")</f>
        <v>cost plumbing contractors</v>
      </c>
      <c r="E74" s="28" t="str">
        <f>IFERROR(__xludf.DUMMYFUNCTION("""COMPUTED_VALUE"""),"burst pipe repair professional")</f>
        <v>burst pipe repair professional</v>
      </c>
      <c r="F74" s="4" t="str">
        <f>IFERROR(__xludf.DUMMYFUNCTION("""COMPUTED_VALUE"""),"emergency toilet repair")</f>
        <v>emergency toilet repair</v>
      </c>
      <c r="G74" s="4" t="str">
        <f>IFERROR(__xludf.DUMMYFUNCTION("""COMPUTED_VALUE"""),"drain inspection quote")</f>
        <v>drain inspection quote</v>
      </c>
      <c r="H74" s="4" t="str">
        <f>IFERROR(__xludf.DUMMYFUNCTION("""COMPUTED_VALUE"""),"high pressure jetting blocked drain")</f>
        <v>high pressure jetting blocked drain</v>
      </c>
      <c r="I74" s="4" t="str">
        <f>IFERROR(__xludf.DUMMYFUNCTION("""COMPUTED_VALUE"""),"electrical installation near me")</f>
        <v>electrical installation near me</v>
      </c>
      <c r="J74" s="4" t="str">
        <f>IFERROR(__xludf.DUMMYFUNCTION("""COMPUTED_VALUE"""),"electrician cape town")</f>
        <v>electrician cape town</v>
      </c>
      <c r="K74" s="4" t="str">
        <f>IFERROR(__xludf.DUMMYFUNCTION("""COMPUTED_VALUE"""),"aircon repair professional")</f>
        <v>aircon repair professional</v>
      </c>
      <c r="L74" s="4" t="str">
        <f>IFERROR(__xludf.DUMMYFUNCTION("""COMPUTED_VALUE"""),"cost fridge repair")</f>
        <v>cost fridge repair</v>
      </c>
      <c r="M74" s="4" t="str">
        <f>IFERROR(__xludf.DUMMYFUNCTION("""COMPUTED_VALUE"""),"emergency plumbing office")</f>
        <v>emergency plumbing office</v>
      </c>
      <c r="N74" s="4" t="str">
        <f>IFERROR(__xludf.DUMMYFUNCTION("""COMPUTED_VALUE"""),"guesthouse electrical repairs")</f>
        <v>guesthouse electrical repairs</v>
      </c>
      <c r="O74" s="4" t="str">
        <f>IFERROR(__xludf.DUMMYFUNCTION("""COMPUTED_VALUE"""),"drain surgeon cape town best")</f>
        <v>drain surgeon cape town best</v>
      </c>
      <c r="P74" s="4" t="str">
        <f>IFERROR(__xludf.DUMMYFUNCTION("""COMPUTED_VALUE"""),"cost bosman plumbers")</f>
        <v>cost bosman plumbers</v>
      </c>
      <c r="Q74" s="4" t="str">
        <f>IFERROR(__xludf.DUMMYFUNCTION("""COMPUTED_VALUE"""),"emergency plumber best way to fix")</f>
        <v>emergency plumber best way to fix</v>
      </c>
      <c r="R74" s="4" t="str">
        <f>IFERROR(__xludf.DUMMYFUNCTION("""COMPUTED_VALUE"""),"how to choose burst pipe")</f>
        <v>how to choose burst pipe</v>
      </c>
      <c r="S74" s="4"/>
      <c r="T74" s="4" t="str">
        <f>IFERROR(__xludf.DUMMYFUNCTION("""COMPUTED_VALUE"""),"affordable commercial electrician")</f>
        <v>affordable commercial electrician</v>
      </c>
      <c r="U74" s="4"/>
      <c r="V74" s="4"/>
      <c r="W74" s="4"/>
      <c r="X74" s="4"/>
      <c r="Y74" s="4"/>
      <c r="Z74" s="4"/>
    </row>
    <row r="75" ht="15.75" customHeight="1">
      <c r="A75" s="4" t="str">
        <f>IFERROR(__xludf.DUMMYFUNCTION("""COMPUTED_VALUE"""),"electrician Southern Suburbs")</f>
        <v>electrician Southern Suburbs</v>
      </c>
      <c r="B75" s="4" t="str">
        <f>IFERROR(__xludf.DUMMYFUNCTION("""COMPUTED_VALUE"""),"Durbanville emergency plumber")</f>
        <v>Durbanville emergency plumber</v>
      </c>
      <c r="C75" s="4" t="str">
        <f>IFERROR(__xludf.DUMMYFUNCTION("""COMPUTED_VALUE"""),"plumbing company best")</f>
        <v>plumbing company best</v>
      </c>
      <c r="D75" s="4" t="str">
        <f>IFERROR(__xludf.DUMMYFUNCTION("""COMPUTED_VALUE"""),"cost plumbing inspection")</f>
        <v>cost plumbing inspection</v>
      </c>
      <c r="E75" s="28" t="str">
        <f>IFERROR(__xludf.DUMMYFUNCTION("""COMPUTED_VALUE"""),"burst pipe repair quote")</f>
        <v>burst pipe repair quote</v>
      </c>
      <c r="F75" s="4" t="str">
        <f>IFERROR(__xludf.DUMMYFUNCTION("""COMPUTED_VALUE"""),"emergency water leak repair")</f>
        <v>emergency water leak repair</v>
      </c>
      <c r="G75" s="4" t="str">
        <f>IFERROR(__xludf.DUMMYFUNCTION("""COMPUTED_VALUE"""),"drain inspection reliable")</f>
        <v>drain inspection reliable</v>
      </c>
      <c r="H75" s="4" t="str">
        <f>IFERROR(__xludf.DUMMYFUNCTION("""COMPUTED_VALUE"""),"high pressure jetting burst geyser")</f>
        <v>high pressure jetting burst geyser</v>
      </c>
      <c r="I75" s="4" t="str">
        <f>IFERROR(__xludf.DUMMYFUNCTION("""COMPUTED_VALUE"""),"electrical installation professional")</f>
        <v>electrical installation professional</v>
      </c>
      <c r="J75" s="4" t="str">
        <f>IFERROR(__xludf.DUMMYFUNCTION("""COMPUTED_VALUE"""),"emergency commercial electrician")</f>
        <v>emergency commercial electrician</v>
      </c>
      <c r="K75" s="4" t="str">
        <f>IFERROR(__xludf.DUMMYFUNCTION("""COMPUTED_VALUE"""),"aircon repair quote")</f>
        <v>aircon repair quote</v>
      </c>
      <c r="L75" s="4" t="str">
        <f>IFERROR(__xludf.DUMMYFUNCTION("""COMPUTED_VALUE"""),"cost HVAC services")</f>
        <v>cost HVAC services</v>
      </c>
      <c r="M75" s="4" t="str">
        <f>IFERROR(__xludf.DUMMYFUNCTION("""COMPUTED_VALUE"""),"emergency plumbing property manager")</f>
        <v>emergency plumbing property manager</v>
      </c>
      <c r="N75" s="4" t="str">
        <f>IFERROR(__xludf.DUMMYFUNCTION("""COMPUTED_VALUE"""),"guesthouse emergency plumbing")</f>
        <v>guesthouse emergency plumbing</v>
      </c>
      <c r="O75" s="4" t="str">
        <f>IFERROR(__xludf.DUMMYFUNCTION("""COMPUTED_VALUE"""),"drain surgeon cape town certified")</f>
        <v>drain surgeon cape town certified</v>
      </c>
      <c r="P75" s="4" t="str">
        <f>IFERROR(__xludf.DUMMYFUNCTION("""COMPUTED_VALUE"""),"cost drain surgeon cape town")</f>
        <v>cost drain surgeon cape town</v>
      </c>
      <c r="Q75" s="4" t="str">
        <f>IFERROR(__xludf.DUMMYFUNCTION("""COMPUTED_VALUE"""),"emergency plumber can a plumber fix")</f>
        <v>emergency plumber can a plumber fix</v>
      </c>
      <c r="R75" s="4" t="str">
        <f>IFERROR(__xludf.DUMMYFUNCTION("""COMPUTED_VALUE"""),"how to choose electrical COC")</f>
        <v>how to choose electrical COC</v>
      </c>
      <c r="S75" s="4"/>
      <c r="T75" s="4" t="str">
        <f>IFERROR(__xludf.DUMMYFUNCTION("""COMPUTED_VALUE"""),"affordable commercial plumber")</f>
        <v>affordable commercial plumber</v>
      </c>
      <c r="U75" s="4"/>
      <c r="V75" s="4"/>
      <c r="W75" s="4"/>
      <c r="X75" s="4"/>
      <c r="Y75" s="4"/>
      <c r="Z75" s="4"/>
    </row>
    <row r="76" ht="15.75" customHeight="1">
      <c r="A76" s="4" t="str">
        <f>IFERROR(__xludf.DUMMYFUNCTION("""COMPUTED_VALUE"""),"electrician Table View")</f>
        <v>electrician Table View</v>
      </c>
      <c r="B76" s="4" t="str">
        <f>IFERROR(__xludf.DUMMYFUNCTION("""COMPUTED_VALUE"""),"Durbanville geyser repair")</f>
        <v>Durbanville geyser repair</v>
      </c>
      <c r="C76" s="4" t="str">
        <f>IFERROR(__xludf.DUMMYFUNCTION("""COMPUTED_VALUE"""),"plumbing company call out")</f>
        <v>plumbing company call out</v>
      </c>
      <c r="D76" s="4" t="str">
        <f>IFERROR(__xludf.DUMMYFUNCTION("""COMPUTED_VALUE"""),"cost plumbing installation")</f>
        <v>cost plumbing installation</v>
      </c>
      <c r="E76" s="28" t="str">
        <f>IFERROR(__xludf.DUMMYFUNCTION("""COMPUTED_VALUE"""),"burst pipe repair reliable")</f>
        <v>burst pipe repair reliable</v>
      </c>
      <c r="F76" s="4" t="str">
        <f>IFERROR(__xludf.DUMMYFUNCTION("""COMPUTED_VALUE"""),"fast 24 hour plumber")</f>
        <v>fast 24 hour plumber</v>
      </c>
      <c r="G76" s="4" t="str">
        <f>IFERROR(__xludf.DUMMYFUNCTION("""COMPUTED_VALUE"""),"drain inspection repair")</f>
        <v>drain inspection repair</v>
      </c>
      <c r="H76" s="4" t="str">
        <f>IFERROR(__xludf.DUMMYFUNCTION("""COMPUTED_VALUE"""),"high pressure jetting drain cleaning")</f>
        <v>high pressure jetting drain cleaning</v>
      </c>
      <c r="I76" s="4" t="str">
        <f>IFERROR(__xludf.DUMMYFUNCTION("""COMPUTED_VALUE"""),"electrical installation qualified")</f>
        <v>electrical installation qualified</v>
      </c>
      <c r="J76" s="4" t="str">
        <f>IFERROR(__xludf.DUMMYFUNCTION("""COMPUTED_VALUE"""),"emergency electrical compliance certificate")</f>
        <v>emergency electrical compliance certificate</v>
      </c>
      <c r="K76" s="4" t="str">
        <f>IFERROR(__xludf.DUMMYFUNCTION("""COMPUTED_VALUE"""),"aircon repair reliable")</f>
        <v>aircon repair reliable</v>
      </c>
      <c r="L76" s="4" t="str">
        <f>IFERROR(__xludf.DUMMYFUNCTION("""COMPUTED_VALUE"""),"cost refrigeration repair")</f>
        <v>cost refrigeration repair</v>
      </c>
      <c r="M76" s="4" t="str">
        <f>IFERROR(__xludf.DUMMYFUNCTION("""COMPUTED_VALUE"""),"emergency plumbing residential property")</f>
        <v>emergency plumbing residential property</v>
      </c>
      <c r="N76" s="4" t="str">
        <f>IFERROR(__xludf.DUMMYFUNCTION("""COMPUTED_VALUE"""),"guesthouse geyser repairs")</f>
        <v>guesthouse geyser repairs</v>
      </c>
      <c r="O76" s="4" t="str">
        <f>IFERROR(__xludf.DUMMYFUNCTION("""COMPUTED_VALUE"""),"drain surgeon cape town compare")</f>
        <v>drain surgeon cape town compare</v>
      </c>
      <c r="P76" s="4" t="str">
        <f>IFERROR(__xludf.DUMMYFUNCTION("""COMPUTED_VALUE"""),"cost electrician cape town")</f>
        <v>cost electrician cape town</v>
      </c>
      <c r="Q76" s="4" t="str">
        <f>IFERROR(__xludf.DUMMYFUNCTION("""COMPUTED_VALUE"""),"emergency plumber cost of")</f>
        <v>emergency plumber cost of</v>
      </c>
      <c r="R76" s="4" t="str">
        <f>IFERROR(__xludf.DUMMYFUNCTION("""COMPUTED_VALUE"""),"how to choose emergency plumber")</f>
        <v>how to choose emergency plumber</v>
      </c>
      <c r="S76" s="4"/>
      <c r="T76" s="4" t="str">
        <f>IFERROR(__xludf.DUMMYFUNCTION("""COMPUTED_VALUE"""),"affordable commercial refrigeration")</f>
        <v>affordable commercial refrigeration</v>
      </c>
      <c r="U76" s="4"/>
      <c r="V76" s="4"/>
      <c r="W76" s="4"/>
      <c r="X76" s="4"/>
      <c r="Y76" s="4"/>
      <c r="Z76" s="4"/>
    </row>
    <row r="77" ht="15.75" customHeight="1">
      <c r="A77" s="4" t="str">
        <f>IFERROR(__xludf.DUMMYFUNCTION("""COMPUTED_VALUE"""),"electrician Tokai")</f>
        <v>electrician Tokai</v>
      </c>
      <c r="B77" s="4" t="str">
        <f>IFERROR(__xludf.DUMMYFUNCTION("""COMPUTED_VALUE"""),"Durbanville leak detection plumber")</f>
        <v>Durbanville leak detection plumber</v>
      </c>
      <c r="C77" s="4" t="str">
        <f>IFERROR(__xludf.DUMMYFUNCTION("""COMPUTED_VALUE"""),"plumbing company contractor")</f>
        <v>plumbing company contractor</v>
      </c>
      <c r="D77" s="4" t="str">
        <f>IFERROR(__xludf.DUMMYFUNCTION("""COMPUTED_VALUE"""),"cost plumbing repairs")</f>
        <v>cost plumbing repairs</v>
      </c>
      <c r="E77" s="28" t="str">
        <f>IFERROR(__xludf.DUMMYFUNCTION("""COMPUTED_VALUE"""),"burst pipe repair residential")</f>
        <v>burst pipe repair residential</v>
      </c>
      <c r="F77" s="4" t="str">
        <f>IFERROR(__xludf.DUMMYFUNCTION("""COMPUTED_VALUE"""),"fast bathroom plumbing repair")</f>
        <v>fast bathroom plumbing repair</v>
      </c>
      <c r="G77" s="4" t="str">
        <f>IFERROR(__xludf.DUMMYFUNCTION("""COMPUTED_VALUE"""),"drain inspection replacement")</f>
        <v>drain inspection replacement</v>
      </c>
      <c r="H77" s="4" t="str">
        <f>IFERROR(__xludf.DUMMYFUNCTION("""COMPUTED_VALUE"""),"high pressure jetting drain inspection")</f>
        <v>high pressure jetting drain inspection</v>
      </c>
      <c r="I77" s="4" t="str">
        <f>IFERROR(__xludf.DUMMYFUNCTION("""COMPUTED_VALUE"""),"electrical installation quote")</f>
        <v>electrical installation quote</v>
      </c>
      <c r="J77" s="4" t="str">
        <f>IFERROR(__xludf.DUMMYFUNCTION("""COMPUTED_VALUE"""),"emergency electrical contractor")</f>
        <v>emergency electrical contractor</v>
      </c>
      <c r="K77" s="4" t="str">
        <f>IFERROR(__xludf.DUMMYFUNCTION("""COMPUTED_VALUE"""),"aircon repair residential")</f>
        <v>aircon repair residential</v>
      </c>
      <c r="L77" s="4" t="str">
        <f>IFERROR(__xludf.DUMMYFUNCTION("""COMPUTED_VALUE"""),"emergency air conditioning")</f>
        <v>emergency air conditioning</v>
      </c>
      <c r="M77" s="4" t="str">
        <f>IFERROR(__xludf.DUMMYFUNCTION("""COMPUTED_VALUE"""),"emergency plumbing restaurant")</f>
        <v>emergency plumbing restaurant</v>
      </c>
      <c r="N77" s="4" t="str">
        <f>IFERROR(__xludf.DUMMYFUNCTION("""COMPUTED_VALUE"""),"guesthouse leak detection")</f>
        <v>guesthouse leak detection</v>
      </c>
      <c r="O77" s="4" t="str">
        <f>IFERROR(__xludf.DUMMYFUNCTION("""COMPUTED_VALUE"""),"drain surgeon cape town complaints")</f>
        <v>drain surgeon cape town complaints</v>
      </c>
      <c r="P77" s="4" t="str">
        <f>IFERROR(__xludf.DUMMYFUNCTION("""COMPUTED_VALUE"""),"cost emergency plumber cape town")</f>
        <v>cost emergency plumber cape town</v>
      </c>
      <c r="Q77" s="4" t="str">
        <f>IFERROR(__xludf.DUMMYFUNCTION("""COMPUTED_VALUE"""),"emergency plumber do I need")</f>
        <v>emergency plumber do I need</v>
      </c>
      <c r="R77" s="4" t="str">
        <f>IFERROR(__xludf.DUMMYFUNCTION("""COMPUTED_VALUE"""),"how to choose geyser repair")</f>
        <v>how to choose geyser repair</v>
      </c>
      <c r="S77" s="4"/>
      <c r="T77" s="4" t="str">
        <f>IFERROR(__xludf.DUMMYFUNCTION("""COMPUTED_VALUE"""),"affordable drain cleaning")</f>
        <v>affordable drain cleaning</v>
      </c>
      <c r="U77" s="4"/>
      <c r="V77" s="4"/>
      <c r="W77" s="4"/>
      <c r="X77" s="4"/>
      <c r="Y77" s="4"/>
      <c r="Z77" s="4"/>
    </row>
    <row r="78" ht="15.75" customHeight="1">
      <c r="A78" s="4" t="str">
        <f>IFERROR(__xludf.DUMMYFUNCTION("""COMPUTED_VALUE"""),"electrician Woodstock")</f>
        <v>electrician Woodstock</v>
      </c>
      <c r="B78" s="4" t="str">
        <f>IFERROR(__xludf.DUMMYFUNCTION("""COMPUTED_VALUE"""),"Durbanville plumber")</f>
        <v>Durbanville plumber</v>
      </c>
      <c r="C78" s="4" t="str">
        <f>IFERROR(__xludf.DUMMYFUNCTION("""COMPUTED_VALUE"""),"plumbing company cost")</f>
        <v>plumbing company cost</v>
      </c>
      <c r="D78" s="4" t="str">
        <f>IFERROR(__xludf.DUMMYFUNCTION("""COMPUTED_VALUE"""),"cost plumbing services")</f>
        <v>cost plumbing services</v>
      </c>
      <c r="E78" s="28" t="str">
        <f>IFERROR(__xludf.DUMMYFUNCTION("""COMPUTED_VALUE"""),"burst pipe repair same day")</f>
        <v>burst pipe repair same day</v>
      </c>
      <c r="F78" s="4" t="str">
        <f>IFERROR(__xludf.DUMMYFUNCTION("""COMPUTED_VALUE"""),"fast blocked toilet plumber")</f>
        <v>fast blocked toilet plumber</v>
      </c>
      <c r="G78" s="4" t="str">
        <f>IFERROR(__xludf.DUMMYFUNCTION("""COMPUTED_VALUE"""),"drain inspection residential")</f>
        <v>drain inspection residential</v>
      </c>
      <c r="H78" s="4" t="str">
        <f>IFERROR(__xludf.DUMMYFUNCTION("""COMPUTED_VALUE"""),"high pressure jetting drain unblocking")</f>
        <v>high pressure jetting drain unblocking</v>
      </c>
      <c r="I78" s="4" t="str">
        <f>IFERROR(__xludf.DUMMYFUNCTION("""COMPUTED_VALUE"""),"electrical installation reliable")</f>
        <v>electrical installation reliable</v>
      </c>
      <c r="J78" s="4" t="str">
        <f>IFERROR(__xludf.DUMMYFUNCTION("""COMPUTED_VALUE"""),"emergency electrical installation")</f>
        <v>emergency electrical installation</v>
      </c>
      <c r="K78" s="4" t="str">
        <f>IFERROR(__xludf.DUMMYFUNCTION("""COMPUTED_VALUE"""),"aircon repair same day")</f>
        <v>aircon repair same day</v>
      </c>
      <c r="L78" s="4" t="str">
        <f>IFERROR(__xludf.DUMMYFUNCTION("""COMPUTED_VALUE"""),"emergency air conditioning repair")</f>
        <v>emergency air conditioning repair</v>
      </c>
      <c r="M78" s="4" t="str">
        <f>IFERROR(__xludf.DUMMYFUNCTION("""COMPUTED_VALUE"""),"emergency plumbing school")</f>
        <v>emergency plumbing school</v>
      </c>
      <c r="N78" s="4" t="str">
        <f>IFERROR(__xludf.DUMMYFUNCTION("""COMPUTED_VALUE"""),"guesthouse maintenance plumber")</f>
        <v>guesthouse maintenance plumber</v>
      </c>
      <c r="O78" s="4" t="str">
        <f>IFERROR(__xludf.DUMMYFUNCTION("""COMPUTED_VALUE"""),"drain surgeon cape town cost")</f>
        <v>drain surgeon cape town cost</v>
      </c>
      <c r="P78" s="4" t="str">
        <f>IFERROR(__xludf.DUMMYFUNCTION("""COMPUTED_VALUE"""),"cost plumber near me")</f>
        <v>cost plumber near me</v>
      </c>
      <c r="Q78" s="4" t="str">
        <f>IFERROR(__xludf.DUMMYFUNCTION("""COMPUTED_VALUE"""),"emergency plumber emergency help for")</f>
        <v>emergency plumber emergency help for</v>
      </c>
      <c r="R78" s="4" t="str">
        <f>IFERROR(__xludf.DUMMYFUNCTION("""COMPUTED_VALUE"""),"how to choose leak detection")</f>
        <v>how to choose leak detection</v>
      </c>
      <c r="S78" s="4"/>
      <c r="T78" s="4" t="str">
        <f>IFERROR(__xludf.DUMMYFUNCTION("""COMPUTED_VALUE"""),"affordable drain inspection")</f>
        <v>affordable drain inspection</v>
      </c>
      <c r="U78" s="4"/>
      <c r="V78" s="4"/>
      <c r="W78" s="4"/>
      <c r="X78" s="4"/>
      <c r="Y78" s="4"/>
      <c r="Z78" s="4"/>
    </row>
    <row r="79" ht="15.75" customHeight="1">
      <c r="A79" s="4" t="str">
        <f>IFERROR(__xludf.DUMMYFUNCTION("""COMPUTED_VALUE"""),"electrician Wynberg")</f>
        <v>electrician Wynberg</v>
      </c>
      <c r="B79" s="4" t="str">
        <f>IFERROR(__xludf.DUMMYFUNCTION("""COMPUTED_VALUE"""),"Durbanville plumbers")</f>
        <v>Durbanville plumbers</v>
      </c>
      <c r="C79" s="4" t="str">
        <f>IFERROR(__xludf.DUMMYFUNCTION("""COMPUTED_VALUE"""),"plumbing company emergency")</f>
        <v>plumbing company emergency</v>
      </c>
      <c r="D79" s="4" t="str">
        <f>IFERROR(__xludf.DUMMYFUNCTION("""COMPUTED_VALUE"""),"cost residential plumber")</f>
        <v>cost residential plumber</v>
      </c>
      <c r="E79" s="28" t="str">
        <f>IFERROR(__xludf.DUMMYFUNCTION("""COMPUTED_VALUE"""),"burst pipe repair service")</f>
        <v>burst pipe repair service</v>
      </c>
      <c r="F79" s="4" t="str">
        <f>IFERROR(__xludf.DUMMYFUNCTION("""COMPUTED_VALUE"""),"fast burst pipe repair")</f>
        <v>fast burst pipe repair</v>
      </c>
      <c r="G79" s="4" t="str">
        <f>IFERROR(__xludf.DUMMYFUNCTION("""COMPUTED_VALUE"""),"drain inspection same day")</f>
        <v>drain inspection same day</v>
      </c>
      <c r="H79" s="4" t="str">
        <f>IFERROR(__xludf.DUMMYFUNCTION("""COMPUTED_VALUE"""),"high pressure jetting geyser repair")</f>
        <v>high pressure jetting geyser repair</v>
      </c>
      <c r="I79" s="4" t="str">
        <f>IFERROR(__xludf.DUMMYFUNCTION("""COMPUTED_VALUE"""),"electrical installation repair")</f>
        <v>electrical installation repair</v>
      </c>
      <c r="J79" s="4" t="str">
        <f>IFERROR(__xludf.DUMMYFUNCTION("""COMPUTED_VALUE"""),"emergency electrical maintenance")</f>
        <v>emergency electrical maintenance</v>
      </c>
      <c r="K79" s="4" t="str">
        <f>IFERROR(__xludf.DUMMYFUNCTION("""COMPUTED_VALUE"""),"aircon repair service")</f>
        <v>aircon repair service</v>
      </c>
      <c r="L79" s="4" t="str">
        <f>IFERROR(__xludf.DUMMYFUNCTION("""COMPUTED_VALUE"""),"emergency aircon installation")</f>
        <v>emergency aircon installation</v>
      </c>
      <c r="M79" s="4" t="str">
        <f>IFERROR(__xludf.DUMMYFUNCTION("""COMPUTED_VALUE"""),"emergency plumbing shop")</f>
        <v>emergency plumbing shop</v>
      </c>
      <c r="N79" s="4" t="str">
        <f>IFERROR(__xludf.DUMMYFUNCTION("""COMPUTED_VALUE"""),"guesthouse plumbing company")</f>
        <v>guesthouse plumbing company</v>
      </c>
      <c r="O79" s="4" t="str">
        <f>IFERROR(__xludf.DUMMYFUNCTION("""COMPUTED_VALUE"""),"drain surgeon cape town insured")</f>
        <v>drain surgeon cape town insured</v>
      </c>
      <c r="P79" s="4" t="str">
        <f>IFERROR(__xludf.DUMMYFUNCTION("""COMPUTED_VALUE"""),"cost plumbers cape town")</f>
        <v>cost plumbers cape town</v>
      </c>
      <c r="Q79" s="4" t="str">
        <f>IFERROR(__xludf.DUMMYFUNCTION("""COMPUTED_VALUE"""),"emergency plumber how long does")</f>
        <v>emergency plumber how long does</v>
      </c>
      <c r="R79" s="4" t="str">
        <f>IFERROR(__xludf.DUMMYFUNCTION("""COMPUTED_VALUE"""),"how to choose plumber cost")</f>
        <v>how to choose plumber cost</v>
      </c>
      <c r="S79" s="4"/>
      <c r="T79" s="4" t="str">
        <f>IFERROR(__xludf.DUMMYFUNCTION("""COMPUTED_VALUE"""),"affordable drain surgeon cape town")</f>
        <v>affordable drain surgeon cape town</v>
      </c>
      <c r="U79" s="4"/>
      <c r="V79" s="4"/>
      <c r="W79" s="4"/>
      <c r="X79" s="4"/>
      <c r="Y79" s="4"/>
      <c r="Z79" s="4"/>
    </row>
    <row r="80" ht="15.75" customHeight="1">
      <c r="A80" s="4" t="str">
        <f>IFERROR(__xludf.DUMMYFUNCTION("""COMPUTED_VALUE"""),"emergency plumber Atlantic Seaboard")</f>
        <v>emergency plumber Atlantic Seaboard</v>
      </c>
      <c r="B80" s="4" t="str">
        <f>IFERROR(__xludf.DUMMYFUNCTION("""COMPUTED_VALUE"""),"Durbanville plumbing company")</f>
        <v>Durbanville plumbing company</v>
      </c>
      <c r="C80" s="4" t="str">
        <f>IFERROR(__xludf.DUMMYFUNCTION("""COMPUTED_VALUE"""),"plumbing company installation")</f>
        <v>plumbing company installation</v>
      </c>
      <c r="D80" s="4" t="str">
        <f>IFERROR(__xludf.DUMMYFUNCTION("""COMPUTED_VALUE"""),"emergency commercial plumber")</f>
        <v>emergency commercial plumber</v>
      </c>
      <c r="E80" s="28" t="str">
        <f>IFERROR(__xludf.DUMMYFUNCTION("""COMPUTED_VALUE"""),"burst pipe repair urgent")</f>
        <v>burst pipe repair urgent</v>
      </c>
      <c r="F80" s="4" t="str">
        <f>IFERROR(__xludf.DUMMYFUNCTION("""COMPUTED_VALUE"""),"fast emergency plumber")</f>
        <v>fast emergency plumber</v>
      </c>
      <c r="G80" s="4" t="str">
        <f>IFERROR(__xludf.DUMMYFUNCTION("""COMPUTED_VALUE"""),"drain inspection service")</f>
        <v>drain inspection service</v>
      </c>
      <c r="H80" s="4" t="str">
        <f>IFERROR(__xludf.DUMMYFUNCTION("""COMPUTED_VALUE"""),"high pressure jetting geyser replacement")</f>
        <v>high pressure jetting geyser replacement</v>
      </c>
      <c r="I80" s="4" t="str">
        <f>IFERROR(__xludf.DUMMYFUNCTION("""COMPUTED_VALUE"""),"electrical installation same day")</f>
        <v>electrical installation same day</v>
      </c>
      <c r="J80" s="4" t="str">
        <f>IFERROR(__xludf.DUMMYFUNCTION("""COMPUTED_VALUE"""),"emergency electrical repairs")</f>
        <v>emergency electrical repairs</v>
      </c>
      <c r="K80" s="4" t="str">
        <f>IFERROR(__xludf.DUMMYFUNCTION("""COMPUTED_VALUE"""),"aircon repair technician")</f>
        <v>aircon repair technician</v>
      </c>
      <c r="L80" s="4" t="str">
        <f>IFERROR(__xludf.DUMMYFUNCTION("""COMPUTED_VALUE"""),"emergency aircon repair")</f>
        <v>emergency aircon repair</v>
      </c>
      <c r="M80" s="4" t="str">
        <f>IFERROR(__xludf.DUMMYFUNCTION("""COMPUTED_VALUE"""),"emergency plumbing tenant")</f>
        <v>emergency plumbing tenant</v>
      </c>
      <c r="N80" s="4" t="str">
        <f>IFERROR(__xludf.DUMMYFUNCTION("""COMPUTED_VALUE"""),"guesthouse plumbing services")</f>
        <v>guesthouse plumbing services</v>
      </c>
      <c r="O80" s="4" t="str">
        <f>IFERROR(__xludf.DUMMYFUNCTION("""COMPUTED_VALUE"""),"drain surgeon cape town licensed")</f>
        <v>drain surgeon cape town licensed</v>
      </c>
      <c r="P80" s="4" t="str">
        <f>IFERROR(__xludf.DUMMYFUNCTION("""COMPUTED_VALUE"""),"cost plumbing company cape town")</f>
        <v>cost plumbing company cape town</v>
      </c>
      <c r="Q80" s="4" t="str">
        <f>IFERROR(__xludf.DUMMYFUNCTION("""COMPUTED_VALUE"""),"emergency plumber how much does")</f>
        <v>emergency plumber how much does</v>
      </c>
      <c r="R80" s="4" t="str">
        <f>IFERROR(__xludf.DUMMYFUNCTION("""COMPUTED_VALUE"""),"how to choose plumbing maintenance")</f>
        <v>how to choose plumbing maintenance</v>
      </c>
      <c r="S80" s="4"/>
      <c r="T80" s="4" t="str">
        <f>IFERROR(__xludf.DUMMYFUNCTION("""COMPUTED_VALUE"""),"affordable drain unblocking")</f>
        <v>affordable drain unblocking</v>
      </c>
      <c r="U80" s="4"/>
      <c r="V80" s="4"/>
      <c r="W80" s="4"/>
      <c r="X80" s="4"/>
      <c r="Y80" s="4"/>
      <c r="Z80" s="4"/>
    </row>
    <row r="81" ht="15.75" customHeight="1">
      <c r="A81" s="4" t="str">
        <f>IFERROR(__xludf.DUMMYFUNCTION("""COMPUTED_VALUE"""),"emergency plumber Bellville")</f>
        <v>emergency plumber Bellville</v>
      </c>
      <c r="B81" s="4" t="str">
        <f>IFERROR(__xludf.DUMMYFUNCTION("""COMPUTED_VALUE"""),"Durbanville refrigeration services")</f>
        <v>Durbanville refrigeration services</v>
      </c>
      <c r="C81" s="4" t="str">
        <f>IFERROR(__xludf.DUMMYFUNCTION("""COMPUTED_VALUE"""),"plumbing company licensed")</f>
        <v>plumbing company licensed</v>
      </c>
      <c r="D81" s="4" t="str">
        <f>IFERROR(__xludf.DUMMYFUNCTION("""COMPUTED_VALUE"""),"emergency maintenance plumber")</f>
        <v>emergency maintenance plumber</v>
      </c>
      <c r="E81" s="28" t="str">
        <f>IFERROR(__xludf.DUMMYFUNCTION("""COMPUTED_VALUE"""),"burst pipe repair weekend")</f>
        <v>burst pipe repair weekend</v>
      </c>
      <c r="F81" s="4" t="str">
        <f>IFERROR(__xludf.DUMMYFUNCTION("""COMPUTED_VALUE"""),"fast kitchen plumbing repair")</f>
        <v>fast kitchen plumbing repair</v>
      </c>
      <c r="G81" s="4" t="str">
        <f>IFERROR(__xludf.DUMMYFUNCTION("""COMPUTED_VALUE"""),"drain inspection specialist")</f>
        <v>drain inspection specialist</v>
      </c>
      <c r="H81" s="4" t="str">
        <f>IFERROR(__xludf.DUMMYFUNCTION("""COMPUTED_VALUE"""),"high pressure jetting leak detection")</f>
        <v>high pressure jetting leak detection</v>
      </c>
      <c r="I81" s="4" t="str">
        <f>IFERROR(__xludf.DUMMYFUNCTION("""COMPUTED_VALUE"""),"electrical installation service")</f>
        <v>electrical installation service</v>
      </c>
      <c r="J81" s="4" t="str">
        <f>IFERROR(__xludf.DUMMYFUNCTION("""COMPUTED_VALUE"""),"emergency electrical services")</f>
        <v>emergency electrical services</v>
      </c>
      <c r="K81" s="4" t="str">
        <f>IFERROR(__xludf.DUMMYFUNCTION("""COMPUTED_VALUE"""),"aircon service")</f>
        <v>aircon service</v>
      </c>
      <c r="L81" s="4" t="str">
        <f>IFERROR(__xludf.DUMMYFUNCTION("""COMPUTED_VALUE"""),"emergency aircon service")</f>
        <v>emergency aircon service</v>
      </c>
      <c r="M81" s="4" t="str">
        <f>IFERROR(__xludf.DUMMYFUNCTION("""COMPUTED_VALUE"""),"emergency plumbing townhouse")</f>
        <v>emergency plumbing townhouse</v>
      </c>
      <c r="N81" s="4" t="str">
        <f>IFERROR(__xludf.DUMMYFUNCTION("""COMPUTED_VALUE"""),"guesthouse refrigeration services")</f>
        <v>guesthouse refrigeration services</v>
      </c>
      <c r="O81" s="4" t="str">
        <f>IFERROR(__xludf.DUMMYFUNCTION("""COMPUTED_VALUE"""),"drain surgeon cape town local")</f>
        <v>drain surgeon cape town local</v>
      </c>
      <c r="P81" s="4" t="str">
        <f>IFERROR(__xludf.DUMMYFUNCTION("""COMPUTED_VALUE"""),"cost schmidhauser plumbing")</f>
        <v>cost schmidhauser plumbing</v>
      </c>
      <c r="Q81" s="4" t="str">
        <f>IFERROR(__xludf.DUMMYFUNCTION("""COMPUTED_VALUE"""),"emergency plumber how to choose")</f>
        <v>emergency plumber how to choose</v>
      </c>
      <c r="R81" s="4" t="str">
        <f>IFERROR(__xludf.DUMMYFUNCTION("""COMPUTED_VALUE"""),"how to choose refrigeration repair")</f>
        <v>how to choose refrigeration repair</v>
      </c>
      <c r="S81" s="4"/>
      <c r="T81" s="4" t="str">
        <f>IFERROR(__xludf.DUMMYFUNCTION("""COMPUTED_VALUE"""),"affordable electrical compliance certificate")</f>
        <v>affordable electrical compliance certificate</v>
      </c>
      <c r="U81" s="4"/>
      <c r="V81" s="4"/>
      <c r="W81" s="4"/>
      <c r="X81" s="4"/>
      <c r="Y81" s="4"/>
      <c r="Z81" s="4"/>
    </row>
    <row r="82" ht="15.75" customHeight="1">
      <c r="A82" s="4" t="str">
        <f>IFERROR(__xludf.DUMMYFUNCTION("""COMPUTED_VALUE"""),"emergency plumber Camps Bay")</f>
        <v>emergency plumber Camps Bay</v>
      </c>
      <c r="B82" s="4" t="str">
        <f>IFERROR(__xludf.DUMMYFUNCTION("""COMPUTED_VALUE"""),"Fish Hoek aircon repairs")</f>
        <v>Fish Hoek aircon repairs</v>
      </c>
      <c r="C82" s="4" t="str">
        <f>IFERROR(__xludf.DUMMYFUNCTION("""COMPUTED_VALUE"""),"plumbing company local")</f>
        <v>plumbing company local</v>
      </c>
      <c r="D82" s="4" t="str">
        <f>IFERROR(__xludf.DUMMYFUNCTION("""COMPUTED_VALUE"""),"emergency plumber cape town")</f>
        <v>emergency plumber cape town</v>
      </c>
      <c r="E82" s="28" t="str">
        <f>IFERROR(__xludf.DUMMYFUNCTION("""COMPUTED_VALUE"""),"emergency plumber")</f>
        <v>emergency plumber</v>
      </c>
      <c r="F82" s="4" t="str">
        <f>IFERROR(__xludf.DUMMYFUNCTION("""COMPUTED_VALUE"""),"fast leaking pipe repair")</f>
        <v>fast leaking pipe repair</v>
      </c>
      <c r="G82" s="4" t="str">
        <f>IFERROR(__xludf.DUMMYFUNCTION("""COMPUTED_VALUE"""),"drain unblocking affordable")</f>
        <v>drain unblocking affordable</v>
      </c>
      <c r="H82" s="4" t="str">
        <f>IFERROR(__xludf.DUMMYFUNCTION("""COMPUTED_VALUE"""),"high pressure jetting pipe repair")</f>
        <v>high pressure jetting pipe repair</v>
      </c>
      <c r="I82" s="4" t="str">
        <f>IFERROR(__xludf.DUMMYFUNCTION("""COMPUTED_VALUE"""),"electrical maintenance affordable")</f>
        <v>electrical maintenance affordable</v>
      </c>
      <c r="J82" s="4" t="str">
        <f>IFERROR(__xludf.DUMMYFUNCTION("""COMPUTED_VALUE"""),"emergency electrician")</f>
        <v>emergency electrician</v>
      </c>
      <c r="K82" s="4" t="str">
        <f>IFERROR(__xludf.DUMMYFUNCTION("""COMPUTED_VALUE"""),"aircon service affordable")</f>
        <v>aircon service affordable</v>
      </c>
      <c r="L82" s="4" t="str">
        <f>IFERROR(__xludf.DUMMYFUNCTION("""COMPUTED_VALUE"""),"emergency cold room repair")</f>
        <v>emergency cold room repair</v>
      </c>
      <c r="M82" s="4" t="str">
        <f>IFERROR(__xludf.DUMMYFUNCTION("""COMPUTED_VALUE"""),"geyser repairs apartment")</f>
        <v>geyser repairs apartment</v>
      </c>
      <c r="N82" s="4" t="str">
        <f>IFERROR(__xludf.DUMMYFUNCTION("""COMPUTED_VALUE"""),"home air conditioning services")</f>
        <v>home air conditioning services</v>
      </c>
      <c r="O82" s="4" t="str">
        <f>IFERROR(__xludf.DUMMYFUNCTION("""COMPUTED_VALUE"""),"drain surgeon cape town near me")</f>
        <v>drain surgeon cape town near me</v>
      </c>
      <c r="P82" s="4" t="str">
        <f>IFERROR(__xludf.DUMMYFUNCTION("""COMPUTED_VALUE"""),"insured absolute plumbing cape town")</f>
        <v>insured absolute plumbing cape town</v>
      </c>
      <c r="Q82" s="4" t="str">
        <f>IFERROR(__xludf.DUMMYFUNCTION("""COMPUTED_VALUE"""),"emergency plumber how to prevent")</f>
        <v>emergency plumber how to prevent</v>
      </c>
      <c r="R82" s="4" t="str">
        <f>IFERROR(__xludf.DUMMYFUNCTION("""COMPUTED_VALUE"""),"how to prevent aircon service")</f>
        <v>how to prevent aircon service</v>
      </c>
      <c r="S82" s="4"/>
      <c r="T82" s="4" t="str">
        <f>IFERROR(__xludf.DUMMYFUNCTION("""COMPUTED_VALUE"""),"affordable electrical contractor")</f>
        <v>affordable electrical contractor</v>
      </c>
      <c r="U82" s="4"/>
      <c r="V82" s="4"/>
      <c r="W82" s="4"/>
      <c r="X82" s="4"/>
      <c r="Y82" s="4"/>
      <c r="Z82" s="4"/>
    </row>
    <row r="83" ht="15.75" customHeight="1">
      <c r="A83" s="4" t="str">
        <f>IFERROR(__xludf.DUMMYFUNCTION("""COMPUTED_VALUE"""),"emergency plumber Cape Town")</f>
        <v>emergency plumber Cape Town</v>
      </c>
      <c r="B83" s="4" t="str">
        <f>IFERROR(__xludf.DUMMYFUNCTION("""COMPUTED_VALUE"""),"Fish Hoek blocked drain plumber")</f>
        <v>Fish Hoek blocked drain plumber</v>
      </c>
      <c r="C83" s="4" t="str">
        <f>IFERROR(__xludf.DUMMYFUNCTION("""COMPUTED_VALUE"""),"plumbing company maintenance")</f>
        <v>plumbing company maintenance</v>
      </c>
      <c r="D83" s="4" t="str">
        <f>IFERROR(__xludf.DUMMYFUNCTION("""COMPUTED_VALUE"""),"emergency plumbing company")</f>
        <v>emergency plumbing company</v>
      </c>
      <c r="E83" s="28" t="str">
        <f>IFERROR(__xludf.DUMMYFUNCTION("""COMPUTED_VALUE"""),"emergency plumber after hours")</f>
        <v>emergency plumber after hours</v>
      </c>
      <c r="F83" s="4" t="str">
        <f>IFERROR(__xludf.DUMMYFUNCTION("""COMPUTED_VALUE"""),"fast leaking tap repair")</f>
        <v>fast leaking tap repair</v>
      </c>
      <c r="G83" s="4" t="str">
        <f>IFERROR(__xludf.DUMMYFUNCTION("""COMPUTED_VALUE"""),"drain unblocking best")</f>
        <v>drain unblocking best</v>
      </c>
      <c r="H83" s="4" t="str">
        <f>IFERROR(__xludf.DUMMYFUNCTION("""COMPUTED_VALUE"""),"high pressure jetting water leak detection")</f>
        <v>high pressure jetting water leak detection</v>
      </c>
      <c r="I83" s="4" t="str">
        <f>IFERROR(__xludf.DUMMYFUNCTION("""COMPUTED_VALUE"""),"electrical maintenance call out")</f>
        <v>electrical maintenance call out</v>
      </c>
      <c r="J83" s="4" t="str">
        <f>IFERROR(__xludf.DUMMYFUNCTION("""COMPUTED_VALUE"""),"emergency electrician cape town")</f>
        <v>emergency electrician cape town</v>
      </c>
      <c r="K83" s="4" t="str">
        <f>IFERROR(__xludf.DUMMYFUNCTION("""COMPUTED_VALUE"""),"aircon service best")</f>
        <v>aircon service best</v>
      </c>
      <c r="L83" s="4" t="str">
        <f>IFERROR(__xludf.DUMMYFUNCTION("""COMPUTED_VALUE"""),"emergency commercial refrigeration")</f>
        <v>emergency commercial refrigeration</v>
      </c>
      <c r="M83" s="4" t="str">
        <f>IFERROR(__xludf.DUMMYFUNCTION("""COMPUTED_VALUE"""),"geyser repairs body corporate")</f>
        <v>geyser repairs body corporate</v>
      </c>
      <c r="N83" s="4" t="str">
        <f>IFERROR(__xludf.DUMMYFUNCTION("""COMPUTED_VALUE"""),"home drain cleaning")</f>
        <v>home drain cleaning</v>
      </c>
      <c r="O83" s="4" t="str">
        <f>IFERROR(__xludf.DUMMYFUNCTION("""COMPUTED_VALUE"""),"drain surgeon cape town prices")</f>
        <v>drain surgeon cape town prices</v>
      </c>
      <c r="P83" s="4" t="str">
        <f>IFERROR(__xludf.DUMMYFUNCTION("""COMPUTED_VALUE"""),"insured aircon repair cape town")</f>
        <v>insured aircon repair cape town</v>
      </c>
      <c r="Q83" s="4" t="str">
        <f>IFERROR(__xludf.DUMMYFUNCTION("""COMPUTED_VALUE"""),"emergency plumber is it safe to")</f>
        <v>emergency plumber is it safe to</v>
      </c>
      <c r="R83" s="4" t="str">
        <f>IFERROR(__xludf.DUMMYFUNCTION("""COMPUTED_VALUE"""),"how to prevent blocked drain")</f>
        <v>how to prevent blocked drain</v>
      </c>
      <c r="S83" s="4"/>
      <c r="T83" s="4" t="str">
        <f>IFERROR(__xludf.DUMMYFUNCTION("""COMPUTED_VALUE"""),"affordable electrical installation")</f>
        <v>affordable electrical installation</v>
      </c>
      <c r="U83" s="4"/>
      <c r="V83" s="4"/>
      <c r="W83" s="4"/>
      <c r="X83" s="4"/>
      <c r="Y83" s="4"/>
      <c r="Z83" s="4"/>
    </row>
    <row r="84" ht="15.75" customHeight="1">
      <c r="A84" s="4" t="str">
        <f>IFERROR(__xludf.DUMMYFUNCTION("""COMPUTED_VALUE"""),"emergency plumber Cape Town CBD")</f>
        <v>emergency plumber Cape Town CBD</v>
      </c>
      <c r="B84" s="4" t="str">
        <f>IFERROR(__xludf.DUMMYFUNCTION("""COMPUTED_VALUE"""),"Fish Hoek electrician")</f>
        <v>Fish Hoek electrician</v>
      </c>
      <c r="C84" s="4" t="str">
        <f>IFERROR(__xludf.DUMMYFUNCTION("""COMPUTED_VALUE"""),"plumbing company near me")</f>
        <v>plumbing company near me</v>
      </c>
      <c r="D84" s="4" t="str">
        <f>IFERROR(__xludf.DUMMYFUNCTION("""COMPUTED_VALUE"""),"emergency plumbing contractors")</f>
        <v>emergency plumbing contractors</v>
      </c>
      <c r="E84" s="28" t="str">
        <f>IFERROR(__xludf.DUMMYFUNCTION("""COMPUTED_VALUE"""),"emergency plumber call out")</f>
        <v>emergency plumber call out</v>
      </c>
      <c r="F84" s="4" t="str">
        <f>IFERROR(__xludf.DUMMYFUNCTION("""COMPUTED_VALUE"""),"fast toilet repair")</f>
        <v>fast toilet repair</v>
      </c>
      <c r="G84" s="4" t="str">
        <f>IFERROR(__xludf.DUMMYFUNCTION("""COMPUTED_VALUE"""),"drain unblocking cape town")</f>
        <v>drain unblocking cape town</v>
      </c>
      <c r="H84" s="4" t="str">
        <f>IFERROR(__xludf.DUMMYFUNCTION("""COMPUTED_VALUE"""),"installation blocked drain")</f>
        <v>installation blocked drain</v>
      </c>
      <c r="I84" s="4" t="str">
        <f>IFERROR(__xludf.DUMMYFUNCTION("""COMPUTED_VALUE"""),"electrical maintenance cape town")</f>
        <v>electrical maintenance cape town</v>
      </c>
      <c r="J84" s="4" t="str">
        <f>IFERROR(__xludf.DUMMYFUNCTION("""COMPUTED_VALUE"""),"emergency residential electrician")</f>
        <v>emergency residential electrician</v>
      </c>
      <c r="K84" s="4" t="str">
        <f>IFERROR(__xludf.DUMMYFUNCTION("""COMPUTED_VALUE"""),"aircon service cape town")</f>
        <v>aircon service cape town</v>
      </c>
      <c r="L84" s="4" t="str">
        <f>IFERROR(__xludf.DUMMYFUNCTION("""COMPUTED_VALUE"""),"emergency fridge repair")</f>
        <v>emergency fridge repair</v>
      </c>
      <c r="M84" s="4" t="str">
        <f>IFERROR(__xludf.DUMMYFUNCTION("""COMPUTED_VALUE"""),"geyser repairs building")</f>
        <v>geyser repairs building</v>
      </c>
      <c r="N84" s="4" t="str">
        <f>IFERROR(__xludf.DUMMYFUNCTION("""COMPUTED_VALUE"""),"home electrical repairs")</f>
        <v>home electrical repairs</v>
      </c>
      <c r="O84" s="4" t="str">
        <f>IFERROR(__xludf.DUMMYFUNCTION("""COMPUTED_VALUE"""),"drain surgeon cape town qualified")</f>
        <v>drain surgeon cape town qualified</v>
      </c>
      <c r="P84" s="4" t="str">
        <f>IFERROR(__xludf.DUMMYFUNCTION("""COMPUTED_VALUE"""),"insured bosman plumbers")</f>
        <v>insured bosman plumbers</v>
      </c>
      <c r="Q84" s="4" t="str">
        <f>IFERROR(__xludf.DUMMYFUNCTION("""COMPUTED_VALUE"""),"emergency plumber near me for")</f>
        <v>emergency plumber near me for</v>
      </c>
      <c r="R84" s="4" t="str">
        <f>IFERROR(__xludf.DUMMYFUNCTION("""COMPUTED_VALUE"""),"how to prevent burst pipe")</f>
        <v>how to prevent burst pipe</v>
      </c>
      <c r="S84" s="4"/>
      <c r="T84" s="4" t="str">
        <f>IFERROR(__xludf.DUMMYFUNCTION("""COMPUTED_VALUE"""),"affordable electrical maintenance")</f>
        <v>affordable electrical maintenance</v>
      </c>
      <c r="U84" s="4"/>
      <c r="V84" s="4"/>
      <c r="W84" s="4"/>
      <c r="X84" s="4"/>
      <c r="Y84" s="4"/>
      <c r="Z84" s="4"/>
    </row>
    <row r="85" ht="15.75" customHeight="1">
      <c r="A85" s="4" t="str">
        <f>IFERROR(__xludf.DUMMYFUNCTION("""COMPUTED_VALUE"""),"emergency plumber Claremont")</f>
        <v>emergency plumber Claremont</v>
      </c>
      <c r="B85" s="4" t="str">
        <f>IFERROR(__xludf.DUMMYFUNCTION("""COMPUTED_VALUE"""),"Fish Hoek emergency plumber")</f>
        <v>Fish Hoek emergency plumber</v>
      </c>
      <c r="C85" s="4" t="str">
        <f>IFERROR(__xludf.DUMMYFUNCTION("""COMPUTED_VALUE"""),"plumbing company professional")</f>
        <v>plumbing company professional</v>
      </c>
      <c r="D85" s="4" t="str">
        <f>IFERROR(__xludf.DUMMYFUNCTION("""COMPUTED_VALUE"""),"emergency plumbing inspection")</f>
        <v>emergency plumbing inspection</v>
      </c>
      <c r="E85" s="28" t="str">
        <f>IFERROR(__xludf.DUMMYFUNCTION("""COMPUTED_VALUE"""),"emergency plumber cape town")</f>
        <v>emergency plumber cape town</v>
      </c>
      <c r="F85" s="4" t="str">
        <f>IFERROR(__xludf.DUMMYFUNCTION("""COMPUTED_VALUE"""),"fast water leak repair")</f>
        <v>fast water leak repair</v>
      </c>
      <c r="G85" s="4" t="str">
        <f>IFERROR(__xludf.DUMMYFUNCTION("""COMPUTED_VALUE"""),"drain unblocking CCTV")</f>
        <v>drain unblocking CCTV</v>
      </c>
      <c r="H85" s="4" t="str">
        <f>IFERROR(__xludf.DUMMYFUNCTION("""COMPUTED_VALUE"""),"installation burst geyser")</f>
        <v>installation burst geyser</v>
      </c>
      <c r="I85" s="4" t="str">
        <f>IFERROR(__xludf.DUMMYFUNCTION("""COMPUTED_VALUE"""),"electrical maintenance COC")</f>
        <v>electrical maintenance COC</v>
      </c>
      <c r="J85" s="4" t="str">
        <f>IFERROR(__xludf.DUMMYFUNCTION("""COMPUTED_VALUE"""),"inspection commercial electrician")</f>
        <v>inspection commercial electrician</v>
      </c>
      <c r="K85" s="4" t="str">
        <f>IFERROR(__xludf.DUMMYFUNCTION("""COMPUTED_VALUE"""),"aircon service commercial")</f>
        <v>aircon service commercial</v>
      </c>
      <c r="L85" s="4" t="str">
        <f>IFERROR(__xludf.DUMMYFUNCTION("""COMPUTED_VALUE"""),"emergency HVAC services")</f>
        <v>emergency HVAC services</v>
      </c>
      <c r="M85" s="4" t="str">
        <f>IFERROR(__xludf.DUMMYFUNCTION("""COMPUTED_VALUE"""),"geyser repairs business")</f>
        <v>geyser repairs business</v>
      </c>
      <c r="N85" s="4" t="str">
        <f>IFERROR(__xludf.DUMMYFUNCTION("""COMPUTED_VALUE"""),"home emergency plumbing")</f>
        <v>home emergency plumbing</v>
      </c>
      <c r="O85" s="4" t="str">
        <f>IFERROR(__xludf.DUMMYFUNCTION("""COMPUTED_VALUE"""),"drain surgeon cape town quote")</f>
        <v>drain surgeon cape town quote</v>
      </c>
      <c r="P85" s="4" t="str">
        <f>IFERROR(__xludf.DUMMYFUNCTION("""COMPUTED_VALUE"""),"insured drain surgeon cape town")</f>
        <v>insured drain surgeon cape town</v>
      </c>
      <c r="Q85" s="4" t="str">
        <f>IFERROR(__xludf.DUMMYFUNCTION("""COMPUTED_VALUE"""),"emergency plumber same day help for")</f>
        <v>emergency plumber same day help for</v>
      </c>
      <c r="R85" s="4" t="str">
        <f>IFERROR(__xludf.DUMMYFUNCTION("""COMPUTED_VALUE"""),"how to prevent electrical COC")</f>
        <v>how to prevent electrical COC</v>
      </c>
      <c r="S85" s="4"/>
      <c r="T85" s="4" t="str">
        <f>IFERROR(__xludf.DUMMYFUNCTION("""COMPUTED_VALUE"""),"affordable electrical repairs")</f>
        <v>affordable electrical repairs</v>
      </c>
      <c r="U85" s="4"/>
      <c r="V85" s="4"/>
      <c r="W85" s="4"/>
      <c r="X85" s="4"/>
      <c r="Y85" s="4"/>
      <c r="Z85" s="4"/>
    </row>
    <row r="86" ht="15.75" customHeight="1">
      <c r="A86" s="4" t="str">
        <f>IFERROR(__xludf.DUMMYFUNCTION("""COMPUTED_VALUE"""),"emergency plumber Constantia")</f>
        <v>emergency plumber Constantia</v>
      </c>
      <c r="B86" s="4" t="str">
        <f>IFERROR(__xludf.DUMMYFUNCTION("""COMPUTED_VALUE"""),"Fish Hoek geyser repair")</f>
        <v>Fish Hoek geyser repair</v>
      </c>
      <c r="C86" s="4" t="str">
        <f>IFERROR(__xludf.DUMMYFUNCTION("""COMPUTED_VALUE"""),"plumbing company qualified")</f>
        <v>plumbing company qualified</v>
      </c>
      <c r="D86" s="4" t="str">
        <f>IFERROR(__xludf.DUMMYFUNCTION("""COMPUTED_VALUE"""),"emergency plumbing installation")</f>
        <v>emergency plumbing installation</v>
      </c>
      <c r="E86" s="28" t="str">
        <f>IFERROR(__xludf.DUMMYFUNCTION("""COMPUTED_VALUE"""),"emergency plumber commercial")</f>
        <v>emergency plumber commercial</v>
      </c>
      <c r="F86" s="4" t="str">
        <f>IFERROR(__xludf.DUMMYFUNCTION("""COMPUTED_VALUE"""),"kitchen plumbing repair")</f>
        <v>kitchen plumbing repair</v>
      </c>
      <c r="G86" s="4" t="str">
        <f>IFERROR(__xludf.DUMMYFUNCTION("""COMPUTED_VALUE"""),"drain unblocking commercial")</f>
        <v>drain unblocking commercial</v>
      </c>
      <c r="H86" s="4" t="str">
        <f>IFERROR(__xludf.DUMMYFUNCTION("""COMPUTED_VALUE"""),"installation drain cleaning")</f>
        <v>installation drain cleaning</v>
      </c>
      <c r="I86" s="4" t="str">
        <f>IFERROR(__xludf.DUMMYFUNCTION("""COMPUTED_VALUE"""),"electrical maintenance company")</f>
        <v>electrical maintenance company</v>
      </c>
      <c r="J86" s="4" t="str">
        <f>IFERROR(__xludf.DUMMYFUNCTION("""COMPUTED_VALUE"""),"inspection electrical compliance certificate")</f>
        <v>inspection electrical compliance certificate</v>
      </c>
      <c r="K86" s="4" t="str">
        <f>IFERROR(__xludf.DUMMYFUNCTION("""COMPUTED_VALUE"""),"aircon service company")</f>
        <v>aircon service company</v>
      </c>
      <c r="L86" s="4" t="str">
        <f>IFERROR(__xludf.DUMMYFUNCTION("""COMPUTED_VALUE"""),"emergency refrigeration repair")</f>
        <v>emergency refrigeration repair</v>
      </c>
      <c r="M86" s="4" t="str">
        <f>IFERROR(__xludf.DUMMYFUNCTION("""COMPUTED_VALUE"""),"geyser repairs commercial property")</f>
        <v>geyser repairs commercial property</v>
      </c>
      <c r="N86" s="4" t="str">
        <f>IFERROR(__xludf.DUMMYFUNCTION("""COMPUTED_VALUE"""),"home geyser repairs")</f>
        <v>home geyser repairs</v>
      </c>
      <c r="O86" s="4" t="str">
        <f>IFERROR(__xludf.DUMMYFUNCTION("""COMPUTED_VALUE"""),"drain surgeon cape town reliable")</f>
        <v>drain surgeon cape town reliable</v>
      </c>
      <c r="P86" s="4" t="str">
        <f>IFERROR(__xludf.DUMMYFUNCTION("""COMPUTED_VALUE"""),"insured electrician cape town")</f>
        <v>insured electrician cape town</v>
      </c>
      <c r="Q86" s="4" t="str">
        <f>IFERROR(__xludf.DUMMYFUNCTION("""COMPUTED_VALUE"""),"emergency plumber signs you need")</f>
        <v>emergency plumber signs you need</v>
      </c>
      <c r="R86" s="4" t="str">
        <f>IFERROR(__xludf.DUMMYFUNCTION("""COMPUTED_VALUE"""),"how to prevent emergency plumber")</f>
        <v>how to prevent emergency plumber</v>
      </c>
      <c r="S86" s="4"/>
      <c r="T86" s="4" t="str">
        <f>IFERROR(__xludf.DUMMYFUNCTION("""COMPUTED_VALUE"""),"affordable electrical services")</f>
        <v>affordable electrical services</v>
      </c>
      <c r="U86" s="4"/>
      <c r="V86" s="4"/>
      <c r="W86" s="4"/>
      <c r="X86" s="4"/>
      <c r="Y86" s="4"/>
      <c r="Z86" s="4"/>
    </row>
    <row r="87" ht="15.75" customHeight="1">
      <c r="A87" s="4" t="str">
        <f>IFERROR(__xludf.DUMMYFUNCTION("""COMPUTED_VALUE"""),"emergency plumber Durbanville")</f>
        <v>emergency plumber Durbanville</v>
      </c>
      <c r="B87" s="4" t="str">
        <f>IFERROR(__xludf.DUMMYFUNCTION("""COMPUTED_VALUE"""),"Fish Hoek leak detection plumber")</f>
        <v>Fish Hoek leak detection plumber</v>
      </c>
      <c r="C87" s="4" t="str">
        <f>IFERROR(__xludf.DUMMYFUNCTION("""COMPUTED_VALUE"""),"plumbing company quote")</f>
        <v>plumbing company quote</v>
      </c>
      <c r="D87" s="4" t="str">
        <f>IFERROR(__xludf.DUMMYFUNCTION("""COMPUTED_VALUE"""),"emergency plumbing repairs")</f>
        <v>emergency plumbing repairs</v>
      </c>
      <c r="E87" s="28" t="str">
        <f>IFERROR(__xludf.DUMMYFUNCTION("""COMPUTED_VALUE"""),"emergency plumber company")</f>
        <v>emergency plumber company</v>
      </c>
      <c r="F87" s="4" t="str">
        <f>IFERROR(__xludf.DUMMYFUNCTION("""COMPUTED_VALUE"""),"leaking pipe repair")</f>
        <v>leaking pipe repair</v>
      </c>
      <c r="G87" s="4" t="str">
        <f>IFERROR(__xludf.DUMMYFUNCTION("""COMPUTED_VALUE"""),"drain unblocking cost")</f>
        <v>drain unblocking cost</v>
      </c>
      <c r="H87" s="4" t="str">
        <f>IFERROR(__xludf.DUMMYFUNCTION("""COMPUTED_VALUE"""),"installation drain inspection")</f>
        <v>installation drain inspection</v>
      </c>
      <c r="I87" s="4" t="str">
        <f>IFERROR(__xludf.DUMMYFUNCTION("""COMPUTED_VALUE"""),"electrical maintenance contractor")</f>
        <v>electrical maintenance contractor</v>
      </c>
      <c r="J87" s="4" t="str">
        <f>IFERROR(__xludf.DUMMYFUNCTION("""COMPUTED_VALUE"""),"inspection electrical contractor")</f>
        <v>inspection electrical contractor</v>
      </c>
      <c r="K87" s="4" t="str">
        <f>IFERROR(__xludf.DUMMYFUNCTION("""COMPUTED_VALUE"""),"aircon service contractor")</f>
        <v>aircon service contractor</v>
      </c>
      <c r="L87" s="4" t="str">
        <f>IFERROR(__xludf.DUMMYFUNCTION("""COMPUTED_VALUE"""),"fridge repair")</f>
        <v>fridge repair</v>
      </c>
      <c r="M87" s="4" t="str">
        <f>IFERROR(__xludf.DUMMYFUNCTION("""COMPUTED_VALUE"""),"geyser repairs estate agent")</f>
        <v>geyser repairs estate agent</v>
      </c>
      <c r="N87" s="4" t="str">
        <f>IFERROR(__xludf.DUMMYFUNCTION("""COMPUTED_VALUE"""),"home leak detection")</f>
        <v>home leak detection</v>
      </c>
      <c r="O87" s="4" t="str">
        <f>IFERROR(__xludf.DUMMYFUNCTION("""COMPUTED_VALUE"""),"drain surgeon cape town reputable")</f>
        <v>drain surgeon cape town reputable</v>
      </c>
      <c r="P87" s="4" t="str">
        <f>IFERROR(__xludf.DUMMYFUNCTION("""COMPUTED_VALUE"""),"insured emergency plumber cape town")</f>
        <v>insured emergency plumber cape town</v>
      </c>
      <c r="Q87" s="4" t="str">
        <f>IFERROR(__xludf.DUMMYFUNCTION("""COMPUTED_VALUE"""),"emergency plumber what causes")</f>
        <v>emergency plumber what causes</v>
      </c>
      <c r="R87" s="4" t="str">
        <f>IFERROR(__xludf.DUMMYFUNCTION("""COMPUTED_VALUE"""),"how to prevent geyser repair")</f>
        <v>how to prevent geyser repair</v>
      </c>
      <c r="S87" s="4"/>
      <c r="T87" s="4" t="str">
        <f>IFERROR(__xludf.DUMMYFUNCTION("""COMPUTED_VALUE"""),"affordable electrician cape town")</f>
        <v>affordable electrician cape town</v>
      </c>
      <c r="U87" s="4"/>
      <c r="V87" s="4"/>
      <c r="W87" s="4"/>
      <c r="X87" s="4"/>
      <c r="Y87" s="4"/>
      <c r="Z87" s="4"/>
    </row>
    <row r="88" ht="15.75" customHeight="1">
      <c r="A88" s="4" t="str">
        <f>IFERROR(__xludf.DUMMYFUNCTION("""COMPUTED_VALUE"""),"emergency plumber Fish Hoek")</f>
        <v>emergency plumber Fish Hoek</v>
      </c>
      <c r="B88" s="4" t="str">
        <f>IFERROR(__xludf.DUMMYFUNCTION("""COMPUTED_VALUE"""),"Fish Hoek plumber")</f>
        <v>Fish Hoek plumber</v>
      </c>
      <c r="C88" s="4" t="str">
        <f>IFERROR(__xludf.DUMMYFUNCTION("""COMPUTED_VALUE"""),"plumbing company reliable")</f>
        <v>plumbing company reliable</v>
      </c>
      <c r="D88" s="4" t="str">
        <f>IFERROR(__xludf.DUMMYFUNCTION("""COMPUTED_VALUE"""),"emergency plumbing services")</f>
        <v>emergency plumbing services</v>
      </c>
      <c r="E88" s="28" t="str">
        <f>IFERROR(__xludf.DUMMYFUNCTION("""COMPUTED_VALUE"""),"emergency plumber cost")</f>
        <v>emergency plumber cost</v>
      </c>
      <c r="F88" s="4" t="str">
        <f>IFERROR(__xludf.DUMMYFUNCTION("""COMPUTED_VALUE"""),"leaking tap repair")</f>
        <v>leaking tap repair</v>
      </c>
      <c r="G88" s="4" t="str">
        <f>IFERROR(__xludf.DUMMYFUNCTION("""COMPUTED_VALUE"""),"drain unblocking emergency")</f>
        <v>drain unblocking emergency</v>
      </c>
      <c r="H88" s="4" t="str">
        <f>IFERROR(__xludf.DUMMYFUNCTION("""COMPUTED_VALUE"""),"installation drain unblocking")</f>
        <v>installation drain unblocking</v>
      </c>
      <c r="I88" s="4" t="str">
        <f>IFERROR(__xludf.DUMMYFUNCTION("""COMPUTED_VALUE"""),"electrical maintenance cost")</f>
        <v>electrical maintenance cost</v>
      </c>
      <c r="J88" s="4" t="str">
        <f>IFERROR(__xludf.DUMMYFUNCTION("""COMPUTED_VALUE"""),"inspection electrical installation")</f>
        <v>inspection electrical installation</v>
      </c>
      <c r="K88" s="4" t="str">
        <f>IFERROR(__xludf.DUMMYFUNCTION("""COMPUTED_VALUE"""),"aircon service cost")</f>
        <v>aircon service cost</v>
      </c>
      <c r="L88" s="4" t="str">
        <f>IFERROR(__xludf.DUMMYFUNCTION("""COMPUTED_VALUE"""),"HVAC services")</f>
        <v>HVAC services</v>
      </c>
      <c r="M88" s="4" t="str">
        <f>IFERROR(__xludf.DUMMYFUNCTION("""COMPUTED_VALUE"""),"geyser repairs flat")</f>
        <v>geyser repairs flat</v>
      </c>
      <c r="N88" s="4" t="str">
        <f>IFERROR(__xludf.DUMMYFUNCTION("""COMPUTED_VALUE"""),"home maintenance plumber")</f>
        <v>home maintenance plumber</v>
      </c>
      <c r="O88" s="4" t="str">
        <f>IFERROR(__xludf.DUMMYFUNCTION("""COMPUTED_VALUE"""),"drain surgeon cape town review")</f>
        <v>drain surgeon cape town review</v>
      </c>
      <c r="P88" s="4" t="str">
        <f>IFERROR(__xludf.DUMMYFUNCTION("""COMPUTED_VALUE"""),"insured plumber near me")</f>
        <v>insured plumber near me</v>
      </c>
      <c r="Q88" s="4" t="str">
        <f>IFERROR(__xludf.DUMMYFUNCTION("""COMPUTED_VALUE"""),"emergency plumber what is")</f>
        <v>emergency plumber what is</v>
      </c>
      <c r="R88" s="4" t="str">
        <f>IFERROR(__xludf.DUMMYFUNCTION("""COMPUTED_VALUE"""),"how to prevent leak detection")</f>
        <v>how to prevent leak detection</v>
      </c>
      <c r="S88" s="4"/>
      <c r="T88" s="4" t="str">
        <f>IFERROR(__xludf.DUMMYFUNCTION("""COMPUTED_VALUE"""),"affordable emergency electrician")</f>
        <v>affordable emergency electrician</v>
      </c>
      <c r="U88" s="4"/>
      <c r="V88" s="4"/>
      <c r="W88" s="4"/>
      <c r="X88" s="4"/>
      <c r="Y88" s="4"/>
      <c r="Z88" s="4"/>
    </row>
    <row r="89" ht="15.75" customHeight="1">
      <c r="A89" s="4" t="str">
        <f>IFERROR(__xludf.DUMMYFUNCTION("""COMPUTED_VALUE"""),"emergency plumber Green Point")</f>
        <v>emergency plumber Green Point</v>
      </c>
      <c r="B89" s="4" t="str">
        <f>IFERROR(__xludf.DUMMYFUNCTION("""COMPUTED_VALUE"""),"Fish Hoek plumbers")</f>
        <v>Fish Hoek plumbers</v>
      </c>
      <c r="C89" s="4" t="str">
        <f>IFERROR(__xludf.DUMMYFUNCTION("""COMPUTED_VALUE"""),"plumbing company repair")</f>
        <v>plumbing company repair</v>
      </c>
      <c r="D89" s="4" t="str">
        <f>IFERROR(__xludf.DUMMYFUNCTION("""COMPUTED_VALUE"""),"emergency residential plumber")</f>
        <v>emergency residential plumber</v>
      </c>
      <c r="E89" s="28" t="str">
        <f>IFERROR(__xludf.DUMMYFUNCTION("""COMPUTED_VALUE"""),"emergency plumber fast")</f>
        <v>emergency plumber fast</v>
      </c>
      <c r="F89" s="4" t="str">
        <f>IFERROR(__xludf.DUMMYFUNCTION("""COMPUTED_VALUE"""),"local 24 hour plumber")</f>
        <v>local 24 hour plumber</v>
      </c>
      <c r="G89" s="4" t="str">
        <f>IFERROR(__xludf.DUMMYFUNCTION("""COMPUTED_VALUE"""),"drain unblocking high pressure jetting")</f>
        <v>drain unblocking high pressure jetting</v>
      </c>
      <c r="H89" s="4" t="str">
        <f>IFERROR(__xludf.DUMMYFUNCTION("""COMPUTED_VALUE"""),"installation geyser repair")</f>
        <v>installation geyser repair</v>
      </c>
      <c r="I89" s="4" t="str">
        <f>IFERROR(__xludf.DUMMYFUNCTION("""COMPUTED_VALUE"""),"electrical maintenance emergency")</f>
        <v>electrical maintenance emergency</v>
      </c>
      <c r="J89" s="4" t="str">
        <f>IFERROR(__xludf.DUMMYFUNCTION("""COMPUTED_VALUE"""),"inspection electrical maintenance")</f>
        <v>inspection electrical maintenance</v>
      </c>
      <c r="K89" s="4" t="str">
        <f>IFERROR(__xludf.DUMMYFUNCTION("""COMPUTED_VALUE"""),"aircon service emergency")</f>
        <v>aircon service emergency</v>
      </c>
      <c r="L89" s="4" t="str">
        <f>IFERROR(__xludf.DUMMYFUNCTION("""COMPUTED_VALUE"""),"installation air conditioning")</f>
        <v>installation air conditioning</v>
      </c>
      <c r="M89" s="4" t="str">
        <f>IFERROR(__xludf.DUMMYFUNCTION("""COMPUTED_VALUE"""),"geyser repairs guesthouse")</f>
        <v>geyser repairs guesthouse</v>
      </c>
      <c r="N89" s="4" t="str">
        <f>IFERROR(__xludf.DUMMYFUNCTION("""COMPUTED_VALUE"""),"home plumbing company")</f>
        <v>home plumbing company</v>
      </c>
      <c r="O89" s="4" t="str">
        <f>IFERROR(__xludf.DUMMYFUNCTION("""COMPUTED_VALUE"""),"drain surgeon cape town reviews")</f>
        <v>drain surgeon cape town reviews</v>
      </c>
      <c r="P89" s="4" t="str">
        <f>IFERROR(__xludf.DUMMYFUNCTION("""COMPUTED_VALUE"""),"insured plumbers cape town")</f>
        <v>insured plumbers cape town</v>
      </c>
      <c r="Q89" s="4" t="str">
        <f>IFERROR(__xludf.DUMMYFUNCTION("""COMPUTED_VALUE"""),"emergency plumber when to call a")</f>
        <v>emergency plumber when to call a</v>
      </c>
      <c r="R89" s="4" t="str">
        <f>IFERROR(__xludf.DUMMYFUNCTION("""COMPUTED_VALUE"""),"how to prevent plumber cost")</f>
        <v>how to prevent plumber cost</v>
      </c>
      <c r="S89" s="4"/>
      <c r="T89" s="4" t="str">
        <f>IFERROR(__xludf.DUMMYFUNCTION("""COMPUTED_VALUE"""),"affordable emergency plumber cape town")</f>
        <v>affordable emergency plumber cape town</v>
      </c>
      <c r="U89" s="4"/>
      <c r="V89" s="4"/>
      <c r="W89" s="4"/>
      <c r="X89" s="4"/>
      <c r="Y89" s="4"/>
      <c r="Z89" s="4"/>
    </row>
    <row r="90" ht="15.75" customHeight="1">
      <c r="A90" s="4" t="str">
        <f>IFERROR(__xludf.DUMMYFUNCTION("""COMPUTED_VALUE"""),"emergency plumber Hout Bay")</f>
        <v>emergency plumber Hout Bay</v>
      </c>
      <c r="B90" s="4" t="str">
        <f>IFERROR(__xludf.DUMMYFUNCTION("""COMPUTED_VALUE"""),"Fish Hoek plumbing company")</f>
        <v>Fish Hoek plumbing company</v>
      </c>
      <c r="C90" s="4" t="str">
        <f>IFERROR(__xludf.DUMMYFUNCTION("""COMPUTED_VALUE"""),"plumbing company same day")</f>
        <v>plumbing company same day</v>
      </c>
      <c r="D90" s="4" t="str">
        <f>IFERROR(__xludf.DUMMYFUNCTION("""COMPUTED_VALUE"""),"installation commercial plumber")</f>
        <v>installation commercial plumber</v>
      </c>
      <c r="E90" s="28" t="str">
        <f>IFERROR(__xludf.DUMMYFUNCTION("""COMPUTED_VALUE"""),"emergency plumber local")</f>
        <v>emergency plumber local</v>
      </c>
      <c r="F90" s="4" t="str">
        <f>IFERROR(__xludf.DUMMYFUNCTION("""COMPUTED_VALUE"""),"local bathroom plumbing repair")</f>
        <v>local bathroom plumbing repair</v>
      </c>
      <c r="G90" s="4" t="str">
        <f>IFERROR(__xludf.DUMMYFUNCTION("""COMPUTED_VALUE"""),"drain unblocking installation")</f>
        <v>drain unblocking installation</v>
      </c>
      <c r="H90" s="4" t="str">
        <f>IFERROR(__xludf.DUMMYFUNCTION("""COMPUTED_VALUE"""),"installation geyser replacement")</f>
        <v>installation geyser replacement</v>
      </c>
      <c r="I90" s="4" t="str">
        <f>IFERROR(__xludf.DUMMYFUNCTION("""COMPUTED_VALUE"""),"electrical maintenance inspection")</f>
        <v>electrical maintenance inspection</v>
      </c>
      <c r="J90" s="4" t="str">
        <f>IFERROR(__xludf.DUMMYFUNCTION("""COMPUTED_VALUE"""),"inspection electrical repairs")</f>
        <v>inspection electrical repairs</v>
      </c>
      <c r="K90" s="4" t="str">
        <f>IFERROR(__xludf.DUMMYFUNCTION("""COMPUTED_VALUE"""),"aircon service installation")</f>
        <v>aircon service installation</v>
      </c>
      <c r="L90" s="4" t="str">
        <f>IFERROR(__xludf.DUMMYFUNCTION("""COMPUTED_VALUE"""),"installation air conditioning repair")</f>
        <v>installation air conditioning repair</v>
      </c>
      <c r="M90" s="4" t="str">
        <f>IFERROR(__xludf.DUMMYFUNCTION("""COMPUTED_VALUE"""),"geyser repairs home")</f>
        <v>geyser repairs home</v>
      </c>
      <c r="N90" s="4" t="str">
        <f>IFERROR(__xludf.DUMMYFUNCTION("""COMPUTED_VALUE"""),"home plumbing services")</f>
        <v>home plumbing services</v>
      </c>
      <c r="O90" s="4" t="str">
        <f>IFERROR(__xludf.DUMMYFUNCTION("""COMPUTED_VALUE"""),"drain surgeon cape town same day")</f>
        <v>drain surgeon cape town same day</v>
      </c>
      <c r="P90" s="4" t="str">
        <f>IFERROR(__xludf.DUMMYFUNCTION("""COMPUTED_VALUE"""),"insured plumbing company cape town")</f>
        <v>insured plumbing company cape town</v>
      </c>
      <c r="Q90" s="4" t="str">
        <f>IFERROR(__xludf.DUMMYFUNCTION("""COMPUTED_VALUE"""),"emergency plumber who fixes")</f>
        <v>emergency plumber who fixes</v>
      </c>
      <c r="R90" s="4" t="str">
        <f>IFERROR(__xludf.DUMMYFUNCTION("""COMPUTED_VALUE"""),"how to prevent plumbing maintenance")</f>
        <v>how to prevent plumbing maintenance</v>
      </c>
      <c r="S90" s="4"/>
      <c r="T90" s="4" t="str">
        <f>IFERROR(__xludf.DUMMYFUNCTION("""COMPUTED_VALUE"""),"affordable fridge repair")</f>
        <v>affordable fridge repair</v>
      </c>
      <c r="U90" s="4"/>
      <c r="V90" s="4"/>
      <c r="W90" s="4"/>
      <c r="X90" s="4"/>
      <c r="Y90" s="4"/>
      <c r="Z90" s="4"/>
    </row>
    <row r="91" ht="15.75" customHeight="1">
      <c r="A91" s="4" t="str">
        <f>IFERROR(__xludf.DUMMYFUNCTION("""COMPUTED_VALUE"""),"emergency plumber Maitland")</f>
        <v>emergency plumber Maitland</v>
      </c>
      <c r="B91" s="4" t="str">
        <f>IFERROR(__xludf.DUMMYFUNCTION("""COMPUTED_VALUE"""),"Fish Hoek refrigeration services")</f>
        <v>Fish Hoek refrigeration services</v>
      </c>
      <c r="C91" s="4" t="str">
        <f>IFERROR(__xludf.DUMMYFUNCTION("""COMPUTED_VALUE"""),"plumbing company service")</f>
        <v>plumbing company service</v>
      </c>
      <c r="D91" s="4" t="str">
        <f>IFERROR(__xludf.DUMMYFUNCTION("""COMPUTED_VALUE"""),"installation maintenance plumber")</f>
        <v>installation maintenance plumber</v>
      </c>
      <c r="E91" s="28" t="str">
        <f>IFERROR(__xludf.DUMMYFUNCTION("""COMPUTED_VALUE"""),"emergency plumber near me")</f>
        <v>emergency plumber near me</v>
      </c>
      <c r="F91" s="4" t="str">
        <f>IFERROR(__xludf.DUMMYFUNCTION("""COMPUTED_VALUE"""),"local blocked toilet plumber")</f>
        <v>local blocked toilet plumber</v>
      </c>
      <c r="G91" s="4" t="str">
        <f>IFERROR(__xludf.DUMMYFUNCTION("""COMPUTED_VALUE"""),"drain unblocking near me")</f>
        <v>drain unblocking near me</v>
      </c>
      <c r="H91" s="4" t="str">
        <f>IFERROR(__xludf.DUMMYFUNCTION("""COMPUTED_VALUE"""),"installation leak detection")</f>
        <v>installation leak detection</v>
      </c>
      <c r="I91" s="4" t="str">
        <f>IFERROR(__xludf.DUMMYFUNCTION("""COMPUTED_VALUE"""),"electrical maintenance installation")</f>
        <v>electrical maintenance installation</v>
      </c>
      <c r="J91" s="4" t="str">
        <f>IFERROR(__xludf.DUMMYFUNCTION("""COMPUTED_VALUE"""),"inspection electrical services")</f>
        <v>inspection electrical services</v>
      </c>
      <c r="K91" s="4" t="str">
        <f>IFERROR(__xludf.DUMMYFUNCTION("""COMPUTED_VALUE"""),"aircon service local")</f>
        <v>aircon service local</v>
      </c>
      <c r="L91" s="4" t="str">
        <f>IFERROR(__xludf.DUMMYFUNCTION("""COMPUTED_VALUE"""),"installation aircon repair")</f>
        <v>installation aircon repair</v>
      </c>
      <c r="M91" s="4" t="str">
        <f>IFERROR(__xludf.DUMMYFUNCTION("""COMPUTED_VALUE"""),"geyser repairs hotel")</f>
        <v>geyser repairs hotel</v>
      </c>
      <c r="N91" s="4" t="str">
        <f>IFERROR(__xludf.DUMMYFUNCTION("""COMPUTED_VALUE"""),"home refrigeration services")</f>
        <v>home refrigeration services</v>
      </c>
      <c r="O91" s="4" t="str">
        <f>IFERROR(__xludf.DUMMYFUNCTION("""COMPUTED_VALUE"""),"drain surgeon cape town top rated")</f>
        <v>drain surgeon cape town top rated</v>
      </c>
      <c r="P91" s="4" t="str">
        <f>IFERROR(__xludf.DUMMYFUNCTION("""COMPUTED_VALUE"""),"insured schmidhauser plumbing")</f>
        <v>insured schmidhauser plumbing</v>
      </c>
      <c r="Q91" s="4" t="str">
        <f>IFERROR(__xludf.DUMMYFUNCTION("""COMPUTED_VALUE"""),"emergency plumber why is my")</f>
        <v>emergency plumber why is my</v>
      </c>
      <c r="R91" s="4" t="str">
        <f>IFERROR(__xludf.DUMMYFUNCTION("""COMPUTED_VALUE"""),"how to prevent refrigeration repair")</f>
        <v>how to prevent refrigeration repair</v>
      </c>
      <c r="S91" s="4"/>
      <c r="T91" s="4" t="str">
        <f>IFERROR(__xludf.DUMMYFUNCTION("""COMPUTED_VALUE"""),"affordable geyser repair")</f>
        <v>affordable geyser repair</v>
      </c>
      <c r="U91" s="4"/>
      <c r="V91" s="4"/>
      <c r="W91" s="4"/>
      <c r="X91" s="4"/>
      <c r="Y91" s="4"/>
      <c r="Z91" s="4"/>
    </row>
    <row r="92" ht="15.75" customHeight="1">
      <c r="A92" s="4" t="str">
        <f>IFERROR(__xludf.DUMMYFUNCTION("""COMPUTED_VALUE"""),"emergency plumber Milnerton")</f>
        <v>emergency plumber Milnerton</v>
      </c>
      <c r="B92" s="4" t="str">
        <f>IFERROR(__xludf.DUMMYFUNCTION("""COMPUTED_VALUE"""),"Green Point aircon repairs")</f>
        <v>Green Point aircon repairs</v>
      </c>
      <c r="C92" s="4" t="str">
        <f>IFERROR(__xludf.DUMMYFUNCTION("""COMPUTED_VALUE"""),"plumbing company top rated")</f>
        <v>plumbing company top rated</v>
      </c>
      <c r="D92" s="4" t="str">
        <f>IFERROR(__xludf.DUMMYFUNCTION("""COMPUTED_VALUE"""),"installation plumber cape town")</f>
        <v>installation plumber cape town</v>
      </c>
      <c r="E92" s="28" t="str">
        <f>IFERROR(__xludf.DUMMYFUNCTION("""COMPUTED_VALUE"""),"emergency plumber professional")</f>
        <v>emergency plumber professional</v>
      </c>
      <c r="F92" s="4" t="str">
        <f>IFERROR(__xludf.DUMMYFUNCTION("""COMPUTED_VALUE"""),"local burst pipe repair")</f>
        <v>local burst pipe repair</v>
      </c>
      <c r="G92" s="4" t="str">
        <f>IFERROR(__xludf.DUMMYFUNCTION("""COMPUTED_VALUE"""),"drain unblocking plumber")</f>
        <v>drain unblocking plumber</v>
      </c>
      <c r="H92" s="4" t="str">
        <f>IFERROR(__xludf.DUMMYFUNCTION("""COMPUTED_VALUE"""),"installation pipe repair")</f>
        <v>installation pipe repair</v>
      </c>
      <c r="I92" s="4" t="str">
        <f>IFERROR(__xludf.DUMMYFUNCTION("""COMPUTED_VALUE"""),"electrical maintenance licensed")</f>
        <v>electrical maintenance licensed</v>
      </c>
      <c r="J92" s="4" t="str">
        <f>IFERROR(__xludf.DUMMYFUNCTION("""COMPUTED_VALUE"""),"inspection electrician cape town")</f>
        <v>inspection electrician cape town</v>
      </c>
      <c r="K92" s="4" t="str">
        <f>IFERROR(__xludf.DUMMYFUNCTION("""COMPUTED_VALUE"""),"aircon service maintenance")</f>
        <v>aircon service maintenance</v>
      </c>
      <c r="L92" s="4" t="str">
        <f>IFERROR(__xludf.DUMMYFUNCTION("""COMPUTED_VALUE"""),"installation aircon service")</f>
        <v>installation aircon service</v>
      </c>
      <c r="M92" s="4" t="str">
        <f>IFERROR(__xludf.DUMMYFUNCTION("""COMPUTED_VALUE"""),"geyser repairs house")</f>
        <v>geyser repairs house</v>
      </c>
      <c r="N92" s="4" t="str">
        <f>IFERROR(__xludf.DUMMYFUNCTION("""COMPUTED_VALUE"""),"hotel air conditioning services")</f>
        <v>hotel air conditioning services</v>
      </c>
      <c r="O92" s="4" t="str">
        <f>IFERROR(__xludf.DUMMYFUNCTION("""COMPUTED_VALUE"""),"drain surgeon cape town trusted")</f>
        <v>drain surgeon cape town trusted</v>
      </c>
      <c r="P92" s="4" t="str">
        <f>IFERROR(__xludf.DUMMYFUNCTION("""COMPUTED_VALUE"""),"licensed absolute plumbing cape town")</f>
        <v>licensed absolute plumbing cape town</v>
      </c>
      <c r="Q92" s="4" t="str">
        <f>IFERROR(__xludf.DUMMYFUNCTION("""COMPUTED_VALUE"""),"geyser repair best way to fix")</f>
        <v>geyser repair best way to fix</v>
      </c>
      <c r="R92" s="4" t="str">
        <f>IFERROR(__xludf.DUMMYFUNCTION("""COMPUTED_VALUE"""),"is it safe to aircon service")</f>
        <v>is it safe to aircon service</v>
      </c>
      <c r="S92" s="4"/>
      <c r="T92" s="4" t="str">
        <f>IFERROR(__xludf.DUMMYFUNCTION("""COMPUTED_VALUE"""),"affordable geyser replacement")</f>
        <v>affordable geyser replacement</v>
      </c>
      <c r="U92" s="4"/>
      <c r="V92" s="4"/>
      <c r="W92" s="4"/>
      <c r="X92" s="4"/>
      <c r="Y92" s="4"/>
      <c r="Z92" s="4"/>
    </row>
    <row r="93" ht="15.75" customHeight="1">
      <c r="A93" s="4" t="str">
        <f>IFERROR(__xludf.DUMMYFUNCTION("""COMPUTED_VALUE"""),"emergency plumber Muizenberg")</f>
        <v>emergency plumber Muizenberg</v>
      </c>
      <c r="B93" s="4" t="str">
        <f>IFERROR(__xludf.DUMMYFUNCTION("""COMPUTED_VALUE"""),"Green Point blocked drain plumber")</f>
        <v>Green Point blocked drain plumber</v>
      </c>
      <c r="C93" s="4" t="str">
        <f>IFERROR(__xludf.DUMMYFUNCTION("""COMPUTED_VALUE"""),"plumbing company trusted")</f>
        <v>plumbing company trusted</v>
      </c>
      <c r="D93" s="4" t="str">
        <f>IFERROR(__xludf.DUMMYFUNCTION("""COMPUTED_VALUE"""),"installation plumbing company")</f>
        <v>installation plumbing company</v>
      </c>
      <c r="E93" s="28" t="str">
        <f>IFERROR(__xludf.DUMMYFUNCTION("""COMPUTED_VALUE"""),"emergency plumber quote")</f>
        <v>emergency plumber quote</v>
      </c>
      <c r="F93" s="4" t="str">
        <f>IFERROR(__xludf.DUMMYFUNCTION("""COMPUTED_VALUE"""),"local emergency plumber")</f>
        <v>local emergency plumber</v>
      </c>
      <c r="G93" s="4" t="str">
        <f>IFERROR(__xludf.DUMMYFUNCTION("""COMPUTED_VALUE"""),"drain unblocking plumbing company")</f>
        <v>drain unblocking plumbing company</v>
      </c>
      <c r="H93" s="4" t="str">
        <f>IFERROR(__xludf.DUMMYFUNCTION("""COMPUTED_VALUE"""),"installation water leak detection")</f>
        <v>installation water leak detection</v>
      </c>
      <c r="I93" s="4" t="str">
        <f>IFERROR(__xludf.DUMMYFUNCTION("""COMPUTED_VALUE"""),"electrical maintenance local")</f>
        <v>electrical maintenance local</v>
      </c>
      <c r="J93" s="4" t="str">
        <f>IFERROR(__xludf.DUMMYFUNCTION("""COMPUTED_VALUE"""),"inspection emergency electrician")</f>
        <v>inspection emergency electrician</v>
      </c>
      <c r="K93" s="4" t="str">
        <f>IFERROR(__xludf.DUMMYFUNCTION("""COMPUTED_VALUE"""),"aircon service near me")</f>
        <v>aircon service near me</v>
      </c>
      <c r="L93" s="4" t="str">
        <f>IFERROR(__xludf.DUMMYFUNCTION("""COMPUTED_VALUE"""),"installation cold room repair")</f>
        <v>installation cold room repair</v>
      </c>
      <c r="M93" s="4" t="str">
        <f>IFERROR(__xludf.DUMMYFUNCTION("""COMPUTED_VALUE"""),"geyser repairs landlord")</f>
        <v>geyser repairs landlord</v>
      </c>
      <c r="N93" s="4" t="str">
        <f>IFERROR(__xludf.DUMMYFUNCTION("""COMPUTED_VALUE"""),"hotel drain cleaning")</f>
        <v>hotel drain cleaning</v>
      </c>
      <c r="O93" s="4" t="str">
        <f>IFERROR(__xludf.DUMMYFUNCTION("""COMPUTED_VALUE"""),"drain surgeon cape town vs")</f>
        <v>drain surgeon cape town vs</v>
      </c>
      <c r="P93" s="4" t="str">
        <f>IFERROR(__xludf.DUMMYFUNCTION("""COMPUTED_VALUE"""),"licensed aircon repair cape town")</f>
        <v>licensed aircon repair cape town</v>
      </c>
      <c r="Q93" s="4" t="str">
        <f>IFERROR(__xludf.DUMMYFUNCTION("""COMPUTED_VALUE"""),"geyser repair can a plumber fix")</f>
        <v>geyser repair can a plumber fix</v>
      </c>
      <c r="R93" s="4" t="str">
        <f>IFERROR(__xludf.DUMMYFUNCTION("""COMPUTED_VALUE"""),"is it safe to blocked drain")</f>
        <v>is it safe to blocked drain</v>
      </c>
      <c r="S93" s="4"/>
      <c r="T93" s="4" t="str">
        <f>IFERROR(__xludf.DUMMYFUNCTION("""COMPUTED_VALUE"""),"affordable HVAC services")</f>
        <v>affordable HVAC services</v>
      </c>
      <c r="U93" s="4"/>
      <c r="V93" s="4"/>
      <c r="W93" s="4"/>
      <c r="X93" s="4"/>
      <c r="Y93" s="4"/>
      <c r="Z93" s="4"/>
    </row>
    <row r="94" ht="15.75" customHeight="1">
      <c r="A94" s="4" t="str">
        <f>IFERROR(__xludf.DUMMYFUNCTION("""COMPUTED_VALUE"""),"emergency plumber Newlands")</f>
        <v>emergency plumber Newlands</v>
      </c>
      <c r="B94" s="4" t="str">
        <f>IFERROR(__xludf.DUMMYFUNCTION("""COMPUTED_VALUE"""),"Green Point electrician")</f>
        <v>Green Point electrician</v>
      </c>
      <c r="C94" s="4" t="str">
        <f>IFERROR(__xludf.DUMMYFUNCTION("""COMPUTED_VALUE"""),"plumbing contractors")</f>
        <v>plumbing contractors</v>
      </c>
      <c r="D94" s="4" t="str">
        <f>IFERROR(__xludf.DUMMYFUNCTION("""COMPUTED_VALUE"""),"installation plumbing contractors")</f>
        <v>installation plumbing contractors</v>
      </c>
      <c r="E94" s="28" t="str">
        <f>IFERROR(__xludf.DUMMYFUNCTION("""COMPUTED_VALUE"""),"emergency plumber reliable")</f>
        <v>emergency plumber reliable</v>
      </c>
      <c r="F94" s="4" t="str">
        <f>IFERROR(__xludf.DUMMYFUNCTION("""COMPUTED_VALUE"""),"local kitchen plumbing repair")</f>
        <v>local kitchen plumbing repair</v>
      </c>
      <c r="G94" s="4" t="str">
        <f>IFERROR(__xludf.DUMMYFUNCTION("""COMPUTED_VALUE"""),"drain unblocking quote")</f>
        <v>drain unblocking quote</v>
      </c>
      <c r="H94" s="4" t="str">
        <f>IFERROR(__xludf.DUMMYFUNCTION("""COMPUTED_VALUE"""),"near me blocked drain")</f>
        <v>near me blocked drain</v>
      </c>
      <c r="I94" s="4" t="str">
        <f>IFERROR(__xludf.DUMMYFUNCTION("""COMPUTED_VALUE"""),"electrical maintenance near me")</f>
        <v>electrical maintenance near me</v>
      </c>
      <c r="J94" s="4" t="str">
        <f>IFERROR(__xludf.DUMMYFUNCTION("""COMPUTED_VALUE"""),"inspection residential electrician")</f>
        <v>inspection residential electrician</v>
      </c>
      <c r="K94" s="4" t="str">
        <f>IFERROR(__xludf.DUMMYFUNCTION("""COMPUTED_VALUE"""),"aircon service professional")</f>
        <v>aircon service professional</v>
      </c>
      <c r="L94" s="4" t="str">
        <f>IFERROR(__xludf.DUMMYFUNCTION("""COMPUTED_VALUE"""),"installation commercial refrigeration")</f>
        <v>installation commercial refrigeration</v>
      </c>
      <c r="M94" s="4" t="str">
        <f>IFERROR(__xludf.DUMMYFUNCTION("""COMPUTED_VALUE"""),"geyser repairs office")</f>
        <v>geyser repairs office</v>
      </c>
      <c r="N94" s="4" t="str">
        <f>IFERROR(__xludf.DUMMYFUNCTION("""COMPUTED_VALUE"""),"hotel electrical repairs")</f>
        <v>hotel electrical repairs</v>
      </c>
      <c r="O94" s="4" t="str">
        <f>IFERROR(__xludf.DUMMYFUNCTION("""COMPUTED_VALUE"""),"electrician cape town 24 hour")</f>
        <v>electrician cape town 24 hour</v>
      </c>
      <c r="P94" s="4" t="str">
        <f>IFERROR(__xludf.DUMMYFUNCTION("""COMPUTED_VALUE"""),"licensed bosman plumbers")</f>
        <v>licensed bosman plumbers</v>
      </c>
      <c r="Q94" s="4" t="str">
        <f>IFERROR(__xludf.DUMMYFUNCTION("""COMPUTED_VALUE"""),"geyser repair cost of")</f>
        <v>geyser repair cost of</v>
      </c>
      <c r="R94" s="4" t="str">
        <f>IFERROR(__xludf.DUMMYFUNCTION("""COMPUTED_VALUE"""),"is it safe to burst pipe")</f>
        <v>is it safe to burst pipe</v>
      </c>
      <c r="S94" s="4"/>
      <c r="T94" s="4" t="str">
        <f>IFERROR(__xludf.DUMMYFUNCTION("""COMPUTED_VALUE"""),"affordable leak detection")</f>
        <v>affordable leak detection</v>
      </c>
      <c r="U94" s="4"/>
      <c r="V94" s="4"/>
      <c r="W94" s="4"/>
      <c r="X94" s="4"/>
      <c r="Y94" s="4"/>
      <c r="Z94" s="4"/>
    </row>
    <row r="95" ht="15.75" customHeight="1">
      <c r="A95" s="4" t="str">
        <f>IFERROR(__xludf.DUMMYFUNCTION("""COMPUTED_VALUE"""),"emergency plumber Northern Suburbs")</f>
        <v>emergency plumber Northern Suburbs</v>
      </c>
      <c r="B95" s="4" t="str">
        <f>IFERROR(__xludf.DUMMYFUNCTION("""COMPUTED_VALUE"""),"Green Point emergency plumber")</f>
        <v>Green Point emergency plumber</v>
      </c>
      <c r="C95" s="4" t="str">
        <f>IFERROR(__xludf.DUMMYFUNCTION("""COMPUTED_VALUE"""),"plumbing contractors 24 hour")</f>
        <v>plumbing contractors 24 hour</v>
      </c>
      <c r="D95" s="4" t="str">
        <f>IFERROR(__xludf.DUMMYFUNCTION("""COMPUTED_VALUE"""),"installation plumbing inspection")</f>
        <v>installation plumbing inspection</v>
      </c>
      <c r="E95" s="28" t="str">
        <f>IFERROR(__xludf.DUMMYFUNCTION("""COMPUTED_VALUE"""),"emergency plumber repair")</f>
        <v>emergency plumber repair</v>
      </c>
      <c r="F95" s="4" t="str">
        <f>IFERROR(__xludf.DUMMYFUNCTION("""COMPUTED_VALUE"""),"local leaking pipe repair")</f>
        <v>local leaking pipe repair</v>
      </c>
      <c r="G95" s="4" t="str">
        <f>IFERROR(__xludf.DUMMYFUNCTION("""COMPUTED_VALUE"""),"drain unblocking reliable")</f>
        <v>drain unblocking reliable</v>
      </c>
      <c r="H95" s="4" t="str">
        <f>IFERROR(__xludf.DUMMYFUNCTION("""COMPUTED_VALUE"""),"near me burst geyser")</f>
        <v>near me burst geyser</v>
      </c>
      <c r="I95" s="4" t="str">
        <f>IFERROR(__xludf.DUMMYFUNCTION("""COMPUTED_VALUE"""),"electrical maintenance professional")</f>
        <v>electrical maintenance professional</v>
      </c>
      <c r="J95" s="4" t="str">
        <f>IFERROR(__xludf.DUMMYFUNCTION("""COMPUTED_VALUE"""),"installation commercial electrician")</f>
        <v>installation commercial electrician</v>
      </c>
      <c r="K95" s="4" t="str">
        <f>IFERROR(__xludf.DUMMYFUNCTION("""COMPUTED_VALUE"""),"aircon service quote")</f>
        <v>aircon service quote</v>
      </c>
      <c r="L95" s="4" t="str">
        <f>IFERROR(__xludf.DUMMYFUNCTION("""COMPUTED_VALUE"""),"installation fridge repair")</f>
        <v>installation fridge repair</v>
      </c>
      <c r="M95" s="4" t="str">
        <f>IFERROR(__xludf.DUMMYFUNCTION("""COMPUTED_VALUE"""),"geyser repairs property manager")</f>
        <v>geyser repairs property manager</v>
      </c>
      <c r="N95" s="4" t="str">
        <f>IFERROR(__xludf.DUMMYFUNCTION("""COMPUTED_VALUE"""),"hotel emergency plumbing")</f>
        <v>hotel emergency plumbing</v>
      </c>
      <c r="O95" s="4" t="str">
        <f>IFERROR(__xludf.DUMMYFUNCTION("""COMPUTED_VALUE"""),"electrician cape town affordable")</f>
        <v>electrician cape town affordable</v>
      </c>
      <c r="P95" s="4" t="str">
        <f>IFERROR(__xludf.DUMMYFUNCTION("""COMPUTED_VALUE"""),"licensed drain surgeon cape town")</f>
        <v>licensed drain surgeon cape town</v>
      </c>
      <c r="Q95" s="4" t="str">
        <f>IFERROR(__xludf.DUMMYFUNCTION("""COMPUTED_VALUE"""),"geyser repair do I need")</f>
        <v>geyser repair do I need</v>
      </c>
      <c r="R95" s="4" t="str">
        <f>IFERROR(__xludf.DUMMYFUNCTION("""COMPUTED_VALUE"""),"is it safe to electrical COC")</f>
        <v>is it safe to electrical COC</v>
      </c>
      <c r="S95" s="4"/>
      <c r="T95" s="4" t="str">
        <f>IFERROR(__xludf.DUMMYFUNCTION("""COMPUTED_VALUE"""),"affordable maintenance plumber")</f>
        <v>affordable maintenance plumber</v>
      </c>
      <c r="U95" s="4"/>
      <c r="V95" s="4"/>
      <c r="W95" s="4"/>
      <c r="X95" s="4"/>
      <c r="Y95" s="4"/>
      <c r="Z95" s="4"/>
    </row>
    <row r="96" ht="15.75" customHeight="1">
      <c r="A96" s="4" t="str">
        <f>IFERROR(__xludf.DUMMYFUNCTION("""COMPUTED_VALUE"""),"emergency plumber Observatory")</f>
        <v>emergency plumber Observatory</v>
      </c>
      <c r="B96" s="4" t="str">
        <f>IFERROR(__xludf.DUMMYFUNCTION("""COMPUTED_VALUE"""),"Green Point geyser repair")</f>
        <v>Green Point geyser repair</v>
      </c>
      <c r="C96" s="4" t="str">
        <f>IFERROR(__xludf.DUMMYFUNCTION("""COMPUTED_VALUE"""),"plumbing contractors affordable")</f>
        <v>plumbing contractors affordable</v>
      </c>
      <c r="D96" s="4" t="str">
        <f>IFERROR(__xludf.DUMMYFUNCTION("""COMPUTED_VALUE"""),"installation plumbing repairs")</f>
        <v>installation plumbing repairs</v>
      </c>
      <c r="E96" s="28" t="str">
        <f>IFERROR(__xludf.DUMMYFUNCTION("""COMPUTED_VALUE"""),"emergency plumber residential")</f>
        <v>emergency plumber residential</v>
      </c>
      <c r="F96" s="4" t="str">
        <f>IFERROR(__xludf.DUMMYFUNCTION("""COMPUTED_VALUE"""),"local leaking tap repair")</f>
        <v>local leaking tap repair</v>
      </c>
      <c r="G96" s="4" t="str">
        <f>IFERROR(__xludf.DUMMYFUNCTION("""COMPUTED_VALUE"""),"drain unblocking repair")</f>
        <v>drain unblocking repair</v>
      </c>
      <c r="H96" s="4" t="str">
        <f>IFERROR(__xludf.DUMMYFUNCTION("""COMPUTED_VALUE"""),"near me drain cleaning")</f>
        <v>near me drain cleaning</v>
      </c>
      <c r="I96" s="4" t="str">
        <f>IFERROR(__xludf.DUMMYFUNCTION("""COMPUTED_VALUE"""),"electrical maintenance qualified")</f>
        <v>electrical maintenance qualified</v>
      </c>
      <c r="J96" s="4" t="str">
        <f>IFERROR(__xludf.DUMMYFUNCTION("""COMPUTED_VALUE"""),"installation electrical compliance certificate")</f>
        <v>installation electrical compliance certificate</v>
      </c>
      <c r="K96" s="4" t="str">
        <f>IFERROR(__xludf.DUMMYFUNCTION("""COMPUTED_VALUE"""),"aircon service reliable")</f>
        <v>aircon service reliable</v>
      </c>
      <c r="L96" s="4" t="str">
        <f>IFERROR(__xludf.DUMMYFUNCTION("""COMPUTED_VALUE"""),"installation HVAC services")</f>
        <v>installation HVAC services</v>
      </c>
      <c r="M96" s="4" t="str">
        <f>IFERROR(__xludf.DUMMYFUNCTION("""COMPUTED_VALUE"""),"geyser repairs residential property")</f>
        <v>geyser repairs residential property</v>
      </c>
      <c r="N96" s="4" t="str">
        <f>IFERROR(__xludf.DUMMYFUNCTION("""COMPUTED_VALUE"""),"hotel geyser repairs")</f>
        <v>hotel geyser repairs</v>
      </c>
      <c r="O96" s="4" t="str">
        <f>IFERROR(__xludf.DUMMYFUNCTION("""COMPUTED_VALUE"""),"electrician cape town alternatives")</f>
        <v>electrician cape town alternatives</v>
      </c>
      <c r="P96" s="4" t="str">
        <f>IFERROR(__xludf.DUMMYFUNCTION("""COMPUTED_VALUE"""),"licensed electrician cape town")</f>
        <v>licensed electrician cape town</v>
      </c>
      <c r="Q96" s="4" t="str">
        <f>IFERROR(__xludf.DUMMYFUNCTION("""COMPUTED_VALUE"""),"geyser repair emergency help for")</f>
        <v>geyser repair emergency help for</v>
      </c>
      <c r="R96" s="4" t="str">
        <f>IFERROR(__xludf.DUMMYFUNCTION("""COMPUTED_VALUE"""),"is it safe to emergency plumber")</f>
        <v>is it safe to emergency plumber</v>
      </c>
      <c r="S96" s="4"/>
      <c r="T96" s="4" t="str">
        <f>IFERROR(__xludf.DUMMYFUNCTION("""COMPUTED_VALUE"""),"affordable pipe repair")</f>
        <v>affordable pipe repair</v>
      </c>
      <c r="U96" s="4"/>
      <c r="V96" s="4"/>
      <c r="W96" s="4"/>
      <c r="X96" s="4"/>
      <c r="Y96" s="4"/>
      <c r="Z96" s="4"/>
    </row>
    <row r="97" ht="15.75" customHeight="1">
      <c r="A97" s="4" t="str">
        <f>IFERROR(__xludf.DUMMYFUNCTION("""COMPUTED_VALUE"""),"emergency plumber Plumstead")</f>
        <v>emergency plumber Plumstead</v>
      </c>
      <c r="B97" s="4" t="str">
        <f>IFERROR(__xludf.DUMMYFUNCTION("""COMPUTED_VALUE"""),"Green Point leak detection plumber")</f>
        <v>Green Point leak detection plumber</v>
      </c>
      <c r="C97" s="4" t="str">
        <f>IFERROR(__xludf.DUMMYFUNCTION("""COMPUTED_VALUE"""),"plumbing contractors after hours")</f>
        <v>plumbing contractors after hours</v>
      </c>
      <c r="D97" s="4" t="str">
        <f>IFERROR(__xludf.DUMMYFUNCTION("""COMPUTED_VALUE"""),"installation plumbing services")</f>
        <v>installation plumbing services</v>
      </c>
      <c r="E97" s="28" t="str">
        <f>IFERROR(__xludf.DUMMYFUNCTION("""COMPUTED_VALUE"""),"emergency plumber same day")</f>
        <v>emergency plumber same day</v>
      </c>
      <c r="F97" s="4" t="str">
        <f>IFERROR(__xludf.DUMMYFUNCTION("""COMPUTED_VALUE"""),"local toilet repair")</f>
        <v>local toilet repair</v>
      </c>
      <c r="G97" s="4" t="str">
        <f>IFERROR(__xludf.DUMMYFUNCTION("""COMPUTED_VALUE"""),"drain unblocking replacement")</f>
        <v>drain unblocking replacement</v>
      </c>
      <c r="H97" s="4" t="str">
        <f>IFERROR(__xludf.DUMMYFUNCTION("""COMPUTED_VALUE"""),"near me drain inspection")</f>
        <v>near me drain inspection</v>
      </c>
      <c r="I97" s="4" t="str">
        <f>IFERROR(__xludf.DUMMYFUNCTION("""COMPUTED_VALUE"""),"electrical maintenance quote")</f>
        <v>electrical maintenance quote</v>
      </c>
      <c r="J97" s="4" t="str">
        <f>IFERROR(__xludf.DUMMYFUNCTION("""COMPUTED_VALUE"""),"installation electrical contractor")</f>
        <v>installation electrical contractor</v>
      </c>
      <c r="K97" s="4" t="str">
        <f>IFERROR(__xludf.DUMMYFUNCTION("""COMPUTED_VALUE"""),"aircon service repair")</f>
        <v>aircon service repair</v>
      </c>
      <c r="L97" s="4" t="str">
        <f>IFERROR(__xludf.DUMMYFUNCTION("""COMPUTED_VALUE"""),"installation refrigeration repair")</f>
        <v>installation refrigeration repair</v>
      </c>
      <c r="M97" s="4" t="str">
        <f>IFERROR(__xludf.DUMMYFUNCTION("""COMPUTED_VALUE"""),"geyser repairs restaurant")</f>
        <v>geyser repairs restaurant</v>
      </c>
      <c r="N97" s="4" t="str">
        <f>IFERROR(__xludf.DUMMYFUNCTION("""COMPUTED_VALUE"""),"hotel leak detection")</f>
        <v>hotel leak detection</v>
      </c>
      <c r="O97" s="4" t="str">
        <f>IFERROR(__xludf.DUMMYFUNCTION("""COMPUTED_VALUE"""),"electrician cape town best")</f>
        <v>electrician cape town best</v>
      </c>
      <c r="P97" s="4" t="str">
        <f>IFERROR(__xludf.DUMMYFUNCTION("""COMPUTED_VALUE"""),"licensed emergency plumber cape town")</f>
        <v>licensed emergency plumber cape town</v>
      </c>
      <c r="Q97" s="4" t="str">
        <f>IFERROR(__xludf.DUMMYFUNCTION("""COMPUTED_VALUE"""),"geyser repair how long does")</f>
        <v>geyser repair how long does</v>
      </c>
      <c r="R97" s="4" t="str">
        <f>IFERROR(__xludf.DUMMYFUNCTION("""COMPUTED_VALUE"""),"is it safe to geyser repair")</f>
        <v>is it safe to geyser repair</v>
      </c>
      <c r="S97" s="4"/>
      <c r="T97" s="4" t="str">
        <f>IFERROR(__xludf.DUMMYFUNCTION("""COMPUTED_VALUE"""),"affordable plumber cape town")</f>
        <v>affordable plumber cape town</v>
      </c>
      <c r="U97" s="4"/>
      <c r="V97" s="4"/>
      <c r="W97" s="4"/>
      <c r="X97" s="4"/>
      <c r="Y97" s="4"/>
      <c r="Z97" s="4"/>
    </row>
    <row r="98" ht="15.75" customHeight="1">
      <c r="A98" s="4" t="str">
        <f>IFERROR(__xludf.DUMMYFUNCTION("""COMPUTED_VALUE"""),"emergency plumber Rondebosch")</f>
        <v>emergency plumber Rondebosch</v>
      </c>
      <c r="B98" s="4" t="str">
        <f>IFERROR(__xludf.DUMMYFUNCTION("""COMPUTED_VALUE"""),"Green Point plumber")</f>
        <v>Green Point plumber</v>
      </c>
      <c r="C98" s="4" t="str">
        <f>IFERROR(__xludf.DUMMYFUNCTION("""COMPUTED_VALUE"""),"plumbing contractors best")</f>
        <v>plumbing contractors best</v>
      </c>
      <c r="D98" s="4" t="str">
        <f>IFERROR(__xludf.DUMMYFUNCTION("""COMPUTED_VALUE"""),"installation residential plumber")</f>
        <v>installation residential plumber</v>
      </c>
      <c r="E98" s="28" t="str">
        <f>IFERROR(__xludf.DUMMYFUNCTION("""COMPUTED_VALUE"""),"emergency plumber service")</f>
        <v>emergency plumber service</v>
      </c>
      <c r="F98" s="4" t="str">
        <f>IFERROR(__xludf.DUMMYFUNCTION("""COMPUTED_VALUE"""),"local water leak repair")</f>
        <v>local water leak repair</v>
      </c>
      <c r="G98" s="4" t="str">
        <f>IFERROR(__xludf.DUMMYFUNCTION("""COMPUTED_VALUE"""),"drain unblocking residential")</f>
        <v>drain unblocking residential</v>
      </c>
      <c r="H98" s="4" t="str">
        <f>IFERROR(__xludf.DUMMYFUNCTION("""COMPUTED_VALUE"""),"near me drain unblocking")</f>
        <v>near me drain unblocking</v>
      </c>
      <c r="I98" s="4" t="str">
        <f>IFERROR(__xludf.DUMMYFUNCTION("""COMPUTED_VALUE"""),"electrical maintenance reliable")</f>
        <v>electrical maintenance reliable</v>
      </c>
      <c r="J98" s="4" t="str">
        <f>IFERROR(__xludf.DUMMYFUNCTION("""COMPUTED_VALUE"""),"installation electrical maintenance")</f>
        <v>installation electrical maintenance</v>
      </c>
      <c r="K98" s="4" t="str">
        <f>IFERROR(__xludf.DUMMYFUNCTION("""COMPUTED_VALUE"""),"aircon service residential")</f>
        <v>aircon service residential</v>
      </c>
      <c r="L98" s="4" t="str">
        <f>IFERROR(__xludf.DUMMYFUNCTION("""COMPUTED_VALUE"""),"local air conditioning")</f>
        <v>local air conditioning</v>
      </c>
      <c r="M98" s="4" t="str">
        <f>IFERROR(__xludf.DUMMYFUNCTION("""COMPUTED_VALUE"""),"geyser repairs school")</f>
        <v>geyser repairs school</v>
      </c>
      <c r="N98" s="4" t="str">
        <f>IFERROR(__xludf.DUMMYFUNCTION("""COMPUTED_VALUE"""),"hotel maintenance plumber")</f>
        <v>hotel maintenance plumber</v>
      </c>
      <c r="O98" s="4" t="str">
        <f>IFERROR(__xludf.DUMMYFUNCTION("""COMPUTED_VALUE"""),"electrician cape town certified")</f>
        <v>electrician cape town certified</v>
      </c>
      <c r="P98" s="4" t="str">
        <f>IFERROR(__xludf.DUMMYFUNCTION("""COMPUTED_VALUE"""),"licensed plumber near me")</f>
        <v>licensed plumber near me</v>
      </c>
      <c r="Q98" s="4" t="str">
        <f>IFERROR(__xludf.DUMMYFUNCTION("""COMPUTED_VALUE"""),"geyser repair how much does")</f>
        <v>geyser repair how much does</v>
      </c>
      <c r="R98" s="4" t="str">
        <f>IFERROR(__xludf.DUMMYFUNCTION("""COMPUTED_VALUE"""),"is it safe to leak detection")</f>
        <v>is it safe to leak detection</v>
      </c>
      <c r="S98" s="4"/>
      <c r="T98" s="4" t="str">
        <f>IFERROR(__xludf.DUMMYFUNCTION("""COMPUTED_VALUE"""),"affordable plumber near me")</f>
        <v>affordable plumber near me</v>
      </c>
      <c r="U98" s="4"/>
      <c r="V98" s="4"/>
      <c r="W98" s="4"/>
      <c r="X98" s="4"/>
      <c r="Y98" s="4"/>
      <c r="Z98" s="4"/>
    </row>
    <row r="99" ht="15.75" customHeight="1">
      <c r="A99" s="4" t="str">
        <f>IFERROR(__xludf.DUMMYFUNCTION("""COMPUTED_VALUE"""),"emergency plumber Sea Point")</f>
        <v>emergency plumber Sea Point</v>
      </c>
      <c r="B99" s="4" t="str">
        <f>IFERROR(__xludf.DUMMYFUNCTION("""COMPUTED_VALUE"""),"Green Point plumbers")</f>
        <v>Green Point plumbers</v>
      </c>
      <c r="C99" s="4" t="str">
        <f>IFERROR(__xludf.DUMMYFUNCTION("""COMPUTED_VALUE"""),"plumbing contractors call out")</f>
        <v>plumbing contractors call out</v>
      </c>
      <c r="D99" s="4" t="str">
        <f>IFERROR(__xludf.DUMMYFUNCTION("""COMPUTED_VALUE"""),"licensed commercial plumber")</f>
        <v>licensed commercial plumber</v>
      </c>
      <c r="E99" s="28" t="str">
        <f>IFERROR(__xludf.DUMMYFUNCTION("""COMPUTED_VALUE"""),"emergency plumber urgent")</f>
        <v>emergency plumber urgent</v>
      </c>
      <c r="F99" s="4" t="str">
        <f>IFERROR(__xludf.DUMMYFUNCTION("""COMPUTED_VALUE"""),"near me 24 hour plumber")</f>
        <v>near me 24 hour plumber</v>
      </c>
      <c r="G99" s="4" t="str">
        <f>IFERROR(__xludf.DUMMYFUNCTION("""COMPUTED_VALUE"""),"drain unblocking same day")</f>
        <v>drain unblocking same day</v>
      </c>
      <c r="H99" s="4" t="str">
        <f>IFERROR(__xludf.DUMMYFUNCTION("""COMPUTED_VALUE"""),"near me geyser repair")</f>
        <v>near me geyser repair</v>
      </c>
      <c r="I99" s="4" t="str">
        <f>IFERROR(__xludf.DUMMYFUNCTION("""COMPUTED_VALUE"""),"electrical maintenance repair")</f>
        <v>electrical maintenance repair</v>
      </c>
      <c r="J99" s="4" t="str">
        <f>IFERROR(__xludf.DUMMYFUNCTION("""COMPUTED_VALUE"""),"installation electrical repairs")</f>
        <v>installation electrical repairs</v>
      </c>
      <c r="K99" s="4" t="str">
        <f>IFERROR(__xludf.DUMMYFUNCTION("""COMPUTED_VALUE"""),"aircon service same day")</f>
        <v>aircon service same day</v>
      </c>
      <c r="L99" s="4" t="str">
        <f>IFERROR(__xludf.DUMMYFUNCTION("""COMPUTED_VALUE"""),"local air conditioning repair")</f>
        <v>local air conditioning repair</v>
      </c>
      <c r="M99" s="4" t="str">
        <f>IFERROR(__xludf.DUMMYFUNCTION("""COMPUTED_VALUE"""),"geyser repairs shop")</f>
        <v>geyser repairs shop</v>
      </c>
      <c r="N99" s="4" t="str">
        <f>IFERROR(__xludf.DUMMYFUNCTION("""COMPUTED_VALUE"""),"hotel plumbing company")</f>
        <v>hotel plumbing company</v>
      </c>
      <c r="O99" s="4" t="str">
        <f>IFERROR(__xludf.DUMMYFUNCTION("""COMPUTED_VALUE"""),"electrician cape town compare")</f>
        <v>electrician cape town compare</v>
      </c>
      <c r="P99" s="4" t="str">
        <f>IFERROR(__xludf.DUMMYFUNCTION("""COMPUTED_VALUE"""),"licensed plumbers cape town")</f>
        <v>licensed plumbers cape town</v>
      </c>
      <c r="Q99" s="4" t="str">
        <f>IFERROR(__xludf.DUMMYFUNCTION("""COMPUTED_VALUE"""),"geyser repair how to choose")</f>
        <v>geyser repair how to choose</v>
      </c>
      <c r="R99" s="4" t="str">
        <f>IFERROR(__xludf.DUMMYFUNCTION("""COMPUTED_VALUE"""),"is it safe to plumber cost")</f>
        <v>is it safe to plumber cost</v>
      </c>
      <c r="S99" s="4"/>
      <c r="T99" s="4" t="str">
        <f>IFERROR(__xludf.DUMMYFUNCTION("""COMPUTED_VALUE"""),"affordable plumbers cape town")</f>
        <v>affordable plumbers cape town</v>
      </c>
      <c r="U99" s="4"/>
      <c r="V99" s="4"/>
      <c r="W99" s="4"/>
      <c r="X99" s="4"/>
      <c r="Y99" s="4"/>
      <c r="Z99" s="4"/>
    </row>
    <row r="100" ht="15.75" customHeight="1">
      <c r="A100" s="4" t="str">
        <f>IFERROR(__xludf.DUMMYFUNCTION("""COMPUTED_VALUE"""),"emergency plumber South Africa")</f>
        <v>emergency plumber South Africa</v>
      </c>
      <c r="B100" s="4" t="str">
        <f>IFERROR(__xludf.DUMMYFUNCTION("""COMPUTED_VALUE"""),"Green Point plumbing company")</f>
        <v>Green Point plumbing company</v>
      </c>
      <c r="C100" s="4" t="str">
        <f>IFERROR(__xludf.DUMMYFUNCTION("""COMPUTED_VALUE"""),"plumbing contractors company")</f>
        <v>plumbing contractors company</v>
      </c>
      <c r="D100" s="4" t="str">
        <f>IFERROR(__xludf.DUMMYFUNCTION("""COMPUTED_VALUE"""),"licensed maintenance plumber")</f>
        <v>licensed maintenance plumber</v>
      </c>
      <c r="E100" s="28" t="str">
        <f>IFERROR(__xludf.DUMMYFUNCTION("""COMPUTED_VALUE"""),"emergency plumber weekend")</f>
        <v>emergency plumber weekend</v>
      </c>
      <c r="F100" s="4" t="str">
        <f>IFERROR(__xludf.DUMMYFUNCTION("""COMPUTED_VALUE"""),"near me bathroom plumbing repair")</f>
        <v>near me bathroom plumbing repair</v>
      </c>
      <c r="G100" s="4" t="str">
        <f>IFERROR(__xludf.DUMMYFUNCTION("""COMPUTED_VALUE"""),"drain unblocking service")</f>
        <v>drain unblocking service</v>
      </c>
      <c r="H100" s="4" t="str">
        <f>IFERROR(__xludf.DUMMYFUNCTION("""COMPUTED_VALUE"""),"near me geyser replacement")</f>
        <v>near me geyser replacement</v>
      </c>
      <c r="I100" s="4" t="str">
        <f>IFERROR(__xludf.DUMMYFUNCTION("""COMPUTED_VALUE"""),"electrical maintenance same day")</f>
        <v>electrical maintenance same day</v>
      </c>
      <c r="J100" s="4" t="str">
        <f>IFERROR(__xludf.DUMMYFUNCTION("""COMPUTED_VALUE"""),"installation electrical services")</f>
        <v>installation electrical services</v>
      </c>
      <c r="K100" s="4" t="str">
        <f>IFERROR(__xludf.DUMMYFUNCTION("""COMPUTED_VALUE"""),"aircon service technician")</f>
        <v>aircon service technician</v>
      </c>
      <c r="L100" s="4" t="str">
        <f>IFERROR(__xludf.DUMMYFUNCTION("""COMPUTED_VALUE"""),"local aircon installation")</f>
        <v>local aircon installation</v>
      </c>
      <c r="M100" s="4" t="str">
        <f>IFERROR(__xludf.DUMMYFUNCTION("""COMPUTED_VALUE"""),"geyser repairs tenant")</f>
        <v>geyser repairs tenant</v>
      </c>
      <c r="N100" s="4" t="str">
        <f>IFERROR(__xludf.DUMMYFUNCTION("""COMPUTED_VALUE"""),"hotel plumbing services")</f>
        <v>hotel plumbing services</v>
      </c>
      <c r="O100" s="4" t="str">
        <f>IFERROR(__xludf.DUMMYFUNCTION("""COMPUTED_VALUE"""),"electrician cape town complaints")</f>
        <v>electrician cape town complaints</v>
      </c>
      <c r="P100" s="4" t="str">
        <f>IFERROR(__xludf.DUMMYFUNCTION("""COMPUTED_VALUE"""),"licensed plumbing company cape town")</f>
        <v>licensed plumbing company cape town</v>
      </c>
      <c r="Q100" s="4" t="str">
        <f>IFERROR(__xludf.DUMMYFUNCTION("""COMPUTED_VALUE"""),"geyser repair how to prevent")</f>
        <v>geyser repair how to prevent</v>
      </c>
      <c r="R100" s="4" t="str">
        <f>IFERROR(__xludf.DUMMYFUNCTION("""COMPUTED_VALUE"""),"is it safe to plumbing maintenance")</f>
        <v>is it safe to plumbing maintenance</v>
      </c>
      <c r="S100" s="4"/>
      <c r="T100" s="4" t="str">
        <f>IFERROR(__xludf.DUMMYFUNCTION("""COMPUTED_VALUE"""),"affordable plumbing company")</f>
        <v>affordable plumbing company</v>
      </c>
      <c r="U100" s="4"/>
      <c r="V100" s="4"/>
      <c r="W100" s="4"/>
      <c r="X100" s="4"/>
      <c r="Y100" s="4"/>
      <c r="Z100" s="4"/>
    </row>
    <row r="101" ht="15.75" customHeight="1">
      <c r="A101" s="4" t="str">
        <f>IFERROR(__xludf.DUMMYFUNCTION("""COMPUTED_VALUE"""),"emergency plumber Southern Suburbs")</f>
        <v>emergency plumber Southern Suburbs</v>
      </c>
      <c r="B101" s="4" t="str">
        <f>IFERROR(__xludf.DUMMYFUNCTION("""COMPUTED_VALUE"""),"Green Point refrigeration services")</f>
        <v>Green Point refrigeration services</v>
      </c>
      <c r="C101" s="4" t="str">
        <f>IFERROR(__xludf.DUMMYFUNCTION("""COMPUTED_VALUE"""),"plumbing contractors cost")</f>
        <v>plumbing contractors cost</v>
      </c>
      <c r="D101" s="4" t="str">
        <f>IFERROR(__xludf.DUMMYFUNCTION("""COMPUTED_VALUE"""),"licensed plumber cape town")</f>
        <v>licensed plumber cape town</v>
      </c>
      <c r="E101" s="28" t="str">
        <f>IFERROR(__xludf.DUMMYFUNCTION("""COMPUTED_VALUE"""),"kitchen plumbing repair")</f>
        <v>kitchen plumbing repair</v>
      </c>
      <c r="F101" s="4" t="str">
        <f>IFERROR(__xludf.DUMMYFUNCTION("""COMPUTED_VALUE"""),"near me blocked toilet plumber")</f>
        <v>near me blocked toilet plumber</v>
      </c>
      <c r="G101" s="4" t="str">
        <f>IFERROR(__xludf.DUMMYFUNCTION("""COMPUTED_VALUE"""),"drain unblocking specialist")</f>
        <v>drain unblocking specialist</v>
      </c>
      <c r="H101" s="4" t="str">
        <f>IFERROR(__xludf.DUMMYFUNCTION("""COMPUTED_VALUE"""),"near me leak detection")</f>
        <v>near me leak detection</v>
      </c>
      <c r="I101" s="4" t="str">
        <f>IFERROR(__xludf.DUMMYFUNCTION("""COMPUTED_VALUE"""),"electrical maintenance service")</f>
        <v>electrical maintenance service</v>
      </c>
      <c r="J101" s="4" t="str">
        <f>IFERROR(__xludf.DUMMYFUNCTION("""COMPUTED_VALUE"""),"installation electrician cape town")</f>
        <v>installation electrician cape town</v>
      </c>
      <c r="K101" s="4" t="str">
        <f>IFERROR(__xludf.DUMMYFUNCTION("""COMPUTED_VALUE"""),"cold room repair")</f>
        <v>cold room repair</v>
      </c>
      <c r="L101" s="4" t="str">
        <f>IFERROR(__xludf.DUMMYFUNCTION("""COMPUTED_VALUE"""),"local aircon repair")</f>
        <v>local aircon repair</v>
      </c>
      <c r="M101" s="4" t="str">
        <f>IFERROR(__xludf.DUMMYFUNCTION("""COMPUTED_VALUE"""),"geyser repairs townhouse")</f>
        <v>geyser repairs townhouse</v>
      </c>
      <c r="N101" s="4" t="str">
        <f>IFERROR(__xludf.DUMMYFUNCTION("""COMPUTED_VALUE"""),"hotel refrigeration services")</f>
        <v>hotel refrigeration services</v>
      </c>
      <c r="O101" s="4" t="str">
        <f>IFERROR(__xludf.DUMMYFUNCTION("""COMPUTED_VALUE"""),"electrician cape town cost")</f>
        <v>electrician cape town cost</v>
      </c>
      <c r="P101" s="4" t="str">
        <f>IFERROR(__xludf.DUMMYFUNCTION("""COMPUTED_VALUE"""),"licensed schmidhauser plumbing")</f>
        <v>licensed schmidhauser plumbing</v>
      </c>
      <c r="Q101" s="4" t="str">
        <f>IFERROR(__xludf.DUMMYFUNCTION("""COMPUTED_VALUE"""),"geyser repair is it safe to")</f>
        <v>geyser repair is it safe to</v>
      </c>
      <c r="R101" s="4" t="str">
        <f>IFERROR(__xludf.DUMMYFUNCTION("""COMPUTED_VALUE"""),"is it safe to refrigeration repair")</f>
        <v>is it safe to refrigeration repair</v>
      </c>
      <c r="S101" s="4"/>
      <c r="T101" s="4" t="str">
        <f>IFERROR(__xludf.DUMMYFUNCTION("""COMPUTED_VALUE"""),"affordable plumbing company cape town")</f>
        <v>affordable plumbing company cape town</v>
      </c>
      <c r="U101" s="4"/>
      <c r="V101" s="4"/>
      <c r="W101" s="4"/>
      <c r="X101" s="4"/>
      <c r="Y101" s="4"/>
      <c r="Z101" s="4"/>
    </row>
    <row r="102" ht="15.75" customHeight="1">
      <c r="A102" s="4" t="str">
        <f>IFERROR(__xludf.DUMMYFUNCTION("""COMPUTED_VALUE"""),"emergency plumber Table View")</f>
        <v>emergency plumber Table View</v>
      </c>
      <c r="B102" s="4" t="str">
        <f>IFERROR(__xludf.DUMMYFUNCTION("""COMPUTED_VALUE"""),"Hout Bay aircon repairs")</f>
        <v>Hout Bay aircon repairs</v>
      </c>
      <c r="C102" s="4" t="str">
        <f>IFERROR(__xludf.DUMMYFUNCTION("""COMPUTED_VALUE"""),"plumbing contractors emergency")</f>
        <v>plumbing contractors emergency</v>
      </c>
      <c r="D102" s="4" t="str">
        <f>IFERROR(__xludf.DUMMYFUNCTION("""COMPUTED_VALUE"""),"licensed plumbing company")</f>
        <v>licensed plumbing company</v>
      </c>
      <c r="E102" s="28" t="str">
        <f>IFERROR(__xludf.DUMMYFUNCTION("""COMPUTED_VALUE"""),"kitchen plumbing repair after hours")</f>
        <v>kitchen plumbing repair after hours</v>
      </c>
      <c r="F102" s="4" t="str">
        <f>IFERROR(__xludf.DUMMYFUNCTION("""COMPUTED_VALUE"""),"near me burst pipe repair")</f>
        <v>near me burst pipe repair</v>
      </c>
      <c r="G102" s="4" t="str">
        <f>IFERROR(__xludf.DUMMYFUNCTION("""COMPUTED_VALUE"""),"geyser repair")</f>
        <v>geyser repair</v>
      </c>
      <c r="H102" s="4" t="str">
        <f>IFERROR(__xludf.DUMMYFUNCTION("""COMPUTED_VALUE"""),"near me pipe repair")</f>
        <v>near me pipe repair</v>
      </c>
      <c r="I102" s="4" t="str">
        <f>IFERROR(__xludf.DUMMYFUNCTION("""COMPUTED_VALUE"""),"electrical repairs")</f>
        <v>electrical repairs</v>
      </c>
      <c r="J102" s="4" t="str">
        <f>IFERROR(__xludf.DUMMYFUNCTION("""COMPUTED_VALUE"""),"installation emergency electrician")</f>
        <v>installation emergency electrician</v>
      </c>
      <c r="K102" s="4" t="str">
        <f>IFERROR(__xludf.DUMMYFUNCTION("""COMPUTED_VALUE"""),"cold room repair affordable")</f>
        <v>cold room repair affordable</v>
      </c>
      <c r="L102" s="4" t="str">
        <f>IFERROR(__xludf.DUMMYFUNCTION("""COMPUTED_VALUE"""),"local aircon service")</f>
        <v>local aircon service</v>
      </c>
      <c r="M102" s="4" t="str">
        <f>IFERROR(__xludf.DUMMYFUNCTION("""COMPUTED_VALUE"""),"leak detection apartment")</f>
        <v>leak detection apartment</v>
      </c>
      <c r="N102" s="4" t="str">
        <f>IFERROR(__xludf.DUMMYFUNCTION("""COMPUTED_VALUE"""),"house air conditioning services")</f>
        <v>house air conditioning services</v>
      </c>
      <c r="O102" s="4" t="str">
        <f>IFERROR(__xludf.DUMMYFUNCTION("""COMPUTED_VALUE"""),"electrician cape town insured")</f>
        <v>electrician cape town insured</v>
      </c>
      <c r="P102" s="4" t="str">
        <f>IFERROR(__xludf.DUMMYFUNCTION("""COMPUTED_VALUE"""),"local absolute plumbing cape town")</f>
        <v>local absolute plumbing cape town</v>
      </c>
      <c r="Q102" s="4" t="str">
        <f>IFERROR(__xludf.DUMMYFUNCTION("""COMPUTED_VALUE"""),"geyser repair near me for")</f>
        <v>geyser repair near me for</v>
      </c>
      <c r="R102" s="4" t="str">
        <f>IFERROR(__xludf.DUMMYFUNCTION("""COMPUTED_VALUE"""),"near me for aircon service")</f>
        <v>near me for aircon service</v>
      </c>
      <c r="S102" s="4"/>
      <c r="T102" s="4" t="str">
        <f>IFERROR(__xludf.DUMMYFUNCTION("""COMPUTED_VALUE"""),"affordable plumbing contractors")</f>
        <v>affordable plumbing contractors</v>
      </c>
      <c r="U102" s="4"/>
      <c r="V102" s="4"/>
      <c r="W102" s="4"/>
      <c r="X102" s="4"/>
      <c r="Y102" s="4"/>
      <c r="Z102" s="4"/>
    </row>
    <row r="103" ht="15.75" customHeight="1">
      <c r="A103" s="4" t="str">
        <f>IFERROR(__xludf.DUMMYFUNCTION("""COMPUTED_VALUE"""),"emergency plumber Tokai")</f>
        <v>emergency plumber Tokai</v>
      </c>
      <c r="B103" s="4" t="str">
        <f>IFERROR(__xludf.DUMMYFUNCTION("""COMPUTED_VALUE"""),"Hout Bay blocked drain plumber")</f>
        <v>Hout Bay blocked drain plumber</v>
      </c>
      <c r="C103" s="4" t="str">
        <f>IFERROR(__xludf.DUMMYFUNCTION("""COMPUTED_VALUE"""),"plumbing contractors installation")</f>
        <v>plumbing contractors installation</v>
      </c>
      <c r="D103" s="4" t="str">
        <f>IFERROR(__xludf.DUMMYFUNCTION("""COMPUTED_VALUE"""),"licensed plumbing contractors")</f>
        <v>licensed plumbing contractors</v>
      </c>
      <c r="E103" s="28" t="str">
        <f>IFERROR(__xludf.DUMMYFUNCTION("""COMPUTED_VALUE"""),"kitchen plumbing repair call out")</f>
        <v>kitchen plumbing repair call out</v>
      </c>
      <c r="F103" s="4" t="str">
        <f>IFERROR(__xludf.DUMMYFUNCTION("""COMPUTED_VALUE"""),"near me emergency plumber")</f>
        <v>near me emergency plumber</v>
      </c>
      <c r="G103" s="4" t="str">
        <f>IFERROR(__xludf.DUMMYFUNCTION("""COMPUTED_VALUE"""),"geyser repair affordable")</f>
        <v>geyser repair affordable</v>
      </c>
      <c r="H103" s="4" t="str">
        <f>IFERROR(__xludf.DUMMYFUNCTION("""COMPUTED_VALUE"""),"near me water leak detection")</f>
        <v>near me water leak detection</v>
      </c>
      <c r="I103" s="4" t="str">
        <f>IFERROR(__xludf.DUMMYFUNCTION("""COMPUTED_VALUE"""),"electrical repairs affordable")</f>
        <v>electrical repairs affordable</v>
      </c>
      <c r="J103" s="4" t="str">
        <f>IFERROR(__xludf.DUMMYFUNCTION("""COMPUTED_VALUE"""),"installation residential electrician")</f>
        <v>installation residential electrician</v>
      </c>
      <c r="K103" s="4" t="str">
        <f>IFERROR(__xludf.DUMMYFUNCTION("""COMPUTED_VALUE"""),"cold room repair best")</f>
        <v>cold room repair best</v>
      </c>
      <c r="L103" s="4" t="str">
        <f>IFERROR(__xludf.DUMMYFUNCTION("""COMPUTED_VALUE"""),"local cold room repair")</f>
        <v>local cold room repair</v>
      </c>
      <c r="M103" s="4" t="str">
        <f>IFERROR(__xludf.DUMMYFUNCTION("""COMPUTED_VALUE"""),"leak detection body corporate")</f>
        <v>leak detection body corporate</v>
      </c>
      <c r="N103" s="4" t="str">
        <f>IFERROR(__xludf.DUMMYFUNCTION("""COMPUTED_VALUE"""),"house drain cleaning")</f>
        <v>house drain cleaning</v>
      </c>
      <c r="O103" s="4" t="str">
        <f>IFERROR(__xludf.DUMMYFUNCTION("""COMPUTED_VALUE"""),"electrician cape town licensed")</f>
        <v>electrician cape town licensed</v>
      </c>
      <c r="P103" s="4" t="str">
        <f>IFERROR(__xludf.DUMMYFUNCTION("""COMPUTED_VALUE"""),"local aircon repair cape town")</f>
        <v>local aircon repair cape town</v>
      </c>
      <c r="Q103" s="4" t="str">
        <f>IFERROR(__xludf.DUMMYFUNCTION("""COMPUTED_VALUE"""),"geyser repair same day help for")</f>
        <v>geyser repair same day help for</v>
      </c>
      <c r="R103" s="4" t="str">
        <f>IFERROR(__xludf.DUMMYFUNCTION("""COMPUTED_VALUE"""),"near me for blocked drain")</f>
        <v>near me for blocked drain</v>
      </c>
      <c r="S103" s="4"/>
      <c r="T103" s="4" t="str">
        <f>IFERROR(__xludf.DUMMYFUNCTION("""COMPUTED_VALUE"""),"affordable plumbing inspection")</f>
        <v>affordable plumbing inspection</v>
      </c>
      <c r="U103" s="4"/>
      <c r="V103" s="4"/>
      <c r="W103" s="4"/>
      <c r="X103" s="4"/>
      <c r="Y103" s="4"/>
      <c r="Z103" s="4"/>
    </row>
    <row r="104" ht="15.75" customHeight="1">
      <c r="A104" s="4" t="str">
        <f>IFERROR(__xludf.DUMMYFUNCTION("""COMPUTED_VALUE"""),"emergency plumber Woodstock")</f>
        <v>emergency plumber Woodstock</v>
      </c>
      <c r="B104" s="4" t="str">
        <f>IFERROR(__xludf.DUMMYFUNCTION("""COMPUTED_VALUE"""),"Hout Bay electrician")</f>
        <v>Hout Bay electrician</v>
      </c>
      <c r="C104" s="4" t="str">
        <f>IFERROR(__xludf.DUMMYFUNCTION("""COMPUTED_VALUE"""),"plumbing contractors licensed")</f>
        <v>plumbing contractors licensed</v>
      </c>
      <c r="D104" s="4" t="str">
        <f>IFERROR(__xludf.DUMMYFUNCTION("""COMPUTED_VALUE"""),"licensed plumbing inspection")</f>
        <v>licensed plumbing inspection</v>
      </c>
      <c r="E104" s="28" t="str">
        <f>IFERROR(__xludf.DUMMYFUNCTION("""COMPUTED_VALUE"""),"kitchen plumbing repair cape town")</f>
        <v>kitchen plumbing repair cape town</v>
      </c>
      <c r="F104" s="4" t="str">
        <f>IFERROR(__xludf.DUMMYFUNCTION("""COMPUTED_VALUE"""),"near me kitchen plumbing repair")</f>
        <v>near me kitchen plumbing repair</v>
      </c>
      <c r="G104" s="4" t="str">
        <f>IFERROR(__xludf.DUMMYFUNCTION("""COMPUTED_VALUE"""),"geyser repair best")</f>
        <v>geyser repair best</v>
      </c>
      <c r="H104" s="4" t="str">
        <f>IFERROR(__xludf.DUMMYFUNCTION("""COMPUTED_VALUE"""),"pipe repair")</f>
        <v>pipe repair</v>
      </c>
      <c r="I104" s="4" t="str">
        <f>IFERROR(__xludf.DUMMYFUNCTION("""COMPUTED_VALUE"""),"electrical repairs call out")</f>
        <v>electrical repairs call out</v>
      </c>
      <c r="J104" s="4" t="str">
        <f>IFERROR(__xludf.DUMMYFUNCTION("""COMPUTED_VALUE"""),"licensed commercial electrician")</f>
        <v>licensed commercial electrician</v>
      </c>
      <c r="K104" s="4" t="str">
        <f>IFERROR(__xludf.DUMMYFUNCTION("""COMPUTED_VALUE"""),"cold room repair cape town")</f>
        <v>cold room repair cape town</v>
      </c>
      <c r="L104" s="4" t="str">
        <f>IFERROR(__xludf.DUMMYFUNCTION("""COMPUTED_VALUE"""),"local commercial refrigeration")</f>
        <v>local commercial refrigeration</v>
      </c>
      <c r="M104" s="4" t="str">
        <f>IFERROR(__xludf.DUMMYFUNCTION("""COMPUTED_VALUE"""),"leak detection building")</f>
        <v>leak detection building</v>
      </c>
      <c r="N104" s="4" t="str">
        <f>IFERROR(__xludf.DUMMYFUNCTION("""COMPUTED_VALUE"""),"house electrical repairs")</f>
        <v>house electrical repairs</v>
      </c>
      <c r="O104" s="4" t="str">
        <f>IFERROR(__xludf.DUMMYFUNCTION("""COMPUTED_VALUE"""),"electrician cape town local")</f>
        <v>electrician cape town local</v>
      </c>
      <c r="P104" s="4" t="str">
        <f>IFERROR(__xludf.DUMMYFUNCTION("""COMPUTED_VALUE"""),"local bosman plumbers")</f>
        <v>local bosman plumbers</v>
      </c>
      <c r="Q104" s="4" t="str">
        <f>IFERROR(__xludf.DUMMYFUNCTION("""COMPUTED_VALUE"""),"geyser repair signs you need")</f>
        <v>geyser repair signs you need</v>
      </c>
      <c r="R104" s="4" t="str">
        <f>IFERROR(__xludf.DUMMYFUNCTION("""COMPUTED_VALUE"""),"near me for burst pipe")</f>
        <v>near me for burst pipe</v>
      </c>
      <c r="S104" s="4"/>
      <c r="T104" s="4" t="str">
        <f>IFERROR(__xludf.DUMMYFUNCTION("""COMPUTED_VALUE"""),"affordable plumbing installation")</f>
        <v>affordable plumbing installation</v>
      </c>
      <c r="U104" s="4"/>
      <c r="V104" s="4"/>
      <c r="W104" s="4"/>
      <c r="X104" s="4"/>
      <c r="Y104" s="4"/>
      <c r="Z104" s="4"/>
    </row>
    <row r="105" ht="15.75" customHeight="1">
      <c r="A105" s="4" t="str">
        <f>IFERROR(__xludf.DUMMYFUNCTION("""COMPUTED_VALUE"""),"emergency plumber Wynberg")</f>
        <v>emergency plumber Wynberg</v>
      </c>
      <c r="B105" s="4" t="str">
        <f>IFERROR(__xludf.DUMMYFUNCTION("""COMPUTED_VALUE"""),"Hout Bay emergency plumber")</f>
        <v>Hout Bay emergency plumber</v>
      </c>
      <c r="C105" s="4" t="str">
        <f>IFERROR(__xludf.DUMMYFUNCTION("""COMPUTED_VALUE"""),"plumbing contractors local")</f>
        <v>plumbing contractors local</v>
      </c>
      <c r="D105" s="4" t="str">
        <f>IFERROR(__xludf.DUMMYFUNCTION("""COMPUTED_VALUE"""),"licensed plumbing installation")</f>
        <v>licensed plumbing installation</v>
      </c>
      <c r="E105" s="28" t="str">
        <f>IFERROR(__xludf.DUMMYFUNCTION("""COMPUTED_VALUE"""),"kitchen plumbing repair commercial")</f>
        <v>kitchen plumbing repair commercial</v>
      </c>
      <c r="F105" s="4" t="str">
        <f>IFERROR(__xludf.DUMMYFUNCTION("""COMPUTED_VALUE"""),"near me leaking pipe repair")</f>
        <v>near me leaking pipe repair</v>
      </c>
      <c r="G105" s="4" t="str">
        <f>IFERROR(__xludf.DUMMYFUNCTION("""COMPUTED_VALUE"""),"geyser repair cape town")</f>
        <v>geyser repair cape town</v>
      </c>
      <c r="H105" s="4" t="str">
        <f>IFERROR(__xludf.DUMMYFUNCTION("""COMPUTED_VALUE"""),"plumber blocked drain")</f>
        <v>plumber blocked drain</v>
      </c>
      <c r="I105" s="4" t="str">
        <f>IFERROR(__xludf.DUMMYFUNCTION("""COMPUTED_VALUE"""),"electrical repairs cape town")</f>
        <v>electrical repairs cape town</v>
      </c>
      <c r="J105" s="4" t="str">
        <f>IFERROR(__xludf.DUMMYFUNCTION("""COMPUTED_VALUE"""),"licensed electrical compliance certificate")</f>
        <v>licensed electrical compliance certificate</v>
      </c>
      <c r="K105" s="4" t="str">
        <f>IFERROR(__xludf.DUMMYFUNCTION("""COMPUTED_VALUE"""),"cold room repair commercial")</f>
        <v>cold room repair commercial</v>
      </c>
      <c r="L105" s="4" t="str">
        <f>IFERROR(__xludf.DUMMYFUNCTION("""COMPUTED_VALUE"""),"local fridge repair")</f>
        <v>local fridge repair</v>
      </c>
      <c r="M105" s="4" t="str">
        <f>IFERROR(__xludf.DUMMYFUNCTION("""COMPUTED_VALUE"""),"leak detection business")</f>
        <v>leak detection business</v>
      </c>
      <c r="N105" s="4" t="str">
        <f>IFERROR(__xludf.DUMMYFUNCTION("""COMPUTED_VALUE"""),"house emergency plumbing")</f>
        <v>house emergency plumbing</v>
      </c>
      <c r="O105" s="4" t="str">
        <f>IFERROR(__xludf.DUMMYFUNCTION("""COMPUTED_VALUE"""),"electrician cape town near me")</f>
        <v>electrician cape town near me</v>
      </c>
      <c r="P105" s="4" t="str">
        <f>IFERROR(__xludf.DUMMYFUNCTION("""COMPUTED_VALUE"""),"local drain surgeon cape town")</f>
        <v>local drain surgeon cape town</v>
      </c>
      <c r="Q105" s="4" t="str">
        <f>IFERROR(__xludf.DUMMYFUNCTION("""COMPUTED_VALUE"""),"geyser repair what causes")</f>
        <v>geyser repair what causes</v>
      </c>
      <c r="R105" s="4" t="str">
        <f>IFERROR(__xludf.DUMMYFUNCTION("""COMPUTED_VALUE"""),"near me for electrical COC")</f>
        <v>near me for electrical COC</v>
      </c>
      <c r="S105" s="4"/>
      <c r="T105" s="4" t="str">
        <f>IFERROR(__xludf.DUMMYFUNCTION("""COMPUTED_VALUE"""),"affordable plumbing repairs")</f>
        <v>affordable plumbing repairs</v>
      </c>
      <c r="U105" s="4"/>
      <c r="V105" s="4"/>
      <c r="W105" s="4"/>
      <c r="X105" s="4"/>
      <c r="Y105" s="4"/>
      <c r="Z105" s="4"/>
    </row>
    <row r="106" ht="15.75" customHeight="1">
      <c r="A106" s="4" t="str">
        <f>IFERROR(__xludf.DUMMYFUNCTION("""COMPUTED_VALUE"""),"geyser repair Atlantic Seaboard")</f>
        <v>geyser repair Atlantic Seaboard</v>
      </c>
      <c r="B106" s="4" t="str">
        <f>IFERROR(__xludf.DUMMYFUNCTION("""COMPUTED_VALUE"""),"Hout Bay geyser repair")</f>
        <v>Hout Bay geyser repair</v>
      </c>
      <c r="C106" s="4" t="str">
        <f>IFERROR(__xludf.DUMMYFUNCTION("""COMPUTED_VALUE"""),"plumbing contractors maintenance")</f>
        <v>plumbing contractors maintenance</v>
      </c>
      <c r="D106" s="4" t="str">
        <f>IFERROR(__xludf.DUMMYFUNCTION("""COMPUTED_VALUE"""),"licensed plumbing repairs")</f>
        <v>licensed plumbing repairs</v>
      </c>
      <c r="E106" s="28" t="str">
        <f>IFERROR(__xludf.DUMMYFUNCTION("""COMPUTED_VALUE"""),"kitchen plumbing repair company")</f>
        <v>kitchen plumbing repair company</v>
      </c>
      <c r="F106" s="4" t="str">
        <f>IFERROR(__xludf.DUMMYFUNCTION("""COMPUTED_VALUE"""),"near me leaking tap repair")</f>
        <v>near me leaking tap repair</v>
      </c>
      <c r="G106" s="4" t="str">
        <f>IFERROR(__xludf.DUMMYFUNCTION("""COMPUTED_VALUE"""),"geyser repair CCTV")</f>
        <v>geyser repair CCTV</v>
      </c>
      <c r="H106" s="4" t="str">
        <f>IFERROR(__xludf.DUMMYFUNCTION("""COMPUTED_VALUE"""),"plumber burst geyser")</f>
        <v>plumber burst geyser</v>
      </c>
      <c r="I106" s="4" t="str">
        <f>IFERROR(__xludf.DUMMYFUNCTION("""COMPUTED_VALUE"""),"electrical repairs COC")</f>
        <v>electrical repairs COC</v>
      </c>
      <c r="J106" s="4" t="str">
        <f>IFERROR(__xludf.DUMMYFUNCTION("""COMPUTED_VALUE"""),"licensed electrical contractor")</f>
        <v>licensed electrical contractor</v>
      </c>
      <c r="K106" s="4" t="str">
        <f>IFERROR(__xludf.DUMMYFUNCTION("""COMPUTED_VALUE"""),"cold room repair company")</f>
        <v>cold room repair company</v>
      </c>
      <c r="L106" s="4" t="str">
        <f>IFERROR(__xludf.DUMMYFUNCTION("""COMPUTED_VALUE"""),"local HVAC services")</f>
        <v>local HVAC services</v>
      </c>
      <c r="M106" s="4" t="str">
        <f>IFERROR(__xludf.DUMMYFUNCTION("""COMPUTED_VALUE"""),"leak detection commercial property")</f>
        <v>leak detection commercial property</v>
      </c>
      <c r="N106" s="4" t="str">
        <f>IFERROR(__xludf.DUMMYFUNCTION("""COMPUTED_VALUE"""),"house geyser repairs")</f>
        <v>house geyser repairs</v>
      </c>
      <c r="O106" s="4" t="str">
        <f>IFERROR(__xludf.DUMMYFUNCTION("""COMPUTED_VALUE"""),"electrician cape town prices")</f>
        <v>electrician cape town prices</v>
      </c>
      <c r="P106" s="4" t="str">
        <f>IFERROR(__xludf.DUMMYFUNCTION("""COMPUTED_VALUE"""),"local electrician cape town")</f>
        <v>local electrician cape town</v>
      </c>
      <c r="Q106" s="4" t="str">
        <f>IFERROR(__xludf.DUMMYFUNCTION("""COMPUTED_VALUE"""),"geyser repair what is")</f>
        <v>geyser repair what is</v>
      </c>
      <c r="R106" s="4" t="str">
        <f>IFERROR(__xludf.DUMMYFUNCTION("""COMPUTED_VALUE"""),"near me for emergency plumber")</f>
        <v>near me for emergency plumber</v>
      </c>
      <c r="S106" s="4"/>
      <c r="T106" s="4" t="str">
        <f>IFERROR(__xludf.DUMMYFUNCTION("""COMPUTED_VALUE"""),"affordable plumbing services")</f>
        <v>affordable plumbing services</v>
      </c>
      <c r="U106" s="4"/>
      <c r="V106" s="4"/>
      <c r="W106" s="4"/>
      <c r="X106" s="4"/>
      <c r="Y106" s="4"/>
      <c r="Z106" s="4"/>
    </row>
    <row r="107" ht="15.75" customHeight="1">
      <c r="A107" s="4" t="str">
        <f>IFERROR(__xludf.DUMMYFUNCTION("""COMPUTED_VALUE"""),"geyser repair Bellville")</f>
        <v>geyser repair Bellville</v>
      </c>
      <c r="B107" s="4" t="str">
        <f>IFERROR(__xludf.DUMMYFUNCTION("""COMPUTED_VALUE"""),"Hout Bay leak detection plumber")</f>
        <v>Hout Bay leak detection plumber</v>
      </c>
      <c r="C107" s="4" t="str">
        <f>IFERROR(__xludf.DUMMYFUNCTION("""COMPUTED_VALUE"""),"plumbing contractors near me")</f>
        <v>plumbing contractors near me</v>
      </c>
      <c r="D107" s="4" t="str">
        <f>IFERROR(__xludf.DUMMYFUNCTION("""COMPUTED_VALUE"""),"licensed plumbing services")</f>
        <v>licensed plumbing services</v>
      </c>
      <c r="E107" s="28" t="str">
        <f>IFERROR(__xludf.DUMMYFUNCTION("""COMPUTED_VALUE"""),"kitchen plumbing repair cost")</f>
        <v>kitchen plumbing repair cost</v>
      </c>
      <c r="F107" s="4" t="str">
        <f>IFERROR(__xludf.DUMMYFUNCTION("""COMPUTED_VALUE"""),"near me toilet repair")</f>
        <v>near me toilet repair</v>
      </c>
      <c r="G107" s="4" t="str">
        <f>IFERROR(__xludf.DUMMYFUNCTION("""COMPUTED_VALUE"""),"geyser repair commercial")</f>
        <v>geyser repair commercial</v>
      </c>
      <c r="H107" s="4" t="str">
        <f>IFERROR(__xludf.DUMMYFUNCTION("""COMPUTED_VALUE"""),"plumber drain cleaning")</f>
        <v>plumber drain cleaning</v>
      </c>
      <c r="I107" s="4" t="str">
        <f>IFERROR(__xludf.DUMMYFUNCTION("""COMPUTED_VALUE"""),"electrical repairs company")</f>
        <v>electrical repairs company</v>
      </c>
      <c r="J107" s="4" t="str">
        <f>IFERROR(__xludf.DUMMYFUNCTION("""COMPUTED_VALUE"""),"licensed electrical installation")</f>
        <v>licensed electrical installation</v>
      </c>
      <c r="K107" s="4" t="str">
        <f>IFERROR(__xludf.DUMMYFUNCTION("""COMPUTED_VALUE"""),"cold room repair contractor")</f>
        <v>cold room repair contractor</v>
      </c>
      <c r="L107" s="4" t="str">
        <f>IFERROR(__xludf.DUMMYFUNCTION("""COMPUTED_VALUE"""),"local refrigeration repair")</f>
        <v>local refrigeration repair</v>
      </c>
      <c r="M107" s="4" t="str">
        <f>IFERROR(__xludf.DUMMYFUNCTION("""COMPUTED_VALUE"""),"leak detection estate agent")</f>
        <v>leak detection estate agent</v>
      </c>
      <c r="N107" s="4" t="str">
        <f>IFERROR(__xludf.DUMMYFUNCTION("""COMPUTED_VALUE"""),"house leak detection")</f>
        <v>house leak detection</v>
      </c>
      <c r="O107" s="4" t="str">
        <f>IFERROR(__xludf.DUMMYFUNCTION("""COMPUTED_VALUE"""),"electrician cape town qualified")</f>
        <v>electrician cape town qualified</v>
      </c>
      <c r="P107" s="4" t="str">
        <f>IFERROR(__xludf.DUMMYFUNCTION("""COMPUTED_VALUE"""),"local emergency plumber cape town")</f>
        <v>local emergency plumber cape town</v>
      </c>
      <c r="Q107" s="4" t="str">
        <f>IFERROR(__xludf.DUMMYFUNCTION("""COMPUTED_VALUE"""),"geyser repair when to call a")</f>
        <v>geyser repair when to call a</v>
      </c>
      <c r="R107" s="4" t="str">
        <f>IFERROR(__xludf.DUMMYFUNCTION("""COMPUTED_VALUE"""),"near me for geyser repair")</f>
        <v>near me for geyser repair</v>
      </c>
      <c r="S107" s="4"/>
      <c r="T107" s="4" t="str">
        <f>IFERROR(__xludf.DUMMYFUNCTION("""COMPUTED_VALUE"""),"affordable refrigeration repair")</f>
        <v>affordable refrigeration repair</v>
      </c>
      <c r="U107" s="4"/>
      <c r="V107" s="4"/>
      <c r="W107" s="4"/>
      <c r="X107" s="4"/>
      <c r="Y107" s="4"/>
      <c r="Z107" s="4"/>
    </row>
    <row r="108" ht="15.75" customHeight="1">
      <c r="A108" s="4" t="str">
        <f>IFERROR(__xludf.DUMMYFUNCTION("""COMPUTED_VALUE"""),"geyser repair Camps Bay")</f>
        <v>geyser repair Camps Bay</v>
      </c>
      <c r="B108" s="4" t="str">
        <f>IFERROR(__xludf.DUMMYFUNCTION("""COMPUTED_VALUE"""),"Hout Bay plumber")</f>
        <v>Hout Bay plumber</v>
      </c>
      <c r="C108" s="4" t="str">
        <f>IFERROR(__xludf.DUMMYFUNCTION("""COMPUTED_VALUE"""),"plumbing contractors professional")</f>
        <v>plumbing contractors professional</v>
      </c>
      <c r="D108" s="4" t="str">
        <f>IFERROR(__xludf.DUMMYFUNCTION("""COMPUTED_VALUE"""),"licensed residential plumber")</f>
        <v>licensed residential plumber</v>
      </c>
      <c r="E108" s="28" t="str">
        <f>IFERROR(__xludf.DUMMYFUNCTION("""COMPUTED_VALUE"""),"kitchen plumbing repair emergency")</f>
        <v>kitchen plumbing repair emergency</v>
      </c>
      <c r="F108" s="4" t="str">
        <f>IFERROR(__xludf.DUMMYFUNCTION("""COMPUTED_VALUE"""),"near me water leak repair")</f>
        <v>near me water leak repair</v>
      </c>
      <c r="G108" s="4" t="str">
        <f>IFERROR(__xludf.DUMMYFUNCTION("""COMPUTED_VALUE"""),"geyser repair cost")</f>
        <v>geyser repair cost</v>
      </c>
      <c r="H108" s="4" t="str">
        <f>IFERROR(__xludf.DUMMYFUNCTION("""COMPUTED_VALUE"""),"plumber drain inspection")</f>
        <v>plumber drain inspection</v>
      </c>
      <c r="I108" s="4" t="str">
        <f>IFERROR(__xludf.DUMMYFUNCTION("""COMPUTED_VALUE"""),"electrical repairs contractor")</f>
        <v>electrical repairs contractor</v>
      </c>
      <c r="J108" s="4" t="str">
        <f>IFERROR(__xludf.DUMMYFUNCTION("""COMPUTED_VALUE"""),"licensed electrical maintenance")</f>
        <v>licensed electrical maintenance</v>
      </c>
      <c r="K108" s="4" t="str">
        <f>IFERROR(__xludf.DUMMYFUNCTION("""COMPUTED_VALUE"""),"cold room repair cost")</f>
        <v>cold room repair cost</v>
      </c>
      <c r="L108" s="4" t="str">
        <f>IFERROR(__xludf.DUMMYFUNCTION("""COMPUTED_VALUE"""),"maintenance air conditioning")</f>
        <v>maintenance air conditioning</v>
      </c>
      <c r="M108" s="4" t="str">
        <f>IFERROR(__xludf.DUMMYFUNCTION("""COMPUTED_VALUE"""),"leak detection flat")</f>
        <v>leak detection flat</v>
      </c>
      <c r="N108" s="4" t="str">
        <f>IFERROR(__xludf.DUMMYFUNCTION("""COMPUTED_VALUE"""),"house maintenance plumber")</f>
        <v>house maintenance plumber</v>
      </c>
      <c r="O108" s="4" t="str">
        <f>IFERROR(__xludf.DUMMYFUNCTION("""COMPUTED_VALUE"""),"electrician cape town quote")</f>
        <v>electrician cape town quote</v>
      </c>
      <c r="P108" s="4" t="str">
        <f>IFERROR(__xludf.DUMMYFUNCTION("""COMPUTED_VALUE"""),"local plumber near me")</f>
        <v>local plumber near me</v>
      </c>
      <c r="Q108" s="4" t="str">
        <f>IFERROR(__xludf.DUMMYFUNCTION("""COMPUTED_VALUE"""),"geyser repair who fixes")</f>
        <v>geyser repair who fixes</v>
      </c>
      <c r="R108" s="4" t="str">
        <f>IFERROR(__xludf.DUMMYFUNCTION("""COMPUTED_VALUE"""),"near me for leak detection")</f>
        <v>near me for leak detection</v>
      </c>
      <c r="S108" s="4"/>
      <c r="T108" s="4" t="str">
        <f>IFERROR(__xludf.DUMMYFUNCTION("""COMPUTED_VALUE"""),"affordable residential electrician")</f>
        <v>affordable residential electrician</v>
      </c>
      <c r="U108" s="4"/>
      <c r="V108" s="4"/>
      <c r="W108" s="4"/>
      <c r="X108" s="4"/>
      <c r="Y108" s="4"/>
      <c r="Z108" s="4"/>
    </row>
    <row r="109" ht="15.75" customHeight="1">
      <c r="A109" s="4" t="str">
        <f>IFERROR(__xludf.DUMMYFUNCTION("""COMPUTED_VALUE"""),"geyser repair Cape Town")</f>
        <v>geyser repair Cape Town</v>
      </c>
      <c r="B109" s="4" t="str">
        <f>IFERROR(__xludf.DUMMYFUNCTION("""COMPUTED_VALUE"""),"Hout Bay plumbers")</f>
        <v>Hout Bay plumbers</v>
      </c>
      <c r="C109" s="4" t="str">
        <f>IFERROR(__xludf.DUMMYFUNCTION("""COMPUTED_VALUE"""),"plumbing contractors qualified")</f>
        <v>plumbing contractors qualified</v>
      </c>
      <c r="D109" s="4" t="str">
        <f>IFERROR(__xludf.DUMMYFUNCTION("""COMPUTED_VALUE"""),"local commercial plumber")</f>
        <v>local commercial plumber</v>
      </c>
      <c r="E109" s="28" t="str">
        <f>IFERROR(__xludf.DUMMYFUNCTION("""COMPUTED_VALUE"""),"kitchen plumbing repair fast")</f>
        <v>kitchen plumbing repair fast</v>
      </c>
      <c r="F109" s="4" t="str">
        <f>IFERROR(__xludf.DUMMYFUNCTION("""COMPUTED_VALUE"""),"plumber bathroom plumbing repair")</f>
        <v>plumber bathroom plumbing repair</v>
      </c>
      <c r="G109" s="4" t="str">
        <f>IFERROR(__xludf.DUMMYFUNCTION("""COMPUTED_VALUE"""),"geyser repair emergency")</f>
        <v>geyser repair emergency</v>
      </c>
      <c r="H109" s="4" t="str">
        <f>IFERROR(__xludf.DUMMYFUNCTION("""COMPUTED_VALUE"""),"plumber drain unblocking")</f>
        <v>plumber drain unblocking</v>
      </c>
      <c r="I109" s="4" t="str">
        <f>IFERROR(__xludf.DUMMYFUNCTION("""COMPUTED_VALUE"""),"electrical repairs cost")</f>
        <v>electrical repairs cost</v>
      </c>
      <c r="J109" s="4" t="str">
        <f>IFERROR(__xludf.DUMMYFUNCTION("""COMPUTED_VALUE"""),"licensed electrical repairs")</f>
        <v>licensed electrical repairs</v>
      </c>
      <c r="K109" s="4" t="str">
        <f>IFERROR(__xludf.DUMMYFUNCTION("""COMPUTED_VALUE"""),"cold room repair emergency")</f>
        <v>cold room repair emergency</v>
      </c>
      <c r="L109" s="4" t="str">
        <f>IFERROR(__xludf.DUMMYFUNCTION("""COMPUTED_VALUE"""),"maintenance air conditioning repair")</f>
        <v>maintenance air conditioning repair</v>
      </c>
      <c r="M109" s="4" t="str">
        <f>IFERROR(__xludf.DUMMYFUNCTION("""COMPUTED_VALUE"""),"leak detection guesthouse")</f>
        <v>leak detection guesthouse</v>
      </c>
      <c r="N109" s="4" t="str">
        <f>IFERROR(__xludf.DUMMYFUNCTION("""COMPUTED_VALUE"""),"house plumbing company")</f>
        <v>house plumbing company</v>
      </c>
      <c r="O109" s="4" t="str">
        <f>IFERROR(__xludf.DUMMYFUNCTION("""COMPUTED_VALUE"""),"electrician cape town reliable")</f>
        <v>electrician cape town reliable</v>
      </c>
      <c r="P109" s="4" t="str">
        <f>IFERROR(__xludf.DUMMYFUNCTION("""COMPUTED_VALUE"""),"local plumbers cape town")</f>
        <v>local plumbers cape town</v>
      </c>
      <c r="Q109" s="4" t="str">
        <f>IFERROR(__xludf.DUMMYFUNCTION("""COMPUTED_VALUE"""),"geyser repair why is my")</f>
        <v>geyser repair why is my</v>
      </c>
      <c r="R109" s="4" t="str">
        <f>IFERROR(__xludf.DUMMYFUNCTION("""COMPUTED_VALUE"""),"near me for plumber cost")</f>
        <v>near me for plumber cost</v>
      </c>
      <c r="S109" s="4"/>
      <c r="T109" s="4" t="str">
        <f>IFERROR(__xludf.DUMMYFUNCTION("""COMPUTED_VALUE"""),"affordable residential plumber")</f>
        <v>affordable residential plumber</v>
      </c>
      <c r="U109" s="4"/>
      <c r="V109" s="4"/>
      <c r="W109" s="4"/>
      <c r="X109" s="4"/>
      <c r="Y109" s="4"/>
      <c r="Z109" s="4"/>
    </row>
    <row r="110" ht="15.75" customHeight="1">
      <c r="A110" s="4" t="str">
        <f>IFERROR(__xludf.DUMMYFUNCTION("""COMPUTED_VALUE"""),"geyser repair Cape Town CBD")</f>
        <v>geyser repair Cape Town CBD</v>
      </c>
      <c r="B110" s="4" t="str">
        <f>IFERROR(__xludf.DUMMYFUNCTION("""COMPUTED_VALUE"""),"Hout Bay plumbing company")</f>
        <v>Hout Bay plumbing company</v>
      </c>
      <c r="C110" s="4" t="str">
        <f>IFERROR(__xludf.DUMMYFUNCTION("""COMPUTED_VALUE"""),"plumbing contractors quote")</f>
        <v>plumbing contractors quote</v>
      </c>
      <c r="D110" s="4" t="str">
        <f>IFERROR(__xludf.DUMMYFUNCTION("""COMPUTED_VALUE"""),"local maintenance plumber")</f>
        <v>local maintenance plumber</v>
      </c>
      <c r="E110" s="28" t="str">
        <f>IFERROR(__xludf.DUMMYFUNCTION("""COMPUTED_VALUE"""),"kitchen plumbing repair local")</f>
        <v>kitchen plumbing repair local</v>
      </c>
      <c r="F110" s="4" t="str">
        <f>IFERROR(__xludf.DUMMYFUNCTION("""COMPUTED_VALUE"""),"plumber burst pipe repair")</f>
        <v>plumber burst pipe repair</v>
      </c>
      <c r="G110" s="4" t="str">
        <f>IFERROR(__xludf.DUMMYFUNCTION("""COMPUTED_VALUE"""),"geyser repair high pressure jetting")</f>
        <v>geyser repair high pressure jetting</v>
      </c>
      <c r="H110" s="4" t="str">
        <f>IFERROR(__xludf.DUMMYFUNCTION("""COMPUTED_VALUE"""),"plumber geyser repair")</f>
        <v>plumber geyser repair</v>
      </c>
      <c r="I110" s="4" t="str">
        <f>IFERROR(__xludf.DUMMYFUNCTION("""COMPUTED_VALUE"""),"electrical repairs emergency")</f>
        <v>electrical repairs emergency</v>
      </c>
      <c r="J110" s="4" t="str">
        <f>IFERROR(__xludf.DUMMYFUNCTION("""COMPUTED_VALUE"""),"licensed electrical services")</f>
        <v>licensed electrical services</v>
      </c>
      <c r="K110" s="4" t="str">
        <f>IFERROR(__xludf.DUMMYFUNCTION("""COMPUTED_VALUE"""),"cold room repair installation")</f>
        <v>cold room repair installation</v>
      </c>
      <c r="L110" s="4" t="str">
        <f>IFERROR(__xludf.DUMMYFUNCTION("""COMPUTED_VALUE"""),"maintenance aircon installation")</f>
        <v>maintenance aircon installation</v>
      </c>
      <c r="M110" s="4" t="str">
        <f>IFERROR(__xludf.DUMMYFUNCTION("""COMPUTED_VALUE"""),"leak detection home")</f>
        <v>leak detection home</v>
      </c>
      <c r="N110" s="4" t="str">
        <f>IFERROR(__xludf.DUMMYFUNCTION("""COMPUTED_VALUE"""),"house plumbing services")</f>
        <v>house plumbing services</v>
      </c>
      <c r="O110" s="4" t="str">
        <f>IFERROR(__xludf.DUMMYFUNCTION("""COMPUTED_VALUE"""),"electrician cape town reputable")</f>
        <v>electrician cape town reputable</v>
      </c>
      <c r="P110" s="4" t="str">
        <f>IFERROR(__xludf.DUMMYFUNCTION("""COMPUTED_VALUE"""),"local plumbing company cape town")</f>
        <v>local plumbing company cape town</v>
      </c>
      <c r="Q110" s="4" t="str">
        <f>IFERROR(__xludf.DUMMYFUNCTION("""COMPUTED_VALUE"""),"leak detection best way to fix")</f>
        <v>leak detection best way to fix</v>
      </c>
      <c r="R110" s="4" t="str">
        <f>IFERROR(__xludf.DUMMYFUNCTION("""COMPUTED_VALUE"""),"near me for plumbing maintenance")</f>
        <v>near me for plumbing maintenance</v>
      </c>
      <c r="S110" s="4"/>
      <c r="T110" s="4" t="str">
        <f>IFERROR(__xludf.DUMMYFUNCTION("""COMPUTED_VALUE"""),"affordable schmidhauser plumbing")</f>
        <v>affordable schmidhauser plumbing</v>
      </c>
      <c r="U110" s="4"/>
      <c r="V110" s="4"/>
      <c r="W110" s="4"/>
      <c r="X110" s="4"/>
      <c r="Y110" s="4"/>
      <c r="Z110" s="4"/>
    </row>
    <row r="111" ht="15.75" customHeight="1">
      <c r="A111" s="4" t="str">
        <f>IFERROR(__xludf.DUMMYFUNCTION("""COMPUTED_VALUE"""),"geyser repair Claremont")</f>
        <v>geyser repair Claremont</v>
      </c>
      <c r="B111" s="4" t="str">
        <f>IFERROR(__xludf.DUMMYFUNCTION("""COMPUTED_VALUE"""),"Hout Bay refrigeration services")</f>
        <v>Hout Bay refrigeration services</v>
      </c>
      <c r="C111" s="4" t="str">
        <f>IFERROR(__xludf.DUMMYFUNCTION("""COMPUTED_VALUE"""),"plumbing contractors reliable")</f>
        <v>plumbing contractors reliable</v>
      </c>
      <c r="D111" s="4" t="str">
        <f>IFERROR(__xludf.DUMMYFUNCTION("""COMPUTED_VALUE"""),"local plumber cape town")</f>
        <v>local plumber cape town</v>
      </c>
      <c r="E111" s="28" t="str">
        <f>IFERROR(__xludf.DUMMYFUNCTION("""COMPUTED_VALUE"""),"kitchen plumbing repair near me")</f>
        <v>kitchen plumbing repair near me</v>
      </c>
      <c r="F111" s="4" t="str">
        <f>IFERROR(__xludf.DUMMYFUNCTION("""COMPUTED_VALUE"""),"plumber kitchen plumbing repair")</f>
        <v>plumber kitchen plumbing repair</v>
      </c>
      <c r="G111" s="4" t="str">
        <f>IFERROR(__xludf.DUMMYFUNCTION("""COMPUTED_VALUE"""),"geyser repair installation")</f>
        <v>geyser repair installation</v>
      </c>
      <c r="H111" s="4" t="str">
        <f>IFERROR(__xludf.DUMMYFUNCTION("""COMPUTED_VALUE"""),"plumber geyser replacement")</f>
        <v>plumber geyser replacement</v>
      </c>
      <c r="I111" s="4" t="str">
        <f>IFERROR(__xludf.DUMMYFUNCTION("""COMPUTED_VALUE"""),"electrical repairs inspection")</f>
        <v>electrical repairs inspection</v>
      </c>
      <c r="J111" s="4" t="str">
        <f>IFERROR(__xludf.DUMMYFUNCTION("""COMPUTED_VALUE"""),"licensed electrician cape town")</f>
        <v>licensed electrician cape town</v>
      </c>
      <c r="K111" s="4" t="str">
        <f>IFERROR(__xludf.DUMMYFUNCTION("""COMPUTED_VALUE"""),"cold room repair local")</f>
        <v>cold room repair local</v>
      </c>
      <c r="L111" s="4" t="str">
        <f>IFERROR(__xludf.DUMMYFUNCTION("""COMPUTED_VALUE"""),"maintenance aircon repair")</f>
        <v>maintenance aircon repair</v>
      </c>
      <c r="M111" s="4" t="str">
        <f>IFERROR(__xludf.DUMMYFUNCTION("""COMPUTED_VALUE"""),"leak detection hotel")</f>
        <v>leak detection hotel</v>
      </c>
      <c r="N111" s="4" t="str">
        <f>IFERROR(__xludf.DUMMYFUNCTION("""COMPUTED_VALUE"""),"house refrigeration services")</f>
        <v>house refrigeration services</v>
      </c>
      <c r="O111" s="4" t="str">
        <f>IFERROR(__xludf.DUMMYFUNCTION("""COMPUTED_VALUE"""),"electrician cape town review")</f>
        <v>electrician cape town review</v>
      </c>
      <c r="P111" s="4" t="str">
        <f>IFERROR(__xludf.DUMMYFUNCTION("""COMPUTED_VALUE"""),"local schmidhauser plumbing")</f>
        <v>local schmidhauser plumbing</v>
      </c>
      <c r="Q111" s="4" t="str">
        <f>IFERROR(__xludf.DUMMYFUNCTION("""COMPUTED_VALUE"""),"leak detection can a plumber fix")</f>
        <v>leak detection can a plumber fix</v>
      </c>
      <c r="R111" s="4" t="str">
        <f>IFERROR(__xludf.DUMMYFUNCTION("""COMPUTED_VALUE"""),"near me for refrigeration repair")</f>
        <v>near me for refrigeration repair</v>
      </c>
      <c r="S111" s="4"/>
      <c r="T111" s="4" t="str">
        <f>IFERROR(__xludf.DUMMYFUNCTION("""COMPUTED_VALUE"""),"affordable water leak detection")</f>
        <v>affordable water leak detection</v>
      </c>
      <c r="U111" s="4"/>
      <c r="V111" s="4"/>
      <c r="W111" s="4"/>
      <c r="X111" s="4"/>
      <c r="Y111" s="4"/>
      <c r="Z111" s="4"/>
    </row>
    <row r="112" ht="15.75" customHeight="1">
      <c r="A112" s="4" t="str">
        <f>IFERROR(__xludf.DUMMYFUNCTION("""COMPUTED_VALUE"""),"geyser repair Constantia")</f>
        <v>geyser repair Constantia</v>
      </c>
      <c r="B112" s="4" t="str">
        <f>IFERROR(__xludf.DUMMYFUNCTION("""COMPUTED_VALUE"""),"Maitland aircon repairs")</f>
        <v>Maitland aircon repairs</v>
      </c>
      <c r="C112" s="4" t="str">
        <f>IFERROR(__xludf.DUMMYFUNCTION("""COMPUTED_VALUE"""),"plumbing contractors repair")</f>
        <v>plumbing contractors repair</v>
      </c>
      <c r="D112" s="4" t="str">
        <f>IFERROR(__xludf.DUMMYFUNCTION("""COMPUTED_VALUE"""),"local plumbing company")</f>
        <v>local plumbing company</v>
      </c>
      <c r="E112" s="28" t="str">
        <f>IFERROR(__xludf.DUMMYFUNCTION("""COMPUTED_VALUE"""),"kitchen plumbing repair plumber")</f>
        <v>kitchen plumbing repair plumber</v>
      </c>
      <c r="F112" s="4" t="str">
        <f>IFERROR(__xludf.DUMMYFUNCTION("""COMPUTED_VALUE"""),"plumber leaking pipe repair")</f>
        <v>plumber leaking pipe repair</v>
      </c>
      <c r="G112" s="4" t="str">
        <f>IFERROR(__xludf.DUMMYFUNCTION("""COMPUTED_VALUE"""),"geyser repair near me")</f>
        <v>geyser repair near me</v>
      </c>
      <c r="H112" s="4" t="str">
        <f>IFERROR(__xludf.DUMMYFUNCTION("""COMPUTED_VALUE"""),"plumber leak detection")</f>
        <v>plumber leak detection</v>
      </c>
      <c r="I112" s="4" t="str">
        <f>IFERROR(__xludf.DUMMYFUNCTION("""COMPUTED_VALUE"""),"electrical repairs installation")</f>
        <v>electrical repairs installation</v>
      </c>
      <c r="J112" s="4" t="str">
        <f>IFERROR(__xludf.DUMMYFUNCTION("""COMPUTED_VALUE"""),"licensed emergency electrician")</f>
        <v>licensed emergency electrician</v>
      </c>
      <c r="K112" s="4" t="str">
        <f>IFERROR(__xludf.DUMMYFUNCTION("""COMPUTED_VALUE"""),"cold room repair maintenance")</f>
        <v>cold room repair maintenance</v>
      </c>
      <c r="L112" s="4" t="str">
        <f>IFERROR(__xludf.DUMMYFUNCTION("""COMPUTED_VALUE"""),"maintenance aircon service")</f>
        <v>maintenance aircon service</v>
      </c>
      <c r="M112" s="4" t="str">
        <f>IFERROR(__xludf.DUMMYFUNCTION("""COMPUTED_VALUE"""),"leak detection house")</f>
        <v>leak detection house</v>
      </c>
      <c r="N112" s="4" t="str">
        <f>IFERROR(__xludf.DUMMYFUNCTION("""COMPUTED_VALUE"""),"landlord air conditioning services")</f>
        <v>landlord air conditioning services</v>
      </c>
      <c r="O112" s="4" t="str">
        <f>IFERROR(__xludf.DUMMYFUNCTION("""COMPUTED_VALUE"""),"electrician cape town reviews")</f>
        <v>electrician cape town reviews</v>
      </c>
      <c r="P112" s="4" t="str">
        <f>IFERROR(__xludf.DUMMYFUNCTION("""COMPUTED_VALUE"""),"near me absolute plumbing cape town")</f>
        <v>near me absolute plumbing cape town</v>
      </c>
      <c r="Q112" s="4" t="str">
        <f>IFERROR(__xludf.DUMMYFUNCTION("""COMPUTED_VALUE"""),"leak detection cost of")</f>
        <v>leak detection cost of</v>
      </c>
      <c r="R112" s="4" t="str">
        <f>IFERROR(__xludf.DUMMYFUNCTION("""COMPUTED_VALUE"""),"same day help for aircon service")</f>
        <v>same day help for aircon service</v>
      </c>
      <c r="S112" s="4"/>
      <c r="T112" s="4" t="str">
        <f>IFERROR(__xludf.DUMMYFUNCTION("""COMPUTED_VALUE"""),"after hours 24 hour plumber")</f>
        <v>after hours 24 hour plumber</v>
      </c>
      <c r="U112" s="4"/>
      <c r="V112" s="4"/>
      <c r="W112" s="4"/>
      <c r="X112" s="4"/>
      <c r="Y112" s="4"/>
      <c r="Z112" s="4"/>
    </row>
    <row r="113" ht="15.75" customHeight="1">
      <c r="A113" s="4" t="str">
        <f>IFERROR(__xludf.DUMMYFUNCTION("""COMPUTED_VALUE"""),"geyser repair Durbanville")</f>
        <v>geyser repair Durbanville</v>
      </c>
      <c r="B113" s="4" t="str">
        <f>IFERROR(__xludf.DUMMYFUNCTION("""COMPUTED_VALUE"""),"Maitland blocked drain plumber")</f>
        <v>Maitland blocked drain plumber</v>
      </c>
      <c r="C113" s="4" t="str">
        <f>IFERROR(__xludf.DUMMYFUNCTION("""COMPUTED_VALUE"""),"plumbing contractors same day")</f>
        <v>plumbing contractors same day</v>
      </c>
      <c r="D113" s="4" t="str">
        <f>IFERROR(__xludf.DUMMYFUNCTION("""COMPUTED_VALUE"""),"local plumbing contractors")</f>
        <v>local plumbing contractors</v>
      </c>
      <c r="E113" s="28" t="str">
        <f>IFERROR(__xludf.DUMMYFUNCTION("""COMPUTED_VALUE"""),"kitchen plumbing repair professional")</f>
        <v>kitchen plumbing repair professional</v>
      </c>
      <c r="F113" s="4" t="str">
        <f>IFERROR(__xludf.DUMMYFUNCTION("""COMPUTED_VALUE"""),"plumber leaking tap repair")</f>
        <v>plumber leaking tap repair</v>
      </c>
      <c r="G113" s="4" t="str">
        <f>IFERROR(__xludf.DUMMYFUNCTION("""COMPUTED_VALUE"""),"geyser repair plumber")</f>
        <v>geyser repair plumber</v>
      </c>
      <c r="H113" s="4" t="str">
        <f>IFERROR(__xludf.DUMMYFUNCTION("""COMPUTED_VALUE"""),"plumber pipe repair")</f>
        <v>plumber pipe repair</v>
      </c>
      <c r="I113" s="4" t="str">
        <f>IFERROR(__xludf.DUMMYFUNCTION("""COMPUTED_VALUE"""),"electrical repairs licensed")</f>
        <v>electrical repairs licensed</v>
      </c>
      <c r="J113" s="4" t="str">
        <f>IFERROR(__xludf.DUMMYFUNCTION("""COMPUTED_VALUE"""),"licensed residential electrician")</f>
        <v>licensed residential electrician</v>
      </c>
      <c r="K113" s="4" t="str">
        <f>IFERROR(__xludf.DUMMYFUNCTION("""COMPUTED_VALUE"""),"cold room repair near me")</f>
        <v>cold room repair near me</v>
      </c>
      <c r="L113" s="4" t="str">
        <f>IFERROR(__xludf.DUMMYFUNCTION("""COMPUTED_VALUE"""),"maintenance cold room repair")</f>
        <v>maintenance cold room repair</v>
      </c>
      <c r="M113" s="4" t="str">
        <f>IFERROR(__xludf.DUMMYFUNCTION("""COMPUTED_VALUE"""),"leak detection landlord")</f>
        <v>leak detection landlord</v>
      </c>
      <c r="N113" s="4" t="str">
        <f>IFERROR(__xludf.DUMMYFUNCTION("""COMPUTED_VALUE"""),"landlord drain cleaning")</f>
        <v>landlord drain cleaning</v>
      </c>
      <c r="O113" s="4" t="str">
        <f>IFERROR(__xludf.DUMMYFUNCTION("""COMPUTED_VALUE"""),"electrician cape town same day")</f>
        <v>electrician cape town same day</v>
      </c>
      <c r="P113" s="4" t="str">
        <f>IFERROR(__xludf.DUMMYFUNCTION("""COMPUTED_VALUE"""),"near me aircon repair cape town")</f>
        <v>near me aircon repair cape town</v>
      </c>
      <c r="Q113" s="4" t="str">
        <f>IFERROR(__xludf.DUMMYFUNCTION("""COMPUTED_VALUE"""),"leak detection do I need")</f>
        <v>leak detection do I need</v>
      </c>
      <c r="R113" s="4" t="str">
        <f>IFERROR(__xludf.DUMMYFUNCTION("""COMPUTED_VALUE"""),"same day help for blocked drain")</f>
        <v>same day help for blocked drain</v>
      </c>
      <c r="S113" s="4"/>
      <c r="T113" s="4" t="str">
        <f>IFERROR(__xludf.DUMMYFUNCTION("""COMPUTED_VALUE"""),"after hours bathroom plumbing repair")</f>
        <v>after hours bathroom plumbing repair</v>
      </c>
      <c r="U113" s="4"/>
      <c r="V113" s="4"/>
      <c r="W113" s="4"/>
      <c r="X113" s="4"/>
      <c r="Y113" s="4"/>
      <c r="Z113" s="4"/>
    </row>
    <row r="114" ht="15.75" customHeight="1">
      <c r="A114" s="4" t="str">
        <f>IFERROR(__xludf.DUMMYFUNCTION("""COMPUTED_VALUE"""),"geyser repair Fish Hoek")</f>
        <v>geyser repair Fish Hoek</v>
      </c>
      <c r="B114" s="4" t="str">
        <f>IFERROR(__xludf.DUMMYFUNCTION("""COMPUTED_VALUE"""),"Maitland electrician")</f>
        <v>Maitland electrician</v>
      </c>
      <c r="C114" s="4" t="str">
        <f>IFERROR(__xludf.DUMMYFUNCTION("""COMPUTED_VALUE"""),"plumbing contractors service")</f>
        <v>plumbing contractors service</v>
      </c>
      <c r="D114" s="4" t="str">
        <f>IFERROR(__xludf.DUMMYFUNCTION("""COMPUTED_VALUE"""),"local plumbing inspection")</f>
        <v>local plumbing inspection</v>
      </c>
      <c r="E114" s="28" t="str">
        <f>IFERROR(__xludf.DUMMYFUNCTION("""COMPUTED_VALUE"""),"kitchen plumbing repair quote")</f>
        <v>kitchen plumbing repair quote</v>
      </c>
      <c r="F114" s="4" t="str">
        <f>IFERROR(__xludf.DUMMYFUNCTION("""COMPUTED_VALUE"""),"plumber toilet repair")</f>
        <v>plumber toilet repair</v>
      </c>
      <c r="G114" s="4" t="str">
        <f>IFERROR(__xludf.DUMMYFUNCTION("""COMPUTED_VALUE"""),"geyser repair plumbing company")</f>
        <v>geyser repair plumbing company</v>
      </c>
      <c r="H114" s="4" t="str">
        <f>IFERROR(__xludf.DUMMYFUNCTION("""COMPUTED_VALUE"""),"plumber water leak detection")</f>
        <v>plumber water leak detection</v>
      </c>
      <c r="I114" s="4" t="str">
        <f>IFERROR(__xludf.DUMMYFUNCTION("""COMPUTED_VALUE"""),"electrical repairs local")</f>
        <v>electrical repairs local</v>
      </c>
      <c r="J114" s="4" t="str">
        <f>IFERROR(__xludf.DUMMYFUNCTION("""COMPUTED_VALUE"""),"local commercial electrician")</f>
        <v>local commercial electrician</v>
      </c>
      <c r="K114" s="4" t="str">
        <f>IFERROR(__xludf.DUMMYFUNCTION("""COMPUTED_VALUE"""),"cold room repair professional")</f>
        <v>cold room repair professional</v>
      </c>
      <c r="L114" s="4" t="str">
        <f>IFERROR(__xludf.DUMMYFUNCTION("""COMPUTED_VALUE"""),"maintenance commercial refrigeration")</f>
        <v>maintenance commercial refrigeration</v>
      </c>
      <c r="M114" s="4" t="str">
        <f>IFERROR(__xludf.DUMMYFUNCTION("""COMPUTED_VALUE"""),"leak detection office")</f>
        <v>leak detection office</v>
      </c>
      <c r="N114" s="4" t="str">
        <f>IFERROR(__xludf.DUMMYFUNCTION("""COMPUTED_VALUE"""),"landlord electrical repairs")</f>
        <v>landlord electrical repairs</v>
      </c>
      <c r="O114" s="4" t="str">
        <f>IFERROR(__xludf.DUMMYFUNCTION("""COMPUTED_VALUE"""),"electrician cape town top rated")</f>
        <v>electrician cape town top rated</v>
      </c>
      <c r="P114" s="4" t="str">
        <f>IFERROR(__xludf.DUMMYFUNCTION("""COMPUTED_VALUE"""),"near me bosman plumbers")</f>
        <v>near me bosman plumbers</v>
      </c>
      <c r="Q114" s="4" t="str">
        <f>IFERROR(__xludf.DUMMYFUNCTION("""COMPUTED_VALUE"""),"leak detection emergency help for")</f>
        <v>leak detection emergency help for</v>
      </c>
      <c r="R114" s="4" t="str">
        <f>IFERROR(__xludf.DUMMYFUNCTION("""COMPUTED_VALUE"""),"same day help for burst pipe")</f>
        <v>same day help for burst pipe</v>
      </c>
      <c r="S114" s="4"/>
      <c r="T114" s="4" t="str">
        <f>IFERROR(__xludf.DUMMYFUNCTION("""COMPUTED_VALUE"""),"after hours blocked toilet plumber")</f>
        <v>after hours blocked toilet plumber</v>
      </c>
      <c r="U114" s="4"/>
      <c r="V114" s="4"/>
      <c r="W114" s="4"/>
      <c r="X114" s="4"/>
      <c r="Y114" s="4"/>
      <c r="Z114" s="4"/>
    </row>
    <row r="115" ht="15.75" customHeight="1">
      <c r="A115" s="4" t="str">
        <f>IFERROR(__xludf.DUMMYFUNCTION("""COMPUTED_VALUE"""),"geyser repair Green Point")</f>
        <v>geyser repair Green Point</v>
      </c>
      <c r="B115" s="4" t="str">
        <f>IFERROR(__xludf.DUMMYFUNCTION("""COMPUTED_VALUE"""),"Maitland emergency plumber")</f>
        <v>Maitland emergency plumber</v>
      </c>
      <c r="C115" s="4" t="str">
        <f>IFERROR(__xludf.DUMMYFUNCTION("""COMPUTED_VALUE"""),"plumbing contractors top rated")</f>
        <v>plumbing contractors top rated</v>
      </c>
      <c r="D115" s="4" t="str">
        <f>IFERROR(__xludf.DUMMYFUNCTION("""COMPUTED_VALUE"""),"local plumbing installation")</f>
        <v>local plumbing installation</v>
      </c>
      <c r="E115" s="28" t="str">
        <f>IFERROR(__xludf.DUMMYFUNCTION("""COMPUTED_VALUE"""),"kitchen plumbing repair reliable")</f>
        <v>kitchen plumbing repair reliable</v>
      </c>
      <c r="F115" s="4" t="str">
        <f>IFERROR(__xludf.DUMMYFUNCTION("""COMPUTED_VALUE"""),"plumber water leak repair")</f>
        <v>plumber water leak repair</v>
      </c>
      <c r="G115" s="4" t="str">
        <f>IFERROR(__xludf.DUMMYFUNCTION("""COMPUTED_VALUE"""),"geyser repair quote")</f>
        <v>geyser repair quote</v>
      </c>
      <c r="H115" s="4" t="str">
        <f>IFERROR(__xludf.DUMMYFUNCTION("""COMPUTED_VALUE"""),"plumbing company blocked drain")</f>
        <v>plumbing company blocked drain</v>
      </c>
      <c r="I115" s="4" t="str">
        <f>IFERROR(__xludf.DUMMYFUNCTION("""COMPUTED_VALUE"""),"electrical repairs near me")</f>
        <v>electrical repairs near me</v>
      </c>
      <c r="J115" s="4" t="str">
        <f>IFERROR(__xludf.DUMMYFUNCTION("""COMPUTED_VALUE"""),"local electrical compliance certificate")</f>
        <v>local electrical compliance certificate</v>
      </c>
      <c r="K115" s="4" t="str">
        <f>IFERROR(__xludf.DUMMYFUNCTION("""COMPUTED_VALUE"""),"cold room repair quote")</f>
        <v>cold room repair quote</v>
      </c>
      <c r="L115" s="4" t="str">
        <f>IFERROR(__xludf.DUMMYFUNCTION("""COMPUTED_VALUE"""),"maintenance fridge repair")</f>
        <v>maintenance fridge repair</v>
      </c>
      <c r="M115" s="4" t="str">
        <f>IFERROR(__xludf.DUMMYFUNCTION("""COMPUTED_VALUE"""),"leak detection property manager")</f>
        <v>leak detection property manager</v>
      </c>
      <c r="N115" s="4" t="str">
        <f>IFERROR(__xludf.DUMMYFUNCTION("""COMPUTED_VALUE"""),"landlord emergency plumbing")</f>
        <v>landlord emergency plumbing</v>
      </c>
      <c r="O115" s="4" t="str">
        <f>IFERROR(__xludf.DUMMYFUNCTION("""COMPUTED_VALUE"""),"electrician cape town trusted")</f>
        <v>electrician cape town trusted</v>
      </c>
      <c r="P115" s="4" t="str">
        <f>IFERROR(__xludf.DUMMYFUNCTION("""COMPUTED_VALUE"""),"near me drain surgeon cape town")</f>
        <v>near me drain surgeon cape town</v>
      </c>
      <c r="Q115" s="4" t="str">
        <f>IFERROR(__xludf.DUMMYFUNCTION("""COMPUTED_VALUE"""),"leak detection how long does")</f>
        <v>leak detection how long does</v>
      </c>
      <c r="R115" s="4" t="str">
        <f>IFERROR(__xludf.DUMMYFUNCTION("""COMPUTED_VALUE"""),"same day help for electrical COC")</f>
        <v>same day help for electrical COC</v>
      </c>
      <c r="S115" s="4"/>
      <c r="T115" s="4" t="str">
        <f>IFERROR(__xludf.DUMMYFUNCTION("""COMPUTED_VALUE"""),"after hours burst pipe repair")</f>
        <v>after hours burst pipe repair</v>
      </c>
      <c r="U115" s="4"/>
      <c r="V115" s="4"/>
      <c r="W115" s="4"/>
      <c r="X115" s="4"/>
      <c r="Y115" s="4"/>
      <c r="Z115" s="4"/>
    </row>
    <row r="116" ht="15.75" customHeight="1">
      <c r="A116" s="4" t="str">
        <f>IFERROR(__xludf.DUMMYFUNCTION("""COMPUTED_VALUE"""),"geyser repair Hout Bay")</f>
        <v>geyser repair Hout Bay</v>
      </c>
      <c r="B116" s="4" t="str">
        <f>IFERROR(__xludf.DUMMYFUNCTION("""COMPUTED_VALUE"""),"Maitland geyser repair")</f>
        <v>Maitland geyser repair</v>
      </c>
      <c r="C116" s="4" t="str">
        <f>IFERROR(__xludf.DUMMYFUNCTION("""COMPUTED_VALUE"""),"plumbing contractors trusted")</f>
        <v>plumbing contractors trusted</v>
      </c>
      <c r="D116" s="4" t="str">
        <f>IFERROR(__xludf.DUMMYFUNCTION("""COMPUTED_VALUE"""),"local plumbing repairs")</f>
        <v>local plumbing repairs</v>
      </c>
      <c r="E116" s="28" t="str">
        <f>IFERROR(__xludf.DUMMYFUNCTION("""COMPUTED_VALUE"""),"kitchen plumbing repair residential")</f>
        <v>kitchen plumbing repair residential</v>
      </c>
      <c r="F116" s="4" t="str">
        <f>IFERROR(__xludf.DUMMYFUNCTION("""COMPUTED_VALUE"""),"professional 24 hour plumber")</f>
        <v>professional 24 hour plumber</v>
      </c>
      <c r="G116" s="4" t="str">
        <f>IFERROR(__xludf.DUMMYFUNCTION("""COMPUTED_VALUE"""),"geyser repair reliable")</f>
        <v>geyser repair reliable</v>
      </c>
      <c r="H116" s="4" t="str">
        <f>IFERROR(__xludf.DUMMYFUNCTION("""COMPUTED_VALUE"""),"plumbing company burst geyser")</f>
        <v>plumbing company burst geyser</v>
      </c>
      <c r="I116" s="4" t="str">
        <f>IFERROR(__xludf.DUMMYFUNCTION("""COMPUTED_VALUE"""),"electrical repairs professional")</f>
        <v>electrical repairs professional</v>
      </c>
      <c r="J116" s="4" t="str">
        <f>IFERROR(__xludf.DUMMYFUNCTION("""COMPUTED_VALUE"""),"local electrical contractor")</f>
        <v>local electrical contractor</v>
      </c>
      <c r="K116" s="4" t="str">
        <f>IFERROR(__xludf.DUMMYFUNCTION("""COMPUTED_VALUE"""),"cold room repair reliable")</f>
        <v>cold room repair reliable</v>
      </c>
      <c r="L116" s="4" t="str">
        <f>IFERROR(__xludf.DUMMYFUNCTION("""COMPUTED_VALUE"""),"maintenance HVAC services")</f>
        <v>maintenance HVAC services</v>
      </c>
      <c r="M116" s="4" t="str">
        <f>IFERROR(__xludf.DUMMYFUNCTION("""COMPUTED_VALUE"""),"leak detection residential property")</f>
        <v>leak detection residential property</v>
      </c>
      <c r="N116" s="4" t="str">
        <f>IFERROR(__xludf.DUMMYFUNCTION("""COMPUTED_VALUE"""),"landlord geyser repairs")</f>
        <v>landlord geyser repairs</v>
      </c>
      <c r="O116" s="4" t="str">
        <f>IFERROR(__xludf.DUMMYFUNCTION("""COMPUTED_VALUE"""),"electrician cape town vs")</f>
        <v>electrician cape town vs</v>
      </c>
      <c r="P116" s="4" t="str">
        <f>IFERROR(__xludf.DUMMYFUNCTION("""COMPUTED_VALUE"""),"near me electrician cape town")</f>
        <v>near me electrician cape town</v>
      </c>
      <c r="Q116" s="4" t="str">
        <f>IFERROR(__xludf.DUMMYFUNCTION("""COMPUTED_VALUE"""),"leak detection how much does")</f>
        <v>leak detection how much does</v>
      </c>
      <c r="R116" s="4" t="str">
        <f>IFERROR(__xludf.DUMMYFUNCTION("""COMPUTED_VALUE"""),"same day help for emergency plumber")</f>
        <v>same day help for emergency plumber</v>
      </c>
      <c r="S116" s="4"/>
      <c r="T116" s="4" t="str">
        <f>IFERROR(__xludf.DUMMYFUNCTION("""COMPUTED_VALUE"""),"after hours commercial plumber")</f>
        <v>after hours commercial plumber</v>
      </c>
      <c r="U116" s="4"/>
      <c r="V116" s="4"/>
      <c r="W116" s="4"/>
      <c r="X116" s="4"/>
      <c r="Y116" s="4"/>
      <c r="Z116" s="4"/>
    </row>
    <row r="117" ht="15.75" customHeight="1">
      <c r="A117" s="4" t="str">
        <f>IFERROR(__xludf.DUMMYFUNCTION("""COMPUTED_VALUE"""),"geyser repair Maitland")</f>
        <v>geyser repair Maitland</v>
      </c>
      <c r="B117" s="4" t="str">
        <f>IFERROR(__xludf.DUMMYFUNCTION("""COMPUTED_VALUE"""),"Maitland leak detection plumber")</f>
        <v>Maitland leak detection plumber</v>
      </c>
      <c r="C117" s="4" t="str">
        <f>IFERROR(__xludf.DUMMYFUNCTION("""COMPUTED_VALUE"""),"plumbing inspection 24 hour")</f>
        <v>plumbing inspection 24 hour</v>
      </c>
      <c r="D117" s="4" t="str">
        <f>IFERROR(__xludf.DUMMYFUNCTION("""COMPUTED_VALUE"""),"local plumbing services")</f>
        <v>local plumbing services</v>
      </c>
      <c r="E117" s="28" t="str">
        <f>IFERROR(__xludf.DUMMYFUNCTION("""COMPUTED_VALUE"""),"kitchen plumbing repair same day")</f>
        <v>kitchen plumbing repair same day</v>
      </c>
      <c r="F117" s="4" t="str">
        <f>IFERROR(__xludf.DUMMYFUNCTION("""COMPUTED_VALUE"""),"professional bathroom plumbing repair")</f>
        <v>professional bathroom plumbing repair</v>
      </c>
      <c r="G117" s="4" t="str">
        <f>IFERROR(__xludf.DUMMYFUNCTION("""COMPUTED_VALUE"""),"geyser repair replacement")</f>
        <v>geyser repair replacement</v>
      </c>
      <c r="H117" s="4" t="str">
        <f>IFERROR(__xludf.DUMMYFUNCTION("""COMPUTED_VALUE"""),"plumbing company drain cleaning")</f>
        <v>plumbing company drain cleaning</v>
      </c>
      <c r="I117" s="4" t="str">
        <f>IFERROR(__xludf.DUMMYFUNCTION("""COMPUTED_VALUE"""),"electrical repairs qualified")</f>
        <v>electrical repairs qualified</v>
      </c>
      <c r="J117" s="4" t="str">
        <f>IFERROR(__xludf.DUMMYFUNCTION("""COMPUTED_VALUE"""),"local electrical installation")</f>
        <v>local electrical installation</v>
      </c>
      <c r="K117" s="4" t="str">
        <f>IFERROR(__xludf.DUMMYFUNCTION("""COMPUTED_VALUE"""),"cold room repair residential")</f>
        <v>cold room repair residential</v>
      </c>
      <c r="L117" s="4" t="str">
        <f>IFERROR(__xludf.DUMMYFUNCTION("""COMPUTED_VALUE"""),"maintenance refrigeration repair")</f>
        <v>maintenance refrigeration repair</v>
      </c>
      <c r="M117" s="4" t="str">
        <f>IFERROR(__xludf.DUMMYFUNCTION("""COMPUTED_VALUE"""),"leak detection restaurant")</f>
        <v>leak detection restaurant</v>
      </c>
      <c r="N117" s="4" t="str">
        <f>IFERROR(__xludf.DUMMYFUNCTION("""COMPUTED_VALUE"""),"landlord leak detection")</f>
        <v>landlord leak detection</v>
      </c>
      <c r="O117" s="4" t="str">
        <f>IFERROR(__xludf.DUMMYFUNCTION("""COMPUTED_VALUE"""),"emergency plumber cape town 24 hour")</f>
        <v>emergency plumber cape town 24 hour</v>
      </c>
      <c r="P117" s="4" t="str">
        <f>IFERROR(__xludf.DUMMYFUNCTION("""COMPUTED_VALUE"""),"near me emergency plumber cape town")</f>
        <v>near me emergency plumber cape town</v>
      </c>
      <c r="Q117" s="4" t="str">
        <f>IFERROR(__xludf.DUMMYFUNCTION("""COMPUTED_VALUE"""),"leak detection how to choose")</f>
        <v>leak detection how to choose</v>
      </c>
      <c r="R117" s="4" t="str">
        <f>IFERROR(__xludf.DUMMYFUNCTION("""COMPUTED_VALUE"""),"same day help for geyser repair")</f>
        <v>same day help for geyser repair</v>
      </c>
      <c r="S117" s="4"/>
      <c r="T117" s="4" t="str">
        <f>IFERROR(__xludf.DUMMYFUNCTION("""COMPUTED_VALUE"""),"after hours emergency plumber")</f>
        <v>after hours emergency plumber</v>
      </c>
      <c r="U117" s="4"/>
      <c r="V117" s="4"/>
      <c r="W117" s="4"/>
      <c r="X117" s="4"/>
      <c r="Y117" s="4"/>
      <c r="Z117" s="4"/>
    </row>
    <row r="118" ht="15.75" customHeight="1">
      <c r="A118" s="4" t="str">
        <f>IFERROR(__xludf.DUMMYFUNCTION("""COMPUTED_VALUE"""),"geyser repair Milnerton")</f>
        <v>geyser repair Milnerton</v>
      </c>
      <c r="B118" s="4" t="str">
        <f>IFERROR(__xludf.DUMMYFUNCTION("""COMPUTED_VALUE"""),"Maitland plumber")</f>
        <v>Maitland plumber</v>
      </c>
      <c r="C118" s="4" t="str">
        <f>IFERROR(__xludf.DUMMYFUNCTION("""COMPUTED_VALUE"""),"plumbing inspection affordable")</f>
        <v>plumbing inspection affordable</v>
      </c>
      <c r="D118" s="4" t="str">
        <f>IFERROR(__xludf.DUMMYFUNCTION("""COMPUTED_VALUE"""),"local residential plumber")</f>
        <v>local residential plumber</v>
      </c>
      <c r="E118" s="28" t="str">
        <f>IFERROR(__xludf.DUMMYFUNCTION("""COMPUTED_VALUE"""),"kitchen plumbing repair service")</f>
        <v>kitchen plumbing repair service</v>
      </c>
      <c r="F118" s="4" t="str">
        <f>IFERROR(__xludf.DUMMYFUNCTION("""COMPUTED_VALUE"""),"professional blocked toilet plumber")</f>
        <v>professional blocked toilet plumber</v>
      </c>
      <c r="G118" s="4" t="str">
        <f>IFERROR(__xludf.DUMMYFUNCTION("""COMPUTED_VALUE"""),"geyser repair residential")</f>
        <v>geyser repair residential</v>
      </c>
      <c r="H118" s="4" t="str">
        <f>IFERROR(__xludf.DUMMYFUNCTION("""COMPUTED_VALUE"""),"plumbing company drain inspection")</f>
        <v>plumbing company drain inspection</v>
      </c>
      <c r="I118" s="4" t="str">
        <f>IFERROR(__xludf.DUMMYFUNCTION("""COMPUTED_VALUE"""),"electrical repairs quote")</f>
        <v>electrical repairs quote</v>
      </c>
      <c r="J118" s="4" t="str">
        <f>IFERROR(__xludf.DUMMYFUNCTION("""COMPUTED_VALUE"""),"local electrical maintenance")</f>
        <v>local electrical maintenance</v>
      </c>
      <c r="K118" s="4" t="str">
        <f>IFERROR(__xludf.DUMMYFUNCTION("""COMPUTED_VALUE"""),"cold room repair same day")</f>
        <v>cold room repair same day</v>
      </c>
      <c r="L118" s="4" t="str">
        <f>IFERROR(__xludf.DUMMYFUNCTION("""COMPUTED_VALUE"""),"near me air conditioning")</f>
        <v>near me air conditioning</v>
      </c>
      <c r="M118" s="4" t="str">
        <f>IFERROR(__xludf.DUMMYFUNCTION("""COMPUTED_VALUE"""),"leak detection school")</f>
        <v>leak detection school</v>
      </c>
      <c r="N118" s="4" t="str">
        <f>IFERROR(__xludf.DUMMYFUNCTION("""COMPUTED_VALUE"""),"landlord maintenance plumber")</f>
        <v>landlord maintenance plumber</v>
      </c>
      <c r="O118" s="4" t="str">
        <f>IFERROR(__xludf.DUMMYFUNCTION("""COMPUTED_VALUE"""),"emergency plumber cape town affordable")</f>
        <v>emergency plumber cape town affordable</v>
      </c>
      <c r="P118" s="4" t="str">
        <f>IFERROR(__xludf.DUMMYFUNCTION("""COMPUTED_VALUE"""),"near me plumbers cape town")</f>
        <v>near me plumbers cape town</v>
      </c>
      <c r="Q118" s="4" t="str">
        <f>IFERROR(__xludf.DUMMYFUNCTION("""COMPUTED_VALUE"""),"leak detection how to prevent")</f>
        <v>leak detection how to prevent</v>
      </c>
      <c r="R118" s="4" t="str">
        <f>IFERROR(__xludf.DUMMYFUNCTION("""COMPUTED_VALUE"""),"same day help for leak detection")</f>
        <v>same day help for leak detection</v>
      </c>
      <c r="S118" s="4"/>
      <c r="T118" s="4" t="str">
        <f>IFERROR(__xludf.DUMMYFUNCTION("""COMPUTED_VALUE"""),"after hours kitchen plumbing repair")</f>
        <v>after hours kitchen plumbing repair</v>
      </c>
      <c r="U118" s="4"/>
      <c r="V118" s="4"/>
      <c r="W118" s="4"/>
      <c r="X118" s="4"/>
      <c r="Y118" s="4"/>
      <c r="Z118" s="4"/>
    </row>
    <row r="119" ht="15.75" customHeight="1">
      <c r="A119" s="4" t="str">
        <f>IFERROR(__xludf.DUMMYFUNCTION("""COMPUTED_VALUE"""),"geyser repair Muizenberg")</f>
        <v>geyser repair Muizenberg</v>
      </c>
      <c r="B119" s="4" t="str">
        <f>IFERROR(__xludf.DUMMYFUNCTION("""COMPUTED_VALUE"""),"Maitland plumbers")</f>
        <v>Maitland plumbers</v>
      </c>
      <c r="C119" s="4" t="str">
        <f>IFERROR(__xludf.DUMMYFUNCTION("""COMPUTED_VALUE"""),"plumbing inspection after hours")</f>
        <v>plumbing inspection after hours</v>
      </c>
      <c r="D119" s="4" t="str">
        <f>IFERROR(__xludf.DUMMYFUNCTION("""COMPUTED_VALUE"""),"maintenance commercial plumber")</f>
        <v>maintenance commercial plumber</v>
      </c>
      <c r="E119" s="28" t="str">
        <f>IFERROR(__xludf.DUMMYFUNCTION("""COMPUTED_VALUE"""),"kitchen plumbing repair urgent")</f>
        <v>kitchen plumbing repair urgent</v>
      </c>
      <c r="F119" s="4" t="str">
        <f>IFERROR(__xludf.DUMMYFUNCTION("""COMPUTED_VALUE"""),"professional burst pipe repair")</f>
        <v>professional burst pipe repair</v>
      </c>
      <c r="G119" s="4" t="str">
        <f>IFERROR(__xludf.DUMMYFUNCTION("""COMPUTED_VALUE"""),"geyser repair same day")</f>
        <v>geyser repair same day</v>
      </c>
      <c r="H119" s="4" t="str">
        <f>IFERROR(__xludf.DUMMYFUNCTION("""COMPUTED_VALUE"""),"plumbing company drain unblocking")</f>
        <v>plumbing company drain unblocking</v>
      </c>
      <c r="I119" s="4" t="str">
        <f>IFERROR(__xludf.DUMMYFUNCTION("""COMPUTED_VALUE"""),"electrical repairs reliable")</f>
        <v>electrical repairs reliable</v>
      </c>
      <c r="J119" s="4" t="str">
        <f>IFERROR(__xludf.DUMMYFUNCTION("""COMPUTED_VALUE"""),"local electrical repairs")</f>
        <v>local electrical repairs</v>
      </c>
      <c r="K119" s="4" t="str">
        <f>IFERROR(__xludf.DUMMYFUNCTION("""COMPUTED_VALUE"""),"cold room repair service")</f>
        <v>cold room repair service</v>
      </c>
      <c r="L119" s="4" t="str">
        <f>IFERROR(__xludf.DUMMYFUNCTION("""COMPUTED_VALUE"""),"near me air conditioning repair")</f>
        <v>near me air conditioning repair</v>
      </c>
      <c r="M119" s="4" t="str">
        <f>IFERROR(__xludf.DUMMYFUNCTION("""COMPUTED_VALUE"""),"leak detection shop")</f>
        <v>leak detection shop</v>
      </c>
      <c r="N119" s="4" t="str">
        <f>IFERROR(__xludf.DUMMYFUNCTION("""COMPUTED_VALUE"""),"landlord plumbing company")</f>
        <v>landlord plumbing company</v>
      </c>
      <c r="O119" s="4" t="str">
        <f>IFERROR(__xludf.DUMMYFUNCTION("""COMPUTED_VALUE"""),"emergency plumber cape town alternatives")</f>
        <v>emergency plumber cape town alternatives</v>
      </c>
      <c r="P119" s="4" t="str">
        <f>IFERROR(__xludf.DUMMYFUNCTION("""COMPUTED_VALUE"""),"near me plumbing company cape town")</f>
        <v>near me plumbing company cape town</v>
      </c>
      <c r="Q119" s="4" t="str">
        <f>IFERROR(__xludf.DUMMYFUNCTION("""COMPUTED_VALUE"""),"leak detection is it safe to")</f>
        <v>leak detection is it safe to</v>
      </c>
      <c r="R119" s="4" t="str">
        <f>IFERROR(__xludf.DUMMYFUNCTION("""COMPUTED_VALUE"""),"same day help for plumber cost")</f>
        <v>same day help for plumber cost</v>
      </c>
      <c r="S119" s="4"/>
      <c r="T119" s="4" t="str">
        <f>IFERROR(__xludf.DUMMYFUNCTION("""COMPUTED_VALUE"""),"after hours leaking pipe repair")</f>
        <v>after hours leaking pipe repair</v>
      </c>
      <c r="U119" s="4"/>
      <c r="V119" s="4"/>
      <c r="W119" s="4"/>
      <c r="X119" s="4"/>
      <c r="Y119" s="4"/>
      <c r="Z119" s="4"/>
    </row>
    <row r="120" ht="15.75" customHeight="1">
      <c r="A120" s="4" t="str">
        <f>IFERROR(__xludf.DUMMYFUNCTION("""COMPUTED_VALUE"""),"geyser repair Newlands")</f>
        <v>geyser repair Newlands</v>
      </c>
      <c r="B120" s="4" t="str">
        <f>IFERROR(__xludf.DUMMYFUNCTION("""COMPUTED_VALUE"""),"Maitland plumbing company")</f>
        <v>Maitland plumbing company</v>
      </c>
      <c r="C120" s="4" t="str">
        <f>IFERROR(__xludf.DUMMYFUNCTION("""COMPUTED_VALUE"""),"plumbing inspection best")</f>
        <v>plumbing inspection best</v>
      </c>
      <c r="D120" s="4" t="str">
        <f>IFERROR(__xludf.DUMMYFUNCTION("""COMPUTED_VALUE"""),"maintenance plumber")</f>
        <v>maintenance plumber</v>
      </c>
      <c r="E120" s="28" t="str">
        <f>IFERROR(__xludf.DUMMYFUNCTION("""COMPUTED_VALUE"""),"kitchen plumbing repair weekend")</f>
        <v>kitchen plumbing repair weekend</v>
      </c>
      <c r="F120" s="4" t="str">
        <f>IFERROR(__xludf.DUMMYFUNCTION("""COMPUTED_VALUE"""),"professional emergency plumber")</f>
        <v>professional emergency plumber</v>
      </c>
      <c r="G120" s="4" t="str">
        <f>IFERROR(__xludf.DUMMYFUNCTION("""COMPUTED_VALUE"""),"geyser repair service")</f>
        <v>geyser repair service</v>
      </c>
      <c r="H120" s="4" t="str">
        <f>IFERROR(__xludf.DUMMYFUNCTION("""COMPUTED_VALUE"""),"plumbing company geyser repair")</f>
        <v>plumbing company geyser repair</v>
      </c>
      <c r="I120" s="4" t="str">
        <f>IFERROR(__xludf.DUMMYFUNCTION("""COMPUTED_VALUE"""),"electrical repairs same day")</f>
        <v>electrical repairs same day</v>
      </c>
      <c r="J120" s="4" t="str">
        <f>IFERROR(__xludf.DUMMYFUNCTION("""COMPUTED_VALUE"""),"local electrical services")</f>
        <v>local electrical services</v>
      </c>
      <c r="K120" s="4" t="str">
        <f>IFERROR(__xludf.DUMMYFUNCTION("""COMPUTED_VALUE"""),"cold room repair technician")</f>
        <v>cold room repair technician</v>
      </c>
      <c r="L120" s="4" t="str">
        <f>IFERROR(__xludf.DUMMYFUNCTION("""COMPUTED_VALUE"""),"near me aircon installation")</f>
        <v>near me aircon installation</v>
      </c>
      <c r="M120" s="4" t="str">
        <f>IFERROR(__xludf.DUMMYFUNCTION("""COMPUTED_VALUE"""),"leak detection tenant")</f>
        <v>leak detection tenant</v>
      </c>
      <c r="N120" s="4" t="str">
        <f>IFERROR(__xludf.DUMMYFUNCTION("""COMPUTED_VALUE"""),"landlord plumbing services")</f>
        <v>landlord plumbing services</v>
      </c>
      <c r="O120" s="4" t="str">
        <f>IFERROR(__xludf.DUMMYFUNCTION("""COMPUTED_VALUE"""),"emergency plumber cape town best")</f>
        <v>emergency plumber cape town best</v>
      </c>
      <c r="P120" s="4" t="str">
        <f>IFERROR(__xludf.DUMMYFUNCTION("""COMPUTED_VALUE"""),"near me schmidhauser plumbing")</f>
        <v>near me schmidhauser plumbing</v>
      </c>
      <c r="Q120" s="4" t="str">
        <f>IFERROR(__xludf.DUMMYFUNCTION("""COMPUTED_VALUE"""),"leak detection near me for")</f>
        <v>leak detection near me for</v>
      </c>
      <c r="R120" s="4" t="str">
        <f>IFERROR(__xludf.DUMMYFUNCTION("""COMPUTED_VALUE"""),"same day help for plumbing maintenance")</f>
        <v>same day help for plumbing maintenance</v>
      </c>
      <c r="S120" s="4"/>
      <c r="T120" s="4" t="str">
        <f>IFERROR(__xludf.DUMMYFUNCTION("""COMPUTED_VALUE"""),"after hours leaking tap repair")</f>
        <v>after hours leaking tap repair</v>
      </c>
      <c r="U120" s="4"/>
      <c r="V120" s="4"/>
      <c r="W120" s="4"/>
      <c r="X120" s="4"/>
      <c r="Y120" s="4"/>
      <c r="Z120" s="4"/>
    </row>
    <row r="121" ht="15.75" customHeight="1">
      <c r="A121" s="4" t="str">
        <f>IFERROR(__xludf.DUMMYFUNCTION("""COMPUTED_VALUE"""),"geyser repair Northern Suburbs")</f>
        <v>geyser repair Northern Suburbs</v>
      </c>
      <c r="B121" s="4" t="str">
        <f>IFERROR(__xludf.DUMMYFUNCTION("""COMPUTED_VALUE"""),"Maitland refrigeration services")</f>
        <v>Maitland refrigeration services</v>
      </c>
      <c r="C121" s="4" t="str">
        <f>IFERROR(__xludf.DUMMYFUNCTION("""COMPUTED_VALUE"""),"plumbing inspection call out")</f>
        <v>plumbing inspection call out</v>
      </c>
      <c r="D121" s="4" t="str">
        <f>IFERROR(__xludf.DUMMYFUNCTION("""COMPUTED_VALUE"""),"maintenance plumber cape town")</f>
        <v>maintenance plumber cape town</v>
      </c>
      <c r="E121" s="28" t="str">
        <f>IFERROR(__xludf.DUMMYFUNCTION("""COMPUTED_VALUE"""),"leaking pipe repair")</f>
        <v>leaking pipe repair</v>
      </c>
      <c r="F121" s="4" t="str">
        <f>IFERROR(__xludf.DUMMYFUNCTION("""COMPUTED_VALUE"""),"professional kitchen plumbing repair")</f>
        <v>professional kitchen plumbing repair</v>
      </c>
      <c r="G121" s="4" t="str">
        <f>IFERROR(__xludf.DUMMYFUNCTION("""COMPUTED_VALUE"""),"geyser repair specialist")</f>
        <v>geyser repair specialist</v>
      </c>
      <c r="H121" s="4" t="str">
        <f>IFERROR(__xludf.DUMMYFUNCTION("""COMPUTED_VALUE"""),"plumbing company geyser replacement")</f>
        <v>plumbing company geyser replacement</v>
      </c>
      <c r="I121" s="4" t="str">
        <f>IFERROR(__xludf.DUMMYFUNCTION("""COMPUTED_VALUE"""),"electrical repairs service")</f>
        <v>electrical repairs service</v>
      </c>
      <c r="J121" s="4" t="str">
        <f>IFERROR(__xludf.DUMMYFUNCTION("""COMPUTED_VALUE"""),"local electrician cape town")</f>
        <v>local electrician cape town</v>
      </c>
      <c r="K121" s="4" t="str">
        <f>IFERROR(__xludf.DUMMYFUNCTION("""COMPUTED_VALUE"""),"commercial refrigeration")</f>
        <v>commercial refrigeration</v>
      </c>
      <c r="L121" s="4" t="str">
        <f>IFERROR(__xludf.DUMMYFUNCTION("""COMPUTED_VALUE"""),"near me aircon repair")</f>
        <v>near me aircon repair</v>
      </c>
      <c r="M121" s="4" t="str">
        <f>IFERROR(__xludf.DUMMYFUNCTION("""COMPUTED_VALUE"""),"leak detection townhouse")</f>
        <v>leak detection townhouse</v>
      </c>
      <c r="N121" s="4" t="str">
        <f>IFERROR(__xludf.DUMMYFUNCTION("""COMPUTED_VALUE"""),"landlord refrigeration services")</f>
        <v>landlord refrigeration services</v>
      </c>
      <c r="O121" s="4" t="str">
        <f>IFERROR(__xludf.DUMMYFUNCTION("""COMPUTED_VALUE"""),"emergency plumber cape town certified")</f>
        <v>emergency plumber cape town certified</v>
      </c>
      <c r="P121" s="4" t="str">
        <f>IFERROR(__xludf.DUMMYFUNCTION("""COMPUTED_VALUE"""),"plumber near me")</f>
        <v>plumber near me</v>
      </c>
      <c r="Q121" s="4" t="str">
        <f>IFERROR(__xludf.DUMMYFUNCTION("""COMPUTED_VALUE"""),"leak detection same day help for")</f>
        <v>leak detection same day help for</v>
      </c>
      <c r="R121" s="4" t="str">
        <f>IFERROR(__xludf.DUMMYFUNCTION("""COMPUTED_VALUE"""),"same day help for refrigeration repair")</f>
        <v>same day help for refrigeration repair</v>
      </c>
      <c r="S121" s="4"/>
      <c r="T121" s="4" t="str">
        <f>IFERROR(__xludf.DUMMYFUNCTION("""COMPUTED_VALUE"""),"after hours maintenance plumber")</f>
        <v>after hours maintenance plumber</v>
      </c>
      <c r="U121" s="4"/>
      <c r="V121" s="4"/>
      <c r="W121" s="4"/>
      <c r="X121" s="4"/>
      <c r="Y121" s="4"/>
      <c r="Z121" s="4"/>
    </row>
    <row r="122" ht="15.75" customHeight="1">
      <c r="A122" s="4" t="str">
        <f>IFERROR(__xludf.DUMMYFUNCTION("""COMPUTED_VALUE"""),"geyser repair Observatory")</f>
        <v>geyser repair Observatory</v>
      </c>
      <c r="B122" s="4" t="str">
        <f>IFERROR(__xludf.DUMMYFUNCTION("""COMPUTED_VALUE"""),"Milnerton aircon repairs")</f>
        <v>Milnerton aircon repairs</v>
      </c>
      <c r="C122" s="4" t="str">
        <f>IFERROR(__xludf.DUMMYFUNCTION("""COMPUTED_VALUE"""),"plumbing inspection company")</f>
        <v>plumbing inspection company</v>
      </c>
      <c r="D122" s="4" t="str">
        <f>IFERROR(__xludf.DUMMYFUNCTION("""COMPUTED_VALUE"""),"maintenance plumbing company")</f>
        <v>maintenance plumbing company</v>
      </c>
      <c r="E122" s="28" t="str">
        <f>IFERROR(__xludf.DUMMYFUNCTION("""COMPUTED_VALUE"""),"leaking pipe repair after hours")</f>
        <v>leaking pipe repair after hours</v>
      </c>
      <c r="F122" s="4" t="str">
        <f>IFERROR(__xludf.DUMMYFUNCTION("""COMPUTED_VALUE"""),"professional leaking pipe repair")</f>
        <v>professional leaking pipe repair</v>
      </c>
      <c r="G122" s="4" t="str">
        <f>IFERROR(__xludf.DUMMYFUNCTION("""COMPUTED_VALUE"""),"geyser replacement")</f>
        <v>geyser replacement</v>
      </c>
      <c r="H122" s="4" t="str">
        <f>IFERROR(__xludf.DUMMYFUNCTION("""COMPUTED_VALUE"""),"plumbing company leak detection")</f>
        <v>plumbing company leak detection</v>
      </c>
      <c r="I122" s="4" t="str">
        <f>IFERROR(__xludf.DUMMYFUNCTION("""COMPUTED_VALUE"""),"electrical services")</f>
        <v>electrical services</v>
      </c>
      <c r="J122" s="4" t="str">
        <f>IFERROR(__xludf.DUMMYFUNCTION("""COMPUTED_VALUE"""),"local emergency electrician")</f>
        <v>local emergency electrician</v>
      </c>
      <c r="K122" s="4" t="str">
        <f>IFERROR(__xludf.DUMMYFUNCTION("""COMPUTED_VALUE"""),"commercial refrigeration affordable")</f>
        <v>commercial refrigeration affordable</v>
      </c>
      <c r="L122" s="4" t="str">
        <f>IFERROR(__xludf.DUMMYFUNCTION("""COMPUTED_VALUE"""),"near me aircon service")</f>
        <v>near me aircon service</v>
      </c>
      <c r="M122" s="4" t="str">
        <f>IFERROR(__xludf.DUMMYFUNCTION("""COMPUTED_VALUE"""),"maintenance plumber apartment")</f>
        <v>maintenance plumber apartment</v>
      </c>
      <c r="N122" s="4" t="str">
        <f>IFERROR(__xludf.DUMMYFUNCTION("""COMPUTED_VALUE"""),"office air conditioning services")</f>
        <v>office air conditioning services</v>
      </c>
      <c r="O122" s="4" t="str">
        <f>IFERROR(__xludf.DUMMYFUNCTION("""COMPUTED_VALUE"""),"emergency plumber cape town compare")</f>
        <v>emergency plumber cape town compare</v>
      </c>
      <c r="P122" s="4" t="str">
        <f>IFERROR(__xludf.DUMMYFUNCTION("""COMPUTED_VALUE"""),"prices absolute plumbing cape town")</f>
        <v>prices absolute plumbing cape town</v>
      </c>
      <c r="Q122" s="4" t="str">
        <f>IFERROR(__xludf.DUMMYFUNCTION("""COMPUTED_VALUE"""),"leak detection signs you need")</f>
        <v>leak detection signs you need</v>
      </c>
      <c r="R122" s="4" t="str">
        <f>IFERROR(__xludf.DUMMYFUNCTION("""COMPUTED_VALUE"""),"signs you need aircon service")</f>
        <v>signs you need aircon service</v>
      </c>
      <c r="S122" s="4"/>
      <c r="T122" s="4" t="str">
        <f>IFERROR(__xludf.DUMMYFUNCTION("""COMPUTED_VALUE"""),"after hours plumber cape town")</f>
        <v>after hours plumber cape town</v>
      </c>
      <c r="U122" s="4"/>
      <c r="V122" s="4"/>
      <c r="W122" s="4"/>
      <c r="X122" s="4"/>
      <c r="Y122" s="4"/>
      <c r="Z122" s="4"/>
    </row>
    <row r="123" ht="15.75" customHeight="1">
      <c r="A123" s="4" t="str">
        <f>IFERROR(__xludf.DUMMYFUNCTION("""COMPUTED_VALUE"""),"geyser repair Plumstead")</f>
        <v>geyser repair Plumstead</v>
      </c>
      <c r="B123" s="4" t="str">
        <f>IFERROR(__xludf.DUMMYFUNCTION("""COMPUTED_VALUE"""),"Milnerton blocked drain plumber")</f>
        <v>Milnerton blocked drain plumber</v>
      </c>
      <c r="C123" s="4" t="str">
        <f>IFERROR(__xludf.DUMMYFUNCTION("""COMPUTED_VALUE"""),"plumbing inspection contractor")</f>
        <v>plumbing inspection contractor</v>
      </c>
      <c r="D123" s="4" t="str">
        <f>IFERROR(__xludf.DUMMYFUNCTION("""COMPUTED_VALUE"""),"maintenance plumbing contractors")</f>
        <v>maintenance plumbing contractors</v>
      </c>
      <c r="E123" s="28" t="str">
        <f>IFERROR(__xludf.DUMMYFUNCTION("""COMPUTED_VALUE"""),"leaking pipe repair call out")</f>
        <v>leaking pipe repair call out</v>
      </c>
      <c r="F123" s="4" t="str">
        <f>IFERROR(__xludf.DUMMYFUNCTION("""COMPUTED_VALUE"""),"professional leaking tap repair")</f>
        <v>professional leaking tap repair</v>
      </c>
      <c r="G123" s="4" t="str">
        <f>IFERROR(__xludf.DUMMYFUNCTION("""COMPUTED_VALUE"""),"geyser replacement affordable")</f>
        <v>geyser replacement affordable</v>
      </c>
      <c r="H123" s="4" t="str">
        <f>IFERROR(__xludf.DUMMYFUNCTION("""COMPUTED_VALUE"""),"plumbing company pipe repair")</f>
        <v>plumbing company pipe repair</v>
      </c>
      <c r="I123" s="4" t="str">
        <f>IFERROR(__xludf.DUMMYFUNCTION("""COMPUTED_VALUE"""),"electrical services affordable")</f>
        <v>electrical services affordable</v>
      </c>
      <c r="J123" s="4" t="str">
        <f>IFERROR(__xludf.DUMMYFUNCTION("""COMPUTED_VALUE"""),"local residential electrician")</f>
        <v>local residential electrician</v>
      </c>
      <c r="K123" s="4" t="str">
        <f>IFERROR(__xludf.DUMMYFUNCTION("""COMPUTED_VALUE"""),"commercial refrigeration best")</f>
        <v>commercial refrigeration best</v>
      </c>
      <c r="L123" s="4" t="str">
        <f>IFERROR(__xludf.DUMMYFUNCTION("""COMPUTED_VALUE"""),"near me cold room repair")</f>
        <v>near me cold room repair</v>
      </c>
      <c r="M123" s="4" t="str">
        <f>IFERROR(__xludf.DUMMYFUNCTION("""COMPUTED_VALUE"""),"maintenance plumber body corporate")</f>
        <v>maintenance plumber body corporate</v>
      </c>
      <c r="N123" s="4" t="str">
        <f>IFERROR(__xludf.DUMMYFUNCTION("""COMPUTED_VALUE"""),"office drain cleaning")</f>
        <v>office drain cleaning</v>
      </c>
      <c r="O123" s="4" t="str">
        <f>IFERROR(__xludf.DUMMYFUNCTION("""COMPUTED_VALUE"""),"emergency plumber cape town complaints")</f>
        <v>emergency plumber cape town complaints</v>
      </c>
      <c r="P123" s="4" t="str">
        <f>IFERROR(__xludf.DUMMYFUNCTION("""COMPUTED_VALUE"""),"prices aircon repair cape town")</f>
        <v>prices aircon repair cape town</v>
      </c>
      <c r="Q123" s="4" t="str">
        <f>IFERROR(__xludf.DUMMYFUNCTION("""COMPUTED_VALUE"""),"leak detection what causes")</f>
        <v>leak detection what causes</v>
      </c>
      <c r="R123" s="4" t="str">
        <f>IFERROR(__xludf.DUMMYFUNCTION("""COMPUTED_VALUE"""),"signs you need blocked drain")</f>
        <v>signs you need blocked drain</v>
      </c>
      <c r="S123" s="4"/>
      <c r="T123" s="4" t="str">
        <f>IFERROR(__xludf.DUMMYFUNCTION("""COMPUTED_VALUE"""),"after hours plumbing company")</f>
        <v>after hours plumbing company</v>
      </c>
      <c r="U123" s="4"/>
      <c r="V123" s="4"/>
      <c r="W123" s="4"/>
      <c r="X123" s="4"/>
      <c r="Y123" s="4"/>
      <c r="Z123" s="4"/>
    </row>
    <row r="124" ht="15.75" customHeight="1">
      <c r="A124" s="4" t="str">
        <f>IFERROR(__xludf.DUMMYFUNCTION("""COMPUTED_VALUE"""),"geyser repair Rondebosch")</f>
        <v>geyser repair Rondebosch</v>
      </c>
      <c r="B124" s="4" t="str">
        <f>IFERROR(__xludf.DUMMYFUNCTION("""COMPUTED_VALUE"""),"Milnerton electrician")</f>
        <v>Milnerton electrician</v>
      </c>
      <c r="C124" s="4" t="str">
        <f>IFERROR(__xludf.DUMMYFUNCTION("""COMPUTED_VALUE"""),"plumbing inspection cost")</f>
        <v>plumbing inspection cost</v>
      </c>
      <c r="D124" s="4" t="str">
        <f>IFERROR(__xludf.DUMMYFUNCTION("""COMPUTED_VALUE"""),"maintenance plumbing inspection")</f>
        <v>maintenance plumbing inspection</v>
      </c>
      <c r="E124" s="28" t="str">
        <f>IFERROR(__xludf.DUMMYFUNCTION("""COMPUTED_VALUE"""),"leaking pipe repair cape town")</f>
        <v>leaking pipe repair cape town</v>
      </c>
      <c r="F124" s="4" t="str">
        <f>IFERROR(__xludf.DUMMYFUNCTION("""COMPUTED_VALUE"""),"professional toilet repair")</f>
        <v>professional toilet repair</v>
      </c>
      <c r="G124" s="4" t="str">
        <f>IFERROR(__xludf.DUMMYFUNCTION("""COMPUTED_VALUE"""),"geyser replacement best")</f>
        <v>geyser replacement best</v>
      </c>
      <c r="H124" s="4" t="str">
        <f>IFERROR(__xludf.DUMMYFUNCTION("""COMPUTED_VALUE"""),"plumbing company water leak detection")</f>
        <v>plumbing company water leak detection</v>
      </c>
      <c r="I124" s="4" t="str">
        <f>IFERROR(__xludf.DUMMYFUNCTION("""COMPUTED_VALUE"""),"electrical services call out")</f>
        <v>electrical services call out</v>
      </c>
      <c r="J124" s="4" t="str">
        <f>IFERROR(__xludf.DUMMYFUNCTION("""COMPUTED_VALUE"""),"near me commercial electrician")</f>
        <v>near me commercial electrician</v>
      </c>
      <c r="K124" s="4" t="str">
        <f>IFERROR(__xludf.DUMMYFUNCTION("""COMPUTED_VALUE"""),"commercial refrigeration cape town")</f>
        <v>commercial refrigeration cape town</v>
      </c>
      <c r="L124" s="4" t="str">
        <f>IFERROR(__xludf.DUMMYFUNCTION("""COMPUTED_VALUE"""),"near me commercial refrigeration")</f>
        <v>near me commercial refrigeration</v>
      </c>
      <c r="M124" s="4" t="str">
        <f>IFERROR(__xludf.DUMMYFUNCTION("""COMPUTED_VALUE"""),"maintenance plumber building")</f>
        <v>maintenance plumber building</v>
      </c>
      <c r="N124" s="4" t="str">
        <f>IFERROR(__xludf.DUMMYFUNCTION("""COMPUTED_VALUE"""),"office electrical repairs")</f>
        <v>office electrical repairs</v>
      </c>
      <c r="O124" s="4" t="str">
        <f>IFERROR(__xludf.DUMMYFUNCTION("""COMPUTED_VALUE"""),"emergency plumber cape town cost")</f>
        <v>emergency plumber cape town cost</v>
      </c>
      <c r="P124" s="4" t="str">
        <f>IFERROR(__xludf.DUMMYFUNCTION("""COMPUTED_VALUE"""),"prices bosman plumbers")</f>
        <v>prices bosman plumbers</v>
      </c>
      <c r="Q124" s="4" t="str">
        <f>IFERROR(__xludf.DUMMYFUNCTION("""COMPUTED_VALUE"""),"leak detection what is")</f>
        <v>leak detection what is</v>
      </c>
      <c r="R124" s="4" t="str">
        <f>IFERROR(__xludf.DUMMYFUNCTION("""COMPUTED_VALUE"""),"signs you need burst pipe")</f>
        <v>signs you need burst pipe</v>
      </c>
      <c r="S124" s="4"/>
      <c r="T124" s="4" t="str">
        <f>IFERROR(__xludf.DUMMYFUNCTION("""COMPUTED_VALUE"""),"after hours plumbing contractors")</f>
        <v>after hours plumbing contractors</v>
      </c>
      <c r="U124" s="4"/>
      <c r="V124" s="4"/>
      <c r="W124" s="4"/>
      <c r="X124" s="4"/>
      <c r="Y124" s="4"/>
      <c r="Z124" s="4"/>
    </row>
    <row r="125" ht="15.75" customHeight="1">
      <c r="A125" s="4" t="str">
        <f>IFERROR(__xludf.DUMMYFUNCTION("""COMPUTED_VALUE"""),"geyser repair Sea Point")</f>
        <v>geyser repair Sea Point</v>
      </c>
      <c r="B125" s="4" t="str">
        <f>IFERROR(__xludf.DUMMYFUNCTION("""COMPUTED_VALUE"""),"Milnerton emergency plumber")</f>
        <v>Milnerton emergency plumber</v>
      </c>
      <c r="C125" s="4" t="str">
        <f>IFERROR(__xludf.DUMMYFUNCTION("""COMPUTED_VALUE"""),"plumbing inspection emergency")</f>
        <v>plumbing inspection emergency</v>
      </c>
      <c r="D125" s="4" t="str">
        <f>IFERROR(__xludf.DUMMYFUNCTION("""COMPUTED_VALUE"""),"maintenance plumbing installation")</f>
        <v>maintenance plumbing installation</v>
      </c>
      <c r="E125" s="28" t="str">
        <f>IFERROR(__xludf.DUMMYFUNCTION("""COMPUTED_VALUE"""),"leaking pipe repair commercial")</f>
        <v>leaking pipe repair commercial</v>
      </c>
      <c r="F125" s="4" t="str">
        <f>IFERROR(__xludf.DUMMYFUNCTION("""COMPUTED_VALUE"""),"professional water leak repair")</f>
        <v>professional water leak repair</v>
      </c>
      <c r="G125" s="4" t="str">
        <f>IFERROR(__xludf.DUMMYFUNCTION("""COMPUTED_VALUE"""),"geyser replacement cape town")</f>
        <v>geyser replacement cape town</v>
      </c>
      <c r="H125" s="4" t="str">
        <f>IFERROR(__xludf.DUMMYFUNCTION("""COMPUTED_VALUE"""),"quote blocked drain")</f>
        <v>quote blocked drain</v>
      </c>
      <c r="I125" s="4" t="str">
        <f>IFERROR(__xludf.DUMMYFUNCTION("""COMPUTED_VALUE"""),"electrical services cape town")</f>
        <v>electrical services cape town</v>
      </c>
      <c r="J125" s="4" t="str">
        <f>IFERROR(__xludf.DUMMYFUNCTION("""COMPUTED_VALUE"""),"near me electrical compliance certificate")</f>
        <v>near me electrical compliance certificate</v>
      </c>
      <c r="K125" s="4" t="str">
        <f>IFERROR(__xludf.DUMMYFUNCTION("""COMPUTED_VALUE"""),"commercial refrigeration company")</f>
        <v>commercial refrigeration company</v>
      </c>
      <c r="L125" s="4" t="str">
        <f>IFERROR(__xludf.DUMMYFUNCTION("""COMPUTED_VALUE"""),"near me fridge repair")</f>
        <v>near me fridge repair</v>
      </c>
      <c r="M125" s="4" t="str">
        <f>IFERROR(__xludf.DUMMYFUNCTION("""COMPUTED_VALUE"""),"maintenance plumber business")</f>
        <v>maintenance plumber business</v>
      </c>
      <c r="N125" s="4" t="str">
        <f>IFERROR(__xludf.DUMMYFUNCTION("""COMPUTED_VALUE"""),"office emergency plumbing")</f>
        <v>office emergency plumbing</v>
      </c>
      <c r="O125" s="4" t="str">
        <f>IFERROR(__xludf.DUMMYFUNCTION("""COMPUTED_VALUE"""),"emergency plumber cape town insured")</f>
        <v>emergency plumber cape town insured</v>
      </c>
      <c r="P125" s="4" t="str">
        <f>IFERROR(__xludf.DUMMYFUNCTION("""COMPUTED_VALUE"""),"prices drain surgeon cape town")</f>
        <v>prices drain surgeon cape town</v>
      </c>
      <c r="Q125" s="4" t="str">
        <f>IFERROR(__xludf.DUMMYFUNCTION("""COMPUTED_VALUE"""),"leak detection when to call a")</f>
        <v>leak detection when to call a</v>
      </c>
      <c r="R125" s="4" t="str">
        <f>IFERROR(__xludf.DUMMYFUNCTION("""COMPUTED_VALUE"""),"signs you need electrical COC")</f>
        <v>signs you need electrical COC</v>
      </c>
      <c r="S125" s="4"/>
      <c r="T125" s="4" t="str">
        <f>IFERROR(__xludf.DUMMYFUNCTION("""COMPUTED_VALUE"""),"after hours plumbing inspection")</f>
        <v>after hours plumbing inspection</v>
      </c>
      <c r="U125" s="4"/>
      <c r="V125" s="4"/>
      <c r="W125" s="4"/>
      <c r="X125" s="4"/>
      <c r="Y125" s="4"/>
      <c r="Z125" s="4"/>
    </row>
    <row r="126" ht="15.75" customHeight="1">
      <c r="A126" s="4" t="str">
        <f>IFERROR(__xludf.DUMMYFUNCTION("""COMPUTED_VALUE"""),"geyser repair South Africa")</f>
        <v>geyser repair South Africa</v>
      </c>
      <c r="B126" s="4" t="str">
        <f>IFERROR(__xludf.DUMMYFUNCTION("""COMPUTED_VALUE"""),"Milnerton geyser repair")</f>
        <v>Milnerton geyser repair</v>
      </c>
      <c r="C126" s="4" t="str">
        <f>IFERROR(__xludf.DUMMYFUNCTION("""COMPUTED_VALUE"""),"plumbing inspection installation")</f>
        <v>plumbing inspection installation</v>
      </c>
      <c r="D126" s="4" t="str">
        <f>IFERROR(__xludf.DUMMYFUNCTION("""COMPUTED_VALUE"""),"maintenance plumbing repairs")</f>
        <v>maintenance plumbing repairs</v>
      </c>
      <c r="E126" s="28" t="str">
        <f>IFERROR(__xludf.DUMMYFUNCTION("""COMPUTED_VALUE"""),"leaking pipe repair company")</f>
        <v>leaking pipe repair company</v>
      </c>
      <c r="F126" s="4" t="str">
        <f>IFERROR(__xludf.DUMMYFUNCTION("""COMPUTED_VALUE"""),"quote 24 hour plumber")</f>
        <v>quote 24 hour plumber</v>
      </c>
      <c r="G126" s="4" t="str">
        <f>IFERROR(__xludf.DUMMYFUNCTION("""COMPUTED_VALUE"""),"geyser replacement CCTV")</f>
        <v>geyser replacement CCTV</v>
      </c>
      <c r="H126" s="4" t="str">
        <f>IFERROR(__xludf.DUMMYFUNCTION("""COMPUTED_VALUE"""),"quote burst geyser")</f>
        <v>quote burst geyser</v>
      </c>
      <c r="I126" s="4" t="str">
        <f>IFERROR(__xludf.DUMMYFUNCTION("""COMPUTED_VALUE"""),"electrical services COC")</f>
        <v>electrical services COC</v>
      </c>
      <c r="J126" s="4" t="str">
        <f>IFERROR(__xludf.DUMMYFUNCTION("""COMPUTED_VALUE"""),"near me electrical contractor")</f>
        <v>near me electrical contractor</v>
      </c>
      <c r="K126" s="4" t="str">
        <f>IFERROR(__xludf.DUMMYFUNCTION("""COMPUTED_VALUE"""),"commercial refrigeration contractor")</f>
        <v>commercial refrigeration contractor</v>
      </c>
      <c r="L126" s="4" t="str">
        <f>IFERROR(__xludf.DUMMYFUNCTION("""COMPUTED_VALUE"""),"near me HVAC services")</f>
        <v>near me HVAC services</v>
      </c>
      <c r="M126" s="4" t="str">
        <f>IFERROR(__xludf.DUMMYFUNCTION("""COMPUTED_VALUE"""),"maintenance plumber commercial property")</f>
        <v>maintenance plumber commercial property</v>
      </c>
      <c r="N126" s="4" t="str">
        <f>IFERROR(__xludf.DUMMYFUNCTION("""COMPUTED_VALUE"""),"office geyser repairs")</f>
        <v>office geyser repairs</v>
      </c>
      <c r="O126" s="4" t="str">
        <f>IFERROR(__xludf.DUMMYFUNCTION("""COMPUTED_VALUE"""),"emergency plumber cape town licensed")</f>
        <v>emergency plumber cape town licensed</v>
      </c>
      <c r="P126" s="4" t="str">
        <f>IFERROR(__xludf.DUMMYFUNCTION("""COMPUTED_VALUE"""),"prices electrician cape town")</f>
        <v>prices electrician cape town</v>
      </c>
      <c r="Q126" s="4" t="str">
        <f>IFERROR(__xludf.DUMMYFUNCTION("""COMPUTED_VALUE"""),"leak detection who fixes")</f>
        <v>leak detection who fixes</v>
      </c>
      <c r="R126" s="4" t="str">
        <f>IFERROR(__xludf.DUMMYFUNCTION("""COMPUTED_VALUE"""),"signs you need emergency plumber")</f>
        <v>signs you need emergency plumber</v>
      </c>
      <c r="S126" s="4"/>
      <c r="T126" s="4" t="str">
        <f>IFERROR(__xludf.DUMMYFUNCTION("""COMPUTED_VALUE"""),"after hours plumbing installation")</f>
        <v>after hours plumbing installation</v>
      </c>
      <c r="U126" s="4"/>
      <c r="V126" s="4"/>
      <c r="W126" s="4"/>
      <c r="X126" s="4"/>
      <c r="Y126" s="4"/>
      <c r="Z126" s="4"/>
    </row>
    <row r="127" ht="15.75" customHeight="1">
      <c r="A127" s="4" t="str">
        <f>IFERROR(__xludf.DUMMYFUNCTION("""COMPUTED_VALUE"""),"geyser repair Southern Suburbs")</f>
        <v>geyser repair Southern Suburbs</v>
      </c>
      <c r="B127" s="4" t="str">
        <f>IFERROR(__xludf.DUMMYFUNCTION("""COMPUTED_VALUE"""),"Milnerton leak detection plumber")</f>
        <v>Milnerton leak detection plumber</v>
      </c>
      <c r="C127" s="4" t="str">
        <f>IFERROR(__xludf.DUMMYFUNCTION("""COMPUTED_VALUE"""),"plumbing inspection licensed")</f>
        <v>plumbing inspection licensed</v>
      </c>
      <c r="D127" s="4" t="str">
        <f>IFERROR(__xludf.DUMMYFUNCTION("""COMPUTED_VALUE"""),"maintenance plumbing services")</f>
        <v>maintenance plumbing services</v>
      </c>
      <c r="E127" s="28" t="str">
        <f>IFERROR(__xludf.DUMMYFUNCTION("""COMPUTED_VALUE"""),"leaking pipe repair cost")</f>
        <v>leaking pipe repair cost</v>
      </c>
      <c r="F127" s="4" t="str">
        <f>IFERROR(__xludf.DUMMYFUNCTION("""COMPUTED_VALUE"""),"quote bathroom plumbing repair")</f>
        <v>quote bathroom plumbing repair</v>
      </c>
      <c r="G127" s="4" t="str">
        <f>IFERROR(__xludf.DUMMYFUNCTION("""COMPUTED_VALUE"""),"geyser replacement commercial")</f>
        <v>geyser replacement commercial</v>
      </c>
      <c r="H127" s="4" t="str">
        <f>IFERROR(__xludf.DUMMYFUNCTION("""COMPUTED_VALUE"""),"quote drain cleaning")</f>
        <v>quote drain cleaning</v>
      </c>
      <c r="I127" s="4" t="str">
        <f>IFERROR(__xludf.DUMMYFUNCTION("""COMPUTED_VALUE"""),"electrical services company")</f>
        <v>electrical services company</v>
      </c>
      <c r="J127" s="4" t="str">
        <f>IFERROR(__xludf.DUMMYFUNCTION("""COMPUTED_VALUE"""),"near me electrical installation")</f>
        <v>near me electrical installation</v>
      </c>
      <c r="K127" s="4" t="str">
        <f>IFERROR(__xludf.DUMMYFUNCTION("""COMPUTED_VALUE"""),"commercial refrigeration cost")</f>
        <v>commercial refrigeration cost</v>
      </c>
      <c r="L127" s="4" t="str">
        <f>IFERROR(__xludf.DUMMYFUNCTION("""COMPUTED_VALUE"""),"near me refrigeration repair")</f>
        <v>near me refrigeration repair</v>
      </c>
      <c r="M127" s="4" t="str">
        <f>IFERROR(__xludf.DUMMYFUNCTION("""COMPUTED_VALUE"""),"maintenance plumber estate agent")</f>
        <v>maintenance plumber estate agent</v>
      </c>
      <c r="N127" s="4" t="str">
        <f>IFERROR(__xludf.DUMMYFUNCTION("""COMPUTED_VALUE"""),"office leak detection")</f>
        <v>office leak detection</v>
      </c>
      <c r="O127" s="4" t="str">
        <f>IFERROR(__xludf.DUMMYFUNCTION("""COMPUTED_VALUE"""),"emergency plumber cape town local")</f>
        <v>emergency plumber cape town local</v>
      </c>
      <c r="P127" s="4" t="str">
        <f>IFERROR(__xludf.DUMMYFUNCTION("""COMPUTED_VALUE"""),"prices emergency plumber cape town")</f>
        <v>prices emergency plumber cape town</v>
      </c>
      <c r="Q127" s="4" t="str">
        <f>IFERROR(__xludf.DUMMYFUNCTION("""COMPUTED_VALUE"""),"leak detection why is my")</f>
        <v>leak detection why is my</v>
      </c>
      <c r="R127" s="4" t="str">
        <f>IFERROR(__xludf.DUMMYFUNCTION("""COMPUTED_VALUE"""),"signs you need geyser repair")</f>
        <v>signs you need geyser repair</v>
      </c>
      <c r="S127" s="4"/>
      <c r="T127" s="4" t="str">
        <f>IFERROR(__xludf.DUMMYFUNCTION("""COMPUTED_VALUE"""),"after hours plumbing repairs")</f>
        <v>after hours plumbing repairs</v>
      </c>
      <c r="U127" s="4"/>
      <c r="V127" s="4"/>
      <c r="W127" s="4"/>
      <c r="X127" s="4"/>
      <c r="Y127" s="4"/>
      <c r="Z127" s="4"/>
    </row>
    <row r="128" ht="15.75" customHeight="1">
      <c r="A128" s="4" t="str">
        <f>IFERROR(__xludf.DUMMYFUNCTION("""COMPUTED_VALUE"""),"geyser repair Table View")</f>
        <v>geyser repair Table View</v>
      </c>
      <c r="B128" s="4" t="str">
        <f>IFERROR(__xludf.DUMMYFUNCTION("""COMPUTED_VALUE"""),"Milnerton plumber")</f>
        <v>Milnerton plumber</v>
      </c>
      <c r="C128" s="4" t="str">
        <f>IFERROR(__xludf.DUMMYFUNCTION("""COMPUTED_VALUE"""),"plumbing inspection local")</f>
        <v>plumbing inspection local</v>
      </c>
      <c r="D128" s="4" t="str">
        <f>IFERROR(__xludf.DUMMYFUNCTION("""COMPUTED_VALUE"""),"maintenance residential plumber")</f>
        <v>maintenance residential plumber</v>
      </c>
      <c r="E128" s="28" t="str">
        <f>IFERROR(__xludf.DUMMYFUNCTION("""COMPUTED_VALUE"""),"leaking pipe repair emergency")</f>
        <v>leaking pipe repair emergency</v>
      </c>
      <c r="F128" s="4" t="str">
        <f>IFERROR(__xludf.DUMMYFUNCTION("""COMPUTED_VALUE"""),"quote blocked toilet plumber")</f>
        <v>quote blocked toilet plumber</v>
      </c>
      <c r="G128" s="4" t="str">
        <f>IFERROR(__xludf.DUMMYFUNCTION("""COMPUTED_VALUE"""),"geyser replacement cost")</f>
        <v>geyser replacement cost</v>
      </c>
      <c r="H128" s="4" t="str">
        <f>IFERROR(__xludf.DUMMYFUNCTION("""COMPUTED_VALUE"""),"quote drain inspection")</f>
        <v>quote drain inspection</v>
      </c>
      <c r="I128" s="4" t="str">
        <f>IFERROR(__xludf.DUMMYFUNCTION("""COMPUTED_VALUE"""),"electrical services contractor")</f>
        <v>electrical services contractor</v>
      </c>
      <c r="J128" s="4" t="str">
        <f>IFERROR(__xludf.DUMMYFUNCTION("""COMPUTED_VALUE"""),"near me electrical maintenance")</f>
        <v>near me electrical maintenance</v>
      </c>
      <c r="K128" s="4" t="str">
        <f>IFERROR(__xludf.DUMMYFUNCTION("""COMPUTED_VALUE"""),"commercial refrigeration emergency")</f>
        <v>commercial refrigeration emergency</v>
      </c>
      <c r="L128" s="4" t="str">
        <f>IFERROR(__xludf.DUMMYFUNCTION("""COMPUTED_VALUE"""),"professional air conditioning")</f>
        <v>professional air conditioning</v>
      </c>
      <c r="M128" s="4" t="str">
        <f>IFERROR(__xludf.DUMMYFUNCTION("""COMPUTED_VALUE"""),"maintenance plumber flat")</f>
        <v>maintenance plumber flat</v>
      </c>
      <c r="N128" s="4" t="str">
        <f>IFERROR(__xludf.DUMMYFUNCTION("""COMPUTED_VALUE"""),"office maintenance plumber")</f>
        <v>office maintenance plumber</v>
      </c>
      <c r="O128" s="4" t="str">
        <f>IFERROR(__xludf.DUMMYFUNCTION("""COMPUTED_VALUE"""),"emergency plumber cape town near me")</f>
        <v>emergency plumber cape town near me</v>
      </c>
      <c r="P128" s="4" t="str">
        <f>IFERROR(__xludf.DUMMYFUNCTION("""COMPUTED_VALUE"""),"prices plumber near me")</f>
        <v>prices plumber near me</v>
      </c>
      <c r="Q128" s="4" t="str">
        <f>IFERROR(__xludf.DUMMYFUNCTION("""COMPUTED_VALUE"""),"plumber cost best way to fix")</f>
        <v>plumber cost best way to fix</v>
      </c>
      <c r="R128" s="4" t="str">
        <f>IFERROR(__xludf.DUMMYFUNCTION("""COMPUTED_VALUE"""),"signs you need leak detection")</f>
        <v>signs you need leak detection</v>
      </c>
      <c r="S128" s="4"/>
      <c r="T128" s="4" t="str">
        <f>IFERROR(__xludf.DUMMYFUNCTION("""COMPUTED_VALUE"""),"after hours plumbing services")</f>
        <v>after hours plumbing services</v>
      </c>
      <c r="U128" s="4"/>
      <c r="V128" s="4"/>
      <c r="W128" s="4"/>
      <c r="X128" s="4"/>
      <c r="Y128" s="4"/>
      <c r="Z128" s="4"/>
    </row>
    <row r="129" ht="15.75" customHeight="1">
      <c r="A129" s="4" t="str">
        <f>IFERROR(__xludf.DUMMYFUNCTION("""COMPUTED_VALUE"""),"geyser repair Tokai")</f>
        <v>geyser repair Tokai</v>
      </c>
      <c r="B129" s="4" t="str">
        <f>IFERROR(__xludf.DUMMYFUNCTION("""COMPUTED_VALUE"""),"Milnerton plumbers")</f>
        <v>Milnerton plumbers</v>
      </c>
      <c r="C129" s="4" t="str">
        <f>IFERROR(__xludf.DUMMYFUNCTION("""COMPUTED_VALUE"""),"plumbing inspection maintenance")</f>
        <v>plumbing inspection maintenance</v>
      </c>
      <c r="D129" s="4" t="str">
        <f>IFERROR(__xludf.DUMMYFUNCTION("""COMPUTED_VALUE"""),"near me commercial plumber")</f>
        <v>near me commercial plumber</v>
      </c>
      <c r="E129" s="28" t="str">
        <f>IFERROR(__xludf.DUMMYFUNCTION("""COMPUTED_VALUE"""),"leaking pipe repair fast")</f>
        <v>leaking pipe repair fast</v>
      </c>
      <c r="F129" s="4" t="str">
        <f>IFERROR(__xludf.DUMMYFUNCTION("""COMPUTED_VALUE"""),"quote burst pipe repair")</f>
        <v>quote burst pipe repair</v>
      </c>
      <c r="G129" s="4" t="str">
        <f>IFERROR(__xludf.DUMMYFUNCTION("""COMPUTED_VALUE"""),"geyser replacement emergency")</f>
        <v>geyser replacement emergency</v>
      </c>
      <c r="H129" s="4" t="str">
        <f>IFERROR(__xludf.DUMMYFUNCTION("""COMPUTED_VALUE"""),"quote drain unblocking")</f>
        <v>quote drain unblocking</v>
      </c>
      <c r="I129" s="4" t="str">
        <f>IFERROR(__xludf.DUMMYFUNCTION("""COMPUTED_VALUE"""),"electrical services cost")</f>
        <v>electrical services cost</v>
      </c>
      <c r="J129" s="4" t="str">
        <f>IFERROR(__xludf.DUMMYFUNCTION("""COMPUTED_VALUE"""),"near me electrical repairs")</f>
        <v>near me electrical repairs</v>
      </c>
      <c r="K129" s="4" t="str">
        <f>IFERROR(__xludf.DUMMYFUNCTION("""COMPUTED_VALUE"""),"commercial refrigeration installation")</f>
        <v>commercial refrigeration installation</v>
      </c>
      <c r="L129" s="4" t="str">
        <f>IFERROR(__xludf.DUMMYFUNCTION("""COMPUTED_VALUE"""),"professional air conditioning repair")</f>
        <v>professional air conditioning repair</v>
      </c>
      <c r="M129" s="4" t="str">
        <f>IFERROR(__xludf.DUMMYFUNCTION("""COMPUTED_VALUE"""),"maintenance plumber guesthouse")</f>
        <v>maintenance plumber guesthouse</v>
      </c>
      <c r="N129" s="4" t="str">
        <f>IFERROR(__xludf.DUMMYFUNCTION("""COMPUTED_VALUE"""),"office plumbing company")</f>
        <v>office plumbing company</v>
      </c>
      <c r="O129" s="4" t="str">
        <f>IFERROR(__xludf.DUMMYFUNCTION("""COMPUTED_VALUE"""),"emergency plumber cape town prices")</f>
        <v>emergency plumber cape town prices</v>
      </c>
      <c r="P129" s="4" t="str">
        <f>IFERROR(__xludf.DUMMYFUNCTION("""COMPUTED_VALUE"""),"prices plumbers cape town")</f>
        <v>prices plumbers cape town</v>
      </c>
      <c r="Q129" s="4" t="str">
        <f>IFERROR(__xludf.DUMMYFUNCTION("""COMPUTED_VALUE"""),"plumber cost can a plumber fix")</f>
        <v>plumber cost can a plumber fix</v>
      </c>
      <c r="R129" s="4" t="str">
        <f>IFERROR(__xludf.DUMMYFUNCTION("""COMPUTED_VALUE"""),"signs you need plumber cost")</f>
        <v>signs you need plumber cost</v>
      </c>
      <c r="S129" s="4"/>
      <c r="T129" s="4" t="str">
        <f>IFERROR(__xludf.DUMMYFUNCTION("""COMPUTED_VALUE"""),"after hours residential plumber")</f>
        <v>after hours residential plumber</v>
      </c>
      <c r="U129" s="4"/>
      <c r="V129" s="4"/>
      <c r="W129" s="4"/>
      <c r="X129" s="4"/>
      <c r="Y129" s="4"/>
      <c r="Z129" s="4"/>
    </row>
    <row r="130" ht="15.75" customHeight="1">
      <c r="A130" s="4" t="str">
        <f>IFERROR(__xludf.DUMMYFUNCTION("""COMPUTED_VALUE"""),"geyser repair Woodstock")</f>
        <v>geyser repair Woodstock</v>
      </c>
      <c r="B130" s="4" t="str">
        <f>IFERROR(__xludf.DUMMYFUNCTION("""COMPUTED_VALUE"""),"Milnerton plumbing company")</f>
        <v>Milnerton plumbing company</v>
      </c>
      <c r="C130" s="4" t="str">
        <f>IFERROR(__xludf.DUMMYFUNCTION("""COMPUTED_VALUE"""),"plumbing inspection near me")</f>
        <v>plumbing inspection near me</v>
      </c>
      <c r="D130" s="4" t="str">
        <f>IFERROR(__xludf.DUMMYFUNCTION("""COMPUTED_VALUE"""),"near me maintenance plumber")</f>
        <v>near me maintenance plumber</v>
      </c>
      <c r="E130" s="28" t="str">
        <f>IFERROR(__xludf.DUMMYFUNCTION("""COMPUTED_VALUE"""),"leaking pipe repair local")</f>
        <v>leaking pipe repair local</v>
      </c>
      <c r="F130" s="4" t="str">
        <f>IFERROR(__xludf.DUMMYFUNCTION("""COMPUTED_VALUE"""),"quote emergency plumber")</f>
        <v>quote emergency plumber</v>
      </c>
      <c r="G130" s="4" t="str">
        <f>IFERROR(__xludf.DUMMYFUNCTION("""COMPUTED_VALUE"""),"geyser replacement high pressure jetting")</f>
        <v>geyser replacement high pressure jetting</v>
      </c>
      <c r="H130" s="4" t="str">
        <f>IFERROR(__xludf.DUMMYFUNCTION("""COMPUTED_VALUE"""),"quote geyser repair")</f>
        <v>quote geyser repair</v>
      </c>
      <c r="I130" s="4" t="str">
        <f>IFERROR(__xludf.DUMMYFUNCTION("""COMPUTED_VALUE"""),"electrical services emergency")</f>
        <v>electrical services emergency</v>
      </c>
      <c r="J130" s="4" t="str">
        <f>IFERROR(__xludf.DUMMYFUNCTION("""COMPUTED_VALUE"""),"near me electrical services")</f>
        <v>near me electrical services</v>
      </c>
      <c r="K130" s="4" t="str">
        <f>IFERROR(__xludf.DUMMYFUNCTION("""COMPUTED_VALUE"""),"commercial refrigeration local")</f>
        <v>commercial refrigeration local</v>
      </c>
      <c r="L130" s="4" t="str">
        <f>IFERROR(__xludf.DUMMYFUNCTION("""COMPUTED_VALUE"""),"professional aircon installation")</f>
        <v>professional aircon installation</v>
      </c>
      <c r="M130" s="4" t="str">
        <f>IFERROR(__xludf.DUMMYFUNCTION("""COMPUTED_VALUE"""),"maintenance plumber home")</f>
        <v>maintenance plumber home</v>
      </c>
      <c r="N130" s="4" t="str">
        <f>IFERROR(__xludf.DUMMYFUNCTION("""COMPUTED_VALUE"""),"office plumbing services")</f>
        <v>office plumbing services</v>
      </c>
      <c r="O130" s="4" t="str">
        <f>IFERROR(__xludf.DUMMYFUNCTION("""COMPUTED_VALUE"""),"emergency plumber cape town qualified")</f>
        <v>emergency plumber cape town qualified</v>
      </c>
      <c r="P130" s="4" t="str">
        <f>IFERROR(__xludf.DUMMYFUNCTION("""COMPUTED_VALUE"""),"prices plumbing company cape town")</f>
        <v>prices plumbing company cape town</v>
      </c>
      <c r="Q130" s="4" t="str">
        <f>IFERROR(__xludf.DUMMYFUNCTION("""COMPUTED_VALUE"""),"plumber cost cost of")</f>
        <v>plumber cost cost of</v>
      </c>
      <c r="R130" s="4" t="str">
        <f>IFERROR(__xludf.DUMMYFUNCTION("""COMPUTED_VALUE"""),"signs you need plumbing maintenance")</f>
        <v>signs you need plumbing maintenance</v>
      </c>
      <c r="S130" s="4"/>
      <c r="T130" s="4" t="str">
        <f>IFERROR(__xludf.DUMMYFUNCTION("""COMPUTED_VALUE"""),"after hours toilet repair")</f>
        <v>after hours toilet repair</v>
      </c>
      <c r="U130" s="4"/>
      <c r="V130" s="4"/>
      <c r="W130" s="4"/>
      <c r="X130" s="4"/>
      <c r="Y130" s="4"/>
      <c r="Z130" s="4"/>
    </row>
    <row r="131" ht="15.75" customHeight="1">
      <c r="A131" s="4" t="str">
        <f>IFERROR(__xludf.DUMMYFUNCTION("""COMPUTED_VALUE"""),"geyser repair Wynberg")</f>
        <v>geyser repair Wynberg</v>
      </c>
      <c r="B131" s="4" t="str">
        <f>IFERROR(__xludf.DUMMYFUNCTION("""COMPUTED_VALUE"""),"Milnerton refrigeration services")</f>
        <v>Milnerton refrigeration services</v>
      </c>
      <c r="C131" s="4" t="str">
        <f>IFERROR(__xludf.DUMMYFUNCTION("""COMPUTED_VALUE"""),"plumbing inspection professional")</f>
        <v>plumbing inspection professional</v>
      </c>
      <c r="D131" s="4" t="str">
        <f>IFERROR(__xludf.DUMMYFUNCTION("""COMPUTED_VALUE"""),"near me plumber cape town")</f>
        <v>near me plumber cape town</v>
      </c>
      <c r="E131" s="28" t="str">
        <f>IFERROR(__xludf.DUMMYFUNCTION("""COMPUTED_VALUE"""),"leaking pipe repair near me")</f>
        <v>leaking pipe repair near me</v>
      </c>
      <c r="F131" s="4" t="str">
        <f>IFERROR(__xludf.DUMMYFUNCTION("""COMPUTED_VALUE"""),"quote kitchen plumbing repair")</f>
        <v>quote kitchen plumbing repair</v>
      </c>
      <c r="G131" s="4" t="str">
        <f>IFERROR(__xludf.DUMMYFUNCTION("""COMPUTED_VALUE"""),"geyser replacement installation")</f>
        <v>geyser replacement installation</v>
      </c>
      <c r="H131" s="4" t="str">
        <f>IFERROR(__xludf.DUMMYFUNCTION("""COMPUTED_VALUE"""),"quote geyser replacement")</f>
        <v>quote geyser replacement</v>
      </c>
      <c r="I131" s="4" t="str">
        <f>IFERROR(__xludf.DUMMYFUNCTION("""COMPUTED_VALUE"""),"electrical services inspection")</f>
        <v>electrical services inspection</v>
      </c>
      <c r="J131" s="4" t="str">
        <f>IFERROR(__xludf.DUMMYFUNCTION("""COMPUTED_VALUE"""),"near me electrician cape town")</f>
        <v>near me electrician cape town</v>
      </c>
      <c r="K131" s="4" t="str">
        <f>IFERROR(__xludf.DUMMYFUNCTION("""COMPUTED_VALUE"""),"commercial refrigeration maintenance")</f>
        <v>commercial refrigeration maintenance</v>
      </c>
      <c r="L131" s="4" t="str">
        <f>IFERROR(__xludf.DUMMYFUNCTION("""COMPUTED_VALUE"""),"professional aircon repair")</f>
        <v>professional aircon repair</v>
      </c>
      <c r="M131" s="4" t="str">
        <f>IFERROR(__xludf.DUMMYFUNCTION("""COMPUTED_VALUE"""),"maintenance plumber hotel")</f>
        <v>maintenance plumber hotel</v>
      </c>
      <c r="N131" s="4" t="str">
        <f>IFERROR(__xludf.DUMMYFUNCTION("""COMPUTED_VALUE"""),"office refrigeration services")</f>
        <v>office refrigeration services</v>
      </c>
      <c r="O131" s="4" t="str">
        <f>IFERROR(__xludf.DUMMYFUNCTION("""COMPUTED_VALUE"""),"emergency plumber cape town quote")</f>
        <v>emergency plumber cape town quote</v>
      </c>
      <c r="P131" s="4" t="str">
        <f>IFERROR(__xludf.DUMMYFUNCTION("""COMPUTED_VALUE"""),"prices schmidhauser plumbing")</f>
        <v>prices schmidhauser plumbing</v>
      </c>
      <c r="Q131" s="4" t="str">
        <f>IFERROR(__xludf.DUMMYFUNCTION("""COMPUTED_VALUE"""),"plumber cost do I need")</f>
        <v>plumber cost do I need</v>
      </c>
      <c r="R131" s="4" t="str">
        <f>IFERROR(__xludf.DUMMYFUNCTION("""COMPUTED_VALUE"""),"signs you need refrigeration repair")</f>
        <v>signs you need refrigeration repair</v>
      </c>
      <c r="S131" s="4"/>
      <c r="T131" s="4" t="str">
        <f>IFERROR(__xludf.DUMMYFUNCTION("""COMPUTED_VALUE"""),"after hours water leak repair")</f>
        <v>after hours water leak repair</v>
      </c>
      <c r="U131" s="4"/>
      <c r="V131" s="4"/>
      <c r="W131" s="4"/>
      <c r="X131" s="4"/>
      <c r="Y131" s="4"/>
      <c r="Z131" s="4"/>
    </row>
    <row r="132" ht="15.75" customHeight="1">
      <c r="A132" s="4" t="str">
        <f>IFERROR(__xludf.DUMMYFUNCTION("""COMPUTED_VALUE"""),"leak detection plumber Atlantic Seaboard")</f>
        <v>leak detection plumber Atlantic Seaboard</v>
      </c>
      <c r="B132" s="4" t="str">
        <f>IFERROR(__xludf.DUMMYFUNCTION("""COMPUTED_VALUE"""),"Muizenberg aircon repairs")</f>
        <v>Muizenberg aircon repairs</v>
      </c>
      <c r="C132" s="4" t="str">
        <f>IFERROR(__xludf.DUMMYFUNCTION("""COMPUTED_VALUE"""),"plumbing inspection qualified")</f>
        <v>plumbing inspection qualified</v>
      </c>
      <c r="D132" s="4" t="str">
        <f>IFERROR(__xludf.DUMMYFUNCTION("""COMPUTED_VALUE"""),"near me plumbing company")</f>
        <v>near me plumbing company</v>
      </c>
      <c r="E132" s="28" t="str">
        <f>IFERROR(__xludf.DUMMYFUNCTION("""COMPUTED_VALUE"""),"leaking pipe repair plumber")</f>
        <v>leaking pipe repair plumber</v>
      </c>
      <c r="F132" s="4" t="str">
        <f>IFERROR(__xludf.DUMMYFUNCTION("""COMPUTED_VALUE"""),"quote leaking pipe repair")</f>
        <v>quote leaking pipe repair</v>
      </c>
      <c r="G132" s="4" t="str">
        <f>IFERROR(__xludf.DUMMYFUNCTION("""COMPUTED_VALUE"""),"geyser replacement near me")</f>
        <v>geyser replacement near me</v>
      </c>
      <c r="H132" s="4" t="str">
        <f>IFERROR(__xludf.DUMMYFUNCTION("""COMPUTED_VALUE"""),"quote leak detection")</f>
        <v>quote leak detection</v>
      </c>
      <c r="I132" s="4" t="str">
        <f>IFERROR(__xludf.DUMMYFUNCTION("""COMPUTED_VALUE"""),"electrical services installation")</f>
        <v>electrical services installation</v>
      </c>
      <c r="J132" s="4" t="str">
        <f>IFERROR(__xludf.DUMMYFUNCTION("""COMPUTED_VALUE"""),"near me emergency electrician")</f>
        <v>near me emergency electrician</v>
      </c>
      <c r="K132" s="4" t="str">
        <f>IFERROR(__xludf.DUMMYFUNCTION("""COMPUTED_VALUE"""),"commercial refrigeration near me")</f>
        <v>commercial refrigeration near me</v>
      </c>
      <c r="L132" s="4" t="str">
        <f>IFERROR(__xludf.DUMMYFUNCTION("""COMPUTED_VALUE"""),"professional aircon service")</f>
        <v>professional aircon service</v>
      </c>
      <c r="M132" s="4" t="str">
        <f>IFERROR(__xludf.DUMMYFUNCTION("""COMPUTED_VALUE"""),"maintenance plumber house")</f>
        <v>maintenance plumber house</v>
      </c>
      <c r="N132" s="4" t="str">
        <f>IFERROR(__xludf.DUMMYFUNCTION("""COMPUTED_VALUE"""),"property manager air conditioning services")</f>
        <v>property manager air conditioning services</v>
      </c>
      <c r="O132" s="4" t="str">
        <f>IFERROR(__xludf.DUMMYFUNCTION("""COMPUTED_VALUE"""),"emergency plumber cape town reliable")</f>
        <v>emergency plumber cape town reliable</v>
      </c>
      <c r="P132" s="4" t="str">
        <f>IFERROR(__xludf.DUMMYFUNCTION("""COMPUTED_VALUE"""),"qualified absolute plumbing cape town")</f>
        <v>qualified absolute plumbing cape town</v>
      </c>
      <c r="Q132" s="4" t="str">
        <f>IFERROR(__xludf.DUMMYFUNCTION("""COMPUTED_VALUE"""),"plumber cost emergency help for")</f>
        <v>plumber cost emergency help for</v>
      </c>
      <c r="R132" s="4" t="str">
        <f>IFERROR(__xludf.DUMMYFUNCTION("""COMPUTED_VALUE"""),"what causes aircon service")</f>
        <v>what causes aircon service</v>
      </c>
      <c r="S132" s="4"/>
      <c r="T132" s="4" t="str">
        <f>IFERROR(__xludf.DUMMYFUNCTION("""COMPUTED_VALUE"""),"air conditioning affordable")</f>
        <v>air conditioning affordable</v>
      </c>
      <c r="U132" s="4"/>
      <c r="V132" s="4"/>
      <c r="W132" s="4"/>
      <c r="X132" s="4"/>
      <c r="Y132" s="4"/>
      <c r="Z132" s="4"/>
    </row>
    <row r="133" ht="15.75" customHeight="1">
      <c r="A133" s="4" t="str">
        <f>IFERROR(__xludf.DUMMYFUNCTION("""COMPUTED_VALUE"""),"leak detection plumber Bellville")</f>
        <v>leak detection plumber Bellville</v>
      </c>
      <c r="B133" s="4" t="str">
        <f>IFERROR(__xludf.DUMMYFUNCTION("""COMPUTED_VALUE"""),"Muizenberg blocked drain plumber")</f>
        <v>Muizenberg blocked drain plumber</v>
      </c>
      <c r="C133" s="4" t="str">
        <f>IFERROR(__xludf.DUMMYFUNCTION("""COMPUTED_VALUE"""),"plumbing inspection quote")</f>
        <v>plumbing inspection quote</v>
      </c>
      <c r="D133" s="4" t="str">
        <f>IFERROR(__xludf.DUMMYFUNCTION("""COMPUTED_VALUE"""),"near me plumbing contractors")</f>
        <v>near me plumbing contractors</v>
      </c>
      <c r="E133" s="28" t="str">
        <f>IFERROR(__xludf.DUMMYFUNCTION("""COMPUTED_VALUE"""),"leaking pipe repair professional")</f>
        <v>leaking pipe repair professional</v>
      </c>
      <c r="F133" s="4" t="str">
        <f>IFERROR(__xludf.DUMMYFUNCTION("""COMPUTED_VALUE"""),"quote leaking tap repair")</f>
        <v>quote leaking tap repair</v>
      </c>
      <c r="G133" s="4" t="str">
        <f>IFERROR(__xludf.DUMMYFUNCTION("""COMPUTED_VALUE"""),"geyser replacement plumber")</f>
        <v>geyser replacement plumber</v>
      </c>
      <c r="H133" s="4" t="str">
        <f>IFERROR(__xludf.DUMMYFUNCTION("""COMPUTED_VALUE"""),"quote pipe repair")</f>
        <v>quote pipe repair</v>
      </c>
      <c r="I133" s="4" t="str">
        <f>IFERROR(__xludf.DUMMYFUNCTION("""COMPUTED_VALUE"""),"electrical services licensed")</f>
        <v>electrical services licensed</v>
      </c>
      <c r="J133" s="4" t="str">
        <f>IFERROR(__xludf.DUMMYFUNCTION("""COMPUTED_VALUE"""),"near me residential electrician")</f>
        <v>near me residential electrician</v>
      </c>
      <c r="K133" s="4" t="str">
        <f>IFERROR(__xludf.DUMMYFUNCTION("""COMPUTED_VALUE"""),"commercial refrigeration professional")</f>
        <v>commercial refrigeration professional</v>
      </c>
      <c r="L133" s="4" t="str">
        <f>IFERROR(__xludf.DUMMYFUNCTION("""COMPUTED_VALUE"""),"professional cold room repair")</f>
        <v>professional cold room repair</v>
      </c>
      <c r="M133" s="4" t="str">
        <f>IFERROR(__xludf.DUMMYFUNCTION("""COMPUTED_VALUE"""),"maintenance plumber landlord")</f>
        <v>maintenance plumber landlord</v>
      </c>
      <c r="N133" s="4" t="str">
        <f>IFERROR(__xludf.DUMMYFUNCTION("""COMPUTED_VALUE"""),"property manager drain cleaning")</f>
        <v>property manager drain cleaning</v>
      </c>
      <c r="O133" s="4" t="str">
        <f>IFERROR(__xludf.DUMMYFUNCTION("""COMPUTED_VALUE"""),"emergency plumber cape town reputable")</f>
        <v>emergency plumber cape town reputable</v>
      </c>
      <c r="P133" s="4" t="str">
        <f>IFERROR(__xludf.DUMMYFUNCTION("""COMPUTED_VALUE"""),"qualified aircon repair cape town")</f>
        <v>qualified aircon repair cape town</v>
      </c>
      <c r="Q133" s="4" t="str">
        <f>IFERROR(__xludf.DUMMYFUNCTION("""COMPUTED_VALUE"""),"plumber cost how long does")</f>
        <v>plumber cost how long does</v>
      </c>
      <c r="R133" s="4" t="str">
        <f>IFERROR(__xludf.DUMMYFUNCTION("""COMPUTED_VALUE"""),"what causes blocked drain")</f>
        <v>what causes blocked drain</v>
      </c>
      <c r="S133" s="4"/>
      <c r="T133" s="4" t="str">
        <f>IFERROR(__xludf.DUMMYFUNCTION("""COMPUTED_VALUE"""),"air conditioning best")</f>
        <v>air conditioning best</v>
      </c>
      <c r="U133" s="4"/>
      <c r="V133" s="4"/>
      <c r="W133" s="4"/>
      <c r="X133" s="4"/>
      <c r="Y133" s="4"/>
      <c r="Z133" s="4"/>
    </row>
    <row r="134" ht="15.75" customHeight="1">
      <c r="A134" s="4" t="str">
        <f>IFERROR(__xludf.DUMMYFUNCTION("""COMPUTED_VALUE"""),"leak detection plumber Camps Bay")</f>
        <v>leak detection plumber Camps Bay</v>
      </c>
      <c r="B134" s="4" t="str">
        <f>IFERROR(__xludf.DUMMYFUNCTION("""COMPUTED_VALUE"""),"Muizenberg electrician")</f>
        <v>Muizenberg electrician</v>
      </c>
      <c r="C134" s="4" t="str">
        <f>IFERROR(__xludf.DUMMYFUNCTION("""COMPUTED_VALUE"""),"plumbing inspection reliable")</f>
        <v>plumbing inspection reliable</v>
      </c>
      <c r="D134" s="4" t="str">
        <f>IFERROR(__xludf.DUMMYFUNCTION("""COMPUTED_VALUE"""),"near me plumbing inspection")</f>
        <v>near me plumbing inspection</v>
      </c>
      <c r="E134" s="28" t="str">
        <f>IFERROR(__xludf.DUMMYFUNCTION("""COMPUTED_VALUE"""),"leaking pipe repair quote")</f>
        <v>leaking pipe repair quote</v>
      </c>
      <c r="F134" s="4" t="str">
        <f>IFERROR(__xludf.DUMMYFUNCTION("""COMPUTED_VALUE"""),"quote toilet repair")</f>
        <v>quote toilet repair</v>
      </c>
      <c r="G134" s="4" t="str">
        <f>IFERROR(__xludf.DUMMYFUNCTION("""COMPUTED_VALUE"""),"geyser replacement plumbing company")</f>
        <v>geyser replacement plumbing company</v>
      </c>
      <c r="H134" s="4" t="str">
        <f>IFERROR(__xludf.DUMMYFUNCTION("""COMPUTED_VALUE"""),"quote water leak detection")</f>
        <v>quote water leak detection</v>
      </c>
      <c r="I134" s="4" t="str">
        <f>IFERROR(__xludf.DUMMYFUNCTION("""COMPUTED_VALUE"""),"electrical services local")</f>
        <v>electrical services local</v>
      </c>
      <c r="J134" s="4" t="str">
        <f>IFERROR(__xludf.DUMMYFUNCTION("""COMPUTED_VALUE"""),"professional commercial electrician")</f>
        <v>professional commercial electrician</v>
      </c>
      <c r="K134" s="4" t="str">
        <f>IFERROR(__xludf.DUMMYFUNCTION("""COMPUTED_VALUE"""),"commercial refrigeration quote")</f>
        <v>commercial refrigeration quote</v>
      </c>
      <c r="L134" s="4" t="str">
        <f>IFERROR(__xludf.DUMMYFUNCTION("""COMPUTED_VALUE"""),"professional commercial refrigeration")</f>
        <v>professional commercial refrigeration</v>
      </c>
      <c r="M134" s="4" t="str">
        <f>IFERROR(__xludf.DUMMYFUNCTION("""COMPUTED_VALUE"""),"maintenance plumber office")</f>
        <v>maintenance plumber office</v>
      </c>
      <c r="N134" s="4" t="str">
        <f>IFERROR(__xludf.DUMMYFUNCTION("""COMPUTED_VALUE"""),"property manager electrical repairs")</f>
        <v>property manager electrical repairs</v>
      </c>
      <c r="O134" s="4" t="str">
        <f>IFERROR(__xludf.DUMMYFUNCTION("""COMPUTED_VALUE"""),"emergency plumber cape town review")</f>
        <v>emergency plumber cape town review</v>
      </c>
      <c r="P134" s="4" t="str">
        <f>IFERROR(__xludf.DUMMYFUNCTION("""COMPUTED_VALUE"""),"qualified bosman plumbers")</f>
        <v>qualified bosman plumbers</v>
      </c>
      <c r="Q134" s="4" t="str">
        <f>IFERROR(__xludf.DUMMYFUNCTION("""COMPUTED_VALUE"""),"plumber cost how much does")</f>
        <v>plumber cost how much does</v>
      </c>
      <c r="R134" s="4" t="str">
        <f>IFERROR(__xludf.DUMMYFUNCTION("""COMPUTED_VALUE"""),"what causes burst pipe")</f>
        <v>what causes burst pipe</v>
      </c>
      <c r="S134" s="4"/>
      <c r="T134" s="4" t="str">
        <f>IFERROR(__xludf.DUMMYFUNCTION("""COMPUTED_VALUE"""),"air conditioning cape town")</f>
        <v>air conditioning cape town</v>
      </c>
      <c r="U134" s="4"/>
      <c r="V134" s="4"/>
      <c r="W134" s="4"/>
      <c r="X134" s="4"/>
      <c r="Y134" s="4"/>
      <c r="Z134" s="4"/>
    </row>
    <row r="135" ht="15.75" customHeight="1">
      <c r="A135" s="4" t="str">
        <f>IFERROR(__xludf.DUMMYFUNCTION("""COMPUTED_VALUE"""),"leak detection plumber Cape Town")</f>
        <v>leak detection plumber Cape Town</v>
      </c>
      <c r="B135" s="4" t="str">
        <f>IFERROR(__xludf.DUMMYFUNCTION("""COMPUTED_VALUE"""),"Muizenberg emergency plumber")</f>
        <v>Muizenberg emergency plumber</v>
      </c>
      <c r="C135" s="4" t="str">
        <f>IFERROR(__xludf.DUMMYFUNCTION("""COMPUTED_VALUE"""),"plumbing inspection repair")</f>
        <v>plumbing inspection repair</v>
      </c>
      <c r="D135" s="4" t="str">
        <f>IFERROR(__xludf.DUMMYFUNCTION("""COMPUTED_VALUE"""),"near me plumbing installation")</f>
        <v>near me plumbing installation</v>
      </c>
      <c r="E135" s="28" t="str">
        <f>IFERROR(__xludf.DUMMYFUNCTION("""COMPUTED_VALUE"""),"leaking pipe repair reliable")</f>
        <v>leaking pipe repair reliable</v>
      </c>
      <c r="F135" s="4" t="str">
        <f>IFERROR(__xludf.DUMMYFUNCTION("""COMPUTED_VALUE"""),"quote water leak repair")</f>
        <v>quote water leak repair</v>
      </c>
      <c r="G135" s="4" t="str">
        <f>IFERROR(__xludf.DUMMYFUNCTION("""COMPUTED_VALUE"""),"geyser replacement quote")</f>
        <v>geyser replacement quote</v>
      </c>
      <c r="H135" s="4" t="str">
        <f>IFERROR(__xludf.DUMMYFUNCTION("""COMPUTED_VALUE"""),"reliable blocked drain")</f>
        <v>reliable blocked drain</v>
      </c>
      <c r="I135" s="4" t="str">
        <f>IFERROR(__xludf.DUMMYFUNCTION("""COMPUTED_VALUE"""),"electrical services near me")</f>
        <v>electrical services near me</v>
      </c>
      <c r="J135" s="4" t="str">
        <f>IFERROR(__xludf.DUMMYFUNCTION("""COMPUTED_VALUE"""),"professional electrical compliance certificate")</f>
        <v>professional electrical compliance certificate</v>
      </c>
      <c r="K135" s="4" t="str">
        <f>IFERROR(__xludf.DUMMYFUNCTION("""COMPUTED_VALUE"""),"commercial refrigeration reliable")</f>
        <v>commercial refrigeration reliable</v>
      </c>
      <c r="L135" s="4" t="str">
        <f>IFERROR(__xludf.DUMMYFUNCTION("""COMPUTED_VALUE"""),"professional fridge repair")</f>
        <v>professional fridge repair</v>
      </c>
      <c r="M135" s="4" t="str">
        <f>IFERROR(__xludf.DUMMYFUNCTION("""COMPUTED_VALUE"""),"maintenance plumber property manager")</f>
        <v>maintenance plumber property manager</v>
      </c>
      <c r="N135" s="4" t="str">
        <f>IFERROR(__xludf.DUMMYFUNCTION("""COMPUTED_VALUE"""),"property manager emergency plumbing")</f>
        <v>property manager emergency plumbing</v>
      </c>
      <c r="O135" s="4" t="str">
        <f>IFERROR(__xludf.DUMMYFUNCTION("""COMPUTED_VALUE"""),"emergency plumber cape town reviews")</f>
        <v>emergency plumber cape town reviews</v>
      </c>
      <c r="P135" s="4" t="str">
        <f>IFERROR(__xludf.DUMMYFUNCTION("""COMPUTED_VALUE"""),"qualified drain surgeon cape town")</f>
        <v>qualified drain surgeon cape town</v>
      </c>
      <c r="Q135" s="4" t="str">
        <f>IFERROR(__xludf.DUMMYFUNCTION("""COMPUTED_VALUE"""),"plumber cost how to choose")</f>
        <v>plumber cost how to choose</v>
      </c>
      <c r="R135" s="4" t="str">
        <f>IFERROR(__xludf.DUMMYFUNCTION("""COMPUTED_VALUE"""),"what causes electrical COC")</f>
        <v>what causes electrical COC</v>
      </c>
      <c r="S135" s="4"/>
      <c r="T135" s="4" t="str">
        <f>IFERROR(__xludf.DUMMYFUNCTION("""COMPUTED_VALUE"""),"air conditioning commercial")</f>
        <v>air conditioning commercial</v>
      </c>
      <c r="U135" s="4"/>
      <c r="V135" s="4"/>
      <c r="W135" s="4"/>
      <c r="X135" s="4"/>
      <c r="Y135" s="4"/>
      <c r="Z135" s="4"/>
    </row>
    <row r="136" ht="15.75" customHeight="1">
      <c r="A136" s="4" t="str">
        <f>IFERROR(__xludf.DUMMYFUNCTION("""COMPUTED_VALUE"""),"leak detection plumber Cape Town CBD")</f>
        <v>leak detection plumber Cape Town CBD</v>
      </c>
      <c r="B136" s="4" t="str">
        <f>IFERROR(__xludf.DUMMYFUNCTION("""COMPUTED_VALUE"""),"Muizenberg geyser repair")</f>
        <v>Muizenberg geyser repair</v>
      </c>
      <c r="C136" s="4" t="str">
        <f>IFERROR(__xludf.DUMMYFUNCTION("""COMPUTED_VALUE"""),"plumbing inspection same day")</f>
        <v>plumbing inspection same day</v>
      </c>
      <c r="D136" s="4" t="str">
        <f>IFERROR(__xludf.DUMMYFUNCTION("""COMPUTED_VALUE"""),"near me plumbing repairs")</f>
        <v>near me plumbing repairs</v>
      </c>
      <c r="E136" s="28" t="str">
        <f>IFERROR(__xludf.DUMMYFUNCTION("""COMPUTED_VALUE"""),"leaking pipe repair residential")</f>
        <v>leaking pipe repair residential</v>
      </c>
      <c r="F136" s="4" t="str">
        <f>IFERROR(__xludf.DUMMYFUNCTION("""COMPUTED_VALUE"""),"reliable 24 hour plumber")</f>
        <v>reliable 24 hour plumber</v>
      </c>
      <c r="G136" s="4" t="str">
        <f>IFERROR(__xludf.DUMMYFUNCTION("""COMPUTED_VALUE"""),"geyser replacement reliable")</f>
        <v>geyser replacement reliable</v>
      </c>
      <c r="H136" s="4" t="str">
        <f>IFERROR(__xludf.DUMMYFUNCTION("""COMPUTED_VALUE"""),"reliable burst geyser")</f>
        <v>reliable burst geyser</v>
      </c>
      <c r="I136" s="4" t="str">
        <f>IFERROR(__xludf.DUMMYFUNCTION("""COMPUTED_VALUE"""),"electrical services professional")</f>
        <v>electrical services professional</v>
      </c>
      <c r="J136" s="4" t="str">
        <f>IFERROR(__xludf.DUMMYFUNCTION("""COMPUTED_VALUE"""),"professional electrical contractor")</f>
        <v>professional electrical contractor</v>
      </c>
      <c r="K136" s="4" t="str">
        <f>IFERROR(__xludf.DUMMYFUNCTION("""COMPUTED_VALUE"""),"commercial refrigeration repair")</f>
        <v>commercial refrigeration repair</v>
      </c>
      <c r="L136" s="4" t="str">
        <f>IFERROR(__xludf.DUMMYFUNCTION("""COMPUTED_VALUE"""),"professional HVAC services")</f>
        <v>professional HVAC services</v>
      </c>
      <c r="M136" s="4" t="str">
        <f>IFERROR(__xludf.DUMMYFUNCTION("""COMPUTED_VALUE"""),"maintenance plumber residential property")</f>
        <v>maintenance plumber residential property</v>
      </c>
      <c r="N136" s="4" t="str">
        <f>IFERROR(__xludf.DUMMYFUNCTION("""COMPUTED_VALUE"""),"property manager geyser repairs")</f>
        <v>property manager geyser repairs</v>
      </c>
      <c r="O136" s="4" t="str">
        <f>IFERROR(__xludf.DUMMYFUNCTION("""COMPUTED_VALUE"""),"emergency plumber cape town same day")</f>
        <v>emergency plumber cape town same day</v>
      </c>
      <c r="P136" s="4" t="str">
        <f>IFERROR(__xludf.DUMMYFUNCTION("""COMPUTED_VALUE"""),"qualified electrician cape town")</f>
        <v>qualified electrician cape town</v>
      </c>
      <c r="Q136" s="4" t="str">
        <f>IFERROR(__xludf.DUMMYFUNCTION("""COMPUTED_VALUE"""),"plumber cost how to prevent")</f>
        <v>plumber cost how to prevent</v>
      </c>
      <c r="R136" s="4" t="str">
        <f>IFERROR(__xludf.DUMMYFUNCTION("""COMPUTED_VALUE"""),"what causes emergency plumber")</f>
        <v>what causes emergency plumber</v>
      </c>
      <c r="S136" s="4"/>
      <c r="T136" s="4" t="str">
        <f>IFERROR(__xludf.DUMMYFUNCTION("""COMPUTED_VALUE"""),"air conditioning company")</f>
        <v>air conditioning company</v>
      </c>
      <c r="U136" s="4"/>
      <c r="V136" s="4"/>
      <c r="W136" s="4"/>
      <c r="X136" s="4"/>
      <c r="Y136" s="4"/>
      <c r="Z136" s="4"/>
    </row>
    <row r="137" ht="15.75" customHeight="1">
      <c r="A137" s="4" t="str">
        <f>IFERROR(__xludf.DUMMYFUNCTION("""COMPUTED_VALUE"""),"leak detection plumber Claremont")</f>
        <v>leak detection plumber Claremont</v>
      </c>
      <c r="B137" s="4" t="str">
        <f>IFERROR(__xludf.DUMMYFUNCTION("""COMPUTED_VALUE"""),"Muizenberg leak detection plumber")</f>
        <v>Muizenberg leak detection plumber</v>
      </c>
      <c r="C137" s="4" t="str">
        <f>IFERROR(__xludf.DUMMYFUNCTION("""COMPUTED_VALUE"""),"plumbing inspection service")</f>
        <v>plumbing inspection service</v>
      </c>
      <c r="D137" s="4" t="str">
        <f>IFERROR(__xludf.DUMMYFUNCTION("""COMPUTED_VALUE"""),"near me plumbing services")</f>
        <v>near me plumbing services</v>
      </c>
      <c r="E137" s="28" t="str">
        <f>IFERROR(__xludf.DUMMYFUNCTION("""COMPUTED_VALUE"""),"leaking pipe repair same day")</f>
        <v>leaking pipe repair same day</v>
      </c>
      <c r="F137" s="4" t="str">
        <f>IFERROR(__xludf.DUMMYFUNCTION("""COMPUTED_VALUE"""),"reliable bathroom plumbing repair")</f>
        <v>reliable bathroom plumbing repair</v>
      </c>
      <c r="G137" s="4" t="str">
        <f>IFERROR(__xludf.DUMMYFUNCTION("""COMPUTED_VALUE"""),"geyser replacement repair")</f>
        <v>geyser replacement repair</v>
      </c>
      <c r="H137" s="4" t="str">
        <f>IFERROR(__xludf.DUMMYFUNCTION("""COMPUTED_VALUE"""),"reliable drain cleaning")</f>
        <v>reliable drain cleaning</v>
      </c>
      <c r="I137" s="4" t="str">
        <f>IFERROR(__xludf.DUMMYFUNCTION("""COMPUTED_VALUE"""),"electrical services qualified")</f>
        <v>electrical services qualified</v>
      </c>
      <c r="J137" s="4" t="str">
        <f>IFERROR(__xludf.DUMMYFUNCTION("""COMPUTED_VALUE"""),"professional electrical installation")</f>
        <v>professional electrical installation</v>
      </c>
      <c r="K137" s="4" t="str">
        <f>IFERROR(__xludf.DUMMYFUNCTION("""COMPUTED_VALUE"""),"commercial refrigeration residential")</f>
        <v>commercial refrigeration residential</v>
      </c>
      <c r="L137" s="4" t="str">
        <f>IFERROR(__xludf.DUMMYFUNCTION("""COMPUTED_VALUE"""),"professional refrigeration repair")</f>
        <v>professional refrigeration repair</v>
      </c>
      <c r="M137" s="4" t="str">
        <f>IFERROR(__xludf.DUMMYFUNCTION("""COMPUTED_VALUE"""),"maintenance plumber restaurant")</f>
        <v>maintenance plumber restaurant</v>
      </c>
      <c r="N137" s="4" t="str">
        <f>IFERROR(__xludf.DUMMYFUNCTION("""COMPUTED_VALUE"""),"property manager leak detection")</f>
        <v>property manager leak detection</v>
      </c>
      <c r="O137" s="4" t="str">
        <f>IFERROR(__xludf.DUMMYFUNCTION("""COMPUTED_VALUE"""),"emergency plumber cape town top rated")</f>
        <v>emergency plumber cape town top rated</v>
      </c>
      <c r="P137" s="4" t="str">
        <f>IFERROR(__xludf.DUMMYFUNCTION("""COMPUTED_VALUE"""),"qualified emergency plumber cape town")</f>
        <v>qualified emergency plumber cape town</v>
      </c>
      <c r="Q137" s="4" t="str">
        <f>IFERROR(__xludf.DUMMYFUNCTION("""COMPUTED_VALUE"""),"plumber cost is it safe to")</f>
        <v>plumber cost is it safe to</v>
      </c>
      <c r="R137" s="4" t="str">
        <f>IFERROR(__xludf.DUMMYFUNCTION("""COMPUTED_VALUE"""),"what causes geyser repair")</f>
        <v>what causes geyser repair</v>
      </c>
      <c r="S137" s="4"/>
      <c r="T137" s="4" t="str">
        <f>IFERROR(__xludf.DUMMYFUNCTION("""COMPUTED_VALUE"""),"air conditioning contractor")</f>
        <v>air conditioning contractor</v>
      </c>
      <c r="U137" s="4"/>
      <c r="V137" s="4"/>
      <c r="W137" s="4"/>
      <c r="X137" s="4"/>
      <c r="Y137" s="4"/>
      <c r="Z137" s="4"/>
    </row>
    <row r="138" ht="15.75" customHeight="1">
      <c r="A138" s="4" t="str">
        <f>IFERROR(__xludf.DUMMYFUNCTION("""COMPUTED_VALUE"""),"leak detection plumber Constantia")</f>
        <v>leak detection plumber Constantia</v>
      </c>
      <c r="B138" s="4" t="str">
        <f>IFERROR(__xludf.DUMMYFUNCTION("""COMPUTED_VALUE"""),"Muizenberg plumber")</f>
        <v>Muizenberg plumber</v>
      </c>
      <c r="C138" s="4" t="str">
        <f>IFERROR(__xludf.DUMMYFUNCTION("""COMPUTED_VALUE"""),"plumbing inspection top rated")</f>
        <v>plumbing inspection top rated</v>
      </c>
      <c r="D138" s="4" t="str">
        <f>IFERROR(__xludf.DUMMYFUNCTION("""COMPUTED_VALUE"""),"near me residential plumber")</f>
        <v>near me residential plumber</v>
      </c>
      <c r="E138" s="28" t="str">
        <f>IFERROR(__xludf.DUMMYFUNCTION("""COMPUTED_VALUE"""),"leaking pipe repair service")</f>
        <v>leaking pipe repair service</v>
      </c>
      <c r="F138" s="4" t="str">
        <f>IFERROR(__xludf.DUMMYFUNCTION("""COMPUTED_VALUE"""),"reliable blocked toilet plumber")</f>
        <v>reliable blocked toilet plumber</v>
      </c>
      <c r="G138" s="4" t="str">
        <f>IFERROR(__xludf.DUMMYFUNCTION("""COMPUTED_VALUE"""),"geyser replacement residential")</f>
        <v>geyser replacement residential</v>
      </c>
      <c r="H138" s="4" t="str">
        <f>IFERROR(__xludf.DUMMYFUNCTION("""COMPUTED_VALUE"""),"reliable drain inspection")</f>
        <v>reliable drain inspection</v>
      </c>
      <c r="I138" s="4" t="str">
        <f>IFERROR(__xludf.DUMMYFUNCTION("""COMPUTED_VALUE"""),"electrical services quote")</f>
        <v>electrical services quote</v>
      </c>
      <c r="J138" s="4" t="str">
        <f>IFERROR(__xludf.DUMMYFUNCTION("""COMPUTED_VALUE"""),"professional electrical maintenance")</f>
        <v>professional electrical maintenance</v>
      </c>
      <c r="K138" s="4" t="str">
        <f>IFERROR(__xludf.DUMMYFUNCTION("""COMPUTED_VALUE"""),"commercial refrigeration same day")</f>
        <v>commercial refrigeration same day</v>
      </c>
      <c r="L138" s="4" t="str">
        <f>IFERROR(__xludf.DUMMYFUNCTION("""COMPUTED_VALUE"""),"quote air conditioning")</f>
        <v>quote air conditioning</v>
      </c>
      <c r="M138" s="4" t="str">
        <f>IFERROR(__xludf.DUMMYFUNCTION("""COMPUTED_VALUE"""),"maintenance plumber school")</f>
        <v>maintenance plumber school</v>
      </c>
      <c r="N138" s="4" t="str">
        <f>IFERROR(__xludf.DUMMYFUNCTION("""COMPUTED_VALUE"""),"property manager maintenance plumber")</f>
        <v>property manager maintenance plumber</v>
      </c>
      <c r="O138" s="4" t="str">
        <f>IFERROR(__xludf.DUMMYFUNCTION("""COMPUTED_VALUE"""),"emergency plumber cape town trusted")</f>
        <v>emergency plumber cape town trusted</v>
      </c>
      <c r="P138" s="4" t="str">
        <f>IFERROR(__xludf.DUMMYFUNCTION("""COMPUTED_VALUE"""),"qualified plumber near me")</f>
        <v>qualified plumber near me</v>
      </c>
      <c r="Q138" s="4" t="str">
        <f>IFERROR(__xludf.DUMMYFUNCTION("""COMPUTED_VALUE"""),"plumber cost near me for")</f>
        <v>plumber cost near me for</v>
      </c>
      <c r="R138" s="4" t="str">
        <f>IFERROR(__xludf.DUMMYFUNCTION("""COMPUTED_VALUE"""),"what causes leak detection")</f>
        <v>what causes leak detection</v>
      </c>
      <c r="S138" s="4"/>
      <c r="T138" s="4" t="str">
        <f>IFERROR(__xludf.DUMMYFUNCTION("""COMPUTED_VALUE"""),"air conditioning cost")</f>
        <v>air conditioning cost</v>
      </c>
      <c r="U138" s="4"/>
      <c r="V138" s="4"/>
      <c r="W138" s="4"/>
      <c r="X138" s="4"/>
      <c r="Y138" s="4"/>
      <c r="Z138" s="4"/>
    </row>
    <row r="139" ht="15.75" customHeight="1">
      <c r="A139" s="4" t="str">
        <f>IFERROR(__xludf.DUMMYFUNCTION("""COMPUTED_VALUE"""),"leak detection plumber Durbanville")</f>
        <v>leak detection plumber Durbanville</v>
      </c>
      <c r="B139" s="4" t="str">
        <f>IFERROR(__xludf.DUMMYFUNCTION("""COMPUTED_VALUE"""),"Muizenberg plumbers")</f>
        <v>Muizenberg plumbers</v>
      </c>
      <c r="C139" s="4" t="str">
        <f>IFERROR(__xludf.DUMMYFUNCTION("""COMPUTED_VALUE"""),"plumbing inspection trusted")</f>
        <v>plumbing inspection trusted</v>
      </c>
      <c r="D139" s="4" t="str">
        <f>IFERROR(__xludf.DUMMYFUNCTION("""COMPUTED_VALUE"""),"plumbing company")</f>
        <v>plumbing company</v>
      </c>
      <c r="E139" s="28" t="str">
        <f>IFERROR(__xludf.DUMMYFUNCTION("""COMPUTED_VALUE"""),"leaking pipe repair urgent")</f>
        <v>leaking pipe repair urgent</v>
      </c>
      <c r="F139" s="4" t="str">
        <f>IFERROR(__xludf.DUMMYFUNCTION("""COMPUTED_VALUE"""),"reliable burst pipe repair")</f>
        <v>reliable burst pipe repair</v>
      </c>
      <c r="G139" s="4" t="str">
        <f>IFERROR(__xludf.DUMMYFUNCTION("""COMPUTED_VALUE"""),"geyser replacement same day")</f>
        <v>geyser replacement same day</v>
      </c>
      <c r="H139" s="4" t="str">
        <f>IFERROR(__xludf.DUMMYFUNCTION("""COMPUTED_VALUE"""),"reliable drain unblocking")</f>
        <v>reliable drain unblocking</v>
      </c>
      <c r="I139" s="4" t="str">
        <f>IFERROR(__xludf.DUMMYFUNCTION("""COMPUTED_VALUE"""),"electrical services reliable")</f>
        <v>electrical services reliable</v>
      </c>
      <c r="J139" s="4" t="str">
        <f>IFERROR(__xludf.DUMMYFUNCTION("""COMPUTED_VALUE"""),"professional electrical repairs")</f>
        <v>professional electrical repairs</v>
      </c>
      <c r="K139" s="4" t="str">
        <f>IFERROR(__xludf.DUMMYFUNCTION("""COMPUTED_VALUE"""),"commercial refrigeration service")</f>
        <v>commercial refrigeration service</v>
      </c>
      <c r="L139" s="4" t="str">
        <f>IFERROR(__xludf.DUMMYFUNCTION("""COMPUTED_VALUE"""),"quote air conditioning repair")</f>
        <v>quote air conditioning repair</v>
      </c>
      <c r="M139" s="4" t="str">
        <f>IFERROR(__xludf.DUMMYFUNCTION("""COMPUTED_VALUE"""),"maintenance plumber shop")</f>
        <v>maintenance plumber shop</v>
      </c>
      <c r="N139" s="4" t="str">
        <f>IFERROR(__xludf.DUMMYFUNCTION("""COMPUTED_VALUE"""),"property manager plumbing company")</f>
        <v>property manager plumbing company</v>
      </c>
      <c r="O139" s="4" t="str">
        <f>IFERROR(__xludf.DUMMYFUNCTION("""COMPUTED_VALUE"""),"emergency plumber cape town vs")</f>
        <v>emergency plumber cape town vs</v>
      </c>
      <c r="P139" s="4" t="str">
        <f>IFERROR(__xludf.DUMMYFUNCTION("""COMPUTED_VALUE"""),"qualified plumbers cape town")</f>
        <v>qualified plumbers cape town</v>
      </c>
      <c r="Q139" s="4" t="str">
        <f>IFERROR(__xludf.DUMMYFUNCTION("""COMPUTED_VALUE"""),"plumber cost same day help for")</f>
        <v>plumber cost same day help for</v>
      </c>
      <c r="R139" s="4" t="str">
        <f>IFERROR(__xludf.DUMMYFUNCTION("""COMPUTED_VALUE"""),"what causes plumber cost")</f>
        <v>what causes plumber cost</v>
      </c>
      <c r="S139" s="4"/>
      <c r="T139" s="4" t="str">
        <f>IFERROR(__xludf.DUMMYFUNCTION("""COMPUTED_VALUE"""),"air conditioning emergency")</f>
        <v>air conditioning emergency</v>
      </c>
      <c r="U139" s="4"/>
      <c r="V139" s="4"/>
      <c r="W139" s="4"/>
      <c r="X139" s="4"/>
      <c r="Y139" s="4"/>
      <c r="Z139" s="4"/>
    </row>
    <row r="140" ht="15.75" customHeight="1">
      <c r="A140" s="4" t="str">
        <f>IFERROR(__xludf.DUMMYFUNCTION("""COMPUTED_VALUE"""),"leak detection plumber Fish Hoek")</f>
        <v>leak detection plumber Fish Hoek</v>
      </c>
      <c r="B140" s="4" t="str">
        <f>IFERROR(__xludf.DUMMYFUNCTION("""COMPUTED_VALUE"""),"Muizenberg plumbing company")</f>
        <v>Muizenberg plumbing company</v>
      </c>
      <c r="C140" s="4" t="str">
        <f>IFERROR(__xludf.DUMMYFUNCTION("""COMPUTED_VALUE"""),"plumbing installation")</f>
        <v>plumbing installation</v>
      </c>
      <c r="D140" s="4" t="str">
        <f>IFERROR(__xludf.DUMMYFUNCTION("""COMPUTED_VALUE"""),"plumbing contractors")</f>
        <v>plumbing contractors</v>
      </c>
      <c r="E140" s="28" t="str">
        <f>IFERROR(__xludf.DUMMYFUNCTION("""COMPUTED_VALUE"""),"leaking pipe repair weekend")</f>
        <v>leaking pipe repair weekend</v>
      </c>
      <c r="F140" s="4" t="str">
        <f>IFERROR(__xludf.DUMMYFUNCTION("""COMPUTED_VALUE"""),"reliable emergency plumber")</f>
        <v>reliable emergency plumber</v>
      </c>
      <c r="G140" s="4" t="str">
        <f>IFERROR(__xludf.DUMMYFUNCTION("""COMPUTED_VALUE"""),"geyser replacement service")</f>
        <v>geyser replacement service</v>
      </c>
      <c r="H140" s="4" t="str">
        <f>IFERROR(__xludf.DUMMYFUNCTION("""COMPUTED_VALUE"""),"reliable geyser repair")</f>
        <v>reliable geyser repair</v>
      </c>
      <c r="I140" s="4" t="str">
        <f>IFERROR(__xludf.DUMMYFUNCTION("""COMPUTED_VALUE"""),"electrical services repair")</f>
        <v>electrical services repair</v>
      </c>
      <c r="J140" s="4" t="str">
        <f>IFERROR(__xludf.DUMMYFUNCTION("""COMPUTED_VALUE"""),"professional electrical services")</f>
        <v>professional electrical services</v>
      </c>
      <c r="K140" s="4" t="str">
        <f>IFERROR(__xludf.DUMMYFUNCTION("""COMPUTED_VALUE"""),"commercial refrigeration technician")</f>
        <v>commercial refrigeration technician</v>
      </c>
      <c r="L140" s="4" t="str">
        <f>IFERROR(__xludf.DUMMYFUNCTION("""COMPUTED_VALUE"""),"quote aircon installation")</f>
        <v>quote aircon installation</v>
      </c>
      <c r="M140" s="4" t="str">
        <f>IFERROR(__xludf.DUMMYFUNCTION("""COMPUTED_VALUE"""),"maintenance plumber tenant")</f>
        <v>maintenance plumber tenant</v>
      </c>
      <c r="N140" s="4" t="str">
        <f>IFERROR(__xludf.DUMMYFUNCTION("""COMPUTED_VALUE"""),"property manager plumbing services")</f>
        <v>property manager plumbing services</v>
      </c>
      <c r="O140" s="4" t="str">
        <f>IFERROR(__xludf.DUMMYFUNCTION("""COMPUTED_VALUE"""),"plumber near me")</f>
        <v>plumber near me</v>
      </c>
      <c r="P140" s="4" t="str">
        <f>IFERROR(__xludf.DUMMYFUNCTION("""COMPUTED_VALUE"""),"qualified plumbing company cape town")</f>
        <v>qualified plumbing company cape town</v>
      </c>
      <c r="Q140" s="4" t="str">
        <f>IFERROR(__xludf.DUMMYFUNCTION("""COMPUTED_VALUE"""),"plumber cost signs you need")</f>
        <v>plumber cost signs you need</v>
      </c>
      <c r="R140" s="4" t="str">
        <f>IFERROR(__xludf.DUMMYFUNCTION("""COMPUTED_VALUE"""),"what causes plumbing maintenance")</f>
        <v>what causes plumbing maintenance</v>
      </c>
      <c r="S140" s="4"/>
      <c r="T140" s="4" t="str">
        <f>IFERROR(__xludf.DUMMYFUNCTION("""COMPUTED_VALUE"""),"air conditioning installation")</f>
        <v>air conditioning installation</v>
      </c>
      <c r="U140" s="4"/>
      <c r="V140" s="4"/>
      <c r="W140" s="4"/>
      <c r="X140" s="4"/>
      <c r="Y140" s="4"/>
      <c r="Z140" s="4"/>
    </row>
    <row r="141" ht="15.75" customHeight="1">
      <c r="A141" s="4" t="str">
        <f>IFERROR(__xludf.DUMMYFUNCTION("""COMPUTED_VALUE"""),"leak detection plumber Green Point")</f>
        <v>leak detection plumber Green Point</v>
      </c>
      <c r="B141" s="4" t="str">
        <f>IFERROR(__xludf.DUMMYFUNCTION("""COMPUTED_VALUE"""),"Muizenberg refrigeration services")</f>
        <v>Muizenberg refrigeration services</v>
      </c>
      <c r="C141" s="4" t="str">
        <f>IFERROR(__xludf.DUMMYFUNCTION("""COMPUTED_VALUE"""),"plumbing installation 24 hour")</f>
        <v>plumbing installation 24 hour</v>
      </c>
      <c r="D141" s="4" t="str">
        <f>IFERROR(__xludf.DUMMYFUNCTION("""COMPUTED_VALUE"""),"plumbing installation")</f>
        <v>plumbing installation</v>
      </c>
      <c r="E141" s="28" t="str">
        <f>IFERROR(__xludf.DUMMYFUNCTION("""COMPUTED_VALUE"""),"leaking tap repair")</f>
        <v>leaking tap repair</v>
      </c>
      <c r="F141" s="4" t="str">
        <f>IFERROR(__xludf.DUMMYFUNCTION("""COMPUTED_VALUE"""),"reliable kitchen plumbing repair")</f>
        <v>reliable kitchen plumbing repair</v>
      </c>
      <c r="G141" s="4" t="str">
        <f>IFERROR(__xludf.DUMMYFUNCTION("""COMPUTED_VALUE"""),"geyser replacement specialist")</f>
        <v>geyser replacement specialist</v>
      </c>
      <c r="H141" s="4" t="str">
        <f>IFERROR(__xludf.DUMMYFUNCTION("""COMPUTED_VALUE"""),"reliable geyser replacement")</f>
        <v>reliable geyser replacement</v>
      </c>
      <c r="I141" s="4" t="str">
        <f>IFERROR(__xludf.DUMMYFUNCTION("""COMPUTED_VALUE"""),"electrical services same day")</f>
        <v>electrical services same day</v>
      </c>
      <c r="J141" s="4" t="str">
        <f>IFERROR(__xludf.DUMMYFUNCTION("""COMPUTED_VALUE"""),"professional electrician cape town")</f>
        <v>professional electrician cape town</v>
      </c>
      <c r="K141" s="4" t="str">
        <f>IFERROR(__xludf.DUMMYFUNCTION("""COMPUTED_VALUE"""),"fridge repair")</f>
        <v>fridge repair</v>
      </c>
      <c r="L141" s="4" t="str">
        <f>IFERROR(__xludf.DUMMYFUNCTION("""COMPUTED_VALUE"""),"quote aircon repair")</f>
        <v>quote aircon repair</v>
      </c>
      <c r="M141" s="4" t="str">
        <f>IFERROR(__xludf.DUMMYFUNCTION("""COMPUTED_VALUE"""),"maintenance plumber townhouse")</f>
        <v>maintenance plumber townhouse</v>
      </c>
      <c r="N141" s="4" t="str">
        <f>IFERROR(__xludf.DUMMYFUNCTION("""COMPUTED_VALUE"""),"property manager refrigeration services")</f>
        <v>property manager refrigeration services</v>
      </c>
      <c r="O141" s="4" t="str">
        <f>IFERROR(__xludf.DUMMYFUNCTION("""COMPUTED_VALUE"""),"plumber near me 24 hour")</f>
        <v>plumber near me 24 hour</v>
      </c>
      <c r="P141" s="4" t="str">
        <f>IFERROR(__xludf.DUMMYFUNCTION("""COMPUTED_VALUE"""),"qualified schmidhauser plumbing")</f>
        <v>qualified schmidhauser plumbing</v>
      </c>
      <c r="Q141" s="4" t="str">
        <f>IFERROR(__xludf.DUMMYFUNCTION("""COMPUTED_VALUE"""),"plumber cost what causes")</f>
        <v>plumber cost what causes</v>
      </c>
      <c r="R141" s="4" t="str">
        <f>IFERROR(__xludf.DUMMYFUNCTION("""COMPUTED_VALUE"""),"what causes refrigeration repair")</f>
        <v>what causes refrigeration repair</v>
      </c>
      <c r="S141" s="4"/>
      <c r="T141" s="4" t="str">
        <f>IFERROR(__xludf.DUMMYFUNCTION("""COMPUTED_VALUE"""),"air conditioning local")</f>
        <v>air conditioning local</v>
      </c>
      <c r="U141" s="4"/>
      <c r="V141" s="4"/>
      <c r="W141" s="4"/>
      <c r="X141" s="4"/>
      <c r="Y141" s="4"/>
      <c r="Z141" s="4"/>
    </row>
    <row r="142" ht="15.75" customHeight="1">
      <c r="A142" s="4" t="str">
        <f>IFERROR(__xludf.DUMMYFUNCTION("""COMPUTED_VALUE"""),"leak detection plumber Hout Bay")</f>
        <v>leak detection plumber Hout Bay</v>
      </c>
      <c r="B142" s="4" t="str">
        <f>IFERROR(__xludf.DUMMYFUNCTION("""COMPUTED_VALUE"""),"Newlands aircon repairs")</f>
        <v>Newlands aircon repairs</v>
      </c>
      <c r="C142" s="4" t="str">
        <f>IFERROR(__xludf.DUMMYFUNCTION("""COMPUTED_VALUE"""),"plumbing installation affordable")</f>
        <v>plumbing installation affordable</v>
      </c>
      <c r="D142" s="4" t="str">
        <f>IFERROR(__xludf.DUMMYFUNCTION("""COMPUTED_VALUE"""),"plumbing repairs")</f>
        <v>plumbing repairs</v>
      </c>
      <c r="E142" s="28" t="str">
        <f>IFERROR(__xludf.DUMMYFUNCTION("""COMPUTED_VALUE"""),"leaking tap repair after hours")</f>
        <v>leaking tap repair after hours</v>
      </c>
      <c r="F142" s="4" t="str">
        <f>IFERROR(__xludf.DUMMYFUNCTION("""COMPUTED_VALUE"""),"reliable leaking pipe repair")</f>
        <v>reliable leaking pipe repair</v>
      </c>
      <c r="G142" s="4" t="str">
        <f>IFERROR(__xludf.DUMMYFUNCTION("""COMPUTED_VALUE"""),"leak detection affordable")</f>
        <v>leak detection affordable</v>
      </c>
      <c r="H142" s="4" t="str">
        <f>IFERROR(__xludf.DUMMYFUNCTION("""COMPUTED_VALUE"""),"reliable leak detection")</f>
        <v>reliable leak detection</v>
      </c>
      <c r="I142" s="4" t="str">
        <f>IFERROR(__xludf.DUMMYFUNCTION("""COMPUTED_VALUE"""),"electrician cape town")</f>
        <v>electrician cape town</v>
      </c>
      <c r="J142" s="4" t="str">
        <f>IFERROR(__xludf.DUMMYFUNCTION("""COMPUTED_VALUE"""),"professional emergency electrician")</f>
        <v>professional emergency electrician</v>
      </c>
      <c r="K142" s="4" t="str">
        <f>IFERROR(__xludf.DUMMYFUNCTION("""COMPUTED_VALUE"""),"fridge repair affordable")</f>
        <v>fridge repair affordable</v>
      </c>
      <c r="L142" s="4" t="str">
        <f>IFERROR(__xludf.DUMMYFUNCTION("""COMPUTED_VALUE"""),"quote aircon service")</f>
        <v>quote aircon service</v>
      </c>
      <c r="M142" s="4" t="str">
        <f>IFERROR(__xludf.DUMMYFUNCTION("""COMPUTED_VALUE"""),"plumbing company apartment")</f>
        <v>plumbing company apartment</v>
      </c>
      <c r="N142" s="4" t="str">
        <f>IFERROR(__xludf.DUMMYFUNCTION("""COMPUTED_VALUE"""),"residential property air conditioning services")</f>
        <v>residential property air conditioning services</v>
      </c>
      <c r="O142" s="4" t="str">
        <f>IFERROR(__xludf.DUMMYFUNCTION("""COMPUTED_VALUE"""),"plumber near me affordable")</f>
        <v>plumber near me affordable</v>
      </c>
      <c r="P142" s="4" t="str">
        <f>IFERROR(__xludf.DUMMYFUNCTION("""COMPUTED_VALUE"""),"quote absolute plumbing cape town")</f>
        <v>quote absolute plumbing cape town</v>
      </c>
      <c r="Q142" s="4" t="str">
        <f>IFERROR(__xludf.DUMMYFUNCTION("""COMPUTED_VALUE"""),"plumber cost what is")</f>
        <v>plumber cost what is</v>
      </c>
      <c r="R142" s="4" t="str">
        <f>IFERROR(__xludf.DUMMYFUNCTION("""COMPUTED_VALUE"""),"what is aircon service")</f>
        <v>what is aircon service</v>
      </c>
      <c r="S142" s="4"/>
      <c r="T142" s="4" t="str">
        <f>IFERROR(__xludf.DUMMYFUNCTION("""COMPUTED_VALUE"""),"air conditioning maintenance")</f>
        <v>air conditioning maintenance</v>
      </c>
      <c r="U142" s="4"/>
      <c r="V142" s="4"/>
      <c r="W142" s="4"/>
      <c r="X142" s="4"/>
      <c r="Y142" s="4"/>
      <c r="Z142" s="4"/>
    </row>
    <row r="143" ht="15.75" customHeight="1">
      <c r="A143" s="4" t="str">
        <f>IFERROR(__xludf.DUMMYFUNCTION("""COMPUTED_VALUE"""),"leak detection plumber Maitland")</f>
        <v>leak detection plumber Maitland</v>
      </c>
      <c r="B143" s="4" t="str">
        <f>IFERROR(__xludf.DUMMYFUNCTION("""COMPUTED_VALUE"""),"Newlands blocked drain plumber")</f>
        <v>Newlands blocked drain plumber</v>
      </c>
      <c r="C143" s="4" t="str">
        <f>IFERROR(__xludf.DUMMYFUNCTION("""COMPUTED_VALUE"""),"plumbing installation after hours")</f>
        <v>plumbing installation after hours</v>
      </c>
      <c r="D143" s="4" t="str">
        <f>IFERROR(__xludf.DUMMYFUNCTION("""COMPUTED_VALUE"""),"plumbing services")</f>
        <v>plumbing services</v>
      </c>
      <c r="E143" s="28" t="str">
        <f>IFERROR(__xludf.DUMMYFUNCTION("""COMPUTED_VALUE"""),"leaking tap repair call out")</f>
        <v>leaking tap repair call out</v>
      </c>
      <c r="F143" s="4" t="str">
        <f>IFERROR(__xludf.DUMMYFUNCTION("""COMPUTED_VALUE"""),"reliable leaking tap repair")</f>
        <v>reliable leaking tap repair</v>
      </c>
      <c r="G143" s="4" t="str">
        <f>IFERROR(__xludf.DUMMYFUNCTION("""COMPUTED_VALUE"""),"leak detection best")</f>
        <v>leak detection best</v>
      </c>
      <c r="H143" s="4" t="str">
        <f>IFERROR(__xludf.DUMMYFUNCTION("""COMPUTED_VALUE"""),"reliable pipe repair")</f>
        <v>reliable pipe repair</v>
      </c>
      <c r="I143" s="4" t="str">
        <f>IFERROR(__xludf.DUMMYFUNCTION("""COMPUTED_VALUE"""),"electrician cape town affordable")</f>
        <v>electrician cape town affordable</v>
      </c>
      <c r="J143" s="4" t="str">
        <f>IFERROR(__xludf.DUMMYFUNCTION("""COMPUTED_VALUE"""),"professional residential electrician")</f>
        <v>professional residential electrician</v>
      </c>
      <c r="K143" s="4" t="str">
        <f>IFERROR(__xludf.DUMMYFUNCTION("""COMPUTED_VALUE"""),"fridge repair best")</f>
        <v>fridge repair best</v>
      </c>
      <c r="L143" s="4" t="str">
        <f>IFERROR(__xludf.DUMMYFUNCTION("""COMPUTED_VALUE"""),"quote cold room repair")</f>
        <v>quote cold room repair</v>
      </c>
      <c r="M143" s="4" t="str">
        <f>IFERROR(__xludf.DUMMYFUNCTION("""COMPUTED_VALUE"""),"plumbing company body corporate")</f>
        <v>plumbing company body corporate</v>
      </c>
      <c r="N143" s="4" t="str">
        <f>IFERROR(__xludf.DUMMYFUNCTION("""COMPUTED_VALUE"""),"residential property drain cleaning")</f>
        <v>residential property drain cleaning</v>
      </c>
      <c r="O143" s="4" t="str">
        <f>IFERROR(__xludf.DUMMYFUNCTION("""COMPUTED_VALUE"""),"plumber near me alternatives")</f>
        <v>plumber near me alternatives</v>
      </c>
      <c r="P143" s="4" t="str">
        <f>IFERROR(__xludf.DUMMYFUNCTION("""COMPUTED_VALUE"""),"quote aircon repair cape town")</f>
        <v>quote aircon repair cape town</v>
      </c>
      <c r="Q143" s="4" t="str">
        <f>IFERROR(__xludf.DUMMYFUNCTION("""COMPUTED_VALUE"""),"plumber cost when to call a")</f>
        <v>plumber cost when to call a</v>
      </c>
      <c r="R143" s="4" t="str">
        <f>IFERROR(__xludf.DUMMYFUNCTION("""COMPUTED_VALUE"""),"what is blocked drain")</f>
        <v>what is blocked drain</v>
      </c>
      <c r="S143" s="4"/>
      <c r="T143" s="4" t="str">
        <f>IFERROR(__xludf.DUMMYFUNCTION("""COMPUTED_VALUE"""),"air conditioning near me")</f>
        <v>air conditioning near me</v>
      </c>
      <c r="U143" s="4"/>
      <c r="V143" s="4"/>
      <c r="W143" s="4"/>
      <c r="X143" s="4"/>
      <c r="Y143" s="4"/>
      <c r="Z143" s="4"/>
    </row>
    <row r="144" ht="15.75" customHeight="1">
      <c r="A144" s="4" t="str">
        <f>IFERROR(__xludf.DUMMYFUNCTION("""COMPUTED_VALUE"""),"leak detection plumber Milnerton")</f>
        <v>leak detection plumber Milnerton</v>
      </c>
      <c r="B144" s="4" t="str">
        <f>IFERROR(__xludf.DUMMYFUNCTION("""COMPUTED_VALUE"""),"Newlands electrician")</f>
        <v>Newlands electrician</v>
      </c>
      <c r="C144" s="4" t="str">
        <f>IFERROR(__xludf.DUMMYFUNCTION("""COMPUTED_VALUE"""),"plumbing installation best")</f>
        <v>plumbing installation best</v>
      </c>
      <c r="D144" s="4" t="str">
        <f>IFERROR(__xludf.DUMMYFUNCTION("""COMPUTED_VALUE"""),"professional commercial plumber")</f>
        <v>professional commercial plumber</v>
      </c>
      <c r="E144" s="28" t="str">
        <f>IFERROR(__xludf.DUMMYFUNCTION("""COMPUTED_VALUE"""),"leaking tap repair cape town")</f>
        <v>leaking tap repair cape town</v>
      </c>
      <c r="F144" s="4" t="str">
        <f>IFERROR(__xludf.DUMMYFUNCTION("""COMPUTED_VALUE"""),"reliable toilet repair")</f>
        <v>reliable toilet repair</v>
      </c>
      <c r="G144" s="4" t="str">
        <f>IFERROR(__xludf.DUMMYFUNCTION("""COMPUTED_VALUE"""),"leak detection cape town")</f>
        <v>leak detection cape town</v>
      </c>
      <c r="H144" s="4" t="str">
        <f>IFERROR(__xludf.DUMMYFUNCTION("""COMPUTED_VALUE"""),"reliable water leak detection")</f>
        <v>reliable water leak detection</v>
      </c>
      <c r="I144" s="4" t="str">
        <f>IFERROR(__xludf.DUMMYFUNCTION("""COMPUTED_VALUE"""),"electrician cape town call out")</f>
        <v>electrician cape town call out</v>
      </c>
      <c r="J144" s="4" t="str">
        <f>IFERROR(__xludf.DUMMYFUNCTION("""COMPUTED_VALUE"""),"qualified commercial electrician")</f>
        <v>qualified commercial electrician</v>
      </c>
      <c r="K144" s="4" t="str">
        <f>IFERROR(__xludf.DUMMYFUNCTION("""COMPUTED_VALUE"""),"fridge repair cape town")</f>
        <v>fridge repair cape town</v>
      </c>
      <c r="L144" s="4" t="str">
        <f>IFERROR(__xludf.DUMMYFUNCTION("""COMPUTED_VALUE"""),"quote commercial refrigeration")</f>
        <v>quote commercial refrigeration</v>
      </c>
      <c r="M144" s="4" t="str">
        <f>IFERROR(__xludf.DUMMYFUNCTION("""COMPUTED_VALUE"""),"plumbing company building")</f>
        <v>plumbing company building</v>
      </c>
      <c r="N144" s="4" t="str">
        <f>IFERROR(__xludf.DUMMYFUNCTION("""COMPUTED_VALUE"""),"residential property electrical repairs")</f>
        <v>residential property electrical repairs</v>
      </c>
      <c r="O144" s="4" t="str">
        <f>IFERROR(__xludf.DUMMYFUNCTION("""COMPUTED_VALUE"""),"plumber near me best")</f>
        <v>plumber near me best</v>
      </c>
      <c r="P144" s="4" t="str">
        <f>IFERROR(__xludf.DUMMYFUNCTION("""COMPUTED_VALUE"""),"quote bosman plumbers")</f>
        <v>quote bosman plumbers</v>
      </c>
      <c r="Q144" s="4" t="str">
        <f>IFERROR(__xludf.DUMMYFUNCTION("""COMPUTED_VALUE"""),"plumber cost who fixes")</f>
        <v>plumber cost who fixes</v>
      </c>
      <c r="R144" s="4" t="str">
        <f>IFERROR(__xludf.DUMMYFUNCTION("""COMPUTED_VALUE"""),"what is burst pipe")</f>
        <v>what is burst pipe</v>
      </c>
      <c r="S144" s="4"/>
      <c r="T144" s="4" t="str">
        <f>IFERROR(__xludf.DUMMYFUNCTION("""COMPUTED_VALUE"""),"air conditioning professional")</f>
        <v>air conditioning professional</v>
      </c>
      <c r="U144" s="4"/>
      <c r="V144" s="4"/>
      <c r="W144" s="4"/>
      <c r="X144" s="4"/>
      <c r="Y144" s="4"/>
      <c r="Z144" s="4"/>
    </row>
    <row r="145" ht="15.75" customHeight="1">
      <c r="A145" s="4" t="str">
        <f>IFERROR(__xludf.DUMMYFUNCTION("""COMPUTED_VALUE"""),"leak detection plumber Muizenberg")</f>
        <v>leak detection plumber Muizenberg</v>
      </c>
      <c r="B145" s="4" t="str">
        <f>IFERROR(__xludf.DUMMYFUNCTION("""COMPUTED_VALUE"""),"Newlands emergency plumber")</f>
        <v>Newlands emergency plumber</v>
      </c>
      <c r="C145" s="4" t="str">
        <f>IFERROR(__xludf.DUMMYFUNCTION("""COMPUTED_VALUE"""),"plumbing installation call out")</f>
        <v>plumbing installation call out</v>
      </c>
      <c r="D145" s="4" t="str">
        <f>IFERROR(__xludf.DUMMYFUNCTION("""COMPUTED_VALUE"""),"professional maintenance plumber")</f>
        <v>professional maintenance plumber</v>
      </c>
      <c r="E145" s="28" t="str">
        <f>IFERROR(__xludf.DUMMYFUNCTION("""COMPUTED_VALUE"""),"leaking tap repair commercial")</f>
        <v>leaking tap repair commercial</v>
      </c>
      <c r="F145" s="4" t="str">
        <f>IFERROR(__xludf.DUMMYFUNCTION("""COMPUTED_VALUE"""),"reliable water leak repair")</f>
        <v>reliable water leak repair</v>
      </c>
      <c r="G145" s="4" t="str">
        <f>IFERROR(__xludf.DUMMYFUNCTION("""COMPUTED_VALUE"""),"leak detection CCTV")</f>
        <v>leak detection CCTV</v>
      </c>
      <c r="H145" s="4" t="str">
        <f>IFERROR(__xludf.DUMMYFUNCTION("""COMPUTED_VALUE"""),"repair blocked drain")</f>
        <v>repair blocked drain</v>
      </c>
      <c r="I145" s="4" t="str">
        <f>IFERROR(__xludf.DUMMYFUNCTION("""COMPUTED_VALUE"""),"electrician cape town COC")</f>
        <v>electrician cape town COC</v>
      </c>
      <c r="J145" s="4" t="str">
        <f>IFERROR(__xludf.DUMMYFUNCTION("""COMPUTED_VALUE"""),"qualified electrical compliance certificate")</f>
        <v>qualified electrical compliance certificate</v>
      </c>
      <c r="K145" s="4" t="str">
        <f>IFERROR(__xludf.DUMMYFUNCTION("""COMPUTED_VALUE"""),"fridge repair commercial")</f>
        <v>fridge repair commercial</v>
      </c>
      <c r="L145" s="4" t="str">
        <f>IFERROR(__xludf.DUMMYFUNCTION("""COMPUTED_VALUE"""),"quote fridge repair")</f>
        <v>quote fridge repair</v>
      </c>
      <c r="M145" s="4" t="str">
        <f>IFERROR(__xludf.DUMMYFUNCTION("""COMPUTED_VALUE"""),"plumbing company business")</f>
        <v>plumbing company business</v>
      </c>
      <c r="N145" s="4" t="str">
        <f>IFERROR(__xludf.DUMMYFUNCTION("""COMPUTED_VALUE"""),"residential property emergency plumbing")</f>
        <v>residential property emergency plumbing</v>
      </c>
      <c r="O145" s="4" t="str">
        <f>IFERROR(__xludf.DUMMYFUNCTION("""COMPUTED_VALUE"""),"plumber near me certified")</f>
        <v>plumber near me certified</v>
      </c>
      <c r="P145" s="4" t="str">
        <f>IFERROR(__xludf.DUMMYFUNCTION("""COMPUTED_VALUE"""),"quote drain surgeon cape town")</f>
        <v>quote drain surgeon cape town</v>
      </c>
      <c r="Q145" s="4" t="str">
        <f>IFERROR(__xludf.DUMMYFUNCTION("""COMPUTED_VALUE"""),"plumber cost why is my")</f>
        <v>plumber cost why is my</v>
      </c>
      <c r="R145" s="4" t="str">
        <f>IFERROR(__xludf.DUMMYFUNCTION("""COMPUTED_VALUE"""),"what is electrical COC")</f>
        <v>what is electrical COC</v>
      </c>
      <c r="S145" s="4"/>
      <c r="T145" s="4" t="str">
        <f>IFERROR(__xludf.DUMMYFUNCTION("""COMPUTED_VALUE"""),"air conditioning quote")</f>
        <v>air conditioning quote</v>
      </c>
      <c r="U145" s="4"/>
      <c r="V145" s="4"/>
      <c r="W145" s="4"/>
      <c r="X145" s="4"/>
      <c r="Y145" s="4"/>
      <c r="Z145" s="4"/>
    </row>
    <row r="146" ht="15.75" customHeight="1">
      <c r="A146" s="4" t="str">
        <f>IFERROR(__xludf.DUMMYFUNCTION("""COMPUTED_VALUE"""),"leak detection plumber Newlands")</f>
        <v>leak detection plumber Newlands</v>
      </c>
      <c r="B146" s="4" t="str">
        <f>IFERROR(__xludf.DUMMYFUNCTION("""COMPUTED_VALUE"""),"Newlands geyser repair")</f>
        <v>Newlands geyser repair</v>
      </c>
      <c r="C146" s="4" t="str">
        <f>IFERROR(__xludf.DUMMYFUNCTION("""COMPUTED_VALUE"""),"plumbing installation company")</f>
        <v>plumbing installation company</v>
      </c>
      <c r="D146" s="4" t="str">
        <f>IFERROR(__xludf.DUMMYFUNCTION("""COMPUTED_VALUE"""),"professional plumber cape town")</f>
        <v>professional plumber cape town</v>
      </c>
      <c r="E146" s="28" t="str">
        <f>IFERROR(__xludf.DUMMYFUNCTION("""COMPUTED_VALUE"""),"leaking tap repair company")</f>
        <v>leaking tap repair company</v>
      </c>
      <c r="F146" s="4" t="str">
        <f>IFERROR(__xludf.DUMMYFUNCTION("""COMPUTED_VALUE"""),"repair 24 hour plumber")</f>
        <v>repair 24 hour plumber</v>
      </c>
      <c r="G146" s="4" t="str">
        <f>IFERROR(__xludf.DUMMYFUNCTION("""COMPUTED_VALUE"""),"leak detection commercial")</f>
        <v>leak detection commercial</v>
      </c>
      <c r="H146" s="4" t="str">
        <f>IFERROR(__xludf.DUMMYFUNCTION("""COMPUTED_VALUE"""),"repair burst geyser")</f>
        <v>repair burst geyser</v>
      </c>
      <c r="I146" s="4" t="str">
        <f>IFERROR(__xludf.DUMMYFUNCTION("""COMPUTED_VALUE"""),"electrician cape town company")</f>
        <v>electrician cape town company</v>
      </c>
      <c r="J146" s="4" t="str">
        <f>IFERROR(__xludf.DUMMYFUNCTION("""COMPUTED_VALUE"""),"qualified electrical contractor")</f>
        <v>qualified electrical contractor</v>
      </c>
      <c r="K146" s="4" t="str">
        <f>IFERROR(__xludf.DUMMYFUNCTION("""COMPUTED_VALUE"""),"fridge repair company")</f>
        <v>fridge repair company</v>
      </c>
      <c r="L146" s="4" t="str">
        <f>IFERROR(__xludf.DUMMYFUNCTION("""COMPUTED_VALUE"""),"quote HVAC services")</f>
        <v>quote HVAC services</v>
      </c>
      <c r="M146" s="4" t="str">
        <f>IFERROR(__xludf.DUMMYFUNCTION("""COMPUTED_VALUE"""),"plumbing company commercial property")</f>
        <v>plumbing company commercial property</v>
      </c>
      <c r="N146" s="4" t="str">
        <f>IFERROR(__xludf.DUMMYFUNCTION("""COMPUTED_VALUE"""),"residential property geyser repairs")</f>
        <v>residential property geyser repairs</v>
      </c>
      <c r="O146" s="4" t="str">
        <f>IFERROR(__xludf.DUMMYFUNCTION("""COMPUTED_VALUE"""),"plumber near me compare")</f>
        <v>plumber near me compare</v>
      </c>
      <c r="P146" s="4" t="str">
        <f>IFERROR(__xludf.DUMMYFUNCTION("""COMPUTED_VALUE"""),"quote electrician cape town")</f>
        <v>quote electrician cape town</v>
      </c>
      <c r="Q146" s="4" t="str">
        <f>IFERROR(__xludf.DUMMYFUNCTION("""COMPUTED_VALUE"""),"plumbing maintenance best way to fix")</f>
        <v>plumbing maintenance best way to fix</v>
      </c>
      <c r="R146" s="4" t="str">
        <f>IFERROR(__xludf.DUMMYFUNCTION("""COMPUTED_VALUE"""),"what is emergency plumber")</f>
        <v>what is emergency plumber</v>
      </c>
      <c r="S146" s="4"/>
      <c r="T146" s="4" t="str">
        <f>IFERROR(__xludf.DUMMYFUNCTION("""COMPUTED_VALUE"""),"air conditioning reliable")</f>
        <v>air conditioning reliable</v>
      </c>
      <c r="U146" s="4"/>
      <c r="V146" s="4"/>
      <c r="W146" s="4"/>
      <c r="X146" s="4"/>
      <c r="Y146" s="4"/>
      <c r="Z146" s="4"/>
    </row>
    <row r="147" ht="15.75" customHeight="1">
      <c r="A147" s="4" t="str">
        <f>IFERROR(__xludf.DUMMYFUNCTION("""COMPUTED_VALUE"""),"leak detection plumber Northern Suburbs")</f>
        <v>leak detection plumber Northern Suburbs</v>
      </c>
      <c r="B147" s="4" t="str">
        <f>IFERROR(__xludf.DUMMYFUNCTION("""COMPUTED_VALUE"""),"Newlands leak detection plumber")</f>
        <v>Newlands leak detection plumber</v>
      </c>
      <c r="C147" s="4" t="str">
        <f>IFERROR(__xludf.DUMMYFUNCTION("""COMPUTED_VALUE"""),"plumbing installation contractor")</f>
        <v>plumbing installation contractor</v>
      </c>
      <c r="D147" s="4" t="str">
        <f>IFERROR(__xludf.DUMMYFUNCTION("""COMPUTED_VALUE"""),"professional plumbing company")</f>
        <v>professional plumbing company</v>
      </c>
      <c r="E147" s="28" t="str">
        <f>IFERROR(__xludf.DUMMYFUNCTION("""COMPUTED_VALUE"""),"leaking tap repair cost")</f>
        <v>leaking tap repair cost</v>
      </c>
      <c r="F147" s="4" t="str">
        <f>IFERROR(__xludf.DUMMYFUNCTION("""COMPUTED_VALUE"""),"repair blocked toilet plumber")</f>
        <v>repair blocked toilet plumber</v>
      </c>
      <c r="G147" s="4" t="str">
        <f>IFERROR(__xludf.DUMMYFUNCTION("""COMPUTED_VALUE"""),"leak detection cost")</f>
        <v>leak detection cost</v>
      </c>
      <c r="H147" s="4" t="str">
        <f>IFERROR(__xludf.DUMMYFUNCTION("""COMPUTED_VALUE"""),"repair drain cleaning")</f>
        <v>repair drain cleaning</v>
      </c>
      <c r="I147" s="4" t="str">
        <f>IFERROR(__xludf.DUMMYFUNCTION("""COMPUTED_VALUE"""),"electrician cape town contractor")</f>
        <v>electrician cape town contractor</v>
      </c>
      <c r="J147" s="4" t="str">
        <f>IFERROR(__xludf.DUMMYFUNCTION("""COMPUTED_VALUE"""),"qualified electrical installation")</f>
        <v>qualified electrical installation</v>
      </c>
      <c r="K147" s="4" t="str">
        <f>IFERROR(__xludf.DUMMYFUNCTION("""COMPUTED_VALUE"""),"fridge repair contractor")</f>
        <v>fridge repair contractor</v>
      </c>
      <c r="L147" s="4" t="str">
        <f>IFERROR(__xludf.DUMMYFUNCTION("""COMPUTED_VALUE"""),"quote refrigeration repair")</f>
        <v>quote refrigeration repair</v>
      </c>
      <c r="M147" s="4" t="str">
        <f>IFERROR(__xludf.DUMMYFUNCTION("""COMPUTED_VALUE"""),"plumbing company estate agent")</f>
        <v>plumbing company estate agent</v>
      </c>
      <c r="N147" s="4" t="str">
        <f>IFERROR(__xludf.DUMMYFUNCTION("""COMPUTED_VALUE"""),"residential property leak detection")</f>
        <v>residential property leak detection</v>
      </c>
      <c r="O147" s="4" t="str">
        <f>IFERROR(__xludf.DUMMYFUNCTION("""COMPUTED_VALUE"""),"plumber near me complaints")</f>
        <v>plumber near me complaints</v>
      </c>
      <c r="P147" s="4" t="str">
        <f>IFERROR(__xludf.DUMMYFUNCTION("""COMPUTED_VALUE"""),"quote emergency plumber cape town")</f>
        <v>quote emergency plumber cape town</v>
      </c>
      <c r="Q147" s="4" t="str">
        <f>IFERROR(__xludf.DUMMYFUNCTION("""COMPUTED_VALUE"""),"plumbing maintenance can a plumber fix")</f>
        <v>plumbing maintenance can a plumber fix</v>
      </c>
      <c r="R147" s="4" t="str">
        <f>IFERROR(__xludf.DUMMYFUNCTION("""COMPUTED_VALUE"""),"what is geyser repair")</f>
        <v>what is geyser repair</v>
      </c>
      <c r="S147" s="4"/>
      <c r="T147" s="4" t="str">
        <f>IFERROR(__xludf.DUMMYFUNCTION("""COMPUTED_VALUE"""),"air conditioning repair")</f>
        <v>air conditioning repair</v>
      </c>
      <c r="U147" s="4"/>
      <c r="V147" s="4"/>
      <c r="W147" s="4"/>
      <c r="X147" s="4"/>
      <c r="Y147" s="4"/>
      <c r="Z147" s="4"/>
    </row>
    <row r="148" ht="15.75" customHeight="1">
      <c r="A148" s="4" t="str">
        <f>IFERROR(__xludf.DUMMYFUNCTION("""COMPUTED_VALUE"""),"leak detection plumber Observatory")</f>
        <v>leak detection plumber Observatory</v>
      </c>
      <c r="B148" s="4" t="str">
        <f>IFERROR(__xludf.DUMMYFUNCTION("""COMPUTED_VALUE"""),"Newlands plumber")</f>
        <v>Newlands plumber</v>
      </c>
      <c r="C148" s="4" t="str">
        <f>IFERROR(__xludf.DUMMYFUNCTION("""COMPUTED_VALUE"""),"plumbing installation cost")</f>
        <v>plumbing installation cost</v>
      </c>
      <c r="D148" s="4" t="str">
        <f>IFERROR(__xludf.DUMMYFUNCTION("""COMPUTED_VALUE"""),"professional plumbing contractors")</f>
        <v>professional plumbing contractors</v>
      </c>
      <c r="E148" s="28" t="str">
        <f>IFERROR(__xludf.DUMMYFUNCTION("""COMPUTED_VALUE"""),"leaking tap repair emergency")</f>
        <v>leaking tap repair emergency</v>
      </c>
      <c r="F148" s="4" t="str">
        <f>IFERROR(__xludf.DUMMYFUNCTION("""COMPUTED_VALUE"""),"repair emergency plumber")</f>
        <v>repair emergency plumber</v>
      </c>
      <c r="G148" s="4" t="str">
        <f>IFERROR(__xludf.DUMMYFUNCTION("""COMPUTED_VALUE"""),"leak detection emergency")</f>
        <v>leak detection emergency</v>
      </c>
      <c r="H148" s="4" t="str">
        <f>IFERROR(__xludf.DUMMYFUNCTION("""COMPUTED_VALUE"""),"repair drain inspection")</f>
        <v>repair drain inspection</v>
      </c>
      <c r="I148" s="4" t="str">
        <f>IFERROR(__xludf.DUMMYFUNCTION("""COMPUTED_VALUE"""),"electrician cape town cost")</f>
        <v>electrician cape town cost</v>
      </c>
      <c r="J148" s="4" t="str">
        <f>IFERROR(__xludf.DUMMYFUNCTION("""COMPUTED_VALUE"""),"qualified electrical maintenance")</f>
        <v>qualified electrical maintenance</v>
      </c>
      <c r="K148" s="4" t="str">
        <f>IFERROR(__xludf.DUMMYFUNCTION("""COMPUTED_VALUE"""),"fridge repair cost")</f>
        <v>fridge repair cost</v>
      </c>
      <c r="L148" s="4" t="str">
        <f>IFERROR(__xludf.DUMMYFUNCTION("""COMPUTED_VALUE"""),"refrigeration repair")</f>
        <v>refrigeration repair</v>
      </c>
      <c r="M148" s="4" t="str">
        <f>IFERROR(__xludf.DUMMYFUNCTION("""COMPUTED_VALUE"""),"plumbing company flat")</f>
        <v>plumbing company flat</v>
      </c>
      <c r="N148" s="4" t="str">
        <f>IFERROR(__xludf.DUMMYFUNCTION("""COMPUTED_VALUE"""),"residential property maintenance plumber")</f>
        <v>residential property maintenance plumber</v>
      </c>
      <c r="O148" s="4" t="str">
        <f>IFERROR(__xludf.DUMMYFUNCTION("""COMPUTED_VALUE"""),"plumber near me cost")</f>
        <v>plumber near me cost</v>
      </c>
      <c r="P148" s="4" t="str">
        <f>IFERROR(__xludf.DUMMYFUNCTION("""COMPUTED_VALUE"""),"quote plumber near me")</f>
        <v>quote plumber near me</v>
      </c>
      <c r="Q148" s="4" t="str">
        <f>IFERROR(__xludf.DUMMYFUNCTION("""COMPUTED_VALUE"""),"plumbing maintenance cost of")</f>
        <v>plumbing maintenance cost of</v>
      </c>
      <c r="R148" s="4" t="str">
        <f>IFERROR(__xludf.DUMMYFUNCTION("""COMPUTED_VALUE"""),"what is leak detection")</f>
        <v>what is leak detection</v>
      </c>
      <c r="S148" s="4"/>
      <c r="T148" s="4" t="str">
        <f>IFERROR(__xludf.DUMMYFUNCTION("""COMPUTED_VALUE"""),"air conditioning repair affordable")</f>
        <v>air conditioning repair affordable</v>
      </c>
      <c r="U148" s="4"/>
      <c r="V148" s="4"/>
      <c r="W148" s="4"/>
      <c r="X148" s="4"/>
      <c r="Y148" s="4"/>
      <c r="Z148" s="4"/>
    </row>
    <row r="149" ht="15.75" customHeight="1">
      <c r="A149" s="4" t="str">
        <f>IFERROR(__xludf.DUMMYFUNCTION("""COMPUTED_VALUE"""),"leak detection plumber Plumstead")</f>
        <v>leak detection plumber Plumstead</v>
      </c>
      <c r="B149" s="4" t="str">
        <f>IFERROR(__xludf.DUMMYFUNCTION("""COMPUTED_VALUE"""),"Newlands plumbers")</f>
        <v>Newlands plumbers</v>
      </c>
      <c r="C149" s="4" t="str">
        <f>IFERROR(__xludf.DUMMYFUNCTION("""COMPUTED_VALUE"""),"plumbing installation emergency")</f>
        <v>plumbing installation emergency</v>
      </c>
      <c r="D149" s="4" t="str">
        <f>IFERROR(__xludf.DUMMYFUNCTION("""COMPUTED_VALUE"""),"professional plumbing inspection")</f>
        <v>professional plumbing inspection</v>
      </c>
      <c r="E149" s="28" t="str">
        <f>IFERROR(__xludf.DUMMYFUNCTION("""COMPUTED_VALUE"""),"leaking tap repair fast")</f>
        <v>leaking tap repair fast</v>
      </c>
      <c r="F149" s="4" t="str">
        <f>IFERROR(__xludf.DUMMYFUNCTION("""COMPUTED_VALUE"""),"residential 24 hour plumber")</f>
        <v>residential 24 hour plumber</v>
      </c>
      <c r="G149" s="4" t="str">
        <f>IFERROR(__xludf.DUMMYFUNCTION("""COMPUTED_VALUE"""),"leak detection high pressure jetting")</f>
        <v>leak detection high pressure jetting</v>
      </c>
      <c r="H149" s="4" t="str">
        <f>IFERROR(__xludf.DUMMYFUNCTION("""COMPUTED_VALUE"""),"repair drain unblocking")</f>
        <v>repair drain unblocking</v>
      </c>
      <c r="I149" s="4" t="str">
        <f>IFERROR(__xludf.DUMMYFUNCTION("""COMPUTED_VALUE"""),"electrician cape town emergency")</f>
        <v>electrician cape town emergency</v>
      </c>
      <c r="J149" s="4" t="str">
        <f>IFERROR(__xludf.DUMMYFUNCTION("""COMPUTED_VALUE"""),"qualified electrical repairs")</f>
        <v>qualified electrical repairs</v>
      </c>
      <c r="K149" s="4" t="str">
        <f>IFERROR(__xludf.DUMMYFUNCTION("""COMPUTED_VALUE"""),"fridge repair emergency")</f>
        <v>fridge repair emergency</v>
      </c>
      <c r="L149" s="4" t="str">
        <f>IFERROR(__xludf.DUMMYFUNCTION("""COMPUTED_VALUE"""),"reliable air conditioning")</f>
        <v>reliable air conditioning</v>
      </c>
      <c r="M149" s="4" t="str">
        <f>IFERROR(__xludf.DUMMYFUNCTION("""COMPUTED_VALUE"""),"plumbing company guesthouse")</f>
        <v>plumbing company guesthouse</v>
      </c>
      <c r="N149" s="4" t="str">
        <f>IFERROR(__xludf.DUMMYFUNCTION("""COMPUTED_VALUE"""),"residential property plumbing company")</f>
        <v>residential property plumbing company</v>
      </c>
      <c r="O149" s="4" t="str">
        <f>IFERROR(__xludf.DUMMYFUNCTION("""COMPUTED_VALUE"""),"plumber near me insured")</f>
        <v>plumber near me insured</v>
      </c>
      <c r="P149" s="4" t="str">
        <f>IFERROR(__xludf.DUMMYFUNCTION("""COMPUTED_VALUE"""),"quote plumbers cape town")</f>
        <v>quote plumbers cape town</v>
      </c>
      <c r="Q149" s="4" t="str">
        <f>IFERROR(__xludf.DUMMYFUNCTION("""COMPUTED_VALUE"""),"plumbing maintenance do I need")</f>
        <v>plumbing maintenance do I need</v>
      </c>
      <c r="R149" s="4" t="str">
        <f>IFERROR(__xludf.DUMMYFUNCTION("""COMPUTED_VALUE"""),"what is plumber cost")</f>
        <v>what is plumber cost</v>
      </c>
      <c r="S149" s="4"/>
      <c r="T149" s="4" t="str">
        <f>IFERROR(__xludf.DUMMYFUNCTION("""COMPUTED_VALUE"""),"air conditioning repair best")</f>
        <v>air conditioning repair best</v>
      </c>
      <c r="U149" s="4"/>
      <c r="V149" s="4"/>
      <c r="W149" s="4"/>
      <c r="X149" s="4"/>
      <c r="Y149" s="4"/>
      <c r="Z149" s="4"/>
    </row>
    <row r="150" ht="15.75" customHeight="1">
      <c r="A150" s="4" t="str">
        <f>IFERROR(__xludf.DUMMYFUNCTION("""COMPUTED_VALUE"""),"leak detection plumber Rondebosch")</f>
        <v>leak detection plumber Rondebosch</v>
      </c>
      <c r="B150" s="4" t="str">
        <f>IFERROR(__xludf.DUMMYFUNCTION("""COMPUTED_VALUE"""),"Newlands plumbing company")</f>
        <v>Newlands plumbing company</v>
      </c>
      <c r="C150" s="4" t="str">
        <f>IFERROR(__xludf.DUMMYFUNCTION("""COMPUTED_VALUE"""),"plumbing installation licensed")</f>
        <v>plumbing installation licensed</v>
      </c>
      <c r="D150" s="4" t="str">
        <f>IFERROR(__xludf.DUMMYFUNCTION("""COMPUTED_VALUE"""),"professional plumbing installation")</f>
        <v>professional plumbing installation</v>
      </c>
      <c r="E150" s="28" t="str">
        <f>IFERROR(__xludf.DUMMYFUNCTION("""COMPUTED_VALUE"""),"leaking tap repair local")</f>
        <v>leaking tap repair local</v>
      </c>
      <c r="F150" s="4" t="str">
        <f>IFERROR(__xludf.DUMMYFUNCTION("""COMPUTED_VALUE"""),"residential bathroom plumbing repair")</f>
        <v>residential bathroom plumbing repair</v>
      </c>
      <c r="G150" s="4" t="str">
        <f>IFERROR(__xludf.DUMMYFUNCTION("""COMPUTED_VALUE"""),"leak detection installation")</f>
        <v>leak detection installation</v>
      </c>
      <c r="H150" s="4" t="str">
        <f>IFERROR(__xludf.DUMMYFUNCTION("""COMPUTED_VALUE"""),"repair geyser replacement")</f>
        <v>repair geyser replacement</v>
      </c>
      <c r="I150" s="4" t="str">
        <f>IFERROR(__xludf.DUMMYFUNCTION("""COMPUTED_VALUE"""),"electrician cape town inspection")</f>
        <v>electrician cape town inspection</v>
      </c>
      <c r="J150" s="4" t="str">
        <f>IFERROR(__xludf.DUMMYFUNCTION("""COMPUTED_VALUE"""),"qualified electrical services")</f>
        <v>qualified electrical services</v>
      </c>
      <c r="K150" s="4" t="str">
        <f>IFERROR(__xludf.DUMMYFUNCTION("""COMPUTED_VALUE"""),"fridge repair installation")</f>
        <v>fridge repair installation</v>
      </c>
      <c r="L150" s="4" t="str">
        <f>IFERROR(__xludf.DUMMYFUNCTION("""COMPUTED_VALUE"""),"reliable air conditioning repair")</f>
        <v>reliable air conditioning repair</v>
      </c>
      <c r="M150" s="4" t="str">
        <f>IFERROR(__xludf.DUMMYFUNCTION("""COMPUTED_VALUE"""),"plumbing company home")</f>
        <v>plumbing company home</v>
      </c>
      <c r="N150" s="4" t="str">
        <f>IFERROR(__xludf.DUMMYFUNCTION("""COMPUTED_VALUE"""),"residential property plumbing services")</f>
        <v>residential property plumbing services</v>
      </c>
      <c r="O150" s="4" t="str">
        <f>IFERROR(__xludf.DUMMYFUNCTION("""COMPUTED_VALUE"""),"plumber near me licensed")</f>
        <v>plumber near me licensed</v>
      </c>
      <c r="P150" s="4" t="str">
        <f>IFERROR(__xludf.DUMMYFUNCTION("""COMPUTED_VALUE"""),"quote plumbing company cape town")</f>
        <v>quote plumbing company cape town</v>
      </c>
      <c r="Q150" s="4" t="str">
        <f>IFERROR(__xludf.DUMMYFUNCTION("""COMPUTED_VALUE"""),"plumbing maintenance emergency help for")</f>
        <v>plumbing maintenance emergency help for</v>
      </c>
      <c r="R150" s="4" t="str">
        <f>IFERROR(__xludf.DUMMYFUNCTION("""COMPUTED_VALUE"""),"what is plumbing maintenance")</f>
        <v>what is plumbing maintenance</v>
      </c>
      <c r="S150" s="4"/>
      <c r="T150" s="4" t="str">
        <f>IFERROR(__xludf.DUMMYFUNCTION("""COMPUTED_VALUE"""),"air conditioning repair cape town")</f>
        <v>air conditioning repair cape town</v>
      </c>
      <c r="U150" s="4"/>
      <c r="V150" s="4"/>
      <c r="W150" s="4"/>
      <c r="X150" s="4"/>
      <c r="Y150" s="4"/>
      <c r="Z150" s="4"/>
    </row>
    <row r="151" ht="15.75" customHeight="1">
      <c r="A151" s="4" t="str">
        <f>IFERROR(__xludf.DUMMYFUNCTION("""COMPUTED_VALUE"""),"leak detection plumber Sea Point")</f>
        <v>leak detection plumber Sea Point</v>
      </c>
      <c r="B151" s="4" t="str">
        <f>IFERROR(__xludf.DUMMYFUNCTION("""COMPUTED_VALUE"""),"Newlands refrigeration services")</f>
        <v>Newlands refrigeration services</v>
      </c>
      <c r="C151" s="4" t="str">
        <f>IFERROR(__xludf.DUMMYFUNCTION("""COMPUTED_VALUE"""),"plumbing installation local")</f>
        <v>plumbing installation local</v>
      </c>
      <c r="D151" s="4" t="str">
        <f>IFERROR(__xludf.DUMMYFUNCTION("""COMPUTED_VALUE"""),"professional plumbing repairs")</f>
        <v>professional plumbing repairs</v>
      </c>
      <c r="E151" s="28" t="str">
        <f>IFERROR(__xludf.DUMMYFUNCTION("""COMPUTED_VALUE"""),"leaking tap repair near me")</f>
        <v>leaking tap repair near me</v>
      </c>
      <c r="F151" s="4" t="str">
        <f>IFERROR(__xludf.DUMMYFUNCTION("""COMPUTED_VALUE"""),"residential blocked toilet plumber")</f>
        <v>residential blocked toilet plumber</v>
      </c>
      <c r="G151" s="4" t="str">
        <f>IFERROR(__xludf.DUMMYFUNCTION("""COMPUTED_VALUE"""),"leak detection near me")</f>
        <v>leak detection near me</v>
      </c>
      <c r="H151" s="4" t="str">
        <f>IFERROR(__xludf.DUMMYFUNCTION("""COMPUTED_VALUE"""),"repair leak detection")</f>
        <v>repair leak detection</v>
      </c>
      <c r="I151" s="4" t="str">
        <f>IFERROR(__xludf.DUMMYFUNCTION("""COMPUTED_VALUE"""),"electrician cape town installation")</f>
        <v>electrician cape town installation</v>
      </c>
      <c r="J151" s="4" t="str">
        <f>IFERROR(__xludf.DUMMYFUNCTION("""COMPUTED_VALUE"""),"qualified electrician cape town")</f>
        <v>qualified electrician cape town</v>
      </c>
      <c r="K151" s="4" t="str">
        <f>IFERROR(__xludf.DUMMYFUNCTION("""COMPUTED_VALUE"""),"fridge repair local")</f>
        <v>fridge repair local</v>
      </c>
      <c r="L151" s="4" t="str">
        <f>IFERROR(__xludf.DUMMYFUNCTION("""COMPUTED_VALUE"""),"reliable aircon installation")</f>
        <v>reliable aircon installation</v>
      </c>
      <c r="M151" s="4" t="str">
        <f>IFERROR(__xludf.DUMMYFUNCTION("""COMPUTED_VALUE"""),"plumbing company hotel")</f>
        <v>plumbing company hotel</v>
      </c>
      <c r="N151" s="4" t="str">
        <f>IFERROR(__xludf.DUMMYFUNCTION("""COMPUTED_VALUE"""),"residential property refrigeration services")</f>
        <v>residential property refrigeration services</v>
      </c>
      <c r="O151" s="4" t="str">
        <f>IFERROR(__xludf.DUMMYFUNCTION("""COMPUTED_VALUE"""),"plumber near me local")</f>
        <v>plumber near me local</v>
      </c>
      <c r="P151" s="4" t="str">
        <f>IFERROR(__xludf.DUMMYFUNCTION("""COMPUTED_VALUE"""),"quote schmidhauser plumbing")</f>
        <v>quote schmidhauser plumbing</v>
      </c>
      <c r="Q151" s="4" t="str">
        <f>IFERROR(__xludf.DUMMYFUNCTION("""COMPUTED_VALUE"""),"plumbing maintenance how long does")</f>
        <v>plumbing maintenance how long does</v>
      </c>
      <c r="R151" s="4" t="str">
        <f>IFERROR(__xludf.DUMMYFUNCTION("""COMPUTED_VALUE"""),"what is refrigeration repair")</f>
        <v>what is refrigeration repair</v>
      </c>
      <c r="S151" s="4"/>
      <c r="T151" s="4" t="str">
        <f>IFERROR(__xludf.DUMMYFUNCTION("""COMPUTED_VALUE"""),"air conditioning repair commercial")</f>
        <v>air conditioning repair commercial</v>
      </c>
      <c r="U151" s="4"/>
      <c r="V151" s="4"/>
      <c r="W151" s="4"/>
      <c r="X151" s="4"/>
      <c r="Y151" s="4"/>
      <c r="Z151" s="4"/>
    </row>
    <row r="152" ht="15.75" customHeight="1">
      <c r="A152" s="4" t="str">
        <f>IFERROR(__xludf.DUMMYFUNCTION("""COMPUTED_VALUE"""),"leak detection plumber South Africa")</f>
        <v>leak detection plumber South Africa</v>
      </c>
      <c r="B152" s="4" t="str">
        <f>IFERROR(__xludf.DUMMYFUNCTION("""COMPUTED_VALUE"""),"Northern Suburbs aircon repairs")</f>
        <v>Northern Suburbs aircon repairs</v>
      </c>
      <c r="C152" s="4" t="str">
        <f>IFERROR(__xludf.DUMMYFUNCTION("""COMPUTED_VALUE"""),"plumbing installation maintenance")</f>
        <v>plumbing installation maintenance</v>
      </c>
      <c r="D152" s="4" t="str">
        <f>IFERROR(__xludf.DUMMYFUNCTION("""COMPUTED_VALUE"""),"professional plumbing services")</f>
        <v>professional plumbing services</v>
      </c>
      <c r="E152" s="28" t="str">
        <f>IFERROR(__xludf.DUMMYFUNCTION("""COMPUTED_VALUE"""),"leaking tap repair plumber")</f>
        <v>leaking tap repair plumber</v>
      </c>
      <c r="F152" s="4" t="str">
        <f>IFERROR(__xludf.DUMMYFUNCTION("""COMPUTED_VALUE"""),"residential burst pipe repair")</f>
        <v>residential burst pipe repair</v>
      </c>
      <c r="G152" s="4" t="str">
        <f>IFERROR(__xludf.DUMMYFUNCTION("""COMPUTED_VALUE"""),"leak detection plumber")</f>
        <v>leak detection plumber</v>
      </c>
      <c r="H152" s="4" t="str">
        <f>IFERROR(__xludf.DUMMYFUNCTION("""COMPUTED_VALUE"""),"repair water leak detection")</f>
        <v>repair water leak detection</v>
      </c>
      <c r="I152" s="4" t="str">
        <f>IFERROR(__xludf.DUMMYFUNCTION("""COMPUTED_VALUE"""),"electrician cape town licensed")</f>
        <v>electrician cape town licensed</v>
      </c>
      <c r="J152" s="4" t="str">
        <f>IFERROR(__xludf.DUMMYFUNCTION("""COMPUTED_VALUE"""),"qualified emergency electrician")</f>
        <v>qualified emergency electrician</v>
      </c>
      <c r="K152" s="4" t="str">
        <f>IFERROR(__xludf.DUMMYFUNCTION("""COMPUTED_VALUE"""),"fridge repair maintenance")</f>
        <v>fridge repair maintenance</v>
      </c>
      <c r="L152" s="4" t="str">
        <f>IFERROR(__xludf.DUMMYFUNCTION("""COMPUTED_VALUE"""),"reliable aircon repair")</f>
        <v>reliable aircon repair</v>
      </c>
      <c r="M152" s="4" t="str">
        <f>IFERROR(__xludf.DUMMYFUNCTION("""COMPUTED_VALUE"""),"plumbing company house")</f>
        <v>plumbing company house</v>
      </c>
      <c r="N152" s="4" t="str">
        <f>IFERROR(__xludf.DUMMYFUNCTION("""COMPUTED_VALUE"""),"restaurant air conditioning services")</f>
        <v>restaurant air conditioning services</v>
      </c>
      <c r="O152" s="4" t="str">
        <f>IFERROR(__xludf.DUMMYFUNCTION("""COMPUTED_VALUE"""),"plumber near me prices")</f>
        <v>plumber near me prices</v>
      </c>
      <c r="P152" s="4" t="str">
        <f>IFERROR(__xludf.DUMMYFUNCTION("""COMPUTED_VALUE"""),"reliable absolute plumbing cape town")</f>
        <v>reliable absolute plumbing cape town</v>
      </c>
      <c r="Q152" s="4" t="str">
        <f>IFERROR(__xludf.DUMMYFUNCTION("""COMPUTED_VALUE"""),"plumbing maintenance how much does")</f>
        <v>plumbing maintenance how much does</v>
      </c>
      <c r="R152" s="4" t="str">
        <f>IFERROR(__xludf.DUMMYFUNCTION("""COMPUTED_VALUE"""),"when to call a aircon service")</f>
        <v>when to call a aircon service</v>
      </c>
      <c r="S152" s="4"/>
      <c r="T152" s="4" t="str">
        <f>IFERROR(__xludf.DUMMYFUNCTION("""COMPUTED_VALUE"""),"air conditioning repair company")</f>
        <v>air conditioning repair company</v>
      </c>
      <c r="U152" s="4"/>
      <c r="V152" s="4"/>
      <c r="W152" s="4"/>
      <c r="X152" s="4"/>
      <c r="Y152" s="4"/>
      <c r="Z152" s="4"/>
    </row>
    <row r="153" ht="15.75" customHeight="1">
      <c r="A153" s="4" t="str">
        <f>IFERROR(__xludf.DUMMYFUNCTION("""COMPUTED_VALUE"""),"leak detection plumber Southern Suburbs")</f>
        <v>leak detection plumber Southern Suburbs</v>
      </c>
      <c r="B153" s="4" t="str">
        <f>IFERROR(__xludf.DUMMYFUNCTION("""COMPUTED_VALUE"""),"Northern Suburbs blocked drain plumber")</f>
        <v>Northern Suburbs blocked drain plumber</v>
      </c>
      <c r="C153" s="4" t="str">
        <f>IFERROR(__xludf.DUMMYFUNCTION("""COMPUTED_VALUE"""),"plumbing installation near me")</f>
        <v>plumbing installation near me</v>
      </c>
      <c r="D153" s="4" t="str">
        <f>IFERROR(__xludf.DUMMYFUNCTION("""COMPUTED_VALUE"""),"professional residential plumber")</f>
        <v>professional residential plumber</v>
      </c>
      <c r="E153" s="28" t="str">
        <f>IFERROR(__xludf.DUMMYFUNCTION("""COMPUTED_VALUE"""),"leaking tap repair professional")</f>
        <v>leaking tap repair professional</v>
      </c>
      <c r="F153" s="4" t="str">
        <f>IFERROR(__xludf.DUMMYFUNCTION("""COMPUTED_VALUE"""),"residential emergency plumber")</f>
        <v>residential emergency plumber</v>
      </c>
      <c r="G153" s="4" t="str">
        <f>IFERROR(__xludf.DUMMYFUNCTION("""COMPUTED_VALUE"""),"leak detection plumbing company")</f>
        <v>leak detection plumbing company</v>
      </c>
      <c r="H153" s="4" t="str">
        <f>IFERROR(__xludf.DUMMYFUNCTION("""COMPUTED_VALUE"""),"replacement blocked drain")</f>
        <v>replacement blocked drain</v>
      </c>
      <c r="I153" s="4" t="str">
        <f>IFERROR(__xludf.DUMMYFUNCTION("""COMPUTED_VALUE"""),"electrician cape town local")</f>
        <v>electrician cape town local</v>
      </c>
      <c r="J153" s="4" t="str">
        <f>IFERROR(__xludf.DUMMYFUNCTION("""COMPUTED_VALUE"""),"qualified residential electrician")</f>
        <v>qualified residential electrician</v>
      </c>
      <c r="K153" s="4" t="str">
        <f>IFERROR(__xludf.DUMMYFUNCTION("""COMPUTED_VALUE"""),"fridge repair near me")</f>
        <v>fridge repair near me</v>
      </c>
      <c r="L153" s="4" t="str">
        <f>IFERROR(__xludf.DUMMYFUNCTION("""COMPUTED_VALUE"""),"reliable aircon service")</f>
        <v>reliable aircon service</v>
      </c>
      <c r="M153" s="4" t="str">
        <f>IFERROR(__xludf.DUMMYFUNCTION("""COMPUTED_VALUE"""),"plumbing company landlord")</f>
        <v>plumbing company landlord</v>
      </c>
      <c r="N153" s="4" t="str">
        <f>IFERROR(__xludf.DUMMYFUNCTION("""COMPUTED_VALUE"""),"restaurant drain cleaning")</f>
        <v>restaurant drain cleaning</v>
      </c>
      <c r="O153" s="4" t="str">
        <f>IFERROR(__xludf.DUMMYFUNCTION("""COMPUTED_VALUE"""),"plumber near me qualified")</f>
        <v>plumber near me qualified</v>
      </c>
      <c r="P153" s="4" t="str">
        <f>IFERROR(__xludf.DUMMYFUNCTION("""COMPUTED_VALUE"""),"reliable aircon repair cape town")</f>
        <v>reliable aircon repair cape town</v>
      </c>
      <c r="Q153" s="4" t="str">
        <f>IFERROR(__xludf.DUMMYFUNCTION("""COMPUTED_VALUE"""),"plumbing maintenance how to choose")</f>
        <v>plumbing maintenance how to choose</v>
      </c>
      <c r="R153" s="4" t="str">
        <f>IFERROR(__xludf.DUMMYFUNCTION("""COMPUTED_VALUE"""),"when to call a blocked drain")</f>
        <v>when to call a blocked drain</v>
      </c>
      <c r="S153" s="4"/>
      <c r="T153" s="4" t="str">
        <f>IFERROR(__xludf.DUMMYFUNCTION("""COMPUTED_VALUE"""),"air conditioning repair contractor")</f>
        <v>air conditioning repair contractor</v>
      </c>
      <c r="U153" s="4"/>
      <c r="V153" s="4"/>
      <c r="W153" s="4"/>
      <c r="X153" s="4"/>
      <c r="Y153" s="4"/>
      <c r="Z153" s="4"/>
    </row>
    <row r="154" ht="15.75" customHeight="1">
      <c r="A154" s="4" t="str">
        <f>IFERROR(__xludf.DUMMYFUNCTION("""COMPUTED_VALUE"""),"leak detection plumber Table View")</f>
        <v>leak detection plumber Table View</v>
      </c>
      <c r="B154" s="4" t="str">
        <f>IFERROR(__xludf.DUMMYFUNCTION("""COMPUTED_VALUE"""),"Northern Suburbs electrician")</f>
        <v>Northern Suburbs electrician</v>
      </c>
      <c r="C154" s="4" t="str">
        <f>IFERROR(__xludf.DUMMYFUNCTION("""COMPUTED_VALUE"""),"plumbing installation professional")</f>
        <v>plumbing installation professional</v>
      </c>
      <c r="D154" s="4" t="str">
        <f>IFERROR(__xludf.DUMMYFUNCTION("""COMPUTED_VALUE"""),"qualified commercial plumber")</f>
        <v>qualified commercial plumber</v>
      </c>
      <c r="E154" s="28" t="str">
        <f>IFERROR(__xludf.DUMMYFUNCTION("""COMPUTED_VALUE"""),"leaking tap repair quote")</f>
        <v>leaking tap repair quote</v>
      </c>
      <c r="F154" s="4" t="str">
        <f>IFERROR(__xludf.DUMMYFUNCTION("""COMPUTED_VALUE"""),"residential kitchen plumbing repair")</f>
        <v>residential kitchen plumbing repair</v>
      </c>
      <c r="G154" s="4" t="str">
        <f>IFERROR(__xludf.DUMMYFUNCTION("""COMPUTED_VALUE"""),"leak detection quote")</f>
        <v>leak detection quote</v>
      </c>
      <c r="H154" s="4" t="str">
        <f>IFERROR(__xludf.DUMMYFUNCTION("""COMPUTED_VALUE"""),"replacement burst geyser")</f>
        <v>replacement burst geyser</v>
      </c>
      <c r="I154" s="4" t="str">
        <f>IFERROR(__xludf.DUMMYFUNCTION("""COMPUTED_VALUE"""),"electrician cape town near me")</f>
        <v>electrician cape town near me</v>
      </c>
      <c r="J154" s="4" t="str">
        <f>IFERROR(__xludf.DUMMYFUNCTION("""COMPUTED_VALUE"""),"quote commercial electrician")</f>
        <v>quote commercial electrician</v>
      </c>
      <c r="K154" s="4" t="str">
        <f>IFERROR(__xludf.DUMMYFUNCTION("""COMPUTED_VALUE"""),"fridge repair professional")</f>
        <v>fridge repair professional</v>
      </c>
      <c r="L154" s="4" t="str">
        <f>IFERROR(__xludf.DUMMYFUNCTION("""COMPUTED_VALUE"""),"reliable cold room repair")</f>
        <v>reliable cold room repair</v>
      </c>
      <c r="M154" s="4" t="str">
        <f>IFERROR(__xludf.DUMMYFUNCTION("""COMPUTED_VALUE"""),"plumbing company office")</f>
        <v>plumbing company office</v>
      </c>
      <c r="N154" s="4" t="str">
        <f>IFERROR(__xludf.DUMMYFUNCTION("""COMPUTED_VALUE"""),"restaurant electrical repairs")</f>
        <v>restaurant electrical repairs</v>
      </c>
      <c r="O154" s="4" t="str">
        <f>IFERROR(__xludf.DUMMYFUNCTION("""COMPUTED_VALUE"""),"plumber near me quote")</f>
        <v>plumber near me quote</v>
      </c>
      <c r="P154" s="4" t="str">
        <f>IFERROR(__xludf.DUMMYFUNCTION("""COMPUTED_VALUE"""),"reliable bosman plumbers")</f>
        <v>reliable bosman plumbers</v>
      </c>
      <c r="Q154" s="4" t="str">
        <f>IFERROR(__xludf.DUMMYFUNCTION("""COMPUTED_VALUE"""),"plumbing maintenance how to prevent")</f>
        <v>plumbing maintenance how to prevent</v>
      </c>
      <c r="R154" s="4" t="str">
        <f>IFERROR(__xludf.DUMMYFUNCTION("""COMPUTED_VALUE"""),"when to call a burst pipe")</f>
        <v>when to call a burst pipe</v>
      </c>
      <c r="S154" s="4"/>
      <c r="T154" s="4" t="str">
        <f>IFERROR(__xludf.DUMMYFUNCTION("""COMPUTED_VALUE"""),"air conditioning repair cost")</f>
        <v>air conditioning repair cost</v>
      </c>
      <c r="U154" s="4"/>
      <c r="V154" s="4"/>
      <c r="W154" s="4"/>
      <c r="X154" s="4"/>
      <c r="Y154" s="4"/>
      <c r="Z154" s="4"/>
    </row>
    <row r="155" ht="15.75" customHeight="1">
      <c r="A155" s="4" t="str">
        <f>IFERROR(__xludf.DUMMYFUNCTION("""COMPUTED_VALUE"""),"leak detection plumber Tokai")</f>
        <v>leak detection plumber Tokai</v>
      </c>
      <c r="B155" s="4" t="str">
        <f>IFERROR(__xludf.DUMMYFUNCTION("""COMPUTED_VALUE"""),"Northern Suburbs emergency plumber")</f>
        <v>Northern Suburbs emergency plumber</v>
      </c>
      <c r="C155" s="4" t="str">
        <f>IFERROR(__xludf.DUMMYFUNCTION("""COMPUTED_VALUE"""),"plumbing installation qualified")</f>
        <v>plumbing installation qualified</v>
      </c>
      <c r="D155" s="4" t="str">
        <f>IFERROR(__xludf.DUMMYFUNCTION("""COMPUTED_VALUE"""),"qualified maintenance plumber")</f>
        <v>qualified maintenance plumber</v>
      </c>
      <c r="E155" s="28" t="str">
        <f>IFERROR(__xludf.DUMMYFUNCTION("""COMPUTED_VALUE"""),"leaking tap repair reliable")</f>
        <v>leaking tap repair reliable</v>
      </c>
      <c r="F155" s="4" t="str">
        <f>IFERROR(__xludf.DUMMYFUNCTION("""COMPUTED_VALUE"""),"residential leaking pipe repair")</f>
        <v>residential leaking pipe repair</v>
      </c>
      <c r="G155" s="4" t="str">
        <f>IFERROR(__xludf.DUMMYFUNCTION("""COMPUTED_VALUE"""),"leak detection reliable")</f>
        <v>leak detection reliable</v>
      </c>
      <c r="H155" s="4" t="str">
        <f>IFERROR(__xludf.DUMMYFUNCTION("""COMPUTED_VALUE"""),"replacement drain cleaning")</f>
        <v>replacement drain cleaning</v>
      </c>
      <c r="I155" s="4" t="str">
        <f>IFERROR(__xludf.DUMMYFUNCTION("""COMPUTED_VALUE"""),"electrician cape town professional")</f>
        <v>electrician cape town professional</v>
      </c>
      <c r="J155" s="4" t="str">
        <f>IFERROR(__xludf.DUMMYFUNCTION("""COMPUTED_VALUE"""),"quote electrical compliance certificate")</f>
        <v>quote electrical compliance certificate</v>
      </c>
      <c r="K155" s="4" t="str">
        <f>IFERROR(__xludf.DUMMYFUNCTION("""COMPUTED_VALUE"""),"fridge repair quote")</f>
        <v>fridge repair quote</v>
      </c>
      <c r="L155" s="4" t="str">
        <f>IFERROR(__xludf.DUMMYFUNCTION("""COMPUTED_VALUE"""),"reliable commercial refrigeration")</f>
        <v>reliable commercial refrigeration</v>
      </c>
      <c r="M155" s="4" t="str">
        <f>IFERROR(__xludf.DUMMYFUNCTION("""COMPUTED_VALUE"""),"plumbing company property manager")</f>
        <v>plumbing company property manager</v>
      </c>
      <c r="N155" s="4" t="str">
        <f>IFERROR(__xludf.DUMMYFUNCTION("""COMPUTED_VALUE"""),"restaurant emergency plumbing")</f>
        <v>restaurant emergency plumbing</v>
      </c>
      <c r="O155" s="4" t="str">
        <f>IFERROR(__xludf.DUMMYFUNCTION("""COMPUTED_VALUE"""),"plumber near me reliable")</f>
        <v>plumber near me reliable</v>
      </c>
      <c r="P155" s="4" t="str">
        <f>IFERROR(__xludf.DUMMYFUNCTION("""COMPUTED_VALUE"""),"reliable drain surgeon cape town")</f>
        <v>reliable drain surgeon cape town</v>
      </c>
      <c r="Q155" s="4" t="str">
        <f>IFERROR(__xludf.DUMMYFUNCTION("""COMPUTED_VALUE"""),"plumbing maintenance is it safe to")</f>
        <v>plumbing maintenance is it safe to</v>
      </c>
      <c r="R155" s="4" t="str">
        <f>IFERROR(__xludf.DUMMYFUNCTION("""COMPUTED_VALUE"""),"when to call a electrical COC")</f>
        <v>when to call a electrical COC</v>
      </c>
      <c r="S155" s="4"/>
      <c r="T155" s="4" t="str">
        <f>IFERROR(__xludf.DUMMYFUNCTION("""COMPUTED_VALUE"""),"air conditioning repair emergency")</f>
        <v>air conditioning repair emergency</v>
      </c>
      <c r="U155" s="4"/>
      <c r="V155" s="4"/>
      <c r="W155" s="4"/>
      <c r="X155" s="4"/>
      <c r="Y155" s="4"/>
      <c r="Z155" s="4"/>
    </row>
    <row r="156" ht="15.75" customHeight="1">
      <c r="A156" s="4" t="str">
        <f>IFERROR(__xludf.DUMMYFUNCTION("""COMPUTED_VALUE"""),"leak detection plumber Woodstock")</f>
        <v>leak detection plumber Woodstock</v>
      </c>
      <c r="B156" s="4" t="str">
        <f>IFERROR(__xludf.DUMMYFUNCTION("""COMPUTED_VALUE"""),"Northern Suburbs geyser repair")</f>
        <v>Northern Suburbs geyser repair</v>
      </c>
      <c r="C156" s="4" t="str">
        <f>IFERROR(__xludf.DUMMYFUNCTION("""COMPUTED_VALUE"""),"plumbing installation quote")</f>
        <v>plumbing installation quote</v>
      </c>
      <c r="D156" s="4" t="str">
        <f>IFERROR(__xludf.DUMMYFUNCTION("""COMPUTED_VALUE"""),"qualified plumber cape town")</f>
        <v>qualified plumber cape town</v>
      </c>
      <c r="E156" s="28" t="str">
        <f>IFERROR(__xludf.DUMMYFUNCTION("""COMPUTED_VALUE"""),"leaking tap repair residential")</f>
        <v>leaking tap repair residential</v>
      </c>
      <c r="F156" s="4" t="str">
        <f>IFERROR(__xludf.DUMMYFUNCTION("""COMPUTED_VALUE"""),"residential leaking tap repair")</f>
        <v>residential leaking tap repair</v>
      </c>
      <c r="G156" s="4" t="str">
        <f>IFERROR(__xludf.DUMMYFUNCTION("""COMPUTED_VALUE"""),"leak detection repair")</f>
        <v>leak detection repair</v>
      </c>
      <c r="H156" s="4" t="str">
        <f>IFERROR(__xludf.DUMMYFUNCTION("""COMPUTED_VALUE"""),"replacement drain inspection")</f>
        <v>replacement drain inspection</v>
      </c>
      <c r="I156" s="4" t="str">
        <f>IFERROR(__xludf.DUMMYFUNCTION("""COMPUTED_VALUE"""),"electrician cape town qualified")</f>
        <v>electrician cape town qualified</v>
      </c>
      <c r="J156" s="4" t="str">
        <f>IFERROR(__xludf.DUMMYFUNCTION("""COMPUTED_VALUE"""),"quote electrical contractor")</f>
        <v>quote electrical contractor</v>
      </c>
      <c r="K156" s="4" t="str">
        <f>IFERROR(__xludf.DUMMYFUNCTION("""COMPUTED_VALUE"""),"fridge repair reliable")</f>
        <v>fridge repair reliable</v>
      </c>
      <c r="L156" s="4" t="str">
        <f>IFERROR(__xludf.DUMMYFUNCTION("""COMPUTED_VALUE"""),"reliable fridge repair")</f>
        <v>reliable fridge repair</v>
      </c>
      <c r="M156" s="4" t="str">
        <f>IFERROR(__xludf.DUMMYFUNCTION("""COMPUTED_VALUE"""),"plumbing company residential property")</f>
        <v>plumbing company residential property</v>
      </c>
      <c r="N156" s="4" t="str">
        <f>IFERROR(__xludf.DUMMYFUNCTION("""COMPUTED_VALUE"""),"restaurant geyser repairs")</f>
        <v>restaurant geyser repairs</v>
      </c>
      <c r="O156" s="4" t="str">
        <f>IFERROR(__xludf.DUMMYFUNCTION("""COMPUTED_VALUE"""),"plumber near me reputable")</f>
        <v>plumber near me reputable</v>
      </c>
      <c r="P156" s="4" t="str">
        <f>IFERROR(__xludf.DUMMYFUNCTION("""COMPUTED_VALUE"""),"reliable electrician cape town")</f>
        <v>reliable electrician cape town</v>
      </c>
      <c r="Q156" s="4" t="str">
        <f>IFERROR(__xludf.DUMMYFUNCTION("""COMPUTED_VALUE"""),"plumbing maintenance near me for")</f>
        <v>plumbing maintenance near me for</v>
      </c>
      <c r="R156" s="4" t="str">
        <f>IFERROR(__xludf.DUMMYFUNCTION("""COMPUTED_VALUE"""),"when to call a emergency plumber")</f>
        <v>when to call a emergency plumber</v>
      </c>
      <c r="S156" s="4"/>
      <c r="T156" s="4" t="str">
        <f>IFERROR(__xludf.DUMMYFUNCTION("""COMPUTED_VALUE"""),"air conditioning repair installation")</f>
        <v>air conditioning repair installation</v>
      </c>
      <c r="U156" s="4"/>
      <c r="V156" s="4"/>
      <c r="W156" s="4"/>
      <c r="X156" s="4"/>
      <c r="Y156" s="4"/>
      <c r="Z156" s="4"/>
    </row>
    <row r="157" ht="15.75" customHeight="1">
      <c r="A157" s="4" t="str">
        <f>IFERROR(__xludf.DUMMYFUNCTION("""COMPUTED_VALUE"""),"leak detection plumber Wynberg")</f>
        <v>leak detection plumber Wynberg</v>
      </c>
      <c r="B157" s="4" t="str">
        <f>IFERROR(__xludf.DUMMYFUNCTION("""COMPUTED_VALUE"""),"Northern Suburbs leak detection plumber")</f>
        <v>Northern Suburbs leak detection plumber</v>
      </c>
      <c r="C157" s="4" t="str">
        <f>IFERROR(__xludf.DUMMYFUNCTION("""COMPUTED_VALUE"""),"plumbing installation reliable")</f>
        <v>plumbing installation reliable</v>
      </c>
      <c r="D157" s="4" t="str">
        <f>IFERROR(__xludf.DUMMYFUNCTION("""COMPUTED_VALUE"""),"qualified plumbing company")</f>
        <v>qualified plumbing company</v>
      </c>
      <c r="E157" s="28" t="str">
        <f>IFERROR(__xludf.DUMMYFUNCTION("""COMPUTED_VALUE"""),"leaking tap repair same day")</f>
        <v>leaking tap repair same day</v>
      </c>
      <c r="F157" s="4" t="str">
        <f>IFERROR(__xludf.DUMMYFUNCTION("""COMPUTED_VALUE"""),"residential toilet repair")</f>
        <v>residential toilet repair</v>
      </c>
      <c r="G157" s="4" t="str">
        <f>IFERROR(__xludf.DUMMYFUNCTION("""COMPUTED_VALUE"""),"leak detection replacement")</f>
        <v>leak detection replacement</v>
      </c>
      <c r="H157" s="4" t="str">
        <f>IFERROR(__xludf.DUMMYFUNCTION("""COMPUTED_VALUE"""),"replacement drain unblocking")</f>
        <v>replacement drain unblocking</v>
      </c>
      <c r="I157" s="4" t="str">
        <f>IFERROR(__xludf.DUMMYFUNCTION("""COMPUTED_VALUE"""),"electrician cape town quote")</f>
        <v>electrician cape town quote</v>
      </c>
      <c r="J157" s="4" t="str">
        <f>IFERROR(__xludf.DUMMYFUNCTION("""COMPUTED_VALUE"""),"quote electrical installation")</f>
        <v>quote electrical installation</v>
      </c>
      <c r="K157" s="4" t="str">
        <f>IFERROR(__xludf.DUMMYFUNCTION("""COMPUTED_VALUE"""),"fridge repair residential")</f>
        <v>fridge repair residential</v>
      </c>
      <c r="L157" s="4" t="str">
        <f>IFERROR(__xludf.DUMMYFUNCTION("""COMPUTED_VALUE"""),"reliable HVAC services")</f>
        <v>reliable HVAC services</v>
      </c>
      <c r="M157" s="4" t="str">
        <f>IFERROR(__xludf.DUMMYFUNCTION("""COMPUTED_VALUE"""),"plumbing company restaurant")</f>
        <v>plumbing company restaurant</v>
      </c>
      <c r="N157" s="4" t="str">
        <f>IFERROR(__xludf.DUMMYFUNCTION("""COMPUTED_VALUE"""),"restaurant leak detection")</f>
        <v>restaurant leak detection</v>
      </c>
      <c r="O157" s="4" t="str">
        <f>IFERROR(__xludf.DUMMYFUNCTION("""COMPUTED_VALUE"""),"plumber near me review")</f>
        <v>plumber near me review</v>
      </c>
      <c r="P157" s="4" t="str">
        <f>IFERROR(__xludf.DUMMYFUNCTION("""COMPUTED_VALUE"""),"reliable emergency plumber cape town")</f>
        <v>reliable emergency plumber cape town</v>
      </c>
      <c r="Q157" s="4" t="str">
        <f>IFERROR(__xludf.DUMMYFUNCTION("""COMPUTED_VALUE"""),"plumbing maintenance same day help for")</f>
        <v>plumbing maintenance same day help for</v>
      </c>
      <c r="R157" s="4" t="str">
        <f>IFERROR(__xludf.DUMMYFUNCTION("""COMPUTED_VALUE"""),"when to call a geyser repair")</f>
        <v>when to call a geyser repair</v>
      </c>
      <c r="S157" s="4"/>
      <c r="T157" s="4" t="str">
        <f>IFERROR(__xludf.DUMMYFUNCTION("""COMPUTED_VALUE"""),"air conditioning repair local")</f>
        <v>air conditioning repair local</v>
      </c>
      <c r="U157" s="4"/>
      <c r="V157" s="4"/>
      <c r="W157" s="4"/>
      <c r="X157" s="4"/>
      <c r="Y157" s="4"/>
      <c r="Z157" s="4"/>
    </row>
    <row r="158" ht="15.75" customHeight="1">
      <c r="A158" s="4" t="str">
        <f>IFERROR(__xludf.DUMMYFUNCTION("""COMPUTED_VALUE"""),"plumber Atlantic Seaboard")</f>
        <v>plumber Atlantic Seaboard</v>
      </c>
      <c r="B158" s="4" t="str">
        <f>IFERROR(__xludf.DUMMYFUNCTION("""COMPUTED_VALUE"""),"Northern Suburbs plumber")</f>
        <v>Northern Suburbs plumber</v>
      </c>
      <c r="C158" s="4" t="str">
        <f>IFERROR(__xludf.DUMMYFUNCTION("""COMPUTED_VALUE"""),"plumbing installation repair")</f>
        <v>plumbing installation repair</v>
      </c>
      <c r="D158" s="4" t="str">
        <f>IFERROR(__xludf.DUMMYFUNCTION("""COMPUTED_VALUE"""),"qualified plumbing contractors")</f>
        <v>qualified plumbing contractors</v>
      </c>
      <c r="E158" s="28" t="str">
        <f>IFERROR(__xludf.DUMMYFUNCTION("""COMPUTED_VALUE"""),"leaking tap repair service")</f>
        <v>leaking tap repair service</v>
      </c>
      <c r="F158" s="4" t="str">
        <f>IFERROR(__xludf.DUMMYFUNCTION("""COMPUTED_VALUE"""),"residential water leak repair")</f>
        <v>residential water leak repair</v>
      </c>
      <c r="G158" s="4" t="str">
        <f>IFERROR(__xludf.DUMMYFUNCTION("""COMPUTED_VALUE"""),"leak detection residential")</f>
        <v>leak detection residential</v>
      </c>
      <c r="H158" s="4" t="str">
        <f>IFERROR(__xludf.DUMMYFUNCTION("""COMPUTED_VALUE"""),"replacement geyser repair")</f>
        <v>replacement geyser repair</v>
      </c>
      <c r="I158" s="4" t="str">
        <f>IFERROR(__xludf.DUMMYFUNCTION("""COMPUTED_VALUE"""),"electrician cape town reliable")</f>
        <v>electrician cape town reliable</v>
      </c>
      <c r="J158" s="4" t="str">
        <f>IFERROR(__xludf.DUMMYFUNCTION("""COMPUTED_VALUE"""),"quote electrical maintenance")</f>
        <v>quote electrical maintenance</v>
      </c>
      <c r="K158" s="4" t="str">
        <f>IFERROR(__xludf.DUMMYFUNCTION("""COMPUTED_VALUE"""),"fridge repair same day")</f>
        <v>fridge repair same day</v>
      </c>
      <c r="L158" s="4" t="str">
        <f>IFERROR(__xludf.DUMMYFUNCTION("""COMPUTED_VALUE"""),"reliable refrigeration repair")</f>
        <v>reliable refrigeration repair</v>
      </c>
      <c r="M158" s="4" t="str">
        <f>IFERROR(__xludf.DUMMYFUNCTION("""COMPUTED_VALUE"""),"plumbing company school")</f>
        <v>plumbing company school</v>
      </c>
      <c r="N158" s="4" t="str">
        <f>IFERROR(__xludf.DUMMYFUNCTION("""COMPUTED_VALUE"""),"restaurant maintenance plumber")</f>
        <v>restaurant maintenance plumber</v>
      </c>
      <c r="O158" s="4" t="str">
        <f>IFERROR(__xludf.DUMMYFUNCTION("""COMPUTED_VALUE"""),"plumber near me reviews")</f>
        <v>plumber near me reviews</v>
      </c>
      <c r="P158" s="4" t="str">
        <f>IFERROR(__xludf.DUMMYFUNCTION("""COMPUTED_VALUE"""),"reliable plumber near me")</f>
        <v>reliable plumber near me</v>
      </c>
      <c r="Q158" s="4" t="str">
        <f>IFERROR(__xludf.DUMMYFUNCTION("""COMPUTED_VALUE"""),"plumbing maintenance signs you need")</f>
        <v>plumbing maintenance signs you need</v>
      </c>
      <c r="R158" s="4" t="str">
        <f>IFERROR(__xludf.DUMMYFUNCTION("""COMPUTED_VALUE"""),"when to call a leak detection")</f>
        <v>when to call a leak detection</v>
      </c>
      <c r="S158" s="4"/>
      <c r="T158" s="4" t="str">
        <f>IFERROR(__xludf.DUMMYFUNCTION("""COMPUTED_VALUE"""),"air conditioning repair maintenance")</f>
        <v>air conditioning repair maintenance</v>
      </c>
      <c r="U158" s="4"/>
      <c r="V158" s="4"/>
      <c r="W158" s="4"/>
      <c r="X158" s="4"/>
      <c r="Y158" s="4"/>
      <c r="Z158" s="4"/>
    </row>
    <row r="159" ht="15.75" customHeight="1">
      <c r="A159" s="4" t="str">
        <f>IFERROR(__xludf.DUMMYFUNCTION("""COMPUTED_VALUE"""),"plumber Bellville")</f>
        <v>plumber Bellville</v>
      </c>
      <c r="B159" s="4" t="str">
        <f>IFERROR(__xludf.DUMMYFUNCTION("""COMPUTED_VALUE"""),"Northern Suburbs plumbers")</f>
        <v>Northern Suburbs plumbers</v>
      </c>
      <c r="C159" s="4" t="str">
        <f>IFERROR(__xludf.DUMMYFUNCTION("""COMPUTED_VALUE"""),"plumbing installation same day")</f>
        <v>plumbing installation same day</v>
      </c>
      <c r="D159" s="4" t="str">
        <f>IFERROR(__xludf.DUMMYFUNCTION("""COMPUTED_VALUE"""),"qualified plumbing inspection")</f>
        <v>qualified plumbing inspection</v>
      </c>
      <c r="E159" s="28" t="str">
        <f>IFERROR(__xludf.DUMMYFUNCTION("""COMPUTED_VALUE"""),"leaking tap repair urgent")</f>
        <v>leaking tap repair urgent</v>
      </c>
      <c r="F159" s="4" t="str">
        <f>IFERROR(__xludf.DUMMYFUNCTION("""COMPUTED_VALUE"""),"same day 24 hour plumber")</f>
        <v>same day 24 hour plumber</v>
      </c>
      <c r="G159" s="4" t="str">
        <f>IFERROR(__xludf.DUMMYFUNCTION("""COMPUTED_VALUE"""),"leak detection same day")</f>
        <v>leak detection same day</v>
      </c>
      <c r="H159" s="4" t="str">
        <f>IFERROR(__xludf.DUMMYFUNCTION("""COMPUTED_VALUE"""),"replacement leak detection")</f>
        <v>replacement leak detection</v>
      </c>
      <c r="I159" s="4" t="str">
        <f>IFERROR(__xludf.DUMMYFUNCTION("""COMPUTED_VALUE"""),"electrician cape town repair")</f>
        <v>electrician cape town repair</v>
      </c>
      <c r="J159" s="4" t="str">
        <f>IFERROR(__xludf.DUMMYFUNCTION("""COMPUTED_VALUE"""),"quote electrical repairs")</f>
        <v>quote electrical repairs</v>
      </c>
      <c r="K159" s="4" t="str">
        <f>IFERROR(__xludf.DUMMYFUNCTION("""COMPUTED_VALUE"""),"fridge repair service")</f>
        <v>fridge repair service</v>
      </c>
      <c r="L159" s="4" t="str">
        <f>IFERROR(__xludf.DUMMYFUNCTION("""COMPUTED_VALUE"""),"repair air conditioning")</f>
        <v>repair air conditioning</v>
      </c>
      <c r="M159" s="4" t="str">
        <f>IFERROR(__xludf.DUMMYFUNCTION("""COMPUTED_VALUE"""),"plumbing company shop")</f>
        <v>plumbing company shop</v>
      </c>
      <c r="N159" s="4" t="str">
        <f>IFERROR(__xludf.DUMMYFUNCTION("""COMPUTED_VALUE"""),"restaurant plumbing company")</f>
        <v>restaurant plumbing company</v>
      </c>
      <c r="O159" s="4" t="str">
        <f>IFERROR(__xludf.DUMMYFUNCTION("""COMPUTED_VALUE"""),"plumber near me same day")</f>
        <v>plumber near me same day</v>
      </c>
      <c r="P159" s="4" t="str">
        <f>IFERROR(__xludf.DUMMYFUNCTION("""COMPUTED_VALUE"""),"reliable plumbers cape town")</f>
        <v>reliable plumbers cape town</v>
      </c>
      <c r="Q159" s="4" t="str">
        <f>IFERROR(__xludf.DUMMYFUNCTION("""COMPUTED_VALUE"""),"plumbing maintenance what causes")</f>
        <v>plumbing maintenance what causes</v>
      </c>
      <c r="R159" s="4" t="str">
        <f>IFERROR(__xludf.DUMMYFUNCTION("""COMPUTED_VALUE"""),"when to call a plumber cost")</f>
        <v>when to call a plumber cost</v>
      </c>
      <c r="S159" s="4"/>
      <c r="T159" s="4" t="str">
        <f>IFERROR(__xludf.DUMMYFUNCTION("""COMPUTED_VALUE"""),"air conditioning repair near me")</f>
        <v>air conditioning repair near me</v>
      </c>
      <c r="U159" s="4"/>
      <c r="V159" s="4"/>
      <c r="W159" s="4"/>
      <c r="X159" s="4"/>
      <c r="Y159" s="4"/>
      <c r="Z159" s="4"/>
    </row>
    <row r="160" ht="15.75" customHeight="1">
      <c r="A160" s="4" t="str">
        <f>IFERROR(__xludf.DUMMYFUNCTION("""COMPUTED_VALUE"""),"plumber Camps Bay")</f>
        <v>plumber Camps Bay</v>
      </c>
      <c r="B160" s="4" t="str">
        <f>IFERROR(__xludf.DUMMYFUNCTION("""COMPUTED_VALUE"""),"Northern Suburbs plumbing company")</f>
        <v>Northern Suburbs plumbing company</v>
      </c>
      <c r="C160" s="4" t="str">
        <f>IFERROR(__xludf.DUMMYFUNCTION("""COMPUTED_VALUE"""),"plumbing installation service")</f>
        <v>plumbing installation service</v>
      </c>
      <c r="D160" s="4" t="str">
        <f>IFERROR(__xludf.DUMMYFUNCTION("""COMPUTED_VALUE"""),"qualified plumbing installation")</f>
        <v>qualified plumbing installation</v>
      </c>
      <c r="E160" s="28" t="str">
        <f>IFERROR(__xludf.DUMMYFUNCTION("""COMPUTED_VALUE"""),"leaking tap repair weekend")</f>
        <v>leaking tap repair weekend</v>
      </c>
      <c r="F160" s="4" t="str">
        <f>IFERROR(__xludf.DUMMYFUNCTION("""COMPUTED_VALUE"""),"same day bathroom plumbing repair")</f>
        <v>same day bathroom plumbing repair</v>
      </c>
      <c r="G160" s="4" t="str">
        <f>IFERROR(__xludf.DUMMYFUNCTION("""COMPUTED_VALUE"""),"leak detection service")</f>
        <v>leak detection service</v>
      </c>
      <c r="H160" s="4" t="str">
        <f>IFERROR(__xludf.DUMMYFUNCTION("""COMPUTED_VALUE"""),"replacement pipe repair")</f>
        <v>replacement pipe repair</v>
      </c>
      <c r="I160" s="4" t="str">
        <f>IFERROR(__xludf.DUMMYFUNCTION("""COMPUTED_VALUE"""),"electrician cape town same day")</f>
        <v>electrician cape town same day</v>
      </c>
      <c r="J160" s="4" t="str">
        <f>IFERROR(__xludf.DUMMYFUNCTION("""COMPUTED_VALUE"""),"quote electrical services")</f>
        <v>quote electrical services</v>
      </c>
      <c r="K160" s="4" t="str">
        <f>IFERROR(__xludf.DUMMYFUNCTION("""COMPUTED_VALUE"""),"fridge repair technician")</f>
        <v>fridge repair technician</v>
      </c>
      <c r="L160" s="4" t="str">
        <f>IFERROR(__xludf.DUMMYFUNCTION("""COMPUTED_VALUE"""),"repair aircon installation")</f>
        <v>repair aircon installation</v>
      </c>
      <c r="M160" s="4" t="str">
        <f>IFERROR(__xludf.DUMMYFUNCTION("""COMPUTED_VALUE"""),"plumbing company tenant")</f>
        <v>plumbing company tenant</v>
      </c>
      <c r="N160" s="4" t="str">
        <f>IFERROR(__xludf.DUMMYFUNCTION("""COMPUTED_VALUE"""),"restaurant plumbing services")</f>
        <v>restaurant plumbing services</v>
      </c>
      <c r="O160" s="4" t="str">
        <f>IFERROR(__xludf.DUMMYFUNCTION("""COMPUTED_VALUE"""),"plumber near me top rated")</f>
        <v>plumber near me top rated</v>
      </c>
      <c r="P160" s="4" t="str">
        <f>IFERROR(__xludf.DUMMYFUNCTION("""COMPUTED_VALUE"""),"reliable plumbing company cape town")</f>
        <v>reliable plumbing company cape town</v>
      </c>
      <c r="Q160" s="4" t="str">
        <f>IFERROR(__xludf.DUMMYFUNCTION("""COMPUTED_VALUE"""),"plumbing maintenance what is")</f>
        <v>plumbing maintenance what is</v>
      </c>
      <c r="R160" s="4" t="str">
        <f>IFERROR(__xludf.DUMMYFUNCTION("""COMPUTED_VALUE"""),"when to call a plumbing maintenance")</f>
        <v>when to call a plumbing maintenance</v>
      </c>
      <c r="S160" s="4"/>
      <c r="T160" s="4" t="str">
        <f>IFERROR(__xludf.DUMMYFUNCTION("""COMPUTED_VALUE"""),"air conditioning repair professional")</f>
        <v>air conditioning repair professional</v>
      </c>
      <c r="U160" s="4"/>
      <c r="V160" s="4"/>
      <c r="W160" s="4"/>
      <c r="X160" s="4"/>
      <c r="Y160" s="4"/>
      <c r="Z160" s="4"/>
    </row>
    <row r="161" ht="15.75" customHeight="1">
      <c r="A161" s="4" t="str">
        <f>IFERROR(__xludf.DUMMYFUNCTION("""COMPUTED_VALUE"""),"plumber Cape Town")</f>
        <v>plumber Cape Town</v>
      </c>
      <c r="B161" s="4" t="str">
        <f>IFERROR(__xludf.DUMMYFUNCTION("""COMPUTED_VALUE"""),"Northern Suburbs refrigeration services")</f>
        <v>Northern Suburbs refrigeration services</v>
      </c>
      <c r="C161" s="4" t="str">
        <f>IFERROR(__xludf.DUMMYFUNCTION("""COMPUTED_VALUE"""),"plumbing installation top rated")</f>
        <v>plumbing installation top rated</v>
      </c>
      <c r="D161" s="4" t="str">
        <f>IFERROR(__xludf.DUMMYFUNCTION("""COMPUTED_VALUE"""),"qualified plumbing repairs")</f>
        <v>qualified plumbing repairs</v>
      </c>
      <c r="E161" s="28" t="str">
        <f>IFERROR(__xludf.DUMMYFUNCTION("""COMPUTED_VALUE"""),"toilet repair")</f>
        <v>toilet repair</v>
      </c>
      <c r="F161" s="4" t="str">
        <f>IFERROR(__xludf.DUMMYFUNCTION("""COMPUTED_VALUE"""),"same day blocked toilet plumber")</f>
        <v>same day blocked toilet plumber</v>
      </c>
      <c r="G161" s="4" t="str">
        <f>IFERROR(__xludf.DUMMYFUNCTION("""COMPUTED_VALUE"""),"leak detection specialist")</f>
        <v>leak detection specialist</v>
      </c>
      <c r="H161" s="4" t="str">
        <f>IFERROR(__xludf.DUMMYFUNCTION("""COMPUTED_VALUE"""),"replacement water leak detection")</f>
        <v>replacement water leak detection</v>
      </c>
      <c r="I161" s="4" t="str">
        <f>IFERROR(__xludf.DUMMYFUNCTION("""COMPUTED_VALUE"""),"electrician cape town service")</f>
        <v>electrician cape town service</v>
      </c>
      <c r="J161" s="4" t="str">
        <f>IFERROR(__xludf.DUMMYFUNCTION("""COMPUTED_VALUE"""),"quote electrician cape town")</f>
        <v>quote electrician cape town</v>
      </c>
      <c r="K161" s="4" t="str">
        <f>IFERROR(__xludf.DUMMYFUNCTION("""COMPUTED_VALUE"""),"HVAC services")</f>
        <v>HVAC services</v>
      </c>
      <c r="L161" s="4" t="str">
        <f>IFERROR(__xludf.DUMMYFUNCTION("""COMPUTED_VALUE"""),"repair aircon service")</f>
        <v>repair aircon service</v>
      </c>
      <c r="M161" s="4" t="str">
        <f>IFERROR(__xludf.DUMMYFUNCTION("""COMPUTED_VALUE"""),"plumbing company townhouse")</f>
        <v>plumbing company townhouse</v>
      </c>
      <c r="N161" s="4" t="str">
        <f>IFERROR(__xludf.DUMMYFUNCTION("""COMPUTED_VALUE"""),"restaurant refrigeration services")</f>
        <v>restaurant refrigeration services</v>
      </c>
      <c r="O161" s="4" t="str">
        <f>IFERROR(__xludf.DUMMYFUNCTION("""COMPUTED_VALUE"""),"plumber near me trusted")</f>
        <v>plumber near me trusted</v>
      </c>
      <c r="P161" s="4" t="str">
        <f>IFERROR(__xludf.DUMMYFUNCTION("""COMPUTED_VALUE"""),"reliable schmidhauser plumbing")</f>
        <v>reliable schmidhauser plumbing</v>
      </c>
      <c r="Q161" s="4" t="str">
        <f>IFERROR(__xludf.DUMMYFUNCTION("""COMPUTED_VALUE"""),"plumbing maintenance when to call a")</f>
        <v>plumbing maintenance when to call a</v>
      </c>
      <c r="R161" s="4" t="str">
        <f>IFERROR(__xludf.DUMMYFUNCTION("""COMPUTED_VALUE"""),"when to call a refrigeration repair")</f>
        <v>when to call a refrigeration repair</v>
      </c>
      <c r="S161" s="4"/>
      <c r="T161" s="4" t="str">
        <f>IFERROR(__xludf.DUMMYFUNCTION("""COMPUTED_VALUE"""),"air conditioning repair quote")</f>
        <v>air conditioning repair quote</v>
      </c>
      <c r="U161" s="4"/>
      <c r="V161" s="4"/>
      <c r="W161" s="4"/>
      <c r="X161" s="4"/>
      <c r="Y161" s="4"/>
      <c r="Z161" s="4"/>
    </row>
    <row r="162" ht="15.75" customHeight="1">
      <c r="A162" s="4" t="str">
        <f>IFERROR(__xludf.DUMMYFUNCTION("""COMPUTED_VALUE"""),"plumber Cape Town CBD")</f>
        <v>plumber Cape Town CBD</v>
      </c>
      <c r="B162" s="4" t="str">
        <f>IFERROR(__xludf.DUMMYFUNCTION("""COMPUTED_VALUE"""),"Observatory aircon repairs")</f>
        <v>Observatory aircon repairs</v>
      </c>
      <c r="C162" s="4" t="str">
        <f>IFERROR(__xludf.DUMMYFUNCTION("""COMPUTED_VALUE"""),"plumbing installation trusted")</f>
        <v>plumbing installation trusted</v>
      </c>
      <c r="D162" s="4" t="str">
        <f>IFERROR(__xludf.DUMMYFUNCTION("""COMPUTED_VALUE"""),"qualified plumbing services")</f>
        <v>qualified plumbing services</v>
      </c>
      <c r="E162" s="28" t="str">
        <f>IFERROR(__xludf.DUMMYFUNCTION("""COMPUTED_VALUE"""),"toilet repair after hours")</f>
        <v>toilet repair after hours</v>
      </c>
      <c r="F162" s="4" t="str">
        <f>IFERROR(__xludf.DUMMYFUNCTION("""COMPUTED_VALUE"""),"same day burst pipe repair")</f>
        <v>same day burst pipe repair</v>
      </c>
      <c r="G162" s="4" t="str">
        <f>IFERROR(__xludf.DUMMYFUNCTION("""COMPUTED_VALUE"""),"pipe repair")</f>
        <v>pipe repair</v>
      </c>
      <c r="H162" s="4" t="str">
        <f>IFERROR(__xludf.DUMMYFUNCTION("""COMPUTED_VALUE"""),"residential blocked drain")</f>
        <v>residential blocked drain</v>
      </c>
      <c r="I162" s="4" t="str">
        <f>IFERROR(__xludf.DUMMYFUNCTION("""COMPUTED_VALUE"""),"emergency electrician")</f>
        <v>emergency electrician</v>
      </c>
      <c r="J162" s="4" t="str">
        <f>IFERROR(__xludf.DUMMYFUNCTION("""COMPUTED_VALUE"""),"quote emergency electrician")</f>
        <v>quote emergency electrician</v>
      </c>
      <c r="K162" s="4" t="str">
        <f>IFERROR(__xludf.DUMMYFUNCTION("""COMPUTED_VALUE"""),"HVAC services affordable")</f>
        <v>HVAC services affordable</v>
      </c>
      <c r="L162" s="4" t="str">
        <f>IFERROR(__xludf.DUMMYFUNCTION("""COMPUTED_VALUE"""),"repair commercial refrigeration")</f>
        <v>repair commercial refrigeration</v>
      </c>
      <c r="M162" s="4" t="str">
        <f>IFERROR(__xludf.DUMMYFUNCTION("""COMPUTED_VALUE"""),"plumbing services apartment")</f>
        <v>plumbing services apartment</v>
      </c>
      <c r="N162" s="4" t="str">
        <f>IFERROR(__xludf.DUMMYFUNCTION("""COMPUTED_VALUE"""),"school air conditioning services")</f>
        <v>school air conditioning services</v>
      </c>
      <c r="O162" s="4" t="str">
        <f>IFERROR(__xludf.DUMMYFUNCTION("""COMPUTED_VALUE"""),"plumber near me vs")</f>
        <v>plumber near me vs</v>
      </c>
      <c r="P162" s="4" t="str">
        <f>IFERROR(__xludf.DUMMYFUNCTION("""COMPUTED_VALUE"""),"reputable absolute plumbing cape town")</f>
        <v>reputable absolute plumbing cape town</v>
      </c>
      <c r="Q162" s="4" t="str">
        <f>IFERROR(__xludf.DUMMYFUNCTION("""COMPUTED_VALUE"""),"plumbing maintenance who fixes")</f>
        <v>plumbing maintenance who fixes</v>
      </c>
      <c r="R162" s="4" t="str">
        <f>IFERROR(__xludf.DUMMYFUNCTION("""COMPUTED_VALUE"""),"who fixes aircon service")</f>
        <v>who fixes aircon service</v>
      </c>
      <c r="S162" s="4"/>
      <c r="T162" s="4" t="str">
        <f>IFERROR(__xludf.DUMMYFUNCTION("""COMPUTED_VALUE"""),"air conditioning repair reliable")</f>
        <v>air conditioning repair reliable</v>
      </c>
      <c r="U162" s="4"/>
      <c r="V162" s="4"/>
      <c r="W162" s="4"/>
      <c r="X162" s="4"/>
      <c r="Y162" s="4"/>
      <c r="Z162" s="4"/>
    </row>
    <row r="163" ht="15.75" customHeight="1">
      <c r="A163" s="4" t="str">
        <f>IFERROR(__xludf.DUMMYFUNCTION("""COMPUTED_VALUE"""),"plumber Claremont")</f>
        <v>plumber Claremont</v>
      </c>
      <c r="B163" s="4" t="str">
        <f>IFERROR(__xludf.DUMMYFUNCTION("""COMPUTED_VALUE"""),"Observatory blocked drain plumber")</f>
        <v>Observatory blocked drain plumber</v>
      </c>
      <c r="C163" s="4" t="str">
        <f>IFERROR(__xludf.DUMMYFUNCTION("""COMPUTED_VALUE"""),"plumbing repairs")</f>
        <v>plumbing repairs</v>
      </c>
      <c r="D163" s="4" t="str">
        <f>IFERROR(__xludf.DUMMYFUNCTION("""COMPUTED_VALUE"""),"qualified residential plumber")</f>
        <v>qualified residential plumber</v>
      </c>
      <c r="E163" s="28" t="str">
        <f>IFERROR(__xludf.DUMMYFUNCTION("""COMPUTED_VALUE"""),"toilet repair call out")</f>
        <v>toilet repair call out</v>
      </c>
      <c r="F163" s="4" t="str">
        <f>IFERROR(__xludf.DUMMYFUNCTION("""COMPUTED_VALUE"""),"same day emergency plumber")</f>
        <v>same day emergency plumber</v>
      </c>
      <c r="G163" s="4" t="str">
        <f>IFERROR(__xludf.DUMMYFUNCTION("""COMPUTED_VALUE"""),"pipe repair affordable")</f>
        <v>pipe repair affordable</v>
      </c>
      <c r="H163" s="4" t="str">
        <f>IFERROR(__xludf.DUMMYFUNCTION("""COMPUTED_VALUE"""),"residential burst geyser")</f>
        <v>residential burst geyser</v>
      </c>
      <c r="I163" s="4" t="str">
        <f>IFERROR(__xludf.DUMMYFUNCTION("""COMPUTED_VALUE"""),"emergency electrician affordable")</f>
        <v>emergency electrician affordable</v>
      </c>
      <c r="J163" s="4" t="str">
        <f>IFERROR(__xludf.DUMMYFUNCTION("""COMPUTED_VALUE"""),"quote residential electrician")</f>
        <v>quote residential electrician</v>
      </c>
      <c r="K163" s="4" t="str">
        <f>IFERROR(__xludf.DUMMYFUNCTION("""COMPUTED_VALUE"""),"HVAC services best")</f>
        <v>HVAC services best</v>
      </c>
      <c r="L163" s="4" t="str">
        <f>IFERROR(__xludf.DUMMYFUNCTION("""COMPUTED_VALUE"""),"repair HVAC services")</f>
        <v>repair HVAC services</v>
      </c>
      <c r="M163" s="4" t="str">
        <f>IFERROR(__xludf.DUMMYFUNCTION("""COMPUTED_VALUE"""),"plumbing services body corporate")</f>
        <v>plumbing services body corporate</v>
      </c>
      <c r="N163" s="4" t="str">
        <f>IFERROR(__xludf.DUMMYFUNCTION("""COMPUTED_VALUE"""),"school drain cleaning")</f>
        <v>school drain cleaning</v>
      </c>
      <c r="O163" s="4" t="str">
        <f>IFERROR(__xludf.DUMMYFUNCTION("""COMPUTED_VALUE"""),"plumbers cape town 24 hour")</f>
        <v>plumbers cape town 24 hour</v>
      </c>
      <c r="P163" s="4" t="str">
        <f>IFERROR(__xludf.DUMMYFUNCTION("""COMPUTED_VALUE"""),"reputable aircon repair cape town")</f>
        <v>reputable aircon repair cape town</v>
      </c>
      <c r="Q163" s="4" t="str">
        <f>IFERROR(__xludf.DUMMYFUNCTION("""COMPUTED_VALUE"""),"plumbing maintenance why is my")</f>
        <v>plumbing maintenance why is my</v>
      </c>
      <c r="R163" s="4" t="str">
        <f>IFERROR(__xludf.DUMMYFUNCTION("""COMPUTED_VALUE"""),"who fixes blocked drain")</f>
        <v>who fixes blocked drain</v>
      </c>
      <c r="S163" s="4"/>
      <c r="T163" s="4" t="str">
        <f>IFERROR(__xludf.DUMMYFUNCTION("""COMPUTED_VALUE"""),"air conditioning repair residential")</f>
        <v>air conditioning repair residential</v>
      </c>
      <c r="U163" s="4"/>
      <c r="V163" s="4"/>
      <c r="W163" s="4"/>
      <c r="X163" s="4"/>
      <c r="Y163" s="4"/>
      <c r="Z163" s="4"/>
    </row>
    <row r="164" ht="15.75" customHeight="1">
      <c r="A164" s="4" t="str">
        <f>IFERROR(__xludf.DUMMYFUNCTION("""COMPUTED_VALUE"""),"plumber Constantia")</f>
        <v>plumber Constantia</v>
      </c>
      <c r="B164" s="4" t="str">
        <f>IFERROR(__xludf.DUMMYFUNCTION("""COMPUTED_VALUE"""),"Observatory electrician")</f>
        <v>Observatory electrician</v>
      </c>
      <c r="C164" s="4" t="str">
        <f>IFERROR(__xludf.DUMMYFUNCTION("""COMPUTED_VALUE"""),"plumbing repairs 24 hour")</f>
        <v>plumbing repairs 24 hour</v>
      </c>
      <c r="D164" s="4" t="str">
        <f>IFERROR(__xludf.DUMMYFUNCTION("""COMPUTED_VALUE"""),"quote commercial plumber")</f>
        <v>quote commercial plumber</v>
      </c>
      <c r="E164" s="28" t="str">
        <f>IFERROR(__xludf.DUMMYFUNCTION("""COMPUTED_VALUE"""),"toilet repair cape town")</f>
        <v>toilet repair cape town</v>
      </c>
      <c r="F164" s="4" t="str">
        <f>IFERROR(__xludf.DUMMYFUNCTION("""COMPUTED_VALUE"""),"same day kitchen plumbing repair")</f>
        <v>same day kitchen plumbing repair</v>
      </c>
      <c r="G164" s="4" t="str">
        <f>IFERROR(__xludf.DUMMYFUNCTION("""COMPUTED_VALUE"""),"pipe repair best")</f>
        <v>pipe repair best</v>
      </c>
      <c r="H164" s="4" t="str">
        <f>IFERROR(__xludf.DUMMYFUNCTION("""COMPUTED_VALUE"""),"residential drain cleaning")</f>
        <v>residential drain cleaning</v>
      </c>
      <c r="I164" s="4" t="str">
        <f>IFERROR(__xludf.DUMMYFUNCTION("""COMPUTED_VALUE"""),"emergency electrician call out")</f>
        <v>emergency electrician call out</v>
      </c>
      <c r="J164" s="4" t="str">
        <f>IFERROR(__xludf.DUMMYFUNCTION("""COMPUTED_VALUE"""),"reliable commercial electrician")</f>
        <v>reliable commercial electrician</v>
      </c>
      <c r="K164" s="4" t="str">
        <f>IFERROR(__xludf.DUMMYFUNCTION("""COMPUTED_VALUE"""),"HVAC services cape town")</f>
        <v>HVAC services cape town</v>
      </c>
      <c r="L164" s="4" t="str">
        <f>IFERROR(__xludf.DUMMYFUNCTION("""COMPUTED_VALUE"""),"residential air conditioning")</f>
        <v>residential air conditioning</v>
      </c>
      <c r="M164" s="4" t="str">
        <f>IFERROR(__xludf.DUMMYFUNCTION("""COMPUTED_VALUE"""),"plumbing services building")</f>
        <v>plumbing services building</v>
      </c>
      <c r="N164" s="4" t="str">
        <f>IFERROR(__xludf.DUMMYFUNCTION("""COMPUTED_VALUE"""),"school electrical repairs")</f>
        <v>school electrical repairs</v>
      </c>
      <c r="O164" s="4" t="str">
        <f>IFERROR(__xludf.DUMMYFUNCTION("""COMPUTED_VALUE"""),"plumbers cape town affordable")</f>
        <v>plumbers cape town affordable</v>
      </c>
      <c r="P164" s="4" t="str">
        <f>IFERROR(__xludf.DUMMYFUNCTION("""COMPUTED_VALUE"""),"reputable bosman plumbers")</f>
        <v>reputable bosman plumbers</v>
      </c>
      <c r="Q164" s="4" t="str">
        <f>IFERROR(__xludf.DUMMYFUNCTION("""COMPUTED_VALUE"""),"refrigeration repair best way to fix")</f>
        <v>refrigeration repair best way to fix</v>
      </c>
      <c r="R164" s="4" t="str">
        <f>IFERROR(__xludf.DUMMYFUNCTION("""COMPUTED_VALUE"""),"who fixes burst pipe")</f>
        <v>who fixes burst pipe</v>
      </c>
      <c r="S164" s="4"/>
      <c r="T164" s="4" t="str">
        <f>IFERROR(__xludf.DUMMYFUNCTION("""COMPUTED_VALUE"""),"air conditioning repair same day")</f>
        <v>air conditioning repair same day</v>
      </c>
      <c r="U164" s="4"/>
      <c r="V164" s="4"/>
      <c r="W164" s="4"/>
      <c r="X164" s="4"/>
      <c r="Y164" s="4"/>
      <c r="Z164" s="4"/>
    </row>
    <row r="165" ht="15.75" customHeight="1">
      <c r="A165" s="4" t="str">
        <f>IFERROR(__xludf.DUMMYFUNCTION("""COMPUTED_VALUE"""),"plumber Durbanville")</f>
        <v>plumber Durbanville</v>
      </c>
      <c r="B165" s="4" t="str">
        <f>IFERROR(__xludf.DUMMYFUNCTION("""COMPUTED_VALUE"""),"Observatory emergency plumber")</f>
        <v>Observatory emergency plumber</v>
      </c>
      <c r="C165" s="4" t="str">
        <f>IFERROR(__xludf.DUMMYFUNCTION("""COMPUTED_VALUE"""),"plumbing repairs affordable")</f>
        <v>plumbing repairs affordable</v>
      </c>
      <c r="D165" s="4" t="str">
        <f>IFERROR(__xludf.DUMMYFUNCTION("""COMPUTED_VALUE"""),"quote maintenance plumber")</f>
        <v>quote maintenance plumber</v>
      </c>
      <c r="E165" s="28" t="str">
        <f>IFERROR(__xludf.DUMMYFUNCTION("""COMPUTED_VALUE"""),"toilet repair commercial")</f>
        <v>toilet repair commercial</v>
      </c>
      <c r="F165" s="4" t="str">
        <f>IFERROR(__xludf.DUMMYFUNCTION("""COMPUTED_VALUE"""),"same day leaking pipe repair")</f>
        <v>same day leaking pipe repair</v>
      </c>
      <c r="G165" s="4" t="str">
        <f>IFERROR(__xludf.DUMMYFUNCTION("""COMPUTED_VALUE"""),"pipe repair cape town")</f>
        <v>pipe repair cape town</v>
      </c>
      <c r="H165" s="4" t="str">
        <f>IFERROR(__xludf.DUMMYFUNCTION("""COMPUTED_VALUE"""),"residential drain inspection")</f>
        <v>residential drain inspection</v>
      </c>
      <c r="I165" s="4" t="str">
        <f>IFERROR(__xludf.DUMMYFUNCTION("""COMPUTED_VALUE"""),"emergency electrician cape town")</f>
        <v>emergency electrician cape town</v>
      </c>
      <c r="J165" s="4" t="str">
        <f>IFERROR(__xludf.DUMMYFUNCTION("""COMPUTED_VALUE"""),"reliable electrical compliance certificate")</f>
        <v>reliable electrical compliance certificate</v>
      </c>
      <c r="K165" s="4" t="str">
        <f>IFERROR(__xludf.DUMMYFUNCTION("""COMPUTED_VALUE"""),"HVAC services commercial")</f>
        <v>HVAC services commercial</v>
      </c>
      <c r="L165" s="4" t="str">
        <f>IFERROR(__xludf.DUMMYFUNCTION("""COMPUTED_VALUE"""),"residential air conditioning repair")</f>
        <v>residential air conditioning repair</v>
      </c>
      <c r="M165" s="4" t="str">
        <f>IFERROR(__xludf.DUMMYFUNCTION("""COMPUTED_VALUE"""),"plumbing services business")</f>
        <v>plumbing services business</v>
      </c>
      <c r="N165" s="4" t="str">
        <f>IFERROR(__xludf.DUMMYFUNCTION("""COMPUTED_VALUE"""),"school emergency plumbing")</f>
        <v>school emergency plumbing</v>
      </c>
      <c r="O165" s="4" t="str">
        <f>IFERROR(__xludf.DUMMYFUNCTION("""COMPUTED_VALUE"""),"plumbers cape town alternatives")</f>
        <v>plumbers cape town alternatives</v>
      </c>
      <c r="P165" s="4" t="str">
        <f>IFERROR(__xludf.DUMMYFUNCTION("""COMPUTED_VALUE"""),"reputable drain surgeon cape town")</f>
        <v>reputable drain surgeon cape town</v>
      </c>
      <c r="Q165" s="4" t="str">
        <f>IFERROR(__xludf.DUMMYFUNCTION("""COMPUTED_VALUE"""),"refrigeration repair can a plumber fix")</f>
        <v>refrigeration repair can a plumber fix</v>
      </c>
      <c r="R165" s="4" t="str">
        <f>IFERROR(__xludf.DUMMYFUNCTION("""COMPUTED_VALUE"""),"who fixes electrical COC")</f>
        <v>who fixes electrical COC</v>
      </c>
      <c r="S165" s="4"/>
      <c r="T165" s="4" t="str">
        <f>IFERROR(__xludf.DUMMYFUNCTION("""COMPUTED_VALUE"""),"air conditioning repair service")</f>
        <v>air conditioning repair service</v>
      </c>
      <c r="U165" s="4"/>
      <c r="V165" s="4"/>
      <c r="W165" s="4"/>
      <c r="X165" s="4"/>
      <c r="Y165" s="4"/>
      <c r="Z165" s="4"/>
    </row>
    <row r="166" ht="15.75" customHeight="1">
      <c r="A166" s="4" t="str">
        <f>IFERROR(__xludf.DUMMYFUNCTION("""COMPUTED_VALUE"""),"plumber Fish Hoek")</f>
        <v>plumber Fish Hoek</v>
      </c>
      <c r="B166" s="4" t="str">
        <f>IFERROR(__xludf.DUMMYFUNCTION("""COMPUTED_VALUE"""),"Observatory geyser repair")</f>
        <v>Observatory geyser repair</v>
      </c>
      <c r="C166" s="4" t="str">
        <f>IFERROR(__xludf.DUMMYFUNCTION("""COMPUTED_VALUE"""),"plumbing repairs after hours")</f>
        <v>plumbing repairs after hours</v>
      </c>
      <c r="D166" s="4" t="str">
        <f>IFERROR(__xludf.DUMMYFUNCTION("""COMPUTED_VALUE"""),"quote plumber cape town")</f>
        <v>quote plumber cape town</v>
      </c>
      <c r="E166" s="28" t="str">
        <f>IFERROR(__xludf.DUMMYFUNCTION("""COMPUTED_VALUE"""),"toilet repair company")</f>
        <v>toilet repair company</v>
      </c>
      <c r="F166" s="4" t="str">
        <f>IFERROR(__xludf.DUMMYFUNCTION("""COMPUTED_VALUE"""),"same day leaking tap repair")</f>
        <v>same day leaking tap repair</v>
      </c>
      <c r="G166" s="4" t="str">
        <f>IFERROR(__xludf.DUMMYFUNCTION("""COMPUTED_VALUE"""),"pipe repair CCTV")</f>
        <v>pipe repair CCTV</v>
      </c>
      <c r="H166" s="4" t="str">
        <f>IFERROR(__xludf.DUMMYFUNCTION("""COMPUTED_VALUE"""),"residential drain unblocking")</f>
        <v>residential drain unblocking</v>
      </c>
      <c r="I166" s="4" t="str">
        <f>IFERROR(__xludf.DUMMYFUNCTION("""COMPUTED_VALUE"""),"emergency electrician COC")</f>
        <v>emergency electrician COC</v>
      </c>
      <c r="J166" s="4" t="str">
        <f>IFERROR(__xludf.DUMMYFUNCTION("""COMPUTED_VALUE"""),"reliable electrical contractor")</f>
        <v>reliable electrical contractor</v>
      </c>
      <c r="K166" s="4" t="str">
        <f>IFERROR(__xludf.DUMMYFUNCTION("""COMPUTED_VALUE"""),"HVAC services company")</f>
        <v>HVAC services company</v>
      </c>
      <c r="L166" s="4" t="str">
        <f>IFERROR(__xludf.DUMMYFUNCTION("""COMPUTED_VALUE"""),"residential aircon installation")</f>
        <v>residential aircon installation</v>
      </c>
      <c r="M166" s="4" t="str">
        <f>IFERROR(__xludf.DUMMYFUNCTION("""COMPUTED_VALUE"""),"plumbing services commercial property")</f>
        <v>plumbing services commercial property</v>
      </c>
      <c r="N166" s="4" t="str">
        <f>IFERROR(__xludf.DUMMYFUNCTION("""COMPUTED_VALUE"""),"school geyser repairs")</f>
        <v>school geyser repairs</v>
      </c>
      <c r="O166" s="4" t="str">
        <f>IFERROR(__xludf.DUMMYFUNCTION("""COMPUTED_VALUE"""),"plumbers cape town best")</f>
        <v>plumbers cape town best</v>
      </c>
      <c r="P166" s="4" t="str">
        <f>IFERROR(__xludf.DUMMYFUNCTION("""COMPUTED_VALUE"""),"reputable electrician cape town")</f>
        <v>reputable electrician cape town</v>
      </c>
      <c r="Q166" s="4" t="str">
        <f>IFERROR(__xludf.DUMMYFUNCTION("""COMPUTED_VALUE"""),"refrigeration repair cost of")</f>
        <v>refrigeration repair cost of</v>
      </c>
      <c r="R166" s="4" t="str">
        <f>IFERROR(__xludf.DUMMYFUNCTION("""COMPUTED_VALUE"""),"who fixes emergency plumber")</f>
        <v>who fixes emergency plumber</v>
      </c>
      <c r="S166" s="4"/>
      <c r="T166" s="4" t="str">
        <f>IFERROR(__xludf.DUMMYFUNCTION("""COMPUTED_VALUE"""),"air conditioning repair technician")</f>
        <v>air conditioning repair technician</v>
      </c>
      <c r="U166" s="4"/>
      <c r="V166" s="4"/>
      <c r="W166" s="4"/>
      <c r="X166" s="4"/>
      <c r="Y166" s="4"/>
      <c r="Z166" s="4"/>
    </row>
    <row r="167" ht="15.75" customHeight="1">
      <c r="A167" s="4" t="str">
        <f>IFERROR(__xludf.DUMMYFUNCTION("""COMPUTED_VALUE"""),"plumber Green Point")</f>
        <v>plumber Green Point</v>
      </c>
      <c r="B167" s="4" t="str">
        <f>IFERROR(__xludf.DUMMYFUNCTION("""COMPUTED_VALUE"""),"Observatory leak detection plumber")</f>
        <v>Observatory leak detection plumber</v>
      </c>
      <c r="C167" s="4" t="str">
        <f>IFERROR(__xludf.DUMMYFUNCTION("""COMPUTED_VALUE"""),"plumbing repairs best")</f>
        <v>plumbing repairs best</v>
      </c>
      <c r="D167" s="4" t="str">
        <f>IFERROR(__xludf.DUMMYFUNCTION("""COMPUTED_VALUE"""),"quote plumbing company")</f>
        <v>quote plumbing company</v>
      </c>
      <c r="E167" s="28" t="str">
        <f>IFERROR(__xludf.DUMMYFUNCTION("""COMPUTED_VALUE"""),"toilet repair cost")</f>
        <v>toilet repair cost</v>
      </c>
      <c r="F167" s="4" t="str">
        <f>IFERROR(__xludf.DUMMYFUNCTION("""COMPUTED_VALUE"""),"same day toilet repair")</f>
        <v>same day toilet repair</v>
      </c>
      <c r="G167" s="4" t="str">
        <f>IFERROR(__xludf.DUMMYFUNCTION("""COMPUTED_VALUE"""),"pipe repair commercial")</f>
        <v>pipe repair commercial</v>
      </c>
      <c r="H167" s="4" t="str">
        <f>IFERROR(__xludf.DUMMYFUNCTION("""COMPUTED_VALUE"""),"residential geyser repair")</f>
        <v>residential geyser repair</v>
      </c>
      <c r="I167" s="4" t="str">
        <f>IFERROR(__xludf.DUMMYFUNCTION("""COMPUTED_VALUE"""),"emergency electrician company")</f>
        <v>emergency electrician company</v>
      </c>
      <c r="J167" s="4" t="str">
        <f>IFERROR(__xludf.DUMMYFUNCTION("""COMPUTED_VALUE"""),"reliable electrical installation")</f>
        <v>reliable electrical installation</v>
      </c>
      <c r="K167" s="4" t="str">
        <f>IFERROR(__xludf.DUMMYFUNCTION("""COMPUTED_VALUE"""),"HVAC services contractor")</f>
        <v>HVAC services contractor</v>
      </c>
      <c r="L167" s="4" t="str">
        <f>IFERROR(__xludf.DUMMYFUNCTION("""COMPUTED_VALUE"""),"residential aircon repair")</f>
        <v>residential aircon repair</v>
      </c>
      <c r="M167" s="4" t="str">
        <f>IFERROR(__xludf.DUMMYFUNCTION("""COMPUTED_VALUE"""),"plumbing services estate agent")</f>
        <v>plumbing services estate agent</v>
      </c>
      <c r="N167" s="4" t="str">
        <f>IFERROR(__xludf.DUMMYFUNCTION("""COMPUTED_VALUE"""),"school leak detection")</f>
        <v>school leak detection</v>
      </c>
      <c r="O167" s="4" t="str">
        <f>IFERROR(__xludf.DUMMYFUNCTION("""COMPUTED_VALUE"""),"plumbers cape town certified")</f>
        <v>plumbers cape town certified</v>
      </c>
      <c r="P167" s="4" t="str">
        <f>IFERROR(__xludf.DUMMYFUNCTION("""COMPUTED_VALUE"""),"reputable emergency plumber cape town")</f>
        <v>reputable emergency plumber cape town</v>
      </c>
      <c r="Q167" s="4" t="str">
        <f>IFERROR(__xludf.DUMMYFUNCTION("""COMPUTED_VALUE"""),"refrigeration repair do I need")</f>
        <v>refrigeration repair do I need</v>
      </c>
      <c r="R167" s="4" t="str">
        <f>IFERROR(__xludf.DUMMYFUNCTION("""COMPUTED_VALUE"""),"who fixes geyser repair")</f>
        <v>who fixes geyser repair</v>
      </c>
      <c r="S167" s="4"/>
      <c r="T167" s="4" t="str">
        <f>IFERROR(__xludf.DUMMYFUNCTION("""COMPUTED_VALUE"""),"air conditioning residential")</f>
        <v>air conditioning residential</v>
      </c>
      <c r="U167" s="4"/>
      <c r="V167" s="4"/>
      <c r="W167" s="4"/>
      <c r="X167" s="4"/>
      <c r="Y167" s="4"/>
      <c r="Z167" s="4"/>
    </row>
    <row r="168" ht="15.75" customHeight="1">
      <c r="A168" s="4" t="str">
        <f>IFERROR(__xludf.DUMMYFUNCTION("""COMPUTED_VALUE"""),"plumber Hout Bay")</f>
        <v>plumber Hout Bay</v>
      </c>
      <c r="B168" s="4" t="str">
        <f>IFERROR(__xludf.DUMMYFUNCTION("""COMPUTED_VALUE"""),"Observatory plumber")</f>
        <v>Observatory plumber</v>
      </c>
      <c r="C168" s="4" t="str">
        <f>IFERROR(__xludf.DUMMYFUNCTION("""COMPUTED_VALUE"""),"plumbing repairs call out")</f>
        <v>plumbing repairs call out</v>
      </c>
      <c r="D168" s="4" t="str">
        <f>IFERROR(__xludf.DUMMYFUNCTION("""COMPUTED_VALUE"""),"quote plumbing contractors")</f>
        <v>quote plumbing contractors</v>
      </c>
      <c r="E168" s="28" t="str">
        <f>IFERROR(__xludf.DUMMYFUNCTION("""COMPUTED_VALUE"""),"toilet repair emergency")</f>
        <v>toilet repair emergency</v>
      </c>
      <c r="F168" s="4" t="str">
        <f>IFERROR(__xludf.DUMMYFUNCTION("""COMPUTED_VALUE"""),"same day water leak repair")</f>
        <v>same day water leak repair</v>
      </c>
      <c r="G168" s="4" t="str">
        <f>IFERROR(__xludf.DUMMYFUNCTION("""COMPUTED_VALUE"""),"pipe repair cost")</f>
        <v>pipe repair cost</v>
      </c>
      <c r="H168" s="4" t="str">
        <f>IFERROR(__xludf.DUMMYFUNCTION("""COMPUTED_VALUE"""),"residential geyser replacement")</f>
        <v>residential geyser replacement</v>
      </c>
      <c r="I168" s="4" t="str">
        <f>IFERROR(__xludf.DUMMYFUNCTION("""COMPUTED_VALUE"""),"emergency electrician contractor")</f>
        <v>emergency electrician contractor</v>
      </c>
      <c r="J168" s="4" t="str">
        <f>IFERROR(__xludf.DUMMYFUNCTION("""COMPUTED_VALUE"""),"reliable electrical maintenance")</f>
        <v>reliable electrical maintenance</v>
      </c>
      <c r="K168" s="4" t="str">
        <f>IFERROR(__xludf.DUMMYFUNCTION("""COMPUTED_VALUE"""),"HVAC services cost")</f>
        <v>HVAC services cost</v>
      </c>
      <c r="L168" s="4" t="str">
        <f>IFERROR(__xludf.DUMMYFUNCTION("""COMPUTED_VALUE"""),"residential aircon service")</f>
        <v>residential aircon service</v>
      </c>
      <c r="M168" s="4" t="str">
        <f>IFERROR(__xludf.DUMMYFUNCTION("""COMPUTED_VALUE"""),"plumbing services flat")</f>
        <v>plumbing services flat</v>
      </c>
      <c r="N168" s="4" t="str">
        <f>IFERROR(__xludf.DUMMYFUNCTION("""COMPUTED_VALUE"""),"school maintenance plumber")</f>
        <v>school maintenance plumber</v>
      </c>
      <c r="O168" s="4" t="str">
        <f>IFERROR(__xludf.DUMMYFUNCTION("""COMPUTED_VALUE"""),"plumbers cape town compare")</f>
        <v>plumbers cape town compare</v>
      </c>
      <c r="P168" s="4" t="str">
        <f>IFERROR(__xludf.DUMMYFUNCTION("""COMPUTED_VALUE"""),"reputable plumber near me")</f>
        <v>reputable plumber near me</v>
      </c>
      <c r="Q168" s="4" t="str">
        <f>IFERROR(__xludf.DUMMYFUNCTION("""COMPUTED_VALUE"""),"refrigeration repair emergency help for")</f>
        <v>refrigeration repair emergency help for</v>
      </c>
      <c r="R168" s="4" t="str">
        <f>IFERROR(__xludf.DUMMYFUNCTION("""COMPUTED_VALUE"""),"who fixes leak detection")</f>
        <v>who fixes leak detection</v>
      </c>
      <c r="S168" s="4"/>
      <c r="T168" s="4" t="str">
        <f>IFERROR(__xludf.DUMMYFUNCTION("""COMPUTED_VALUE"""),"air conditioning same day")</f>
        <v>air conditioning same day</v>
      </c>
      <c r="U168" s="4"/>
      <c r="V168" s="4"/>
      <c r="W168" s="4"/>
      <c r="X168" s="4"/>
      <c r="Y168" s="4"/>
      <c r="Z168" s="4"/>
    </row>
    <row r="169" ht="15.75" customHeight="1">
      <c r="A169" s="4" t="str">
        <f>IFERROR(__xludf.DUMMYFUNCTION("""COMPUTED_VALUE"""),"plumber Maitland")</f>
        <v>plumber Maitland</v>
      </c>
      <c r="B169" s="4" t="str">
        <f>IFERROR(__xludf.DUMMYFUNCTION("""COMPUTED_VALUE"""),"Observatory plumbers")</f>
        <v>Observatory plumbers</v>
      </c>
      <c r="C169" s="4" t="str">
        <f>IFERROR(__xludf.DUMMYFUNCTION("""COMPUTED_VALUE"""),"plumbing repairs company")</f>
        <v>plumbing repairs company</v>
      </c>
      <c r="D169" s="4" t="str">
        <f>IFERROR(__xludf.DUMMYFUNCTION("""COMPUTED_VALUE"""),"quote plumbing inspection")</f>
        <v>quote plumbing inspection</v>
      </c>
      <c r="E169" s="28" t="str">
        <f>IFERROR(__xludf.DUMMYFUNCTION("""COMPUTED_VALUE"""),"toilet repair fast")</f>
        <v>toilet repair fast</v>
      </c>
      <c r="F169" s="4" t="str">
        <f>IFERROR(__xludf.DUMMYFUNCTION("""COMPUTED_VALUE"""),"service 24 hour plumber")</f>
        <v>service 24 hour plumber</v>
      </c>
      <c r="G169" s="4" t="str">
        <f>IFERROR(__xludf.DUMMYFUNCTION("""COMPUTED_VALUE"""),"pipe repair emergency")</f>
        <v>pipe repair emergency</v>
      </c>
      <c r="H169" s="4" t="str">
        <f>IFERROR(__xludf.DUMMYFUNCTION("""COMPUTED_VALUE"""),"residential leak detection")</f>
        <v>residential leak detection</v>
      </c>
      <c r="I169" s="4" t="str">
        <f>IFERROR(__xludf.DUMMYFUNCTION("""COMPUTED_VALUE"""),"emergency electrician cost")</f>
        <v>emergency electrician cost</v>
      </c>
      <c r="J169" s="4" t="str">
        <f>IFERROR(__xludf.DUMMYFUNCTION("""COMPUTED_VALUE"""),"reliable electrical repairs")</f>
        <v>reliable electrical repairs</v>
      </c>
      <c r="K169" s="4" t="str">
        <f>IFERROR(__xludf.DUMMYFUNCTION("""COMPUTED_VALUE"""),"HVAC services emergency")</f>
        <v>HVAC services emergency</v>
      </c>
      <c r="L169" s="4" t="str">
        <f>IFERROR(__xludf.DUMMYFUNCTION("""COMPUTED_VALUE"""),"residential cold room repair")</f>
        <v>residential cold room repair</v>
      </c>
      <c r="M169" s="4" t="str">
        <f>IFERROR(__xludf.DUMMYFUNCTION("""COMPUTED_VALUE"""),"plumbing services guesthouse")</f>
        <v>plumbing services guesthouse</v>
      </c>
      <c r="N169" s="4" t="str">
        <f>IFERROR(__xludf.DUMMYFUNCTION("""COMPUTED_VALUE"""),"school plumbing company")</f>
        <v>school plumbing company</v>
      </c>
      <c r="O169" s="4" t="str">
        <f>IFERROR(__xludf.DUMMYFUNCTION("""COMPUTED_VALUE"""),"plumbers cape town complaints")</f>
        <v>plumbers cape town complaints</v>
      </c>
      <c r="P169" s="4" t="str">
        <f>IFERROR(__xludf.DUMMYFUNCTION("""COMPUTED_VALUE"""),"reputable plumbers cape town")</f>
        <v>reputable plumbers cape town</v>
      </c>
      <c r="Q169" s="4" t="str">
        <f>IFERROR(__xludf.DUMMYFUNCTION("""COMPUTED_VALUE"""),"refrigeration repair how long does")</f>
        <v>refrigeration repair how long does</v>
      </c>
      <c r="R169" s="4" t="str">
        <f>IFERROR(__xludf.DUMMYFUNCTION("""COMPUTED_VALUE"""),"who fixes plumber cost")</f>
        <v>who fixes plumber cost</v>
      </c>
      <c r="S169" s="4"/>
      <c r="T169" s="4" t="str">
        <f>IFERROR(__xludf.DUMMYFUNCTION("""COMPUTED_VALUE"""),"air conditioning service")</f>
        <v>air conditioning service</v>
      </c>
      <c r="U169" s="4"/>
      <c r="V169" s="4"/>
      <c r="W169" s="4"/>
      <c r="X169" s="4"/>
      <c r="Y169" s="4"/>
      <c r="Z169" s="4"/>
    </row>
    <row r="170" ht="15.75" customHeight="1">
      <c r="A170" s="4" t="str">
        <f>IFERROR(__xludf.DUMMYFUNCTION("""COMPUTED_VALUE"""),"plumber Milnerton")</f>
        <v>plumber Milnerton</v>
      </c>
      <c r="B170" s="4" t="str">
        <f>IFERROR(__xludf.DUMMYFUNCTION("""COMPUTED_VALUE"""),"Observatory plumbing company")</f>
        <v>Observatory plumbing company</v>
      </c>
      <c r="C170" s="4" t="str">
        <f>IFERROR(__xludf.DUMMYFUNCTION("""COMPUTED_VALUE"""),"plumbing repairs contractor")</f>
        <v>plumbing repairs contractor</v>
      </c>
      <c r="D170" s="4" t="str">
        <f>IFERROR(__xludf.DUMMYFUNCTION("""COMPUTED_VALUE"""),"quote plumbing installation")</f>
        <v>quote plumbing installation</v>
      </c>
      <c r="E170" s="28" t="str">
        <f>IFERROR(__xludf.DUMMYFUNCTION("""COMPUTED_VALUE"""),"toilet repair local")</f>
        <v>toilet repair local</v>
      </c>
      <c r="F170" s="4" t="str">
        <f>IFERROR(__xludf.DUMMYFUNCTION("""COMPUTED_VALUE"""),"service bathroom plumbing repair")</f>
        <v>service bathroom plumbing repair</v>
      </c>
      <c r="G170" s="4" t="str">
        <f>IFERROR(__xludf.DUMMYFUNCTION("""COMPUTED_VALUE"""),"pipe repair high pressure jetting")</f>
        <v>pipe repair high pressure jetting</v>
      </c>
      <c r="H170" s="4" t="str">
        <f>IFERROR(__xludf.DUMMYFUNCTION("""COMPUTED_VALUE"""),"residential pipe repair")</f>
        <v>residential pipe repair</v>
      </c>
      <c r="I170" s="4" t="str">
        <f>IFERROR(__xludf.DUMMYFUNCTION("""COMPUTED_VALUE"""),"emergency electrician inspection")</f>
        <v>emergency electrician inspection</v>
      </c>
      <c r="J170" s="4" t="str">
        <f>IFERROR(__xludf.DUMMYFUNCTION("""COMPUTED_VALUE"""),"reliable electrical services")</f>
        <v>reliable electrical services</v>
      </c>
      <c r="K170" s="4" t="str">
        <f>IFERROR(__xludf.DUMMYFUNCTION("""COMPUTED_VALUE"""),"HVAC services installation")</f>
        <v>HVAC services installation</v>
      </c>
      <c r="L170" s="4" t="str">
        <f>IFERROR(__xludf.DUMMYFUNCTION("""COMPUTED_VALUE"""),"residential commercial refrigeration")</f>
        <v>residential commercial refrigeration</v>
      </c>
      <c r="M170" s="4" t="str">
        <f>IFERROR(__xludf.DUMMYFUNCTION("""COMPUTED_VALUE"""),"plumbing services home")</f>
        <v>plumbing services home</v>
      </c>
      <c r="N170" s="4" t="str">
        <f>IFERROR(__xludf.DUMMYFUNCTION("""COMPUTED_VALUE"""),"school plumbing services")</f>
        <v>school plumbing services</v>
      </c>
      <c r="O170" s="4" t="str">
        <f>IFERROR(__xludf.DUMMYFUNCTION("""COMPUTED_VALUE"""),"plumbers cape town cost")</f>
        <v>plumbers cape town cost</v>
      </c>
      <c r="P170" s="4" t="str">
        <f>IFERROR(__xludf.DUMMYFUNCTION("""COMPUTED_VALUE"""),"reputable plumbing company cape town")</f>
        <v>reputable plumbing company cape town</v>
      </c>
      <c r="Q170" s="4" t="str">
        <f>IFERROR(__xludf.DUMMYFUNCTION("""COMPUTED_VALUE"""),"refrigeration repair how much does")</f>
        <v>refrigeration repair how much does</v>
      </c>
      <c r="R170" s="4" t="str">
        <f>IFERROR(__xludf.DUMMYFUNCTION("""COMPUTED_VALUE"""),"who fixes plumbing maintenance")</f>
        <v>who fixes plumbing maintenance</v>
      </c>
      <c r="S170" s="4"/>
      <c r="T170" s="4" t="str">
        <f>IFERROR(__xludf.DUMMYFUNCTION("""COMPUTED_VALUE"""),"air conditioning services apartment")</f>
        <v>air conditioning services apartment</v>
      </c>
      <c r="U170" s="4"/>
      <c r="V170" s="4"/>
      <c r="W170" s="4"/>
      <c r="X170" s="4"/>
      <c r="Y170" s="4"/>
      <c r="Z170" s="4"/>
    </row>
    <row r="171" ht="15.75" customHeight="1">
      <c r="A171" s="4" t="str">
        <f>IFERROR(__xludf.DUMMYFUNCTION("""COMPUTED_VALUE"""),"plumber Muizenberg")</f>
        <v>plumber Muizenberg</v>
      </c>
      <c r="B171" s="4" t="str">
        <f>IFERROR(__xludf.DUMMYFUNCTION("""COMPUTED_VALUE"""),"Observatory refrigeration services")</f>
        <v>Observatory refrigeration services</v>
      </c>
      <c r="C171" s="4" t="str">
        <f>IFERROR(__xludf.DUMMYFUNCTION("""COMPUTED_VALUE"""),"plumbing repairs cost")</f>
        <v>plumbing repairs cost</v>
      </c>
      <c r="D171" s="4" t="str">
        <f>IFERROR(__xludf.DUMMYFUNCTION("""COMPUTED_VALUE"""),"quote plumbing repairs")</f>
        <v>quote plumbing repairs</v>
      </c>
      <c r="E171" s="28" t="str">
        <f>IFERROR(__xludf.DUMMYFUNCTION("""COMPUTED_VALUE"""),"toilet repair near me")</f>
        <v>toilet repair near me</v>
      </c>
      <c r="F171" s="4" t="str">
        <f>IFERROR(__xludf.DUMMYFUNCTION("""COMPUTED_VALUE"""),"service blocked toilet plumber")</f>
        <v>service blocked toilet plumber</v>
      </c>
      <c r="G171" s="4" t="str">
        <f>IFERROR(__xludf.DUMMYFUNCTION("""COMPUTED_VALUE"""),"pipe repair installation")</f>
        <v>pipe repair installation</v>
      </c>
      <c r="H171" s="4" t="str">
        <f>IFERROR(__xludf.DUMMYFUNCTION("""COMPUTED_VALUE"""),"residential water leak detection")</f>
        <v>residential water leak detection</v>
      </c>
      <c r="I171" s="4" t="str">
        <f>IFERROR(__xludf.DUMMYFUNCTION("""COMPUTED_VALUE"""),"emergency electrician installation")</f>
        <v>emergency electrician installation</v>
      </c>
      <c r="J171" s="4" t="str">
        <f>IFERROR(__xludf.DUMMYFUNCTION("""COMPUTED_VALUE"""),"reliable electrician cape town")</f>
        <v>reliable electrician cape town</v>
      </c>
      <c r="K171" s="4" t="str">
        <f>IFERROR(__xludf.DUMMYFUNCTION("""COMPUTED_VALUE"""),"HVAC services local")</f>
        <v>HVAC services local</v>
      </c>
      <c r="L171" s="4" t="str">
        <f>IFERROR(__xludf.DUMMYFUNCTION("""COMPUTED_VALUE"""),"residential fridge repair")</f>
        <v>residential fridge repair</v>
      </c>
      <c r="M171" s="4" t="str">
        <f>IFERROR(__xludf.DUMMYFUNCTION("""COMPUTED_VALUE"""),"plumbing services hotel")</f>
        <v>plumbing services hotel</v>
      </c>
      <c r="N171" s="4" t="str">
        <f>IFERROR(__xludf.DUMMYFUNCTION("""COMPUTED_VALUE"""),"school refrigeration services")</f>
        <v>school refrigeration services</v>
      </c>
      <c r="O171" s="4" t="str">
        <f>IFERROR(__xludf.DUMMYFUNCTION("""COMPUTED_VALUE"""),"plumbers cape town insured")</f>
        <v>plumbers cape town insured</v>
      </c>
      <c r="P171" s="4" t="str">
        <f>IFERROR(__xludf.DUMMYFUNCTION("""COMPUTED_VALUE"""),"reputable schmidhauser plumbing")</f>
        <v>reputable schmidhauser plumbing</v>
      </c>
      <c r="Q171" s="4" t="str">
        <f>IFERROR(__xludf.DUMMYFUNCTION("""COMPUTED_VALUE"""),"refrigeration repair how to choose")</f>
        <v>refrigeration repair how to choose</v>
      </c>
      <c r="R171" s="4" t="str">
        <f>IFERROR(__xludf.DUMMYFUNCTION("""COMPUTED_VALUE"""),"who fixes refrigeration repair")</f>
        <v>who fixes refrigeration repair</v>
      </c>
      <c r="S171" s="4"/>
      <c r="T171" s="4" t="str">
        <f>IFERROR(__xludf.DUMMYFUNCTION("""COMPUTED_VALUE"""),"air conditioning services body corporate")</f>
        <v>air conditioning services body corporate</v>
      </c>
      <c r="U171" s="4"/>
      <c r="V171" s="4"/>
      <c r="W171" s="4"/>
      <c r="X171" s="4"/>
      <c r="Y171" s="4"/>
      <c r="Z171" s="4"/>
    </row>
    <row r="172" ht="15.75" customHeight="1">
      <c r="A172" s="4" t="str">
        <f>IFERROR(__xludf.DUMMYFUNCTION("""COMPUTED_VALUE"""),"plumber Newlands")</f>
        <v>plumber Newlands</v>
      </c>
      <c r="B172" s="4" t="str">
        <f>IFERROR(__xludf.DUMMYFUNCTION("""COMPUTED_VALUE"""),"Plumstead aircon repairs")</f>
        <v>Plumstead aircon repairs</v>
      </c>
      <c r="C172" s="4" t="str">
        <f>IFERROR(__xludf.DUMMYFUNCTION("""COMPUTED_VALUE"""),"plumbing repairs emergency")</f>
        <v>plumbing repairs emergency</v>
      </c>
      <c r="D172" s="4" t="str">
        <f>IFERROR(__xludf.DUMMYFUNCTION("""COMPUTED_VALUE"""),"quote plumbing services")</f>
        <v>quote plumbing services</v>
      </c>
      <c r="E172" s="28" t="str">
        <f>IFERROR(__xludf.DUMMYFUNCTION("""COMPUTED_VALUE"""),"toilet repair plumber")</f>
        <v>toilet repair plumber</v>
      </c>
      <c r="F172" s="4" t="str">
        <f>IFERROR(__xludf.DUMMYFUNCTION("""COMPUTED_VALUE"""),"service burst pipe repair")</f>
        <v>service burst pipe repair</v>
      </c>
      <c r="G172" s="4" t="str">
        <f>IFERROR(__xludf.DUMMYFUNCTION("""COMPUTED_VALUE"""),"pipe repair near me")</f>
        <v>pipe repair near me</v>
      </c>
      <c r="H172" s="4" t="str">
        <f>IFERROR(__xludf.DUMMYFUNCTION("""COMPUTED_VALUE"""),"same day blocked drain")</f>
        <v>same day blocked drain</v>
      </c>
      <c r="I172" s="4" t="str">
        <f>IFERROR(__xludf.DUMMYFUNCTION("""COMPUTED_VALUE"""),"emergency electrician licensed")</f>
        <v>emergency electrician licensed</v>
      </c>
      <c r="J172" s="4" t="str">
        <f>IFERROR(__xludf.DUMMYFUNCTION("""COMPUTED_VALUE"""),"reliable emergency electrician")</f>
        <v>reliable emergency electrician</v>
      </c>
      <c r="K172" s="4" t="str">
        <f>IFERROR(__xludf.DUMMYFUNCTION("""COMPUTED_VALUE"""),"HVAC services maintenance")</f>
        <v>HVAC services maintenance</v>
      </c>
      <c r="L172" s="4" t="str">
        <f>IFERROR(__xludf.DUMMYFUNCTION("""COMPUTED_VALUE"""),"residential HVAC services")</f>
        <v>residential HVAC services</v>
      </c>
      <c r="M172" s="4" t="str">
        <f>IFERROR(__xludf.DUMMYFUNCTION("""COMPUTED_VALUE"""),"plumbing services house")</f>
        <v>plumbing services house</v>
      </c>
      <c r="N172" s="4" t="str">
        <f>IFERROR(__xludf.DUMMYFUNCTION("""COMPUTED_VALUE"""),"shop air conditioning services")</f>
        <v>shop air conditioning services</v>
      </c>
      <c r="O172" s="4" t="str">
        <f>IFERROR(__xludf.DUMMYFUNCTION("""COMPUTED_VALUE"""),"plumbers cape town licensed")</f>
        <v>plumbers cape town licensed</v>
      </c>
      <c r="P172" s="4" t="str">
        <f>IFERROR(__xludf.DUMMYFUNCTION("""COMPUTED_VALUE"""),"review absolute plumbing cape town")</f>
        <v>review absolute plumbing cape town</v>
      </c>
      <c r="Q172" s="4" t="str">
        <f>IFERROR(__xludf.DUMMYFUNCTION("""COMPUTED_VALUE"""),"refrigeration repair how to prevent")</f>
        <v>refrigeration repair how to prevent</v>
      </c>
      <c r="R172" s="4" t="str">
        <f>IFERROR(__xludf.DUMMYFUNCTION("""COMPUTED_VALUE"""),"why is my aircon service")</f>
        <v>why is my aircon service</v>
      </c>
      <c r="S172" s="4"/>
      <c r="T172" s="4" t="str">
        <f>IFERROR(__xludf.DUMMYFUNCTION("""COMPUTED_VALUE"""),"air conditioning services building")</f>
        <v>air conditioning services building</v>
      </c>
      <c r="U172" s="4"/>
      <c r="V172" s="4"/>
      <c r="W172" s="4"/>
      <c r="X172" s="4"/>
      <c r="Y172" s="4"/>
      <c r="Z172" s="4"/>
    </row>
    <row r="173" ht="15.75" customHeight="1">
      <c r="A173" s="4" t="str">
        <f>IFERROR(__xludf.DUMMYFUNCTION("""COMPUTED_VALUE"""),"plumber Northern Suburbs")</f>
        <v>plumber Northern Suburbs</v>
      </c>
      <c r="B173" s="4" t="str">
        <f>IFERROR(__xludf.DUMMYFUNCTION("""COMPUTED_VALUE"""),"Plumstead blocked drain plumber")</f>
        <v>Plumstead blocked drain plumber</v>
      </c>
      <c r="C173" s="4" t="str">
        <f>IFERROR(__xludf.DUMMYFUNCTION("""COMPUTED_VALUE"""),"plumbing repairs installation")</f>
        <v>plumbing repairs installation</v>
      </c>
      <c r="D173" s="4" t="str">
        <f>IFERROR(__xludf.DUMMYFUNCTION("""COMPUTED_VALUE"""),"quote residential plumber")</f>
        <v>quote residential plumber</v>
      </c>
      <c r="E173" s="28" t="str">
        <f>IFERROR(__xludf.DUMMYFUNCTION("""COMPUTED_VALUE"""),"toilet repair professional")</f>
        <v>toilet repair professional</v>
      </c>
      <c r="F173" s="4" t="str">
        <f>IFERROR(__xludf.DUMMYFUNCTION("""COMPUTED_VALUE"""),"service emergency plumber")</f>
        <v>service emergency plumber</v>
      </c>
      <c r="G173" s="4" t="str">
        <f>IFERROR(__xludf.DUMMYFUNCTION("""COMPUTED_VALUE"""),"pipe repair plumber")</f>
        <v>pipe repair plumber</v>
      </c>
      <c r="H173" s="4" t="str">
        <f>IFERROR(__xludf.DUMMYFUNCTION("""COMPUTED_VALUE"""),"same day burst geyser")</f>
        <v>same day burst geyser</v>
      </c>
      <c r="I173" s="4" t="str">
        <f>IFERROR(__xludf.DUMMYFUNCTION("""COMPUTED_VALUE"""),"emergency electrician local")</f>
        <v>emergency electrician local</v>
      </c>
      <c r="J173" s="4" t="str">
        <f>IFERROR(__xludf.DUMMYFUNCTION("""COMPUTED_VALUE"""),"reliable residential electrician")</f>
        <v>reliable residential electrician</v>
      </c>
      <c r="K173" s="4" t="str">
        <f>IFERROR(__xludf.DUMMYFUNCTION("""COMPUTED_VALUE"""),"HVAC services near me")</f>
        <v>HVAC services near me</v>
      </c>
      <c r="L173" s="4" t="str">
        <f>IFERROR(__xludf.DUMMYFUNCTION("""COMPUTED_VALUE"""),"residential refrigeration repair")</f>
        <v>residential refrigeration repair</v>
      </c>
      <c r="M173" s="4" t="str">
        <f>IFERROR(__xludf.DUMMYFUNCTION("""COMPUTED_VALUE"""),"plumbing services landlord")</f>
        <v>plumbing services landlord</v>
      </c>
      <c r="N173" s="4" t="str">
        <f>IFERROR(__xludf.DUMMYFUNCTION("""COMPUTED_VALUE"""),"shop drain cleaning")</f>
        <v>shop drain cleaning</v>
      </c>
      <c r="O173" s="4" t="str">
        <f>IFERROR(__xludf.DUMMYFUNCTION("""COMPUTED_VALUE"""),"plumbers cape town local")</f>
        <v>plumbers cape town local</v>
      </c>
      <c r="P173" s="4" t="str">
        <f>IFERROR(__xludf.DUMMYFUNCTION("""COMPUTED_VALUE"""),"review aircon repair cape town")</f>
        <v>review aircon repair cape town</v>
      </c>
      <c r="Q173" s="4" t="str">
        <f>IFERROR(__xludf.DUMMYFUNCTION("""COMPUTED_VALUE"""),"refrigeration repair is it safe to")</f>
        <v>refrigeration repair is it safe to</v>
      </c>
      <c r="R173" s="4" t="str">
        <f>IFERROR(__xludf.DUMMYFUNCTION("""COMPUTED_VALUE"""),"why is my blocked drain")</f>
        <v>why is my blocked drain</v>
      </c>
      <c r="S173" s="4"/>
      <c r="T173" s="4" t="str">
        <f>IFERROR(__xludf.DUMMYFUNCTION("""COMPUTED_VALUE"""),"air conditioning services business")</f>
        <v>air conditioning services business</v>
      </c>
      <c r="U173" s="4"/>
      <c r="V173" s="4"/>
      <c r="W173" s="4"/>
      <c r="X173" s="4"/>
      <c r="Y173" s="4"/>
      <c r="Z173" s="4"/>
    </row>
    <row r="174" ht="15.75" customHeight="1">
      <c r="A174" s="4" t="str">
        <f>IFERROR(__xludf.DUMMYFUNCTION("""COMPUTED_VALUE"""),"plumber Observatory")</f>
        <v>plumber Observatory</v>
      </c>
      <c r="B174" s="4" t="str">
        <f>IFERROR(__xludf.DUMMYFUNCTION("""COMPUTED_VALUE"""),"Plumstead electrician")</f>
        <v>Plumstead electrician</v>
      </c>
      <c r="C174" s="4" t="str">
        <f>IFERROR(__xludf.DUMMYFUNCTION("""COMPUTED_VALUE"""),"plumbing repairs licensed")</f>
        <v>plumbing repairs licensed</v>
      </c>
      <c r="D174" s="4" t="str">
        <f>IFERROR(__xludf.DUMMYFUNCTION("""COMPUTED_VALUE"""),"reliable commercial plumber")</f>
        <v>reliable commercial plumber</v>
      </c>
      <c r="E174" s="28" t="str">
        <f>IFERROR(__xludf.DUMMYFUNCTION("""COMPUTED_VALUE"""),"toilet repair quote")</f>
        <v>toilet repair quote</v>
      </c>
      <c r="F174" s="4" t="str">
        <f>IFERROR(__xludf.DUMMYFUNCTION("""COMPUTED_VALUE"""),"service kitchen plumbing repair")</f>
        <v>service kitchen plumbing repair</v>
      </c>
      <c r="G174" s="4" t="str">
        <f>IFERROR(__xludf.DUMMYFUNCTION("""COMPUTED_VALUE"""),"pipe repair plumbing company")</f>
        <v>pipe repair plumbing company</v>
      </c>
      <c r="H174" s="4" t="str">
        <f>IFERROR(__xludf.DUMMYFUNCTION("""COMPUTED_VALUE"""),"same day drain cleaning")</f>
        <v>same day drain cleaning</v>
      </c>
      <c r="I174" s="4" t="str">
        <f>IFERROR(__xludf.DUMMYFUNCTION("""COMPUTED_VALUE"""),"emergency electrician near me")</f>
        <v>emergency electrician near me</v>
      </c>
      <c r="J174" s="4" t="str">
        <f>IFERROR(__xludf.DUMMYFUNCTION("""COMPUTED_VALUE"""),"repair commercial electrician")</f>
        <v>repair commercial electrician</v>
      </c>
      <c r="K174" s="4" t="str">
        <f>IFERROR(__xludf.DUMMYFUNCTION("""COMPUTED_VALUE"""),"HVAC services professional")</f>
        <v>HVAC services professional</v>
      </c>
      <c r="L174" s="4" t="str">
        <f>IFERROR(__xludf.DUMMYFUNCTION("""COMPUTED_VALUE"""),"same day air conditioning")</f>
        <v>same day air conditioning</v>
      </c>
      <c r="M174" s="4" t="str">
        <f>IFERROR(__xludf.DUMMYFUNCTION("""COMPUTED_VALUE"""),"plumbing services office")</f>
        <v>plumbing services office</v>
      </c>
      <c r="N174" s="4" t="str">
        <f>IFERROR(__xludf.DUMMYFUNCTION("""COMPUTED_VALUE"""),"shop electrical repairs")</f>
        <v>shop electrical repairs</v>
      </c>
      <c r="O174" s="4" t="str">
        <f>IFERROR(__xludf.DUMMYFUNCTION("""COMPUTED_VALUE"""),"plumbers cape town near me")</f>
        <v>plumbers cape town near me</v>
      </c>
      <c r="P174" s="4" t="str">
        <f>IFERROR(__xludf.DUMMYFUNCTION("""COMPUTED_VALUE"""),"review bosman plumbers")</f>
        <v>review bosman plumbers</v>
      </c>
      <c r="Q174" s="4" t="str">
        <f>IFERROR(__xludf.DUMMYFUNCTION("""COMPUTED_VALUE"""),"refrigeration repair near me for")</f>
        <v>refrigeration repair near me for</v>
      </c>
      <c r="R174" s="4" t="str">
        <f>IFERROR(__xludf.DUMMYFUNCTION("""COMPUTED_VALUE"""),"why is my burst pipe")</f>
        <v>why is my burst pipe</v>
      </c>
      <c r="S174" s="4"/>
      <c r="T174" s="4" t="str">
        <f>IFERROR(__xludf.DUMMYFUNCTION("""COMPUTED_VALUE"""),"air conditioning services commercial property")</f>
        <v>air conditioning services commercial property</v>
      </c>
      <c r="U174" s="4"/>
      <c r="V174" s="4"/>
      <c r="W174" s="4"/>
      <c r="X174" s="4"/>
      <c r="Y174" s="4"/>
      <c r="Z174" s="4"/>
    </row>
    <row r="175" ht="15.75" customHeight="1">
      <c r="A175" s="4" t="str">
        <f>IFERROR(__xludf.DUMMYFUNCTION("""COMPUTED_VALUE"""),"plumber Plumstead")</f>
        <v>plumber Plumstead</v>
      </c>
      <c r="B175" s="4" t="str">
        <f>IFERROR(__xludf.DUMMYFUNCTION("""COMPUTED_VALUE"""),"Plumstead emergency plumber")</f>
        <v>Plumstead emergency plumber</v>
      </c>
      <c r="C175" s="4" t="str">
        <f>IFERROR(__xludf.DUMMYFUNCTION("""COMPUTED_VALUE"""),"plumbing repairs local")</f>
        <v>plumbing repairs local</v>
      </c>
      <c r="D175" s="4" t="str">
        <f>IFERROR(__xludf.DUMMYFUNCTION("""COMPUTED_VALUE"""),"reliable maintenance plumber")</f>
        <v>reliable maintenance plumber</v>
      </c>
      <c r="E175" s="28" t="str">
        <f>IFERROR(__xludf.DUMMYFUNCTION("""COMPUTED_VALUE"""),"toilet repair reliable")</f>
        <v>toilet repair reliable</v>
      </c>
      <c r="F175" s="4" t="str">
        <f>IFERROR(__xludf.DUMMYFUNCTION("""COMPUTED_VALUE"""),"service leaking pipe repair")</f>
        <v>service leaking pipe repair</v>
      </c>
      <c r="G175" s="4" t="str">
        <f>IFERROR(__xludf.DUMMYFUNCTION("""COMPUTED_VALUE"""),"pipe repair quote")</f>
        <v>pipe repair quote</v>
      </c>
      <c r="H175" s="4" t="str">
        <f>IFERROR(__xludf.DUMMYFUNCTION("""COMPUTED_VALUE"""),"same day drain inspection")</f>
        <v>same day drain inspection</v>
      </c>
      <c r="I175" s="4" t="str">
        <f>IFERROR(__xludf.DUMMYFUNCTION("""COMPUTED_VALUE"""),"emergency electrician professional")</f>
        <v>emergency electrician professional</v>
      </c>
      <c r="J175" s="4" t="str">
        <f>IFERROR(__xludf.DUMMYFUNCTION("""COMPUTED_VALUE"""),"repair electrical compliance certificate")</f>
        <v>repair electrical compliance certificate</v>
      </c>
      <c r="K175" s="4" t="str">
        <f>IFERROR(__xludf.DUMMYFUNCTION("""COMPUTED_VALUE"""),"HVAC services quote")</f>
        <v>HVAC services quote</v>
      </c>
      <c r="L175" s="4" t="str">
        <f>IFERROR(__xludf.DUMMYFUNCTION("""COMPUTED_VALUE"""),"same day air conditioning repair")</f>
        <v>same day air conditioning repair</v>
      </c>
      <c r="M175" s="4" t="str">
        <f>IFERROR(__xludf.DUMMYFUNCTION("""COMPUTED_VALUE"""),"plumbing services property manager")</f>
        <v>plumbing services property manager</v>
      </c>
      <c r="N175" s="4" t="str">
        <f>IFERROR(__xludf.DUMMYFUNCTION("""COMPUTED_VALUE"""),"shop emergency plumbing")</f>
        <v>shop emergency plumbing</v>
      </c>
      <c r="O175" s="4" t="str">
        <f>IFERROR(__xludf.DUMMYFUNCTION("""COMPUTED_VALUE"""),"plumbers cape town prices")</f>
        <v>plumbers cape town prices</v>
      </c>
      <c r="P175" s="4" t="str">
        <f>IFERROR(__xludf.DUMMYFUNCTION("""COMPUTED_VALUE"""),"review drain surgeon cape town")</f>
        <v>review drain surgeon cape town</v>
      </c>
      <c r="Q175" s="4" t="str">
        <f>IFERROR(__xludf.DUMMYFUNCTION("""COMPUTED_VALUE"""),"refrigeration repair same day help for")</f>
        <v>refrigeration repair same day help for</v>
      </c>
      <c r="R175" s="4" t="str">
        <f>IFERROR(__xludf.DUMMYFUNCTION("""COMPUTED_VALUE"""),"why is my electrical COC")</f>
        <v>why is my electrical COC</v>
      </c>
      <c r="S175" s="4"/>
      <c r="T175" s="4" t="str">
        <f>IFERROR(__xludf.DUMMYFUNCTION("""COMPUTED_VALUE"""),"air conditioning services estate agent")</f>
        <v>air conditioning services estate agent</v>
      </c>
      <c r="U175" s="4"/>
      <c r="V175" s="4"/>
      <c r="W175" s="4"/>
      <c r="X175" s="4"/>
      <c r="Y175" s="4"/>
      <c r="Z175" s="4"/>
    </row>
    <row r="176" ht="15.75" customHeight="1">
      <c r="A176" s="4" t="str">
        <f>IFERROR(__xludf.DUMMYFUNCTION("""COMPUTED_VALUE"""),"plumber Rondebosch")</f>
        <v>plumber Rondebosch</v>
      </c>
      <c r="B176" s="4" t="str">
        <f>IFERROR(__xludf.DUMMYFUNCTION("""COMPUTED_VALUE"""),"Plumstead geyser repair")</f>
        <v>Plumstead geyser repair</v>
      </c>
      <c r="C176" s="4" t="str">
        <f>IFERROR(__xludf.DUMMYFUNCTION("""COMPUTED_VALUE"""),"plumbing repairs maintenance")</f>
        <v>plumbing repairs maintenance</v>
      </c>
      <c r="D176" s="4" t="str">
        <f>IFERROR(__xludf.DUMMYFUNCTION("""COMPUTED_VALUE"""),"reliable plumber cape town")</f>
        <v>reliable plumber cape town</v>
      </c>
      <c r="E176" s="28" t="str">
        <f>IFERROR(__xludf.DUMMYFUNCTION("""COMPUTED_VALUE"""),"toilet repair residential")</f>
        <v>toilet repair residential</v>
      </c>
      <c r="F176" s="4" t="str">
        <f>IFERROR(__xludf.DUMMYFUNCTION("""COMPUTED_VALUE"""),"service leaking tap repair")</f>
        <v>service leaking tap repair</v>
      </c>
      <c r="G176" s="4" t="str">
        <f>IFERROR(__xludf.DUMMYFUNCTION("""COMPUTED_VALUE"""),"pipe repair reliable")</f>
        <v>pipe repair reliable</v>
      </c>
      <c r="H176" s="4" t="str">
        <f>IFERROR(__xludf.DUMMYFUNCTION("""COMPUTED_VALUE"""),"same day drain unblocking")</f>
        <v>same day drain unblocking</v>
      </c>
      <c r="I176" s="4" t="str">
        <f>IFERROR(__xludf.DUMMYFUNCTION("""COMPUTED_VALUE"""),"emergency electrician qualified")</f>
        <v>emergency electrician qualified</v>
      </c>
      <c r="J176" s="4" t="str">
        <f>IFERROR(__xludf.DUMMYFUNCTION("""COMPUTED_VALUE"""),"repair electrical contractor")</f>
        <v>repair electrical contractor</v>
      </c>
      <c r="K176" s="4" t="str">
        <f>IFERROR(__xludf.DUMMYFUNCTION("""COMPUTED_VALUE"""),"HVAC services reliable")</f>
        <v>HVAC services reliable</v>
      </c>
      <c r="L176" s="4" t="str">
        <f>IFERROR(__xludf.DUMMYFUNCTION("""COMPUTED_VALUE"""),"same day aircon installation")</f>
        <v>same day aircon installation</v>
      </c>
      <c r="M176" s="4" t="str">
        <f>IFERROR(__xludf.DUMMYFUNCTION("""COMPUTED_VALUE"""),"plumbing services residential property")</f>
        <v>plumbing services residential property</v>
      </c>
      <c r="N176" s="4" t="str">
        <f>IFERROR(__xludf.DUMMYFUNCTION("""COMPUTED_VALUE"""),"shop geyser repairs")</f>
        <v>shop geyser repairs</v>
      </c>
      <c r="O176" s="4" t="str">
        <f>IFERROR(__xludf.DUMMYFUNCTION("""COMPUTED_VALUE"""),"plumbers cape town qualified")</f>
        <v>plumbers cape town qualified</v>
      </c>
      <c r="P176" s="4" t="str">
        <f>IFERROR(__xludf.DUMMYFUNCTION("""COMPUTED_VALUE"""),"review electrician cape town")</f>
        <v>review electrician cape town</v>
      </c>
      <c r="Q176" s="4" t="str">
        <f>IFERROR(__xludf.DUMMYFUNCTION("""COMPUTED_VALUE"""),"refrigeration repair signs you need")</f>
        <v>refrigeration repair signs you need</v>
      </c>
      <c r="R176" s="4" t="str">
        <f>IFERROR(__xludf.DUMMYFUNCTION("""COMPUTED_VALUE"""),"why is my emergency plumber")</f>
        <v>why is my emergency plumber</v>
      </c>
      <c r="S176" s="4"/>
      <c r="T176" s="4" t="str">
        <f>IFERROR(__xludf.DUMMYFUNCTION("""COMPUTED_VALUE"""),"air conditioning services flat")</f>
        <v>air conditioning services flat</v>
      </c>
      <c r="U176" s="4"/>
      <c r="V176" s="4"/>
      <c r="W176" s="4"/>
      <c r="X176" s="4"/>
      <c r="Y176" s="4"/>
      <c r="Z176" s="4"/>
    </row>
    <row r="177" ht="15.75" customHeight="1">
      <c r="A177" s="4" t="str">
        <f>IFERROR(__xludf.DUMMYFUNCTION("""COMPUTED_VALUE"""),"plumber Sea Point")</f>
        <v>plumber Sea Point</v>
      </c>
      <c r="B177" s="4" t="str">
        <f>IFERROR(__xludf.DUMMYFUNCTION("""COMPUTED_VALUE"""),"Plumstead leak detection plumber")</f>
        <v>Plumstead leak detection plumber</v>
      </c>
      <c r="C177" s="4" t="str">
        <f>IFERROR(__xludf.DUMMYFUNCTION("""COMPUTED_VALUE"""),"plumbing repairs near me")</f>
        <v>plumbing repairs near me</v>
      </c>
      <c r="D177" s="4" t="str">
        <f>IFERROR(__xludf.DUMMYFUNCTION("""COMPUTED_VALUE"""),"reliable plumbing company")</f>
        <v>reliable plumbing company</v>
      </c>
      <c r="E177" s="28" t="str">
        <f>IFERROR(__xludf.DUMMYFUNCTION("""COMPUTED_VALUE"""),"toilet repair same day")</f>
        <v>toilet repair same day</v>
      </c>
      <c r="F177" s="4" t="str">
        <f>IFERROR(__xludf.DUMMYFUNCTION("""COMPUTED_VALUE"""),"service toilet repair")</f>
        <v>service toilet repair</v>
      </c>
      <c r="G177" s="4" t="str">
        <f>IFERROR(__xludf.DUMMYFUNCTION("""COMPUTED_VALUE"""),"pipe repair replacement")</f>
        <v>pipe repair replacement</v>
      </c>
      <c r="H177" s="4" t="str">
        <f>IFERROR(__xludf.DUMMYFUNCTION("""COMPUTED_VALUE"""),"same day geyser repair")</f>
        <v>same day geyser repair</v>
      </c>
      <c r="I177" s="4" t="str">
        <f>IFERROR(__xludf.DUMMYFUNCTION("""COMPUTED_VALUE"""),"emergency electrician quote")</f>
        <v>emergency electrician quote</v>
      </c>
      <c r="J177" s="4" t="str">
        <f>IFERROR(__xludf.DUMMYFUNCTION("""COMPUTED_VALUE"""),"repair electrical installation")</f>
        <v>repair electrical installation</v>
      </c>
      <c r="K177" s="4" t="str">
        <f>IFERROR(__xludf.DUMMYFUNCTION("""COMPUTED_VALUE"""),"HVAC services repair")</f>
        <v>HVAC services repair</v>
      </c>
      <c r="L177" s="4" t="str">
        <f>IFERROR(__xludf.DUMMYFUNCTION("""COMPUTED_VALUE"""),"same day aircon repair")</f>
        <v>same day aircon repair</v>
      </c>
      <c r="M177" s="4" t="str">
        <f>IFERROR(__xludf.DUMMYFUNCTION("""COMPUTED_VALUE"""),"plumbing services restaurant")</f>
        <v>plumbing services restaurant</v>
      </c>
      <c r="N177" s="4" t="str">
        <f>IFERROR(__xludf.DUMMYFUNCTION("""COMPUTED_VALUE"""),"shop leak detection")</f>
        <v>shop leak detection</v>
      </c>
      <c r="O177" s="4" t="str">
        <f>IFERROR(__xludf.DUMMYFUNCTION("""COMPUTED_VALUE"""),"plumbers cape town quote")</f>
        <v>plumbers cape town quote</v>
      </c>
      <c r="P177" s="4" t="str">
        <f>IFERROR(__xludf.DUMMYFUNCTION("""COMPUTED_VALUE"""),"review emergency plumber cape town")</f>
        <v>review emergency plumber cape town</v>
      </c>
      <c r="Q177" s="4" t="str">
        <f>IFERROR(__xludf.DUMMYFUNCTION("""COMPUTED_VALUE"""),"refrigeration repair what causes")</f>
        <v>refrigeration repair what causes</v>
      </c>
      <c r="R177" s="4" t="str">
        <f>IFERROR(__xludf.DUMMYFUNCTION("""COMPUTED_VALUE"""),"why is my geyser repair")</f>
        <v>why is my geyser repair</v>
      </c>
      <c r="S177" s="4"/>
      <c r="T177" s="4" t="str">
        <f>IFERROR(__xludf.DUMMYFUNCTION("""COMPUTED_VALUE"""),"air conditioning services guesthouse")</f>
        <v>air conditioning services guesthouse</v>
      </c>
      <c r="U177" s="4"/>
      <c r="V177" s="4"/>
      <c r="W177" s="4"/>
      <c r="X177" s="4"/>
      <c r="Y177" s="4"/>
      <c r="Z177" s="4"/>
    </row>
    <row r="178" ht="15.75" customHeight="1">
      <c r="A178" s="4" t="str">
        <f>IFERROR(__xludf.DUMMYFUNCTION("""COMPUTED_VALUE"""),"plumber South Africa")</f>
        <v>plumber South Africa</v>
      </c>
      <c r="B178" s="4" t="str">
        <f>IFERROR(__xludf.DUMMYFUNCTION("""COMPUTED_VALUE"""),"Plumstead plumber")</f>
        <v>Plumstead plumber</v>
      </c>
      <c r="C178" s="4" t="str">
        <f>IFERROR(__xludf.DUMMYFUNCTION("""COMPUTED_VALUE"""),"plumbing repairs professional")</f>
        <v>plumbing repairs professional</v>
      </c>
      <c r="D178" s="4" t="str">
        <f>IFERROR(__xludf.DUMMYFUNCTION("""COMPUTED_VALUE"""),"reliable plumbing contractors")</f>
        <v>reliable plumbing contractors</v>
      </c>
      <c r="E178" s="28" t="str">
        <f>IFERROR(__xludf.DUMMYFUNCTION("""COMPUTED_VALUE"""),"toilet repair service")</f>
        <v>toilet repair service</v>
      </c>
      <c r="F178" s="4" t="str">
        <f>IFERROR(__xludf.DUMMYFUNCTION("""COMPUTED_VALUE"""),"service water leak repair")</f>
        <v>service water leak repair</v>
      </c>
      <c r="G178" s="4" t="str">
        <f>IFERROR(__xludf.DUMMYFUNCTION("""COMPUTED_VALUE"""),"pipe repair residential")</f>
        <v>pipe repair residential</v>
      </c>
      <c r="H178" s="4" t="str">
        <f>IFERROR(__xludf.DUMMYFUNCTION("""COMPUTED_VALUE"""),"same day geyser replacement")</f>
        <v>same day geyser replacement</v>
      </c>
      <c r="I178" s="4" t="str">
        <f>IFERROR(__xludf.DUMMYFUNCTION("""COMPUTED_VALUE"""),"emergency electrician reliable")</f>
        <v>emergency electrician reliable</v>
      </c>
      <c r="J178" s="4" t="str">
        <f>IFERROR(__xludf.DUMMYFUNCTION("""COMPUTED_VALUE"""),"repair electrical maintenance")</f>
        <v>repair electrical maintenance</v>
      </c>
      <c r="K178" s="4" t="str">
        <f>IFERROR(__xludf.DUMMYFUNCTION("""COMPUTED_VALUE"""),"HVAC services residential")</f>
        <v>HVAC services residential</v>
      </c>
      <c r="L178" s="4" t="str">
        <f>IFERROR(__xludf.DUMMYFUNCTION("""COMPUTED_VALUE"""),"same day aircon service")</f>
        <v>same day aircon service</v>
      </c>
      <c r="M178" s="4" t="str">
        <f>IFERROR(__xludf.DUMMYFUNCTION("""COMPUTED_VALUE"""),"plumbing services school")</f>
        <v>plumbing services school</v>
      </c>
      <c r="N178" s="4" t="str">
        <f>IFERROR(__xludf.DUMMYFUNCTION("""COMPUTED_VALUE"""),"shop maintenance plumber")</f>
        <v>shop maintenance plumber</v>
      </c>
      <c r="O178" s="4" t="str">
        <f>IFERROR(__xludf.DUMMYFUNCTION("""COMPUTED_VALUE"""),"plumbers cape town reliable")</f>
        <v>plumbers cape town reliable</v>
      </c>
      <c r="P178" s="4" t="str">
        <f>IFERROR(__xludf.DUMMYFUNCTION("""COMPUTED_VALUE"""),"review plumber near me")</f>
        <v>review plumber near me</v>
      </c>
      <c r="Q178" s="4" t="str">
        <f>IFERROR(__xludf.DUMMYFUNCTION("""COMPUTED_VALUE"""),"refrigeration repair what is")</f>
        <v>refrigeration repair what is</v>
      </c>
      <c r="R178" s="4" t="str">
        <f>IFERROR(__xludf.DUMMYFUNCTION("""COMPUTED_VALUE"""),"why is my leak detection")</f>
        <v>why is my leak detection</v>
      </c>
      <c r="S178" s="4"/>
      <c r="T178" s="4" t="str">
        <f>IFERROR(__xludf.DUMMYFUNCTION("""COMPUTED_VALUE"""),"air conditioning services home")</f>
        <v>air conditioning services home</v>
      </c>
      <c r="U178" s="4"/>
      <c r="V178" s="4"/>
      <c r="W178" s="4"/>
      <c r="X178" s="4"/>
      <c r="Y178" s="4"/>
      <c r="Z178" s="4"/>
    </row>
    <row r="179" ht="15.75" customHeight="1">
      <c r="A179" s="4" t="str">
        <f>IFERROR(__xludf.DUMMYFUNCTION("""COMPUTED_VALUE"""),"plumber Southern Suburbs")</f>
        <v>plumber Southern Suburbs</v>
      </c>
      <c r="B179" s="4" t="str">
        <f>IFERROR(__xludf.DUMMYFUNCTION("""COMPUTED_VALUE"""),"Plumstead plumbers")</f>
        <v>Plumstead plumbers</v>
      </c>
      <c r="C179" s="4" t="str">
        <f>IFERROR(__xludf.DUMMYFUNCTION("""COMPUTED_VALUE"""),"plumbing repairs qualified")</f>
        <v>plumbing repairs qualified</v>
      </c>
      <c r="D179" s="4" t="str">
        <f>IFERROR(__xludf.DUMMYFUNCTION("""COMPUTED_VALUE"""),"reliable plumbing inspection")</f>
        <v>reliable plumbing inspection</v>
      </c>
      <c r="E179" s="28" t="str">
        <f>IFERROR(__xludf.DUMMYFUNCTION("""COMPUTED_VALUE"""),"toilet repair urgent")</f>
        <v>toilet repair urgent</v>
      </c>
      <c r="F179" s="4" t="str">
        <f>IFERROR(__xludf.DUMMYFUNCTION("""COMPUTED_VALUE"""),"toilet repair")</f>
        <v>toilet repair</v>
      </c>
      <c r="G179" s="4" t="str">
        <f>IFERROR(__xludf.DUMMYFUNCTION("""COMPUTED_VALUE"""),"pipe repair same day")</f>
        <v>pipe repair same day</v>
      </c>
      <c r="H179" s="4" t="str">
        <f>IFERROR(__xludf.DUMMYFUNCTION("""COMPUTED_VALUE"""),"same day leak detection")</f>
        <v>same day leak detection</v>
      </c>
      <c r="I179" s="4" t="str">
        <f>IFERROR(__xludf.DUMMYFUNCTION("""COMPUTED_VALUE"""),"emergency electrician repair")</f>
        <v>emergency electrician repair</v>
      </c>
      <c r="J179" s="4" t="str">
        <f>IFERROR(__xludf.DUMMYFUNCTION("""COMPUTED_VALUE"""),"repair electrical services")</f>
        <v>repair electrical services</v>
      </c>
      <c r="K179" s="4" t="str">
        <f>IFERROR(__xludf.DUMMYFUNCTION("""COMPUTED_VALUE"""),"HVAC services same day")</f>
        <v>HVAC services same day</v>
      </c>
      <c r="L179" s="4" t="str">
        <f>IFERROR(__xludf.DUMMYFUNCTION("""COMPUTED_VALUE"""),"same day cold room repair")</f>
        <v>same day cold room repair</v>
      </c>
      <c r="M179" s="4" t="str">
        <f>IFERROR(__xludf.DUMMYFUNCTION("""COMPUTED_VALUE"""),"plumbing services shop")</f>
        <v>plumbing services shop</v>
      </c>
      <c r="N179" s="4" t="str">
        <f>IFERROR(__xludf.DUMMYFUNCTION("""COMPUTED_VALUE"""),"shop plumbing company")</f>
        <v>shop plumbing company</v>
      </c>
      <c r="O179" s="4" t="str">
        <f>IFERROR(__xludf.DUMMYFUNCTION("""COMPUTED_VALUE"""),"plumbers cape town reputable")</f>
        <v>plumbers cape town reputable</v>
      </c>
      <c r="P179" s="4" t="str">
        <f>IFERROR(__xludf.DUMMYFUNCTION("""COMPUTED_VALUE"""),"review plumbers cape town")</f>
        <v>review plumbers cape town</v>
      </c>
      <c r="Q179" s="4" t="str">
        <f>IFERROR(__xludf.DUMMYFUNCTION("""COMPUTED_VALUE"""),"refrigeration repair when to call a")</f>
        <v>refrigeration repair when to call a</v>
      </c>
      <c r="R179" s="4" t="str">
        <f>IFERROR(__xludf.DUMMYFUNCTION("""COMPUTED_VALUE"""),"why is my plumber cost")</f>
        <v>why is my plumber cost</v>
      </c>
      <c r="S179" s="4"/>
      <c r="T179" s="4" t="str">
        <f>IFERROR(__xludf.DUMMYFUNCTION("""COMPUTED_VALUE"""),"air conditioning services hotel")</f>
        <v>air conditioning services hotel</v>
      </c>
      <c r="U179" s="4"/>
      <c r="V179" s="4"/>
      <c r="W179" s="4"/>
      <c r="X179" s="4"/>
      <c r="Y179" s="4"/>
      <c r="Z179" s="4"/>
    </row>
    <row r="180" ht="15.75" customHeight="1">
      <c r="A180" s="4" t="str">
        <f>IFERROR(__xludf.DUMMYFUNCTION("""COMPUTED_VALUE"""),"plumber Table View")</f>
        <v>plumber Table View</v>
      </c>
      <c r="B180" s="4" t="str">
        <f>IFERROR(__xludf.DUMMYFUNCTION("""COMPUTED_VALUE"""),"Plumstead plumbing company")</f>
        <v>Plumstead plumbing company</v>
      </c>
      <c r="C180" s="4" t="str">
        <f>IFERROR(__xludf.DUMMYFUNCTION("""COMPUTED_VALUE"""),"plumbing repairs quote")</f>
        <v>plumbing repairs quote</v>
      </c>
      <c r="D180" s="4" t="str">
        <f>IFERROR(__xludf.DUMMYFUNCTION("""COMPUTED_VALUE"""),"reliable plumbing installation")</f>
        <v>reliable plumbing installation</v>
      </c>
      <c r="E180" s="28" t="str">
        <f>IFERROR(__xludf.DUMMYFUNCTION("""COMPUTED_VALUE"""),"toilet repair weekend")</f>
        <v>toilet repair weekend</v>
      </c>
      <c r="F180" s="4" t="str">
        <f>IFERROR(__xludf.DUMMYFUNCTION("""COMPUTED_VALUE"""),"urgent 24 hour plumber")</f>
        <v>urgent 24 hour plumber</v>
      </c>
      <c r="G180" s="4" t="str">
        <f>IFERROR(__xludf.DUMMYFUNCTION("""COMPUTED_VALUE"""),"pipe repair service")</f>
        <v>pipe repair service</v>
      </c>
      <c r="H180" s="4" t="str">
        <f>IFERROR(__xludf.DUMMYFUNCTION("""COMPUTED_VALUE"""),"same day pipe repair")</f>
        <v>same day pipe repair</v>
      </c>
      <c r="I180" s="4" t="str">
        <f>IFERROR(__xludf.DUMMYFUNCTION("""COMPUTED_VALUE"""),"emergency electrician same day")</f>
        <v>emergency electrician same day</v>
      </c>
      <c r="J180" s="4" t="str">
        <f>IFERROR(__xludf.DUMMYFUNCTION("""COMPUTED_VALUE"""),"repair electrician cape town")</f>
        <v>repair electrician cape town</v>
      </c>
      <c r="K180" s="4" t="str">
        <f>IFERROR(__xludf.DUMMYFUNCTION("""COMPUTED_VALUE"""),"HVAC services technician")</f>
        <v>HVAC services technician</v>
      </c>
      <c r="L180" s="4" t="str">
        <f>IFERROR(__xludf.DUMMYFUNCTION("""COMPUTED_VALUE"""),"same day commercial refrigeration")</f>
        <v>same day commercial refrigeration</v>
      </c>
      <c r="M180" s="4" t="str">
        <f>IFERROR(__xludf.DUMMYFUNCTION("""COMPUTED_VALUE"""),"plumbing services tenant")</f>
        <v>plumbing services tenant</v>
      </c>
      <c r="N180" s="4" t="str">
        <f>IFERROR(__xludf.DUMMYFUNCTION("""COMPUTED_VALUE"""),"shop plumbing services")</f>
        <v>shop plumbing services</v>
      </c>
      <c r="O180" s="4" t="str">
        <f>IFERROR(__xludf.DUMMYFUNCTION("""COMPUTED_VALUE"""),"plumbers cape town review")</f>
        <v>plumbers cape town review</v>
      </c>
      <c r="P180" s="4" t="str">
        <f>IFERROR(__xludf.DUMMYFUNCTION("""COMPUTED_VALUE"""),"review plumbing company cape town")</f>
        <v>review plumbing company cape town</v>
      </c>
      <c r="Q180" s="4" t="str">
        <f>IFERROR(__xludf.DUMMYFUNCTION("""COMPUTED_VALUE"""),"refrigeration repair who fixes")</f>
        <v>refrigeration repair who fixes</v>
      </c>
      <c r="R180" s="4" t="str">
        <f>IFERROR(__xludf.DUMMYFUNCTION("""COMPUTED_VALUE"""),"why is my plumbing maintenance")</f>
        <v>why is my plumbing maintenance</v>
      </c>
      <c r="S180" s="4"/>
      <c r="T180" s="4" t="str">
        <f>IFERROR(__xludf.DUMMYFUNCTION("""COMPUTED_VALUE"""),"air conditioning services house")</f>
        <v>air conditioning services house</v>
      </c>
      <c r="U180" s="4"/>
      <c r="V180" s="4"/>
      <c r="W180" s="4"/>
      <c r="X180" s="4"/>
      <c r="Y180" s="4"/>
      <c r="Z180" s="4"/>
    </row>
    <row r="181" ht="15.75" customHeight="1">
      <c r="A181" s="4" t="str">
        <f>IFERROR(__xludf.DUMMYFUNCTION("""COMPUTED_VALUE"""),"plumber Tokai")</f>
        <v>plumber Tokai</v>
      </c>
      <c r="B181" s="4" t="str">
        <f>IFERROR(__xludf.DUMMYFUNCTION("""COMPUTED_VALUE"""),"Plumstead refrigeration services")</f>
        <v>Plumstead refrigeration services</v>
      </c>
      <c r="C181" s="4" t="str">
        <f>IFERROR(__xludf.DUMMYFUNCTION("""COMPUTED_VALUE"""),"plumbing repairs reliable")</f>
        <v>plumbing repairs reliable</v>
      </c>
      <c r="D181" s="4" t="str">
        <f>IFERROR(__xludf.DUMMYFUNCTION("""COMPUTED_VALUE"""),"reliable plumbing repairs")</f>
        <v>reliable plumbing repairs</v>
      </c>
      <c r="E181" s="28" t="str">
        <f>IFERROR(__xludf.DUMMYFUNCTION("""COMPUTED_VALUE"""),"water leak repair")</f>
        <v>water leak repair</v>
      </c>
      <c r="F181" s="4" t="str">
        <f>IFERROR(__xludf.DUMMYFUNCTION("""COMPUTED_VALUE"""),"urgent bathroom plumbing repair")</f>
        <v>urgent bathroom plumbing repair</v>
      </c>
      <c r="G181" s="4" t="str">
        <f>IFERROR(__xludf.DUMMYFUNCTION("""COMPUTED_VALUE"""),"pipe repair specialist")</f>
        <v>pipe repair specialist</v>
      </c>
      <c r="H181" s="4" t="str">
        <f>IFERROR(__xludf.DUMMYFUNCTION("""COMPUTED_VALUE"""),"same day water leak detection")</f>
        <v>same day water leak detection</v>
      </c>
      <c r="I181" s="4" t="str">
        <f>IFERROR(__xludf.DUMMYFUNCTION("""COMPUTED_VALUE"""),"emergency electrician service")</f>
        <v>emergency electrician service</v>
      </c>
      <c r="J181" s="4" t="str">
        <f>IFERROR(__xludf.DUMMYFUNCTION("""COMPUTED_VALUE"""),"repair emergency electrician")</f>
        <v>repair emergency electrician</v>
      </c>
      <c r="K181" s="4" t="str">
        <f>IFERROR(__xludf.DUMMYFUNCTION("""COMPUTED_VALUE"""),"refrigeration repair")</f>
        <v>refrigeration repair</v>
      </c>
      <c r="L181" s="4" t="str">
        <f>IFERROR(__xludf.DUMMYFUNCTION("""COMPUTED_VALUE"""),"same day fridge repair")</f>
        <v>same day fridge repair</v>
      </c>
      <c r="M181" s="4" t="str">
        <f>IFERROR(__xludf.DUMMYFUNCTION("""COMPUTED_VALUE"""),"plumbing services townhouse")</f>
        <v>plumbing services townhouse</v>
      </c>
      <c r="N181" s="4" t="str">
        <f>IFERROR(__xludf.DUMMYFUNCTION("""COMPUTED_VALUE"""),"shop refrigeration services")</f>
        <v>shop refrigeration services</v>
      </c>
      <c r="O181" s="4" t="str">
        <f>IFERROR(__xludf.DUMMYFUNCTION("""COMPUTED_VALUE"""),"plumbers cape town reviews")</f>
        <v>plumbers cape town reviews</v>
      </c>
      <c r="P181" s="4" t="str">
        <f>IFERROR(__xludf.DUMMYFUNCTION("""COMPUTED_VALUE"""),"review schmidhauser plumbing")</f>
        <v>review schmidhauser plumbing</v>
      </c>
      <c r="Q181" s="4" t="str">
        <f>IFERROR(__xludf.DUMMYFUNCTION("""COMPUTED_VALUE"""),"refrigeration repair why is my")</f>
        <v>refrigeration repair why is my</v>
      </c>
      <c r="R181" s="4" t="str">
        <f>IFERROR(__xludf.DUMMYFUNCTION("""COMPUTED_VALUE"""),"why is my refrigeration repair")</f>
        <v>why is my refrigeration repair</v>
      </c>
      <c r="S181" s="4"/>
      <c r="T181" s="4" t="str">
        <f>IFERROR(__xludf.DUMMYFUNCTION("""COMPUTED_VALUE"""),"air conditioning services landlord")</f>
        <v>air conditioning services landlord</v>
      </c>
      <c r="U181" s="4"/>
      <c r="V181" s="4"/>
      <c r="W181" s="4"/>
      <c r="X181" s="4"/>
      <c r="Y181" s="4"/>
      <c r="Z181" s="4"/>
    </row>
    <row r="182" ht="15.75" customHeight="1">
      <c r="A182" s="4" t="str">
        <f>IFERROR(__xludf.DUMMYFUNCTION("""COMPUTED_VALUE"""),"plumber Woodstock")</f>
        <v>plumber Woodstock</v>
      </c>
      <c r="B182" s="4" t="str">
        <f>IFERROR(__xludf.DUMMYFUNCTION("""COMPUTED_VALUE"""),"Rondebosch aircon repairs")</f>
        <v>Rondebosch aircon repairs</v>
      </c>
      <c r="C182" s="4" t="str">
        <f>IFERROR(__xludf.DUMMYFUNCTION("""COMPUTED_VALUE"""),"plumbing repairs same day")</f>
        <v>plumbing repairs same day</v>
      </c>
      <c r="D182" s="4" t="str">
        <f>IFERROR(__xludf.DUMMYFUNCTION("""COMPUTED_VALUE"""),"reliable plumbing services")</f>
        <v>reliable plumbing services</v>
      </c>
      <c r="E182" s="28" t="str">
        <f>IFERROR(__xludf.DUMMYFUNCTION("""COMPUTED_VALUE"""),"water leak repair after hours")</f>
        <v>water leak repair after hours</v>
      </c>
      <c r="F182" s="4" t="str">
        <f>IFERROR(__xludf.DUMMYFUNCTION("""COMPUTED_VALUE"""),"urgent blocked toilet plumber")</f>
        <v>urgent blocked toilet plumber</v>
      </c>
      <c r="G182" s="4" t="str">
        <f>IFERROR(__xludf.DUMMYFUNCTION("""COMPUTED_VALUE"""),"water leak detection affordable")</f>
        <v>water leak detection affordable</v>
      </c>
      <c r="H182" s="4" t="str">
        <f>IFERROR(__xludf.DUMMYFUNCTION("""COMPUTED_VALUE"""),"service blocked drain")</f>
        <v>service blocked drain</v>
      </c>
      <c r="I182" s="4" t="str">
        <f>IFERROR(__xludf.DUMMYFUNCTION("""COMPUTED_VALUE"""),"residential electrician affordable")</f>
        <v>residential electrician affordable</v>
      </c>
      <c r="J182" s="4" t="str">
        <f>IFERROR(__xludf.DUMMYFUNCTION("""COMPUTED_VALUE"""),"repair residential electrician")</f>
        <v>repair residential electrician</v>
      </c>
      <c r="K182" s="4" t="str">
        <f>IFERROR(__xludf.DUMMYFUNCTION("""COMPUTED_VALUE"""),"refrigeration repair affordable")</f>
        <v>refrigeration repair affordable</v>
      </c>
      <c r="L182" s="4" t="str">
        <f>IFERROR(__xludf.DUMMYFUNCTION("""COMPUTED_VALUE"""),"same day HVAC services")</f>
        <v>same day HVAC services</v>
      </c>
      <c r="M182" s="4" t="str">
        <f>IFERROR(__xludf.DUMMYFUNCTION("""COMPUTED_VALUE"""),"refrigeration services apartment")</f>
        <v>refrigeration services apartment</v>
      </c>
      <c r="N182" s="4" t="str">
        <f>IFERROR(__xludf.DUMMYFUNCTION("""COMPUTED_VALUE"""),"tenant air conditioning services")</f>
        <v>tenant air conditioning services</v>
      </c>
      <c r="O182" s="4" t="str">
        <f>IFERROR(__xludf.DUMMYFUNCTION("""COMPUTED_VALUE"""),"plumbers cape town same day")</f>
        <v>plumbers cape town same day</v>
      </c>
      <c r="P182" s="4" t="str">
        <f>IFERROR(__xludf.DUMMYFUNCTION("""COMPUTED_VALUE"""),"reviews absolute plumbing cape town")</f>
        <v>reviews absolute plumbing cape town</v>
      </c>
      <c r="Q182" s="4"/>
      <c r="R182" s="4"/>
      <c r="S182" s="4"/>
      <c r="T182" s="4" t="str">
        <f>IFERROR(__xludf.DUMMYFUNCTION("""COMPUTED_VALUE"""),"air conditioning services office")</f>
        <v>air conditioning services office</v>
      </c>
      <c r="U182" s="4"/>
      <c r="V182" s="4"/>
      <c r="W182" s="4"/>
      <c r="X182" s="4"/>
      <c r="Y182" s="4"/>
      <c r="Z182" s="4"/>
    </row>
    <row r="183" ht="15.75" customHeight="1">
      <c r="A183" s="4" t="str">
        <f>IFERROR(__xludf.DUMMYFUNCTION("""COMPUTED_VALUE"""),"plumber Wynberg")</f>
        <v>plumber Wynberg</v>
      </c>
      <c r="B183" s="4" t="str">
        <f>IFERROR(__xludf.DUMMYFUNCTION("""COMPUTED_VALUE"""),"Rondebosch blocked drain plumber")</f>
        <v>Rondebosch blocked drain plumber</v>
      </c>
      <c r="C183" s="4" t="str">
        <f>IFERROR(__xludf.DUMMYFUNCTION("""COMPUTED_VALUE"""),"plumbing repairs service")</f>
        <v>plumbing repairs service</v>
      </c>
      <c r="D183" s="4" t="str">
        <f>IFERROR(__xludf.DUMMYFUNCTION("""COMPUTED_VALUE"""),"reliable residential plumber")</f>
        <v>reliable residential plumber</v>
      </c>
      <c r="E183" s="28" t="str">
        <f>IFERROR(__xludf.DUMMYFUNCTION("""COMPUTED_VALUE"""),"water leak repair call out")</f>
        <v>water leak repair call out</v>
      </c>
      <c r="F183" s="4" t="str">
        <f>IFERROR(__xludf.DUMMYFUNCTION("""COMPUTED_VALUE"""),"urgent burst pipe repair")</f>
        <v>urgent burst pipe repair</v>
      </c>
      <c r="G183" s="4" t="str">
        <f>IFERROR(__xludf.DUMMYFUNCTION("""COMPUTED_VALUE"""),"water leak detection best")</f>
        <v>water leak detection best</v>
      </c>
      <c r="H183" s="4" t="str">
        <f>IFERROR(__xludf.DUMMYFUNCTION("""COMPUTED_VALUE"""),"service burst geyser")</f>
        <v>service burst geyser</v>
      </c>
      <c r="I183" s="4" t="str">
        <f>IFERROR(__xludf.DUMMYFUNCTION("""COMPUTED_VALUE"""),"residential electrician call out")</f>
        <v>residential electrician call out</v>
      </c>
      <c r="J183" s="4" t="str">
        <f>IFERROR(__xludf.DUMMYFUNCTION("""COMPUTED_VALUE"""),"same day commercial electrician")</f>
        <v>same day commercial electrician</v>
      </c>
      <c r="K183" s="4" t="str">
        <f>IFERROR(__xludf.DUMMYFUNCTION("""COMPUTED_VALUE"""),"refrigeration repair best")</f>
        <v>refrigeration repair best</v>
      </c>
      <c r="L183" s="4" t="str">
        <f>IFERROR(__xludf.DUMMYFUNCTION("""COMPUTED_VALUE"""),"same day refrigeration repair")</f>
        <v>same day refrigeration repair</v>
      </c>
      <c r="M183" s="4" t="str">
        <f>IFERROR(__xludf.DUMMYFUNCTION("""COMPUTED_VALUE"""),"refrigeration services body corporate")</f>
        <v>refrigeration services body corporate</v>
      </c>
      <c r="N183" s="4" t="str">
        <f>IFERROR(__xludf.DUMMYFUNCTION("""COMPUTED_VALUE"""),"tenant drain cleaning")</f>
        <v>tenant drain cleaning</v>
      </c>
      <c r="O183" s="4" t="str">
        <f>IFERROR(__xludf.DUMMYFUNCTION("""COMPUTED_VALUE"""),"plumbers cape town top rated")</f>
        <v>plumbers cape town top rated</v>
      </c>
      <c r="P183" s="4" t="str">
        <f>IFERROR(__xludf.DUMMYFUNCTION("""COMPUTED_VALUE"""),"reviews aircon repair cape town")</f>
        <v>reviews aircon repair cape town</v>
      </c>
      <c r="Q183" s="4"/>
      <c r="R183" s="4"/>
      <c r="S183" s="4"/>
      <c r="T183" s="4" t="str">
        <f>IFERROR(__xludf.DUMMYFUNCTION("""COMPUTED_VALUE"""),"air conditioning services property manager")</f>
        <v>air conditioning services property manager</v>
      </c>
      <c r="U183" s="4"/>
      <c r="V183" s="4"/>
      <c r="W183" s="4"/>
      <c r="X183" s="4"/>
      <c r="Y183" s="4"/>
      <c r="Z183" s="4"/>
    </row>
    <row r="184" ht="15.75" customHeight="1">
      <c r="A184" s="4" t="str">
        <f>IFERROR(__xludf.DUMMYFUNCTION("""COMPUTED_VALUE"""),"plumbers Atlantic Seaboard")</f>
        <v>plumbers Atlantic Seaboard</v>
      </c>
      <c r="B184" s="4" t="str">
        <f>IFERROR(__xludf.DUMMYFUNCTION("""COMPUTED_VALUE"""),"Rondebosch electrician")</f>
        <v>Rondebosch electrician</v>
      </c>
      <c r="C184" s="4" t="str">
        <f>IFERROR(__xludf.DUMMYFUNCTION("""COMPUTED_VALUE"""),"plumbing repairs top rated")</f>
        <v>plumbing repairs top rated</v>
      </c>
      <c r="D184" s="4" t="str">
        <f>IFERROR(__xludf.DUMMYFUNCTION("""COMPUTED_VALUE"""),"repair commercial plumber")</f>
        <v>repair commercial plumber</v>
      </c>
      <c r="E184" s="28" t="str">
        <f>IFERROR(__xludf.DUMMYFUNCTION("""COMPUTED_VALUE"""),"water leak repair cape town")</f>
        <v>water leak repair cape town</v>
      </c>
      <c r="F184" s="4" t="str">
        <f>IFERROR(__xludf.DUMMYFUNCTION("""COMPUTED_VALUE"""),"urgent emergency plumber")</f>
        <v>urgent emergency plumber</v>
      </c>
      <c r="G184" s="4" t="str">
        <f>IFERROR(__xludf.DUMMYFUNCTION("""COMPUTED_VALUE"""),"water leak detection cape town")</f>
        <v>water leak detection cape town</v>
      </c>
      <c r="H184" s="4" t="str">
        <f>IFERROR(__xludf.DUMMYFUNCTION("""COMPUTED_VALUE"""),"service drain cleaning")</f>
        <v>service drain cleaning</v>
      </c>
      <c r="I184" s="4" t="str">
        <f>IFERROR(__xludf.DUMMYFUNCTION("""COMPUTED_VALUE"""),"residential electrician cape town")</f>
        <v>residential electrician cape town</v>
      </c>
      <c r="J184" s="4" t="str">
        <f>IFERROR(__xludf.DUMMYFUNCTION("""COMPUTED_VALUE"""),"same day electrical compliance certificate")</f>
        <v>same day electrical compliance certificate</v>
      </c>
      <c r="K184" s="4" t="str">
        <f>IFERROR(__xludf.DUMMYFUNCTION("""COMPUTED_VALUE"""),"refrigeration repair cape town")</f>
        <v>refrigeration repair cape town</v>
      </c>
      <c r="L184" s="4" t="str">
        <f>IFERROR(__xludf.DUMMYFUNCTION("""COMPUTED_VALUE"""),"service air conditioning")</f>
        <v>service air conditioning</v>
      </c>
      <c r="M184" s="4" t="str">
        <f>IFERROR(__xludf.DUMMYFUNCTION("""COMPUTED_VALUE"""),"refrigeration services building")</f>
        <v>refrigeration services building</v>
      </c>
      <c r="N184" s="4" t="str">
        <f>IFERROR(__xludf.DUMMYFUNCTION("""COMPUTED_VALUE"""),"tenant electrical repairs")</f>
        <v>tenant electrical repairs</v>
      </c>
      <c r="O184" s="4" t="str">
        <f>IFERROR(__xludf.DUMMYFUNCTION("""COMPUTED_VALUE"""),"plumbers cape town trusted")</f>
        <v>plumbers cape town trusted</v>
      </c>
      <c r="P184" s="4" t="str">
        <f>IFERROR(__xludf.DUMMYFUNCTION("""COMPUTED_VALUE"""),"reviews bosman plumbers")</f>
        <v>reviews bosman plumbers</v>
      </c>
      <c r="Q184" s="4"/>
      <c r="R184" s="4"/>
      <c r="S184" s="4"/>
      <c r="T184" s="4" t="str">
        <f>IFERROR(__xludf.DUMMYFUNCTION("""COMPUTED_VALUE"""),"air conditioning services residential property")</f>
        <v>air conditioning services residential property</v>
      </c>
      <c r="U184" s="4"/>
      <c r="V184" s="4"/>
      <c r="W184" s="4"/>
      <c r="X184" s="4"/>
      <c r="Y184" s="4"/>
      <c r="Z184" s="4"/>
    </row>
    <row r="185" ht="15.75" customHeight="1">
      <c r="A185" s="4" t="str">
        <f>IFERROR(__xludf.DUMMYFUNCTION("""COMPUTED_VALUE"""),"plumbers Bellville")</f>
        <v>plumbers Bellville</v>
      </c>
      <c r="B185" s="4" t="str">
        <f>IFERROR(__xludf.DUMMYFUNCTION("""COMPUTED_VALUE"""),"Rondebosch emergency plumber")</f>
        <v>Rondebosch emergency plumber</v>
      </c>
      <c r="C185" s="4" t="str">
        <f>IFERROR(__xludf.DUMMYFUNCTION("""COMPUTED_VALUE"""),"plumbing repairs trusted")</f>
        <v>plumbing repairs trusted</v>
      </c>
      <c r="D185" s="4" t="str">
        <f>IFERROR(__xludf.DUMMYFUNCTION("""COMPUTED_VALUE"""),"repair maintenance plumber")</f>
        <v>repair maintenance plumber</v>
      </c>
      <c r="E185" s="28" t="str">
        <f>IFERROR(__xludf.DUMMYFUNCTION("""COMPUTED_VALUE"""),"water leak repair commercial")</f>
        <v>water leak repair commercial</v>
      </c>
      <c r="F185" s="4" t="str">
        <f>IFERROR(__xludf.DUMMYFUNCTION("""COMPUTED_VALUE"""),"urgent kitchen plumbing repair")</f>
        <v>urgent kitchen plumbing repair</v>
      </c>
      <c r="G185" s="4" t="str">
        <f>IFERROR(__xludf.DUMMYFUNCTION("""COMPUTED_VALUE"""),"water leak detection CCTV")</f>
        <v>water leak detection CCTV</v>
      </c>
      <c r="H185" s="4" t="str">
        <f>IFERROR(__xludf.DUMMYFUNCTION("""COMPUTED_VALUE"""),"service drain inspection")</f>
        <v>service drain inspection</v>
      </c>
      <c r="I185" s="4" t="str">
        <f>IFERROR(__xludf.DUMMYFUNCTION("""COMPUTED_VALUE"""),"residential electrician COC")</f>
        <v>residential electrician COC</v>
      </c>
      <c r="J185" s="4" t="str">
        <f>IFERROR(__xludf.DUMMYFUNCTION("""COMPUTED_VALUE"""),"same day electrical contractor")</f>
        <v>same day electrical contractor</v>
      </c>
      <c r="K185" s="4" t="str">
        <f>IFERROR(__xludf.DUMMYFUNCTION("""COMPUTED_VALUE"""),"refrigeration repair commercial")</f>
        <v>refrigeration repair commercial</v>
      </c>
      <c r="L185" s="4" t="str">
        <f>IFERROR(__xludf.DUMMYFUNCTION("""COMPUTED_VALUE"""),"service air conditioning repair")</f>
        <v>service air conditioning repair</v>
      </c>
      <c r="M185" s="4" t="str">
        <f>IFERROR(__xludf.DUMMYFUNCTION("""COMPUTED_VALUE"""),"refrigeration services business")</f>
        <v>refrigeration services business</v>
      </c>
      <c r="N185" s="4" t="str">
        <f>IFERROR(__xludf.DUMMYFUNCTION("""COMPUTED_VALUE"""),"tenant emergency plumbing")</f>
        <v>tenant emergency plumbing</v>
      </c>
      <c r="O185" s="4" t="str">
        <f>IFERROR(__xludf.DUMMYFUNCTION("""COMPUTED_VALUE"""),"plumbers cape town vs")</f>
        <v>plumbers cape town vs</v>
      </c>
      <c r="P185" s="4" t="str">
        <f>IFERROR(__xludf.DUMMYFUNCTION("""COMPUTED_VALUE"""),"reviews drain surgeon cape town")</f>
        <v>reviews drain surgeon cape town</v>
      </c>
      <c r="Q185" s="4"/>
      <c r="R185" s="4"/>
      <c r="S185" s="4"/>
      <c r="T185" s="4" t="str">
        <f>IFERROR(__xludf.DUMMYFUNCTION("""COMPUTED_VALUE"""),"air conditioning services restaurant")</f>
        <v>air conditioning services restaurant</v>
      </c>
      <c r="U185" s="4"/>
      <c r="V185" s="4"/>
      <c r="W185" s="4"/>
      <c r="X185" s="4"/>
      <c r="Y185" s="4"/>
      <c r="Z185" s="4"/>
    </row>
    <row r="186" ht="15.75" customHeight="1">
      <c r="A186" s="4" t="str">
        <f>IFERROR(__xludf.DUMMYFUNCTION("""COMPUTED_VALUE"""),"plumbers Camps Bay")</f>
        <v>plumbers Camps Bay</v>
      </c>
      <c r="B186" s="4" t="str">
        <f>IFERROR(__xludf.DUMMYFUNCTION("""COMPUTED_VALUE"""),"Rondebosch geyser repair")</f>
        <v>Rondebosch geyser repair</v>
      </c>
      <c r="C186" s="4" t="str">
        <f>IFERROR(__xludf.DUMMYFUNCTION("""COMPUTED_VALUE"""),"plumbing services")</f>
        <v>plumbing services</v>
      </c>
      <c r="D186" s="4" t="str">
        <f>IFERROR(__xludf.DUMMYFUNCTION("""COMPUTED_VALUE"""),"repair plumber cape town")</f>
        <v>repair plumber cape town</v>
      </c>
      <c r="E186" s="28" t="str">
        <f>IFERROR(__xludf.DUMMYFUNCTION("""COMPUTED_VALUE"""),"water leak repair company")</f>
        <v>water leak repair company</v>
      </c>
      <c r="F186" s="4" t="str">
        <f>IFERROR(__xludf.DUMMYFUNCTION("""COMPUTED_VALUE"""),"urgent leaking pipe repair")</f>
        <v>urgent leaking pipe repair</v>
      </c>
      <c r="G186" s="4" t="str">
        <f>IFERROR(__xludf.DUMMYFUNCTION("""COMPUTED_VALUE"""),"water leak detection commercial")</f>
        <v>water leak detection commercial</v>
      </c>
      <c r="H186" s="4" t="str">
        <f>IFERROR(__xludf.DUMMYFUNCTION("""COMPUTED_VALUE"""),"service drain unblocking")</f>
        <v>service drain unblocking</v>
      </c>
      <c r="I186" s="4" t="str">
        <f>IFERROR(__xludf.DUMMYFUNCTION("""COMPUTED_VALUE"""),"residential electrician company")</f>
        <v>residential electrician company</v>
      </c>
      <c r="J186" s="4" t="str">
        <f>IFERROR(__xludf.DUMMYFUNCTION("""COMPUTED_VALUE"""),"same day electrical installation")</f>
        <v>same day electrical installation</v>
      </c>
      <c r="K186" s="4" t="str">
        <f>IFERROR(__xludf.DUMMYFUNCTION("""COMPUTED_VALUE"""),"refrigeration repair company")</f>
        <v>refrigeration repair company</v>
      </c>
      <c r="L186" s="4" t="str">
        <f>IFERROR(__xludf.DUMMYFUNCTION("""COMPUTED_VALUE"""),"service aircon installation")</f>
        <v>service aircon installation</v>
      </c>
      <c r="M186" s="4" t="str">
        <f>IFERROR(__xludf.DUMMYFUNCTION("""COMPUTED_VALUE"""),"refrigeration services commercial property")</f>
        <v>refrigeration services commercial property</v>
      </c>
      <c r="N186" s="4" t="str">
        <f>IFERROR(__xludf.DUMMYFUNCTION("""COMPUTED_VALUE"""),"tenant geyser repairs")</f>
        <v>tenant geyser repairs</v>
      </c>
      <c r="O186" s="4" t="str">
        <f>IFERROR(__xludf.DUMMYFUNCTION("""COMPUTED_VALUE"""),"plumbing company cape town 24 hour")</f>
        <v>plumbing company cape town 24 hour</v>
      </c>
      <c r="P186" s="4" t="str">
        <f>IFERROR(__xludf.DUMMYFUNCTION("""COMPUTED_VALUE"""),"reviews electrician cape town")</f>
        <v>reviews electrician cape town</v>
      </c>
      <c r="Q186" s="4"/>
      <c r="R186" s="4"/>
      <c r="S186" s="4"/>
      <c r="T186" s="4" t="str">
        <f>IFERROR(__xludf.DUMMYFUNCTION("""COMPUTED_VALUE"""),"air conditioning services school")</f>
        <v>air conditioning services school</v>
      </c>
      <c r="U186" s="4"/>
      <c r="V186" s="4"/>
      <c r="W186" s="4"/>
      <c r="X186" s="4"/>
      <c r="Y186" s="4"/>
      <c r="Z186" s="4"/>
    </row>
    <row r="187" ht="15.75" customHeight="1">
      <c r="A187" s="4" t="str">
        <f>IFERROR(__xludf.DUMMYFUNCTION("""COMPUTED_VALUE"""),"plumbers Cape Town")</f>
        <v>plumbers Cape Town</v>
      </c>
      <c r="B187" s="4" t="str">
        <f>IFERROR(__xludf.DUMMYFUNCTION("""COMPUTED_VALUE"""),"Rondebosch leak detection plumber")</f>
        <v>Rondebosch leak detection plumber</v>
      </c>
      <c r="C187" s="4" t="str">
        <f>IFERROR(__xludf.DUMMYFUNCTION("""COMPUTED_VALUE"""),"plumbing services 24 hour")</f>
        <v>plumbing services 24 hour</v>
      </c>
      <c r="D187" s="4" t="str">
        <f>IFERROR(__xludf.DUMMYFUNCTION("""COMPUTED_VALUE"""),"repair plumbing company")</f>
        <v>repair plumbing company</v>
      </c>
      <c r="E187" s="28" t="str">
        <f>IFERROR(__xludf.DUMMYFUNCTION("""COMPUTED_VALUE"""),"water leak repair cost")</f>
        <v>water leak repair cost</v>
      </c>
      <c r="F187" s="4" t="str">
        <f>IFERROR(__xludf.DUMMYFUNCTION("""COMPUTED_VALUE"""),"urgent leaking tap repair")</f>
        <v>urgent leaking tap repair</v>
      </c>
      <c r="G187" s="4" t="str">
        <f>IFERROR(__xludf.DUMMYFUNCTION("""COMPUTED_VALUE"""),"water leak detection cost")</f>
        <v>water leak detection cost</v>
      </c>
      <c r="H187" s="4" t="str">
        <f>IFERROR(__xludf.DUMMYFUNCTION("""COMPUTED_VALUE"""),"service geyser repair")</f>
        <v>service geyser repair</v>
      </c>
      <c r="I187" s="4" t="str">
        <f>IFERROR(__xludf.DUMMYFUNCTION("""COMPUTED_VALUE"""),"residential electrician contractor")</f>
        <v>residential electrician contractor</v>
      </c>
      <c r="J187" s="4" t="str">
        <f>IFERROR(__xludf.DUMMYFUNCTION("""COMPUTED_VALUE"""),"same day electrical maintenance")</f>
        <v>same day electrical maintenance</v>
      </c>
      <c r="K187" s="4" t="str">
        <f>IFERROR(__xludf.DUMMYFUNCTION("""COMPUTED_VALUE"""),"refrigeration repair contractor")</f>
        <v>refrigeration repair contractor</v>
      </c>
      <c r="L187" s="4" t="str">
        <f>IFERROR(__xludf.DUMMYFUNCTION("""COMPUTED_VALUE"""),"service aircon repair")</f>
        <v>service aircon repair</v>
      </c>
      <c r="M187" s="4" t="str">
        <f>IFERROR(__xludf.DUMMYFUNCTION("""COMPUTED_VALUE"""),"refrigeration services estate agent")</f>
        <v>refrigeration services estate agent</v>
      </c>
      <c r="N187" s="4" t="str">
        <f>IFERROR(__xludf.DUMMYFUNCTION("""COMPUTED_VALUE"""),"tenant leak detection")</f>
        <v>tenant leak detection</v>
      </c>
      <c r="O187" s="4" t="str">
        <f>IFERROR(__xludf.DUMMYFUNCTION("""COMPUTED_VALUE"""),"plumbing company cape town affordable")</f>
        <v>plumbing company cape town affordable</v>
      </c>
      <c r="P187" s="4" t="str">
        <f>IFERROR(__xludf.DUMMYFUNCTION("""COMPUTED_VALUE"""),"reviews emergency plumber cape town")</f>
        <v>reviews emergency plumber cape town</v>
      </c>
      <c r="Q187" s="4"/>
      <c r="R187" s="4"/>
      <c r="S187" s="4"/>
      <c r="T187" s="4" t="str">
        <f>IFERROR(__xludf.DUMMYFUNCTION("""COMPUTED_VALUE"""),"air conditioning services shop")</f>
        <v>air conditioning services shop</v>
      </c>
      <c r="U187" s="4"/>
      <c r="V187" s="4"/>
      <c r="W187" s="4"/>
      <c r="X187" s="4"/>
      <c r="Y187" s="4"/>
      <c r="Z187" s="4"/>
    </row>
    <row r="188" ht="15.75" customHeight="1">
      <c r="A188" s="4" t="str">
        <f>IFERROR(__xludf.DUMMYFUNCTION("""COMPUTED_VALUE"""),"plumbers Cape Town CBD")</f>
        <v>plumbers Cape Town CBD</v>
      </c>
      <c r="B188" s="4" t="str">
        <f>IFERROR(__xludf.DUMMYFUNCTION("""COMPUTED_VALUE"""),"Rondebosch plumber")</f>
        <v>Rondebosch plumber</v>
      </c>
      <c r="C188" s="4" t="str">
        <f>IFERROR(__xludf.DUMMYFUNCTION("""COMPUTED_VALUE"""),"plumbing services affordable")</f>
        <v>plumbing services affordable</v>
      </c>
      <c r="D188" s="4" t="str">
        <f>IFERROR(__xludf.DUMMYFUNCTION("""COMPUTED_VALUE"""),"repair plumbing contractors")</f>
        <v>repair plumbing contractors</v>
      </c>
      <c r="E188" s="28" t="str">
        <f>IFERROR(__xludf.DUMMYFUNCTION("""COMPUTED_VALUE"""),"water leak repair emergency")</f>
        <v>water leak repair emergency</v>
      </c>
      <c r="F188" s="4" t="str">
        <f>IFERROR(__xludf.DUMMYFUNCTION("""COMPUTED_VALUE"""),"urgent toilet repair")</f>
        <v>urgent toilet repair</v>
      </c>
      <c r="G188" s="4" t="str">
        <f>IFERROR(__xludf.DUMMYFUNCTION("""COMPUTED_VALUE"""),"water leak detection emergency")</f>
        <v>water leak detection emergency</v>
      </c>
      <c r="H188" s="4" t="str">
        <f>IFERROR(__xludf.DUMMYFUNCTION("""COMPUTED_VALUE"""),"service geyser replacement")</f>
        <v>service geyser replacement</v>
      </c>
      <c r="I188" s="4" t="str">
        <f>IFERROR(__xludf.DUMMYFUNCTION("""COMPUTED_VALUE"""),"residential electrician cost")</f>
        <v>residential electrician cost</v>
      </c>
      <c r="J188" s="4" t="str">
        <f>IFERROR(__xludf.DUMMYFUNCTION("""COMPUTED_VALUE"""),"same day electrical repairs")</f>
        <v>same day electrical repairs</v>
      </c>
      <c r="K188" s="4" t="str">
        <f>IFERROR(__xludf.DUMMYFUNCTION("""COMPUTED_VALUE"""),"refrigeration repair cost")</f>
        <v>refrigeration repair cost</v>
      </c>
      <c r="L188" s="4" t="str">
        <f>IFERROR(__xludf.DUMMYFUNCTION("""COMPUTED_VALUE"""),"service cold room repair")</f>
        <v>service cold room repair</v>
      </c>
      <c r="M188" s="4" t="str">
        <f>IFERROR(__xludf.DUMMYFUNCTION("""COMPUTED_VALUE"""),"refrigeration services flat")</f>
        <v>refrigeration services flat</v>
      </c>
      <c r="N188" s="4" t="str">
        <f>IFERROR(__xludf.DUMMYFUNCTION("""COMPUTED_VALUE"""),"tenant maintenance plumber")</f>
        <v>tenant maintenance plumber</v>
      </c>
      <c r="O188" s="4" t="str">
        <f>IFERROR(__xludf.DUMMYFUNCTION("""COMPUTED_VALUE"""),"plumbing company cape town alternatives")</f>
        <v>plumbing company cape town alternatives</v>
      </c>
      <c r="P188" s="4" t="str">
        <f>IFERROR(__xludf.DUMMYFUNCTION("""COMPUTED_VALUE"""),"reviews plumber near me")</f>
        <v>reviews plumber near me</v>
      </c>
      <c r="Q188" s="4"/>
      <c r="R188" s="4"/>
      <c r="S188" s="4"/>
      <c r="T188" s="4" t="str">
        <f>IFERROR(__xludf.DUMMYFUNCTION("""COMPUTED_VALUE"""),"air conditioning services tenant")</f>
        <v>air conditioning services tenant</v>
      </c>
      <c r="U188" s="4"/>
      <c r="V188" s="4"/>
      <c r="W188" s="4"/>
      <c r="X188" s="4"/>
      <c r="Y188" s="4"/>
      <c r="Z188" s="4"/>
    </row>
    <row r="189" ht="15.75" customHeight="1">
      <c r="A189" s="4" t="str">
        <f>IFERROR(__xludf.DUMMYFUNCTION("""COMPUTED_VALUE"""),"plumbers Claremont")</f>
        <v>plumbers Claremont</v>
      </c>
      <c r="B189" s="4" t="str">
        <f>IFERROR(__xludf.DUMMYFUNCTION("""COMPUTED_VALUE"""),"Rondebosch plumbers")</f>
        <v>Rondebosch plumbers</v>
      </c>
      <c r="C189" s="4" t="str">
        <f>IFERROR(__xludf.DUMMYFUNCTION("""COMPUTED_VALUE"""),"plumbing services after hours")</f>
        <v>plumbing services after hours</v>
      </c>
      <c r="D189" s="4" t="str">
        <f>IFERROR(__xludf.DUMMYFUNCTION("""COMPUTED_VALUE"""),"repair plumbing inspection")</f>
        <v>repair plumbing inspection</v>
      </c>
      <c r="E189" s="28" t="str">
        <f>IFERROR(__xludf.DUMMYFUNCTION("""COMPUTED_VALUE"""),"water leak repair fast")</f>
        <v>water leak repair fast</v>
      </c>
      <c r="F189" s="4" t="str">
        <f>IFERROR(__xludf.DUMMYFUNCTION("""COMPUTED_VALUE"""),"urgent water leak repair")</f>
        <v>urgent water leak repair</v>
      </c>
      <c r="G189" s="4" t="str">
        <f>IFERROR(__xludf.DUMMYFUNCTION("""COMPUTED_VALUE"""),"water leak detection high pressure jetting")</f>
        <v>water leak detection high pressure jetting</v>
      </c>
      <c r="H189" s="4" t="str">
        <f>IFERROR(__xludf.DUMMYFUNCTION("""COMPUTED_VALUE"""),"service leak detection")</f>
        <v>service leak detection</v>
      </c>
      <c r="I189" s="4" t="str">
        <f>IFERROR(__xludf.DUMMYFUNCTION("""COMPUTED_VALUE"""),"residential electrician emergency")</f>
        <v>residential electrician emergency</v>
      </c>
      <c r="J189" s="4" t="str">
        <f>IFERROR(__xludf.DUMMYFUNCTION("""COMPUTED_VALUE"""),"same day electrical services")</f>
        <v>same day electrical services</v>
      </c>
      <c r="K189" s="4" t="str">
        <f>IFERROR(__xludf.DUMMYFUNCTION("""COMPUTED_VALUE"""),"refrigeration repair emergency")</f>
        <v>refrigeration repair emergency</v>
      </c>
      <c r="L189" s="4" t="str">
        <f>IFERROR(__xludf.DUMMYFUNCTION("""COMPUTED_VALUE"""),"service commercial refrigeration")</f>
        <v>service commercial refrigeration</v>
      </c>
      <c r="M189" s="4" t="str">
        <f>IFERROR(__xludf.DUMMYFUNCTION("""COMPUTED_VALUE"""),"refrigeration services guesthouse")</f>
        <v>refrigeration services guesthouse</v>
      </c>
      <c r="N189" s="4" t="str">
        <f>IFERROR(__xludf.DUMMYFUNCTION("""COMPUTED_VALUE"""),"tenant plumbing company")</f>
        <v>tenant plumbing company</v>
      </c>
      <c r="O189" s="4" t="str">
        <f>IFERROR(__xludf.DUMMYFUNCTION("""COMPUTED_VALUE"""),"plumbing company cape town best")</f>
        <v>plumbing company cape town best</v>
      </c>
      <c r="P189" s="4" t="str">
        <f>IFERROR(__xludf.DUMMYFUNCTION("""COMPUTED_VALUE"""),"reviews plumbers cape town")</f>
        <v>reviews plumbers cape town</v>
      </c>
      <c r="Q189" s="4"/>
      <c r="R189" s="4"/>
      <c r="S189" s="4"/>
      <c r="T189" s="4" t="str">
        <f>IFERROR(__xludf.DUMMYFUNCTION("""COMPUTED_VALUE"""),"air conditioning services townhouse")</f>
        <v>air conditioning services townhouse</v>
      </c>
      <c r="U189" s="4"/>
      <c r="V189" s="4"/>
      <c r="W189" s="4"/>
      <c r="X189" s="4"/>
      <c r="Y189" s="4"/>
      <c r="Z189" s="4"/>
    </row>
    <row r="190" ht="15.75" customHeight="1">
      <c r="A190" s="4" t="str">
        <f>IFERROR(__xludf.DUMMYFUNCTION("""COMPUTED_VALUE"""),"plumbers Constantia")</f>
        <v>plumbers Constantia</v>
      </c>
      <c r="B190" s="4" t="str">
        <f>IFERROR(__xludf.DUMMYFUNCTION("""COMPUTED_VALUE"""),"Rondebosch plumbing company")</f>
        <v>Rondebosch plumbing company</v>
      </c>
      <c r="C190" s="4" t="str">
        <f>IFERROR(__xludf.DUMMYFUNCTION("""COMPUTED_VALUE"""),"plumbing services best")</f>
        <v>plumbing services best</v>
      </c>
      <c r="D190" s="4" t="str">
        <f>IFERROR(__xludf.DUMMYFUNCTION("""COMPUTED_VALUE"""),"repair plumbing installation")</f>
        <v>repair plumbing installation</v>
      </c>
      <c r="E190" s="28" t="str">
        <f>IFERROR(__xludf.DUMMYFUNCTION("""COMPUTED_VALUE"""),"water leak repair local")</f>
        <v>water leak repair local</v>
      </c>
      <c r="F190" s="4" t="str">
        <f>IFERROR(__xludf.DUMMYFUNCTION("""COMPUTED_VALUE"""),"water leak repair")</f>
        <v>water leak repair</v>
      </c>
      <c r="G190" s="4" t="str">
        <f>IFERROR(__xludf.DUMMYFUNCTION("""COMPUTED_VALUE"""),"water leak detection installation")</f>
        <v>water leak detection installation</v>
      </c>
      <c r="H190" s="4" t="str">
        <f>IFERROR(__xludf.DUMMYFUNCTION("""COMPUTED_VALUE"""),"service pipe repair")</f>
        <v>service pipe repair</v>
      </c>
      <c r="I190" s="4" t="str">
        <f>IFERROR(__xludf.DUMMYFUNCTION("""COMPUTED_VALUE"""),"residential electrician inspection")</f>
        <v>residential electrician inspection</v>
      </c>
      <c r="J190" s="4" t="str">
        <f>IFERROR(__xludf.DUMMYFUNCTION("""COMPUTED_VALUE"""),"same day electrician cape town")</f>
        <v>same day electrician cape town</v>
      </c>
      <c r="K190" s="4" t="str">
        <f>IFERROR(__xludf.DUMMYFUNCTION("""COMPUTED_VALUE"""),"refrigeration repair installation")</f>
        <v>refrigeration repair installation</v>
      </c>
      <c r="L190" s="4" t="str">
        <f>IFERROR(__xludf.DUMMYFUNCTION("""COMPUTED_VALUE"""),"service fridge repair")</f>
        <v>service fridge repair</v>
      </c>
      <c r="M190" s="4" t="str">
        <f>IFERROR(__xludf.DUMMYFUNCTION("""COMPUTED_VALUE"""),"refrigeration services home")</f>
        <v>refrigeration services home</v>
      </c>
      <c r="N190" s="4" t="str">
        <f>IFERROR(__xludf.DUMMYFUNCTION("""COMPUTED_VALUE"""),"tenant plumbing services")</f>
        <v>tenant plumbing services</v>
      </c>
      <c r="O190" s="4" t="str">
        <f>IFERROR(__xludf.DUMMYFUNCTION("""COMPUTED_VALUE"""),"plumbing company cape town certified")</f>
        <v>plumbing company cape town certified</v>
      </c>
      <c r="P190" s="4" t="str">
        <f>IFERROR(__xludf.DUMMYFUNCTION("""COMPUTED_VALUE"""),"reviews plumbing company cape town")</f>
        <v>reviews plumbing company cape town</v>
      </c>
      <c r="Q190" s="4"/>
      <c r="R190" s="4"/>
      <c r="S190" s="4"/>
      <c r="T190" s="4" t="str">
        <f>IFERROR(__xludf.DUMMYFUNCTION("""COMPUTED_VALUE"""),"air conditioning technician")</f>
        <v>air conditioning technician</v>
      </c>
      <c r="U190" s="4"/>
      <c r="V190" s="4"/>
      <c r="W190" s="4"/>
      <c r="X190" s="4"/>
      <c r="Y190" s="4"/>
      <c r="Z190" s="4"/>
    </row>
    <row r="191" ht="15.75" customHeight="1">
      <c r="A191" s="4" t="str">
        <f>IFERROR(__xludf.DUMMYFUNCTION("""COMPUTED_VALUE"""),"plumbers Durbanville")</f>
        <v>plumbers Durbanville</v>
      </c>
      <c r="B191" s="4" t="str">
        <f>IFERROR(__xludf.DUMMYFUNCTION("""COMPUTED_VALUE"""),"Rondebosch refrigeration services")</f>
        <v>Rondebosch refrigeration services</v>
      </c>
      <c r="C191" s="4" t="str">
        <f>IFERROR(__xludf.DUMMYFUNCTION("""COMPUTED_VALUE"""),"plumbing services call out")</f>
        <v>plumbing services call out</v>
      </c>
      <c r="D191" s="4" t="str">
        <f>IFERROR(__xludf.DUMMYFUNCTION("""COMPUTED_VALUE"""),"repair plumbing services")</f>
        <v>repair plumbing services</v>
      </c>
      <c r="E191" s="28" t="str">
        <f>IFERROR(__xludf.DUMMYFUNCTION("""COMPUTED_VALUE"""),"water leak repair near me")</f>
        <v>water leak repair near me</v>
      </c>
      <c r="F191" s="4" t="str">
        <f>IFERROR(__xludf.DUMMYFUNCTION("""COMPUTED_VALUE"""),"weekend 24 hour plumber")</f>
        <v>weekend 24 hour plumber</v>
      </c>
      <c r="G191" s="4" t="str">
        <f>IFERROR(__xludf.DUMMYFUNCTION("""COMPUTED_VALUE"""),"water leak detection near me")</f>
        <v>water leak detection near me</v>
      </c>
      <c r="H191" s="4" t="str">
        <f>IFERROR(__xludf.DUMMYFUNCTION("""COMPUTED_VALUE"""),"service water leak detection")</f>
        <v>service water leak detection</v>
      </c>
      <c r="I191" s="4" t="str">
        <f>IFERROR(__xludf.DUMMYFUNCTION("""COMPUTED_VALUE"""),"residential electrician installation")</f>
        <v>residential electrician installation</v>
      </c>
      <c r="J191" s="4" t="str">
        <f>IFERROR(__xludf.DUMMYFUNCTION("""COMPUTED_VALUE"""),"same day emergency electrician")</f>
        <v>same day emergency electrician</v>
      </c>
      <c r="K191" s="4" t="str">
        <f>IFERROR(__xludf.DUMMYFUNCTION("""COMPUTED_VALUE"""),"refrigeration repair local")</f>
        <v>refrigeration repair local</v>
      </c>
      <c r="L191" s="4" t="str">
        <f>IFERROR(__xludf.DUMMYFUNCTION("""COMPUTED_VALUE"""),"service refrigeration repair")</f>
        <v>service refrigeration repair</v>
      </c>
      <c r="M191" s="4" t="str">
        <f>IFERROR(__xludf.DUMMYFUNCTION("""COMPUTED_VALUE"""),"refrigeration services hotel")</f>
        <v>refrigeration services hotel</v>
      </c>
      <c r="N191" s="4" t="str">
        <f>IFERROR(__xludf.DUMMYFUNCTION("""COMPUTED_VALUE"""),"tenant refrigeration services")</f>
        <v>tenant refrigeration services</v>
      </c>
      <c r="O191" s="4" t="str">
        <f>IFERROR(__xludf.DUMMYFUNCTION("""COMPUTED_VALUE"""),"plumbing company cape town compare")</f>
        <v>plumbing company cape town compare</v>
      </c>
      <c r="P191" s="4" t="str">
        <f>IFERROR(__xludf.DUMMYFUNCTION("""COMPUTED_VALUE"""),"reviews schmidhauser plumbing")</f>
        <v>reviews schmidhauser plumbing</v>
      </c>
      <c r="Q191" s="4"/>
      <c r="R191" s="4"/>
      <c r="S191" s="4"/>
      <c r="T191" s="4" t="str">
        <f>IFERROR(__xludf.DUMMYFUNCTION("""COMPUTED_VALUE"""),"aircon installation")</f>
        <v>aircon installation</v>
      </c>
      <c r="U191" s="4"/>
      <c r="V191" s="4"/>
      <c r="W191" s="4"/>
      <c r="X191" s="4"/>
      <c r="Y191" s="4"/>
      <c r="Z191" s="4"/>
    </row>
    <row r="192" ht="15.75" customHeight="1">
      <c r="A192" s="4" t="str">
        <f>IFERROR(__xludf.DUMMYFUNCTION("""COMPUTED_VALUE"""),"plumbers Fish Hoek")</f>
        <v>plumbers Fish Hoek</v>
      </c>
      <c r="B192" s="4" t="str">
        <f>IFERROR(__xludf.DUMMYFUNCTION("""COMPUTED_VALUE"""),"Sea Point aircon repairs")</f>
        <v>Sea Point aircon repairs</v>
      </c>
      <c r="C192" s="4" t="str">
        <f>IFERROR(__xludf.DUMMYFUNCTION("""COMPUTED_VALUE"""),"plumbing services company")</f>
        <v>plumbing services company</v>
      </c>
      <c r="D192" s="4" t="str">
        <f>IFERROR(__xludf.DUMMYFUNCTION("""COMPUTED_VALUE"""),"repair residential plumber")</f>
        <v>repair residential plumber</v>
      </c>
      <c r="E192" s="28" t="str">
        <f>IFERROR(__xludf.DUMMYFUNCTION("""COMPUTED_VALUE"""),"water leak repair plumber")</f>
        <v>water leak repair plumber</v>
      </c>
      <c r="F192" s="4" t="str">
        <f>IFERROR(__xludf.DUMMYFUNCTION("""COMPUTED_VALUE"""),"weekend bathroom plumbing repair")</f>
        <v>weekend bathroom plumbing repair</v>
      </c>
      <c r="G192" s="4" t="str">
        <f>IFERROR(__xludf.DUMMYFUNCTION("""COMPUTED_VALUE"""),"water leak detection plumber")</f>
        <v>water leak detection plumber</v>
      </c>
      <c r="H192" s="4" t="str">
        <f>IFERROR(__xludf.DUMMYFUNCTION("""COMPUTED_VALUE"""),"specialist blocked drain")</f>
        <v>specialist blocked drain</v>
      </c>
      <c r="I192" s="4" t="str">
        <f>IFERROR(__xludf.DUMMYFUNCTION("""COMPUTED_VALUE"""),"residential electrician licensed")</f>
        <v>residential electrician licensed</v>
      </c>
      <c r="J192" s="4" t="str">
        <f>IFERROR(__xludf.DUMMYFUNCTION("""COMPUTED_VALUE"""),"same day residential electrician")</f>
        <v>same day residential electrician</v>
      </c>
      <c r="K192" s="4" t="str">
        <f>IFERROR(__xludf.DUMMYFUNCTION("""COMPUTED_VALUE"""),"refrigeration repair maintenance")</f>
        <v>refrigeration repair maintenance</v>
      </c>
      <c r="L192" s="4" t="str">
        <f>IFERROR(__xludf.DUMMYFUNCTION("""COMPUTED_VALUE"""),"technician air conditioning")</f>
        <v>technician air conditioning</v>
      </c>
      <c r="M192" s="4" t="str">
        <f>IFERROR(__xludf.DUMMYFUNCTION("""COMPUTED_VALUE"""),"refrigeration services house")</f>
        <v>refrigeration services house</v>
      </c>
      <c r="N192" s="4" t="str">
        <f>IFERROR(__xludf.DUMMYFUNCTION("""COMPUTED_VALUE"""),"townhouse air conditioning services")</f>
        <v>townhouse air conditioning services</v>
      </c>
      <c r="O192" s="4" t="str">
        <f>IFERROR(__xludf.DUMMYFUNCTION("""COMPUTED_VALUE"""),"plumbing company cape town complaints")</f>
        <v>plumbing company cape town complaints</v>
      </c>
      <c r="P192" s="4" t="str">
        <f>IFERROR(__xludf.DUMMYFUNCTION("""COMPUTED_VALUE"""),"same day absolute plumbing cape town")</f>
        <v>same day absolute plumbing cape town</v>
      </c>
      <c r="Q192" s="4"/>
      <c r="R192" s="4"/>
      <c r="S192" s="4"/>
      <c r="T192" s="4" t="str">
        <f>IFERROR(__xludf.DUMMYFUNCTION("""COMPUTED_VALUE"""),"aircon installation affordable")</f>
        <v>aircon installation affordable</v>
      </c>
      <c r="U192" s="4"/>
      <c r="V192" s="4"/>
      <c r="W192" s="4"/>
      <c r="X192" s="4"/>
      <c r="Y192" s="4"/>
      <c r="Z192" s="4"/>
    </row>
    <row r="193" ht="15.75" customHeight="1">
      <c r="A193" s="4" t="str">
        <f>IFERROR(__xludf.DUMMYFUNCTION("""COMPUTED_VALUE"""),"plumbers Green Point")</f>
        <v>plumbers Green Point</v>
      </c>
      <c r="B193" s="4" t="str">
        <f>IFERROR(__xludf.DUMMYFUNCTION("""COMPUTED_VALUE"""),"Sea Point blocked drain plumber")</f>
        <v>Sea Point blocked drain plumber</v>
      </c>
      <c r="C193" s="4" t="str">
        <f>IFERROR(__xludf.DUMMYFUNCTION("""COMPUTED_VALUE"""),"plumbing services contractor")</f>
        <v>plumbing services contractor</v>
      </c>
      <c r="D193" s="4" t="str">
        <f>IFERROR(__xludf.DUMMYFUNCTION("""COMPUTED_VALUE"""),"same day commercial plumber")</f>
        <v>same day commercial plumber</v>
      </c>
      <c r="E193" s="28" t="str">
        <f>IFERROR(__xludf.DUMMYFUNCTION("""COMPUTED_VALUE"""),"water leak repair professional")</f>
        <v>water leak repair professional</v>
      </c>
      <c r="F193" s="4" t="str">
        <f>IFERROR(__xludf.DUMMYFUNCTION("""COMPUTED_VALUE"""),"weekend blocked toilet plumber")</f>
        <v>weekend blocked toilet plumber</v>
      </c>
      <c r="G193" s="4" t="str">
        <f>IFERROR(__xludf.DUMMYFUNCTION("""COMPUTED_VALUE"""),"water leak detection plumbing company")</f>
        <v>water leak detection plumbing company</v>
      </c>
      <c r="H193" s="4" t="str">
        <f>IFERROR(__xludf.DUMMYFUNCTION("""COMPUTED_VALUE"""),"specialist burst geyser")</f>
        <v>specialist burst geyser</v>
      </c>
      <c r="I193" s="4" t="str">
        <f>IFERROR(__xludf.DUMMYFUNCTION("""COMPUTED_VALUE"""),"residential electrician local")</f>
        <v>residential electrician local</v>
      </c>
      <c r="J193" s="4" t="str">
        <f>IFERROR(__xludf.DUMMYFUNCTION("""COMPUTED_VALUE"""),"service commercial electrician")</f>
        <v>service commercial electrician</v>
      </c>
      <c r="K193" s="4" t="str">
        <f>IFERROR(__xludf.DUMMYFUNCTION("""COMPUTED_VALUE"""),"refrigeration repair near me")</f>
        <v>refrigeration repair near me</v>
      </c>
      <c r="L193" s="4" t="str">
        <f>IFERROR(__xludf.DUMMYFUNCTION("""COMPUTED_VALUE"""),"technician air conditioning repair")</f>
        <v>technician air conditioning repair</v>
      </c>
      <c r="M193" s="4" t="str">
        <f>IFERROR(__xludf.DUMMYFUNCTION("""COMPUTED_VALUE"""),"refrigeration services landlord")</f>
        <v>refrigeration services landlord</v>
      </c>
      <c r="N193" s="4" t="str">
        <f>IFERROR(__xludf.DUMMYFUNCTION("""COMPUTED_VALUE"""),"townhouse drain cleaning")</f>
        <v>townhouse drain cleaning</v>
      </c>
      <c r="O193" s="4" t="str">
        <f>IFERROR(__xludf.DUMMYFUNCTION("""COMPUTED_VALUE"""),"plumbing company cape town cost")</f>
        <v>plumbing company cape town cost</v>
      </c>
      <c r="P193" s="4" t="str">
        <f>IFERROR(__xludf.DUMMYFUNCTION("""COMPUTED_VALUE"""),"same day aircon repair cape town")</f>
        <v>same day aircon repair cape town</v>
      </c>
      <c r="Q193" s="4"/>
      <c r="R193" s="4"/>
      <c r="S193" s="4"/>
      <c r="T193" s="4" t="str">
        <f>IFERROR(__xludf.DUMMYFUNCTION("""COMPUTED_VALUE"""),"aircon installation best")</f>
        <v>aircon installation best</v>
      </c>
      <c r="U193" s="4"/>
      <c r="V193" s="4"/>
      <c r="W193" s="4"/>
      <c r="X193" s="4"/>
      <c r="Y193" s="4"/>
      <c r="Z193" s="4"/>
    </row>
    <row r="194" ht="15.75" customHeight="1">
      <c r="A194" s="4" t="str">
        <f>IFERROR(__xludf.DUMMYFUNCTION("""COMPUTED_VALUE"""),"plumbers Hout Bay")</f>
        <v>plumbers Hout Bay</v>
      </c>
      <c r="B194" s="4" t="str">
        <f>IFERROR(__xludf.DUMMYFUNCTION("""COMPUTED_VALUE"""),"Sea Point electrician")</f>
        <v>Sea Point electrician</v>
      </c>
      <c r="C194" s="4" t="str">
        <f>IFERROR(__xludf.DUMMYFUNCTION("""COMPUTED_VALUE"""),"plumbing services cost")</f>
        <v>plumbing services cost</v>
      </c>
      <c r="D194" s="4" t="str">
        <f>IFERROR(__xludf.DUMMYFUNCTION("""COMPUTED_VALUE"""),"same day maintenance plumber")</f>
        <v>same day maintenance plumber</v>
      </c>
      <c r="E194" s="28" t="str">
        <f>IFERROR(__xludf.DUMMYFUNCTION("""COMPUTED_VALUE"""),"water leak repair quote")</f>
        <v>water leak repair quote</v>
      </c>
      <c r="F194" s="4" t="str">
        <f>IFERROR(__xludf.DUMMYFUNCTION("""COMPUTED_VALUE"""),"weekend burst pipe repair")</f>
        <v>weekend burst pipe repair</v>
      </c>
      <c r="G194" s="4" t="str">
        <f>IFERROR(__xludf.DUMMYFUNCTION("""COMPUTED_VALUE"""),"water leak detection quote")</f>
        <v>water leak detection quote</v>
      </c>
      <c r="H194" s="4" t="str">
        <f>IFERROR(__xludf.DUMMYFUNCTION("""COMPUTED_VALUE"""),"specialist drain cleaning")</f>
        <v>specialist drain cleaning</v>
      </c>
      <c r="I194" s="4" t="str">
        <f>IFERROR(__xludf.DUMMYFUNCTION("""COMPUTED_VALUE"""),"residential electrician near me")</f>
        <v>residential electrician near me</v>
      </c>
      <c r="J194" s="4" t="str">
        <f>IFERROR(__xludf.DUMMYFUNCTION("""COMPUTED_VALUE"""),"service electrical compliance certificate")</f>
        <v>service electrical compliance certificate</v>
      </c>
      <c r="K194" s="4" t="str">
        <f>IFERROR(__xludf.DUMMYFUNCTION("""COMPUTED_VALUE"""),"refrigeration repair professional")</f>
        <v>refrigeration repair professional</v>
      </c>
      <c r="L194" s="4" t="str">
        <f>IFERROR(__xludf.DUMMYFUNCTION("""COMPUTED_VALUE"""),"technician aircon installation")</f>
        <v>technician aircon installation</v>
      </c>
      <c r="M194" s="4" t="str">
        <f>IFERROR(__xludf.DUMMYFUNCTION("""COMPUTED_VALUE"""),"refrigeration services office")</f>
        <v>refrigeration services office</v>
      </c>
      <c r="N194" s="4" t="str">
        <f>IFERROR(__xludf.DUMMYFUNCTION("""COMPUTED_VALUE"""),"townhouse electrical repairs")</f>
        <v>townhouse electrical repairs</v>
      </c>
      <c r="O194" s="4" t="str">
        <f>IFERROR(__xludf.DUMMYFUNCTION("""COMPUTED_VALUE"""),"plumbing company cape town insured")</f>
        <v>plumbing company cape town insured</v>
      </c>
      <c r="P194" s="4" t="str">
        <f>IFERROR(__xludf.DUMMYFUNCTION("""COMPUTED_VALUE"""),"same day bosman plumbers")</f>
        <v>same day bosman plumbers</v>
      </c>
      <c r="Q194" s="4"/>
      <c r="R194" s="4"/>
      <c r="S194" s="4"/>
      <c r="T194" s="4" t="str">
        <f>IFERROR(__xludf.DUMMYFUNCTION("""COMPUTED_VALUE"""),"aircon installation cape town")</f>
        <v>aircon installation cape town</v>
      </c>
      <c r="U194" s="4"/>
      <c r="V194" s="4"/>
      <c r="W194" s="4"/>
      <c r="X194" s="4"/>
      <c r="Y194" s="4"/>
      <c r="Z194" s="4"/>
    </row>
    <row r="195" ht="15.75" customHeight="1">
      <c r="A195" s="4" t="str">
        <f>IFERROR(__xludf.DUMMYFUNCTION("""COMPUTED_VALUE"""),"plumbers Maitland")</f>
        <v>plumbers Maitland</v>
      </c>
      <c r="B195" s="4" t="str">
        <f>IFERROR(__xludf.DUMMYFUNCTION("""COMPUTED_VALUE"""),"Sea Point emergency plumber")</f>
        <v>Sea Point emergency plumber</v>
      </c>
      <c r="C195" s="4" t="str">
        <f>IFERROR(__xludf.DUMMYFUNCTION("""COMPUTED_VALUE"""),"plumbing services emergency")</f>
        <v>plumbing services emergency</v>
      </c>
      <c r="D195" s="4" t="str">
        <f>IFERROR(__xludf.DUMMYFUNCTION("""COMPUTED_VALUE"""),"same day plumber cape town")</f>
        <v>same day plumber cape town</v>
      </c>
      <c r="E195" s="28" t="str">
        <f>IFERROR(__xludf.DUMMYFUNCTION("""COMPUTED_VALUE"""),"water leak repair reliable")</f>
        <v>water leak repair reliable</v>
      </c>
      <c r="F195" s="4" t="str">
        <f>IFERROR(__xludf.DUMMYFUNCTION("""COMPUTED_VALUE"""),"weekend emergency plumber")</f>
        <v>weekend emergency plumber</v>
      </c>
      <c r="G195" s="4" t="str">
        <f>IFERROR(__xludf.DUMMYFUNCTION("""COMPUTED_VALUE"""),"water leak detection reliable")</f>
        <v>water leak detection reliable</v>
      </c>
      <c r="H195" s="4" t="str">
        <f>IFERROR(__xludf.DUMMYFUNCTION("""COMPUTED_VALUE"""),"specialist drain inspection")</f>
        <v>specialist drain inspection</v>
      </c>
      <c r="I195" s="4" t="str">
        <f>IFERROR(__xludf.DUMMYFUNCTION("""COMPUTED_VALUE"""),"residential electrician professional")</f>
        <v>residential electrician professional</v>
      </c>
      <c r="J195" s="4" t="str">
        <f>IFERROR(__xludf.DUMMYFUNCTION("""COMPUTED_VALUE"""),"service electrical contractor")</f>
        <v>service electrical contractor</v>
      </c>
      <c r="K195" s="4" t="str">
        <f>IFERROR(__xludf.DUMMYFUNCTION("""COMPUTED_VALUE"""),"refrigeration repair quote")</f>
        <v>refrigeration repair quote</v>
      </c>
      <c r="L195" s="4" t="str">
        <f>IFERROR(__xludf.DUMMYFUNCTION("""COMPUTED_VALUE"""),"technician aircon repair")</f>
        <v>technician aircon repair</v>
      </c>
      <c r="M195" s="4" t="str">
        <f>IFERROR(__xludf.DUMMYFUNCTION("""COMPUTED_VALUE"""),"refrigeration services property manager")</f>
        <v>refrigeration services property manager</v>
      </c>
      <c r="N195" s="4" t="str">
        <f>IFERROR(__xludf.DUMMYFUNCTION("""COMPUTED_VALUE"""),"townhouse emergency plumbing")</f>
        <v>townhouse emergency plumbing</v>
      </c>
      <c r="O195" s="4" t="str">
        <f>IFERROR(__xludf.DUMMYFUNCTION("""COMPUTED_VALUE"""),"plumbing company cape town licensed")</f>
        <v>plumbing company cape town licensed</v>
      </c>
      <c r="P195" s="4" t="str">
        <f>IFERROR(__xludf.DUMMYFUNCTION("""COMPUTED_VALUE"""),"same day drain surgeon cape town")</f>
        <v>same day drain surgeon cape town</v>
      </c>
      <c r="Q195" s="4"/>
      <c r="R195" s="4"/>
      <c r="S195" s="4"/>
      <c r="T195" s="4" t="str">
        <f>IFERROR(__xludf.DUMMYFUNCTION("""COMPUTED_VALUE"""),"aircon installation commercial")</f>
        <v>aircon installation commercial</v>
      </c>
      <c r="U195" s="4"/>
      <c r="V195" s="4"/>
      <c r="W195" s="4"/>
      <c r="X195" s="4"/>
      <c r="Y195" s="4"/>
      <c r="Z195" s="4"/>
    </row>
    <row r="196" ht="15.75" customHeight="1">
      <c r="A196" s="4" t="str">
        <f>IFERROR(__xludf.DUMMYFUNCTION("""COMPUTED_VALUE"""),"plumbers Milnerton")</f>
        <v>plumbers Milnerton</v>
      </c>
      <c r="B196" s="4" t="str">
        <f>IFERROR(__xludf.DUMMYFUNCTION("""COMPUTED_VALUE"""),"Sea Point geyser repair")</f>
        <v>Sea Point geyser repair</v>
      </c>
      <c r="C196" s="4" t="str">
        <f>IFERROR(__xludf.DUMMYFUNCTION("""COMPUTED_VALUE"""),"plumbing services installation")</f>
        <v>plumbing services installation</v>
      </c>
      <c r="D196" s="4" t="str">
        <f>IFERROR(__xludf.DUMMYFUNCTION("""COMPUTED_VALUE"""),"same day plumbing company")</f>
        <v>same day plumbing company</v>
      </c>
      <c r="E196" s="28" t="str">
        <f>IFERROR(__xludf.DUMMYFUNCTION("""COMPUTED_VALUE"""),"water leak repair residential")</f>
        <v>water leak repair residential</v>
      </c>
      <c r="F196" s="4" t="str">
        <f>IFERROR(__xludf.DUMMYFUNCTION("""COMPUTED_VALUE"""),"weekend kitchen plumbing repair")</f>
        <v>weekend kitchen plumbing repair</v>
      </c>
      <c r="G196" s="4" t="str">
        <f>IFERROR(__xludf.DUMMYFUNCTION("""COMPUTED_VALUE"""),"water leak detection repair")</f>
        <v>water leak detection repair</v>
      </c>
      <c r="H196" s="4" t="str">
        <f>IFERROR(__xludf.DUMMYFUNCTION("""COMPUTED_VALUE"""),"specialist drain unblocking")</f>
        <v>specialist drain unblocking</v>
      </c>
      <c r="I196" s="4" t="str">
        <f>IFERROR(__xludf.DUMMYFUNCTION("""COMPUTED_VALUE"""),"residential electrician qualified")</f>
        <v>residential electrician qualified</v>
      </c>
      <c r="J196" s="4" t="str">
        <f>IFERROR(__xludf.DUMMYFUNCTION("""COMPUTED_VALUE"""),"service electrical installation")</f>
        <v>service electrical installation</v>
      </c>
      <c r="K196" s="4" t="str">
        <f>IFERROR(__xludf.DUMMYFUNCTION("""COMPUTED_VALUE"""),"refrigeration repair reliable")</f>
        <v>refrigeration repair reliable</v>
      </c>
      <c r="L196" s="4" t="str">
        <f>IFERROR(__xludf.DUMMYFUNCTION("""COMPUTED_VALUE"""),"technician aircon service")</f>
        <v>technician aircon service</v>
      </c>
      <c r="M196" s="4" t="str">
        <f>IFERROR(__xludf.DUMMYFUNCTION("""COMPUTED_VALUE"""),"refrigeration services residential property")</f>
        <v>refrigeration services residential property</v>
      </c>
      <c r="N196" s="4" t="str">
        <f>IFERROR(__xludf.DUMMYFUNCTION("""COMPUTED_VALUE"""),"townhouse geyser repairs")</f>
        <v>townhouse geyser repairs</v>
      </c>
      <c r="O196" s="4" t="str">
        <f>IFERROR(__xludf.DUMMYFUNCTION("""COMPUTED_VALUE"""),"plumbing company cape town local")</f>
        <v>plumbing company cape town local</v>
      </c>
      <c r="P196" s="4" t="str">
        <f>IFERROR(__xludf.DUMMYFUNCTION("""COMPUTED_VALUE"""),"same day electrician cape town")</f>
        <v>same day electrician cape town</v>
      </c>
      <c r="Q196" s="4"/>
      <c r="R196" s="4"/>
      <c r="S196" s="4"/>
      <c r="T196" s="4" t="str">
        <f>IFERROR(__xludf.DUMMYFUNCTION("""COMPUTED_VALUE"""),"aircon installation company")</f>
        <v>aircon installation company</v>
      </c>
      <c r="U196" s="4"/>
      <c r="V196" s="4"/>
      <c r="W196" s="4"/>
      <c r="X196" s="4"/>
      <c r="Y196" s="4"/>
      <c r="Z196" s="4"/>
    </row>
    <row r="197" ht="15.75" customHeight="1">
      <c r="A197" s="4" t="str">
        <f>IFERROR(__xludf.DUMMYFUNCTION("""COMPUTED_VALUE"""),"plumbers Muizenberg")</f>
        <v>plumbers Muizenberg</v>
      </c>
      <c r="B197" s="4" t="str">
        <f>IFERROR(__xludf.DUMMYFUNCTION("""COMPUTED_VALUE"""),"Sea Point leak detection plumber")</f>
        <v>Sea Point leak detection plumber</v>
      </c>
      <c r="C197" s="4" t="str">
        <f>IFERROR(__xludf.DUMMYFUNCTION("""COMPUTED_VALUE"""),"plumbing services licensed")</f>
        <v>plumbing services licensed</v>
      </c>
      <c r="D197" s="4" t="str">
        <f>IFERROR(__xludf.DUMMYFUNCTION("""COMPUTED_VALUE"""),"same day plumbing contractors")</f>
        <v>same day plumbing contractors</v>
      </c>
      <c r="E197" s="28" t="str">
        <f>IFERROR(__xludf.DUMMYFUNCTION("""COMPUTED_VALUE"""),"water leak repair same day")</f>
        <v>water leak repair same day</v>
      </c>
      <c r="F197" s="4" t="str">
        <f>IFERROR(__xludf.DUMMYFUNCTION("""COMPUTED_VALUE"""),"weekend leaking pipe repair")</f>
        <v>weekend leaking pipe repair</v>
      </c>
      <c r="G197" s="4" t="str">
        <f>IFERROR(__xludf.DUMMYFUNCTION("""COMPUTED_VALUE"""),"water leak detection replacement")</f>
        <v>water leak detection replacement</v>
      </c>
      <c r="H197" s="4" t="str">
        <f>IFERROR(__xludf.DUMMYFUNCTION("""COMPUTED_VALUE"""),"specialist geyser repair")</f>
        <v>specialist geyser repair</v>
      </c>
      <c r="I197" s="4" t="str">
        <f>IFERROR(__xludf.DUMMYFUNCTION("""COMPUTED_VALUE"""),"residential electrician quote")</f>
        <v>residential electrician quote</v>
      </c>
      <c r="J197" s="4" t="str">
        <f>IFERROR(__xludf.DUMMYFUNCTION("""COMPUTED_VALUE"""),"service electrical maintenance")</f>
        <v>service electrical maintenance</v>
      </c>
      <c r="K197" s="4" t="str">
        <f>IFERROR(__xludf.DUMMYFUNCTION("""COMPUTED_VALUE"""),"refrigeration repair residential")</f>
        <v>refrigeration repair residential</v>
      </c>
      <c r="L197" s="4" t="str">
        <f>IFERROR(__xludf.DUMMYFUNCTION("""COMPUTED_VALUE"""),"technician cold room repair")</f>
        <v>technician cold room repair</v>
      </c>
      <c r="M197" s="4" t="str">
        <f>IFERROR(__xludf.DUMMYFUNCTION("""COMPUTED_VALUE"""),"refrigeration services restaurant")</f>
        <v>refrigeration services restaurant</v>
      </c>
      <c r="N197" s="4" t="str">
        <f>IFERROR(__xludf.DUMMYFUNCTION("""COMPUTED_VALUE"""),"townhouse leak detection")</f>
        <v>townhouse leak detection</v>
      </c>
      <c r="O197" s="4" t="str">
        <f>IFERROR(__xludf.DUMMYFUNCTION("""COMPUTED_VALUE"""),"plumbing company cape town near me")</f>
        <v>plumbing company cape town near me</v>
      </c>
      <c r="P197" s="4" t="str">
        <f>IFERROR(__xludf.DUMMYFUNCTION("""COMPUTED_VALUE"""),"same day emergency plumber cape town")</f>
        <v>same day emergency plumber cape town</v>
      </c>
      <c r="Q197" s="4"/>
      <c r="R197" s="4"/>
      <c r="S197" s="4"/>
      <c r="T197" s="4" t="str">
        <f>IFERROR(__xludf.DUMMYFUNCTION("""COMPUTED_VALUE"""),"aircon installation contractor")</f>
        <v>aircon installation contractor</v>
      </c>
      <c r="U197" s="4"/>
      <c r="V197" s="4"/>
      <c r="W197" s="4"/>
      <c r="X197" s="4"/>
      <c r="Y197" s="4"/>
      <c r="Z197" s="4"/>
    </row>
    <row r="198" ht="15.75" customHeight="1">
      <c r="A198" s="4" t="str">
        <f>IFERROR(__xludf.DUMMYFUNCTION("""COMPUTED_VALUE"""),"plumbers Newlands")</f>
        <v>plumbers Newlands</v>
      </c>
      <c r="B198" s="4" t="str">
        <f>IFERROR(__xludf.DUMMYFUNCTION("""COMPUTED_VALUE"""),"Sea Point plumber")</f>
        <v>Sea Point plumber</v>
      </c>
      <c r="C198" s="4" t="str">
        <f>IFERROR(__xludf.DUMMYFUNCTION("""COMPUTED_VALUE"""),"plumbing services local")</f>
        <v>plumbing services local</v>
      </c>
      <c r="D198" s="4" t="str">
        <f>IFERROR(__xludf.DUMMYFUNCTION("""COMPUTED_VALUE"""),"same day plumbing inspection")</f>
        <v>same day plumbing inspection</v>
      </c>
      <c r="E198" s="28" t="str">
        <f>IFERROR(__xludf.DUMMYFUNCTION("""COMPUTED_VALUE"""),"water leak repair service")</f>
        <v>water leak repair service</v>
      </c>
      <c r="F198" s="4" t="str">
        <f>IFERROR(__xludf.DUMMYFUNCTION("""COMPUTED_VALUE"""),"weekend leaking tap repair")</f>
        <v>weekend leaking tap repair</v>
      </c>
      <c r="G198" s="4" t="str">
        <f>IFERROR(__xludf.DUMMYFUNCTION("""COMPUTED_VALUE"""),"water leak detection residential")</f>
        <v>water leak detection residential</v>
      </c>
      <c r="H198" s="4" t="str">
        <f>IFERROR(__xludf.DUMMYFUNCTION("""COMPUTED_VALUE"""),"specialist geyser replacement")</f>
        <v>specialist geyser replacement</v>
      </c>
      <c r="I198" s="4" t="str">
        <f>IFERROR(__xludf.DUMMYFUNCTION("""COMPUTED_VALUE"""),"residential electrician reliable")</f>
        <v>residential electrician reliable</v>
      </c>
      <c r="J198" s="4" t="str">
        <f>IFERROR(__xludf.DUMMYFUNCTION("""COMPUTED_VALUE"""),"service electrical repairs")</f>
        <v>service electrical repairs</v>
      </c>
      <c r="K198" s="4" t="str">
        <f>IFERROR(__xludf.DUMMYFUNCTION("""COMPUTED_VALUE"""),"refrigeration repair same day")</f>
        <v>refrigeration repair same day</v>
      </c>
      <c r="L198" s="4" t="str">
        <f>IFERROR(__xludf.DUMMYFUNCTION("""COMPUTED_VALUE"""),"technician commercial refrigeration")</f>
        <v>technician commercial refrigeration</v>
      </c>
      <c r="M198" s="4" t="str">
        <f>IFERROR(__xludf.DUMMYFUNCTION("""COMPUTED_VALUE"""),"refrigeration services school")</f>
        <v>refrigeration services school</v>
      </c>
      <c r="N198" s="4" t="str">
        <f>IFERROR(__xludf.DUMMYFUNCTION("""COMPUTED_VALUE"""),"townhouse maintenance plumber")</f>
        <v>townhouse maintenance plumber</v>
      </c>
      <c r="O198" s="4" t="str">
        <f>IFERROR(__xludf.DUMMYFUNCTION("""COMPUTED_VALUE"""),"plumbing company cape town prices")</f>
        <v>plumbing company cape town prices</v>
      </c>
      <c r="P198" s="4" t="str">
        <f>IFERROR(__xludf.DUMMYFUNCTION("""COMPUTED_VALUE"""),"same day plumber near me")</f>
        <v>same day plumber near me</v>
      </c>
      <c r="Q198" s="4"/>
      <c r="R198" s="4"/>
      <c r="S198" s="4"/>
      <c r="T198" s="4" t="str">
        <f>IFERROR(__xludf.DUMMYFUNCTION("""COMPUTED_VALUE"""),"aircon installation cost")</f>
        <v>aircon installation cost</v>
      </c>
      <c r="U198" s="4"/>
      <c r="V198" s="4"/>
      <c r="W198" s="4"/>
      <c r="X198" s="4"/>
      <c r="Y198" s="4"/>
      <c r="Z198" s="4"/>
    </row>
    <row r="199" ht="15.75" customHeight="1">
      <c r="A199" s="4" t="str">
        <f>IFERROR(__xludf.DUMMYFUNCTION("""COMPUTED_VALUE"""),"plumbers Northern Suburbs")</f>
        <v>plumbers Northern Suburbs</v>
      </c>
      <c r="B199" s="4" t="str">
        <f>IFERROR(__xludf.DUMMYFUNCTION("""COMPUTED_VALUE"""),"Sea Point plumbers")</f>
        <v>Sea Point plumbers</v>
      </c>
      <c r="C199" s="4" t="str">
        <f>IFERROR(__xludf.DUMMYFUNCTION("""COMPUTED_VALUE"""),"plumbing services maintenance")</f>
        <v>plumbing services maintenance</v>
      </c>
      <c r="D199" s="4" t="str">
        <f>IFERROR(__xludf.DUMMYFUNCTION("""COMPUTED_VALUE"""),"same day plumbing installation")</f>
        <v>same day plumbing installation</v>
      </c>
      <c r="E199" s="28" t="str">
        <f>IFERROR(__xludf.DUMMYFUNCTION("""COMPUTED_VALUE"""),"water leak repair urgent")</f>
        <v>water leak repair urgent</v>
      </c>
      <c r="F199" s="4" t="str">
        <f>IFERROR(__xludf.DUMMYFUNCTION("""COMPUTED_VALUE"""),"weekend toilet repair")</f>
        <v>weekend toilet repair</v>
      </c>
      <c r="G199" s="4" t="str">
        <f>IFERROR(__xludf.DUMMYFUNCTION("""COMPUTED_VALUE"""),"water leak detection same day")</f>
        <v>water leak detection same day</v>
      </c>
      <c r="H199" s="4" t="str">
        <f>IFERROR(__xludf.DUMMYFUNCTION("""COMPUTED_VALUE"""),"specialist leak detection")</f>
        <v>specialist leak detection</v>
      </c>
      <c r="I199" s="4" t="str">
        <f>IFERROR(__xludf.DUMMYFUNCTION("""COMPUTED_VALUE"""),"residential electrician repair")</f>
        <v>residential electrician repair</v>
      </c>
      <c r="J199" s="4" t="str">
        <f>IFERROR(__xludf.DUMMYFUNCTION("""COMPUTED_VALUE"""),"service electrician cape town")</f>
        <v>service electrician cape town</v>
      </c>
      <c r="K199" s="4" t="str">
        <f>IFERROR(__xludf.DUMMYFUNCTION("""COMPUTED_VALUE"""),"refrigeration repair service")</f>
        <v>refrigeration repair service</v>
      </c>
      <c r="L199" s="4" t="str">
        <f>IFERROR(__xludf.DUMMYFUNCTION("""COMPUTED_VALUE"""),"technician fridge repair")</f>
        <v>technician fridge repair</v>
      </c>
      <c r="M199" s="4" t="str">
        <f>IFERROR(__xludf.DUMMYFUNCTION("""COMPUTED_VALUE"""),"refrigeration services shop")</f>
        <v>refrigeration services shop</v>
      </c>
      <c r="N199" s="4" t="str">
        <f>IFERROR(__xludf.DUMMYFUNCTION("""COMPUTED_VALUE"""),"townhouse plumbing company")</f>
        <v>townhouse plumbing company</v>
      </c>
      <c r="O199" s="4" t="str">
        <f>IFERROR(__xludf.DUMMYFUNCTION("""COMPUTED_VALUE"""),"plumbing company cape town qualified")</f>
        <v>plumbing company cape town qualified</v>
      </c>
      <c r="P199" s="4" t="str">
        <f>IFERROR(__xludf.DUMMYFUNCTION("""COMPUTED_VALUE"""),"same day plumbers cape town")</f>
        <v>same day plumbers cape town</v>
      </c>
      <c r="Q199" s="4"/>
      <c r="R199" s="4"/>
      <c r="S199" s="4"/>
      <c r="T199" s="4" t="str">
        <f>IFERROR(__xludf.DUMMYFUNCTION("""COMPUTED_VALUE"""),"aircon installation emergency")</f>
        <v>aircon installation emergency</v>
      </c>
      <c r="U199" s="4"/>
      <c r="V199" s="4"/>
      <c r="W199" s="4"/>
      <c r="X199" s="4"/>
      <c r="Y199" s="4"/>
      <c r="Z199" s="4"/>
    </row>
    <row r="200" ht="15.75" customHeight="1">
      <c r="A200" s="4" t="str">
        <f>IFERROR(__xludf.DUMMYFUNCTION("""COMPUTED_VALUE"""),"plumbers Observatory")</f>
        <v>plumbers Observatory</v>
      </c>
      <c r="B200" s="4" t="str">
        <f>IFERROR(__xludf.DUMMYFUNCTION("""COMPUTED_VALUE"""),"Sea Point plumbing company")</f>
        <v>Sea Point plumbing company</v>
      </c>
      <c r="C200" s="4" t="str">
        <f>IFERROR(__xludf.DUMMYFUNCTION("""COMPUTED_VALUE"""),"plumbing services near me")</f>
        <v>plumbing services near me</v>
      </c>
      <c r="D200" s="4" t="str">
        <f>IFERROR(__xludf.DUMMYFUNCTION("""COMPUTED_VALUE"""),"same day plumbing repairs")</f>
        <v>same day plumbing repairs</v>
      </c>
      <c r="E200" s="28" t="str">
        <f>IFERROR(__xludf.DUMMYFUNCTION("""COMPUTED_VALUE"""),"water leak repair weekend")</f>
        <v>water leak repair weekend</v>
      </c>
      <c r="F200" s="4" t="str">
        <f>IFERROR(__xludf.DUMMYFUNCTION("""COMPUTED_VALUE"""),"weekend water leak repair")</f>
        <v>weekend water leak repair</v>
      </c>
      <c r="G200" s="4" t="str">
        <f>IFERROR(__xludf.DUMMYFUNCTION("""COMPUTED_VALUE"""),"water leak detection service")</f>
        <v>water leak detection service</v>
      </c>
      <c r="H200" s="4" t="str">
        <f>IFERROR(__xludf.DUMMYFUNCTION("""COMPUTED_VALUE"""),"specialist pipe repair")</f>
        <v>specialist pipe repair</v>
      </c>
      <c r="I200" s="4" t="str">
        <f>IFERROR(__xludf.DUMMYFUNCTION("""COMPUTED_VALUE"""),"residential electrician same day")</f>
        <v>residential electrician same day</v>
      </c>
      <c r="J200" s="4" t="str">
        <f>IFERROR(__xludf.DUMMYFUNCTION("""COMPUTED_VALUE"""),"service emergency electrician")</f>
        <v>service emergency electrician</v>
      </c>
      <c r="K200" s="4" t="str">
        <f>IFERROR(__xludf.DUMMYFUNCTION("""COMPUTED_VALUE"""),"refrigeration repair technician")</f>
        <v>refrigeration repair technician</v>
      </c>
      <c r="L200" s="4" t="str">
        <f>IFERROR(__xludf.DUMMYFUNCTION("""COMPUTED_VALUE"""),"technician HVAC services")</f>
        <v>technician HVAC services</v>
      </c>
      <c r="M200" s="4" t="str">
        <f>IFERROR(__xludf.DUMMYFUNCTION("""COMPUTED_VALUE"""),"refrigeration services tenant")</f>
        <v>refrigeration services tenant</v>
      </c>
      <c r="N200" s="4" t="str">
        <f>IFERROR(__xludf.DUMMYFUNCTION("""COMPUTED_VALUE"""),"townhouse plumbing services")</f>
        <v>townhouse plumbing services</v>
      </c>
      <c r="O200" s="4" t="str">
        <f>IFERROR(__xludf.DUMMYFUNCTION("""COMPUTED_VALUE"""),"plumbing company cape town quote")</f>
        <v>plumbing company cape town quote</v>
      </c>
      <c r="P200" s="4" t="str">
        <f>IFERROR(__xludf.DUMMYFUNCTION("""COMPUTED_VALUE"""),"same day plumbing company cape town")</f>
        <v>same day plumbing company cape town</v>
      </c>
      <c r="Q200" s="4"/>
      <c r="R200" s="4"/>
      <c r="S200" s="4"/>
      <c r="T200" s="4" t="str">
        <f>IFERROR(__xludf.DUMMYFUNCTION("""COMPUTED_VALUE"""),"aircon installation local")</f>
        <v>aircon installation local</v>
      </c>
      <c r="U200" s="4"/>
      <c r="V200" s="4"/>
      <c r="W200" s="4"/>
      <c r="X200" s="4"/>
      <c r="Y200" s="4"/>
      <c r="Z200" s="4"/>
    </row>
    <row r="201" ht="15.75" customHeight="1">
      <c r="A201" s="4" t="str">
        <f>IFERROR(__xludf.DUMMYFUNCTION("""COMPUTED_VALUE"""),"plumbers Plumstead")</f>
        <v>plumbers Plumstead</v>
      </c>
      <c r="B201" s="4" t="str">
        <f>IFERROR(__xludf.DUMMYFUNCTION("""COMPUTED_VALUE"""),"Sea Point refrigeration services")</f>
        <v>Sea Point refrigeration services</v>
      </c>
      <c r="C201" s="4" t="str">
        <f>IFERROR(__xludf.DUMMYFUNCTION("""COMPUTED_VALUE"""),"plumbing services professional")</f>
        <v>plumbing services professional</v>
      </c>
      <c r="D201" s="4" t="str">
        <f>IFERROR(__xludf.DUMMYFUNCTION("""COMPUTED_VALUE"""),"same day plumbing services")</f>
        <v>same day plumbing services</v>
      </c>
      <c r="E201" s="28"/>
      <c r="F201" s="4"/>
      <c r="G201" s="4" t="str">
        <f>IFERROR(__xludf.DUMMYFUNCTION("""COMPUTED_VALUE"""),"water leak detection specialist")</f>
        <v>water leak detection specialist</v>
      </c>
      <c r="H201" s="4" t="str">
        <f>IFERROR(__xludf.DUMMYFUNCTION("""COMPUTED_VALUE"""),"specialist water leak detection")</f>
        <v>specialist water leak detection</v>
      </c>
      <c r="I201" s="4" t="str">
        <f>IFERROR(__xludf.DUMMYFUNCTION("""COMPUTED_VALUE"""),"residential electrician service")</f>
        <v>residential electrician service</v>
      </c>
      <c r="J201" s="4" t="str">
        <f>IFERROR(__xludf.DUMMYFUNCTION("""COMPUTED_VALUE"""),"service residential electrician")</f>
        <v>service residential electrician</v>
      </c>
      <c r="K201" s="4"/>
      <c r="L201" s="4" t="str">
        <f>IFERROR(__xludf.DUMMYFUNCTION("""COMPUTED_VALUE"""),"technician refrigeration repair")</f>
        <v>technician refrigeration repair</v>
      </c>
      <c r="M201" s="4" t="str">
        <f>IFERROR(__xludf.DUMMYFUNCTION("""COMPUTED_VALUE"""),"refrigeration services townhouse")</f>
        <v>refrigeration services townhouse</v>
      </c>
      <c r="N201" s="4" t="str">
        <f>IFERROR(__xludf.DUMMYFUNCTION("""COMPUTED_VALUE"""),"townhouse refrigeration services")</f>
        <v>townhouse refrigeration services</v>
      </c>
      <c r="O201" s="4" t="str">
        <f>IFERROR(__xludf.DUMMYFUNCTION("""COMPUTED_VALUE"""),"plumbing company cape town reliable")</f>
        <v>plumbing company cape town reliable</v>
      </c>
      <c r="P201" s="4" t="str">
        <f>IFERROR(__xludf.DUMMYFUNCTION("""COMPUTED_VALUE"""),"same day schmidhauser plumbing")</f>
        <v>same day schmidhauser plumbing</v>
      </c>
      <c r="Q201" s="4"/>
      <c r="R201" s="4"/>
      <c r="S201" s="4"/>
      <c r="T201" s="4" t="str">
        <f>IFERROR(__xludf.DUMMYFUNCTION("""COMPUTED_VALUE"""),"aircon installation maintenance")</f>
        <v>aircon installation maintenance</v>
      </c>
      <c r="U201" s="4"/>
      <c r="V201" s="4"/>
      <c r="W201" s="4"/>
      <c r="X201" s="4"/>
      <c r="Y201" s="4"/>
      <c r="Z201" s="4"/>
    </row>
    <row r="202" ht="15.75" customHeight="1">
      <c r="A202" s="4" t="str">
        <f>IFERROR(__xludf.DUMMYFUNCTION("""COMPUTED_VALUE"""),"plumbers Rondebosch")</f>
        <v>plumbers Rondebosch</v>
      </c>
      <c r="B202" s="4" t="str">
        <f>IFERROR(__xludf.DUMMYFUNCTION("""COMPUTED_VALUE"""),"South Africa aircon repairs")</f>
        <v>South Africa aircon repairs</v>
      </c>
      <c r="C202" s="4" t="str">
        <f>IFERROR(__xludf.DUMMYFUNCTION("""COMPUTED_VALUE"""),"plumbing services qualified")</f>
        <v>plumbing services qualified</v>
      </c>
      <c r="D202" s="4" t="str">
        <f>IFERROR(__xludf.DUMMYFUNCTION("""COMPUTED_VALUE"""),"same day residential plumber")</f>
        <v>same day residential plumber</v>
      </c>
      <c r="E202" s="28"/>
      <c r="F202" s="4"/>
      <c r="G202" s="4"/>
      <c r="H202" s="4"/>
      <c r="I202" s="4"/>
      <c r="J202" s="4"/>
      <c r="K202" s="4"/>
      <c r="L202" s="4"/>
      <c r="M202" s="4"/>
      <c r="N202" s="4"/>
      <c r="O202" s="4" t="str">
        <f>IFERROR(__xludf.DUMMYFUNCTION("""COMPUTED_VALUE"""),"plumbing company cape town reputable")</f>
        <v>plumbing company cape town reputable</v>
      </c>
      <c r="P202" s="4" t="str">
        <f>IFERROR(__xludf.DUMMYFUNCTION("""COMPUTED_VALUE"""),"top rated absolute plumbing cape town")</f>
        <v>top rated absolute plumbing cape town</v>
      </c>
      <c r="Q202" s="4"/>
      <c r="R202" s="4"/>
      <c r="S202" s="4"/>
      <c r="T202" s="4" t="str">
        <f>IFERROR(__xludf.DUMMYFUNCTION("""COMPUTED_VALUE"""),"aircon installation near me")</f>
        <v>aircon installation near me</v>
      </c>
      <c r="U202" s="4"/>
      <c r="V202" s="4"/>
      <c r="W202" s="4"/>
      <c r="X202" s="4"/>
      <c r="Y202" s="4"/>
      <c r="Z202" s="4"/>
    </row>
    <row r="203" ht="15.75" customHeight="1">
      <c r="A203" s="4" t="str">
        <f>IFERROR(__xludf.DUMMYFUNCTION("""COMPUTED_VALUE"""),"plumbers Sea Point")</f>
        <v>plumbers Sea Point</v>
      </c>
      <c r="B203" s="4" t="str">
        <f>IFERROR(__xludf.DUMMYFUNCTION("""COMPUTED_VALUE"""),"South Africa blocked drain plumber")</f>
        <v>South Africa blocked drain plumber</v>
      </c>
      <c r="C203" s="4" t="str">
        <f>IFERROR(__xludf.DUMMYFUNCTION("""COMPUTED_VALUE"""),"plumbing services quote")</f>
        <v>plumbing services quote</v>
      </c>
      <c r="D203" s="4" t="str">
        <f>IFERROR(__xludf.DUMMYFUNCTION("""COMPUTED_VALUE"""),"service commercial plumber")</f>
        <v>service commercial plumber</v>
      </c>
      <c r="E203" s="28"/>
      <c r="F203" s="4"/>
      <c r="G203" s="4"/>
      <c r="H203" s="4"/>
      <c r="I203" s="4"/>
      <c r="J203" s="4"/>
      <c r="K203" s="4"/>
      <c r="L203" s="4"/>
      <c r="M203" s="4"/>
      <c r="N203" s="4"/>
      <c r="O203" s="4" t="str">
        <f>IFERROR(__xludf.DUMMYFUNCTION("""COMPUTED_VALUE"""),"plumbing company cape town review")</f>
        <v>plumbing company cape town review</v>
      </c>
      <c r="P203" s="4" t="str">
        <f>IFERROR(__xludf.DUMMYFUNCTION("""COMPUTED_VALUE"""),"top rated aircon repair cape town")</f>
        <v>top rated aircon repair cape town</v>
      </c>
      <c r="Q203" s="4"/>
      <c r="R203" s="4"/>
      <c r="S203" s="4"/>
      <c r="T203" s="4" t="str">
        <f>IFERROR(__xludf.DUMMYFUNCTION("""COMPUTED_VALUE"""),"aircon installation professional")</f>
        <v>aircon installation professional</v>
      </c>
      <c r="U203" s="4"/>
      <c r="V203" s="4"/>
      <c r="W203" s="4"/>
      <c r="X203" s="4"/>
      <c r="Y203" s="4"/>
      <c r="Z203" s="4"/>
    </row>
    <row r="204" ht="15.75" customHeight="1">
      <c r="A204" s="4" t="str">
        <f>IFERROR(__xludf.DUMMYFUNCTION("""COMPUTED_VALUE"""),"plumbers South Africa")</f>
        <v>plumbers South Africa</v>
      </c>
      <c r="B204" s="4" t="str">
        <f>IFERROR(__xludf.DUMMYFUNCTION("""COMPUTED_VALUE"""),"South Africa electrician")</f>
        <v>South Africa electrician</v>
      </c>
      <c r="C204" s="4" t="str">
        <f>IFERROR(__xludf.DUMMYFUNCTION("""COMPUTED_VALUE"""),"plumbing services reliable")</f>
        <v>plumbing services reliable</v>
      </c>
      <c r="D204" s="4" t="str">
        <f>IFERROR(__xludf.DUMMYFUNCTION("""COMPUTED_VALUE"""),"service maintenance plumber")</f>
        <v>service maintenance plumber</v>
      </c>
      <c r="E204" s="28"/>
      <c r="F204" s="4"/>
      <c r="G204" s="4"/>
      <c r="H204" s="4"/>
      <c r="I204" s="4"/>
      <c r="J204" s="4"/>
      <c r="K204" s="4"/>
      <c r="L204" s="4"/>
      <c r="M204" s="4"/>
      <c r="N204" s="4"/>
      <c r="O204" s="4" t="str">
        <f>IFERROR(__xludf.DUMMYFUNCTION("""COMPUTED_VALUE"""),"plumbing company cape town reviews")</f>
        <v>plumbing company cape town reviews</v>
      </c>
      <c r="P204" s="4" t="str">
        <f>IFERROR(__xludf.DUMMYFUNCTION("""COMPUTED_VALUE"""),"top rated bosman plumbers")</f>
        <v>top rated bosman plumbers</v>
      </c>
      <c r="Q204" s="4"/>
      <c r="R204" s="4"/>
      <c r="S204" s="4"/>
      <c r="T204" s="4" t="str">
        <f>IFERROR(__xludf.DUMMYFUNCTION("""COMPUTED_VALUE"""),"aircon installation quote")</f>
        <v>aircon installation quote</v>
      </c>
      <c r="U204" s="4"/>
      <c r="V204" s="4"/>
      <c r="W204" s="4"/>
      <c r="X204" s="4"/>
      <c r="Y204" s="4"/>
      <c r="Z204" s="4"/>
    </row>
    <row r="205" ht="15.75" customHeight="1">
      <c r="A205" s="4" t="str">
        <f>IFERROR(__xludf.DUMMYFUNCTION("""COMPUTED_VALUE"""),"plumbers Southern Suburbs")</f>
        <v>plumbers Southern Suburbs</v>
      </c>
      <c r="B205" s="4" t="str">
        <f>IFERROR(__xludf.DUMMYFUNCTION("""COMPUTED_VALUE"""),"South Africa emergency plumber")</f>
        <v>South Africa emergency plumber</v>
      </c>
      <c r="C205" s="4" t="str">
        <f>IFERROR(__xludf.DUMMYFUNCTION("""COMPUTED_VALUE"""),"plumbing services repair")</f>
        <v>plumbing services repair</v>
      </c>
      <c r="D205" s="4" t="str">
        <f>IFERROR(__xludf.DUMMYFUNCTION("""COMPUTED_VALUE"""),"service plumber cape town")</f>
        <v>service plumber cape town</v>
      </c>
      <c r="E205" s="28"/>
      <c r="F205" s="4"/>
      <c r="G205" s="4"/>
      <c r="H205" s="4"/>
      <c r="I205" s="4"/>
      <c r="J205" s="4"/>
      <c r="K205" s="4"/>
      <c r="L205" s="4"/>
      <c r="M205" s="4"/>
      <c r="N205" s="4"/>
      <c r="O205" s="4" t="str">
        <f>IFERROR(__xludf.DUMMYFUNCTION("""COMPUTED_VALUE"""),"plumbing company cape town same day")</f>
        <v>plumbing company cape town same day</v>
      </c>
      <c r="P205" s="4" t="str">
        <f>IFERROR(__xludf.DUMMYFUNCTION("""COMPUTED_VALUE"""),"top rated drain surgeon cape town")</f>
        <v>top rated drain surgeon cape town</v>
      </c>
      <c r="Q205" s="4"/>
      <c r="R205" s="4"/>
      <c r="S205" s="4"/>
      <c r="T205" s="4" t="str">
        <f>IFERROR(__xludf.DUMMYFUNCTION("""COMPUTED_VALUE"""),"aircon installation reliable")</f>
        <v>aircon installation reliable</v>
      </c>
      <c r="U205" s="4"/>
      <c r="V205" s="4"/>
      <c r="W205" s="4"/>
      <c r="X205" s="4"/>
      <c r="Y205" s="4"/>
      <c r="Z205" s="4"/>
    </row>
    <row r="206" ht="15.75" customHeight="1">
      <c r="A206" s="4" t="str">
        <f>IFERROR(__xludf.DUMMYFUNCTION("""COMPUTED_VALUE"""),"plumbers Table View")</f>
        <v>plumbers Table View</v>
      </c>
      <c r="B206" s="4" t="str">
        <f>IFERROR(__xludf.DUMMYFUNCTION("""COMPUTED_VALUE"""),"South Africa geyser repair")</f>
        <v>South Africa geyser repair</v>
      </c>
      <c r="C206" s="4" t="str">
        <f>IFERROR(__xludf.DUMMYFUNCTION("""COMPUTED_VALUE"""),"plumbing services same day")</f>
        <v>plumbing services same day</v>
      </c>
      <c r="D206" s="4" t="str">
        <f>IFERROR(__xludf.DUMMYFUNCTION("""COMPUTED_VALUE"""),"service plumbing company")</f>
        <v>service plumbing company</v>
      </c>
      <c r="E206" s="28"/>
      <c r="F206" s="4"/>
      <c r="G206" s="4"/>
      <c r="H206" s="4"/>
      <c r="I206" s="4"/>
      <c r="J206" s="4"/>
      <c r="K206" s="4"/>
      <c r="L206" s="4"/>
      <c r="M206" s="4"/>
      <c r="N206" s="4"/>
      <c r="O206" s="4" t="str">
        <f>IFERROR(__xludf.DUMMYFUNCTION("""COMPUTED_VALUE"""),"plumbing company cape town top rated")</f>
        <v>plumbing company cape town top rated</v>
      </c>
      <c r="P206" s="4" t="str">
        <f>IFERROR(__xludf.DUMMYFUNCTION("""COMPUTED_VALUE"""),"top rated electrician cape town")</f>
        <v>top rated electrician cape town</v>
      </c>
      <c r="Q206" s="4"/>
      <c r="R206" s="4"/>
      <c r="S206" s="4"/>
      <c r="T206" s="4" t="str">
        <f>IFERROR(__xludf.DUMMYFUNCTION("""COMPUTED_VALUE"""),"aircon installation repair")</f>
        <v>aircon installation repair</v>
      </c>
      <c r="U206" s="4"/>
      <c r="V206" s="4"/>
      <c r="W206" s="4"/>
      <c r="X206" s="4"/>
      <c r="Y206" s="4"/>
      <c r="Z206" s="4"/>
    </row>
    <row r="207" ht="15.75" customHeight="1">
      <c r="A207" s="4" t="str">
        <f>IFERROR(__xludf.DUMMYFUNCTION("""COMPUTED_VALUE"""),"plumbers Tokai")</f>
        <v>plumbers Tokai</v>
      </c>
      <c r="B207" s="4" t="str">
        <f>IFERROR(__xludf.DUMMYFUNCTION("""COMPUTED_VALUE"""),"South Africa leak detection plumber")</f>
        <v>South Africa leak detection plumber</v>
      </c>
      <c r="C207" s="4" t="str">
        <f>IFERROR(__xludf.DUMMYFUNCTION("""COMPUTED_VALUE"""),"plumbing services top rated")</f>
        <v>plumbing services top rated</v>
      </c>
      <c r="D207" s="4" t="str">
        <f>IFERROR(__xludf.DUMMYFUNCTION("""COMPUTED_VALUE"""),"service plumbing contractors")</f>
        <v>service plumbing contractors</v>
      </c>
      <c r="E207" s="28"/>
      <c r="F207" s="4"/>
      <c r="G207" s="4"/>
      <c r="H207" s="4"/>
      <c r="I207" s="4"/>
      <c r="J207" s="4"/>
      <c r="K207" s="4"/>
      <c r="L207" s="4"/>
      <c r="M207" s="4"/>
      <c r="N207" s="4"/>
      <c r="O207" s="4" t="str">
        <f>IFERROR(__xludf.DUMMYFUNCTION("""COMPUTED_VALUE"""),"plumbing company cape town trusted")</f>
        <v>plumbing company cape town trusted</v>
      </c>
      <c r="P207" s="4" t="str">
        <f>IFERROR(__xludf.DUMMYFUNCTION("""COMPUTED_VALUE"""),"top rated emergency plumber cape town")</f>
        <v>top rated emergency plumber cape town</v>
      </c>
      <c r="Q207" s="4"/>
      <c r="R207" s="4"/>
      <c r="S207" s="4"/>
      <c r="T207" s="4" t="str">
        <f>IFERROR(__xludf.DUMMYFUNCTION("""COMPUTED_VALUE"""),"aircon installation residential")</f>
        <v>aircon installation residential</v>
      </c>
      <c r="U207" s="4"/>
      <c r="V207" s="4"/>
      <c r="W207" s="4"/>
      <c r="X207" s="4"/>
      <c r="Y207" s="4"/>
      <c r="Z207" s="4"/>
    </row>
    <row r="208" ht="15.75" customHeight="1">
      <c r="A208" s="4" t="str">
        <f>IFERROR(__xludf.DUMMYFUNCTION("""COMPUTED_VALUE"""),"plumbers Woodstock")</f>
        <v>plumbers Woodstock</v>
      </c>
      <c r="B208" s="4" t="str">
        <f>IFERROR(__xludf.DUMMYFUNCTION("""COMPUTED_VALUE"""),"South Africa plumber")</f>
        <v>South Africa plumber</v>
      </c>
      <c r="C208" s="4" t="str">
        <f>IFERROR(__xludf.DUMMYFUNCTION("""COMPUTED_VALUE"""),"plumbing services trusted")</f>
        <v>plumbing services trusted</v>
      </c>
      <c r="D208" s="4" t="str">
        <f>IFERROR(__xludf.DUMMYFUNCTION("""COMPUTED_VALUE"""),"service plumbing inspection")</f>
        <v>service plumbing inspection</v>
      </c>
      <c r="E208" s="28"/>
      <c r="F208" s="4"/>
      <c r="G208" s="4"/>
      <c r="H208" s="4"/>
      <c r="I208" s="4"/>
      <c r="J208" s="4"/>
      <c r="K208" s="4"/>
      <c r="L208" s="4"/>
      <c r="M208" s="4"/>
      <c r="N208" s="4"/>
      <c r="O208" s="4" t="str">
        <f>IFERROR(__xludf.DUMMYFUNCTION("""COMPUTED_VALUE"""),"plumbing company cape town vs")</f>
        <v>plumbing company cape town vs</v>
      </c>
      <c r="P208" s="4" t="str">
        <f>IFERROR(__xludf.DUMMYFUNCTION("""COMPUTED_VALUE"""),"top rated plumber near me")</f>
        <v>top rated plumber near me</v>
      </c>
      <c r="Q208" s="4"/>
      <c r="R208" s="4"/>
      <c r="S208" s="4"/>
      <c r="T208" s="4" t="str">
        <f>IFERROR(__xludf.DUMMYFUNCTION("""COMPUTED_VALUE"""),"aircon installation same day")</f>
        <v>aircon installation same day</v>
      </c>
      <c r="U208" s="4"/>
      <c r="V208" s="4"/>
      <c r="W208" s="4"/>
      <c r="X208" s="4"/>
      <c r="Y208" s="4"/>
      <c r="Z208" s="4"/>
    </row>
    <row r="209" ht="15.75" customHeight="1">
      <c r="A209" s="4" t="str">
        <f>IFERROR(__xludf.DUMMYFUNCTION("""COMPUTED_VALUE"""),"plumbers Wynberg")</f>
        <v>plumbers Wynberg</v>
      </c>
      <c r="B209" s="4" t="str">
        <f>IFERROR(__xludf.DUMMYFUNCTION("""COMPUTED_VALUE"""),"South Africa plumbers")</f>
        <v>South Africa plumbers</v>
      </c>
      <c r="C209" s="4" t="str">
        <f>IFERROR(__xludf.DUMMYFUNCTION("""COMPUTED_VALUE"""),"residential plumber 24 hour")</f>
        <v>residential plumber 24 hour</v>
      </c>
      <c r="D209" s="4" t="str">
        <f>IFERROR(__xludf.DUMMYFUNCTION("""COMPUTED_VALUE"""),"service plumbing installation")</f>
        <v>service plumbing installation</v>
      </c>
      <c r="E209" s="28"/>
      <c r="F209" s="4"/>
      <c r="G209" s="4"/>
      <c r="H209" s="4"/>
      <c r="I209" s="4"/>
      <c r="J209" s="4"/>
      <c r="K209" s="4"/>
      <c r="L209" s="4"/>
      <c r="M209" s="4"/>
      <c r="N209" s="4"/>
      <c r="O209" s="4" t="str">
        <f>IFERROR(__xludf.DUMMYFUNCTION("""COMPUTED_VALUE"""),"schmidhauser plumbing 24 hour")</f>
        <v>schmidhauser plumbing 24 hour</v>
      </c>
      <c r="P209" s="4" t="str">
        <f>IFERROR(__xludf.DUMMYFUNCTION("""COMPUTED_VALUE"""),"top rated plumbers cape town")</f>
        <v>top rated plumbers cape town</v>
      </c>
      <c r="Q209" s="4"/>
      <c r="R209" s="4"/>
      <c r="S209" s="4"/>
      <c r="T209" s="4" t="str">
        <f>IFERROR(__xludf.DUMMYFUNCTION("""COMPUTED_VALUE"""),"aircon installation service")</f>
        <v>aircon installation service</v>
      </c>
      <c r="U209" s="4"/>
      <c r="V209" s="4"/>
      <c r="W209" s="4"/>
      <c r="X209" s="4"/>
      <c r="Y209" s="4"/>
      <c r="Z209" s="4"/>
    </row>
    <row r="210" ht="15.75" customHeight="1">
      <c r="A210" s="4" t="str">
        <f>IFERROR(__xludf.DUMMYFUNCTION("""COMPUTED_VALUE"""),"plumbing company Atlantic Seaboard")</f>
        <v>plumbing company Atlantic Seaboard</v>
      </c>
      <c r="B210" s="4" t="str">
        <f>IFERROR(__xludf.DUMMYFUNCTION("""COMPUTED_VALUE"""),"South Africa plumbing company")</f>
        <v>South Africa plumbing company</v>
      </c>
      <c r="C210" s="4" t="str">
        <f>IFERROR(__xludf.DUMMYFUNCTION("""COMPUTED_VALUE"""),"residential plumber affordable")</f>
        <v>residential plumber affordable</v>
      </c>
      <c r="D210" s="4" t="str">
        <f>IFERROR(__xludf.DUMMYFUNCTION("""COMPUTED_VALUE"""),"service plumbing repairs")</f>
        <v>service plumbing repairs</v>
      </c>
      <c r="E210" s="28"/>
      <c r="F210" s="4"/>
      <c r="G210" s="4"/>
      <c r="H210" s="4"/>
      <c r="I210" s="4"/>
      <c r="J210" s="4"/>
      <c r="K210" s="4"/>
      <c r="L210" s="4"/>
      <c r="M210" s="4"/>
      <c r="N210" s="4"/>
      <c r="O210" s="4" t="str">
        <f>IFERROR(__xludf.DUMMYFUNCTION("""COMPUTED_VALUE"""),"schmidhauser plumbing affordable")</f>
        <v>schmidhauser plumbing affordable</v>
      </c>
      <c r="P210" s="4" t="str">
        <f>IFERROR(__xludf.DUMMYFUNCTION("""COMPUTED_VALUE"""),"top rated plumbing company cape town")</f>
        <v>top rated plumbing company cape town</v>
      </c>
      <c r="Q210" s="4"/>
      <c r="R210" s="4"/>
      <c r="S210" s="4"/>
      <c r="T210" s="4" t="str">
        <f>IFERROR(__xludf.DUMMYFUNCTION("""COMPUTED_VALUE"""),"aircon installation technician")</f>
        <v>aircon installation technician</v>
      </c>
      <c r="U210" s="4"/>
      <c r="V210" s="4"/>
      <c r="W210" s="4"/>
      <c r="X210" s="4"/>
      <c r="Y210" s="4"/>
      <c r="Z210" s="4"/>
    </row>
    <row r="211" ht="15.75" customHeight="1">
      <c r="A211" s="4" t="str">
        <f>IFERROR(__xludf.DUMMYFUNCTION("""COMPUTED_VALUE"""),"plumbing company Bellville")</f>
        <v>plumbing company Bellville</v>
      </c>
      <c r="B211" s="4" t="str">
        <f>IFERROR(__xludf.DUMMYFUNCTION("""COMPUTED_VALUE"""),"South Africa refrigeration services")</f>
        <v>South Africa refrigeration services</v>
      </c>
      <c r="C211" s="4" t="str">
        <f>IFERROR(__xludf.DUMMYFUNCTION("""COMPUTED_VALUE"""),"residential plumber after hours")</f>
        <v>residential plumber after hours</v>
      </c>
      <c r="D211" s="4" t="str">
        <f>IFERROR(__xludf.DUMMYFUNCTION("""COMPUTED_VALUE"""),"service residential plumber")</f>
        <v>service residential plumber</v>
      </c>
      <c r="E211" s="28"/>
      <c r="F211" s="4"/>
      <c r="G211" s="4"/>
      <c r="H211" s="4"/>
      <c r="I211" s="4"/>
      <c r="J211" s="4"/>
      <c r="K211" s="4"/>
      <c r="L211" s="4"/>
      <c r="M211" s="4"/>
      <c r="N211" s="4"/>
      <c r="O211" s="4" t="str">
        <f>IFERROR(__xludf.DUMMYFUNCTION("""COMPUTED_VALUE"""),"schmidhauser plumbing alternatives")</f>
        <v>schmidhauser plumbing alternatives</v>
      </c>
      <c r="P211" s="4" t="str">
        <f>IFERROR(__xludf.DUMMYFUNCTION("""COMPUTED_VALUE"""),"top rated schmidhauser plumbing")</f>
        <v>top rated schmidhauser plumbing</v>
      </c>
      <c r="Q211" s="4"/>
      <c r="R211" s="4"/>
      <c r="S211" s="4"/>
      <c r="T211" s="4" t="str">
        <f>IFERROR(__xludf.DUMMYFUNCTION("""COMPUTED_VALUE"""),"aircon repair")</f>
        <v>aircon repair</v>
      </c>
      <c r="U211" s="4"/>
      <c r="V211" s="4"/>
      <c r="W211" s="4"/>
      <c r="X211" s="4"/>
      <c r="Y211" s="4"/>
      <c r="Z211" s="4"/>
    </row>
    <row r="212" ht="15.75" customHeight="1">
      <c r="A212" s="4" t="str">
        <f>IFERROR(__xludf.DUMMYFUNCTION("""COMPUTED_VALUE"""),"plumbing company Camps Bay")</f>
        <v>plumbing company Camps Bay</v>
      </c>
      <c r="B212" s="4" t="str">
        <f>IFERROR(__xludf.DUMMYFUNCTION("""COMPUTED_VALUE"""),"Southern Suburbs aircon repairs")</f>
        <v>Southern Suburbs aircon repairs</v>
      </c>
      <c r="C212" s="4" t="str">
        <f>IFERROR(__xludf.DUMMYFUNCTION("""COMPUTED_VALUE"""),"residential plumber best")</f>
        <v>residential plumber best</v>
      </c>
      <c r="D212" s="4" t="str">
        <f>IFERROR(__xludf.DUMMYFUNCTION("""COMPUTED_VALUE"""),"top rated commercial plumber")</f>
        <v>top rated commercial plumber</v>
      </c>
      <c r="E212" s="28"/>
      <c r="F212" s="4"/>
      <c r="G212" s="4"/>
      <c r="H212" s="4"/>
      <c r="I212" s="4"/>
      <c r="J212" s="4"/>
      <c r="K212" s="4"/>
      <c r="L212" s="4"/>
      <c r="M212" s="4"/>
      <c r="N212" s="4"/>
      <c r="O212" s="4" t="str">
        <f>IFERROR(__xludf.DUMMYFUNCTION("""COMPUTED_VALUE"""),"schmidhauser plumbing best")</f>
        <v>schmidhauser plumbing best</v>
      </c>
      <c r="P212" s="4" t="str">
        <f>IFERROR(__xludf.DUMMYFUNCTION("""COMPUTED_VALUE"""),"trusted absolute plumbing cape town")</f>
        <v>trusted absolute plumbing cape town</v>
      </c>
      <c r="Q212" s="4"/>
      <c r="R212" s="4"/>
      <c r="S212" s="4"/>
      <c r="T212" s="4" t="str">
        <f>IFERROR(__xludf.DUMMYFUNCTION("""COMPUTED_VALUE"""),"aircon repair affordable")</f>
        <v>aircon repair affordable</v>
      </c>
      <c r="U212" s="4"/>
      <c r="V212" s="4"/>
      <c r="W212" s="4"/>
      <c r="X212" s="4"/>
      <c r="Y212" s="4"/>
      <c r="Z212" s="4"/>
    </row>
    <row r="213" ht="15.75" customHeight="1">
      <c r="A213" s="4" t="str">
        <f>IFERROR(__xludf.DUMMYFUNCTION("""COMPUTED_VALUE"""),"plumbing company Cape Town")</f>
        <v>plumbing company Cape Town</v>
      </c>
      <c r="B213" s="4" t="str">
        <f>IFERROR(__xludf.DUMMYFUNCTION("""COMPUTED_VALUE"""),"Southern Suburbs blocked drain plumber")</f>
        <v>Southern Suburbs blocked drain plumber</v>
      </c>
      <c r="C213" s="4" t="str">
        <f>IFERROR(__xludf.DUMMYFUNCTION("""COMPUTED_VALUE"""),"residential plumber call out")</f>
        <v>residential plumber call out</v>
      </c>
      <c r="D213" s="4" t="str">
        <f>IFERROR(__xludf.DUMMYFUNCTION("""COMPUTED_VALUE"""),"top rated maintenance plumber")</f>
        <v>top rated maintenance plumber</v>
      </c>
      <c r="E213" s="28"/>
      <c r="F213" s="4"/>
      <c r="G213" s="4"/>
      <c r="H213" s="4"/>
      <c r="I213" s="4"/>
      <c r="J213" s="4"/>
      <c r="K213" s="4"/>
      <c r="L213" s="4"/>
      <c r="M213" s="4"/>
      <c r="N213" s="4"/>
      <c r="O213" s="4" t="str">
        <f>IFERROR(__xludf.DUMMYFUNCTION("""COMPUTED_VALUE"""),"schmidhauser plumbing certified")</f>
        <v>schmidhauser plumbing certified</v>
      </c>
      <c r="P213" s="4" t="str">
        <f>IFERROR(__xludf.DUMMYFUNCTION("""COMPUTED_VALUE"""),"trusted aircon repair cape town")</f>
        <v>trusted aircon repair cape town</v>
      </c>
      <c r="Q213" s="4"/>
      <c r="R213" s="4"/>
      <c r="S213" s="4"/>
      <c r="T213" s="4" t="str">
        <f>IFERROR(__xludf.DUMMYFUNCTION("""COMPUTED_VALUE"""),"aircon repair best")</f>
        <v>aircon repair best</v>
      </c>
      <c r="U213" s="4"/>
      <c r="V213" s="4"/>
      <c r="W213" s="4"/>
      <c r="X213" s="4"/>
      <c r="Y213" s="4"/>
      <c r="Z213" s="4"/>
    </row>
    <row r="214" ht="15.75" customHeight="1">
      <c r="A214" s="4" t="str">
        <f>IFERROR(__xludf.DUMMYFUNCTION("""COMPUTED_VALUE"""),"plumbing company Cape Town CBD")</f>
        <v>plumbing company Cape Town CBD</v>
      </c>
      <c r="B214" s="4" t="str">
        <f>IFERROR(__xludf.DUMMYFUNCTION("""COMPUTED_VALUE"""),"Southern Suburbs electrician")</f>
        <v>Southern Suburbs electrician</v>
      </c>
      <c r="C214" s="4" t="str">
        <f>IFERROR(__xludf.DUMMYFUNCTION("""COMPUTED_VALUE"""),"residential plumber company")</f>
        <v>residential plumber company</v>
      </c>
      <c r="D214" s="4" t="str">
        <f>IFERROR(__xludf.DUMMYFUNCTION("""COMPUTED_VALUE"""),"top rated plumber cape town")</f>
        <v>top rated plumber cape town</v>
      </c>
      <c r="E214" s="28"/>
      <c r="F214" s="4"/>
      <c r="G214" s="4"/>
      <c r="H214" s="4"/>
      <c r="I214" s="4"/>
      <c r="J214" s="4"/>
      <c r="K214" s="4"/>
      <c r="L214" s="4"/>
      <c r="M214" s="4"/>
      <c r="N214" s="4"/>
      <c r="O214" s="4" t="str">
        <f>IFERROR(__xludf.DUMMYFUNCTION("""COMPUTED_VALUE"""),"schmidhauser plumbing compare")</f>
        <v>schmidhauser plumbing compare</v>
      </c>
      <c r="P214" s="4" t="str">
        <f>IFERROR(__xludf.DUMMYFUNCTION("""COMPUTED_VALUE"""),"trusted bosman plumbers")</f>
        <v>trusted bosman plumbers</v>
      </c>
      <c r="Q214" s="4"/>
      <c r="R214" s="4"/>
      <c r="S214" s="4"/>
      <c r="T214" s="4" t="str">
        <f>IFERROR(__xludf.DUMMYFUNCTION("""COMPUTED_VALUE"""),"aircon repair cape town")</f>
        <v>aircon repair cape town</v>
      </c>
      <c r="U214" s="4"/>
      <c r="V214" s="4"/>
      <c r="W214" s="4"/>
      <c r="X214" s="4"/>
      <c r="Y214" s="4"/>
      <c r="Z214" s="4"/>
    </row>
    <row r="215" ht="15.75" customHeight="1">
      <c r="A215" s="4" t="str">
        <f>IFERROR(__xludf.DUMMYFUNCTION("""COMPUTED_VALUE"""),"plumbing company Claremont")</f>
        <v>plumbing company Claremont</v>
      </c>
      <c r="B215" s="4" t="str">
        <f>IFERROR(__xludf.DUMMYFUNCTION("""COMPUTED_VALUE"""),"Southern Suburbs emergency plumber")</f>
        <v>Southern Suburbs emergency plumber</v>
      </c>
      <c r="C215" s="4" t="str">
        <f>IFERROR(__xludf.DUMMYFUNCTION("""COMPUTED_VALUE"""),"residential plumber contractor")</f>
        <v>residential plumber contractor</v>
      </c>
      <c r="D215" s="4" t="str">
        <f>IFERROR(__xludf.DUMMYFUNCTION("""COMPUTED_VALUE"""),"top rated plumbing company")</f>
        <v>top rated plumbing company</v>
      </c>
      <c r="E215" s="28"/>
      <c r="F215" s="4"/>
      <c r="G215" s="4"/>
      <c r="H215" s="4"/>
      <c r="I215" s="4"/>
      <c r="J215" s="4"/>
      <c r="K215" s="4"/>
      <c r="L215" s="4"/>
      <c r="M215" s="4"/>
      <c r="N215" s="4"/>
      <c r="O215" s="4" t="str">
        <f>IFERROR(__xludf.DUMMYFUNCTION("""COMPUTED_VALUE"""),"schmidhauser plumbing complaints")</f>
        <v>schmidhauser plumbing complaints</v>
      </c>
      <c r="P215" s="4" t="str">
        <f>IFERROR(__xludf.DUMMYFUNCTION("""COMPUTED_VALUE"""),"trusted drain surgeon cape town")</f>
        <v>trusted drain surgeon cape town</v>
      </c>
      <c r="Q215" s="4"/>
      <c r="R215" s="4"/>
      <c r="S215" s="4"/>
      <c r="T215" s="4" t="str">
        <f>IFERROR(__xludf.DUMMYFUNCTION("""COMPUTED_VALUE"""),"aircon repair cape town 24 hour")</f>
        <v>aircon repair cape town 24 hour</v>
      </c>
      <c r="U215" s="4"/>
      <c r="V215" s="4"/>
      <c r="W215" s="4"/>
      <c r="X215" s="4"/>
      <c r="Y215" s="4"/>
      <c r="Z215" s="4"/>
    </row>
    <row r="216" ht="15.75" customHeight="1">
      <c r="A216" s="4" t="str">
        <f>IFERROR(__xludf.DUMMYFUNCTION("""COMPUTED_VALUE"""),"plumbing company Constantia")</f>
        <v>plumbing company Constantia</v>
      </c>
      <c r="B216" s="4" t="str">
        <f>IFERROR(__xludf.DUMMYFUNCTION("""COMPUTED_VALUE"""),"Southern Suburbs geyser repair")</f>
        <v>Southern Suburbs geyser repair</v>
      </c>
      <c r="C216" s="4" t="str">
        <f>IFERROR(__xludf.DUMMYFUNCTION("""COMPUTED_VALUE"""),"residential plumber cost")</f>
        <v>residential plumber cost</v>
      </c>
      <c r="D216" s="4" t="str">
        <f>IFERROR(__xludf.DUMMYFUNCTION("""COMPUTED_VALUE"""),"top rated plumbing contractors")</f>
        <v>top rated plumbing contractors</v>
      </c>
      <c r="E216" s="28"/>
      <c r="F216" s="4"/>
      <c r="G216" s="4"/>
      <c r="H216" s="4"/>
      <c r="I216" s="4"/>
      <c r="J216" s="4"/>
      <c r="K216" s="4"/>
      <c r="L216" s="4"/>
      <c r="M216" s="4"/>
      <c r="N216" s="4"/>
      <c r="O216" s="4" t="str">
        <f>IFERROR(__xludf.DUMMYFUNCTION("""COMPUTED_VALUE"""),"schmidhauser plumbing cost")</f>
        <v>schmidhauser plumbing cost</v>
      </c>
      <c r="P216" s="4" t="str">
        <f>IFERROR(__xludf.DUMMYFUNCTION("""COMPUTED_VALUE"""),"trusted electrician cape town")</f>
        <v>trusted electrician cape town</v>
      </c>
      <c r="Q216" s="4"/>
      <c r="R216" s="4"/>
      <c r="S216" s="4"/>
      <c r="T216" s="4" t="str">
        <f>IFERROR(__xludf.DUMMYFUNCTION("""COMPUTED_VALUE"""),"aircon repair cape town affordable")</f>
        <v>aircon repair cape town affordable</v>
      </c>
      <c r="U216" s="4"/>
      <c r="V216" s="4"/>
      <c r="W216" s="4"/>
      <c r="X216" s="4"/>
      <c r="Y216" s="4"/>
      <c r="Z216" s="4"/>
    </row>
    <row r="217" ht="15.75" customHeight="1">
      <c r="A217" s="4" t="str">
        <f>IFERROR(__xludf.DUMMYFUNCTION("""COMPUTED_VALUE"""),"plumbing company Durbanville")</f>
        <v>plumbing company Durbanville</v>
      </c>
      <c r="B217" s="4" t="str">
        <f>IFERROR(__xludf.DUMMYFUNCTION("""COMPUTED_VALUE"""),"Southern Suburbs leak detection plumber")</f>
        <v>Southern Suburbs leak detection plumber</v>
      </c>
      <c r="C217" s="4" t="str">
        <f>IFERROR(__xludf.DUMMYFUNCTION("""COMPUTED_VALUE"""),"residential plumber emergency")</f>
        <v>residential plumber emergency</v>
      </c>
      <c r="D217" s="4" t="str">
        <f>IFERROR(__xludf.DUMMYFUNCTION("""COMPUTED_VALUE"""),"top rated plumbing inspection")</f>
        <v>top rated plumbing inspection</v>
      </c>
      <c r="E217" s="28"/>
      <c r="F217" s="4"/>
      <c r="G217" s="4"/>
      <c r="H217" s="4"/>
      <c r="I217" s="4"/>
      <c r="J217" s="4"/>
      <c r="K217" s="4"/>
      <c r="L217" s="4"/>
      <c r="M217" s="4"/>
      <c r="N217" s="4"/>
      <c r="O217" s="4" t="str">
        <f>IFERROR(__xludf.DUMMYFUNCTION("""COMPUTED_VALUE"""),"schmidhauser plumbing insured")</f>
        <v>schmidhauser plumbing insured</v>
      </c>
      <c r="P217" s="4" t="str">
        <f>IFERROR(__xludf.DUMMYFUNCTION("""COMPUTED_VALUE"""),"trusted emergency plumber cape town")</f>
        <v>trusted emergency plumber cape town</v>
      </c>
      <c r="Q217" s="4"/>
      <c r="R217" s="4"/>
      <c r="S217" s="4"/>
      <c r="T217" s="4" t="str">
        <f>IFERROR(__xludf.DUMMYFUNCTION("""COMPUTED_VALUE"""),"aircon repair cape town alternatives")</f>
        <v>aircon repair cape town alternatives</v>
      </c>
      <c r="U217" s="4"/>
      <c r="V217" s="4"/>
      <c r="W217" s="4"/>
      <c r="X217" s="4"/>
      <c r="Y217" s="4"/>
      <c r="Z217" s="4"/>
    </row>
    <row r="218" ht="15.75" customHeight="1">
      <c r="A218" s="4" t="str">
        <f>IFERROR(__xludf.DUMMYFUNCTION("""COMPUTED_VALUE"""),"plumbing company Fish Hoek")</f>
        <v>plumbing company Fish Hoek</v>
      </c>
      <c r="B218" s="4" t="str">
        <f>IFERROR(__xludf.DUMMYFUNCTION("""COMPUTED_VALUE"""),"Southern Suburbs plumber")</f>
        <v>Southern Suburbs plumber</v>
      </c>
      <c r="C218" s="4" t="str">
        <f>IFERROR(__xludf.DUMMYFUNCTION("""COMPUTED_VALUE"""),"residential plumber installation")</f>
        <v>residential plumber installation</v>
      </c>
      <c r="D218" s="4" t="str">
        <f>IFERROR(__xludf.DUMMYFUNCTION("""COMPUTED_VALUE"""),"top rated plumbing installation")</f>
        <v>top rated plumbing installation</v>
      </c>
      <c r="E218" s="28"/>
      <c r="F218" s="4"/>
      <c r="G218" s="4"/>
      <c r="H218" s="4"/>
      <c r="I218" s="4"/>
      <c r="J218" s="4"/>
      <c r="K218" s="4"/>
      <c r="L218" s="4"/>
      <c r="M218" s="4"/>
      <c r="N218" s="4"/>
      <c r="O218" s="4" t="str">
        <f>IFERROR(__xludf.DUMMYFUNCTION("""COMPUTED_VALUE"""),"schmidhauser plumbing licensed")</f>
        <v>schmidhauser plumbing licensed</v>
      </c>
      <c r="P218" s="4" t="str">
        <f>IFERROR(__xludf.DUMMYFUNCTION("""COMPUTED_VALUE"""),"trusted plumber near me")</f>
        <v>trusted plumber near me</v>
      </c>
      <c r="Q218" s="4"/>
      <c r="R218" s="4"/>
      <c r="S218" s="4"/>
      <c r="T218" s="4" t="str">
        <f>IFERROR(__xludf.DUMMYFUNCTION("""COMPUTED_VALUE"""),"aircon repair cape town best")</f>
        <v>aircon repair cape town best</v>
      </c>
      <c r="U218" s="4"/>
      <c r="V218" s="4"/>
      <c r="W218" s="4"/>
      <c r="X218" s="4"/>
      <c r="Y218" s="4"/>
      <c r="Z218" s="4"/>
    </row>
    <row r="219" ht="15.75" customHeight="1">
      <c r="A219" s="4" t="str">
        <f>IFERROR(__xludf.DUMMYFUNCTION("""COMPUTED_VALUE"""),"plumbing company Green Point")</f>
        <v>plumbing company Green Point</v>
      </c>
      <c r="B219" s="4" t="str">
        <f>IFERROR(__xludf.DUMMYFUNCTION("""COMPUTED_VALUE"""),"Southern Suburbs plumbers")</f>
        <v>Southern Suburbs plumbers</v>
      </c>
      <c r="C219" s="4" t="str">
        <f>IFERROR(__xludf.DUMMYFUNCTION("""COMPUTED_VALUE"""),"residential plumber licensed")</f>
        <v>residential plumber licensed</v>
      </c>
      <c r="D219" s="4" t="str">
        <f>IFERROR(__xludf.DUMMYFUNCTION("""COMPUTED_VALUE"""),"top rated plumbing repairs")</f>
        <v>top rated plumbing repairs</v>
      </c>
      <c r="E219" s="28"/>
      <c r="F219" s="4"/>
      <c r="G219" s="4"/>
      <c r="H219" s="4"/>
      <c r="I219" s="4"/>
      <c r="J219" s="4"/>
      <c r="K219" s="4"/>
      <c r="L219" s="4"/>
      <c r="M219" s="4"/>
      <c r="N219" s="4"/>
      <c r="O219" s="4" t="str">
        <f>IFERROR(__xludf.DUMMYFUNCTION("""COMPUTED_VALUE"""),"schmidhauser plumbing local")</f>
        <v>schmidhauser plumbing local</v>
      </c>
      <c r="P219" s="4" t="str">
        <f>IFERROR(__xludf.DUMMYFUNCTION("""COMPUTED_VALUE"""),"trusted plumbers cape town")</f>
        <v>trusted plumbers cape town</v>
      </c>
      <c r="Q219" s="4"/>
      <c r="R219" s="4"/>
      <c r="S219" s="4"/>
      <c r="T219" s="4" t="str">
        <f>IFERROR(__xludf.DUMMYFUNCTION("""COMPUTED_VALUE"""),"aircon repair cape town certified")</f>
        <v>aircon repair cape town certified</v>
      </c>
      <c r="U219" s="4"/>
      <c r="V219" s="4"/>
      <c r="W219" s="4"/>
      <c r="X219" s="4"/>
      <c r="Y219" s="4"/>
      <c r="Z219" s="4"/>
    </row>
    <row r="220" ht="15.75" customHeight="1">
      <c r="A220" s="4" t="str">
        <f>IFERROR(__xludf.DUMMYFUNCTION("""COMPUTED_VALUE"""),"plumbing company Hout Bay")</f>
        <v>plumbing company Hout Bay</v>
      </c>
      <c r="B220" s="4" t="str">
        <f>IFERROR(__xludf.DUMMYFUNCTION("""COMPUTED_VALUE"""),"Southern Suburbs plumbing company")</f>
        <v>Southern Suburbs plumbing company</v>
      </c>
      <c r="C220" s="4" t="str">
        <f>IFERROR(__xludf.DUMMYFUNCTION("""COMPUTED_VALUE"""),"residential plumber local")</f>
        <v>residential plumber local</v>
      </c>
      <c r="D220" s="4" t="str">
        <f>IFERROR(__xludf.DUMMYFUNCTION("""COMPUTED_VALUE"""),"top rated plumbing services")</f>
        <v>top rated plumbing services</v>
      </c>
      <c r="E220" s="28"/>
      <c r="F220" s="4"/>
      <c r="G220" s="4"/>
      <c r="H220" s="4"/>
      <c r="I220" s="4"/>
      <c r="J220" s="4"/>
      <c r="K220" s="4"/>
      <c r="L220" s="4"/>
      <c r="M220" s="4"/>
      <c r="N220" s="4"/>
      <c r="O220" s="4" t="str">
        <f>IFERROR(__xludf.DUMMYFUNCTION("""COMPUTED_VALUE"""),"schmidhauser plumbing near me")</f>
        <v>schmidhauser plumbing near me</v>
      </c>
      <c r="P220" s="4" t="str">
        <f>IFERROR(__xludf.DUMMYFUNCTION("""COMPUTED_VALUE"""),"trusted plumbing company cape town")</f>
        <v>trusted plumbing company cape town</v>
      </c>
      <c r="Q220" s="4"/>
      <c r="R220" s="4"/>
      <c r="S220" s="4"/>
      <c r="T220" s="4" t="str">
        <f>IFERROR(__xludf.DUMMYFUNCTION("""COMPUTED_VALUE"""),"aircon repair cape town compare")</f>
        <v>aircon repair cape town compare</v>
      </c>
      <c r="U220" s="4"/>
      <c r="V220" s="4"/>
      <c r="W220" s="4"/>
      <c r="X220" s="4"/>
      <c r="Y220" s="4"/>
      <c r="Z220" s="4"/>
    </row>
    <row r="221" ht="15.75" customHeight="1">
      <c r="A221" s="4" t="str">
        <f>IFERROR(__xludf.DUMMYFUNCTION("""COMPUTED_VALUE"""),"plumbing company Maitland")</f>
        <v>plumbing company Maitland</v>
      </c>
      <c r="B221" s="4" t="str">
        <f>IFERROR(__xludf.DUMMYFUNCTION("""COMPUTED_VALUE"""),"Southern Suburbs refrigeration services")</f>
        <v>Southern Suburbs refrigeration services</v>
      </c>
      <c r="C221" s="4" t="str">
        <f>IFERROR(__xludf.DUMMYFUNCTION("""COMPUTED_VALUE"""),"residential plumber maintenance")</f>
        <v>residential plumber maintenance</v>
      </c>
      <c r="D221" s="4" t="str">
        <f>IFERROR(__xludf.DUMMYFUNCTION("""COMPUTED_VALUE"""),"top rated residential plumber")</f>
        <v>top rated residential plumber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 t="str">
        <f>IFERROR(__xludf.DUMMYFUNCTION("""COMPUTED_VALUE"""),"schmidhauser plumbing prices")</f>
        <v>schmidhauser plumbing prices</v>
      </c>
      <c r="P221" s="4" t="str">
        <f>IFERROR(__xludf.DUMMYFUNCTION("""COMPUTED_VALUE"""),"trusted schmidhauser plumbing")</f>
        <v>trusted schmidhauser plumbing</v>
      </c>
      <c r="Q221" s="4"/>
      <c r="R221" s="4"/>
      <c r="S221" s="4"/>
      <c r="T221" s="4" t="str">
        <f>IFERROR(__xludf.DUMMYFUNCTION("""COMPUTED_VALUE"""),"aircon repair cape town complaints")</f>
        <v>aircon repair cape town complaints</v>
      </c>
      <c r="U221" s="4"/>
      <c r="V221" s="4"/>
      <c r="W221" s="4"/>
      <c r="X221" s="4"/>
      <c r="Y221" s="4"/>
      <c r="Z221" s="4"/>
    </row>
    <row r="222" ht="15.75" customHeight="1">
      <c r="A222" s="4" t="str">
        <f>IFERROR(__xludf.DUMMYFUNCTION("""COMPUTED_VALUE"""),"plumbing company Milnerton")</f>
        <v>plumbing company Milnerton</v>
      </c>
      <c r="B222" s="4" t="str">
        <f>IFERROR(__xludf.DUMMYFUNCTION("""COMPUTED_VALUE"""),"Table View aircon repairs")</f>
        <v>Table View aircon repairs</v>
      </c>
      <c r="C222" s="4" t="str">
        <f>IFERROR(__xludf.DUMMYFUNCTION("""COMPUTED_VALUE"""),"residential plumber near me")</f>
        <v>residential plumber near me</v>
      </c>
      <c r="D222" s="4" t="str">
        <f>IFERROR(__xludf.DUMMYFUNCTION("""COMPUTED_VALUE"""),"trusted commercial plumber")</f>
        <v>trusted commercial plumber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 t="str">
        <f>IFERROR(__xludf.DUMMYFUNCTION("""COMPUTED_VALUE"""),"schmidhauser plumbing qualified")</f>
        <v>schmidhauser plumbing qualified</v>
      </c>
      <c r="P222" s="4" t="str">
        <f>IFERROR(__xludf.DUMMYFUNCTION("""COMPUTED_VALUE"""),"vs absolute plumbing cape town")</f>
        <v>vs absolute plumbing cape town</v>
      </c>
      <c r="Q222" s="4"/>
      <c r="R222" s="4"/>
      <c r="S222" s="4"/>
      <c r="T222" s="4" t="str">
        <f>IFERROR(__xludf.DUMMYFUNCTION("""COMPUTED_VALUE"""),"aircon repair cape town cost")</f>
        <v>aircon repair cape town cost</v>
      </c>
      <c r="U222" s="4"/>
      <c r="V222" s="4"/>
      <c r="W222" s="4"/>
      <c r="X222" s="4"/>
      <c r="Y222" s="4"/>
      <c r="Z222" s="4"/>
    </row>
    <row r="223" ht="15.75" customHeight="1">
      <c r="A223" s="4" t="str">
        <f>IFERROR(__xludf.DUMMYFUNCTION("""COMPUTED_VALUE"""),"plumbing company Muizenberg")</f>
        <v>plumbing company Muizenberg</v>
      </c>
      <c r="B223" s="4" t="str">
        <f>IFERROR(__xludf.DUMMYFUNCTION("""COMPUTED_VALUE"""),"Table View blocked drain plumber")</f>
        <v>Table View blocked drain plumber</v>
      </c>
      <c r="C223" s="4" t="str">
        <f>IFERROR(__xludf.DUMMYFUNCTION("""COMPUTED_VALUE"""),"residential plumber professional")</f>
        <v>residential plumber professional</v>
      </c>
      <c r="D223" s="4" t="str">
        <f>IFERROR(__xludf.DUMMYFUNCTION("""COMPUTED_VALUE"""),"trusted maintenance plumber")</f>
        <v>trusted maintenance plumber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 t="str">
        <f>IFERROR(__xludf.DUMMYFUNCTION("""COMPUTED_VALUE"""),"schmidhauser plumbing quote")</f>
        <v>schmidhauser plumbing quote</v>
      </c>
      <c r="P223" s="4" t="str">
        <f>IFERROR(__xludf.DUMMYFUNCTION("""COMPUTED_VALUE"""),"vs aircon repair cape town")</f>
        <v>vs aircon repair cape town</v>
      </c>
      <c r="Q223" s="4"/>
      <c r="R223" s="4"/>
      <c r="S223" s="4"/>
      <c r="T223" s="4" t="str">
        <f>IFERROR(__xludf.DUMMYFUNCTION("""COMPUTED_VALUE"""),"aircon repair cape town insured")</f>
        <v>aircon repair cape town insured</v>
      </c>
      <c r="U223" s="4"/>
      <c r="V223" s="4"/>
      <c r="W223" s="4"/>
      <c r="X223" s="4"/>
      <c r="Y223" s="4"/>
      <c r="Z223" s="4"/>
    </row>
    <row r="224" ht="15.75" customHeight="1">
      <c r="A224" s="4" t="str">
        <f>IFERROR(__xludf.DUMMYFUNCTION("""COMPUTED_VALUE"""),"plumbing company Newlands")</f>
        <v>plumbing company Newlands</v>
      </c>
      <c r="B224" s="4" t="str">
        <f>IFERROR(__xludf.DUMMYFUNCTION("""COMPUTED_VALUE"""),"Table View electrician")</f>
        <v>Table View electrician</v>
      </c>
      <c r="C224" s="4" t="str">
        <f>IFERROR(__xludf.DUMMYFUNCTION("""COMPUTED_VALUE"""),"residential plumber qualified")</f>
        <v>residential plumber qualified</v>
      </c>
      <c r="D224" s="4" t="str">
        <f>IFERROR(__xludf.DUMMYFUNCTION("""COMPUTED_VALUE"""),"trusted plumber cape town")</f>
        <v>trusted plumber cape town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 t="str">
        <f>IFERROR(__xludf.DUMMYFUNCTION("""COMPUTED_VALUE"""),"schmidhauser plumbing reliable")</f>
        <v>schmidhauser plumbing reliable</v>
      </c>
      <c r="P224" s="4" t="str">
        <f>IFERROR(__xludf.DUMMYFUNCTION("""COMPUTED_VALUE"""),"vs bosman plumbers")</f>
        <v>vs bosman plumbers</v>
      </c>
      <c r="Q224" s="4"/>
      <c r="R224" s="4"/>
      <c r="S224" s="4"/>
      <c r="T224" s="4" t="str">
        <f>IFERROR(__xludf.DUMMYFUNCTION("""COMPUTED_VALUE"""),"aircon repair cape town licensed")</f>
        <v>aircon repair cape town licensed</v>
      </c>
      <c r="U224" s="4"/>
      <c r="V224" s="4"/>
      <c r="W224" s="4"/>
      <c r="X224" s="4"/>
      <c r="Y224" s="4"/>
      <c r="Z224" s="4"/>
    </row>
    <row r="225" ht="15.75" customHeight="1">
      <c r="A225" s="4" t="str">
        <f>IFERROR(__xludf.DUMMYFUNCTION("""COMPUTED_VALUE"""),"plumbing company Northern Suburbs")</f>
        <v>plumbing company Northern Suburbs</v>
      </c>
      <c r="B225" s="4" t="str">
        <f>IFERROR(__xludf.DUMMYFUNCTION("""COMPUTED_VALUE"""),"Table View emergency plumber")</f>
        <v>Table View emergency plumber</v>
      </c>
      <c r="C225" s="4" t="str">
        <f>IFERROR(__xludf.DUMMYFUNCTION("""COMPUTED_VALUE"""),"residential plumber quote")</f>
        <v>residential plumber quote</v>
      </c>
      <c r="D225" s="4" t="str">
        <f>IFERROR(__xludf.DUMMYFUNCTION("""COMPUTED_VALUE"""),"trusted plumbing company")</f>
        <v>trusted plumbing company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 t="str">
        <f>IFERROR(__xludf.DUMMYFUNCTION("""COMPUTED_VALUE"""),"schmidhauser plumbing reputable")</f>
        <v>schmidhauser plumbing reputable</v>
      </c>
      <c r="P225" s="4" t="str">
        <f>IFERROR(__xludf.DUMMYFUNCTION("""COMPUTED_VALUE"""),"vs drain surgeon cape town")</f>
        <v>vs drain surgeon cape town</v>
      </c>
      <c r="Q225" s="4"/>
      <c r="R225" s="4"/>
      <c r="S225" s="4"/>
      <c r="T225" s="4" t="str">
        <f>IFERROR(__xludf.DUMMYFUNCTION("""COMPUTED_VALUE"""),"aircon repair cape town local")</f>
        <v>aircon repair cape town local</v>
      </c>
      <c r="U225" s="4"/>
      <c r="V225" s="4"/>
      <c r="W225" s="4"/>
      <c r="X225" s="4"/>
      <c r="Y225" s="4"/>
      <c r="Z225" s="4"/>
    </row>
    <row r="226" ht="15.75" customHeight="1">
      <c r="A226" s="4" t="str">
        <f>IFERROR(__xludf.DUMMYFUNCTION("""COMPUTED_VALUE"""),"plumbing company Observatory")</f>
        <v>plumbing company Observatory</v>
      </c>
      <c r="B226" s="4" t="str">
        <f>IFERROR(__xludf.DUMMYFUNCTION("""COMPUTED_VALUE"""),"Table View geyser repair")</f>
        <v>Table View geyser repair</v>
      </c>
      <c r="C226" s="4" t="str">
        <f>IFERROR(__xludf.DUMMYFUNCTION("""COMPUTED_VALUE"""),"residential plumber reliable")</f>
        <v>residential plumber reliable</v>
      </c>
      <c r="D226" s="4" t="str">
        <f>IFERROR(__xludf.DUMMYFUNCTION("""COMPUTED_VALUE"""),"trusted plumbing contractors")</f>
        <v>trusted plumbing contractors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 t="str">
        <f>IFERROR(__xludf.DUMMYFUNCTION("""COMPUTED_VALUE"""),"schmidhauser plumbing review")</f>
        <v>schmidhauser plumbing review</v>
      </c>
      <c r="P226" s="4" t="str">
        <f>IFERROR(__xludf.DUMMYFUNCTION("""COMPUTED_VALUE"""),"vs electrician cape town")</f>
        <v>vs electrician cape town</v>
      </c>
      <c r="Q226" s="4"/>
      <c r="R226" s="4"/>
      <c r="S226" s="4"/>
      <c r="T226" s="4" t="str">
        <f>IFERROR(__xludf.DUMMYFUNCTION("""COMPUTED_VALUE"""),"aircon repair cape town near me")</f>
        <v>aircon repair cape town near me</v>
      </c>
      <c r="U226" s="4"/>
      <c r="V226" s="4"/>
      <c r="W226" s="4"/>
      <c r="X226" s="4"/>
      <c r="Y226" s="4"/>
      <c r="Z226" s="4"/>
    </row>
    <row r="227" ht="15.75" customHeight="1">
      <c r="A227" s="4" t="str">
        <f>IFERROR(__xludf.DUMMYFUNCTION("""COMPUTED_VALUE"""),"plumbing company Plumstead")</f>
        <v>plumbing company Plumstead</v>
      </c>
      <c r="B227" s="4" t="str">
        <f>IFERROR(__xludf.DUMMYFUNCTION("""COMPUTED_VALUE"""),"Table View leak detection plumber")</f>
        <v>Table View leak detection plumber</v>
      </c>
      <c r="C227" s="4" t="str">
        <f>IFERROR(__xludf.DUMMYFUNCTION("""COMPUTED_VALUE"""),"residential plumber repair")</f>
        <v>residential plumber repair</v>
      </c>
      <c r="D227" s="4" t="str">
        <f>IFERROR(__xludf.DUMMYFUNCTION("""COMPUTED_VALUE"""),"trusted plumbing inspection")</f>
        <v>trusted plumbing inspection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 t="str">
        <f>IFERROR(__xludf.DUMMYFUNCTION("""COMPUTED_VALUE"""),"schmidhauser plumbing reviews")</f>
        <v>schmidhauser plumbing reviews</v>
      </c>
      <c r="P227" s="4" t="str">
        <f>IFERROR(__xludf.DUMMYFUNCTION("""COMPUTED_VALUE"""),"vs emergency plumber cape town")</f>
        <v>vs emergency plumber cape town</v>
      </c>
      <c r="Q227" s="4"/>
      <c r="R227" s="4"/>
      <c r="S227" s="4"/>
      <c r="T227" s="4" t="str">
        <f>IFERROR(__xludf.DUMMYFUNCTION("""COMPUTED_VALUE"""),"aircon repair cape town prices")</f>
        <v>aircon repair cape town prices</v>
      </c>
      <c r="U227" s="4"/>
      <c r="V227" s="4"/>
      <c r="W227" s="4"/>
      <c r="X227" s="4"/>
      <c r="Y227" s="4"/>
      <c r="Z227" s="4"/>
    </row>
    <row r="228" ht="15.75" customHeight="1">
      <c r="A228" s="4" t="str">
        <f>IFERROR(__xludf.DUMMYFUNCTION("""COMPUTED_VALUE"""),"plumbing company Rondebosch")</f>
        <v>plumbing company Rondebosch</v>
      </c>
      <c r="B228" s="4" t="str">
        <f>IFERROR(__xludf.DUMMYFUNCTION("""COMPUTED_VALUE"""),"Table View plumber")</f>
        <v>Table View plumber</v>
      </c>
      <c r="C228" s="4" t="str">
        <f>IFERROR(__xludf.DUMMYFUNCTION("""COMPUTED_VALUE"""),"residential plumber same day")</f>
        <v>residential plumber same day</v>
      </c>
      <c r="D228" s="4" t="str">
        <f>IFERROR(__xludf.DUMMYFUNCTION("""COMPUTED_VALUE"""),"trusted plumbing installation")</f>
        <v>trusted plumbing installation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 t="str">
        <f>IFERROR(__xludf.DUMMYFUNCTION("""COMPUTED_VALUE"""),"schmidhauser plumbing same day")</f>
        <v>schmidhauser plumbing same day</v>
      </c>
      <c r="P228" s="4" t="str">
        <f>IFERROR(__xludf.DUMMYFUNCTION("""COMPUTED_VALUE"""),"vs plumber near me")</f>
        <v>vs plumber near me</v>
      </c>
      <c r="Q228" s="4"/>
      <c r="R228" s="4"/>
      <c r="S228" s="4"/>
      <c r="T228" s="4" t="str">
        <f>IFERROR(__xludf.DUMMYFUNCTION("""COMPUTED_VALUE"""),"aircon repair cape town qualified")</f>
        <v>aircon repair cape town qualified</v>
      </c>
      <c r="U228" s="4"/>
      <c r="V228" s="4"/>
      <c r="W228" s="4"/>
      <c r="X228" s="4"/>
      <c r="Y228" s="4"/>
      <c r="Z228" s="4"/>
    </row>
    <row r="229" ht="15.75" customHeight="1">
      <c r="A229" s="4" t="str">
        <f>IFERROR(__xludf.DUMMYFUNCTION("""COMPUTED_VALUE"""),"plumbing company Sea Point")</f>
        <v>plumbing company Sea Point</v>
      </c>
      <c r="B229" s="4" t="str">
        <f>IFERROR(__xludf.DUMMYFUNCTION("""COMPUTED_VALUE"""),"Table View plumbers")</f>
        <v>Table View plumbers</v>
      </c>
      <c r="C229" s="4" t="str">
        <f>IFERROR(__xludf.DUMMYFUNCTION("""COMPUTED_VALUE"""),"residential plumber service")</f>
        <v>residential plumber service</v>
      </c>
      <c r="D229" s="4" t="str">
        <f>IFERROR(__xludf.DUMMYFUNCTION("""COMPUTED_VALUE"""),"trusted plumbing repairs")</f>
        <v>trusted plumbing repairs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 t="str">
        <f>IFERROR(__xludf.DUMMYFUNCTION("""COMPUTED_VALUE"""),"schmidhauser plumbing top rated")</f>
        <v>schmidhauser plumbing top rated</v>
      </c>
      <c r="P229" s="4" t="str">
        <f>IFERROR(__xludf.DUMMYFUNCTION("""COMPUTED_VALUE"""),"vs plumbers cape town")</f>
        <v>vs plumbers cape town</v>
      </c>
      <c r="Q229" s="4"/>
      <c r="R229" s="4"/>
      <c r="S229" s="4"/>
      <c r="T229" s="4" t="str">
        <f>IFERROR(__xludf.DUMMYFUNCTION("""COMPUTED_VALUE"""),"aircon repair cape town quote")</f>
        <v>aircon repair cape town quote</v>
      </c>
      <c r="U229" s="4"/>
      <c r="V229" s="4"/>
      <c r="W229" s="4"/>
      <c r="X229" s="4"/>
      <c r="Y229" s="4"/>
      <c r="Z229" s="4"/>
    </row>
    <row r="230" ht="15.75" customHeight="1">
      <c r="A230" s="4" t="str">
        <f>IFERROR(__xludf.DUMMYFUNCTION("""COMPUTED_VALUE"""),"plumbing company South Africa")</f>
        <v>plumbing company South Africa</v>
      </c>
      <c r="B230" s="4" t="str">
        <f>IFERROR(__xludf.DUMMYFUNCTION("""COMPUTED_VALUE"""),"Table View plumbing company")</f>
        <v>Table View plumbing company</v>
      </c>
      <c r="C230" s="4" t="str">
        <f>IFERROR(__xludf.DUMMYFUNCTION("""COMPUTED_VALUE"""),"residential plumber top rated")</f>
        <v>residential plumber top rated</v>
      </c>
      <c r="D230" s="4" t="str">
        <f>IFERROR(__xludf.DUMMYFUNCTION("""COMPUTED_VALUE"""),"trusted plumbing services")</f>
        <v>trusted plumbing services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 t="str">
        <f>IFERROR(__xludf.DUMMYFUNCTION("""COMPUTED_VALUE"""),"schmidhauser plumbing trusted")</f>
        <v>schmidhauser plumbing trusted</v>
      </c>
      <c r="P230" s="4" t="str">
        <f>IFERROR(__xludf.DUMMYFUNCTION("""COMPUTED_VALUE"""),"vs plumbing company cape town")</f>
        <v>vs plumbing company cape town</v>
      </c>
      <c r="Q230" s="4"/>
      <c r="R230" s="4"/>
      <c r="S230" s="4"/>
      <c r="T230" s="4" t="str">
        <f>IFERROR(__xludf.DUMMYFUNCTION("""COMPUTED_VALUE"""),"aircon repair cape town reliable")</f>
        <v>aircon repair cape town reliable</v>
      </c>
      <c r="U230" s="4"/>
      <c r="V230" s="4"/>
      <c r="W230" s="4"/>
      <c r="X230" s="4"/>
      <c r="Y230" s="4"/>
      <c r="Z230" s="4"/>
    </row>
    <row r="231" ht="15.75" customHeight="1">
      <c r="A231" s="4" t="str">
        <f>IFERROR(__xludf.DUMMYFUNCTION("""COMPUTED_VALUE"""),"plumbing company Southern Suburbs")</f>
        <v>plumbing company Southern Suburbs</v>
      </c>
      <c r="B231" s="4" t="str">
        <f>IFERROR(__xludf.DUMMYFUNCTION("""COMPUTED_VALUE"""),"Table View refrigeration services")</f>
        <v>Table View refrigeration services</v>
      </c>
      <c r="C231" s="4" t="str">
        <f>IFERROR(__xludf.DUMMYFUNCTION("""COMPUTED_VALUE"""),"residential plumber trusted")</f>
        <v>residential plumber trusted</v>
      </c>
      <c r="D231" s="4" t="str">
        <f>IFERROR(__xludf.DUMMYFUNCTION("""COMPUTED_VALUE"""),"trusted residential plumber")</f>
        <v>trusted residential plumber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 t="str">
        <f>IFERROR(__xludf.DUMMYFUNCTION("""COMPUTED_VALUE"""),"schmidhauser plumbing vs")</f>
        <v>schmidhauser plumbing vs</v>
      </c>
      <c r="P231" s="4" t="str">
        <f>IFERROR(__xludf.DUMMYFUNCTION("""COMPUTED_VALUE"""),"vs schmidhauser plumbing")</f>
        <v>vs schmidhauser plumbing</v>
      </c>
      <c r="Q231" s="4"/>
      <c r="R231" s="4"/>
      <c r="S231" s="4"/>
      <c r="T231" s="4" t="str">
        <f>IFERROR(__xludf.DUMMYFUNCTION("""COMPUTED_VALUE"""),"aircon repair cape town reputable")</f>
        <v>aircon repair cape town reputable</v>
      </c>
      <c r="U231" s="4"/>
      <c r="V231" s="4"/>
      <c r="W231" s="4"/>
      <c r="X231" s="4"/>
      <c r="Y231" s="4"/>
      <c r="Z231" s="4"/>
    </row>
    <row r="232" ht="15.75" customHeight="1">
      <c r="A232" s="4" t="str">
        <f>IFERROR(__xludf.DUMMYFUNCTION("""COMPUTED_VALUE"""),"plumbing company Table View")</f>
        <v>plumbing company Table View</v>
      </c>
      <c r="B232" s="4" t="str">
        <f>IFERROR(__xludf.DUMMYFUNCTION("""COMPUTED_VALUE"""),"Tokai aircon repairs")</f>
        <v>Tokai aircon repairs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 t="str">
        <f>IFERROR(__xludf.DUMMYFUNCTION("""COMPUTED_VALUE"""),"aircon repair cape town review")</f>
        <v>aircon repair cape town review</v>
      </c>
      <c r="U232" s="4"/>
      <c r="V232" s="4"/>
      <c r="W232" s="4"/>
      <c r="X232" s="4"/>
      <c r="Y232" s="4"/>
      <c r="Z232" s="4"/>
    </row>
    <row r="233" ht="15.75" customHeight="1">
      <c r="A233" s="4" t="str">
        <f>IFERROR(__xludf.DUMMYFUNCTION("""COMPUTED_VALUE"""),"plumbing company Tokai")</f>
        <v>plumbing company Tokai</v>
      </c>
      <c r="B233" s="4" t="str">
        <f>IFERROR(__xludf.DUMMYFUNCTION("""COMPUTED_VALUE"""),"Tokai blocked drain plumber")</f>
        <v>Tokai blocked drain plumber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 t="str">
        <f>IFERROR(__xludf.DUMMYFUNCTION("""COMPUTED_VALUE"""),"aircon repair cape town reviews")</f>
        <v>aircon repair cape town reviews</v>
      </c>
      <c r="U233" s="4"/>
      <c r="V233" s="4"/>
      <c r="W233" s="4"/>
      <c r="X233" s="4"/>
      <c r="Y233" s="4"/>
      <c r="Z233" s="4"/>
    </row>
    <row r="234" ht="15.75" customHeight="1">
      <c r="A234" s="4" t="str">
        <f>IFERROR(__xludf.DUMMYFUNCTION("""COMPUTED_VALUE"""),"plumbing company Woodstock")</f>
        <v>plumbing company Woodstock</v>
      </c>
      <c r="B234" s="4" t="str">
        <f>IFERROR(__xludf.DUMMYFUNCTION("""COMPUTED_VALUE"""),"Tokai electrician")</f>
        <v>Tokai electrician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 t="str">
        <f>IFERROR(__xludf.DUMMYFUNCTION("""COMPUTED_VALUE"""),"aircon repair cape town same day")</f>
        <v>aircon repair cape town same day</v>
      </c>
      <c r="U234" s="4"/>
      <c r="V234" s="4"/>
      <c r="W234" s="4"/>
      <c r="X234" s="4"/>
      <c r="Y234" s="4"/>
      <c r="Z234" s="4"/>
    </row>
    <row r="235" ht="15.75" customHeight="1">
      <c r="A235" s="4" t="str">
        <f>IFERROR(__xludf.DUMMYFUNCTION("""COMPUTED_VALUE"""),"plumbing company Wynberg")</f>
        <v>plumbing company Wynberg</v>
      </c>
      <c r="B235" s="4" t="str">
        <f>IFERROR(__xludf.DUMMYFUNCTION("""COMPUTED_VALUE"""),"Tokai emergency plumber")</f>
        <v>Tokai emergency plumber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 t="str">
        <f>IFERROR(__xludf.DUMMYFUNCTION("""COMPUTED_VALUE"""),"aircon repair cape town top rated")</f>
        <v>aircon repair cape town top rated</v>
      </c>
      <c r="U235" s="4"/>
      <c r="V235" s="4"/>
      <c r="W235" s="4"/>
      <c r="X235" s="4"/>
      <c r="Y235" s="4"/>
      <c r="Z235" s="4"/>
    </row>
    <row r="236" ht="15.75" customHeight="1">
      <c r="A236" s="4" t="str">
        <f>IFERROR(__xludf.DUMMYFUNCTION("""COMPUTED_VALUE"""),"refrigeration services Atlantic Seaboard")</f>
        <v>refrigeration services Atlantic Seaboard</v>
      </c>
      <c r="B236" s="4" t="str">
        <f>IFERROR(__xludf.DUMMYFUNCTION("""COMPUTED_VALUE"""),"Tokai geyser repair")</f>
        <v>Tokai geyser repair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 t="str">
        <f>IFERROR(__xludf.DUMMYFUNCTION("""COMPUTED_VALUE"""),"aircon repair cape town trusted")</f>
        <v>aircon repair cape town trusted</v>
      </c>
      <c r="U236" s="4"/>
      <c r="V236" s="4"/>
      <c r="W236" s="4"/>
      <c r="X236" s="4"/>
      <c r="Y236" s="4"/>
      <c r="Z236" s="4"/>
    </row>
    <row r="237" ht="15.75" customHeight="1">
      <c r="A237" s="4" t="str">
        <f>IFERROR(__xludf.DUMMYFUNCTION("""COMPUTED_VALUE"""),"refrigeration services Bellville")</f>
        <v>refrigeration services Bellville</v>
      </c>
      <c r="B237" s="4" t="str">
        <f>IFERROR(__xludf.DUMMYFUNCTION("""COMPUTED_VALUE"""),"Tokai leak detection plumber")</f>
        <v>Tokai leak detection plumber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 t="str">
        <f>IFERROR(__xludf.DUMMYFUNCTION("""COMPUTED_VALUE"""),"aircon repair cape town vs")</f>
        <v>aircon repair cape town vs</v>
      </c>
      <c r="U237" s="4"/>
      <c r="V237" s="4"/>
      <c r="W237" s="4"/>
      <c r="X237" s="4"/>
      <c r="Y237" s="4"/>
      <c r="Z237" s="4"/>
    </row>
    <row r="238" ht="15.75" customHeight="1">
      <c r="A238" s="4" t="str">
        <f>IFERROR(__xludf.DUMMYFUNCTION("""COMPUTED_VALUE"""),"refrigeration services Camps Bay")</f>
        <v>refrigeration services Camps Bay</v>
      </c>
      <c r="B238" s="4" t="str">
        <f>IFERROR(__xludf.DUMMYFUNCTION("""COMPUTED_VALUE"""),"Tokai plumber")</f>
        <v>Tokai plumber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 t="str">
        <f>IFERROR(__xludf.DUMMYFUNCTION("""COMPUTED_VALUE"""),"aircon repair commercial")</f>
        <v>aircon repair commercial</v>
      </c>
      <c r="U238" s="4"/>
      <c r="V238" s="4"/>
      <c r="W238" s="4"/>
      <c r="X238" s="4"/>
      <c r="Y238" s="4"/>
      <c r="Z238" s="4"/>
    </row>
    <row r="239" ht="15.75" customHeight="1">
      <c r="A239" s="4" t="str">
        <f>IFERROR(__xludf.DUMMYFUNCTION("""COMPUTED_VALUE"""),"refrigeration services Cape Town")</f>
        <v>refrigeration services Cape Town</v>
      </c>
      <c r="B239" s="4" t="str">
        <f>IFERROR(__xludf.DUMMYFUNCTION("""COMPUTED_VALUE"""),"Tokai plumbers")</f>
        <v>Tokai plumbers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 t="str">
        <f>IFERROR(__xludf.DUMMYFUNCTION("""COMPUTED_VALUE"""),"aircon repair company")</f>
        <v>aircon repair company</v>
      </c>
      <c r="U239" s="4"/>
      <c r="V239" s="4"/>
      <c r="W239" s="4"/>
      <c r="X239" s="4"/>
      <c r="Y239" s="4"/>
      <c r="Z239" s="4"/>
    </row>
    <row r="240" ht="15.75" customHeight="1">
      <c r="A240" s="4" t="str">
        <f>IFERROR(__xludf.DUMMYFUNCTION("""COMPUTED_VALUE"""),"refrigeration services Cape Town CBD")</f>
        <v>refrigeration services Cape Town CBD</v>
      </c>
      <c r="B240" s="4" t="str">
        <f>IFERROR(__xludf.DUMMYFUNCTION("""COMPUTED_VALUE"""),"Tokai plumbing company")</f>
        <v>Tokai plumbing company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 t="str">
        <f>IFERROR(__xludf.DUMMYFUNCTION("""COMPUTED_VALUE"""),"aircon repair contractor")</f>
        <v>aircon repair contractor</v>
      </c>
      <c r="U240" s="4"/>
      <c r="V240" s="4"/>
      <c r="W240" s="4"/>
      <c r="X240" s="4"/>
      <c r="Y240" s="4"/>
      <c r="Z240" s="4"/>
    </row>
    <row r="241" ht="15.75" customHeight="1">
      <c r="A241" s="4" t="str">
        <f>IFERROR(__xludf.DUMMYFUNCTION("""COMPUTED_VALUE"""),"refrigeration services Claremont")</f>
        <v>refrigeration services Claremont</v>
      </c>
      <c r="B241" s="4" t="str">
        <f>IFERROR(__xludf.DUMMYFUNCTION("""COMPUTED_VALUE"""),"Tokai refrigeration services")</f>
        <v>Tokai refrigeration services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 t="str">
        <f>IFERROR(__xludf.DUMMYFUNCTION("""COMPUTED_VALUE"""),"aircon repair cost")</f>
        <v>aircon repair cost</v>
      </c>
      <c r="U241" s="4"/>
      <c r="V241" s="4"/>
      <c r="W241" s="4"/>
      <c r="X241" s="4"/>
      <c r="Y241" s="4"/>
      <c r="Z241" s="4"/>
    </row>
    <row r="242" ht="15.75" customHeight="1">
      <c r="A242" s="4" t="str">
        <f>IFERROR(__xludf.DUMMYFUNCTION("""COMPUTED_VALUE"""),"refrigeration services Constantia")</f>
        <v>refrigeration services Constantia</v>
      </c>
      <c r="B242" s="4" t="str">
        <f>IFERROR(__xludf.DUMMYFUNCTION("""COMPUTED_VALUE"""),"Woodstock aircon repairs")</f>
        <v>Woodstock aircon repairs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 t="str">
        <f>IFERROR(__xludf.DUMMYFUNCTION("""COMPUTED_VALUE"""),"aircon repair emergency")</f>
        <v>aircon repair emergency</v>
      </c>
      <c r="U242" s="4"/>
      <c r="V242" s="4"/>
      <c r="W242" s="4"/>
      <c r="X242" s="4"/>
      <c r="Y242" s="4"/>
      <c r="Z242" s="4"/>
    </row>
    <row r="243" ht="15.75" customHeight="1">
      <c r="A243" s="4" t="str">
        <f>IFERROR(__xludf.DUMMYFUNCTION("""COMPUTED_VALUE"""),"refrigeration services Durbanville")</f>
        <v>refrigeration services Durbanville</v>
      </c>
      <c r="B243" s="4" t="str">
        <f>IFERROR(__xludf.DUMMYFUNCTION("""COMPUTED_VALUE"""),"Woodstock blocked drain plumber")</f>
        <v>Woodstock blocked drain plumber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 t="str">
        <f>IFERROR(__xludf.DUMMYFUNCTION("""COMPUTED_VALUE"""),"aircon repair installation")</f>
        <v>aircon repair installation</v>
      </c>
      <c r="U243" s="4"/>
      <c r="V243" s="4"/>
      <c r="W243" s="4"/>
      <c r="X243" s="4"/>
      <c r="Y243" s="4"/>
      <c r="Z243" s="4"/>
    </row>
    <row r="244" ht="15.75" customHeight="1">
      <c r="A244" s="4" t="str">
        <f>IFERROR(__xludf.DUMMYFUNCTION("""COMPUTED_VALUE"""),"refrigeration services Fish Hoek")</f>
        <v>refrigeration services Fish Hoek</v>
      </c>
      <c r="B244" s="4" t="str">
        <f>IFERROR(__xludf.DUMMYFUNCTION("""COMPUTED_VALUE"""),"Woodstock electrician")</f>
        <v>Woodstock electrician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 t="str">
        <f>IFERROR(__xludf.DUMMYFUNCTION("""COMPUTED_VALUE"""),"aircon repair local")</f>
        <v>aircon repair local</v>
      </c>
      <c r="U244" s="4"/>
      <c r="V244" s="4"/>
      <c r="W244" s="4"/>
      <c r="X244" s="4"/>
      <c r="Y244" s="4"/>
      <c r="Z244" s="4"/>
    </row>
    <row r="245" ht="15.75" customHeight="1">
      <c r="A245" s="4" t="str">
        <f>IFERROR(__xludf.DUMMYFUNCTION("""COMPUTED_VALUE"""),"refrigeration services Green Point")</f>
        <v>refrigeration services Green Point</v>
      </c>
      <c r="B245" s="4" t="str">
        <f>IFERROR(__xludf.DUMMYFUNCTION("""COMPUTED_VALUE"""),"Woodstock emergency plumber")</f>
        <v>Woodstock emergency plumber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 t="str">
        <f>IFERROR(__xludf.DUMMYFUNCTION("""COMPUTED_VALUE"""),"aircon repair maintenance")</f>
        <v>aircon repair maintenance</v>
      </c>
      <c r="U245" s="4"/>
      <c r="V245" s="4"/>
      <c r="W245" s="4"/>
      <c r="X245" s="4"/>
      <c r="Y245" s="4"/>
      <c r="Z245" s="4"/>
    </row>
    <row r="246" ht="15.75" customHeight="1">
      <c r="A246" s="4" t="str">
        <f>IFERROR(__xludf.DUMMYFUNCTION("""COMPUTED_VALUE"""),"refrigeration services Hout Bay")</f>
        <v>refrigeration services Hout Bay</v>
      </c>
      <c r="B246" s="4" t="str">
        <f>IFERROR(__xludf.DUMMYFUNCTION("""COMPUTED_VALUE"""),"Woodstock geyser repair")</f>
        <v>Woodstock geyser repair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 t="str">
        <f>IFERROR(__xludf.DUMMYFUNCTION("""COMPUTED_VALUE"""),"aircon repair near me")</f>
        <v>aircon repair near me</v>
      </c>
      <c r="U246" s="4"/>
      <c r="V246" s="4"/>
      <c r="W246" s="4"/>
      <c r="X246" s="4"/>
      <c r="Y246" s="4"/>
      <c r="Z246" s="4"/>
    </row>
    <row r="247" ht="15.75" customHeight="1">
      <c r="A247" s="4" t="str">
        <f>IFERROR(__xludf.DUMMYFUNCTION("""COMPUTED_VALUE"""),"refrigeration services Maitland")</f>
        <v>refrigeration services Maitland</v>
      </c>
      <c r="B247" s="4" t="str">
        <f>IFERROR(__xludf.DUMMYFUNCTION("""COMPUTED_VALUE"""),"Woodstock leak detection plumber")</f>
        <v>Woodstock leak detection plumber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 t="str">
        <f>IFERROR(__xludf.DUMMYFUNCTION("""COMPUTED_VALUE"""),"aircon repair professional")</f>
        <v>aircon repair professional</v>
      </c>
      <c r="U247" s="4"/>
      <c r="V247" s="4"/>
      <c r="W247" s="4"/>
      <c r="X247" s="4"/>
      <c r="Y247" s="4"/>
      <c r="Z247" s="4"/>
    </row>
    <row r="248" ht="15.75" customHeight="1">
      <c r="A248" s="4" t="str">
        <f>IFERROR(__xludf.DUMMYFUNCTION("""COMPUTED_VALUE"""),"refrigeration services Milnerton")</f>
        <v>refrigeration services Milnerton</v>
      </c>
      <c r="B248" s="4" t="str">
        <f>IFERROR(__xludf.DUMMYFUNCTION("""COMPUTED_VALUE"""),"Woodstock plumber")</f>
        <v>Woodstock plumber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 t="str">
        <f>IFERROR(__xludf.DUMMYFUNCTION("""COMPUTED_VALUE"""),"aircon repair quote")</f>
        <v>aircon repair quote</v>
      </c>
      <c r="U248" s="4"/>
      <c r="V248" s="4"/>
      <c r="W248" s="4"/>
      <c r="X248" s="4"/>
      <c r="Y248" s="4"/>
      <c r="Z248" s="4"/>
    </row>
    <row r="249" ht="15.75" customHeight="1">
      <c r="A249" s="4" t="str">
        <f>IFERROR(__xludf.DUMMYFUNCTION("""COMPUTED_VALUE"""),"refrigeration services Muizenberg")</f>
        <v>refrigeration services Muizenberg</v>
      </c>
      <c r="B249" s="4" t="str">
        <f>IFERROR(__xludf.DUMMYFUNCTION("""COMPUTED_VALUE"""),"Woodstock plumbers")</f>
        <v>Woodstock plumbers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 t="str">
        <f>IFERROR(__xludf.DUMMYFUNCTION("""COMPUTED_VALUE"""),"aircon repair reliable")</f>
        <v>aircon repair reliable</v>
      </c>
      <c r="U249" s="4"/>
      <c r="V249" s="4"/>
      <c r="W249" s="4"/>
      <c r="X249" s="4"/>
      <c r="Y249" s="4"/>
      <c r="Z249" s="4"/>
    </row>
    <row r="250" ht="15.75" customHeight="1">
      <c r="A250" s="4" t="str">
        <f>IFERROR(__xludf.DUMMYFUNCTION("""COMPUTED_VALUE"""),"refrigeration services Newlands")</f>
        <v>refrigeration services Newlands</v>
      </c>
      <c r="B250" s="4" t="str">
        <f>IFERROR(__xludf.DUMMYFUNCTION("""COMPUTED_VALUE"""),"Woodstock plumbing company")</f>
        <v>Woodstock plumbing company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 t="str">
        <f>IFERROR(__xludf.DUMMYFUNCTION("""COMPUTED_VALUE"""),"aircon repair residential")</f>
        <v>aircon repair residential</v>
      </c>
      <c r="U250" s="4"/>
      <c r="V250" s="4"/>
      <c r="W250" s="4"/>
      <c r="X250" s="4"/>
      <c r="Y250" s="4"/>
      <c r="Z250" s="4"/>
    </row>
    <row r="251" ht="15.75" customHeight="1">
      <c r="A251" s="4" t="str">
        <f>IFERROR(__xludf.DUMMYFUNCTION("""COMPUTED_VALUE"""),"refrigeration services Northern Suburbs")</f>
        <v>refrigeration services Northern Suburbs</v>
      </c>
      <c r="B251" s="4" t="str">
        <f>IFERROR(__xludf.DUMMYFUNCTION("""COMPUTED_VALUE"""),"Woodstock refrigeration services")</f>
        <v>Woodstock refrigeration services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 t="str">
        <f>IFERROR(__xludf.DUMMYFUNCTION("""COMPUTED_VALUE"""),"aircon repair same day")</f>
        <v>aircon repair same day</v>
      </c>
      <c r="U251" s="4"/>
      <c r="V251" s="4"/>
      <c r="W251" s="4"/>
      <c r="X251" s="4"/>
      <c r="Y251" s="4"/>
      <c r="Z251" s="4"/>
    </row>
    <row r="252" ht="15.75" customHeight="1">
      <c r="A252" s="4" t="str">
        <f>IFERROR(__xludf.DUMMYFUNCTION("""COMPUTED_VALUE"""),"refrigeration services Observatory")</f>
        <v>refrigeration services Observatory</v>
      </c>
      <c r="B252" s="4" t="str">
        <f>IFERROR(__xludf.DUMMYFUNCTION("""COMPUTED_VALUE"""),"Wynberg aircon repairs")</f>
        <v>Wynberg aircon repairs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 t="str">
        <f>IFERROR(__xludf.DUMMYFUNCTION("""COMPUTED_VALUE"""),"aircon repair service")</f>
        <v>aircon repair service</v>
      </c>
      <c r="U252" s="4"/>
      <c r="V252" s="4"/>
      <c r="W252" s="4"/>
      <c r="X252" s="4"/>
      <c r="Y252" s="4"/>
      <c r="Z252" s="4"/>
    </row>
    <row r="253" ht="15.75" customHeight="1">
      <c r="A253" s="4" t="str">
        <f>IFERROR(__xludf.DUMMYFUNCTION("""COMPUTED_VALUE"""),"refrigeration services Plumstead")</f>
        <v>refrigeration services Plumstead</v>
      </c>
      <c r="B253" s="4" t="str">
        <f>IFERROR(__xludf.DUMMYFUNCTION("""COMPUTED_VALUE"""),"Wynberg blocked drain plumber")</f>
        <v>Wynberg blocked drain plumber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 t="str">
        <f>IFERROR(__xludf.DUMMYFUNCTION("""COMPUTED_VALUE"""),"aircon repair technician")</f>
        <v>aircon repair technician</v>
      </c>
      <c r="U253" s="4"/>
      <c r="V253" s="4"/>
      <c r="W253" s="4"/>
      <c r="X253" s="4"/>
      <c r="Y253" s="4"/>
      <c r="Z253" s="4"/>
    </row>
    <row r="254" ht="15.75" customHeight="1">
      <c r="A254" s="4" t="str">
        <f>IFERROR(__xludf.DUMMYFUNCTION("""COMPUTED_VALUE"""),"refrigeration services Rondebosch")</f>
        <v>refrigeration services Rondebosch</v>
      </c>
      <c r="B254" s="4" t="str">
        <f>IFERROR(__xludf.DUMMYFUNCTION("""COMPUTED_VALUE"""),"Wynberg electrician")</f>
        <v>Wynberg electrician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 t="str">
        <f>IFERROR(__xludf.DUMMYFUNCTION("""COMPUTED_VALUE"""),"aircon repairs Atlantic Seaboard")</f>
        <v>aircon repairs Atlantic Seaboard</v>
      </c>
      <c r="U254" s="4"/>
      <c r="V254" s="4"/>
      <c r="W254" s="4"/>
      <c r="X254" s="4"/>
      <c r="Y254" s="4"/>
      <c r="Z254" s="4"/>
    </row>
    <row r="255" ht="15.75" customHeight="1">
      <c r="A255" s="4" t="str">
        <f>IFERROR(__xludf.DUMMYFUNCTION("""COMPUTED_VALUE"""),"refrigeration services Sea Point")</f>
        <v>refrigeration services Sea Point</v>
      </c>
      <c r="B255" s="4" t="str">
        <f>IFERROR(__xludf.DUMMYFUNCTION("""COMPUTED_VALUE"""),"Wynberg emergency plumber")</f>
        <v>Wynberg emergency plumber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 t="str">
        <f>IFERROR(__xludf.DUMMYFUNCTION("""COMPUTED_VALUE"""),"aircon repairs Bellville")</f>
        <v>aircon repairs Bellville</v>
      </c>
      <c r="U255" s="4"/>
      <c r="V255" s="4"/>
      <c r="W255" s="4"/>
      <c r="X255" s="4"/>
      <c r="Y255" s="4"/>
      <c r="Z255" s="4"/>
    </row>
    <row r="256" ht="15.75" customHeight="1">
      <c r="A256" s="4" t="str">
        <f>IFERROR(__xludf.DUMMYFUNCTION("""COMPUTED_VALUE"""),"refrigeration services South Africa")</f>
        <v>refrigeration services South Africa</v>
      </c>
      <c r="B256" s="4" t="str">
        <f>IFERROR(__xludf.DUMMYFUNCTION("""COMPUTED_VALUE"""),"Wynberg geyser repair")</f>
        <v>Wynberg geyser repair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 t="str">
        <f>IFERROR(__xludf.DUMMYFUNCTION("""COMPUTED_VALUE"""),"aircon repairs Camps Bay")</f>
        <v>aircon repairs Camps Bay</v>
      </c>
      <c r="U256" s="4"/>
      <c r="V256" s="4"/>
      <c r="W256" s="4"/>
      <c r="X256" s="4"/>
      <c r="Y256" s="4"/>
      <c r="Z256" s="4"/>
    </row>
    <row r="257" ht="15.75" customHeight="1">
      <c r="A257" s="4" t="str">
        <f>IFERROR(__xludf.DUMMYFUNCTION("""COMPUTED_VALUE"""),"refrigeration services Southern Suburbs")</f>
        <v>refrigeration services Southern Suburbs</v>
      </c>
      <c r="B257" s="4" t="str">
        <f>IFERROR(__xludf.DUMMYFUNCTION("""COMPUTED_VALUE"""),"Wynberg leak detection plumber")</f>
        <v>Wynberg leak detection plumber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 t="str">
        <f>IFERROR(__xludf.DUMMYFUNCTION("""COMPUTED_VALUE"""),"aircon repairs Cape Town")</f>
        <v>aircon repairs Cape Town</v>
      </c>
      <c r="U257" s="4"/>
      <c r="V257" s="4"/>
      <c r="W257" s="4"/>
      <c r="X257" s="4"/>
      <c r="Y257" s="4"/>
      <c r="Z257" s="4"/>
    </row>
    <row r="258" ht="15.75" customHeight="1">
      <c r="A258" s="4" t="str">
        <f>IFERROR(__xludf.DUMMYFUNCTION("""COMPUTED_VALUE"""),"refrigeration services Table View")</f>
        <v>refrigeration services Table View</v>
      </c>
      <c r="B258" s="4" t="str">
        <f>IFERROR(__xludf.DUMMYFUNCTION("""COMPUTED_VALUE"""),"Wynberg plumber")</f>
        <v>Wynberg plumber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 t="str">
        <f>IFERROR(__xludf.DUMMYFUNCTION("""COMPUTED_VALUE"""),"aircon repairs Cape Town CBD")</f>
        <v>aircon repairs Cape Town CBD</v>
      </c>
      <c r="U258" s="4"/>
      <c r="V258" s="4"/>
      <c r="W258" s="4"/>
      <c r="X258" s="4"/>
      <c r="Y258" s="4"/>
      <c r="Z258" s="4"/>
    </row>
    <row r="259" ht="15.75" customHeight="1">
      <c r="A259" s="4" t="str">
        <f>IFERROR(__xludf.DUMMYFUNCTION("""COMPUTED_VALUE"""),"refrigeration services Tokai")</f>
        <v>refrigeration services Tokai</v>
      </c>
      <c r="B259" s="4" t="str">
        <f>IFERROR(__xludf.DUMMYFUNCTION("""COMPUTED_VALUE"""),"Wynberg plumbers")</f>
        <v>Wynberg plumbers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 t="str">
        <f>IFERROR(__xludf.DUMMYFUNCTION("""COMPUTED_VALUE"""),"aircon repairs Claremont")</f>
        <v>aircon repairs Claremont</v>
      </c>
      <c r="U259" s="4"/>
      <c r="V259" s="4"/>
      <c r="W259" s="4"/>
      <c r="X259" s="4"/>
      <c r="Y259" s="4"/>
      <c r="Z259" s="4"/>
    </row>
    <row r="260" ht="15.75" customHeight="1">
      <c r="A260" s="4" t="str">
        <f>IFERROR(__xludf.DUMMYFUNCTION("""COMPUTED_VALUE"""),"refrigeration services Woodstock")</f>
        <v>refrigeration services Woodstock</v>
      </c>
      <c r="B260" s="4" t="str">
        <f>IFERROR(__xludf.DUMMYFUNCTION("""COMPUTED_VALUE"""),"Wynberg plumbing company")</f>
        <v>Wynberg plumbing company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 t="str">
        <f>IFERROR(__xludf.DUMMYFUNCTION("""COMPUTED_VALUE"""),"aircon repairs Constantia")</f>
        <v>aircon repairs Constantia</v>
      </c>
      <c r="U260" s="4"/>
      <c r="V260" s="4"/>
      <c r="W260" s="4"/>
      <c r="X260" s="4"/>
      <c r="Y260" s="4"/>
      <c r="Z260" s="4"/>
    </row>
    <row r="261" ht="15.75" customHeight="1">
      <c r="A261" s="4" t="str">
        <f>IFERROR(__xludf.DUMMYFUNCTION("""COMPUTED_VALUE"""),"refrigeration services Wynberg")</f>
        <v>refrigeration services Wynberg</v>
      </c>
      <c r="B261" s="4" t="str">
        <f>IFERROR(__xludf.DUMMYFUNCTION("""COMPUTED_VALUE"""),"Wynberg refrigeration services")</f>
        <v>Wynberg refrigeration services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 t="str">
        <f>IFERROR(__xludf.DUMMYFUNCTION("""COMPUTED_VALUE"""),"aircon repairs Durbanville")</f>
        <v>aircon repairs Durbanville</v>
      </c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 t="str">
        <f>IFERROR(__xludf.DUMMYFUNCTION("""COMPUTED_VALUE"""),"aircon repairs Fish Hoek")</f>
        <v>aircon repairs Fish Hoek</v>
      </c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 t="str">
        <f>IFERROR(__xludf.DUMMYFUNCTION("""COMPUTED_VALUE"""),"aircon repairs Green Point")</f>
        <v>aircon repairs Green Point</v>
      </c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 t="str">
        <f>IFERROR(__xludf.DUMMYFUNCTION("""COMPUTED_VALUE"""),"aircon repairs Hout Bay")</f>
        <v>aircon repairs Hout Bay</v>
      </c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 t="str">
        <f>IFERROR(__xludf.DUMMYFUNCTION("""COMPUTED_VALUE"""),"aircon repairs Maitland")</f>
        <v>aircon repairs Maitland</v>
      </c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 t="str">
        <f>IFERROR(__xludf.DUMMYFUNCTION("""COMPUTED_VALUE"""),"aircon repairs Milnerton")</f>
        <v>aircon repairs Milnerton</v>
      </c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 t="str">
        <f>IFERROR(__xludf.DUMMYFUNCTION("""COMPUTED_VALUE"""),"aircon repairs Muizenberg")</f>
        <v>aircon repairs Muizenberg</v>
      </c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 t="str">
        <f>IFERROR(__xludf.DUMMYFUNCTION("""COMPUTED_VALUE"""),"aircon repairs Newlands")</f>
        <v>aircon repairs Newlands</v>
      </c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 t="str">
        <f>IFERROR(__xludf.DUMMYFUNCTION("""COMPUTED_VALUE"""),"aircon repairs Northern Suburbs")</f>
        <v>aircon repairs Northern Suburbs</v>
      </c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 t="str">
        <f>IFERROR(__xludf.DUMMYFUNCTION("""COMPUTED_VALUE"""),"aircon repairs Observatory")</f>
        <v>aircon repairs Observatory</v>
      </c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 t="str">
        <f>IFERROR(__xludf.DUMMYFUNCTION("""COMPUTED_VALUE"""),"aircon repairs Plumstead")</f>
        <v>aircon repairs Plumstead</v>
      </c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 t="str">
        <f>IFERROR(__xludf.DUMMYFUNCTION("""COMPUTED_VALUE"""),"aircon repairs Rondebosch")</f>
        <v>aircon repairs Rondebosch</v>
      </c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 t="str">
        <f>IFERROR(__xludf.DUMMYFUNCTION("""COMPUTED_VALUE"""),"aircon repairs Sea Point")</f>
        <v>aircon repairs Sea Point</v>
      </c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 t="str">
        <f>IFERROR(__xludf.DUMMYFUNCTION("""COMPUTED_VALUE"""),"aircon repairs South Africa")</f>
        <v>aircon repairs South Africa</v>
      </c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 t="str">
        <f>IFERROR(__xludf.DUMMYFUNCTION("""COMPUTED_VALUE"""),"aircon repairs Southern Suburbs")</f>
        <v>aircon repairs Southern Suburbs</v>
      </c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 t="str">
        <f>IFERROR(__xludf.DUMMYFUNCTION("""COMPUTED_VALUE"""),"aircon repairs Table View")</f>
        <v>aircon repairs Table View</v>
      </c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 t="str">
        <f>IFERROR(__xludf.DUMMYFUNCTION("""COMPUTED_VALUE"""),"aircon repairs Tokai")</f>
        <v>aircon repairs Tokai</v>
      </c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 t="str">
        <f>IFERROR(__xludf.DUMMYFUNCTION("""COMPUTED_VALUE"""),"aircon repairs Woodstock")</f>
        <v>aircon repairs Woodstock</v>
      </c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 t="str">
        <f>IFERROR(__xludf.DUMMYFUNCTION("""COMPUTED_VALUE"""),"aircon repairs Wynberg")</f>
        <v>aircon repairs Wynberg</v>
      </c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 t="str">
        <f>IFERROR(__xludf.DUMMYFUNCTION("""COMPUTED_VALUE"""),"aircon service")</f>
        <v>aircon service</v>
      </c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 t="str">
        <f>IFERROR(__xludf.DUMMYFUNCTION("""COMPUTED_VALUE"""),"aircon service affordable")</f>
        <v>aircon service affordable</v>
      </c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 t="str">
        <f>IFERROR(__xludf.DUMMYFUNCTION("""COMPUTED_VALUE"""),"aircon service best")</f>
        <v>aircon service best</v>
      </c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 t="str">
        <f>IFERROR(__xludf.DUMMYFUNCTION("""COMPUTED_VALUE"""),"aircon service best way to fix")</f>
        <v>aircon service best way to fix</v>
      </c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 t="str">
        <f>IFERROR(__xludf.DUMMYFUNCTION("""COMPUTED_VALUE"""),"aircon service can a plumber fix")</f>
        <v>aircon service can a plumber fix</v>
      </c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 t="str">
        <f>IFERROR(__xludf.DUMMYFUNCTION("""COMPUTED_VALUE"""),"aircon service cape town")</f>
        <v>aircon service cape town</v>
      </c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 t="str">
        <f>IFERROR(__xludf.DUMMYFUNCTION("""COMPUTED_VALUE"""),"aircon service commercial")</f>
        <v>aircon service commercial</v>
      </c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 t="str">
        <f>IFERROR(__xludf.DUMMYFUNCTION("""COMPUTED_VALUE"""),"aircon service company")</f>
        <v>aircon service company</v>
      </c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 t="str">
        <f>IFERROR(__xludf.DUMMYFUNCTION("""COMPUTED_VALUE"""),"aircon service contractor")</f>
        <v>aircon service contractor</v>
      </c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 t="str">
        <f>IFERROR(__xludf.DUMMYFUNCTION("""COMPUTED_VALUE"""),"aircon service cost")</f>
        <v>aircon service cost</v>
      </c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 t="str">
        <f>IFERROR(__xludf.DUMMYFUNCTION("""COMPUTED_VALUE"""),"aircon service cost of")</f>
        <v>aircon service cost of</v>
      </c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 t="str">
        <f>IFERROR(__xludf.DUMMYFUNCTION("""COMPUTED_VALUE"""),"aircon service do I need")</f>
        <v>aircon service do I need</v>
      </c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 t="str">
        <f>IFERROR(__xludf.DUMMYFUNCTION("""COMPUTED_VALUE"""),"aircon service emergency")</f>
        <v>aircon service emergency</v>
      </c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 t="str">
        <f>IFERROR(__xludf.DUMMYFUNCTION("""COMPUTED_VALUE"""),"aircon service emergency help for")</f>
        <v>aircon service emergency help for</v>
      </c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 t="str">
        <f>IFERROR(__xludf.DUMMYFUNCTION("""COMPUTED_VALUE"""),"aircon service how long does")</f>
        <v>aircon service how long does</v>
      </c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 t="str">
        <f>IFERROR(__xludf.DUMMYFUNCTION("""COMPUTED_VALUE"""),"aircon service how much does")</f>
        <v>aircon service how much does</v>
      </c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 t="str">
        <f>IFERROR(__xludf.DUMMYFUNCTION("""COMPUTED_VALUE"""),"aircon service how to choose")</f>
        <v>aircon service how to choose</v>
      </c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 t="str">
        <f>IFERROR(__xludf.DUMMYFUNCTION("""COMPUTED_VALUE"""),"aircon service how to prevent")</f>
        <v>aircon service how to prevent</v>
      </c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 t="str">
        <f>IFERROR(__xludf.DUMMYFUNCTION("""COMPUTED_VALUE"""),"aircon service installation")</f>
        <v>aircon service installation</v>
      </c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 t="str">
        <f>IFERROR(__xludf.DUMMYFUNCTION("""COMPUTED_VALUE"""),"aircon service is it safe to")</f>
        <v>aircon service is it safe to</v>
      </c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 t="str">
        <f>IFERROR(__xludf.DUMMYFUNCTION("""COMPUTED_VALUE"""),"aircon service local")</f>
        <v>aircon service local</v>
      </c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 t="str">
        <f>IFERROR(__xludf.DUMMYFUNCTION("""COMPUTED_VALUE"""),"aircon service maintenance")</f>
        <v>aircon service maintenance</v>
      </c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 t="str">
        <f>IFERROR(__xludf.DUMMYFUNCTION("""COMPUTED_VALUE"""),"aircon service near me")</f>
        <v>aircon service near me</v>
      </c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 t="str">
        <f>IFERROR(__xludf.DUMMYFUNCTION("""COMPUTED_VALUE"""),"aircon service near me for")</f>
        <v>aircon service near me for</v>
      </c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 t="str">
        <f>IFERROR(__xludf.DUMMYFUNCTION("""COMPUTED_VALUE"""),"aircon service professional")</f>
        <v>aircon service professional</v>
      </c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 t="str">
        <f>IFERROR(__xludf.DUMMYFUNCTION("""COMPUTED_VALUE"""),"aircon service quote")</f>
        <v>aircon service quote</v>
      </c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 t="str">
        <f>IFERROR(__xludf.DUMMYFUNCTION("""COMPUTED_VALUE"""),"aircon service reliable")</f>
        <v>aircon service reliable</v>
      </c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 t="str">
        <f>IFERROR(__xludf.DUMMYFUNCTION("""COMPUTED_VALUE"""),"aircon service repair")</f>
        <v>aircon service repair</v>
      </c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 t="str">
        <f>IFERROR(__xludf.DUMMYFUNCTION("""COMPUTED_VALUE"""),"aircon service residential")</f>
        <v>aircon service residential</v>
      </c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 t="str">
        <f>IFERROR(__xludf.DUMMYFUNCTION("""COMPUTED_VALUE"""),"aircon service same day")</f>
        <v>aircon service same day</v>
      </c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 t="str">
        <f>IFERROR(__xludf.DUMMYFUNCTION("""COMPUTED_VALUE"""),"aircon service same day help for")</f>
        <v>aircon service same day help for</v>
      </c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 t="str">
        <f>IFERROR(__xludf.DUMMYFUNCTION("""COMPUTED_VALUE"""),"aircon service signs you need")</f>
        <v>aircon service signs you need</v>
      </c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 t="str">
        <f>IFERROR(__xludf.DUMMYFUNCTION("""COMPUTED_VALUE"""),"aircon service technician")</f>
        <v>aircon service technician</v>
      </c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 t="str">
        <f>IFERROR(__xludf.DUMMYFUNCTION("""COMPUTED_VALUE"""),"aircon service what causes")</f>
        <v>aircon service what causes</v>
      </c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 t="str">
        <f>IFERROR(__xludf.DUMMYFUNCTION("""COMPUTED_VALUE"""),"aircon service what is")</f>
        <v>aircon service what is</v>
      </c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 t="str">
        <f>IFERROR(__xludf.DUMMYFUNCTION("""COMPUTED_VALUE"""),"aircon service when to call a")</f>
        <v>aircon service when to call a</v>
      </c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 t="str">
        <f>IFERROR(__xludf.DUMMYFUNCTION("""COMPUTED_VALUE"""),"aircon service who fixes")</f>
        <v>aircon service who fixes</v>
      </c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 t="str">
        <f>IFERROR(__xludf.DUMMYFUNCTION("""COMPUTED_VALUE"""),"aircon service why is my")</f>
        <v>aircon service why is my</v>
      </c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 t="str">
        <f>IFERROR(__xludf.DUMMYFUNCTION("""COMPUTED_VALUE"""),"alternatives absolute plumbing cape town")</f>
        <v>alternatives absolute plumbing cape town</v>
      </c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 t="str">
        <f>IFERROR(__xludf.DUMMYFUNCTION("""COMPUTED_VALUE"""),"alternatives aircon repair cape town")</f>
        <v>alternatives aircon repair cape town</v>
      </c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 t="str">
        <f>IFERROR(__xludf.DUMMYFUNCTION("""COMPUTED_VALUE"""),"alternatives bosman plumbers")</f>
        <v>alternatives bosman plumbers</v>
      </c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 t="str">
        <f>IFERROR(__xludf.DUMMYFUNCTION("""COMPUTED_VALUE"""),"alternatives drain surgeon cape town")</f>
        <v>alternatives drain surgeon cape town</v>
      </c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 t="str">
        <f>IFERROR(__xludf.DUMMYFUNCTION("""COMPUTED_VALUE"""),"alternatives electrician cape town")</f>
        <v>alternatives electrician cape town</v>
      </c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 t="str">
        <f>IFERROR(__xludf.DUMMYFUNCTION("""COMPUTED_VALUE"""),"alternatives emergency plumber cape town")</f>
        <v>alternatives emergency plumber cape town</v>
      </c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 t="str">
        <f>IFERROR(__xludf.DUMMYFUNCTION("""COMPUTED_VALUE"""),"alternatives plumber near me")</f>
        <v>alternatives plumber near me</v>
      </c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 t="str">
        <f>IFERROR(__xludf.DUMMYFUNCTION("""COMPUTED_VALUE"""),"alternatives plumbers cape town")</f>
        <v>alternatives plumbers cape town</v>
      </c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 t="str">
        <f>IFERROR(__xludf.DUMMYFUNCTION("""COMPUTED_VALUE"""),"alternatives plumbing company cape town")</f>
        <v>alternatives plumbing company cape town</v>
      </c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 t="str">
        <f>IFERROR(__xludf.DUMMYFUNCTION("""COMPUTED_VALUE"""),"alternatives schmidhauser plumbing")</f>
        <v>alternatives schmidhauser plumbing</v>
      </c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 t="str">
        <f>IFERROR(__xludf.DUMMYFUNCTION("""COMPUTED_VALUE"""),"apartment air conditioning services")</f>
        <v>apartment air conditioning services</v>
      </c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 t="str">
        <f>IFERROR(__xludf.DUMMYFUNCTION("""COMPUTED_VALUE"""),"apartment drain cleaning")</f>
        <v>apartment drain cleaning</v>
      </c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 t="str">
        <f>IFERROR(__xludf.DUMMYFUNCTION("""COMPUTED_VALUE"""),"apartment electrical repairs")</f>
        <v>apartment electrical repairs</v>
      </c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 t="str">
        <f>IFERROR(__xludf.DUMMYFUNCTION("""COMPUTED_VALUE"""),"apartment emergency plumbing")</f>
        <v>apartment emergency plumbing</v>
      </c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 t="str">
        <f>IFERROR(__xludf.DUMMYFUNCTION("""COMPUTED_VALUE"""),"apartment geyser repairs")</f>
        <v>apartment geyser repairs</v>
      </c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 t="str">
        <f>IFERROR(__xludf.DUMMYFUNCTION("""COMPUTED_VALUE"""),"apartment leak detection")</f>
        <v>apartment leak detection</v>
      </c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 t="str">
        <f>IFERROR(__xludf.DUMMYFUNCTION("""COMPUTED_VALUE"""),"apartment maintenance plumber")</f>
        <v>apartment maintenance plumber</v>
      </c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 t="str">
        <f>IFERROR(__xludf.DUMMYFUNCTION("""COMPUTED_VALUE"""),"apartment plumbing company")</f>
        <v>apartment plumbing company</v>
      </c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 t="str">
        <f>IFERROR(__xludf.DUMMYFUNCTION("""COMPUTED_VALUE"""),"apartment plumbing services")</f>
        <v>apartment plumbing services</v>
      </c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 t="str">
        <f>IFERROR(__xludf.DUMMYFUNCTION("""COMPUTED_VALUE"""),"apartment refrigeration services")</f>
        <v>apartment refrigeration services</v>
      </c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 t="str">
        <f>IFERROR(__xludf.DUMMYFUNCTION("""COMPUTED_VALUE"""),"Atlantic Seaboard aircon repairs")</f>
        <v>Atlantic Seaboard aircon repairs</v>
      </c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 t="str">
        <f>IFERROR(__xludf.DUMMYFUNCTION("""COMPUTED_VALUE"""),"Atlantic Seaboard blocked drain plumber")</f>
        <v>Atlantic Seaboard blocked drain plumber</v>
      </c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 t="str">
        <f>IFERROR(__xludf.DUMMYFUNCTION("""COMPUTED_VALUE"""),"Atlantic Seaboard electrician")</f>
        <v>Atlantic Seaboard electrician</v>
      </c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 t="str">
        <f>IFERROR(__xludf.DUMMYFUNCTION("""COMPUTED_VALUE"""),"Atlantic Seaboard emergency plumber")</f>
        <v>Atlantic Seaboard emergency plumber</v>
      </c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 t="str">
        <f>IFERROR(__xludf.DUMMYFUNCTION("""COMPUTED_VALUE"""),"Atlantic Seaboard geyser repair")</f>
        <v>Atlantic Seaboard geyser repair</v>
      </c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 t="str">
        <f>IFERROR(__xludf.DUMMYFUNCTION("""COMPUTED_VALUE"""),"Atlantic Seaboard leak detection plumber")</f>
        <v>Atlantic Seaboard leak detection plumber</v>
      </c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 t="str">
        <f>IFERROR(__xludf.DUMMYFUNCTION("""COMPUTED_VALUE"""),"Atlantic Seaboard plumber")</f>
        <v>Atlantic Seaboard plumber</v>
      </c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 t="str">
        <f>IFERROR(__xludf.DUMMYFUNCTION("""COMPUTED_VALUE"""),"Atlantic Seaboard plumbers")</f>
        <v>Atlantic Seaboard plumbers</v>
      </c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 t="str">
        <f>IFERROR(__xludf.DUMMYFUNCTION("""COMPUTED_VALUE"""),"Atlantic Seaboard plumbing company")</f>
        <v>Atlantic Seaboard plumbing company</v>
      </c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 t="str">
        <f>IFERROR(__xludf.DUMMYFUNCTION("""COMPUTED_VALUE"""),"Atlantic Seaboard refrigeration services")</f>
        <v>Atlantic Seaboard refrigeration services</v>
      </c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 t="str">
        <f>IFERROR(__xludf.DUMMYFUNCTION("""COMPUTED_VALUE"""),"bathroom plumbing repair")</f>
        <v>bathroom plumbing repair</v>
      </c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 t="str">
        <f>IFERROR(__xludf.DUMMYFUNCTION("""COMPUTED_VALUE"""),"bathroom plumbing repair after hours")</f>
        <v>bathroom plumbing repair after hours</v>
      </c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 t="str">
        <f>IFERROR(__xludf.DUMMYFUNCTION("""COMPUTED_VALUE"""),"bathroom plumbing repair call out")</f>
        <v>bathroom plumbing repair call out</v>
      </c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 t="str">
        <f>IFERROR(__xludf.DUMMYFUNCTION("""COMPUTED_VALUE"""),"bathroom plumbing repair cape town")</f>
        <v>bathroom plumbing repair cape town</v>
      </c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 t="str">
        <f>IFERROR(__xludf.DUMMYFUNCTION("""COMPUTED_VALUE"""),"bathroom plumbing repair commercial")</f>
        <v>bathroom plumbing repair commercial</v>
      </c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 t="str">
        <f>IFERROR(__xludf.DUMMYFUNCTION("""COMPUTED_VALUE"""),"bathroom plumbing repair company")</f>
        <v>bathroom plumbing repair company</v>
      </c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 t="str">
        <f>IFERROR(__xludf.DUMMYFUNCTION("""COMPUTED_VALUE"""),"bathroom plumbing repair cost")</f>
        <v>bathroom plumbing repair cost</v>
      </c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 t="str">
        <f>IFERROR(__xludf.DUMMYFUNCTION("""COMPUTED_VALUE"""),"bathroom plumbing repair emergency")</f>
        <v>bathroom plumbing repair emergency</v>
      </c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 t="str">
        <f>IFERROR(__xludf.DUMMYFUNCTION("""COMPUTED_VALUE"""),"bathroom plumbing repair fast")</f>
        <v>bathroom plumbing repair fast</v>
      </c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 t="str">
        <f>IFERROR(__xludf.DUMMYFUNCTION("""COMPUTED_VALUE"""),"bathroom plumbing repair local")</f>
        <v>bathroom plumbing repair local</v>
      </c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 t="str">
        <f>IFERROR(__xludf.DUMMYFUNCTION("""COMPUTED_VALUE"""),"bathroom plumbing repair near me")</f>
        <v>bathroom plumbing repair near me</v>
      </c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 t="str">
        <f>IFERROR(__xludf.DUMMYFUNCTION("""COMPUTED_VALUE"""),"bathroom plumbing repair plumber")</f>
        <v>bathroom plumbing repair plumber</v>
      </c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 t="str">
        <f>IFERROR(__xludf.DUMMYFUNCTION("""COMPUTED_VALUE"""),"bathroom plumbing repair professional")</f>
        <v>bathroom plumbing repair professional</v>
      </c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 t="str">
        <f>IFERROR(__xludf.DUMMYFUNCTION("""COMPUTED_VALUE"""),"bathroom plumbing repair quote")</f>
        <v>bathroom plumbing repair quote</v>
      </c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 t="str">
        <f>IFERROR(__xludf.DUMMYFUNCTION("""COMPUTED_VALUE"""),"bathroom plumbing repair reliable")</f>
        <v>bathroom plumbing repair reliable</v>
      </c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 t="str">
        <f>IFERROR(__xludf.DUMMYFUNCTION("""COMPUTED_VALUE"""),"bathroom plumbing repair residential")</f>
        <v>bathroom plumbing repair residential</v>
      </c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 t="str">
        <f>IFERROR(__xludf.DUMMYFUNCTION("""COMPUTED_VALUE"""),"bathroom plumbing repair same day")</f>
        <v>bathroom plumbing repair same day</v>
      </c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 t="str">
        <f>IFERROR(__xludf.DUMMYFUNCTION("""COMPUTED_VALUE"""),"bathroom plumbing repair service")</f>
        <v>bathroom plumbing repair service</v>
      </c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 t="str">
        <f>IFERROR(__xludf.DUMMYFUNCTION("""COMPUTED_VALUE"""),"bathroom plumbing repair urgent")</f>
        <v>bathroom plumbing repair urgent</v>
      </c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 t="str">
        <f>IFERROR(__xludf.DUMMYFUNCTION("""COMPUTED_VALUE"""),"bathroom plumbing repair weekend")</f>
        <v>bathroom plumbing repair weekend</v>
      </c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 t="str">
        <f>IFERROR(__xludf.DUMMYFUNCTION("""COMPUTED_VALUE"""),"Bellville aircon repairs")</f>
        <v>Bellville aircon repairs</v>
      </c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 t="str">
        <f>IFERROR(__xludf.DUMMYFUNCTION("""COMPUTED_VALUE"""),"Bellville blocked drain plumber")</f>
        <v>Bellville blocked drain plumber</v>
      </c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 t="str">
        <f>IFERROR(__xludf.DUMMYFUNCTION("""COMPUTED_VALUE"""),"Bellville electrician")</f>
        <v>Bellville electrician</v>
      </c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 t="str">
        <f>IFERROR(__xludf.DUMMYFUNCTION("""COMPUTED_VALUE"""),"Bellville emergency plumber")</f>
        <v>Bellville emergency plumber</v>
      </c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 t="str">
        <f>IFERROR(__xludf.DUMMYFUNCTION("""COMPUTED_VALUE"""),"Bellville geyser repair")</f>
        <v>Bellville geyser repair</v>
      </c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 t="str">
        <f>IFERROR(__xludf.DUMMYFUNCTION("""COMPUTED_VALUE"""),"Bellville leak detection plumber")</f>
        <v>Bellville leak detection plumber</v>
      </c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 t="str">
        <f>IFERROR(__xludf.DUMMYFUNCTION("""COMPUTED_VALUE"""),"Bellville plumber")</f>
        <v>Bellville plumber</v>
      </c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 t="str">
        <f>IFERROR(__xludf.DUMMYFUNCTION("""COMPUTED_VALUE"""),"Bellville plumbers")</f>
        <v>Bellville plumbers</v>
      </c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 t="str">
        <f>IFERROR(__xludf.DUMMYFUNCTION("""COMPUTED_VALUE"""),"Bellville plumbing company")</f>
        <v>Bellville plumbing company</v>
      </c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 t="str">
        <f>IFERROR(__xludf.DUMMYFUNCTION("""COMPUTED_VALUE"""),"Bellville refrigeration services")</f>
        <v>Bellville refrigeration services</v>
      </c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 t="str">
        <f>IFERROR(__xludf.DUMMYFUNCTION("""COMPUTED_VALUE"""),"best absolute plumbing cape town")</f>
        <v>best absolute plumbing cape town</v>
      </c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 t="str">
        <f>IFERROR(__xludf.DUMMYFUNCTION("""COMPUTED_VALUE"""),"best air conditioning")</f>
        <v>best air conditioning</v>
      </c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 t="str">
        <f>IFERROR(__xludf.DUMMYFUNCTION("""COMPUTED_VALUE"""),"best air conditioning repair")</f>
        <v>best air conditioning repair</v>
      </c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 t="str">
        <f>IFERROR(__xludf.DUMMYFUNCTION("""COMPUTED_VALUE"""),"best aircon installation")</f>
        <v>best aircon installation</v>
      </c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 t="str">
        <f>IFERROR(__xludf.DUMMYFUNCTION("""COMPUTED_VALUE"""),"best aircon repair")</f>
        <v>best aircon repair</v>
      </c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 t="str">
        <f>IFERROR(__xludf.DUMMYFUNCTION("""COMPUTED_VALUE"""),"best aircon repair cape town")</f>
        <v>best aircon repair cape town</v>
      </c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 t="str">
        <f>IFERROR(__xludf.DUMMYFUNCTION("""COMPUTED_VALUE"""),"best aircon service")</f>
        <v>best aircon service</v>
      </c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 t="str">
        <f>IFERROR(__xludf.DUMMYFUNCTION("""COMPUTED_VALUE"""),"best blocked drain")</f>
        <v>best blocked drain</v>
      </c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 t="str">
        <f>IFERROR(__xludf.DUMMYFUNCTION("""COMPUTED_VALUE"""),"best bosman plumbers")</f>
        <v>best bosman plumbers</v>
      </c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 t="str">
        <f>IFERROR(__xludf.DUMMYFUNCTION("""COMPUTED_VALUE"""),"best burst geyser")</f>
        <v>best burst geyser</v>
      </c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 t="str">
        <f>IFERROR(__xludf.DUMMYFUNCTION("""COMPUTED_VALUE"""),"best cold room repair")</f>
        <v>best cold room repair</v>
      </c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 t="str">
        <f>IFERROR(__xludf.DUMMYFUNCTION("""COMPUTED_VALUE"""),"best commercial plumber")</f>
        <v>best commercial plumber</v>
      </c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 t="str">
        <f>IFERROR(__xludf.DUMMYFUNCTION("""COMPUTED_VALUE"""),"best commercial refrigeration")</f>
        <v>best commercial refrigeration</v>
      </c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 t="str">
        <f>IFERROR(__xludf.DUMMYFUNCTION("""COMPUTED_VALUE"""),"best drain cleaning")</f>
        <v>best drain cleaning</v>
      </c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 t="str">
        <f>IFERROR(__xludf.DUMMYFUNCTION("""COMPUTED_VALUE"""),"best drain inspection")</f>
        <v>best drain inspection</v>
      </c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 t="str">
        <f>IFERROR(__xludf.DUMMYFUNCTION("""COMPUTED_VALUE"""),"best drain surgeon cape town")</f>
        <v>best drain surgeon cape town</v>
      </c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 t="str">
        <f>IFERROR(__xludf.DUMMYFUNCTION("""COMPUTED_VALUE"""),"best drain unblocking")</f>
        <v>best drain unblocking</v>
      </c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 t="str">
        <f>IFERROR(__xludf.DUMMYFUNCTION("""COMPUTED_VALUE"""),"best electrician cape town")</f>
        <v>best electrician cape town</v>
      </c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 t="str">
        <f>IFERROR(__xludf.DUMMYFUNCTION("""COMPUTED_VALUE"""),"best emergency plumber cape town")</f>
        <v>best emergency plumber cape town</v>
      </c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 t="str">
        <f>IFERROR(__xludf.DUMMYFUNCTION("""COMPUTED_VALUE"""),"best fridge repair")</f>
        <v>best fridge repair</v>
      </c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 t="str">
        <f>IFERROR(__xludf.DUMMYFUNCTION("""COMPUTED_VALUE"""),"best geyser repair")</f>
        <v>best geyser repair</v>
      </c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 t="str">
        <f>IFERROR(__xludf.DUMMYFUNCTION("""COMPUTED_VALUE"""),"best geyser replacement")</f>
        <v>best geyser replacement</v>
      </c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 t="str">
        <f>IFERROR(__xludf.DUMMYFUNCTION("""COMPUTED_VALUE"""),"best HVAC services")</f>
        <v>best HVAC services</v>
      </c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 t="str">
        <f>IFERROR(__xludf.DUMMYFUNCTION("""COMPUTED_VALUE"""),"best leak detection")</f>
        <v>best leak detection</v>
      </c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 t="str">
        <f>IFERROR(__xludf.DUMMYFUNCTION("""COMPUTED_VALUE"""),"best maintenance plumber")</f>
        <v>best maintenance plumber</v>
      </c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 t="str">
        <f>IFERROR(__xludf.DUMMYFUNCTION("""COMPUTED_VALUE"""),"best pipe repair")</f>
        <v>best pipe repair</v>
      </c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 t="str">
        <f>IFERROR(__xludf.DUMMYFUNCTION("""COMPUTED_VALUE"""),"best plumber cape town")</f>
        <v>best plumber cape town</v>
      </c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 t="str">
        <f>IFERROR(__xludf.DUMMYFUNCTION("""COMPUTED_VALUE"""),"best plumber near me")</f>
        <v>best plumber near me</v>
      </c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 t="str">
        <f>IFERROR(__xludf.DUMMYFUNCTION("""COMPUTED_VALUE"""),"best plumbers cape town")</f>
        <v>best plumbers cape town</v>
      </c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 t="str">
        <f>IFERROR(__xludf.DUMMYFUNCTION("""COMPUTED_VALUE"""),"best plumbing company")</f>
        <v>best plumbing company</v>
      </c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 t="str">
        <f>IFERROR(__xludf.DUMMYFUNCTION("""COMPUTED_VALUE"""),"best plumbing company cape town")</f>
        <v>best plumbing company cape town</v>
      </c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 t="str">
        <f>IFERROR(__xludf.DUMMYFUNCTION("""COMPUTED_VALUE"""),"best plumbing contractors")</f>
        <v>best plumbing contractors</v>
      </c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 t="str">
        <f>IFERROR(__xludf.DUMMYFUNCTION("""COMPUTED_VALUE"""),"best plumbing inspection")</f>
        <v>best plumbing inspection</v>
      </c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 t="str">
        <f>IFERROR(__xludf.DUMMYFUNCTION("""COMPUTED_VALUE"""),"best plumbing installation")</f>
        <v>best plumbing installation</v>
      </c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 t="str">
        <f>IFERROR(__xludf.DUMMYFUNCTION("""COMPUTED_VALUE"""),"best plumbing repairs")</f>
        <v>best plumbing repairs</v>
      </c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 t="str">
        <f>IFERROR(__xludf.DUMMYFUNCTION("""COMPUTED_VALUE"""),"best plumbing services")</f>
        <v>best plumbing services</v>
      </c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 t="str">
        <f>IFERROR(__xludf.DUMMYFUNCTION("""COMPUTED_VALUE"""),"best refrigeration repair")</f>
        <v>best refrigeration repair</v>
      </c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 t="str">
        <f>IFERROR(__xludf.DUMMYFUNCTION("""COMPUTED_VALUE"""),"best residential plumber")</f>
        <v>best residential plumber</v>
      </c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 t="str">
        <f>IFERROR(__xludf.DUMMYFUNCTION("""COMPUTED_VALUE"""),"best schmidhauser plumbing")</f>
        <v>best schmidhauser plumbing</v>
      </c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 t="str">
        <f>IFERROR(__xludf.DUMMYFUNCTION("""COMPUTED_VALUE"""),"best water leak detection")</f>
        <v>best water leak detection</v>
      </c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 t="str">
        <f>IFERROR(__xludf.DUMMYFUNCTION("""COMPUTED_VALUE"""),"best way to fix aircon service")</f>
        <v>best way to fix aircon service</v>
      </c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 t="str">
        <f>IFERROR(__xludf.DUMMYFUNCTION("""COMPUTED_VALUE"""),"best way to fix blocked drain")</f>
        <v>best way to fix blocked drain</v>
      </c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 t="str">
        <f>IFERROR(__xludf.DUMMYFUNCTION("""COMPUTED_VALUE"""),"best way to fix burst pipe")</f>
        <v>best way to fix burst pipe</v>
      </c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 t="str">
        <f>IFERROR(__xludf.DUMMYFUNCTION("""COMPUTED_VALUE"""),"best way to fix electrical COC")</f>
        <v>best way to fix electrical COC</v>
      </c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 t="str">
        <f>IFERROR(__xludf.DUMMYFUNCTION("""COMPUTED_VALUE"""),"best way to fix emergency plumber")</f>
        <v>best way to fix emergency plumber</v>
      </c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 t="str">
        <f>IFERROR(__xludf.DUMMYFUNCTION("""COMPUTED_VALUE"""),"best way to fix geyser repair")</f>
        <v>best way to fix geyser repair</v>
      </c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 t="str">
        <f>IFERROR(__xludf.DUMMYFUNCTION("""COMPUTED_VALUE"""),"best way to fix leak detection")</f>
        <v>best way to fix leak detection</v>
      </c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 t="str">
        <f>IFERROR(__xludf.DUMMYFUNCTION("""COMPUTED_VALUE"""),"best way to fix plumber cost")</f>
        <v>best way to fix plumber cost</v>
      </c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 t="str">
        <f>IFERROR(__xludf.DUMMYFUNCTION("""COMPUTED_VALUE"""),"best way to fix plumbing maintenance")</f>
        <v>best way to fix plumbing maintenance</v>
      </c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 t="str">
        <f>IFERROR(__xludf.DUMMYFUNCTION("""COMPUTED_VALUE"""),"best way to fix refrigeration repair")</f>
        <v>best way to fix refrigeration repair</v>
      </c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 t="str">
        <f>IFERROR(__xludf.DUMMYFUNCTION("""COMPUTED_VALUE"""),"blocked drain affordable")</f>
        <v>blocked drain affordable</v>
      </c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 t="str">
        <f>IFERROR(__xludf.DUMMYFUNCTION("""COMPUTED_VALUE"""),"blocked drain best")</f>
        <v>blocked drain best</v>
      </c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 t="str">
        <f>IFERROR(__xludf.DUMMYFUNCTION("""COMPUTED_VALUE"""),"blocked drain best way to fix")</f>
        <v>blocked drain best way to fix</v>
      </c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 t="str">
        <f>IFERROR(__xludf.DUMMYFUNCTION("""COMPUTED_VALUE"""),"blocked drain can a plumber fix")</f>
        <v>blocked drain can a plumber fix</v>
      </c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 t="str">
        <f>IFERROR(__xludf.DUMMYFUNCTION("""COMPUTED_VALUE"""),"blocked drain cape town")</f>
        <v>blocked drain cape town</v>
      </c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 t="str">
        <f>IFERROR(__xludf.DUMMYFUNCTION("""COMPUTED_VALUE"""),"blocked drain CCTV")</f>
        <v>blocked drain CCTV</v>
      </c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 t="str">
        <f>IFERROR(__xludf.DUMMYFUNCTION("""COMPUTED_VALUE"""),"blocked drain commercial")</f>
        <v>blocked drain commercial</v>
      </c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 t="str">
        <f>IFERROR(__xludf.DUMMYFUNCTION("""COMPUTED_VALUE"""),"blocked drain cost")</f>
        <v>blocked drain cost</v>
      </c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 t="str">
        <f>IFERROR(__xludf.DUMMYFUNCTION("""COMPUTED_VALUE"""),"blocked drain cost of")</f>
        <v>blocked drain cost of</v>
      </c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 t="str">
        <f>IFERROR(__xludf.DUMMYFUNCTION("""COMPUTED_VALUE"""),"blocked drain do I need")</f>
        <v>blocked drain do I need</v>
      </c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 t="str">
        <f>IFERROR(__xludf.DUMMYFUNCTION("""COMPUTED_VALUE"""),"blocked drain emergency")</f>
        <v>blocked drain emergency</v>
      </c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 t="str">
        <f>IFERROR(__xludf.DUMMYFUNCTION("""COMPUTED_VALUE"""),"blocked drain emergency help for")</f>
        <v>blocked drain emergency help for</v>
      </c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 t="str">
        <f>IFERROR(__xludf.DUMMYFUNCTION("""COMPUTED_VALUE"""),"blocked drain high pressure jetting")</f>
        <v>blocked drain high pressure jetting</v>
      </c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 t="str">
        <f>IFERROR(__xludf.DUMMYFUNCTION("""COMPUTED_VALUE"""),"blocked drain how long does")</f>
        <v>blocked drain how long does</v>
      </c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 t="str">
        <f>IFERROR(__xludf.DUMMYFUNCTION("""COMPUTED_VALUE"""),"blocked drain how much does")</f>
        <v>blocked drain how much does</v>
      </c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 t="str">
        <f>IFERROR(__xludf.DUMMYFUNCTION("""COMPUTED_VALUE"""),"blocked drain how to choose")</f>
        <v>blocked drain how to choose</v>
      </c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 t="str">
        <f>IFERROR(__xludf.DUMMYFUNCTION("""COMPUTED_VALUE"""),"blocked drain how to prevent")</f>
        <v>blocked drain how to prevent</v>
      </c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 t="str">
        <f>IFERROR(__xludf.DUMMYFUNCTION("""COMPUTED_VALUE"""),"blocked drain installation")</f>
        <v>blocked drain installation</v>
      </c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 t="str">
        <f>IFERROR(__xludf.DUMMYFUNCTION("""COMPUTED_VALUE"""),"blocked drain is it safe to")</f>
        <v>blocked drain is it safe to</v>
      </c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 t="str">
        <f>IFERROR(__xludf.DUMMYFUNCTION("""COMPUTED_VALUE"""),"blocked drain near me")</f>
        <v>blocked drain near me</v>
      </c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 t="str">
        <f>IFERROR(__xludf.DUMMYFUNCTION("""COMPUTED_VALUE"""),"blocked drain near me for")</f>
        <v>blocked drain near me for</v>
      </c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 t="str">
        <f>IFERROR(__xludf.DUMMYFUNCTION("""COMPUTED_VALUE"""),"blocked drain plumber")</f>
        <v>blocked drain plumber</v>
      </c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 t="str">
        <f>IFERROR(__xludf.DUMMYFUNCTION("""COMPUTED_VALUE"""),"blocked drain plumber Atlantic Seaboard")</f>
        <v>blocked drain plumber Atlantic Seaboard</v>
      </c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 t="str">
        <f>IFERROR(__xludf.DUMMYFUNCTION("""COMPUTED_VALUE"""),"blocked drain plumber Bellville")</f>
        <v>blocked drain plumber Bellville</v>
      </c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 t="str">
        <f>IFERROR(__xludf.DUMMYFUNCTION("""COMPUTED_VALUE"""),"blocked drain plumber Camps Bay")</f>
        <v>blocked drain plumber Camps Bay</v>
      </c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 t="str">
        <f>IFERROR(__xludf.DUMMYFUNCTION("""COMPUTED_VALUE"""),"blocked drain plumber Cape Town")</f>
        <v>blocked drain plumber Cape Town</v>
      </c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 t="str">
        <f>IFERROR(__xludf.DUMMYFUNCTION("""COMPUTED_VALUE"""),"blocked drain plumber Cape Town CBD")</f>
        <v>blocked drain plumber Cape Town CBD</v>
      </c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 t="str">
        <f>IFERROR(__xludf.DUMMYFUNCTION("""COMPUTED_VALUE"""),"blocked drain plumber Claremont")</f>
        <v>blocked drain plumber Claremont</v>
      </c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 t="str">
        <f>IFERROR(__xludf.DUMMYFUNCTION("""COMPUTED_VALUE"""),"blocked drain plumber Constantia")</f>
        <v>blocked drain plumber Constantia</v>
      </c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 t="str">
        <f>IFERROR(__xludf.DUMMYFUNCTION("""COMPUTED_VALUE"""),"blocked drain plumber Durbanville")</f>
        <v>blocked drain plumber Durbanville</v>
      </c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 t="str">
        <f>IFERROR(__xludf.DUMMYFUNCTION("""COMPUTED_VALUE"""),"blocked drain plumber Fish Hoek")</f>
        <v>blocked drain plumber Fish Hoek</v>
      </c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 t="str">
        <f>IFERROR(__xludf.DUMMYFUNCTION("""COMPUTED_VALUE"""),"blocked drain plumber Green Point")</f>
        <v>blocked drain plumber Green Point</v>
      </c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 t="str">
        <f>IFERROR(__xludf.DUMMYFUNCTION("""COMPUTED_VALUE"""),"blocked drain plumber Hout Bay")</f>
        <v>blocked drain plumber Hout Bay</v>
      </c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 t="str">
        <f>IFERROR(__xludf.DUMMYFUNCTION("""COMPUTED_VALUE"""),"blocked drain plumber Maitland")</f>
        <v>blocked drain plumber Maitland</v>
      </c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 t="str">
        <f>IFERROR(__xludf.DUMMYFUNCTION("""COMPUTED_VALUE"""),"blocked drain plumber Milnerton")</f>
        <v>blocked drain plumber Milnerton</v>
      </c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 t="str">
        <f>IFERROR(__xludf.DUMMYFUNCTION("""COMPUTED_VALUE"""),"blocked drain plumber Muizenberg")</f>
        <v>blocked drain plumber Muizenberg</v>
      </c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 t="str">
        <f>IFERROR(__xludf.DUMMYFUNCTION("""COMPUTED_VALUE"""),"blocked drain plumber Newlands")</f>
        <v>blocked drain plumber Newlands</v>
      </c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 t="str">
        <f>IFERROR(__xludf.DUMMYFUNCTION("""COMPUTED_VALUE"""),"blocked drain plumber Northern Suburbs")</f>
        <v>blocked drain plumber Northern Suburbs</v>
      </c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 t="str">
        <f>IFERROR(__xludf.DUMMYFUNCTION("""COMPUTED_VALUE"""),"blocked drain plumber Observatory")</f>
        <v>blocked drain plumber Observatory</v>
      </c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 t="str">
        <f>IFERROR(__xludf.DUMMYFUNCTION("""COMPUTED_VALUE"""),"blocked drain plumber Plumstead")</f>
        <v>blocked drain plumber Plumstead</v>
      </c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 t="str">
        <f>IFERROR(__xludf.DUMMYFUNCTION("""COMPUTED_VALUE"""),"blocked drain plumber Rondebosch")</f>
        <v>blocked drain plumber Rondebosch</v>
      </c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 t="str">
        <f>IFERROR(__xludf.DUMMYFUNCTION("""COMPUTED_VALUE"""),"blocked drain plumber Sea Point")</f>
        <v>blocked drain plumber Sea Point</v>
      </c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 t="str">
        <f>IFERROR(__xludf.DUMMYFUNCTION("""COMPUTED_VALUE"""),"blocked drain plumber South Africa")</f>
        <v>blocked drain plumber South Africa</v>
      </c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 t="str">
        <f>IFERROR(__xludf.DUMMYFUNCTION("""COMPUTED_VALUE"""),"blocked drain plumber Southern Suburbs")</f>
        <v>blocked drain plumber Southern Suburbs</v>
      </c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 t="str">
        <f>IFERROR(__xludf.DUMMYFUNCTION("""COMPUTED_VALUE"""),"blocked drain plumber Table View")</f>
        <v>blocked drain plumber Table View</v>
      </c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 t="str">
        <f>IFERROR(__xludf.DUMMYFUNCTION("""COMPUTED_VALUE"""),"blocked drain plumber Tokai")</f>
        <v>blocked drain plumber Tokai</v>
      </c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 t="str">
        <f>IFERROR(__xludf.DUMMYFUNCTION("""COMPUTED_VALUE"""),"blocked drain plumber Woodstock")</f>
        <v>blocked drain plumber Woodstock</v>
      </c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 t="str">
        <f>IFERROR(__xludf.DUMMYFUNCTION("""COMPUTED_VALUE"""),"blocked drain plumber Wynberg")</f>
        <v>blocked drain plumber Wynberg</v>
      </c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 t="str">
        <f>IFERROR(__xludf.DUMMYFUNCTION("""COMPUTED_VALUE"""),"blocked drain plumbing company")</f>
        <v>blocked drain plumbing company</v>
      </c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 t="str">
        <f>IFERROR(__xludf.DUMMYFUNCTION("""COMPUTED_VALUE"""),"blocked drain quote")</f>
        <v>blocked drain quote</v>
      </c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 t="str">
        <f>IFERROR(__xludf.DUMMYFUNCTION("""COMPUTED_VALUE"""),"blocked drain reliable")</f>
        <v>blocked drain reliable</v>
      </c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 t="str">
        <f>IFERROR(__xludf.DUMMYFUNCTION("""COMPUTED_VALUE"""),"blocked drain repair")</f>
        <v>blocked drain repair</v>
      </c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 t="str">
        <f>IFERROR(__xludf.DUMMYFUNCTION("""COMPUTED_VALUE"""),"blocked drain replacement")</f>
        <v>blocked drain replacement</v>
      </c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 t="str">
        <f>IFERROR(__xludf.DUMMYFUNCTION("""COMPUTED_VALUE"""),"blocked drain residential")</f>
        <v>blocked drain residential</v>
      </c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 t="str">
        <f>IFERROR(__xludf.DUMMYFUNCTION("""COMPUTED_VALUE"""),"blocked drain same day")</f>
        <v>blocked drain same day</v>
      </c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 t="str">
        <f>IFERROR(__xludf.DUMMYFUNCTION("""COMPUTED_VALUE"""),"blocked drain same day help for")</f>
        <v>blocked drain same day help for</v>
      </c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 t="str">
        <f>IFERROR(__xludf.DUMMYFUNCTION("""COMPUTED_VALUE"""),"blocked drain service")</f>
        <v>blocked drain service</v>
      </c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 t="str">
        <f>IFERROR(__xludf.DUMMYFUNCTION("""COMPUTED_VALUE"""),"blocked drain signs you need")</f>
        <v>blocked drain signs you need</v>
      </c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 t="str">
        <f>IFERROR(__xludf.DUMMYFUNCTION("""COMPUTED_VALUE"""),"blocked drain specialist")</f>
        <v>blocked drain specialist</v>
      </c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 t="str">
        <f>IFERROR(__xludf.DUMMYFUNCTION("""COMPUTED_VALUE"""),"blocked drain what causes")</f>
        <v>blocked drain what causes</v>
      </c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 t="str">
        <f>IFERROR(__xludf.DUMMYFUNCTION("""COMPUTED_VALUE"""),"blocked drain what is")</f>
        <v>blocked drain what is</v>
      </c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 t="str">
        <f>IFERROR(__xludf.DUMMYFUNCTION("""COMPUTED_VALUE"""),"blocked drain when to call a")</f>
        <v>blocked drain when to call a</v>
      </c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 t="str">
        <f>IFERROR(__xludf.DUMMYFUNCTION("""COMPUTED_VALUE"""),"blocked drain who fixes")</f>
        <v>blocked drain who fixes</v>
      </c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 t="str">
        <f>IFERROR(__xludf.DUMMYFUNCTION("""COMPUTED_VALUE"""),"blocked drain why is my")</f>
        <v>blocked drain why is my</v>
      </c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 t="str">
        <f>IFERROR(__xludf.DUMMYFUNCTION("""COMPUTED_VALUE"""),"blocked toilet plumber")</f>
        <v>blocked toilet plumber</v>
      </c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 t="str">
        <f>IFERROR(__xludf.DUMMYFUNCTION("""COMPUTED_VALUE"""),"blocked toilet plumber after hours")</f>
        <v>blocked toilet plumber after hours</v>
      </c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 t="str">
        <f>IFERROR(__xludf.DUMMYFUNCTION("""COMPUTED_VALUE"""),"blocked toilet plumber call out")</f>
        <v>blocked toilet plumber call out</v>
      </c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 t="str">
        <f>IFERROR(__xludf.DUMMYFUNCTION("""COMPUTED_VALUE"""),"blocked toilet plumber cape town")</f>
        <v>blocked toilet plumber cape town</v>
      </c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 t="str">
        <f>IFERROR(__xludf.DUMMYFUNCTION("""COMPUTED_VALUE"""),"blocked toilet plumber commercial")</f>
        <v>blocked toilet plumber commercial</v>
      </c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 t="str">
        <f>IFERROR(__xludf.DUMMYFUNCTION("""COMPUTED_VALUE"""),"blocked toilet plumber company")</f>
        <v>blocked toilet plumber company</v>
      </c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 t="str">
        <f>IFERROR(__xludf.DUMMYFUNCTION("""COMPUTED_VALUE"""),"blocked toilet plumber cost")</f>
        <v>blocked toilet plumber cost</v>
      </c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 t="str">
        <f>IFERROR(__xludf.DUMMYFUNCTION("""COMPUTED_VALUE"""),"blocked toilet plumber emergency")</f>
        <v>blocked toilet plumber emergency</v>
      </c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 t="str">
        <f>IFERROR(__xludf.DUMMYFUNCTION("""COMPUTED_VALUE"""),"blocked toilet plumber fast")</f>
        <v>blocked toilet plumber fast</v>
      </c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 t="str">
        <f>IFERROR(__xludf.DUMMYFUNCTION("""COMPUTED_VALUE"""),"blocked toilet plumber local")</f>
        <v>blocked toilet plumber local</v>
      </c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 t="str">
        <f>IFERROR(__xludf.DUMMYFUNCTION("""COMPUTED_VALUE"""),"blocked toilet plumber near me")</f>
        <v>blocked toilet plumber near me</v>
      </c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 t="str">
        <f>IFERROR(__xludf.DUMMYFUNCTION("""COMPUTED_VALUE"""),"blocked toilet plumber professional")</f>
        <v>blocked toilet plumber professional</v>
      </c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 t="str">
        <f>IFERROR(__xludf.DUMMYFUNCTION("""COMPUTED_VALUE"""),"blocked toilet plumber quote")</f>
        <v>blocked toilet plumber quote</v>
      </c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 t="str">
        <f>IFERROR(__xludf.DUMMYFUNCTION("""COMPUTED_VALUE"""),"blocked toilet plumber reliable")</f>
        <v>blocked toilet plumber reliable</v>
      </c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 t="str">
        <f>IFERROR(__xludf.DUMMYFUNCTION("""COMPUTED_VALUE"""),"blocked toilet plumber repair")</f>
        <v>blocked toilet plumber repair</v>
      </c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 t="str">
        <f>IFERROR(__xludf.DUMMYFUNCTION("""COMPUTED_VALUE"""),"blocked toilet plumber residential")</f>
        <v>blocked toilet plumber residential</v>
      </c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 t="str">
        <f>IFERROR(__xludf.DUMMYFUNCTION("""COMPUTED_VALUE"""),"blocked toilet plumber same day")</f>
        <v>blocked toilet plumber same day</v>
      </c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 t="str">
        <f>IFERROR(__xludf.DUMMYFUNCTION("""COMPUTED_VALUE"""),"blocked toilet plumber service")</f>
        <v>blocked toilet plumber service</v>
      </c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 t="str">
        <f>IFERROR(__xludf.DUMMYFUNCTION("""COMPUTED_VALUE"""),"blocked toilet plumber urgent")</f>
        <v>blocked toilet plumber urgent</v>
      </c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 t="str">
        <f>IFERROR(__xludf.DUMMYFUNCTION("""COMPUTED_VALUE"""),"blocked toilet plumber weekend")</f>
        <v>blocked toilet plumber weekend</v>
      </c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 t="str">
        <f>IFERROR(__xludf.DUMMYFUNCTION("""COMPUTED_VALUE"""),"body corporate air conditioning services")</f>
        <v>body corporate air conditioning services</v>
      </c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 t="str">
        <f>IFERROR(__xludf.DUMMYFUNCTION("""COMPUTED_VALUE"""),"body corporate drain cleaning")</f>
        <v>body corporate drain cleaning</v>
      </c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 t="str">
        <f>IFERROR(__xludf.DUMMYFUNCTION("""COMPUTED_VALUE"""),"body corporate electrical repairs")</f>
        <v>body corporate electrical repairs</v>
      </c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 t="str">
        <f>IFERROR(__xludf.DUMMYFUNCTION("""COMPUTED_VALUE"""),"body corporate emergency plumbing")</f>
        <v>body corporate emergency plumbing</v>
      </c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 t="str">
        <f>IFERROR(__xludf.DUMMYFUNCTION("""COMPUTED_VALUE"""),"body corporate geyser repairs")</f>
        <v>body corporate geyser repairs</v>
      </c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 t="str">
        <f>IFERROR(__xludf.DUMMYFUNCTION("""COMPUTED_VALUE"""),"body corporate leak detection")</f>
        <v>body corporate leak detection</v>
      </c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 t="str">
        <f>IFERROR(__xludf.DUMMYFUNCTION("""COMPUTED_VALUE"""),"body corporate maintenance plumber")</f>
        <v>body corporate maintenance plumber</v>
      </c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 t="str">
        <f>IFERROR(__xludf.DUMMYFUNCTION("""COMPUTED_VALUE"""),"body corporate plumbing company")</f>
        <v>body corporate plumbing company</v>
      </c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 t="str">
        <f>IFERROR(__xludf.DUMMYFUNCTION("""COMPUTED_VALUE"""),"body corporate plumbing services")</f>
        <v>body corporate plumbing services</v>
      </c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 t="str">
        <f>IFERROR(__xludf.DUMMYFUNCTION("""COMPUTED_VALUE"""),"body corporate refrigeration services")</f>
        <v>body corporate refrigeration services</v>
      </c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 t="str">
        <f>IFERROR(__xludf.DUMMYFUNCTION("""COMPUTED_VALUE"""),"bosman plumbers 24 hour")</f>
        <v>bosman plumbers 24 hour</v>
      </c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 t="str">
        <f>IFERROR(__xludf.DUMMYFUNCTION("""COMPUTED_VALUE"""),"bosman plumbers affordable")</f>
        <v>bosman plumbers affordable</v>
      </c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 t="str">
        <f>IFERROR(__xludf.DUMMYFUNCTION("""COMPUTED_VALUE"""),"bosman plumbers alternatives")</f>
        <v>bosman plumbers alternatives</v>
      </c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 t="str">
        <f>IFERROR(__xludf.DUMMYFUNCTION("""COMPUTED_VALUE"""),"bosman plumbers best")</f>
        <v>bosman plumbers best</v>
      </c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 t="str">
        <f>IFERROR(__xludf.DUMMYFUNCTION("""COMPUTED_VALUE"""),"bosman plumbers certified")</f>
        <v>bosman plumbers certified</v>
      </c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 t="str">
        <f>IFERROR(__xludf.DUMMYFUNCTION("""COMPUTED_VALUE"""),"bosman plumbers compare")</f>
        <v>bosman plumbers compare</v>
      </c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 t="str">
        <f>IFERROR(__xludf.DUMMYFUNCTION("""COMPUTED_VALUE"""),"bosman plumbers complaints")</f>
        <v>bosman plumbers complaints</v>
      </c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 t="str">
        <f>IFERROR(__xludf.DUMMYFUNCTION("""COMPUTED_VALUE"""),"bosman plumbers cost")</f>
        <v>bosman plumbers cost</v>
      </c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 t="str">
        <f>IFERROR(__xludf.DUMMYFUNCTION("""COMPUTED_VALUE"""),"bosman plumbers insured")</f>
        <v>bosman plumbers insured</v>
      </c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 t="str">
        <f>IFERROR(__xludf.DUMMYFUNCTION("""COMPUTED_VALUE"""),"bosman plumbers licensed")</f>
        <v>bosman plumbers licensed</v>
      </c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 t="str">
        <f>IFERROR(__xludf.DUMMYFUNCTION("""COMPUTED_VALUE"""),"bosman plumbers local")</f>
        <v>bosman plumbers local</v>
      </c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 t="str">
        <f>IFERROR(__xludf.DUMMYFUNCTION("""COMPUTED_VALUE"""),"bosman plumbers near me")</f>
        <v>bosman plumbers near me</v>
      </c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 t="str">
        <f>IFERROR(__xludf.DUMMYFUNCTION("""COMPUTED_VALUE"""),"bosman plumbers prices")</f>
        <v>bosman plumbers prices</v>
      </c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 t="str">
        <f>IFERROR(__xludf.DUMMYFUNCTION("""COMPUTED_VALUE"""),"bosman plumbers qualified")</f>
        <v>bosman plumbers qualified</v>
      </c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 t="str">
        <f>IFERROR(__xludf.DUMMYFUNCTION("""COMPUTED_VALUE"""),"bosman plumbers quote")</f>
        <v>bosman plumbers quote</v>
      </c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 t="str">
        <f>IFERROR(__xludf.DUMMYFUNCTION("""COMPUTED_VALUE"""),"bosman plumbers reliable")</f>
        <v>bosman plumbers reliable</v>
      </c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 t="str">
        <f>IFERROR(__xludf.DUMMYFUNCTION("""COMPUTED_VALUE"""),"bosman plumbers reputable")</f>
        <v>bosman plumbers reputable</v>
      </c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 t="str">
        <f>IFERROR(__xludf.DUMMYFUNCTION("""COMPUTED_VALUE"""),"bosman plumbers review")</f>
        <v>bosman plumbers review</v>
      </c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 t="str">
        <f>IFERROR(__xludf.DUMMYFUNCTION("""COMPUTED_VALUE"""),"bosman plumbers reviews")</f>
        <v>bosman plumbers reviews</v>
      </c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 t="str">
        <f>IFERROR(__xludf.DUMMYFUNCTION("""COMPUTED_VALUE"""),"bosman plumbers same day")</f>
        <v>bosman plumbers same day</v>
      </c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 t="str">
        <f>IFERROR(__xludf.DUMMYFUNCTION("""COMPUTED_VALUE"""),"bosman plumbers top rated")</f>
        <v>bosman plumbers top rated</v>
      </c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 t="str">
        <f>IFERROR(__xludf.DUMMYFUNCTION("""COMPUTED_VALUE"""),"bosman plumbers trusted")</f>
        <v>bosman plumbers trusted</v>
      </c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 t="str">
        <f>IFERROR(__xludf.DUMMYFUNCTION("""COMPUTED_VALUE"""),"bosman plumbers vs")</f>
        <v>bosman plumbers vs</v>
      </c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 t="str">
        <f>IFERROR(__xludf.DUMMYFUNCTION("""COMPUTED_VALUE"""),"building air conditioning services")</f>
        <v>building air conditioning services</v>
      </c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 t="str">
        <f>IFERROR(__xludf.DUMMYFUNCTION("""COMPUTED_VALUE"""),"building drain cleaning")</f>
        <v>building drain cleaning</v>
      </c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 t="str">
        <f>IFERROR(__xludf.DUMMYFUNCTION("""COMPUTED_VALUE"""),"building electrical repairs")</f>
        <v>building electrical repairs</v>
      </c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 t="str">
        <f>IFERROR(__xludf.DUMMYFUNCTION("""COMPUTED_VALUE"""),"building emergency plumbing")</f>
        <v>building emergency plumbing</v>
      </c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 t="str">
        <f>IFERROR(__xludf.DUMMYFUNCTION("""COMPUTED_VALUE"""),"building geyser repairs")</f>
        <v>building geyser repairs</v>
      </c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 t="str">
        <f>IFERROR(__xludf.DUMMYFUNCTION("""COMPUTED_VALUE"""),"building leak detection")</f>
        <v>building leak detection</v>
      </c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 t="str">
        <f>IFERROR(__xludf.DUMMYFUNCTION("""COMPUTED_VALUE"""),"building maintenance plumber")</f>
        <v>building maintenance plumber</v>
      </c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 t="str">
        <f>IFERROR(__xludf.DUMMYFUNCTION("""COMPUTED_VALUE"""),"building plumbing company")</f>
        <v>building plumbing company</v>
      </c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 t="str">
        <f>IFERROR(__xludf.DUMMYFUNCTION("""COMPUTED_VALUE"""),"building plumbing services")</f>
        <v>building plumbing services</v>
      </c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 t="str">
        <f>IFERROR(__xludf.DUMMYFUNCTION("""COMPUTED_VALUE"""),"building refrigeration services")</f>
        <v>building refrigeration services</v>
      </c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 t="str">
        <f>IFERROR(__xludf.DUMMYFUNCTION("""COMPUTED_VALUE"""),"burst geyser affordable")</f>
        <v>burst geyser affordable</v>
      </c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 t="str">
        <f>IFERROR(__xludf.DUMMYFUNCTION("""COMPUTED_VALUE"""),"burst geyser best")</f>
        <v>burst geyser best</v>
      </c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 t="str">
        <f>IFERROR(__xludf.DUMMYFUNCTION("""COMPUTED_VALUE"""),"burst geyser cape town")</f>
        <v>burst geyser cape town</v>
      </c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 t="str">
        <f>IFERROR(__xludf.DUMMYFUNCTION("""COMPUTED_VALUE"""),"burst geyser CCTV")</f>
        <v>burst geyser CCTV</v>
      </c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 t="str">
        <f>IFERROR(__xludf.DUMMYFUNCTION("""COMPUTED_VALUE"""),"burst geyser commercial")</f>
        <v>burst geyser commercial</v>
      </c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 t="str">
        <f>IFERROR(__xludf.DUMMYFUNCTION("""COMPUTED_VALUE"""),"burst geyser cost")</f>
        <v>burst geyser cost</v>
      </c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 t="str">
        <f>IFERROR(__xludf.DUMMYFUNCTION("""COMPUTED_VALUE"""),"burst geyser emergency")</f>
        <v>burst geyser emergency</v>
      </c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 t="str">
        <f>IFERROR(__xludf.DUMMYFUNCTION("""COMPUTED_VALUE"""),"burst geyser high pressure jetting")</f>
        <v>burst geyser high pressure jetting</v>
      </c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 t="str">
        <f>IFERROR(__xludf.DUMMYFUNCTION("""COMPUTED_VALUE"""),"burst geyser installation")</f>
        <v>burst geyser installation</v>
      </c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 t="str">
        <f>IFERROR(__xludf.DUMMYFUNCTION("""COMPUTED_VALUE"""),"burst geyser near me")</f>
        <v>burst geyser near me</v>
      </c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 t="str">
        <f>IFERROR(__xludf.DUMMYFUNCTION("""COMPUTED_VALUE"""),"burst geyser plumber")</f>
        <v>burst geyser plumber</v>
      </c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 t="str">
        <f>IFERROR(__xludf.DUMMYFUNCTION("""COMPUTED_VALUE"""),"burst geyser plumbing company")</f>
        <v>burst geyser plumbing company</v>
      </c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 t="str">
        <f>IFERROR(__xludf.DUMMYFUNCTION("""COMPUTED_VALUE"""),"burst geyser quote")</f>
        <v>burst geyser quote</v>
      </c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 t="str">
        <f>IFERROR(__xludf.DUMMYFUNCTION("""COMPUTED_VALUE"""),"burst geyser reliable")</f>
        <v>burst geyser reliable</v>
      </c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 t="str">
        <f>IFERROR(__xludf.DUMMYFUNCTION("""COMPUTED_VALUE"""),"burst geyser repair")</f>
        <v>burst geyser repair</v>
      </c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 t="str">
        <f>IFERROR(__xludf.DUMMYFUNCTION("""COMPUTED_VALUE"""),"burst geyser replacement")</f>
        <v>burst geyser replacement</v>
      </c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 t="str">
        <f>IFERROR(__xludf.DUMMYFUNCTION("""COMPUTED_VALUE"""),"burst geyser residential")</f>
        <v>burst geyser residential</v>
      </c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 t="str">
        <f>IFERROR(__xludf.DUMMYFUNCTION("""COMPUTED_VALUE"""),"burst geyser same day")</f>
        <v>burst geyser same day</v>
      </c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 t="str">
        <f>IFERROR(__xludf.DUMMYFUNCTION("""COMPUTED_VALUE"""),"burst geyser service")</f>
        <v>burst geyser service</v>
      </c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 t="str">
        <f>IFERROR(__xludf.DUMMYFUNCTION("""COMPUTED_VALUE"""),"burst geyser specialist")</f>
        <v>burst geyser specialist</v>
      </c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 t="str">
        <f>IFERROR(__xludf.DUMMYFUNCTION("""COMPUTED_VALUE"""),"burst pipe best way to fix")</f>
        <v>burst pipe best way to fix</v>
      </c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 t="str">
        <f>IFERROR(__xludf.DUMMYFUNCTION("""COMPUTED_VALUE"""),"burst pipe can a plumber fix")</f>
        <v>burst pipe can a plumber fix</v>
      </c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 t="str">
        <f>IFERROR(__xludf.DUMMYFUNCTION("""COMPUTED_VALUE"""),"burst pipe cost of")</f>
        <v>burst pipe cost of</v>
      </c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 t="str">
        <f>IFERROR(__xludf.DUMMYFUNCTION("""COMPUTED_VALUE"""),"burst pipe do I need")</f>
        <v>burst pipe do I need</v>
      </c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 t="str">
        <f>IFERROR(__xludf.DUMMYFUNCTION("""COMPUTED_VALUE"""),"burst pipe emergency help for")</f>
        <v>burst pipe emergency help for</v>
      </c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 t="str">
        <f>IFERROR(__xludf.DUMMYFUNCTION("""COMPUTED_VALUE"""),"burst pipe how long does")</f>
        <v>burst pipe how long does</v>
      </c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 t="str">
        <f>IFERROR(__xludf.DUMMYFUNCTION("""COMPUTED_VALUE"""),"burst pipe how much does")</f>
        <v>burst pipe how much does</v>
      </c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 t="str">
        <f>IFERROR(__xludf.DUMMYFUNCTION("""COMPUTED_VALUE"""),"burst pipe how to choose")</f>
        <v>burst pipe how to choose</v>
      </c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 t="str">
        <f>IFERROR(__xludf.DUMMYFUNCTION("""COMPUTED_VALUE"""),"burst pipe how to prevent")</f>
        <v>burst pipe how to prevent</v>
      </c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 t="str">
        <f>IFERROR(__xludf.DUMMYFUNCTION("""COMPUTED_VALUE"""),"burst pipe is it safe to")</f>
        <v>burst pipe is it safe to</v>
      </c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 t="str">
        <f>IFERROR(__xludf.DUMMYFUNCTION("""COMPUTED_VALUE"""),"burst pipe near me for")</f>
        <v>burst pipe near me for</v>
      </c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 t="str">
        <f>IFERROR(__xludf.DUMMYFUNCTION("""COMPUTED_VALUE"""),"burst pipe repair")</f>
        <v>burst pipe repair</v>
      </c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 t="str">
        <f>IFERROR(__xludf.DUMMYFUNCTION("""COMPUTED_VALUE"""),"burst pipe repair after hours")</f>
        <v>burst pipe repair after hours</v>
      </c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 t="str">
        <f>IFERROR(__xludf.DUMMYFUNCTION("""COMPUTED_VALUE"""),"burst pipe repair call out")</f>
        <v>burst pipe repair call out</v>
      </c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 t="str">
        <f>IFERROR(__xludf.DUMMYFUNCTION("""COMPUTED_VALUE"""),"burst pipe repair cape town")</f>
        <v>burst pipe repair cape town</v>
      </c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 t="str">
        <f>IFERROR(__xludf.DUMMYFUNCTION("""COMPUTED_VALUE"""),"burst pipe repair commercial")</f>
        <v>burst pipe repair commercial</v>
      </c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 t="str">
        <f>IFERROR(__xludf.DUMMYFUNCTION("""COMPUTED_VALUE"""),"burst pipe repair company")</f>
        <v>burst pipe repair company</v>
      </c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 t="str">
        <f>IFERROR(__xludf.DUMMYFUNCTION("""COMPUTED_VALUE"""),"burst pipe repair cost")</f>
        <v>burst pipe repair cost</v>
      </c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 t="str">
        <f>IFERROR(__xludf.DUMMYFUNCTION("""COMPUTED_VALUE"""),"burst pipe repair emergency")</f>
        <v>burst pipe repair emergency</v>
      </c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 t="str">
        <f>IFERROR(__xludf.DUMMYFUNCTION("""COMPUTED_VALUE"""),"burst pipe repair fast")</f>
        <v>burst pipe repair fast</v>
      </c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 t="str">
        <f>IFERROR(__xludf.DUMMYFUNCTION("""COMPUTED_VALUE"""),"burst pipe repair local")</f>
        <v>burst pipe repair local</v>
      </c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 t="str">
        <f>IFERROR(__xludf.DUMMYFUNCTION("""COMPUTED_VALUE"""),"burst pipe repair near me")</f>
        <v>burst pipe repair near me</v>
      </c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 t="str">
        <f>IFERROR(__xludf.DUMMYFUNCTION("""COMPUTED_VALUE"""),"burst pipe repair plumber")</f>
        <v>burst pipe repair plumber</v>
      </c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 t="str">
        <f>IFERROR(__xludf.DUMMYFUNCTION("""COMPUTED_VALUE"""),"burst pipe repair professional")</f>
        <v>burst pipe repair professional</v>
      </c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 t="str">
        <f>IFERROR(__xludf.DUMMYFUNCTION("""COMPUTED_VALUE"""),"burst pipe repair quote")</f>
        <v>burst pipe repair quote</v>
      </c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 t="str">
        <f>IFERROR(__xludf.DUMMYFUNCTION("""COMPUTED_VALUE"""),"burst pipe repair reliable")</f>
        <v>burst pipe repair reliable</v>
      </c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 t="str">
        <f>IFERROR(__xludf.DUMMYFUNCTION("""COMPUTED_VALUE"""),"burst pipe repair residential")</f>
        <v>burst pipe repair residential</v>
      </c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 t="str">
        <f>IFERROR(__xludf.DUMMYFUNCTION("""COMPUTED_VALUE"""),"burst pipe repair same day")</f>
        <v>burst pipe repair same day</v>
      </c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 t="str">
        <f>IFERROR(__xludf.DUMMYFUNCTION("""COMPUTED_VALUE"""),"burst pipe repair service")</f>
        <v>burst pipe repair service</v>
      </c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 t="str">
        <f>IFERROR(__xludf.DUMMYFUNCTION("""COMPUTED_VALUE"""),"burst pipe repair urgent")</f>
        <v>burst pipe repair urgent</v>
      </c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 t="str">
        <f>IFERROR(__xludf.DUMMYFUNCTION("""COMPUTED_VALUE"""),"burst pipe repair weekend")</f>
        <v>burst pipe repair weekend</v>
      </c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 t="str">
        <f>IFERROR(__xludf.DUMMYFUNCTION("""COMPUTED_VALUE"""),"burst pipe same day help for")</f>
        <v>burst pipe same day help for</v>
      </c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 t="str">
        <f>IFERROR(__xludf.DUMMYFUNCTION("""COMPUTED_VALUE"""),"burst pipe signs you need")</f>
        <v>burst pipe signs you need</v>
      </c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 t="str">
        <f>IFERROR(__xludf.DUMMYFUNCTION("""COMPUTED_VALUE"""),"burst pipe what causes")</f>
        <v>burst pipe what causes</v>
      </c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 t="str">
        <f>IFERROR(__xludf.DUMMYFUNCTION("""COMPUTED_VALUE"""),"burst pipe what is")</f>
        <v>burst pipe what is</v>
      </c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 t="str">
        <f>IFERROR(__xludf.DUMMYFUNCTION("""COMPUTED_VALUE"""),"burst pipe when to call a")</f>
        <v>burst pipe when to call a</v>
      </c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 t="str">
        <f>IFERROR(__xludf.DUMMYFUNCTION("""COMPUTED_VALUE"""),"burst pipe who fixes")</f>
        <v>burst pipe who fixes</v>
      </c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 t="str">
        <f>IFERROR(__xludf.DUMMYFUNCTION("""COMPUTED_VALUE"""),"burst pipe why is my")</f>
        <v>burst pipe why is my</v>
      </c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 t="str">
        <f>IFERROR(__xludf.DUMMYFUNCTION("""COMPUTED_VALUE"""),"business air conditioning services")</f>
        <v>business air conditioning services</v>
      </c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 t="str">
        <f>IFERROR(__xludf.DUMMYFUNCTION("""COMPUTED_VALUE"""),"business drain cleaning")</f>
        <v>business drain cleaning</v>
      </c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 t="str">
        <f>IFERROR(__xludf.DUMMYFUNCTION("""COMPUTED_VALUE"""),"business electrical repairs")</f>
        <v>business electrical repairs</v>
      </c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 t="str">
        <f>IFERROR(__xludf.DUMMYFUNCTION("""COMPUTED_VALUE"""),"business emergency plumbing")</f>
        <v>business emergency plumbing</v>
      </c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 t="str">
        <f>IFERROR(__xludf.DUMMYFUNCTION("""COMPUTED_VALUE"""),"business geyser repairs")</f>
        <v>business geyser repairs</v>
      </c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 t="str">
        <f>IFERROR(__xludf.DUMMYFUNCTION("""COMPUTED_VALUE"""),"business leak detection")</f>
        <v>business leak detection</v>
      </c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 t="str">
        <f>IFERROR(__xludf.DUMMYFUNCTION("""COMPUTED_VALUE"""),"business maintenance plumber")</f>
        <v>business maintenance plumber</v>
      </c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 t="str">
        <f>IFERROR(__xludf.DUMMYFUNCTION("""COMPUTED_VALUE"""),"business plumbing company")</f>
        <v>business plumbing company</v>
      </c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 t="str">
        <f>IFERROR(__xludf.DUMMYFUNCTION("""COMPUTED_VALUE"""),"business plumbing services")</f>
        <v>business plumbing services</v>
      </c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 t="str">
        <f>IFERROR(__xludf.DUMMYFUNCTION("""COMPUTED_VALUE"""),"business refrigeration services")</f>
        <v>business refrigeration services</v>
      </c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 t="str">
        <f>IFERROR(__xludf.DUMMYFUNCTION("""COMPUTED_VALUE"""),"call out 24 hour plumber")</f>
        <v>call out 24 hour plumber</v>
      </c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 t="str">
        <f>IFERROR(__xludf.DUMMYFUNCTION("""COMPUTED_VALUE"""),"call out bathroom plumbing repair")</f>
        <v>call out bathroom plumbing repair</v>
      </c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 t="str">
        <f>IFERROR(__xludf.DUMMYFUNCTION("""COMPUTED_VALUE"""),"call out blocked toilet plumber")</f>
        <v>call out blocked toilet plumber</v>
      </c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 t="str">
        <f>IFERROR(__xludf.DUMMYFUNCTION("""COMPUTED_VALUE"""),"call out burst pipe repair")</f>
        <v>call out burst pipe repair</v>
      </c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 t="str">
        <f>IFERROR(__xludf.DUMMYFUNCTION("""COMPUTED_VALUE"""),"call out commercial electrician")</f>
        <v>call out commercial electrician</v>
      </c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 t="str">
        <f>IFERROR(__xludf.DUMMYFUNCTION("""COMPUTED_VALUE"""),"call out commercial plumber")</f>
        <v>call out commercial plumber</v>
      </c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 t="str">
        <f>IFERROR(__xludf.DUMMYFUNCTION("""COMPUTED_VALUE"""),"call out electrical compliance certificate")</f>
        <v>call out electrical compliance certificate</v>
      </c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 t="str">
        <f>IFERROR(__xludf.DUMMYFUNCTION("""COMPUTED_VALUE"""),"call out electrical contractor")</f>
        <v>call out electrical contractor</v>
      </c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 t="str">
        <f>IFERROR(__xludf.DUMMYFUNCTION("""COMPUTED_VALUE"""),"call out electrical installation")</f>
        <v>call out electrical installation</v>
      </c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 t="str">
        <f>IFERROR(__xludf.DUMMYFUNCTION("""COMPUTED_VALUE"""),"call out electrical maintenance")</f>
        <v>call out electrical maintenance</v>
      </c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 t="str">
        <f>IFERROR(__xludf.DUMMYFUNCTION("""COMPUTED_VALUE"""),"call out electrical repairs")</f>
        <v>call out electrical repairs</v>
      </c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 t="str">
        <f>IFERROR(__xludf.DUMMYFUNCTION("""COMPUTED_VALUE"""),"call out electrical services")</f>
        <v>call out electrical services</v>
      </c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 t="str">
        <f>IFERROR(__xludf.DUMMYFUNCTION("""COMPUTED_VALUE"""),"call out electrician cape town")</f>
        <v>call out electrician cape town</v>
      </c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 t="str">
        <f>IFERROR(__xludf.DUMMYFUNCTION("""COMPUTED_VALUE"""),"call out emergency electrician")</f>
        <v>call out emergency electrician</v>
      </c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 t="str">
        <f>IFERROR(__xludf.DUMMYFUNCTION("""COMPUTED_VALUE"""),"call out emergency plumber")</f>
        <v>call out emergency plumber</v>
      </c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 t="str">
        <f>IFERROR(__xludf.DUMMYFUNCTION("""COMPUTED_VALUE"""),"call out kitchen plumbing repair")</f>
        <v>call out kitchen plumbing repair</v>
      </c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 t="str">
        <f>IFERROR(__xludf.DUMMYFUNCTION("""COMPUTED_VALUE"""),"call out leaking pipe repair")</f>
        <v>call out leaking pipe repair</v>
      </c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 t="str">
        <f>IFERROR(__xludf.DUMMYFUNCTION("""COMPUTED_VALUE"""),"call out leaking tap repair")</f>
        <v>call out leaking tap repair</v>
      </c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 t="str">
        <f>IFERROR(__xludf.DUMMYFUNCTION("""COMPUTED_VALUE"""),"call out maintenance plumber")</f>
        <v>call out maintenance plumber</v>
      </c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 t="str">
        <f>IFERROR(__xludf.DUMMYFUNCTION("""COMPUTED_VALUE"""),"call out plumber cape town")</f>
        <v>call out plumber cape town</v>
      </c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 t="str">
        <f>IFERROR(__xludf.DUMMYFUNCTION("""COMPUTED_VALUE"""),"call out plumbing company")</f>
        <v>call out plumbing company</v>
      </c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 t="str">
        <f>IFERROR(__xludf.DUMMYFUNCTION("""COMPUTED_VALUE"""),"call out plumbing contractors")</f>
        <v>call out plumbing contractors</v>
      </c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 t="str">
        <f>IFERROR(__xludf.DUMMYFUNCTION("""COMPUTED_VALUE"""),"call out plumbing inspection")</f>
        <v>call out plumbing inspection</v>
      </c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 t="str">
        <f>IFERROR(__xludf.DUMMYFUNCTION("""COMPUTED_VALUE"""),"call out plumbing installation")</f>
        <v>call out plumbing installation</v>
      </c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 t="str">
        <f>IFERROR(__xludf.DUMMYFUNCTION("""COMPUTED_VALUE"""),"call out plumbing repairs")</f>
        <v>call out plumbing repairs</v>
      </c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 t="str">
        <f>IFERROR(__xludf.DUMMYFUNCTION("""COMPUTED_VALUE"""),"call out plumbing services")</f>
        <v>call out plumbing services</v>
      </c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 t="str">
        <f>IFERROR(__xludf.DUMMYFUNCTION("""COMPUTED_VALUE"""),"call out residential electrician")</f>
        <v>call out residential electrician</v>
      </c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 t="str">
        <f>IFERROR(__xludf.DUMMYFUNCTION("""COMPUTED_VALUE"""),"call out residential plumber")</f>
        <v>call out residential plumber</v>
      </c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 t="str">
        <f>IFERROR(__xludf.DUMMYFUNCTION("""COMPUTED_VALUE"""),"call out toilet repair")</f>
        <v>call out toilet repair</v>
      </c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 t="str">
        <f>IFERROR(__xludf.DUMMYFUNCTION("""COMPUTED_VALUE"""),"call out water leak repair")</f>
        <v>call out water leak repair</v>
      </c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 t="str">
        <f>IFERROR(__xludf.DUMMYFUNCTION("""COMPUTED_VALUE"""),"Camps Bay aircon repairs")</f>
        <v>Camps Bay aircon repairs</v>
      </c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 t="str">
        <f>IFERROR(__xludf.DUMMYFUNCTION("""COMPUTED_VALUE"""),"Camps Bay blocked drain plumber")</f>
        <v>Camps Bay blocked drain plumber</v>
      </c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 t="str">
        <f>IFERROR(__xludf.DUMMYFUNCTION("""COMPUTED_VALUE"""),"Camps Bay electrician")</f>
        <v>Camps Bay electrician</v>
      </c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 t="str">
        <f>IFERROR(__xludf.DUMMYFUNCTION("""COMPUTED_VALUE"""),"Camps Bay emergency plumber")</f>
        <v>Camps Bay emergency plumber</v>
      </c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 t="str">
        <f>IFERROR(__xludf.DUMMYFUNCTION("""COMPUTED_VALUE"""),"Camps Bay geyser repair")</f>
        <v>Camps Bay geyser repair</v>
      </c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 t="str">
        <f>IFERROR(__xludf.DUMMYFUNCTION("""COMPUTED_VALUE"""),"Camps Bay leak detection plumber")</f>
        <v>Camps Bay leak detection plumber</v>
      </c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 t="str">
        <f>IFERROR(__xludf.DUMMYFUNCTION("""COMPUTED_VALUE"""),"Camps Bay plumber")</f>
        <v>Camps Bay plumber</v>
      </c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 t="str">
        <f>IFERROR(__xludf.DUMMYFUNCTION("""COMPUTED_VALUE"""),"Camps Bay plumbers")</f>
        <v>Camps Bay plumbers</v>
      </c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 t="str">
        <f>IFERROR(__xludf.DUMMYFUNCTION("""COMPUTED_VALUE"""),"Camps Bay plumbing company")</f>
        <v>Camps Bay plumbing company</v>
      </c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 t="str">
        <f>IFERROR(__xludf.DUMMYFUNCTION("""COMPUTED_VALUE"""),"Camps Bay refrigeration services")</f>
        <v>Camps Bay refrigeration services</v>
      </c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 t="str">
        <f>IFERROR(__xludf.DUMMYFUNCTION("""COMPUTED_VALUE"""),"can a plumber fix aircon service")</f>
        <v>can a plumber fix aircon service</v>
      </c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 t="str">
        <f>IFERROR(__xludf.DUMMYFUNCTION("""COMPUTED_VALUE"""),"can a plumber fix blocked drain")</f>
        <v>can a plumber fix blocked drain</v>
      </c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 t="str">
        <f>IFERROR(__xludf.DUMMYFUNCTION("""COMPUTED_VALUE"""),"can a plumber fix burst pipe")</f>
        <v>can a plumber fix burst pipe</v>
      </c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 t="str">
        <f>IFERROR(__xludf.DUMMYFUNCTION("""COMPUTED_VALUE"""),"can a plumber fix electrical COC")</f>
        <v>can a plumber fix electrical COC</v>
      </c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 t="str">
        <f>IFERROR(__xludf.DUMMYFUNCTION("""COMPUTED_VALUE"""),"can a plumber fix emergency plumber")</f>
        <v>can a plumber fix emergency plumber</v>
      </c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 t="str">
        <f>IFERROR(__xludf.DUMMYFUNCTION("""COMPUTED_VALUE"""),"can a plumber fix geyser repair")</f>
        <v>can a plumber fix geyser repair</v>
      </c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 t="str">
        <f>IFERROR(__xludf.DUMMYFUNCTION("""COMPUTED_VALUE"""),"can a plumber fix leak detection")</f>
        <v>can a plumber fix leak detection</v>
      </c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 t="str">
        <f>IFERROR(__xludf.DUMMYFUNCTION("""COMPUTED_VALUE"""),"can a plumber fix plumber cost")</f>
        <v>can a plumber fix plumber cost</v>
      </c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 t="str">
        <f>IFERROR(__xludf.DUMMYFUNCTION("""COMPUTED_VALUE"""),"can a plumber fix plumbing maintenance")</f>
        <v>can a plumber fix plumbing maintenance</v>
      </c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 t="str">
        <f>IFERROR(__xludf.DUMMYFUNCTION("""COMPUTED_VALUE"""),"can a plumber fix refrigeration repair")</f>
        <v>can a plumber fix refrigeration repair</v>
      </c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 t="str">
        <f>IFERROR(__xludf.DUMMYFUNCTION("""COMPUTED_VALUE"""),"cape town 24 hour plumber")</f>
        <v>cape town 24 hour plumber</v>
      </c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 t="str">
        <f>IFERROR(__xludf.DUMMYFUNCTION("""COMPUTED_VALUE"""),"cape town air conditioning")</f>
        <v>cape town air conditioning</v>
      </c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 t="str">
        <f>IFERROR(__xludf.DUMMYFUNCTION("""COMPUTED_VALUE"""),"cape town air conditioning repair")</f>
        <v>cape town air conditioning repair</v>
      </c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 t="str">
        <f>IFERROR(__xludf.DUMMYFUNCTION("""COMPUTED_VALUE"""),"cape town aircon installation")</f>
        <v>cape town aircon installation</v>
      </c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 t="str">
        <f>IFERROR(__xludf.DUMMYFUNCTION("""COMPUTED_VALUE"""),"cape town aircon repair")</f>
        <v>cape town aircon repair</v>
      </c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 t="str">
        <f>IFERROR(__xludf.DUMMYFUNCTION("""COMPUTED_VALUE"""),"Cape Town aircon repairs")</f>
        <v>Cape Town aircon repairs</v>
      </c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 t="str">
        <f>IFERROR(__xludf.DUMMYFUNCTION("""COMPUTED_VALUE"""),"cape town aircon service")</f>
        <v>cape town aircon service</v>
      </c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 t="str">
        <f>IFERROR(__xludf.DUMMYFUNCTION("""COMPUTED_VALUE"""),"cape town bathroom plumbing repair")</f>
        <v>cape town bathroom plumbing repair</v>
      </c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 t="str">
        <f>IFERROR(__xludf.DUMMYFUNCTION("""COMPUTED_VALUE"""),"cape town blocked drain")</f>
        <v>cape town blocked drain</v>
      </c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 t="str">
        <f>IFERROR(__xludf.DUMMYFUNCTION("""COMPUTED_VALUE"""),"Cape Town blocked drain plumber")</f>
        <v>Cape Town blocked drain plumber</v>
      </c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 t="str">
        <f>IFERROR(__xludf.DUMMYFUNCTION("""COMPUTED_VALUE"""),"cape town blocked toilet plumber")</f>
        <v>cape town blocked toilet plumber</v>
      </c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 t="str">
        <f>IFERROR(__xludf.DUMMYFUNCTION("""COMPUTED_VALUE"""),"cape town burst geyser")</f>
        <v>cape town burst geyser</v>
      </c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 t="str">
        <f>IFERROR(__xludf.DUMMYFUNCTION("""COMPUTED_VALUE"""),"cape town burst pipe repair")</f>
        <v>cape town burst pipe repair</v>
      </c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 t="str">
        <f>IFERROR(__xludf.DUMMYFUNCTION("""COMPUTED_VALUE"""),"Cape Town CBD aircon repairs")</f>
        <v>Cape Town CBD aircon repairs</v>
      </c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 t="str">
        <f>IFERROR(__xludf.DUMMYFUNCTION("""COMPUTED_VALUE"""),"Cape Town CBD blocked drain plumber")</f>
        <v>Cape Town CBD blocked drain plumber</v>
      </c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 t="str">
        <f>IFERROR(__xludf.DUMMYFUNCTION("""COMPUTED_VALUE"""),"Cape Town CBD electrician")</f>
        <v>Cape Town CBD electrician</v>
      </c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 t="str">
        <f>IFERROR(__xludf.DUMMYFUNCTION("""COMPUTED_VALUE"""),"Cape Town CBD emergency plumber")</f>
        <v>Cape Town CBD emergency plumber</v>
      </c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 t="str">
        <f>IFERROR(__xludf.DUMMYFUNCTION("""COMPUTED_VALUE"""),"Cape Town CBD geyser repair")</f>
        <v>Cape Town CBD geyser repair</v>
      </c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 t="str">
        <f>IFERROR(__xludf.DUMMYFUNCTION("""COMPUTED_VALUE"""),"Cape Town CBD leak detection plumber")</f>
        <v>Cape Town CBD leak detection plumber</v>
      </c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 t="str">
        <f>IFERROR(__xludf.DUMMYFUNCTION("""COMPUTED_VALUE"""),"Cape Town CBD plumber")</f>
        <v>Cape Town CBD plumber</v>
      </c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 t="str">
        <f>IFERROR(__xludf.DUMMYFUNCTION("""COMPUTED_VALUE"""),"Cape Town CBD plumbers")</f>
        <v>Cape Town CBD plumbers</v>
      </c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 t="str">
        <f>IFERROR(__xludf.DUMMYFUNCTION("""COMPUTED_VALUE"""),"Cape Town CBD plumbing company")</f>
        <v>Cape Town CBD plumbing company</v>
      </c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 t="str">
        <f>IFERROR(__xludf.DUMMYFUNCTION("""COMPUTED_VALUE"""),"Cape Town CBD refrigeration services")</f>
        <v>Cape Town CBD refrigeration services</v>
      </c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 t="str">
        <f>IFERROR(__xludf.DUMMYFUNCTION("""COMPUTED_VALUE"""),"cape town cold room repair")</f>
        <v>cape town cold room repair</v>
      </c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 t="str">
        <f>IFERROR(__xludf.DUMMYFUNCTION("""COMPUTED_VALUE"""),"cape town commercial electrician")</f>
        <v>cape town commercial electrician</v>
      </c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 t="str">
        <f>IFERROR(__xludf.DUMMYFUNCTION("""COMPUTED_VALUE"""),"cape town commercial refrigeration")</f>
        <v>cape town commercial refrigeration</v>
      </c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 t="str">
        <f>IFERROR(__xludf.DUMMYFUNCTION("""COMPUTED_VALUE"""),"cape town drain cleaning")</f>
        <v>cape town drain cleaning</v>
      </c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 t="str">
        <f>IFERROR(__xludf.DUMMYFUNCTION("""COMPUTED_VALUE"""),"cape town drain inspection")</f>
        <v>cape town drain inspection</v>
      </c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 t="str">
        <f>IFERROR(__xludf.DUMMYFUNCTION("""COMPUTED_VALUE"""),"cape town drain unblocking")</f>
        <v>cape town drain unblocking</v>
      </c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 t="str">
        <f>IFERROR(__xludf.DUMMYFUNCTION("""COMPUTED_VALUE"""),"cape town electrical compliance certificate")</f>
        <v>cape town electrical compliance certificate</v>
      </c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 t="str">
        <f>IFERROR(__xludf.DUMMYFUNCTION("""COMPUTED_VALUE"""),"cape town electrical contractor")</f>
        <v>cape town electrical contractor</v>
      </c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 t="str">
        <f>IFERROR(__xludf.DUMMYFUNCTION("""COMPUTED_VALUE"""),"cape town electrical installation")</f>
        <v>cape town electrical installation</v>
      </c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 t="str">
        <f>IFERROR(__xludf.DUMMYFUNCTION("""COMPUTED_VALUE"""),"cape town electrical maintenance")</f>
        <v>cape town electrical maintenance</v>
      </c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 t="str">
        <f>IFERROR(__xludf.DUMMYFUNCTION("""COMPUTED_VALUE"""),"cape town electrical repairs")</f>
        <v>cape town electrical repairs</v>
      </c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 t="str">
        <f>IFERROR(__xludf.DUMMYFUNCTION("""COMPUTED_VALUE"""),"cape town electrical services")</f>
        <v>cape town electrical services</v>
      </c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 t="str">
        <f>IFERROR(__xludf.DUMMYFUNCTION("""COMPUTED_VALUE"""),"Cape Town electrician")</f>
        <v>Cape Town electrician</v>
      </c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 t="str">
        <f>IFERROR(__xludf.DUMMYFUNCTION("""COMPUTED_VALUE"""),"cape town emergency electrician")</f>
        <v>cape town emergency electrician</v>
      </c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 t="str">
        <f>IFERROR(__xludf.DUMMYFUNCTION("""COMPUTED_VALUE"""),"cape town emergency plumber")</f>
        <v>cape town emergency plumber</v>
      </c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 t="str">
        <f>IFERROR(__xludf.DUMMYFUNCTION("""COMPUTED_VALUE"""),"Cape Town emergency plumber")</f>
        <v>Cape Town emergency plumber</v>
      </c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 t="str">
        <f>IFERROR(__xludf.DUMMYFUNCTION("""COMPUTED_VALUE"""),"cape town fridge repair")</f>
        <v>cape town fridge repair</v>
      </c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 t="str">
        <f>IFERROR(__xludf.DUMMYFUNCTION("""COMPUTED_VALUE"""),"cape town geyser repair")</f>
        <v>cape town geyser repair</v>
      </c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 t="str">
        <f>IFERROR(__xludf.DUMMYFUNCTION("""COMPUTED_VALUE"""),"Cape Town geyser repair")</f>
        <v>Cape Town geyser repair</v>
      </c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 t="str">
        <f>IFERROR(__xludf.DUMMYFUNCTION("""COMPUTED_VALUE"""),"cape town geyser replacement")</f>
        <v>cape town geyser replacement</v>
      </c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 t="str">
        <f>IFERROR(__xludf.DUMMYFUNCTION("""COMPUTED_VALUE"""),"cape town HVAC services")</f>
        <v>cape town HVAC services</v>
      </c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 t="str">
        <f>IFERROR(__xludf.DUMMYFUNCTION("""COMPUTED_VALUE"""),"cape town kitchen plumbing repair")</f>
        <v>cape town kitchen plumbing repair</v>
      </c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 t="str">
        <f>IFERROR(__xludf.DUMMYFUNCTION("""COMPUTED_VALUE"""),"cape town leak detection")</f>
        <v>cape town leak detection</v>
      </c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 t="str">
        <f>IFERROR(__xludf.DUMMYFUNCTION("""COMPUTED_VALUE"""),"Cape Town leak detection plumber")</f>
        <v>Cape Town leak detection plumber</v>
      </c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 t="str">
        <f>IFERROR(__xludf.DUMMYFUNCTION("""COMPUTED_VALUE"""),"cape town leaking pipe repair")</f>
        <v>cape town leaking pipe repair</v>
      </c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 t="str">
        <f>IFERROR(__xludf.DUMMYFUNCTION("""COMPUTED_VALUE"""),"cape town leaking tap repair")</f>
        <v>cape town leaking tap repair</v>
      </c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 t="str">
        <f>IFERROR(__xludf.DUMMYFUNCTION("""COMPUTED_VALUE"""),"cape town pipe repair")</f>
        <v>cape town pipe repair</v>
      </c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 t="str">
        <f>IFERROR(__xludf.DUMMYFUNCTION("""COMPUTED_VALUE"""),"Cape Town plumber")</f>
        <v>Cape Town plumber</v>
      </c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 t="str">
        <f>IFERROR(__xludf.DUMMYFUNCTION("""COMPUTED_VALUE"""),"Cape Town plumbers")</f>
        <v>Cape Town plumbers</v>
      </c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 t="str">
        <f>IFERROR(__xludf.DUMMYFUNCTION("""COMPUTED_VALUE"""),"Cape Town plumbing company")</f>
        <v>Cape Town plumbing company</v>
      </c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 t="str">
        <f>IFERROR(__xludf.DUMMYFUNCTION("""COMPUTED_VALUE"""),"cape town refrigeration repair")</f>
        <v>cape town refrigeration repair</v>
      </c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 t="str">
        <f>IFERROR(__xludf.DUMMYFUNCTION("""COMPUTED_VALUE"""),"Cape Town refrigeration services")</f>
        <v>Cape Town refrigeration services</v>
      </c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 t="str">
        <f>IFERROR(__xludf.DUMMYFUNCTION("""COMPUTED_VALUE"""),"cape town residential electrician")</f>
        <v>cape town residential electrician</v>
      </c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 t="str">
        <f>IFERROR(__xludf.DUMMYFUNCTION("""COMPUTED_VALUE"""),"cape town toilet repair")</f>
        <v>cape town toilet repair</v>
      </c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 t="str">
        <f>IFERROR(__xludf.DUMMYFUNCTION("""COMPUTED_VALUE"""),"cape town water leak detection")</f>
        <v>cape town water leak detection</v>
      </c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 t="str">
        <f>IFERROR(__xludf.DUMMYFUNCTION("""COMPUTED_VALUE"""),"cape town water leak repair")</f>
        <v>cape town water leak repair</v>
      </c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 t="str">
        <f>IFERROR(__xludf.DUMMYFUNCTION("""COMPUTED_VALUE"""),"CCTV blocked drain")</f>
        <v>CCTV blocked drain</v>
      </c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 t="str">
        <f>IFERROR(__xludf.DUMMYFUNCTION("""COMPUTED_VALUE"""),"CCTV burst geyser")</f>
        <v>CCTV burst geyser</v>
      </c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 t="str">
        <f>IFERROR(__xludf.DUMMYFUNCTION("""COMPUTED_VALUE"""),"CCTV drain cleaning")</f>
        <v>CCTV drain cleaning</v>
      </c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 t="str">
        <f>IFERROR(__xludf.DUMMYFUNCTION("""COMPUTED_VALUE"""),"CCTV drain inspection")</f>
        <v>CCTV drain inspection</v>
      </c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 t="str">
        <f>IFERROR(__xludf.DUMMYFUNCTION("""COMPUTED_VALUE"""),"CCTV drain unblocking")</f>
        <v>CCTV drain unblocking</v>
      </c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 t="str">
        <f>IFERROR(__xludf.DUMMYFUNCTION("""COMPUTED_VALUE"""),"CCTV geyser repair")</f>
        <v>CCTV geyser repair</v>
      </c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 t="str">
        <f>IFERROR(__xludf.DUMMYFUNCTION("""COMPUTED_VALUE"""),"CCTV geyser replacement")</f>
        <v>CCTV geyser replacement</v>
      </c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 t="str">
        <f>IFERROR(__xludf.DUMMYFUNCTION("""COMPUTED_VALUE"""),"CCTV leak detection")</f>
        <v>CCTV leak detection</v>
      </c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 t="str">
        <f>IFERROR(__xludf.DUMMYFUNCTION("""COMPUTED_VALUE"""),"CCTV pipe repair")</f>
        <v>CCTV pipe repair</v>
      </c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 t="str">
        <f>IFERROR(__xludf.DUMMYFUNCTION("""COMPUTED_VALUE"""),"CCTV water leak detection")</f>
        <v>CCTV water leak detection</v>
      </c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 t="str">
        <f>IFERROR(__xludf.DUMMYFUNCTION("""COMPUTED_VALUE"""),"certified absolute plumbing cape town")</f>
        <v>certified absolute plumbing cape town</v>
      </c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 t="str">
        <f>IFERROR(__xludf.DUMMYFUNCTION("""COMPUTED_VALUE"""),"certified aircon repair cape town")</f>
        <v>certified aircon repair cape town</v>
      </c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 t="str">
        <f>IFERROR(__xludf.DUMMYFUNCTION("""COMPUTED_VALUE"""),"certified bosman plumbers")</f>
        <v>certified bosman plumbers</v>
      </c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 t="str">
        <f>IFERROR(__xludf.DUMMYFUNCTION("""COMPUTED_VALUE"""),"certified drain surgeon cape town")</f>
        <v>certified drain surgeon cape town</v>
      </c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 t="str">
        <f>IFERROR(__xludf.DUMMYFUNCTION("""COMPUTED_VALUE"""),"certified electrician cape town")</f>
        <v>certified electrician cape town</v>
      </c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 t="str">
        <f>IFERROR(__xludf.DUMMYFUNCTION("""COMPUTED_VALUE"""),"certified emergency plumber cape town")</f>
        <v>certified emergency plumber cape town</v>
      </c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 t="str">
        <f>IFERROR(__xludf.DUMMYFUNCTION("""COMPUTED_VALUE"""),"certified plumber near me")</f>
        <v>certified plumber near me</v>
      </c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 t="str">
        <f>IFERROR(__xludf.DUMMYFUNCTION("""COMPUTED_VALUE"""),"certified plumbers cape town")</f>
        <v>certified plumbers cape town</v>
      </c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 t="str">
        <f>IFERROR(__xludf.DUMMYFUNCTION("""COMPUTED_VALUE"""),"certified plumbing company cape town")</f>
        <v>certified plumbing company cape town</v>
      </c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 t="str">
        <f>IFERROR(__xludf.DUMMYFUNCTION("""COMPUTED_VALUE"""),"certified schmidhauser plumbing")</f>
        <v>certified schmidhauser plumbing</v>
      </c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 t="str">
        <f>IFERROR(__xludf.DUMMYFUNCTION("""COMPUTED_VALUE"""),"Claremont aircon repairs")</f>
        <v>Claremont aircon repairs</v>
      </c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 t="str">
        <f>IFERROR(__xludf.DUMMYFUNCTION("""COMPUTED_VALUE"""),"Claremont blocked drain plumber")</f>
        <v>Claremont blocked drain plumber</v>
      </c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 t="str">
        <f>IFERROR(__xludf.DUMMYFUNCTION("""COMPUTED_VALUE"""),"Claremont electrician")</f>
        <v>Claremont electrician</v>
      </c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 t="str">
        <f>IFERROR(__xludf.DUMMYFUNCTION("""COMPUTED_VALUE"""),"Claremont emergency plumber")</f>
        <v>Claremont emergency plumber</v>
      </c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 t="str">
        <f>IFERROR(__xludf.DUMMYFUNCTION("""COMPUTED_VALUE"""),"Claremont geyser repair")</f>
        <v>Claremont geyser repair</v>
      </c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 t="str">
        <f>IFERROR(__xludf.DUMMYFUNCTION("""COMPUTED_VALUE"""),"Claremont leak detection plumber")</f>
        <v>Claremont leak detection plumber</v>
      </c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 t="str">
        <f>IFERROR(__xludf.DUMMYFUNCTION("""COMPUTED_VALUE"""),"Claremont plumber")</f>
        <v>Claremont plumber</v>
      </c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 t="str">
        <f>IFERROR(__xludf.DUMMYFUNCTION("""COMPUTED_VALUE"""),"Claremont plumbers")</f>
        <v>Claremont plumbers</v>
      </c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 t="str">
        <f>IFERROR(__xludf.DUMMYFUNCTION("""COMPUTED_VALUE"""),"Claremont plumbing company")</f>
        <v>Claremont plumbing company</v>
      </c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 t="str">
        <f>IFERROR(__xludf.DUMMYFUNCTION("""COMPUTED_VALUE"""),"Claremont refrigeration services")</f>
        <v>Claremont refrigeration services</v>
      </c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 t="str">
        <f>IFERROR(__xludf.DUMMYFUNCTION("""COMPUTED_VALUE"""),"COC commercial electrician")</f>
        <v>COC commercial electrician</v>
      </c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 t="str">
        <f>IFERROR(__xludf.DUMMYFUNCTION("""COMPUTED_VALUE"""),"COC electrical compliance certificate")</f>
        <v>COC electrical compliance certificate</v>
      </c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 t="str">
        <f>IFERROR(__xludf.DUMMYFUNCTION("""COMPUTED_VALUE"""),"COC electrical contractor")</f>
        <v>COC electrical contractor</v>
      </c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 t="str">
        <f>IFERROR(__xludf.DUMMYFUNCTION("""COMPUTED_VALUE"""),"COC electrical installation")</f>
        <v>COC electrical installation</v>
      </c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 t="str">
        <f>IFERROR(__xludf.DUMMYFUNCTION("""COMPUTED_VALUE"""),"COC electrical maintenance")</f>
        <v>COC electrical maintenance</v>
      </c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 t="str">
        <f>IFERROR(__xludf.DUMMYFUNCTION("""COMPUTED_VALUE"""),"COC electrical repairs")</f>
        <v>COC electrical repairs</v>
      </c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 t="str">
        <f>IFERROR(__xludf.DUMMYFUNCTION("""COMPUTED_VALUE"""),"COC electrical services")</f>
        <v>COC electrical services</v>
      </c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 t="str">
        <f>IFERROR(__xludf.DUMMYFUNCTION("""COMPUTED_VALUE"""),"COC electrician cape town")</f>
        <v>COC electrician cape town</v>
      </c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 t="str">
        <f>IFERROR(__xludf.DUMMYFUNCTION("""COMPUTED_VALUE"""),"COC emergency electrician")</f>
        <v>COC emergency electrician</v>
      </c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 t="str">
        <f>IFERROR(__xludf.DUMMYFUNCTION("""COMPUTED_VALUE"""),"COC residential electrician")</f>
        <v>COC residential electrician</v>
      </c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 t="str">
        <f>IFERROR(__xludf.DUMMYFUNCTION("""COMPUTED_VALUE"""),"cold room repair")</f>
        <v>cold room repair</v>
      </c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 t="str">
        <f>IFERROR(__xludf.DUMMYFUNCTION("""COMPUTED_VALUE"""),"cold room repair affordable")</f>
        <v>cold room repair affordable</v>
      </c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 t="str">
        <f>IFERROR(__xludf.DUMMYFUNCTION("""COMPUTED_VALUE"""),"cold room repair best")</f>
        <v>cold room repair best</v>
      </c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 t="str">
        <f>IFERROR(__xludf.DUMMYFUNCTION("""COMPUTED_VALUE"""),"cold room repair cape town")</f>
        <v>cold room repair cape town</v>
      </c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 t="str">
        <f>IFERROR(__xludf.DUMMYFUNCTION("""COMPUTED_VALUE"""),"cold room repair commercial")</f>
        <v>cold room repair commercial</v>
      </c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 t="str">
        <f>IFERROR(__xludf.DUMMYFUNCTION("""COMPUTED_VALUE"""),"cold room repair company")</f>
        <v>cold room repair company</v>
      </c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 t="str">
        <f>IFERROR(__xludf.DUMMYFUNCTION("""COMPUTED_VALUE"""),"cold room repair contractor")</f>
        <v>cold room repair contractor</v>
      </c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 t="str">
        <f>IFERROR(__xludf.DUMMYFUNCTION("""COMPUTED_VALUE"""),"cold room repair cost")</f>
        <v>cold room repair cost</v>
      </c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 t="str">
        <f>IFERROR(__xludf.DUMMYFUNCTION("""COMPUTED_VALUE"""),"cold room repair emergency")</f>
        <v>cold room repair emergency</v>
      </c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 t="str">
        <f>IFERROR(__xludf.DUMMYFUNCTION("""COMPUTED_VALUE"""),"cold room repair installation")</f>
        <v>cold room repair installation</v>
      </c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 t="str">
        <f>IFERROR(__xludf.DUMMYFUNCTION("""COMPUTED_VALUE"""),"cold room repair local")</f>
        <v>cold room repair local</v>
      </c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 t="str">
        <f>IFERROR(__xludf.DUMMYFUNCTION("""COMPUTED_VALUE"""),"cold room repair maintenance")</f>
        <v>cold room repair maintenance</v>
      </c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 t="str">
        <f>IFERROR(__xludf.DUMMYFUNCTION("""COMPUTED_VALUE"""),"cold room repair near me")</f>
        <v>cold room repair near me</v>
      </c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 t="str">
        <f>IFERROR(__xludf.DUMMYFUNCTION("""COMPUTED_VALUE"""),"cold room repair professional")</f>
        <v>cold room repair professional</v>
      </c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 t="str">
        <f>IFERROR(__xludf.DUMMYFUNCTION("""COMPUTED_VALUE"""),"cold room repair quote")</f>
        <v>cold room repair quote</v>
      </c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 t="str">
        <f>IFERROR(__xludf.DUMMYFUNCTION("""COMPUTED_VALUE"""),"cold room repair reliable")</f>
        <v>cold room repair reliable</v>
      </c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 t="str">
        <f>IFERROR(__xludf.DUMMYFUNCTION("""COMPUTED_VALUE"""),"cold room repair residential")</f>
        <v>cold room repair residential</v>
      </c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 t="str">
        <f>IFERROR(__xludf.DUMMYFUNCTION("""COMPUTED_VALUE"""),"cold room repair same day")</f>
        <v>cold room repair same day</v>
      </c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 t="str">
        <f>IFERROR(__xludf.DUMMYFUNCTION("""COMPUTED_VALUE"""),"cold room repair service")</f>
        <v>cold room repair service</v>
      </c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 t="str">
        <f>IFERROR(__xludf.DUMMYFUNCTION("""COMPUTED_VALUE"""),"cold room repair technician")</f>
        <v>cold room repair technician</v>
      </c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 t="str">
        <f>IFERROR(__xludf.DUMMYFUNCTION("""COMPUTED_VALUE"""),"commercial 24 hour plumber")</f>
        <v>commercial 24 hour plumber</v>
      </c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 t="str">
        <f>IFERROR(__xludf.DUMMYFUNCTION("""COMPUTED_VALUE"""),"commercial air conditioning")</f>
        <v>commercial air conditioning</v>
      </c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 t="str">
        <f>IFERROR(__xludf.DUMMYFUNCTION("""COMPUTED_VALUE"""),"commercial air conditioning repair")</f>
        <v>commercial air conditioning repair</v>
      </c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 t="str">
        <f>IFERROR(__xludf.DUMMYFUNCTION("""COMPUTED_VALUE"""),"commercial aircon installation")</f>
        <v>commercial aircon installation</v>
      </c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 t="str">
        <f>IFERROR(__xludf.DUMMYFUNCTION("""COMPUTED_VALUE"""),"commercial aircon repair")</f>
        <v>commercial aircon repair</v>
      </c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 t="str">
        <f>IFERROR(__xludf.DUMMYFUNCTION("""COMPUTED_VALUE"""),"commercial aircon service")</f>
        <v>commercial aircon service</v>
      </c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 t="str">
        <f>IFERROR(__xludf.DUMMYFUNCTION("""COMPUTED_VALUE"""),"commercial bathroom plumbing repair")</f>
        <v>commercial bathroom plumbing repair</v>
      </c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 t="str">
        <f>IFERROR(__xludf.DUMMYFUNCTION("""COMPUTED_VALUE"""),"commercial blocked drain")</f>
        <v>commercial blocked drain</v>
      </c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 t="str">
        <f>IFERROR(__xludf.DUMMYFUNCTION("""COMPUTED_VALUE"""),"commercial blocked toilet plumber")</f>
        <v>commercial blocked toilet plumber</v>
      </c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 t="str">
        <f>IFERROR(__xludf.DUMMYFUNCTION("""COMPUTED_VALUE"""),"commercial burst geyser")</f>
        <v>commercial burst geyser</v>
      </c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 t="str">
        <f>IFERROR(__xludf.DUMMYFUNCTION("""COMPUTED_VALUE"""),"commercial burst pipe repair")</f>
        <v>commercial burst pipe repair</v>
      </c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 t="str">
        <f>IFERROR(__xludf.DUMMYFUNCTION("""COMPUTED_VALUE"""),"commercial cold room repair")</f>
        <v>commercial cold room repair</v>
      </c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 t="str">
        <f>IFERROR(__xludf.DUMMYFUNCTION("""COMPUTED_VALUE"""),"commercial drain cleaning")</f>
        <v>commercial drain cleaning</v>
      </c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 t="str">
        <f>IFERROR(__xludf.DUMMYFUNCTION("""COMPUTED_VALUE"""),"commercial drain inspection")</f>
        <v>commercial drain inspection</v>
      </c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 t="str">
        <f>IFERROR(__xludf.DUMMYFUNCTION("""COMPUTED_VALUE"""),"commercial drain unblocking")</f>
        <v>commercial drain unblocking</v>
      </c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 t="str">
        <f>IFERROR(__xludf.DUMMYFUNCTION("""COMPUTED_VALUE"""),"commercial electrician affordable")</f>
        <v>commercial electrician affordable</v>
      </c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 t="str">
        <f>IFERROR(__xludf.DUMMYFUNCTION("""COMPUTED_VALUE"""),"commercial electrician call out")</f>
        <v>commercial electrician call out</v>
      </c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 t="str">
        <f>IFERROR(__xludf.DUMMYFUNCTION("""COMPUTED_VALUE"""),"commercial electrician cape town")</f>
        <v>commercial electrician cape town</v>
      </c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 t="str">
        <f>IFERROR(__xludf.DUMMYFUNCTION("""COMPUTED_VALUE"""),"commercial electrician COC")</f>
        <v>commercial electrician COC</v>
      </c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 t="str">
        <f>IFERROR(__xludf.DUMMYFUNCTION("""COMPUTED_VALUE"""),"commercial electrician company")</f>
        <v>commercial electrician company</v>
      </c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 t="str">
        <f>IFERROR(__xludf.DUMMYFUNCTION("""COMPUTED_VALUE"""),"commercial electrician contractor")</f>
        <v>commercial electrician contractor</v>
      </c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 t="str">
        <f>IFERROR(__xludf.DUMMYFUNCTION("""COMPUTED_VALUE"""),"commercial electrician cost")</f>
        <v>commercial electrician cost</v>
      </c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 t="str">
        <f>IFERROR(__xludf.DUMMYFUNCTION("""COMPUTED_VALUE"""),"commercial electrician emergency")</f>
        <v>commercial electrician emergency</v>
      </c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 t="str">
        <f>IFERROR(__xludf.DUMMYFUNCTION("""COMPUTED_VALUE"""),"commercial electrician inspection")</f>
        <v>commercial electrician inspection</v>
      </c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 t="str">
        <f>IFERROR(__xludf.DUMMYFUNCTION("""COMPUTED_VALUE"""),"commercial electrician installation")</f>
        <v>commercial electrician installation</v>
      </c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 t="str">
        <f>IFERROR(__xludf.DUMMYFUNCTION("""COMPUTED_VALUE"""),"commercial electrician licensed")</f>
        <v>commercial electrician licensed</v>
      </c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 t="str">
        <f>IFERROR(__xludf.DUMMYFUNCTION("""COMPUTED_VALUE"""),"commercial electrician local")</f>
        <v>commercial electrician local</v>
      </c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 t="str">
        <f>IFERROR(__xludf.DUMMYFUNCTION("""COMPUTED_VALUE"""),"commercial electrician near me")</f>
        <v>commercial electrician near me</v>
      </c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 t="str">
        <f>IFERROR(__xludf.DUMMYFUNCTION("""COMPUTED_VALUE"""),"commercial electrician professional")</f>
        <v>commercial electrician professional</v>
      </c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 t="str">
        <f>IFERROR(__xludf.DUMMYFUNCTION("""COMPUTED_VALUE"""),"commercial electrician qualified")</f>
        <v>commercial electrician qualified</v>
      </c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 t="str">
        <f>IFERROR(__xludf.DUMMYFUNCTION("""COMPUTED_VALUE"""),"commercial electrician quote")</f>
        <v>commercial electrician quote</v>
      </c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 t="str">
        <f>IFERROR(__xludf.DUMMYFUNCTION("""COMPUTED_VALUE"""),"commercial electrician reliable")</f>
        <v>commercial electrician reliable</v>
      </c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 t="str">
        <f>IFERROR(__xludf.DUMMYFUNCTION("""COMPUTED_VALUE"""),"commercial electrician repair")</f>
        <v>commercial electrician repair</v>
      </c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 t="str">
        <f>IFERROR(__xludf.DUMMYFUNCTION("""COMPUTED_VALUE"""),"commercial electrician same day")</f>
        <v>commercial electrician same day</v>
      </c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 t="str">
        <f>IFERROR(__xludf.DUMMYFUNCTION("""COMPUTED_VALUE"""),"commercial electrician service")</f>
        <v>commercial electrician service</v>
      </c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 t="str">
        <f>IFERROR(__xludf.DUMMYFUNCTION("""COMPUTED_VALUE"""),"commercial emergency plumber")</f>
        <v>commercial emergency plumber</v>
      </c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 t="str">
        <f>IFERROR(__xludf.DUMMYFUNCTION("""COMPUTED_VALUE"""),"commercial fridge repair")</f>
        <v>commercial fridge repair</v>
      </c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 t="str">
        <f>IFERROR(__xludf.DUMMYFUNCTION("""COMPUTED_VALUE"""),"commercial geyser repair")</f>
        <v>commercial geyser repair</v>
      </c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 t="str">
        <f>IFERROR(__xludf.DUMMYFUNCTION("""COMPUTED_VALUE"""),"commercial geyser replacement")</f>
        <v>commercial geyser replacement</v>
      </c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 t="str">
        <f>IFERROR(__xludf.DUMMYFUNCTION("""COMPUTED_VALUE"""),"commercial HVAC services")</f>
        <v>commercial HVAC services</v>
      </c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 t="str">
        <f>IFERROR(__xludf.DUMMYFUNCTION("""COMPUTED_VALUE"""),"commercial kitchen plumbing repair")</f>
        <v>commercial kitchen plumbing repair</v>
      </c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 t="str">
        <f>IFERROR(__xludf.DUMMYFUNCTION("""COMPUTED_VALUE"""),"commercial leak detection")</f>
        <v>commercial leak detection</v>
      </c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 t="str">
        <f>IFERROR(__xludf.DUMMYFUNCTION("""COMPUTED_VALUE"""),"commercial leaking pipe repair")</f>
        <v>commercial leaking pipe repair</v>
      </c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 t="str">
        <f>IFERROR(__xludf.DUMMYFUNCTION("""COMPUTED_VALUE"""),"commercial leaking tap repair")</f>
        <v>commercial leaking tap repair</v>
      </c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 t="str">
        <f>IFERROR(__xludf.DUMMYFUNCTION("""COMPUTED_VALUE"""),"commercial pipe repair")</f>
        <v>commercial pipe repair</v>
      </c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 t="str">
        <f>IFERROR(__xludf.DUMMYFUNCTION("""COMPUTED_VALUE"""),"commercial plumber 24 hour")</f>
        <v>commercial plumber 24 hour</v>
      </c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 t="str">
        <f>IFERROR(__xludf.DUMMYFUNCTION("""COMPUTED_VALUE"""),"commercial plumber affordable")</f>
        <v>commercial plumber affordable</v>
      </c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 t="str">
        <f>IFERROR(__xludf.DUMMYFUNCTION("""COMPUTED_VALUE"""),"commercial plumber after hours")</f>
        <v>commercial plumber after hours</v>
      </c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 t="str">
        <f>IFERROR(__xludf.DUMMYFUNCTION("""COMPUTED_VALUE"""),"commercial plumber best")</f>
        <v>commercial plumber best</v>
      </c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 t="str">
        <f>IFERROR(__xludf.DUMMYFUNCTION("""COMPUTED_VALUE"""),"commercial plumber call out")</f>
        <v>commercial plumber call out</v>
      </c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 t="str">
        <f>IFERROR(__xludf.DUMMYFUNCTION("""COMPUTED_VALUE"""),"commercial plumber company")</f>
        <v>commercial plumber company</v>
      </c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 t="str">
        <f>IFERROR(__xludf.DUMMYFUNCTION("""COMPUTED_VALUE"""),"commercial plumber contractor")</f>
        <v>commercial plumber contractor</v>
      </c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 t="str">
        <f>IFERROR(__xludf.DUMMYFUNCTION("""COMPUTED_VALUE"""),"commercial plumber cost")</f>
        <v>commercial plumber cost</v>
      </c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 t="str">
        <f>IFERROR(__xludf.DUMMYFUNCTION("""COMPUTED_VALUE"""),"commercial plumber emergency")</f>
        <v>commercial plumber emergency</v>
      </c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 t="str">
        <f>IFERROR(__xludf.DUMMYFUNCTION("""COMPUTED_VALUE"""),"commercial plumber installation")</f>
        <v>commercial plumber installation</v>
      </c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 t="str">
        <f>IFERROR(__xludf.DUMMYFUNCTION("""COMPUTED_VALUE"""),"commercial plumber licensed")</f>
        <v>commercial plumber licensed</v>
      </c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 t="str">
        <f>IFERROR(__xludf.DUMMYFUNCTION("""COMPUTED_VALUE"""),"commercial plumber local")</f>
        <v>commercial plumber local</v>
      </c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 t="str">
        <f>IFERROR(__xludf.DUMMYFUNCTION("""COMPUTED_VALUE"""),"commercial plumber maintenance")</f>
        <v>commercial plumber maintenance</v>
      </c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 t="str">
        <f>IFERROR(__xludf.DUMMYFUNCTION("""COMPUTED_VALUE"""),"commercial plumber near me")</f>
        <v>commercial plumber near me</v>
      </c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 t="str">
        <f>IFERROR(__xludf.DUMMYFUNCTION("""COMPUTED_VALUE"""),"commercial plumber professional")</f>
        <v>commercial plumber professional</v>
      </c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 t="str">
        <f>IFERROR(__xludf.DUMMYFUNCTION("""COMPUTED_VALUE"""),"commercial plumber qualified")</f>
        <v>commercial plumber qualified</v>
      </c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 t="str">
        <f>IFERROR(__xludf.DUMMYFUNCTION("""COMPUTED_VALUE"""),"commercial plumber quote")</f>
        <v>commercial plumber quote</v>
      </c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 t="str">
        <f>IFERROR(__xludf.DUMMYFUNCTION("""COMPUTED_VALUE"""),"commercial plumber reliable")</f>
        <v>commercial plumber reliable</v>
      </c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 t="str">
        <f>IFERROR(__xludf.DUMMYFUNCTION("""COMPUTED_VALUE"""),"commercial plumber repair")</f>
        <v>commercial plumber repair</v>
      </c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 t="str">
        <f>IFERROR(__xludf.DUMMYFUNCTION("""COMPUTED_VALUE"""),"commercial plumber same day")</f>
        <v>commercial plumber same day</v>
      </c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 t="str">
        <f>IFERROR(__xludf.DUMMYFUNCTION("""COMPUTED_VALUE"""),"commercial plumber service")</f>
        <v>commercial plumber service</v>
      </c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 t="str">
        <f>IFERROR(__xludf.DUMMYFUNCTION("""COMPUTED_VALUE"""),"commercial plumber top rated")</f>
        <v>commercial plumber top rated</v>
      </c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 t="str">
        <f>IFERROR(__xludf.DUMMYFUNCTION("""COMPUTED_VALUE"""),"commercial plumber trusted")</f>
        <v>commercial plumber trusted</v>
      </c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 t="str">
        <f>IFERROR(__xludf.DUMMYFUNCTION("""COMPUTED_VALUE"""),"commercial property air conditioning services")</f>
        <v>commercial property air conditioning services</v>
      </c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 t="str">
        <f>IFERROR(__xludf.DUMMYFUNCTION("""COMPUTED_VALUE"""),"commercial property drain cleaning")</f>
        <v>commercial property drain cleaning</v>
      </c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 t="str">
        <f>IFERROR(__xludf.DUMMYFUNCTION("""COMPUTED_VALUE"""),"commercial property electrical repairs")</f>
        <v>commercial property electrical repairs</v>
      </c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 t="str">
        <f>IFERROR(__xludf.DUMMYFUNCTION("""COMPUTED_VALUE"""),"commercial property emergency plumbing")</f>
        <v>commercial property emergency plumbing</v>
      </c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 t="str">
        <f>IFERROR(__xludf.DUMMYFUNCTION("""COMPUTED_VALUE"""),"commercial property geyser repairs")</f>
        <v>commercial property geyser repairs</v>
      </c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 t="str">
        <f>IFERROR(__xludf.DUMMYFUNCTION("""COMPUTED_VALUE"""),"commercial property leak detection")</f>
        <v>commercial property leak detection</v>
      </c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 t="str">
        <f>IFERROR(__xludf.DUMMYFUNCTION("""COMPUTED_VALUE"""),"commercial property maintenance plumber")</f>
        <v>commercial property maintenance plumber</v>
      </c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 t="str">
        <f>IFERROR(__xludf.DUMMYFUNCTION("""COMPUTED_VALUE"""),"commercial property plumbing company")</f>
        <v>commercial property plumbing company</v>
      </c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 t="str">
        <f>IFERROR(__xludf.DUMMYFUNCTION("""COMPUTED_VALUE"""),"commercial property plumbing services")</f>
        <v>commercial property plumbing services</v>
      </c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 t="str">
        <f>IFERROR(__xludf.DUMMYFUNCTION("""COMPUTED_VALUE"""),"commercial property refrigeration services")</f>
        <v>commercial property refrigeration services</v>
      </c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 t="str">
        <f>IFERROR(__xludf.DUMMYFUNCTION("""COMPUTED_VALUE"""),"commercial refrigeration")</f>
        <v>commercial refrigeration</v>
      </c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 t="str">
        <f>IFERROR(__xludf.DUMMYFUNCTION("""COMPUTED_VALUE"""),"commercial refrigeration affordable")</f>
        <v>commercial refrigeration affordable</v>
      </c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 t="str">
        <f>IFERROR(__xludf.DUMMYFUNCTION("""COMPUTED_VALUE"""),"commercial refrigeration best")</f>
        <v>commercial refrigeration best</v>
      </c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 t="str">
        <f>IFERROR(__xludf.DUMMYFUNCTION("""COMPUTED_VALUE"""),"commercial refrigeration cape town")</f>
        <v>commercial refrigeration cape town</v>
      </c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 t="str">
        <f>IFERROR(__xludf.DUMMYFUNCTION("""COMPUTED_VALUE"""),"commercial refrigeration company")</f>
        <v>commercial refrigeration company</v>
      </c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 t="str">
        <f>IFERROR(__xludf.DUMMYFUNCTION("""COMPUTED_VALUE"""),"commercial refrigeration contractor")</f>
        <v>commercial refrigeration contractor</v>
      </c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 t="str">
        <f>IFERROR(__xludf.DUMMYFUNCTION("""COMPUTED_VALUE"""),"commercial refrigeration cost")</f>
        <v>commercial refrigeration cost</v>
      </c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 t="str">
        <f>IFERROR(__xludf.DUMMYFUNCTION("""COMPUTED_VALUE"""),"commercial refrigeration emergency")</f>
        <v>commercial refrigeration emergency</v>
      </c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 t="str">
        <f>IFERROR(__xludf.DUMMYFUNCTION("""COMPUTED_VALUE"""),"commercial refrigeration installation")</f>
        <v>commercial refrigeration installation</v>
      </c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 t="str">
        <f>IFERROR(__xludf.DUMMYFUNCTION("""COMPUTED_VALUE"""),"commercial refrigeration local")</f>
        <v>commercial refrigeration local</v>
      </c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 t="str">
        <f>IFERROR(__xludf.DUMMYFUNCTION("""COMPUTED_VALUE"""),"commercial refrigeration maintenance")</f>
        <v>commercial refrigeration maintenance</v>
      </c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 t="str">
        <f>IFERROR(__xludf.DUMMYFUNCTION("""COMPUTED_VALUE"""),"commercial refrigeration near me")</f>
        <v>commercial refrigeration near me</v>
      </c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 t="str">
        <f>IFERROR(__xludf.DUMMYFUNCTION("""COMPUTED_VALUE"""),"commercial refrigeration professional")</f>
        <v>commercial refrigeration professional</v>
      </c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 t="str">
        <f>IFERROR(__xludf.DUMMYFUNCTION("""COMPUTED_VALUE"""),"commercial refrigeration quote")</f>
        <v>commercial refrigeration quote</v>
      </c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 t="str">
        <f>IFERROR(__xludf.DUMMYFUNCTION("""COMPUTED_VALUE"""),"commercial refrigeration reliable")</f>
        <v>commercial refrigeration reliable</v>
      </c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 t="str">
        <f>IFERROR(__xludf.DUMMYFUNCTION("""COMPUTED_VALUE"""),"commercial refrigeration repair")</f>
        <v>commercial refrigeration repair</v>
      </c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 t="str">
        <f>IFERROR(__xludf.DUMMYFUNCTION("""COMPUTED_VALUE"""),"commercial refrigeration residential")</f>
        <v>commercial refrigeration residential</v>
      </c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 t="str">
        <f>IFERROR(__xludf.DUMMYFUNCTION("""COMPUTED_VALUE"""),"commercial refrigeration same day")</f>
        <v>commercial refrigeration same day</v>
      </c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 t="str">
        <f>IFERROR(__xludf.DUMMYFUNCTION("""COMPUTED_VALUE"""),"commercial refrigeration service")</f>
        <v>commercial refrigeration service</v>
      </c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 t="str">
        <f>IFERROR(__xludf.DUMMYFUNCTION("""COMPUTED_VALUE"""),"commercial refrigeration technician")</f>
        <v>commercial refrigeration technician</v>
      </c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 t="str">
        <f>IFERROR(__xludf.DUMMYFUNCTION("""COMPUTED_VALUE"""),"commercial toilet repair")</f>
        <v>commercial toilet repair</v>
      </c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 t="str">
        <f>IFERROR(__xludf.DUMMYFUNCTION("""COMPUTED_VALUE"""),"commercial water leak detection")</f>
        <v>commercial water leak detection</v>
      </c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 t="str">
        <f>IFERROR(__xludf.DUMMYFUNCTION("""COMPUTED_VALUE"""),"commercial water leak repair")</f>
        <v>commercial water leak repair</v>
      </c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 t="str">
        <f>IFERROR(__xludf.DUMMYFUNCTION("""COMPUTED_VALUE"""),"company 24 hour plumber")</f>
        <v>company 24 hour plumber</v>
      </c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 t="str">
        <f>IFERROR(__xludf.DUMMYFUNCTION("""COMPUTED_VALUE"""),"company air conditioning")</f>
        <v>company air conditioning</v>
      </c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 t="str">
        <f>IFERROR(__xludf.DUMMYFUNCTION("""COMPUTED_VALUE"""),"company air conditioning repair")</f>
        <v>company air conditioning repair</v>
      </c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 t="str">
        <f>IFERROR(__xludf.DUMMYFUNCTION("""COMPUTED_VALUE"""),"company aircon installation")</f>
        <v>company aircon installation</v>
      </c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 t="str">
        <f>IFERROR(__xludf.DUMMYFUNCTION("""COMPUTED_VALUE"""),"company aircon repair")</f>
        <v>company aircon repair</v>
      </c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 t="str">
        <f>IFERROR(__xludf.DUMMYFUNCTION("""COMPUTED_VALUE"""),"company aircon service")</f>
        <v>company aircon service</v>
      </c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 t="str">
        <f>IFERROR(__xludf.DUMMYFUNCTION("""COMPUTED_VALUE"""),"company bathroom plumbing repair")</f>
        <v>company bathroom plumbing repair</v>
      </c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 t="str">
        <f>IFERROR(__xludf.DUMMYFUNCTION("""COMPUTED_VALUE"""),"company blocked toilet plumber")</f>
        <v>company blocked toilet plumber</v>
      </c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 t="str">
        <f>IFERROR(__xludf.DUMMYFUNCTION("""COMPUTED_VALUE"""),"company burst pipe repair")</f>
        <v>company burst pipe repair</v>
      </c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 t="str">
        <f>IFERROR(__xludf.DUMMYFUNCTION("""COMPUTED_VALUE"""),"company cold room repair")</f>
        <v>company cold room repair</v>
      </c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 t="str">
        <f>IFERROR(__xludf.DUMMYFUNCTION("""COMPUTED_VALUE"""),"company commercial electrician")</f>
        <v>company commercial electrician</v>
      </c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 t="str">
        <f>IFERROR(__xludf.DUMMYFUNCTION("""COMPUTED_VALUE"""),"company commercial plumber")</f>
        <v>company commercial plumber</v>
      </c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 t="str">
        <f>IFERROR(__xludf.DUMMYFUNCTION("""COMPUTED_VALUE"""),"company commercial refrigeration")</f>
        <v>company commercial refrigeration</v>
      </c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 t="str">
        <f>IFERROR(__xludf.DUMMYFUNCTION("""COMPUTED_VALUE"""),"company electrical compliance certificate")</f>
        <v>company electrical compliance certificate</v>
      </c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 t="str">
        <f>IFERROR(__xludf.DUMMYFUNCTION("""COMPUTED_VALUE"""),"company electrical contractor")</f>
        <v>company electrical contractor</v>
      </c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 t="str">
        <f>IFERROR(__xludf.DUMMYFUNCTION("""COMPUTED_VALUE"""),"company electrical installation")</f>
        <v>company electrical installation</v>
      </c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 t="str">
        <f>IFERROR(__xludf.DUMMYFUNCTION("""COMPUTED_VALUE"""),"company electrical maintenance")</f>
        <v>company electrical maintenance</v>
      </c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 t="str">
        <f>IFERROR(__xludf.DUMMYFUNCTION("""COMPUTED_VALUE"""),"company electrical repairs")</f>
        <v>company electrical repairs</v>
      </c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 t="str">
        <f>IFERROR(__xludf.DUMMYFUNCTION("""COMPUTED_VALUE"""),"company electrical services")</f>
        <v>company electrical services</v>
      </c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 t="str">
        <f>IFERROR(__xludf.DUMMYFUNCTION("""COMPUTED_VALUE"""),"company electrician cape town")</f>
        <v>company electrician cape town</v>
      </c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 t="str">
        <f>IFERROR(__xludf.DUMMYFUNCTION("""COMPUTED_VALUE"""),"company emergency electrician")</f>
        <v>company emergency electrician</v>
      </c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 t="str">
        <f>IFERROR(__xludf.DUMMYFUNCTION("""COMPUTED_VALUE"""),"company emergency plumber")</f>
        <v>company emergency plumber</v>
      </c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 t="str">
        <f>IFERROR(__xludf.DUMMYFUNCTION("""COMPUTED_VALUE"""),"company fridge repair")</f>
        <v>company fridge repair</v>
      </c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 t="str">
        <f>IFERROR(__xludf.DUMMYFUNCTION("""COMPUTED_VALUE"""),"company HVAC services")</f>
        <v>company HVAC services</v>
      </c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 t="str">
        <f>IFERROR(__xludf.DUMMYFUNCTION("""COMPUTED_VALUE"""),"company kitchen plumbing repair")</f>
        <v>company kitchen plumbing repair</v>
      </c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 t="str">
        <f>IFERROR(__xludf.DUMMYFUNCTION("""COMPUTED_VALUE"""),"company leaking pipe repair")</f>
        <v>company leaking pipe repair</v>
      </c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 t="str">
        <f>IFERROR(__xludf.DUMMYFUNCTION("""COMPUTED_VALUE"""),"company leaking tap repair")</f>
        <v>company leaking tap repair</v>
      </c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 t="str">
        <f>IFERROR(__xludf.DUMMYFUNCTION("""COMPUTED_VALUE"""),"company maintenance plumber")</f>
        <v>company maintenance plumber</v>
      </c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 t="str">
        <f>IFERROR(__xludf.DUMMYFUNCTION("""COMPUTED_VALUE"""),"company plumber cape town")</f>
        <v>company plumber cape town</v>
      </c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 t="str">
        <f>IFERROR(__xludf.DUMMYFUNCTION("""COMPUTED_VALUE"""),"company plumbing contractors")</f>
        <v>company plumbing contractors</v>
      </c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 t="str">
        <f>IFERROR(__xludf.DUMMYFUNCTION("""COMPUTED_VALUE"""),"company plumbing inspection")</f>
        <v>company plumbing inspection</v>
      </c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 t="str">
        <f>IFERROR(__xludf.DUMMYFUNCTION("""COMPUTED_VALUE"""),"company plumbing installation")</f>
        <v>company plumbing installation</v>
      </c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 t="str">
        <f>IFERROR(__xludf.DUMMYFUNCTION("""COMPUTED_VALUE"""),"company plumbing repairs")</f>
        <v>company plumbing repairs</v>
      </c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 t="str">
        <f>IFERROR(__xludf.DUMMYFUNCTION("""COMPUTED_VALUE"""),"company plumbing services")</f>
        <v>company plumbing services</v>
      </c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 t="str">
        <f>IFERROR(__xludf.DUMMYFUNCTION("""COMPUTED_VALUE"""),"company refrigeration repair")</f>
        <v>company refrigeration repair</v>
      </c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 t="str">
        <f>IFERROR(__xludf.DUMMYFUNCTION("""COMPUTED_VALUE"""),"company residential electrician")</f>
        <v>company residential electrician</v>
      </c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 t="str">
        <f>IFERROR(__xludf.DUMMYFUNCTION("""COMPUTED_VALUE"""),"company residential plumber")</f>
        <v>company residential plumber</v>
      </c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 t="str">
        <f>IFERROR(__xludf.DUMMYFUNCTION("""COMPUTED_VALUE"""),"company toilet repair")</f>
        <v>company toilet repair</v>
      </c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 t="str">
        <f>IFERROR(__xludf.DUMMYFUNCTION("""COMPUTED_VALUE"""),"company water leak repair")</f>
        <v>company water leak repair</v>
      </c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 t="str">
        <f>IFERROR(__xludf.DUMMYFUNCTION("""COMPUTED_VALUE"""),"compare absolute plumbing cape town")</f>
        <v>compare absolute plumbing cape town</v>
      </c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 t="str">
        <f>IFERROR(__xludf.DUMMYFUNCTION("""COMPUTED_VALUE"""),"compare aircon repair cape town")</f>
        <v>compare aircon repair cape town</v>
      </c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 t="str">
        <f>IFERROR(__xludf.DUMMYFUNCTION("""COMPUTED_VALUE"""),"compare bosman plumbers")</f>
        <v>compare bosman plumbers</v>
      </c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 t="str">
        <f>IFERROR(__xludf.DUMMYFUNCTION("""COMPUTED_VALUE"""),"compare drain surgeon cape town")</f>
        <v>compare drain surgeon cape town</v>
      </c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 t="str">
        <f>IFERROR(__xludf.DUMMYFUNCTION("""COMPUTED_VALUE"""),"compare electrician cape town")</f>
        <v>compare electrician cape town</v>
      </c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 t="str">
        <f>IFERROR(__xludf.DUMMYFUNCTION("""COMPUTED_VALUE"""),"compare emergency plumber cape town")</f>
        <v>compare emergency plumber cape town</v>
      </c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 t="str">
        <f>IFERROR(__xludf.DUMMYFUNCTION("""COMPUTED_VALUE"""),"compare plumber near me")</f>
        <v>compare plumber near me</v>
      </c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 t="str">
        <f>IFERROR(__xludf.DUMMYFUNCTION("""COMPUTED_VALUE"""),"compare plumbers cape town")</f>
        <v>compare plumbers cape town</v>
      </c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 t="str">
        <f>IFERROR(__xludf.DUMMYFUNCTION("""COMPUTED_VALUE"""),"compare plumbing company cape town")</f>
        <v>compare plumbing company cape town</v>
      </c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 t="str">
        <f>IFERROR(__xludf.DUMMYFUNCTION("""COMPUTED_VALUE"""),"compare schmidhauser plumbing")</f>
        <v>compare schmidhauser plumbing</v>
      </c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 t="str">
        <f>IFERROR(__xludf.DUMMYFUNCTION("""COMPUTED_VALUE"""),"complaints absolute plumbing cape town")</f>
        <v>complaints absolute plumbing cape town</v>
      </c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 t="str">
        <f>IFERROR(__xludf.DUMMYFUNCTION("""COMPUTED_VALUE"""),"complaints aircon repair cape town")</f>
        <v>complaints aircon repair cape town</v>
      </c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 t="str">
        <f>IFERROR(__xludf.DUMMYFUNCTION("""COMPUTED_VALUE"""),"complaints bosman plumbers")</f>
        <v>complaints bosman plumbers</v>
      </c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 t="str">
        <f>IFERROR(__xludf.DUMMYFUNCTION("""COMPUTED_VALUE"""),"complaints drain surgeon cape town")</f>
        <v>complaints drain surgeon cape town</v>
      </c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 t="str">
        <f>IFERROR(__xludf.DUMMYFUNCTION("""COMPUTED_VALUE"""),"complaints electrician cape town")</f>
        <v>complaints electrician cape town</v>
      </c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 t="str">
        <f>IFERROR(__xludf.DUMMYFUNCTION("""COMPUTED_VALUE"""),"complaints emergency plumber cape town")</f>
        <v>complaints emergency plumber cape town</v>
      </c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 t="str">
        <f>IFERROR(__xludf.DUMMYFUNCTION("""COMPUTED_VALUE"""),"complaints plumber near me")</f>
        <v>complaints plumber near me</v>
      </c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 t="str">
        <f>IFERROR(__xludf.DUMMYFUNCTION("""COMPUTED_VALUE"""),"complaints plumbers cape town")</f>
        <v>complaints plumbers cape town</v>
      </c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 t="str">
        <f>IFERROR(__xludf.DUMMYFUNCTION("""COMPUTED_VALUE"""),"complaints plumbing company cape town")</f>
        <v>complaints plumbing company cape town</v>
      </c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 t="str">
        <f>IFERROR(__xludf.DUMMYFUNCTION("""COMPUTED_VALUE"""),"complaints schmidhauser plumbing")</f>
        <v>complaints schmidhauser plumbing</v>
      </c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 t="str">
        <f>IFERROR(__xludf.DUMMYFUNCTION("""COMPUTED_VALUE"""),"Constantia aircon repairs")</f>
        <v>Constantia aircon repairs</v>
      </c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 t="str">
        <f>IFERROR(__xludf.DUMMYFUNCTION("""COMPUTED_VALUE"""),"Constantia blocked drain plumber")</f>
        <v>Constantia blocked drain plumber</v>
      </c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 t="str">
        <f>IFERROR(__xludf.DUMMYFUNCTION("""COMPUTED_VALUE"""),"Constantia electrician")</f>
        <v>Constantia electrician</v>
      </c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 t="str">
        <f>IFERROR(__xludf.DUMMYFUNCTION("""COMPUTED_VALUE"""),"Constantia emergency plumber")</f>
        <v>Constantia emergency plumber</v>
      </c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 t="str">
        <f>IFERROR(__xludf.DUMMYFUNCTION("""COMPUTED_VALUE"""),"Constantia geyser repair")</f>
        <v>Constantia geyser repair</v>
      </c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 t="str">
        <f>IFERROR(__xludf.DUMMYFUNCTION("""COMPUTED_VALUE"""),"Constantia leak detection plumber")</f>
        <v>Constantia leak detection plumber</v>
      </c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 t="str">
        <f>IFERROR(__xludf.DUMMYFUNCTION("""COMPUTED_VALUE"""),"Constantia plumber")</f>
        <v>Constantia plumber</v>
      </c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 t="str">
        <f>IFERROR(__xludf.DUMMYFUNCTION("""COMPUTED_VALUE"""),"Constantia plumbers")</f>
        <v>Constantia plumbers</v>
      </c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 t="str">
        <f>IFERROR(__xludf.DUMMYFUNCTION("""COMPUTED_VALUE"""),"Constantia plumbing company")</f>
        <v>Constantia plumbing company</v>
      </c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 t="str">
        <f>IFERROR(__xludf.DUMMYFUNCTION("""COMPUTED_VALUE"""),"Constantia refrigeration services")</f>
        <v>Constantia refrigeration services</v>
      </c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 t="str">
        <f>IFERROR(__xludf.DUMMYFUNCTION("""COMPUTED_VALUE"""),"contractor air conditioning")</f>
        <v>contractor air conditioning</v>
      </c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 t="str">
        <f>IFERROR(__xludf.DUMMYFUNCTION("""COMPUTED_VALUE"""),"contractor air conditioning repair")</f>
        <v>contractor air conditioning repair</v>
      </c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 t="str">
        <f>IFERROR(__xludf.DUMMYFUNCTION("""COMPUTED_VALUE"""),"contractor aircon installation")</f>
        <v>contractor aircon installation</v>
      </c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 t="str">
        <f>IFERROR(__xludf.DUMMYFUNCTION("""COMPUTED_VALUE"""),"contractor aircon repair")</f>
        <v>contractor aircon repair</v>
      </c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 t="str">
        <f>IFERROR(__xludf.DUMMYFUNCTION("""COMPUTED_VALUE"""),"contractor aircon service")</f>
        <v>contractor aircon service</v>
      </c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 t="str">
        <f>IFERROR(__xludf.DUMMYFUNCTION("""COMPUTED_VALUE"""),"contractor cold room repair")</f>
        <v>contractor cold room repair</v>
      </c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 t="str">
        <f>IFERROR(__xludf.DUMMYFUNCTION("""COMPUTED_VALUE"""),"contractor commercial electrician")</f>
        <v>contractor commercial electrician</v>
      </c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 t="str">
        <f>IFERROR(__xludf.DUMMYFUNCTION("""COMPUTED_VALUE"""),"contractor commercial plumber")</f>
        <v>contractor commercial plumber</v>
      </c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 t="str">
        <f>IFERROR(__xludf.DUMMYFUNCTION("""COMPUTED_VALUE"""),"contractor commercial refrigeration")</f>
        <v>contractor commercial refrigeration</v>
      </c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 t="str">
        <f>IFERROR(__xludf.DUMMYFUNCTION("""COMPUTED_VALUE"""),"contractor electrical compliance certificate")</f>
        <v>contractor electrical compliance certificate</v>
      </c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 t="str">
        <f>IFERROR(__xludf.DUMMYFUNCTION("""COMPUTED_VALUE"""),"contractor electrical installation")</f>
        <v>contractor electrical installation</v>
      </c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 t="str">
        <f>IFERROR(__xludf.DUMMYFUNCTION("""COMPUTED_VALUE"""),"contractor electrical maintenance")</f>
        <v>contractor electrical maintenance</v>
      </c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 t="str">
        <f>IFERROR(__xludf.DUMMYFUNCTION("""COMPUTED_VALUE"""),"contractor electrical repairs")</f>
        <v>contractor electrical repairs</v>
      </c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 t="str">
        <f>IFERROR(__xludf.DUMMYFUNCTION("""COMPUTED_VALUE"""),"contractor electrical services")</f>
        <v>contractor electrical services</v>
      </c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 t="str">
        <f>IFERROR(__xludf.DUMMYFUNCTION("""COMPUTED_VALUE"""),"contractor electrician cape town")</f>
        <v>contractor electrician cape town</v>
      </c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 t="str">
        <f>IFERROR(__xludf.DUMMYFUNCTION("""COMPUTED_VALUE"""),"contractor emergency electrician")</f>
        <v>contractor emergency electrician</v>
      </c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 t="str">
        <f>IFERROR(__xludf.DUMMYFUNCTION("""COMPUTED_VALUE"""),"contractor fridge repair")</f>
        <v>contractor fridge repair</v>
      </c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 t="str">
        <f>IFERROR(__xludf.DUMMYFUNCTION("""COMPUTED_VALUE"""),"contractor HVAC services")</f>
        <v>contractor HVAC services</v>
      </c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 t="str">
        <f>IFERROR(__xludf.DUMMYFUNCTION("""COMPUTED_VALUE"""),"contractor maintenance plumber")</f>
        <v>contractor maintenance plumber</v>
      </c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 t="str">
        <f>IFERROR(__xludf.DUMMYFUNCTION("""COMPUTED_VALUE"""),"contractor plumber cape town")</f>
        <v>contractor plumber cape town</v>
      </c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 t="str">
        <f>IFERROR(__xludf.DUMMYFUNCTION("""COMPUTED_VALUE"""),"contractor plumbing company")</f>
        <v>contractor plumbing company</v>
      </c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 t="str">
        <f>IFERROR(__xludf.DUMMYFUNCTION("""COMPUTED_VALUE"""),"contractor plumbing inspection")</f>
        <v>contractor plumbing inspection</v>
      </c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 t="str">
        <f>IFERROR(__xludf.DUMMYFUNCTION("""COMPUTED_VALUE"""),"contractor plumbing installation")</f>
        <v>contractor plumbing installation</v>
      </c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 t="str">
        <f>IFERROR(__xludf.DUMMYFUNCTION("""COMPUTED_VALUE"""),"contractor plumbing repairs")</f>
        <v>contractor plumbing repairs</v>
      </c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 t="str">
        <f>IFERROR(__xludf.DUMMYFUNCTION("""COMPUTED_VALUE"""),"contractor plumbing services")</f>
        <v>contractor plumbing services</v>
      </c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 t="str">
        <f>IFERROR(__xludf.DUMMYFUNCTION("""COMPUTED_VALUE"""),"contractor refrigeration repair")</f>
        <v>contractor refrigeration repair</v>
      </c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 t="str">
        <f>IFERROR(__xludf.DUMMYFUNCTION("""COMPUTED_VALUE"""),"contractor residential electrician")</f>
        <v>contractor residential electrician</v>
      </c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 t="str">
        <f>IFERROR(__xludf.DUMMYFUNCTION("""COMPUTED_VALUE"""),"contractor residential plumber")</f>
        <v>contractor residential plumber</v>
      </c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 t="str">
        <f>IFERROR(__xludf.DUMMYFUNCTION("""COMPUTED_VALUE"""),"cost 24 hour plumber")</f>
        <v>cost 24 hour plumber</v>
      </c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 t="str">
        <f>IFERROR(__xludf.DUMMYFUNCTION("""COMPUTED_VALUE"""),"cost absolute plumbing cape town")</f>
        <v>cost absolute plumbing cape town</v>
      </c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 t="str">
        <f>IFERROR(__xludf.DUMMYFUNCTION("""COMPUTED_VALUE"""),"cost air conditioning")</f>
        <v>cost air conditioning</v>
      </c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 t="str">
        <f>IFERROR(__xludf.DUMMYFUNCTION("""COMPUTED_VALUE"""),"cost air conditioning repair")</f>
        <v>cost air conditioning repair</v>
      </c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 t="str">
        <f>IFERROR(__xludf.DUMMYFUNCTION("""COMPUTED_VALUE"""),"cost aircon installation")</f>
        <v>cost aircon installation</v>
      </c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 t="str">
        <f>IFERROR(__xludf.DUMMYFUNCTION("""COMPUTED_VALUE"""),"cost aircon repair")</f>
        <v>cost aircon repair</v>
      </c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 t="str">
        <f>IFERROR(__xludf.DUMMYFUNCTION("""COMPUTED_VALUE"""),"cost aircon repair cape town")</f>
        <v>cost aircon repair cape town</v>
      </c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 t="str">
        <f>IFERROR(__xludf.DUMMYFUNCTION("""COMPUTED_VALUE"""),"cost aircon service")</f>
        <v>cost aircon service</v>
      </c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 t="str">
        <f>IFERROR(__xludf.DUMMYFUNCTION("""COMPUTED_VALUE"""),"cost bathroom plumbing repair")</f>
        <v>cost bathroom plumbing repair</v>
      </c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 t="str">
        <f>IFERROR(__xludf.DUMMYFUNCTION("""COMPUTED_VALUE"""),"cost blocked drain")</f>
        <v>cost blocked drain</v>
      </c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 t="str">
        <f>IFERROR(__xludf.DUMMYFUNCTION("""COMPUTED_VALUE"""),"cost blocked toilet plumber")</f>
        <v>cost blocked toilet plumber</v>
      </c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 t="str">
        <f>IFERROR(__xludf.DUMMYFUNCTION("""COMPUTED_VALUE"""),"cost bosman plumbers")</f>
        <v>cost bosman plumbers</v>
      </c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 t="str">
        <f>IFERROR(__xludf.DUMMYFUNCTION("""COMPUTED_VALUE"""),"cost burst geyser")</f>
        <v>cost burst geyser</v>
      </c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 t="str">
        <f>IFERROR(__xludf.DUMMYFUNCTION("""COMPUTED_VALUE"""),"cost burst pipe repair")</f>
        <v>cost burst pipe repair</v>
      </c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 t="str">
        <f>IFERROR(__xludf.DUMMYFUNCTION("""COMPUTED_VALUE"""),"cost cold room repair")</f>
        <v>cost cold room repair</v>
      </c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 t="str">
        <f>IFERROR(__xludf.DUMMYFUNCTION("""COMPUTED_VALUE"""),"cost commercial electrician")</f>
        <v>cost commercial electrician</v>
      </c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 t="str">
        <f>IFERROR(__xludf.DUMMYFUNCTION("""COMPUTED_VALUE"""),"cost commercial plumber")</f>
        <v>cost commercial plumber</v>
      </c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 t="str">
        <f>IFERROR(__xludf.DUMMYFUNCTION("""COMPUTED_VALUE"""),"cost commercial refrigeration")</f>
        <v>cost commercial refrigeration</v>
      </c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 t="str">
        <f>IFERROR(__xludf.DUMMYFUNCTION("""COMPUTED_VALUE"""),"cost drain cleaning")</f>
        <v>cost drain cleaning</v>
      </c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 t="str">
        <f>IFERROR(__xludf.DUMMYFUNCTION("""COMPUTED_VALUE"""),"cost drain inspection")</f>
        <v>cost drain inspection</v>
      </c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 t="str">
        <f>IFERROR(__xludf.DUMMYFUNCTION("""COMPUTED_VALUE"""),"cost drain surgeon cape town")</f>
        <v>cost drain surgeon cape town</v>
      </c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 t="str">
        <f>IFERROR(__xludf.DUMMYFUNCTION("""COMPUTED_VALUE"""),"cost drain unblocking")</f>
        <v>cost drain unblocking</v>
      </c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 t="str">
        <f>IFERROR(__xludf.DUMMYFUNCTION("""COMPUTED_VALUE"""),"cost electrical compliance certificate")</f>
        <v>cost electrical compliance certificate</v>
      </c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 t="str">
        <f>IFERROR(__xludf.DUMMYFUNCTION("""COMPUTED_VALUE"""),"cost electrical contractor")</f>
        <v>cost electrical contractor</v>
      </c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 t="str">
        <f>IFERROR(__xludf.DUMMYFUNCTION("""COMPUTED_VALUE"""),"cost electrical installation")</f>
        <v>cost electrical installation</v>
      </c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 t="str">
        <f>IFERROR(__xludf.DUMMYFUNCTION("""COMPUTED_VALUE"""),"cost electrical maintenance")</f>
        <v>cost electrical maintenance</v>
      </c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 t="str">
        <f>IFERROR(__xludf.DUMMYFUNCTION("""COMPUTED_VALUE"""),"cost electrical repairs")</f>
        <v>cost electrical repairs</v>
      </c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 t="str">
        <f>IFERROR(__xludf.DUMMYFUNCTION("""COMPUTED_VALUE"""),"cost electrical services")</f>
        <v>cost electrical services</v>
      </c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 t="str">
        <f>IFERROR(__xludf.DUMMYFUNCTION("""COMPUTED_VALUE"""),"cost electrician cape town")</f>
        <v>cost electrician cape town</v>
      </c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 t="str">
        <f>IFERROR(__xludf.DUMMYFUNCTION("""COMPUTED_VALUE"""),"cost emergency electrician")</f>
        <v>cost emergency electrician</v>
      </c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 t="str">
        <f>IFERROR(__xludf.DUMMYFUNCTION("""COMPUTED_VALUE"""),"cost emergency plumber")</f>
        <v>cost emergency plumber</v>
      </c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 t="str">
        <f>IFERROR(__xludf.DUMMYFUNCTION("""COMPUTED_VALUE"""),"cost emergency plumber cape town")</f>
        <v>cost emergency plumber cape town</v>
      </c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 t="str">
        <f>IFERROR(__xludf.DUMMYFUNCTION("""COMPUTED_VALUE"""),"cost fridge repair")</f>
        <v>cost fridge repair</v>
      </c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 t="str">
        <f>IFERROR(__xludf.DUMMYFUNCTION("""COMPUTED_VALUE"""),"cost geyser repair")</f>
        <v>cost geyser repair</v>
      </c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 t="str">
        <f>IFERROR(__xludf.DUMMYFUNCTION("""COMPUTED_VALUE"""),"cost geyser replacement")</f>
        <v>cost geyser replacement</v>
      </c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 t="str">
        <f>IFERROR(__xludf.DUMMYFUNCTION("""COMPUTED_VALUE"""),"cost HVAC services")</f>
        <v>cost HVAC services</v>
      </c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 t="str">
        <f>IFERROR(__xludf.DUMMYFUNCTION("""COMPUTED_VALUE"""),"cost kitchen plumbing repair")</f>
        <v>cost kitchen plumbing repair</v>
      </c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 t="str">
        <f>IFERROR(__xludf.DUMMYFUNCTION("""COMPUTED_VALUE"""),"cost leak detection")</f>
        <v>cost leak detection</v>
      </c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 t="str">
        <f>IFERROR(__xludf.DUMMYFUNCTION("""COMPUTED_VALUE"""),"cost leaking pipe repair")</f>
        <v>cost leaking pipe repair</v>
      </c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 t="str">
        <f>IFERROR(__xludf.DUMMYFUNCTION("""COMPUTED_VALUE"""),"cost leaking tap repair")</f>
        <v>cost leaking tap repair</v>
      </c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 t="str">
        <f>IFERROR(__xludf.DUMMYFUNCTION("""COMPUTED_VALUE"""),"cost maintenance plumber")</f>
        <v>cost maintenance plumber</v>
      </c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 t="str">
        <f>IFERROR(__xludf.DUMMYFUNCTION("""COMPUTED_VALUE"""),"cost of aircon service")</f>
        <v>cost of aircon service</v>
      </c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 t="str">
        <f>IFERROR(__xludf.DUMMYFUNCTION("""COMPUTED_VALUE"""),"cost of blocked drain")</f>
        <v>cost of blocked drain</v>
      </c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 t="str">
        <f>IFERROR(__xludf.DUMMYFUNCTION("""COMPUTED_VALUE"""),"cost of burst pipe")</f>
        <v>cost of burst pipe</v>
      </c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 t="str">
        <f>IFERROR(__xludf.DUMMYFUNCTION("""COMPUTED_VALUE"""),"cost of electrical COC")</f>
        <v>cost of electrical COC</v>
      </c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 t="str">
        <f>IFERROR(__xludf.DUMMYFUNCTION("""COMPUTED_VALUE"""),"cost of emergency plumber")</f>
        <v>cost of emergency plumber</v>
      </c>
      <c r="U1035" s="4"/>
      <c r="V1035" s="4"/>
      <c r="W1035" s="4"/>
      <c r="X1035" s="4"/>
      <c r="Y1035" s="4"/>
      <c r="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 t="str">
        <f>IFERROR(__xludf.DUMMYFUNCTION("""COMPUTED_VALUE"""),"cost of geyser repair")</f>
        <v>cost of geyser repair</v>
      </c>
      <c r="U1036" s="4"/>
      <c r="V1036" s="4"/>
      <c r="W1036" s="4"/>
      <c r="X1036" s="4"/>
      <c r="Y1036" s="4"/>
      <c r="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 t="str">
        <f>IFERROR(__xludf.DUMMYFUNCTION("""COMPUTED_VALUE"""),"cost of leak detection")</f>
        <v>cost of leak detection</v>
      </c>
      <c r="U1037" s="4"/>
      <c r="V1037" s="4"/>
      <c r="W1037" s="4"/>
      <c r="X1037" s="4"/>
      <c r="Y1037" s="4"/>
      <c r="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 t="str">
        <f>IFERROR(__xludf.DUMMYFUNCTION("""COMPUTED_VALUE"""),"cost of plumber cost")</f>
        <v>cost of plumber cost</v>
      </c>
      <c r="U1038" s="4"/>
      <c r="V1038" s="4"/>
      <c r="W1038" s="4"/>
      <c r="X1038" s="4"/>
      <c r="Y1038" s="4"/>
      <c r="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 t="str">
        <f>IFERROR(__xludf.DUMMYFUNCTION("""COMPUTED_VALUE"""),"cost of plumbing maintenance")</f>
        <v>cost of plumbing maintenance</v>
      </c>
      <c r="U1039" s="4"/>
      <c r="V1039" s="4"/>
      <c r="W1039" s="4"/>
      <c r="X1039" s="4"/>
      <c r="Y1039" s="4"/>
      <c r="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 t="str">
        <f>IFERROR(__xludf.DUMMYFUNCTION("""COMPUTED_VALUE"""),"cost of refrigeration repair")</f>
        <v>cost of refrigeration repair</v>
      </c>
      <c r="U1040" s="4"/>
      <c r="V1040" s="4"/>
      <c r="W1040" s="4"/>
      <c r="X1040" s="4"/>
      <c r="Y1040" s="4"/>
      <c r="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 t="str">
        <f>IFERROR(__xludf.DUMMYFUNCTION("""COMPUTED_VALUE"""),"cost pipe repair")</f>
        <v>cost pipe repair</v>
      </c>
      <c r="U1041" s="4"/>
      <c r="V1041" s="4"/>
      <c r="W1041" s="4"/>
      <c r="X1041" s="4"/>
      <c r="Y1041" s="4"/>
      <c r="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 t="str">
        <f>IFERROR(__xludf.DUMMYFUNCTION("""COMPUTED_VALUE"""),"cost plumber cape town")</f>
        <v>cost plumber cape town</v>
      </c>
      <c r="U1042" s="4"/>
      <c r="V1042" s="4"/>
      <c r="W1042" s="4"/>
      <c r="X1042" s="4"/>
      <c r="Y1042" s="4"/>
      <c r="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 t="str">
        <f>IFERROR(__xludf.DUMMYFUNCTION("""COMPUTED_VALUE"""),"cost plumber near me")</f>
        <v>cost plumber near me</v>
      </c>
      <c r="U1043" s="4"/>
      <c r="V1043" s="4"/>
      <c r="W1043" s="4"/>
      <c r="X1043" s="4"/>
      <c r="Y1043" s="4"/>
      <c r="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 t="str">
        <f>IFERROR(__xludf.DUMMYFUNCTION("""COMPUTED_VALUE"""),"cost plumbers cape town")</f>
        <v>cost plumbers cape town</v>
      </c>
      <c r="U1044" s="4"/>
      <c r="V1044" s="4"/>
      <c r="W1044" s="4"/>
      <c r="X1044" s="4"/>
      <c r="Y1044" s="4"/>
      <c r="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 t="str">
        <f>IFERROR(__xludf.DUMMYFUNCTION("""COMPUTED_VALUE"""),"cost plumbing company")</f>
        <v>cost plumbing company</v>
      </c>
      <c r="U1045" s="4"/>
      <c r="V1045" s="4"/>
      <c r="W1045" s="4"/>
      <c r="X1045" s="4"/>
      <c r="Y1045" s="4"/>
      <c r="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 t="str">
        <f>IFERROR(__xludf.DUMMYFUNCTION("""COMPUTED_VALUE"""),"cost plumbing company cape town")</f>
        <v>cost plumbing company cape town</v>
      </c>
      <c r="U1046" s="4"/>
      <c r="V1046" s="4"/>
      <c r="W1046" s="4"/>
      <c r="X1046" s="4"/>
      <c r="Y1046" s="4"/>
      <c r="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 t="str">
        <f>IFERROR(__xludf.DUMMYFUNCTION("""COMPUTED_VALUE"""),"cost plumbing contractors")</f>
        <v>cost plumbing contractors</v>
      </c>
      <c r="U1047" s="4"/>
      <c r="V1047" s="4"/>
      <c r="W1047" s="4"/>
      <c r="X1047" s="4"/>
      <c r="Y1047" s="4"/>
      <c r="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 t="str">
        <f>IFERROR(__xludf.DUMMYFUNCTION("""COMPUTED_VALUE"""),"cost plumbing inspection")</f>
        <v>cost plumbing inspection</v>
      </c>
      <c r="U1048" s="4"/>
      <c r="V1048" s="4"/>
      <c r="W1048" s="4"/>
      <c r="X1048" s="4"/>
      <c r="Y1048" s="4"/>
      <c r="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 t="str">
        <f>IFERROR(__xludf.DUMMYFUNCTION("""COMPUTED_VALUE"""),"cost plumbing installation")</f>
        <v>cost plumbing installation</v>
      </c>
      <c r="U1049" s="4"/>
      <c r="V1049" s="4"/>
      <c r="W1049" s="4"/>
      <c r="X1049" s="4"/>
      <c r="Y1049" s="4"/>
      <c r="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 t="str">
        <f>IFERROR(__xludf.DUMMYFUNCTION("""COMPUTED_VALUE"""),"cost plumbing repairs")</f>
        <v>cost plumbing repairs</v>
      </c>
      <c r="U1050" s="4"/>
      <c r="V1050" s="4"/>
      <c r="W1050" s="4"/>
      <c r="X1050" s="4"/>
      <c r="Y1050" s="4"/>
      <c r="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 t="str">
        <f>IFERROR(__xludf.DUMMYFUNCTION("""COMPUTED_VALUE"""),"cost plumbing services")</f>
        <v>cost plumbing services</v>
      </c>
      <c r="U1051" s="4"/>
      <c r="V1051" s="4"/>
      <c r="W1051" s="4"/>
      <c r="X1051" s="4"/>
      <c r="Y1051" s="4"/>
      <c r="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 t="str">
        <f>IFERROR(__xludf.DUMMYFUNCTION("""COMPUTED_VALUE"""),"cost refrigeration repair")</f>
        <v>cost refrigeration repair</v>
      </c>
      <c r="U1052" s="4"/>
      <c r="V1052" s="4"/>
      <c r="W1052" s="4"/>
      <c r="X1052" s="4"/>
      <c r="Y1052" s="4"/>
      <c r="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 t="str">
        <f>IFERROR(__xludf.DUMMYFUNCTION("""COMPUTED_VALUE"""),"cost residential electrician")</f>
        <v>cost residential electrician</v>
      </c>
      <c r="U1053" s="4"/>
      <c r="V1053" s="4"/>
      <c r="W1053" s="4"/>
      <c r="X1053" s="4"/>
      <c r="Y1053" s="4"/>
      <c r="Z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 t="str">
        <f>IFERROR(__xludf.DUMMYFUNCTION("""COMPUTED_VALUE"""),"cost residential plumber")</f>
        <v>cost residential plumber</v>
      </c>
      <c r="U1054" s="4"/>
      <c r="V1054" s="4"/>
      <c r="W1054" s="4"/>
      <c r="X1054" s="4"/>
      <c r="Y1054" s="4"/>
      <c r="Z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 t="str">
        <f>IFERROR(__xludf.DUMMYFUNCTION("""COMPUTED_VALUE"""),"cost schmidhauser plumbing")</f>
        <v>cost schmidhauser plumbing</v>
      </c>
      <c r="U1055" s="4"/>
      <c r="V1055" s="4"/>
      <c r="W1055" s="4"/>
      <c r="X1055" s="4"/>
      <c r="Y1055" s="4"/>
      <c r="Z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 t="str">
        <f>IFERROR(__xludf.DUMMYFUNCTION("""COMPUTED_VALUE"""),"cost toilet repair")</f>
        <v>cost toilet repair</v>
      </c>
      <c r="U1056" s="4"/>
      <c r="V1056" s="4"/>
      <c r="W1056" s="4"/>
      <c r="X1056" s="4"/>
      <c r="Y1056" s="4"/>
      <c r="Z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 t="str">
        <f>IFERROR(__xludf.DUMMYFUNCTION("""COMPUTED_VALUE"""),"cost water leak detection")</f>
        <v>cost water leak detection</v>
      </c>
      <c r="U1057" s="4"/>
      <c r="V1057" s="4"/>
      <c r="W1057" s="4"/>
      <c r="X1057" s="4"/>
      <c r="Y1057" s="4"/>
      <c r="Z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 t="str">
        <f>IFERROR(__xludf.DUMMYFUNCTION("""COMPUTED_VALUE"""),"cost water leak repair")</f>
        <v>cost water leak repair</v>
      </c>
      <c r="U1058" s="4"/>
      <c r="V1058" s="4"/>
      <c r="W1058" s="4"/>
      <c r="X1058" s="4"/>
      <c r="Y1058" s="4"/>
      <c r="Z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 t="str">
        <f>IFERROR(__xludf.DUMMYFUNCTION("""COMPUTED_VALUE"""),"do I need aircon service")</f>
        <v>do I need aircon service</v>
      </c>
      <c r="U1059" s="4"/>
      <c r="V1059" s="4"/>
      <c r="W1059" s="4"/>
      <c r="X1059" s="4"/>
      <c r="Y1059" s="4"/>
      <c r="Z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 t="str">
        <f>IFERROR(__xludf.DUMMYFUNCTION("""COMPUTED_VALUE"""),"do I need blocked drain")</f>
        <v>do I need blocked drain</v>
      </c>
      <c r="U1060" s="4"/>
      <c r="V1060" s="4"/>
      <c r="W1060" s="4"/>
      <c r="X1060" s="4"/>
      <c r="Y1060" s="4"/>
      <c r="Z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 t="str">
        <f>IFERROR(__xludf.DUMMYFUNCTION("""COMPUTED_VALUE"""),"do I need burst pipe")</f>
        <v>do I need burst pipe</v>
      </c>
      <c r="U1061" s="4"/>
      <c r="V1061" s="4"/>
      <c r="W1061" s="4"/>
      <c r="X1061" s="4"/>
      <c r="Y1061" s="4"/>
      <c r="Z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 t="str">
        <f>IFERROR(__xludf.DUMMYFUNCTION("""COMPUTED_VALUE"""),"do I need electrical COC")</f>
        <v>do I need electrical COC</v>
      </c>
      <c r="U1062" s="4"/>
      <c r="V1062" s="4"/>
      <c r="W1062" s="4"/>
      <c r="X1062" s="4"/>
      <c r="Y1062" s="4"/>
      <c r="Z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 t="str">
        <f>IFERROR(__xludf.DUMMYFUNCTION("""COMPUTED_VALUE"""),"do I need emergency plumber")</f>
        <v>do I need emergency plumber</v>
      </c>
      <c r="U1063" s="4"/>
      <c r="V1063" s="4"/>
      <c r="W1063" s="4"/>
      <c r="X1063" s="4"/>
      <c r="Y1063" s="4"/>
      <c r="Z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 t="str">
        <f>IFERROR(__xludf.DUMMYFUNCTION("""COMPUTED_VALUE"""),"do I need geyser repair")</f>
        <v>do I need geyser repair</v>
      </c>
      <c r="U1064" s="4"/>
      <c r="V1064" s="4"/>
      <c r="W1064" s="4"/>
      <c r="X1064" s="4"/>
      <c r="Y1064" s="4"/>
      <c r="Z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 t="str">
        <f>IFERROR(__xludf.DUMMYFUNCTION("""COMPUTED_VALUE"""),"do I need leak detection")</f>
        <v>do I need leak detection</v>
      </c>
      <c r="U1065" s="4"/>
      <c r="V1065" s="4"/>
      <c r="W1065" s="4"/>
      <c r="X1065" s="4"/>
      <c r="Y1065" s="4"/>
      <c r="Z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 t="str">
        <f>IFERROR(__xludf.DUMMYFUNCTION("""COMPUTED_VALUE"""),"do I need plumber cost")</f>
        <v>do I need plumber cost</v>
      </c>
      <c r="U1066" s="4"/>
      <c r="V1066" s="4"/>
      <c r="W1066" s="4"/>
      <c r="X1066" s="4"/>
      <c r="Y1066" s="4"/>
      <c r="Z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 t="str">
        <f>IFERROR(__xludf.DUMMYFUNCTION("""COMPUTED_VALUE"""),"do I need plumbing maintenance")</f>
        <v>do I need plumbing maintenance</v>
      </c>
      <c r="U1067" s="4"/>
      <c r="V1067" s="4"/>
      <c r="W1067" s="4"/>
      <c r="X1067" s="4"/>
      <c r="Y1067" s="4"/>
      <c r="Z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 t="str">
        <f>IFERROR(__xludf.DUMMYFUNCTION("""COMPUTED_VALUE"""),"do I need refrigeration repair")</f>
        <v>do I need refrigeration repair</v>
      </c>
      <c r="U1068" s="4"/>
      <c r="V1068" s="4"/>
      <c r="W1068" s="4"/>
      <c r="X1068" s="4"/>
      <c r="Y1068" s="4"/>
      <c r="Z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 t="str">
        <f>IFERROR(__xludf.DUMMYFUNCTION("""COMPUTED_VALUE"""),"drain cleaning affordable")</f>
        <v>drain cleaning affordable</v>
      </c>
      <c r="U1069" s="4"/>
      <c r="V1069" s="4"/>
      <c r="W1069" s="4"/>
      <c r="X1069" s="4"/>
      <c r="Y1069" s="4"/>
      <c r="Z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 t="str">
        <f>IFERROR(__xludf.DUMMYFUNCTION("""COMPUTED_VALUE"""),"drain cleaning apartment")</f>
        <v>drain cleaning apartment</v>
      </c>
      <c r="U1070" s="4"/>
      <c r="V1070" s="4"/>
      <c r="W1070" s="4"/>
      <c r="X1070" s="4"/>
      <c r="Y1070" s="4"/>
      <c r="Z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 t="str">
        <f>IFERROR(__xludf.DUMMYFUNCTION("""COMPUTED_VALUE"""),"drain cleaning best")</f>
        <v>drain cleaning best</v>
      </c>
      <c r="U1071" s="4"/>
      <c r="V1071" s="4"/>
      <c r="W1071" s="4"/>
      <c r="X1071" s="4"/>
      <c r="Y1071" s="4"/>
      <c r="Z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 t="str">
        <f>IFERROR(__xludf.DUMMYFUNCTION("""COMPUTED_VALUE"""),"drain cleaning body corporate")</f>
        <v>drain cleaning body corporate</v>
      </c>
      <c r="U1072" s="4"/>
      <c r="V1072" s="4"/>
      <c r="W1072" s="4"/>
      <c r="X1072" s="4"/>
      <c r="Y1072" s="4"/>
      <c r="Z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 t="str">
        <f>IFERROR(__xludf.DUMMYFUNCTION("""COMPUTED_VALUE"""),"drain cleaning building")</f>
        <v>drain cleaning building</v>
      </c>
      <c r="U1073" s="4"/>
      <c r="V1073" s="4"/>
      <c r="W1073" s="4"/>
      <c r="X1073" s="4"/>
      <c r="Y1073" s="4"/>
      <c r="Z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 t="str">
        <f>IFERROR(__xludf.DUMMYFUNCTION("""COMPUTED_VALUE"""),"drain cleaning business")</f>
        <v>drain cleaning business</v>
      </c>
      <c r="U1074" s="4"/>
      <c r="V1074" s="4"/>
      <c r="W1074" s="4"/>
      <c r="X1074" s="4"/>
      <c r="Y1074" s="4"/>
      <c r="Z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 t="str">
        <f>IFERROR(__xludf.DUMMYFUNCTION("""COMPUTED_VALUE"""),"drain cleaning cape town")</f>
        <v>drain cleaning cape town</v>
      </c>
      <c r="U1075" s="4"/>
      <c r="V1075" s="4"/>
      <c r="W1075" s="4"/>
      <c r="X1075" s="4"/>
      <c r="Y1075" s="4"/>
      <c r="Z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 t="str">
        <f>IFERROR(__xludf.DUMMYFUNCTION("""COMPUTED_VALUE"""),"drain cleaning CCTV")</f>
        <v>drain cleaning CCTV</v>
      </c>
      <c r="U1076" s="4"/>
      <c r="V1076" s="4"/>
      <c r="W1076" s="4"/>
      <c r="X1076" s="4"/>
      <c r="Y1076" s="4"/>
      <c r="Z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 t="str">
        <f>IFERROR(__xludf.DUMMYFUNCTION("""COMPUTED_VALUE"""),"drain cleaning commercial")</f>
        <v>drain cleaning commercial</v>
      </c>
      <c r="U1077" s="4"/>
      <c r="V1077" s="4"/>
      <c r="W1077" s="4"/>
      <c r="X1077" s="4"/>
      <c r="Y1077" s="4"/>
      <c r="Z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 t="str">
        <f>IFERROR(__xludf.DUMMYFUNCTION("""COMPUTED_VALUE"""),"drain cleaning commercial property")</f>
        <v>drain cleaning commercial property</v>
      </c>
      <c r="U1078" s="4"/>
      <c r="V1078" s="4"/>
      <c r="W1078" s="4"/>
      <c r="X1078" s="4"/>
      <c r="Y1078" s="4"/>
      <c r="Z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 t="str">
        <f>IFERROR(__xludf.DUMMYFUNCTION("""COMPUTED_VALUE"""),"drain cleaning cost")</f>
        <v>drain cleaning cost</v>
      </c>
      <c r="U1079" s="4"/>
      <c r="V1079" s="4"/>
      <c r="W1079" s="4"/>
      <c r="X1079" s="4"/>
      <c r="Y1079" s="4"/>
      <c r="Z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 t="str">
        <f>IFERROR(__xludf.DUMMYFUNCTION("""COMPUTED_VALUE"""),"drain cleaning emergency")</f>
        <v>drain cleaning emergency</v>
      </c>
      <c r="U1080" s="4"/>
      <c r="V1080" s="4"/>
      <c r="W1080" s="4"/>
      <c r="X1080" s="4"/>
      <c r="Y1080" s="4"/>
      <c r="Z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 t="str">
        <f>IFERROR(__xludf.DUMMYFUNCTION("""COMPUTED_VALUE"""),"drain cleaning estate agent")</f>
        <v>drain cleaning estate agent</v>
      </c>
      <c r="U1081" s="4"/>
      <c r="V1081" s="4"/>
      <c r="W1081" s="4"/>
      <c r="X1081" s="4"/>
      <c r="Y1081" s="4"/>
      <c r="Z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 t="str">
        <f>IFERROR(__xludf.DUMMYFUNCTION("""COMPUTED_VALUE"""),"drain cleaning flat")</f>
        <v>drain cleaning flat</v>
      </c>
      <c r="U1082" s="4"/>
      <c r="V1082" s="4"/>
      <c r="W1082" s="4"/>
      <c r="X1082" s="4"/>
      <c r="Y1082" s="4"/>
      <c r="Z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 t="str">
        <f>IFERROR(__xludf.DUMMYFUNCTION("""COMPUTED_VALUE"""),"drain cleaning guesthouse")</f>
        <v>drain cleaning guesthouse</v>
      </c>
      <c r="U1083" s="4"/>
      <c r="V1083" s="4"/>
      <c r="W1083" s="4"/>
      <c r="X1083" s="4"/>
      <c r="Y1083" s="4"/>
      <c r="Z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 t="str">
        <f>IFERROR(__xludf.DUMMYFUNCTION("""COMPUTED_VALUE"""),"drain cleaning high pressure jetting")</f>
        <v>drain cleaning high pressure jetting</v>
      </c>
      <c r="U1084" s="4"/>
      <c r="V1084" s="4"/>
      <c r="W1084" s="4"/>
      <c r="X1084" s="4"/>
      <c r="Y1084" s="4"/>
      <c r="Z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 t="str">
        <f>IFERROR(__xludf.DUMMYFUNCTION("""COMPUTED_VALUE"""),"drain cleaning home")</f>
        <v>drain cleaning home</v>
      </c>
      <c r="U1085" s="4"/>
      <c r="V1085" s="4"/>
      <c r="W1085" s="4"/>
      <c r="X1085" s="4"/>
      <c r="Y1085" s="4"/>
      <c r="Z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 t="str">
        <f>IFERROR(__xludf.DUMMYFUNCTION("""COMPUTED_VALUE"""),"drain cleaning hotel")</f>
        <v>drain cleaning hotel</v>
      </c>
      <c r="U1086" s="4"/>
      <c r="V1086" s="4"/>
      <c r="W1086" s="4"/>
      <c r="X1086" s="4"/>
      <c r="Y1086" s="4"/>
      <c r="Z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 t="str">
        <f>IFERROR(__xludf.DUMMYFUNCTION("""COMPUTED_VALUE"""),"drain cleaning house")</f>
        <v>drain cleaning house</v>
      </c>
      <c r="U1087" s="4"/>
      <c r="V1087" s="4"/>
      <c r="W1087" s="4"/>
      <c r="X1087" s="4"/>
      <c r="Y1087" s="4"/>
      <c r="Z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 t="str">
        <f>IFERROR(__xludf.DUMMYFUNCTION("""COMPUTED_VALUE"""),"drain cleaning installation")</f>
        <v>drain cleaning installation</v>
      </c>
      <c r="U1088" s="4"/>
      <c r="V1088" s="4"/>
      <c r="W1088" s="4"/>
      <c r="X1088" s="4"/>
      <c r="Y1088" s="4"/>
      <c r="Z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 t="str">
        <f>IFERROR(__xludf.DUMMYFUNCTION("""COMPUTED_VALUE"""),"drain cleaning landlord")</f>
        <v>drain cleaning landlord</v>
      </c>
      <c r="U1089" s="4"/>
      <c r="V1089" s="4"/>
      <c r="W1089" s="4"/>
      <c r="X1089" s="4"/>
      <c r="Y1089" s="4"/>
      <c r="Z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 t="str">
        <f>IFERROR(__xludf.DUMMYFUNCTION("""COMPUTED_VALUE"""),"drain cleaning near me")</f>
        <v>drain cleaning near me</v>
      </c>
      <c r="U1090" s="4"/>
      <c r="V1090" s="4"/>
      <c r="W1090" s="4"/>
      <c r="X1090" s="4"/>
      <c r="Y1090" s="4"/>
      <c r="Z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 t="str">
        <f>IFERROR(__xludf.DUMMYFUNCTION("""COMPUTED_VALUE"""),"drain cleaning office")</f>
        <v>drain cleaning office</v>
      </c>
      <c r="U1091" s="4"/>
      <c r="V1091" s="4"/>
      <c r="W1091" s="4"/>
      <c r="X1091" s="4"/>
      <c r="Y1091" s="4"/>
      <c r="Z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 t="str">
        <f>IFERROR(__xludf.DUMMYFUNCTION("""COMPUTED_VALUE"""),"drain cleaning plumber")</f>
        <v>drain cleaning plumber</v>
      </c>
      <c r="U1092" s="4"/>
      <c r="V1092" s="4"/>
      <c r="W1092" s="4"/>
      <c r="X1092" s="4"/>
      <c r="Y1092" s="4"/>
      <c r="Z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 t="str">
        <f>IFERROR(__xludf.DUMMYFUNCTION("""COMPUTED_VALUE"""),"drain cleaning plumbing company")</f>
        <v>drain cleaning plumbing company</v>
      </c>
      <c r="U1093" s="4"/>
      <c r="V1093" s="4"/>
      <c r="W1093" s="4"/>
      <c r="X1093" s="4"/>
      <c r="Y1093" s="4"/>
      <c r="Z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 t="str">
        <f>IFERROR(__xludf.DUMMYFUNCTION("""COMPUTED_VALUE"""),"drain cleaning property manager")</f>
        <v>drain cleaning property manager</v>
      </c>
      <c r="U1094" s="4"/>
      <c r="V1094" s="4"/>
      <c r="W1094" s="4"/>
      <c r="X1094" s="4"/>
      <c r="Y1094" s="4"/>
      <c r="Z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 t="str">
        <f>IFERROR(__xludf.DUMMYFUNCTION("""COMPUTED_VALUE"""),"drain cleaning quote")</f>
        <v>drain cleaning quote</v>
      </c>
      <c r="U1095" s="4"/>
      <c r="V1095" s="4"/>
      <c r="W1095" s="4"/>
      <c r="X1095" s="4"/>
      <c r="Y1095" s="4"/>
      <c r="Z1095" s="4"/>
    </row>
    <row r="1096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 t="str">
        <f>IFERROR(__xludf.DUMMYFUNCTION("""COMPUTED_VALUE"""),"drain cleaning reliable")</f>
        <v>drain cleaning reliable</v>
      </c>
      <c r="U1096" s="4"/>
      <c r="V1096" s="4"/>
      <c r="W1096" s="4"/>
      <c r="X1096" s="4"/>
      <c r="Y1096" s="4"/>
      <c r="Z1096" s="4"/>
    </row>
    <row r="1097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 t="str">
        <f>IFERROR(__xludf.DUMMYFUNCTION("""COMPUTED_VALUE"""),"drain cleaning repair")</f>
        <v>drain cleaning repair</v>
      </c>
      <c r="U1097" s="4"/>
      <c r="V1097" s="4"/>
      <c r="W1097" s="4"/>
      <c r="X1097" s="4"/>
      <c r="Y1097" s="4"/>
      <c r="Z1097" s="4"/>
    </row>
    <row r="1098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 t="str">
        <f>IFERROR(__xludf.DUMMYFUNCTION("""COMPUTED_VALUE"""),"drain cleaning replacement")</f>
        <v>drain cleaning replacement</v>
      </c>
      <c r="U1098" s="4"/>
      <c r="V1098" s="4"/>
      <c r="W1098" s="4"/>
      <c r="X1098" s="4"/>
      <c r="Y1098" s="4"/>
      <c r="Z1098" s="4"/>
    </row>
    <row r="1099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 t="str">
        <f>IFERROR(__xludf.DUMMYFUNCTION("""COMPUTED_VALUE"""),"drain cleaning residential")</f>
        <v>drain cleaning residential</v>
      </c>
      <c r="U1099" s="4"/>
      <c r="V1099" s="4"/>
      <c r="W1099" s="4"/>
      <c r="X1099" s="4"/>
      <c r="Y1099" s="4"/>
      <c r="Z1099" s="4"/>
    </row>
    <row r="1100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 t="str">
        <f>IFERROR(__xludf.DUMMYFUNCTION("""COMPUTED_VALUE"""),"drain cleaning residential property")</f>
        <v>drain cleaning residential property</v>
      </c>
      <c r="U1100" s="4"/>
      <c r="V1100" s="4"/>
      <c r="W1100" s="4"/>
      <c r="X1100" s="4"/>
      <c r="Y1100" s="4"/>
      <c r="Z1100" s="4"/>
    </row>
    <row r="1101" ht="15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 t="str">
        <f>IFERROR(__xludf.DUMMYFUNCTION("""COMPUTED_VALUE"""),"drain cleaning restaurant")</f>
        <v>drain cleaning restaurant</v>
      </c>
      <c r="U1101" s="4"/>
      <c r="V1101" s="4"/>
      <c r="W1101" s="4"/>
      <c r="X1101" s="4"/>
      <c r="Y1101" s="4"/>
      <c r="Z1101" s="4"/>
    </row>
    <row r="1102" ht="15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 t="str">
        <f>IFERROR(__xludf.DUMMYFUNCTION("""COMPUTED_VALUE"""),"drain cleaning same day")</f>
        <v>drain cleaning same day</v>
      </c>
      <c r="U1102" s="4"/>
      <c r="V1102" s="4"/>
      <c r="W1102" s="4"/>
      <c r="X1102" s="4"/>
      <c r="Y1102" s="4"/>
      <c r="Z1102" s="4"/>
    </row>
    <row r="1103" ht="15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 t="str">
        <f>IFERROR(__xludf.DUMMYFUNCTION("""COMPUTED_VALUE"""),"drain cleaning school")</f>
        <v>drain cleaning school</v>
      </c>
      <c r="U1103" s="4"/>
      <c r="V1103" s="4"/>
      <c r="W1103" s="4"/>
      <c r="X1103" s="4"/>
      <c r="Y1103" s="4"/>
      <c r="Z1103" s="4"/>
    </row>
    <row r="1104" ht="15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 t="str">
        <f>IFERROR(__xludf.DUMMYFUNCTION("""COMPUTED_VALUE"""),"drain cleaning service")</f>
        <v>drain cleaning service</v>
      </c>
      <c r="U1104" s="4"/>
      <c r="V1104" s="4"/>
      <c r="W1104" s="4"/>
      <c r="X1104" s="4"/>
      <c r="Y1104" s="4"/>
      <c r="Z1104" s="4"/>
    </row>
    <row r="1105" ht="15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 t="str">
        <f>IFERROR(__xludf.DUMMYFUNCTION("""COMPUTED_VALUE"""),"drain cleaning shop")</f>
        <v>drain cleaning shop</v>
      </c>
      <c r="U1105" s="4"/>
      <c r="V1105" s="4"/>
      <c r="W1105" s="4"/>
      <c r="X1105" s="4"/>
      <c r="Y1105" s="4"/>
      <c r="Z1105" s="4"/>
    </row>
    <row r="1106" ht="15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 t="str">
        <f>IFERROR(__xludf.DUMMYFUNCTION("""COMPUTED_VALUE"""),"drain cleaning specialist")</f>
        <v>drain cleaning specialist</v>
      </c>
      <c r="U1106" s="4"/>
      <c r="V1106" s="4"/>
      <c r="W1106" s="4"/>
      <c r="X1106" s="4"/>
      <c r="Y1106" s="4"/>
      <c r="Z1106" s="4"/>
    </row>
    <row r="1107" ht="15.7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 t="str">
        <f>IFERROR(__xludf.DUMMYFUNCTION("""COMPUTED_VALUE"""),"drain cleaning tenant")</f>
        <v>drain cleaning tenant</v>
      </c>
      <c r="U1107" s="4"/>
      <c r="V1107" s="4"/>
      <c r="W1107" s="4"/>
      <c r="X1107" s="4"/>
      <c r="Y1107" s="4"/>
      <c r="Z1107" s="4"/>
    </row>
    <row r="1108" ht="15.7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 t="str">
        <f>IFERROR(__xludf.DUMMYFUNCTION("""COMPUTED_VALUE"""),"drain cleaning townhouse")</f>
        <v>drain cleaning townhouse</v>
      </c>
      <c r="U1108" s="4"/>
      <c r="V1108" s="4"/>
      <c r="W1108" s="4"/>
      <c r="X1108" s="4"/>
      <c r="Y1108" s="4"/>
      <c r="Z1108" s="4"/>
    </row>
    <row r="1109" ht="15.7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 t="str">
        <f>IFERROR(__xludf.DUMMYFUNCTION("""COMPUTED_VALUE"""),"drain inspection affordable")</f>
        <v>drain inspection affordable</v>
      </c>
      <c r="U1109" s="4"/>
      <c r="V1109" s="4"/>
      <c r="W1109" s="4"/>
      <c r="X1109" s="4"/>
      <c r="Y1109" s="4"/>
      <c r="Z1109" s="4"/>
    </row>
    <row r="1110" ht="15.7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 t="str">
        <f>IFERROR(__xludf.DUMMYFUNCTION("""COMPUTED_VALUE"""),"drain inspection best")</f>
        <v>drain inspection best</v>
      </c>
      <c r="U1110" s="4"/>
      <c r="V1110" s="4"/>
      <c r="W1110" s="4"/>
      <c r="X1110" s="4"/>
      <c r="Y1110" s="4"/>
      <c r="Z1110" s="4"/>
    </row>
    <row r="1111" ht="15.7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 t="str">
        <f>IFERROR(__xludf.DUMMYFUNCTION("""COMPUTED_VALUE"""),"drain inspection cape town")</f>
        <v>drain inspection cape town</v>
      </c>
      <c r="U1111" s="4"/>
      <c r="V1111" s="4"/>
      <c r="W1111" s="4"/>
      <c r="X1111" s="4"/>
      <c r="Y1111" s="4"/>
      <c r="Z1111" s="4"/>
    </row>
    <row r="1112" ht="15.7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 t="str">
        <f>IFERROR(__xludf.DUMMYFUNCTION("""COMPUTED_VALUE"""),"drain inspection CCTV")</f>
        <v>drain inspection CCTV</v>
      </c>
      <c r="U1112" s="4"/>
      <c r="V1112" s="4"/>
      <c r="W1112" s="4"/>
      <c r="X1112" s="4"/>
      <c r="Y1112" s="4"/>
      <c r="Z1112" s="4"/>
    </row>
    <row r="1113" ht="15.7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 t="str">
        <f>IFERROR(__xludf.DUMMYFUNCTION("""COMPUTED_VALUE"""),"drain inspection commercial")</f>
        <v>drain inspection commercial</v>
      </c>
      <c r="U1113" s="4"/>
      <c r="V1113" s="4"/>
      <c r="W1113" s="4"/>
      <c r="X1113" s="4"/>
      <c r="Y1113" s="4"/>
      <c r="Z1113" s="4"/>
    </row>
    <row r="1114" ht="15.7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 t="str">
        <f>IFERROR(__xludf.DUMMYFUNCTION("""COMPUTED_VALUE"""),"drain inspection cost")</f>
        <v>drain inspection cost</v>
      </c>
      <c r="U1114" s="4"/>
      <c r="V1114" s="4"/>
      <c r="W1114" s="4"/>
      <c r="X1114" s="4"/>
      <c r="Y1114" s="4"/>
      <c r="Z1114" s="4"/>
    </row>
    <row r="1115" ht="15.7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 t="str">
        <f>IFERROR(__xludf.DUMMYFUNCTION("""COMPUTED_VALUE"""),"drain inspection emergency")</f>
        <v>drain inspection emergency</v>
      </c>
      <c r="U1115" s="4"/>
      <c r="V1115" s="4"/>
      <c r="W1115" s="4"/>
      <c r="X1115" s="4"/>
      <c r="Y1115" s="4"/>
      <c r="Z1115" s="4"/>
    </row>
    <row r="1116" ht="15.7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 t="str">
        <f>IFERROR(__xludf.DUMMYFUNCTION("""COMPUTED_VALUE"""),"drain inspection high pressure jetting")</f>
        <v>drain inspection high pressure jetting</v>
      </c>
      <c r="U1116" s="4"/>
      <c r="V1116" s="4"/>
      <c r="W1116" s="4"/>
      <c r="X1116" s="4"/>
      <c r="Y1116" s="4"/>
      <c r="Z1116" s="4"/>
    </row>
    <row r="1117" ht="15.7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 t="str">
        <f>IFERROR(__xludf.DUMMYFUNCTION("""COMPUTED_VALUE"""),"drain inspection installation")</f>
        <v>drain inspection installation</v>
      </c>
      <c r="U1117" s="4"/>
      <c r="V1117" s="4"/>
      <c r="W1117" s="4"/>
      <c r="X1117" s="4"/>
      <c r="Y1117" s="4"/>
      <c r="Z1117" s="4"/>
    </row>
    <row r="1118" ht="15.7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 t="str">
        <f>IFERROR(__xludf.DUMMYFUNCTION("""COMPUTED_VALUE"""),"drain inspection near me")</f>
        <v>drain inspection near me</v>
      </c>
      <c r="U1118" s="4"/>
      <c r="V1118" s="4"/>
      <c r="W1118" s="4"/>
      <c r="X1118" s="4"/>
      <c r="Y1118" s="4"/>
      <c r="Z1118" s="4"/>
    </row>
    <row r="1119" ht="15.7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 t="str">
        <f>IFERROR(__xludf.DUMMYFUNCTION("""COMPUTED_VALUE"""),"drain inspection plumber")</f>
        <v>drain inspection plumber</v>
      </c>
      <c r="U1119" s="4"/>
      <c r="V1119" s="4"/>
      <c r="W1119" s="4"/>
      <c r="X1119" s="4"/>
      <c r="Y1119" s="4"/>
      <c r="Z1119" s="4"/>
    </row>
    <row r="1120" ht="15.7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 t="str">
        <f>IFERROR(__xludf.DUMMYFUNCTION("""COMPUTED_VALUE"""),"drain inspection plumbing company")</f>
        <v>drain inspection plumbing company</v>
      </c>
      <c r="U1120" s="4"/>
      <c r="V1120" s="4"/>
      <c r="W1120" s="4"/>
      <c r="X1120" s="4"/>
      <c r="Y1120" s="4"/>
      <c r="Z1120" s="4"/>
    </row>
    <row r="1121" ht="15.7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 t="str">
        <f>IFERROR(__xludf.DUMMYFUNCTION("""COMPUTED_VALUE"""),"drain inspection quote")</f>
        <v>drain inspection quote</v>
      </c>
      <c r="U1121" s="4"/>
      <c r="V1121" s="4"/>
      <c r="W1121" s="4"/>
      <c r="X1121" s="4"/>
      <c r="Y1121" s="4"/>
      <c r="Z1121" s="4"/>
    </row>
    <row r="1122" ht="15.7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 t="str">
        <f>IFERROR(__xludf.DUMMYFUNCTION("""COMPUTED_VALUE"""),"drain inspection reliable")</f>
        <v>drain inspection reliable</v>
      </c>
      <c r="U1122" s="4"/>
      <c r="V1122" s="4"/>
      <c r="W1122" s="4"/>
      <c r="X1122" s="4"/>
      <c r="Y1122" s="4"/>
      <c r="Z1122" s="4"/>
    </row>
    <row r="1123" ht="15.7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 t="str">
        <f>IFERROR(__xludf.DUMMYFUNCTION("""COMPUTED_VALUE"""),"drain inspection repair")</f>
        <v>drain inspection repair</v>
      </c>
      <c r="U1123" s="4"/>
      <c r="V1123" s="4"/>
      <c r="W1123" s="4"/>
      <c r="X1123" s="4"/>
      <c r="Y1123" s="4"/>
      <c r="Z1123" s="4"/>
    </row>
    <row r="1124" ht="15.7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 t="str">
        <f>IFERROR(__xludf.DUMMYFUNCTION("""COMPUTED_VALUE"""),"drain inspection replacement")</f>
        <v>drain inspection replacement</v>
      </c>
      <c r="U1124" s="4"/>
      <c r="V1124" s="4"/>
      <c r="W1124" s="4"/>
      <c r="X1124" s="4"/>
      <c r="Y1124" s="4"/>
      <c r="Z1124" s="4"/>
    </row>
    <row r="1125" ht="15.7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 t="str">
        <f>IFERROR(__xludf.DUMMYFUNCTION("""COMPUTED_VALUE"""),"drain inspection residential")</f>
        <v>drain inspection residential</v>
      </c>
      <c r="U1125" s="4"/>
      <c r="V1125" s="4"/>
      <c r="W1125" s="4"/>
      <c r="X1125" s="4"/>
      <c r="Y1125" s="4"/>
      <c r="Z1125" s="4"/>
    </row>
    <row r="1126" ht="15.7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 t="str">
        <f>IFERROR(__xludf.DUMMYFUNCTION("""COMPUTED_VALUE"""),"drain inspection same day")</f>
        <v>drain inspection same day</v>
      </c>
      <c r="U1126" s="4"/>
      <c r="V1126" s="4"/>
      <c r="W1126" s="4"/>
      <c r="X1126" s="4"/>
      <c r="Y1126" s="4"/>
      <c r="Z1126" s="4"/>
    </row>
    <row r="1127" ht="15.7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 t="str">
        <f>IFERROR(__xludf.DUMMYFUNCTION("""COMPUTED_VALUE"""),"drain inspection service")</f>
        <v>drain inspection service</v>
      </c>
      <c r="U1127" s="4"/>
      <c r="V1127" s="4"/>
      <c r="W1127" s="4"/>
      <c r="X1127" s="4"/>
      <c r="Y1127" s="4"/>
      <c r="Z1127" s="4"/>
    </row>
    <row r="1128" ht="15.7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 t="str">
        <f>IFERROR(__xludf.DUMMYFUNCTION("""COMPUTED_VALUE"""),"drain inspection specialist")</f>
        <v>drain inspection specialist</v>
      </c>
      <c r="U1128" s="4"/>
      <c r="V1128" s="4"/>
      <c r="W1128" s="4"/>
      <c r="X1128" s="4"/>
      <c r="Y1128" s="4"/>
      <c r="Z1128" s="4"/>
    </row>
    <row r="1129" ht="15.7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 t="str">
        <f>IFERROR(__xludf.DUMMYFUNCTION("""COMPUTED_VALUE"""),"drain surgeon cape town 24 hour")</f>
        <v>drain surgeon cape town 24 hour</v>
      </c>
      <c r="U1129" s="4"/>
      <c r="V1129" s="4"/>
      <c r="W1129" s="4"/>
      <c r="X1129" s="4"/>
      <c r="Y1129" s="4"/>
      <c r="Z1129" s="4"/>
    </row>
    <row r="1130" ht="15.7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 t="str">
        <f>IFERROR(__xludf.DUMMYFUNCTION("""COMPUTED_VALUE"""),"drain surgeon cape town affordable")</f>
        <v>drain surgeon cape town affordable</v>
      </c>
      <c r="U1130" s="4"/>
      <c r="V1130" s="4"/>
      <c r="W1130" s="4"/>
      <c r="X1130" s="4"/>
      <c r="Y1130" s="4"/>
      <c r="Z1130" s="4"/>
    </row>
    <row r="1131" ht="15.7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 t="str">
        <f>IFERROR(__xludf.DUMMYFUNCTION("""COMPUTED_VALUE"""),"drain surgeon cape town alternatives")</f>
        <v>drain surgeon cape town alternatives</v>
      </c>
      <c r="U1131" s="4"/>
      <c r="V1131" s="4"/>
      <c r="W1131" s="4"/>
      <c r="X1131" s="4"/>
      <c r="Y1131" s="4"/>
      <c r="Z1131" s="4"/>
    </row>
    <row r="1132" ht="15.7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 t="str">
        <f>IFERROR(__xludf.DUMMYFUNCTION("""COMPUTED_VALUE"""),"drain surgeon cape town best")</f>
        <v>drain surgeon cape town best</v>
      </c>
      <c r="U1132" s="4"/>
      <c r="V1132" s="4"/>
      <c r="W1132" s="4"/>
      <c r="X1132" s="4"/>
      <c r="Y1132" s="4"/>
      <c r="Z1132" s="4"/>
    </row>
    <row r="1133" ht="15.7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 t="str">
        <f>IFERROR(__xludf.DUMMYFUNCTION("""COMPUTED_VALUE"""),"drain surgeon cape town certified")</f>
        <v>drain surgeon cape town certified</v>
      </c>
      <c r="U1133" s="4"/>
      <c r="V1133" s="4"/>
      <c r="W1133" s="4"/>
      <c r="X1133" s="4"/>
      <c r="Y1133" s="4"/>
      <c r="Z1133" s="4"/>
    </row>
    <row r="1134" ht="15.7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 t="str">
        <f>IFERROR(__xludf.DUMMYFUNCTION("""COMPUTED_VALUE"""),"drain surgeon cape town compare")</f>
        <v>drain surgeon cape town compare</v>
      </c>
      <c r="U1134" s="4"/>
      <c r="V1134" s="4"/>
      <c r="W1134" s="4"/>
      <c r="X1134" s="4"/>
      <c r="Y1134" s="4"/>
      <c r="Z1134" s="4"/>
    </row>
    <row r="1135" ht="15.7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 t="str">
        <f>IFERROR(__xludf.DUMMYFUNCTION("""COMPUTED_VALUE"""),"drain surgeon cape town complaints")</f>
        <v>drain surgeon cape town complaints</v>
      </c>
      <c r="U1135" s="4"/>
      <c r="V1135" s="4"/>
      <c r="W1135" s="4"/>
      <c r="X1135" s="4"/>
      <c r="Y1135" s="4"/>
      <c r="Z1135" s="4"/>
    </row>
    <row r="1136" ht="15.7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 t="str">
        <f>IFERROR(__xludf.DUMMYFUNCTION("""COMPUTED_VALUE"""),"drain surgeon cape town cost")</f>
        <v>drain surgeon cape town cost</v>
      </c>
      <c r="U1136" s="4"/>
      <c r="V1136" s="4"/>
      <c r="W1136" s="4"/>
      <c r="X1136" s="4"/>
      <c r="Y1136" s="4"/>
      <c r="Z1136" s="4"/>
    </row>
    <row r="1137" ht="15.7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 t="str">
        <f>IFERROR(__xludf.DUMMYFUNCTION("""COMPUTED_VALUE"""),"drain surgeon cape town insured")</f>
        <v>drain surgeon cape town insured</v>
      </c>
      <c r="U1137" s="4"/>
      <c r="V1137" s="4"/>
      <c r="W1137" s="4"/>
      <c r="X1137" s="4"/>
      <c r="Y1137" s="4"/>
      <c r="Z1137" s="4"/>
    </row>
    <row r="1138" ht="15.7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 t="str">
        <f>IFERROR(__xludf.DUMMYFUNCTION("""COMPUTED_VALUE"""),"drain surgeon cape town licensed")</f>
        <v>drain surgeon cape town licensed</v>
      </c>
      <c r="U1138" s="4"/>
      <c r="V1138" s="4"/>
      <c r="W1138" s="4"/>
      <c r="X1138" s="4"/>
      <c r="Y1138" s="4"/>
      <c r="Z1138" s="4"/>
    </row>
    <row r="1139" ht="15.7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 t="str">
        <f>IFERROR(__xludf.DUMMYFUNCTION("""COMPUTED_VALUE"""),"drain surgeon cape town local")</f>
        <v>drain surgeon cape town local</v>
      </c>
      <c r="U1139" s="4"/>
      <c r="V1139" s="4"/>
      <c r="W1139" s="4"/>
      <c r="X1139" s="4"/>
      <c r="Y1139" s="4"/>
      <c r="Z1139" s="4"/>
    </row>
    <row r="1140" ht="15.7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 t="str">
        <f>IFERROR(__xludf.DUMMYFUNCTION("""COMPUTED_VALUE"""),"drain surgeon cape town near me")</f>
        <v>drain surgeon cape town near me</v>
      </c>
      <c r="U1140" s="4"/>
      <c r="V1140" s="4"/>
      <c r="W1140" s="4"/>
      <c r="X1140" s="4"/>
      <c r="Y1140" s="4"/>
      <c r="Z1140" s="4"/>
    </row>
    <row r="1141" ht="15.7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 t="str">
        <f>IFERROR(__xludf.DUMMYFUNCTION("""COMPUTED_VALUE"""),"drain surgeon cape town prices")</f>
        <v>drain surgeon cape town prices</v>
      </c>
      <c r="U1141" s="4"/>
      <c r="V1141" s="4"/>
      <c r="W1141" s="4"/>
      <c r="X1141" s="4"/>
      <c r="Y1141" s="4"/>
      <c r="Z1141" s="4"/>
    </row>
    <row r="1142" ht="15.7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 t="str">
        <f>IFERROR(__xludf.DUMMYFUNCTION("""COMPUTED_VALUE"""),"drain surgeon cape town qualified")</f>
        <v>drain surgeon cape town qualified</v>
      </c>
      <c r="U1142" s="4"/>
      <c r="V1142" s="4"/>
      <c r="W1142" s="4"/>
      <c r="X1142" s="4"/>
      <c r="Y1142" s="4"/>
      <c r="Z1142" s="4"/>
    </row>
    <row r="1143" ht="15.7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 t="str">
        <f>IFERROR(__xludf.DUMMYFUNCTION("""COMPUTED_VALUE"""),"drain surgeon cape town quote")</f>
        <v>drain surgeon cape town quote</v>
      </c>
      <c r="U1143" s="4"/>
      <c r="V1143" s="4"/>
      <c r="W1143" s="4"/>
      <c r="X1143" s="4"/>
      <c r="Y1143" s="4"/>
      <c r="Z1143" s="4"/>
    </row>
    <row r="1144" ht="15.7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 t="str">
        <f>IFERROR(__xludf.DUMMYFUNCTION("""COMPUTED_VALUE"""),"drain surgeon cape town reliable")</f>
        <v>drain surgeon cape town reliable</v>
      </c>
      <c r="U1144" s="4"/>
      <c r="V1144" s="4"/>
      <c r="W1144" s="4"/>
      <c r="X1144" s="4"/>
      <c r="Y1144" s="4"/>
      <c r="Z1144" s="4"/>
    </row>
    <row r="1145" ht="15.7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 t="str">
        <f>IFERROR(__xludf.DUMMYFUNCTION("""COMPUTED_VALUE"""),"drain surgeon cape town reputable")</f>
        <v>drain surgeon cape town reputable</v>
      </c>
      <c r="U1145" s="4"/>
      <c r="V1145" s="4"/>
      <c r="W1145" s="4"/>
      <c r="X1145" s="4"/>
      <c r="Y1145" s="4"/>
      <c r="Z1145" s="4"/>
    </row>
    <row r="1146" ht="15.7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 t="str">
        <f>IFERROR(__xludf.DUMMYFUNCTION("""COMPUTED_VALUE"""),"drain surgeon cape town review")</f>
        <v>drain surgeon cape town review</v>
      </c>
      <c r="U1146" s="4"/>
      <c r="V1146" s="4"/>
      <c r="W1146" s="4"/>
      <c r="X1146" s="4"/>
      <c r="Y1146" s="4"/>
      <c r="Z1146" s="4"/>
    </row>
    <row r="1147" ht="15.7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 t="str">
        <f>IFERROR(__xludf.DUMMYFUNCTION("""COMPUTED_VALUE"""),"drain surgeon cape town reviews")</f>
        <v>drain surgeon cape town reviews</v>
      </c>
      <c r="U1147" s="4"/>
      <c r="V1147" s="4"/>
      <c r="W1147" s="4"/>
      <c r="X1147" s="4"/>
      <c r="Y1147" s="4"/>
      <c r="Z1147" s="4"/>
    </row>
    <row r="1148" ht="15.7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 t="str">
        <f>IFERROR(__xludf.DUMMYFUNCTION("""COMPUTED_VALUE"""),"drain surgeon cape town same day")</f>
        <v>drain surgeon cape town same day</v>
      </c>
      <c r="U1148" s="4"/>
      <c r="V1148" s="4"/>
      <c r="W1148" s="4"/>
      <c r="X1148" s="4"/>
      <c r="Y1148" s="4"/>
      <c r="Z1148" s="4"/>
    </row>
    <row r="1149" ht="15.7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 t="str">
        <f>IFERROR(__xludf.DUMMYFUNCTION("""COMPUTED_VALUE"""),"drain surgeon cape town top rated")</f>
        <v>drain surgeon cape town top rated</v>
      </c>
      <c r="U1149" s="4"/>
      <c r="V1149" s="4"/>
      <c r="W1149" s="4"/>
      <c r="X1149" s="4"/>
      <c r="Y1149" s="4"/>
      <c r="Z1149" s="4"/>
    </row>
    <row r="1150" ht="15.7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 t="str">
        <f>IFERROR(__xludf.DUMMYFUNCTION("""COMPUTED_VALUE"""),"drain surgeon cape town trusted")</f>
        <v>drain surgeon cape town trusted</v>
      </c>
      <c r="U1150" s="4"/>
      <c r="V1150" s="4"/>
      <c r="W1150" s="4"/>
      <c r="X1150" s="4"/>
      <c r="Y1150" s="4"/>
      <c r="Z1150" s="4"/>
    </row>
    <row r="1151" ht="15.7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 t="str">
        <f>IFERROR(__xludf.DUMMYFUNCTION("""COMPUTED_VALUE"""),"drain surgeon cape town vs")</f>
        <v>drain surgeon cape town vs</v>
      </c>
      <c r="U1151" s="4"/>
      <c r="V1151" s="4"/>
      <c r="W1151" s="4"/>
      <c r="X1151" s="4"/>
      <c r="Y1151" s="4"/>
      <c r="Z1151" s="4"/>
    </row>
    <row r="1152" ht="15.7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 t="str">
        <f>IFERROR(__xludf.DUMMYFUNCTION("""COMPUTED_VALUE"""),"drain unblocking affordable")</f>
        <v>drain unblocking affordable</v>
      </c>
      <c r="U1152" s="4"/>
      <c r="V1152" s="4"/>
      <c r="W1152" s="4"/>
      <c r="X1152" s="4"/>
      <c r="Y1152" s="4"/>
      <c r="Z1152" s="4"/>
    </row>
    <row r="1153" ht="15.7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 t="str">
        <f>IFERROR(__xludf.DUMMYFUNCTION("""COMPUTED_VALUE"""),"drain unblocking best")</f>
        <v>drain unblocking best</v>
      </c>
      <c r="U1153" s="4"/>
      <c r="V1153" s="4"/>
      <c r="W1153" s="4"/>
      <c r="X1153" s="4"/>
      <c r="Y1153" s="4"/>
      <c r="Z1153" s="4"/>
    </row>
    <row r="1154" ht="15.7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 t="str">
        <f>IFERROR(__xludf.DUMMYFUNCTION("""COMPUTED_VALUE"""),"drain unblocking cape town")</f>
        <v>drain unblocking cape town</v>
      </c>
      <c r="U1154" s="4"/>
      <c r="V1154" s="4"/>
      <c r="W1154" s="4"/>
      <c r="X1154" s="4"/>
      <c r="Y1154" s="4"/>
      <c r="Z1154" s="4"/>
    </row>
    <row r="1155" ht="15.7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 t="str">
        <f>IFERROR(__xludf.DUMMYFUNCTION("""COMPUTED_VALUE"""),"drain unblocking CCTV")</f>
        <v>drain unblocking CCTV</v>
      </c>
      <c r="U1155" s="4"/>
      <c r="V1155" s="4"/>
      <c r="W1155" s="4"/>
      <c r="X1155" s="4"/>
      <c r="Y1155" s="4"/>
      <c r="Z1155" s="4"/>
    </row>
    <row r="1156" ht="15.7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 t="str">
        <f>IFERROR(__xludf.DUMMYFUNCTION("""COMPUTED_VALUE"""),"drain unblocking commercial")</f>
        <v>drain unblocking commercial</v>
      </c>
      <c r="U1156" s="4"/>
      <c r="V1156" s="4"/>
      <c r="W1156" s="4"/>
      <c r="X1156" s="4"/>
      <c r="Y1156" s="4"/>
      <c r="Z1156" s="4"/>
    </row>
    <row r="1157" ht="15.7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 t="str">
        <f>IFERROR(__xludf.DUMMYFUNCTION("""COMPUTED_VALUE"""),"drain unblocking cost")</f>
        <v>drain unblocking cost</v>
      </c>
      <c r="U1157" s="4"/>
      <c r="V1157" s="4"/>
      <c r="W1157" s="4"/>
      <c r="X1157" s="4"/>
      <c r="Y1157" s="4"/>
      <c r="Z1157" s="4"/>
    </row>
    <row r="1158" ht="15.7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 t="str">
        <f>IFERROR(__xludf.DUMMYFUNCTION("""COMPUTED_VALUE"""),"drain unblocking emergency")</f>
        <v>drain unblocking emergency</v>
      </c>
      <c r="U1158" s="4"/>
      <c r="V1158" s="4"/>
      <c r="W1158" s="4"/>
      <c r="X1158" s="4"/>
      <c r="Y1158" s="4"/>
      <c r="Z1158" s="4"/>
    </row>
    <row r="1159" ht="15.7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 t="str">
        <f>IFERROR(__xludf.DUMMYFUNCTION("""COMPUTED_VALUE"""),"drain unblocking high pressure jetting")</f>
        <v>drain unblocking high pressure jetting</v>
      </c>
      <c r="U1159" s="4"/>
      <c r="V1159" s="4"/>
      <c r="W1159" s="4"/>
      <c r="X1159" s="4"/>
      <c r="Y1159" s="4"/>
      <c r="Z1159" s="4"/>
    </row>
    <row r="1160" ht="15.7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 t="str">
        <f>IFERROR(__xludf.DUMMYFUNCTION("""COMPUTED_VALUE"""),"drain unblocking installation")</f>
        <v>drain unblocking installation</v>
      </c>
      <c r="U1160" s="4"/>
      <c r="V1160" s="4"/>
      <c r="W1160" s="4"/>
      <c r="X1160" s="4"/>
      <c r="Y1160" s="4"/>
      <c r="Z1160" s="4"/>
    </row>
    <row r="1161" ht="15.7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 t="str">
        <f>IFERROR(__xludf.DUMMYFUNCTION("""COMPUTED_VALUE"""),"drain unblocking near me")</f>
        <v>drain unblocking near me</v>
      </c>
      <c r="U1161" s="4"/>
      <c r="V1161" s="4"/>
      <c r="W1161" s="4"/>
      <c r="X1161" s="4"/>
      <c r="Y1161" s="4"/>
      <c r="Z1161" s="4"/>
    </row>
    <row r="1162" ht="15.7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 t="str">
        <f>IFERROR(__xludf.DUMMYFUNCTION("""COMPUTED_VALUE"""),"drain unblocking plumber")</f>
        <v>drain unblocking plumber</v>
      </c>
      <c r="U1162" s="4"/>
      <c r="V1162" s="4"/>
      <c r="W1162" s="4"/>
      <c r="X1162" s="4"/>
      <c r="Y1162" s="4"/>
      <c r="Z1162" s="4"/>
    </row>
    <row r="1163" ht="15.7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 t="str">
        <f>IFERROR(__xludf.DUMMYFUNCTION("""COMPUTED_VALUE"""),"drain unblocking plumbing company")</f>
        <v>drain unblocking plumbing company</v>
      </c>
      <c r="U1163" s="4"/>
      <c r="V1163" s="4"/>
      <c r="W1163" s="4"/>
      <c r="X1163" s="4"/>
      <c r="Y1163" s="4"/>
      <c r="Z1163" s="4"/>
    </row>
    <row r="1164" ht="15.7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 t="str">
        <f>IFERROR(__xludf.DUMMYFUNCTION("""COMPUTED_VALUE"""),"drain unblocking quote")</f>
        <v>drain unblocking quote</v>
      </c>
      <c r="U1164" s="4"/>
      <c r="V1164" s="4"/>
      <c r="W1164" s="4"/>
      <c r="X1164" s="4"/>
      <c r="Y1164" s="4"/>
      <c r="Z1164" s="4"/>
    </row>
    <row r="1165" ht="15.75" customHeight="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 t="str">
        <f>IFERROR(__xludf.DUMMYFUNCTION("""COMPUTED_VALUE"""),"drain unblocking reliable")</f>
        <v>drain unblocking reliable</v>
      </c>
      <c r="U1165" s="4"/>
      <c r="V1165" s="4"/>
      <c r="W1165" s="4"/>
      <c r="X1165" s="4"/>
      <c r="Y1165" s="4"/>
      <c r="Z1165" s="4"/>
    </row>
    <row r="1166" ht="15.75" customHeight="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 t="str">
        <f>IFERROR(__xludf.DUMMYFUNCTION("""COMPUTED_VALUE"""),"drain unblocking repair")</f>
        <v>drain unblocking repair</v>
      </c>
      <c r="U1166" s="4"/>
      <c r="V1166" s="4"/>
      <c r="W1166" s="4"/>
      <c r="X1166" s="4"/>
      <c r="Y1166" s="4"/>
      <c r="Z1166" s="4"/>
    </row>
    <row r="1167" ht="15.75" customHeight="1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 t="str">
        <f>IFERROR(__xludf.DUMMYFUNCTION("""COMPUTED_VALUE"""),"drain unblocking replacement")</f>
        <v>drain unblocking replacement</v>
      </c>
      <c r="U1167" s="4"/>
      <c r="V1167" s="4"/>
      <c r="W1167" s="4"/>
      <c r="X1167" s="4"/>
      <c r="Y1167" s="4"/>
      <c r="Z1167" s="4"/>
    </row>
    <row r="1168" ht="15.75" customHeight="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 t="str">
        <f>IFERROR(__xludf.DUMMYFUNCTION("""COMPUTED_VALUE"""),"drain unblocking residential")</f>
        <v>drain unblocking residential</v>
      </c>
      <c r="U1168" s="4"/>
      <c r="V1168" s="4"/>
      <c r="W1168" s="4"/>
      <c r="X1168" s="4"/>
      <c r="Y1168" s="4"/>
      <c r="Z1168" s="4"/>
    </row>
    <row r="1169" ht="15.75" customHeight="1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 t="str">
        <f>IFERROR(__xludf.DUMMYFUNCTION("""COMPUTED_VALUE"""),"drain unblocking same day")</f>
        <v>drain unblocking same day</v>
      </c>
      <c r="U1169" s="4"/>
      <c r="V1169" s="4"/>
      <c r="W1169" s="4"/>
      <c r="X1169" s="4"/>
      <c r="Y1169" s="4"/>
      <c r="Z1169" s="4"/>
    </row>
    <row r="1170" ht="15.75" customHeight="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 t="str">
        <f>IFERROR(__xludf.DUMMYFUNCTION("""COMPUTED_VALUE"""),"drain unblocking service")</f>
        <v>drain unblocking service</v>
      </c>
      <c r="U1170" s="4"/>
      <c r="V1170" s="4"/>
      <c r="W1170" s="4"/>
      <c r="X1170" s="4"/>
      <c r="Y1170" s="4"/>
      <c r="Z1170" s="4"/>
    </row>
    <row r="1171" ht="15.75" customHeight="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 t="str">
        <f>IFERROR(__xludf.DUMMYFUNCTION("""COMPUTED_VALUE"""),"drain unblocking specialist")</f>
        <v>drain unblocking specialist</v>
      </c>
      <c r="U1171" s="4"/>
      <c r="V1171" s="4"/>
      <c r="W1171" s="4"/>
      <c r="X1171" s="4"/>
      <c r="Y1171" s="4"/>
      <c r="Z1171" s="4"/>
    </row>
    <row r="1172" ht="15.75" customHeight="1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 t="str">
        <f>IFERROR(__xludf.DUMMYFUNCTION("""COMPUTED_VALUE"""),"Durbanville aircon repairs")</f>
        <v>Durbanville aircon repairs</v>
      </c>
      <c r="U1172" s="4"/>
      <c r="V1172" s="4"/>
      <c r="W1172" s="4"/>
      <c r="X1172" s="4"/>
      <c r="Y1172" s="4"/>
      <c r="Z1172" s="4"/>
    </row>
    <row r="1173" ht="15.75" customHeight="1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 t="str">
        <f>IFERROR(__xludf.DUMMYFUNCTION("""COMPUTED_VALUE"""),"Durbanville blocked drain plumber")</f>
        <v>Durbanville blocked drain plumber</v>
      </c>
      <c r="U1173" s="4"/>
      <c r="V1173" s="4"/>
      <c r="W1173" s="4"/>
      <c r="X1173" s="4"/>
      <c r="Y1173" s="4"/>
      <c r="Z1173" s="4"/>
    </row>
    <row r="1174" ht="15.75" customHeight="1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 t="str">
        <f>IFERROR(__xludf.DUMMYFUNCTION("""COMPUTED_VALUE"""),"Durbanville electrician")</f>
        <v>Durbanville electrician</v>
      </c>
      <c r="U1174" s="4"/>
      <c r="V1174" s="4"/>
      <c r="W1174" s="4"/>
      <c r="X1174" s="4"/>
      <c r="Y1174" s="4"/>
      <c r="Z1174" s="4"/>
    </row>
    <row r="1175" ht="15.75" customHeight="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 t="str">
        <f>IFERROR(__xludf.DUMMYFUNCTION("""COMPUTED_VALUE"""),"Durbanville emergency plumber")</f>
        <v>Durbanville emergency plumber</v>
      </c>
      <c r="U1175" s="4"/>
      <c r="V1175" s="4"/>
      <c r="W1175" s="4"/>
      <c r="X1175" s="4"/>
      <c r="Y1175" s="4"/>
      <c r="Z1175" s="4"/>
    </row>
    <row r="1176" ht="15.75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 t="str">
        <f>IFERROR(__xludf.DUMMYFUNCTION("""COMPUTED_VALUE"""),"Durbanville geyser repair")</f>
        <v>Durbanville geyser repair</v>
      </c>
      <c r="U1176" s="4"/>
      <c r="V1176" s="4"/>
      <c r="W1176" s="4"/>
      <c r="X1176" s="4"/>
      <c r="Y1176" s="4"/>
      <c r="Z1176" s="4"/>
    </row>
    <row r="1177" ht="15.75" customHeight="1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 t="str">
        <f>IFERROR(__xludf.DUMMYFUNCTION("""COMPUTED_VALUE"""),"Durbanville leak detection plumber")</f>
        <v>Durbanville leak detection plumber</v>
      </c>
      <c r="U1177" s="4"/>
      <c r="V1177" s="4"/>
      <c r="W1177" s="4"/>
      <c r="X1177" s="4"/>
      <c r="Y1177" s="4"/>
      <c r="Z1177" s="4"/>
    </row>
    <row r="1178" ht="15.75" customHeight="1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 t="str">
        <f>IFERROR(__xludf.DUMMYFUNCTION("""COMPUTED_VALUE"""),"Durbanville plumber")</f>
        <v>Durbanville plumber</v>
      </c>
      <c r="U1178" s="4"/>
      <c r="V1178" s="4"/>
      <c r="W1178" s="4"/>
      <c r="X1178" s="4"/>
      <c r="Y1178" s="4"/>
      <c r="Z1178" s="4"/>
    </row>
    <row r="1179" ht="15.75" customHeight="1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 t="str">
        <f>IFERROR(__xludf.DUMMYFUNCTION("""COMPUTED_VALUE"""),"Durbanville plumbers")</f>
        <v>Durbanville plumbers</v>
      </c>
      <c r="U1179" s="4"/>
      <c r="V1179" s="4"/>
      <c r="W1179" s="4"/>
      <c r="X1179" s="4"/>
      <c r="Y1179" s="4"/>
      <c r="Z1179" s="4"/>
    </row>
    <row r="1180" ht="15.75" customHeight="1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 t="str">
        <f>IFERROR(__xludf.DUMMYFUNCTION("""COMPUTED_VALUE"""),"Durbanville plumbing company")</f>
        <v>Durbanville plumbing company</v>
      </c>
      <c r="U1180" s="4"/>
      <c r="V1180" s="4"/>
      <c r="W1180" s="4"/>
      <c r="X1180" s="4"/>
      <c r="Y1180" s="4"/>
      <c r="Z1180" s="4"/>
    </row>
    <row r="1181" ht="15.75" customHeight="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 t="str">
        <f>IFERROR(__xludf.DUMMYFUNCTION("""COMPUTED_VALUE"""),"Durbanville refrigeration services")</f>
        <v>Durbanville refrigeration services</v>
      </c>
      <c r="U1181" s="4"/>
      <c r="V1181" s="4"/>
      <c r="W1181" s="4"/>
      <c r="X1181" s="4"/>
      <c r="Y1181" s="4"/>
      <c r="Z1181" s="4"/>
    </row>
    <row r="1182" ht="15.75" customHeight="1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 t="str">
        <f>IFERROR(__xludf.DUMMYFUNCTION("""COMPUTED_VALUE"""),"electrical COC best way to fix")</f>
        <v>electrical COC best way to fix</v>
      </c>
      <c r="U1182" s="4"/>
      <c r="V1182" s="4"/>
      <c r="W1182" s="4"/>
      <c r="X1182" s="4"/>
      <c r="Y1182" s="4"/>
      <c r="Z1182" s="4"/>
    </row>
    <row r="1183" ht="15.75" customHeight="1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 t="str">
        <f>IFERROR(__xludf.DUMMYFUNCTION("""COMPUTED_VALUE"""),"electrical COC can a plumber fix")</f>
        <v>electrical COC can a plumber fix</v>
      </c>
      <c r="U1183" s="4"/>
      <c r="V1183" s="4"/>
      <c r="W1183" s="4"/>
      <c r="X1183" s="4"/>
      <c r="Y1183" s="4"/>
      <c r="Z1183" s="4"/>
    </row>
    <row r="1184" ht="15.75" customHeight="1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 t="str">
        <f>IFERROR(__xludf.DUMMYFUNCTION("""COMPUTED_VALUE"""),"electrical COC cost of")</f>
        <v>electrical COC cost of</v>
      </c>
      <c r="U1184" s="4"/>
      <c r="V1184" s="4"/>
      <c r="W1184" s="4"/>
      <c r="X1184" s="4"/>
      <c r="Y1184" s="4"/>
      <c r="Z1184" s="4"/>
    </row>
    <row r="1185" ht="15.75" customHeight="1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 t="str">
        <f>IFERROR(__xludf.DUMMYFUNCTION("""COMPUTED_VALUE"""),"electrical COC do I need")</f>
        <v>electrical COC do I need</v>
      </c>
      <c r="U1185" s="4"/>
      <c r="V1185" s="4"/>
      <c r="W1185" s="4"/>
      <c r="X1185" s="4"/>
      <c r="Y1185" s="4"/>
      <c r="Z1185" s="4"/>
    </row>
    <row r="1186" ht="15.75" customHeight="1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 t="str">
        <f>IFERROR(__xludf.DUMMYFUNCTION("""COMPUTED_VALUE"""),"electrical COC emergency help for")</f>
        <v>electrical COC emergency help for</v>
      </c>
      <c r="U1186" s="4"/>
      <c r="V1186" s="4"/>
      <c r="W1186" s="4"/>
      <c r="X1186" s="4"/>
      <c r="Y1186" s="4"/>
      <c r="Z1186" s="4"/>
    </row>
    <row r="1187" ht="15.75" customHeight="1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 t="str">
        <f>IFERROR(__xludf.DUMMYFUNCTION("""COMPUTED_VALUE"""),"electrical COC how long does")</f>
        <v>electrical COC how long does</v>
      </c>
      <c r="U1187" s="4"/>
      <c r="V1187" s="4"/>
      <c r="W1187" s="4"/>
      <c r="X1187" s="4"/>
      <c r="Y1187" s="4"/>
      <c r="Z1187" s="4"/>
    </row>
    <row r="1188" ht="15.75" customHeight="1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 t="str">
        <f>IFERROR(__xludf.DUMMYFUNCTION("""COMPUTED_VALUE"""),"electrical COC how much does")</f>
        <v>electrical COC how much does</v>
      </c>
      <c r="U1188" s="4"/>
      <c r="V1188" s="4"/>
      <c r="W1188" s="4"/>
      <c r="X1188" s="4"/>
      <c r="Y1188" s="4"/>
      <c r="Z1188" s="4"/>
    </row>
    <row r="1189" ht="15.75" customHeight="1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 t="str">
        <f>IFERROR(__xludf.DUMMYFUNCTION("""COMPUTED_VALUE"""),"electrical COC how to choose")</f>
        <v>electrical COC how to choose</v>
      </c>
      <c r="U1189" s="4"/>
      <c r="V1189" s="4"/>
      <c r="W1189" s="4"/>
      <c r="X1189" s="4"/>
      <c r="Y1189" s="4"/>
      <c r="Z1189" s="4"/>
    </row>
    <row r="1190" ht="15.75" customHeight="1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 t="str">
        <f>IFERROR(__xludf.DUMMYFUNCTION("""COMPUTED_VALUE"""),"electrical COC how to prevent")</f>
        <v>electrical COC how to prevent</v>
      </c>
      <c r="U1190" s="4"/>
      <c r="V1190" s="4"/>
      <c r="W1190" s="4"/>
      <c r="X1190" s="4"/>
      <c r="Y1190" s="4"/>
      <c r="Z1190" s="4"/>
    </row>
    <row r="1191" ht="15.75" customHeight="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 t="str">
        <f>IFERROR(__xludf.DUMMYFUNCTION("""COMPUTED_VALUE"""),"electrical COC is it safe to")</f>
        <v>electrical COC is it safe to</v>
      </c>
      <c r="U1191" s="4"/>
      <c r="V1191" s="4"/>
      <c r="W1191" s="4"/>
      <c r="X1191" s="4"/>
      <c r="Y1191" s="4"/>
      <c r="Z1191" s="4"/>
    </row>
    <row r="1192" ht="15.75" customHeight="1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 t="str">
        <f>IFERROR(__xludf.DUMMYFUNCTION("""COMPUTED_VALUE"""),"electrical COC near me for")</f>
        <v>electrical COC near me for</v>
      </c>
      <c r="U1192" s="4"/>
      <c r="V1192" s="4"/>
      <c r="W1192" s="4"/>
      <c r="X1192" s="4"/>
      <c r="Y1192" s="4"/>
      <c r="Z1192" s="4"/>
    </row>
    <row r="1193" ht="15.75" customHeight="1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 t="str">
        <f>IFERROR(__xludf.DUMMYFUNCTION("""COMPUTED_VALUE"""),"electrical COC same day help for")</f>
        <v>electrical COC same day help for</v>
      </c>
      <c r="U1193" s="4"/>
      <c r="V1193" s="4"/>
      <c r="W1193" s="4"/>
      <c r="X1193" s="4"/>
      <c r="Y1193" s="4"/>
      <c r="Z1193" s="4"/>
    </row>
    <row r="1194" ht="15.75" customHeight="1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 t="str">
        <f>IFERROR(__xludf.DUMMYFUNCTION("""COMPUTED_VALUE"""),"electrical COC signs you need")</f>
        <v>electrical COC signs you need</v>
      </c>
      <c r="U1194" s="4"/>
      <c r="V1194" s="4"/>
      <c r="W1194" s="4"/>
      <c r="X1194" s="4"/>
      <c r="Y1194" s="4"/>
      <c r="Z1194" s="4"/>
    </row>
    <row r="1195" ht="15.75" customHeight="1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 t="str">
        <f>IFERROR(__xludf.DUMMYFUNCTION("""COMPUTED_VALUE"""),"electrical COC what causes")</f>
        <v>electrical COC what causes</v>
      </c>
      <c r="U1195" s="4"/>
      <c r="V1195" s="4"/>
      <c r="W1195" s="4"/>
      <c r="X1195" s="4"/>
      <c r="Y1195" s="4"/>
      <c r="Z1195" s="4"/>
    </row>
    <row r="1196" ht="15.75" customHeight="1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 t="str">
        <f>IFERROR(__xludf.DUMMYFUNCTION("""COMPUTED_VALUE"""),"electrical COC what is")</f>
        <v>electrical COC what is</v>
      </c>
      <c r="U1196" s="4"/>
      <c r="V1196" s="4"/>
      <c r="W1196" s="4"/>
      <c r="X1196" s="4"/>
      <c r="Y1196" s="4"/>
      <c r="Z1196" s="4"/>
    </row>
    <row r="1197" ht="15.75" customHeight="1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 t="str">
        <f>IFERROR(__xludf.DUMMYFUNCTION("""COMPUTED_VALUE"""),"electrical COC when to call a")</f>
        <v>electrical COC when to call a</v>
      </c>
      <c r="U1197" s="4"/>
      <c r="V1197" s="4"/>
      <c r="W1197" s="4"/>
      <c r="X1197" s="4"/>
      <c r="Y1197" s="4"/>
      <c r="Z1197" s="4"/>
    </row>
    <row r="1198" ht="15.75" customHeight="1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 t="str">
        <f>IFERROR(__xludf.DUMMYFUNCTION("""COMPUTED_VALUE"""),"electrical COC who fixes")</f>
        <v>electrical COC who fixes</v>
      </c>
      <c r="U1198" s="4"/>
      <c r="V1198" s="4"/>
      <c r="W1198" s="4"/>
      <c r="X1198" s="4"/>
      <c r="Y1198" s="4"/>
      <c r="Z1198" s="4"/>
    </row>
    <row r="1199" ht="15.75" customHeight="1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 t="str">
        <f>IFERROR(__xludf.DUMMYFUNCTION("""COMPUTED_VALUE"""),"electrical COC why is my")</f>
        <v>electrical COC why is my</v>
      </c>
      <c r="U1199" s="4"/>
      <c r="V1199" s="4"/>
      <c r="W1199" s="4"/>
      <c r="X1199" s="4"/>
      <c r="Y1199" s="4"/>
      <c r="Z1199" s="4"/>
    </row>
    <row r="1200" ht="15.75" customHeight="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 t="str">
        <f>IFERROR(__xludf.DUMMYFUNCTION("""COMPUTED_VALUE"""),"electrical compliance certificate affordable")</f>
        <v>electrical compliance certificate affordable</v>
      </c>
      <c r="U1200" s="4"/>
      <c r="V1200" s="4"/>
      <c r="W1200" s="4"/>
      <c r="X1200" s="4"/>
      <c r="Y1200" s="4"/>
      <c r="Z1200" s="4"/>
    </row>
    <row r="1201" ht="15.75" customHeight="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 t="str">
        <f>IFERROR(__xludf.DUMMYFUNCTION("""COMPUTED_VALUE"""),"electrical compliance certificate call out")</f>
        <v>electrical compliance certificate call out</v>
      </c>
      <c r="U1201" s="4"/>
      <c r="V1201" s="4"/>
      <c r="W1201" s="4"/>
      <c r="X1201" s="4"/>
      <c r="Y1201" s="4"/>
      <c r="Z1201" s="4"/>
    </row>
    <row r="1202" ht="15.75" customHeight="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 t="str">
        <f>IFERROR(__xludf.DUMMYFUNCTION("""COMPUTED_VALUE"""),"electrical compliance certificate cape town")</f>
        <v>electrical compliance certificate cape town</v>
      </c>
      <c r="U1202" s="4"/>
      <c r="V1202" s="4"/>
      <c r="W1202" s="4"/>
      <c r="X1202" s="4"/>
      <c r="Y1202" s="4"/>
      <c r="Z1202" s="4"/>
    </row>
    <row r="1203" ht="15.75" customHeight="1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 t="str">
        <f>IFERROR(__xludf.DUMMYFUNCTION("""COMPUTED_VALUE"""),"electrical compliance certificate COC")</f>
        <v>electrical compliance certificate COC</v>
      </c>
      <c r="U1203" s="4"/>
      <c r="V1203" s="4"/>
      <c r="W1203" s="4"/>
      <c r="X1203" s="4"/>
      <c r="Y1203" s="4"/>
      <c r="Z1203" s="4"/>
    </row>
    <row r="1204" ht="15.75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 t="str">
        <f>IFERROR(__xludf.DUMMYFUNCTION("""COMPUTED_VALUE"""),"electrical compliance certificate company")</f>
        <v>electrical compliance certificate company</v>
      </c>
      <c r="U1204" s="4"/>
      <c r="V1204" s="4"/>
      <c r="W1204" s="4"/>
      <c r="X1204" s="4"/>
      <c r="Y1204" s="4"/>
      <c r="Z1204" s="4"/>
    </row>
    <row r="1205" ht="15.75" customHeight="1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 t="str">
        <f>IFERROR(__xludf.DUMMYFUNCTION("""COMPUTED_VALUE"""),"electrical compliance certificate contractor")</f>
        <v>electrical compliance certificate contractor</v>
      </c>
      <c r="U1205" s="4"/>
      <c r="V1205" s="4"/>
      <c r="W1205" s="4"/>
      <c r="X1205" s="4"/>
      <c r="Y1205" s="4"/>
      <c r="Z1205" s="4"/>
    </row>
    <row r="1206" ht="15.75" customHeight="1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 t="str">
        <f>IFERROR(__xludf.DUMMYFUNCTION("""COMPUTED_VALUE"""),"electrical compliance certificate cost")</f>
        <v>electrical compliance certificate cost</v>
      </c>
      <c r="U1206" s="4"/>
      <c r="V1206" s="4"/>
      <c r="W1206" s="4"/>
      <c r="X1206" s="4"/>
      <c r="Y1206" s="4"/>
      <c r="Z1206" s="4"/>
    </row>
    <row r="1207" ht="15.75" customHeight="1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 t="str">
        <f>IFERROR(__xludf.DUMMYFUNCTION("""COMPUTED_VALUE"""),"electrical compliance certificate emergency")</f>
        <v>electrical compliance certificate emergency</v>
      </c>
      <c r="U1207" s="4"/>
      <c r="V1207" s="4"/>
      <c r="W1207" s="4"/>
      <c r="X1207" s="4"/>
      <c r="Y1207" s="4"/>
      <c r="Z1207" s="4"/>
    </row>
    <row r="1208" ht="15.75" customHeight="1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 t="str">
        <f>IFERROR(__xludf.DUMMYFUNCTION("""COMPUTED_VALUE"""),"electrical compliance certificate inspection")</f>
        <v>electrical compliance certificate inspection</v>
      </c>
      <c r="U1208" s="4"/>
      <c r="V1208" s="4"/>
      <c r="W1208" s="4"/>
      <c r="X1208" s="4"/>
      <c r="Y1208" s="4"/>
      <c r="Z1208" s="4"/>
    </row>
    <row r="1209" ht="15.75" customHeight="1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 t="str">
        <f>IFERROR(__xludf.DUMMYFUNCTION("""COMPUTED_VALUE"""),"electrical compliance certificate installation")</f>
        <v>electrical compliance certificate installation</v>
      </c>
      <c r="U1209" s="4"/>
      <c r="V1209" s="4"/>
      <c r="W1209" s="4"/>
      <c r="X1209" s="4"/>
      <c r="Y1209" s="4"/>
      <c r="Z1209" s="4"/>
    </row>
    <row r="1210" ht="15.75" customHeight="1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 t="str">
        <f>IFERROR(__xludf.DUMMYFUNCTION("""COMPUTED_VALUE"""),"electrical compliance certificate licensed")</f>
        <v>electrical compliance certificate licensed</v>
      </c>
      <c r="U1210" s="4"/>
      <c r="V1210" s="4"/>
      <c r="W1210" s="4"/>
      <c r="X1210" s="4"/>
      <c r="Y1210" s="4"/>
      <c r="Z1210" s="4"/>
    </row>
    <row r="1211" ht="15.75" customHeight="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 t="str">
        <f>IFERROR(__xludf.DUMMYFUNCTION("""COMPUTED_VALUE"""),"electrical compliance certificate local")</f>
        <v>electrical compliance certificate local</v>
      </c>
      <c r="U1211" s="4"/>
      <c r="V1211" s="4"/>
      <c r="W1211" s="4"/>
      <c r="X1211" s="4"/>
      <c r="Y1211" s="4"/>
      <c r="Z1211" s="4"/>
    </row>
    <row r="1212" ht="15.75" customHeight="1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 t="str">
        <f>IFERROR(__xludf.DUMMYFUNCTION("""COMPUTED_VALUE"""),"electrical compliance certificate near me")</f>
        <v>electrical compliance certificate near me</v>
      </c>
      <c r="U1212" s="4"/>
      <c r="V1212" s="4"/>
      <c r="W1212" s="4"/>
      <c r="X1212" s="4"/>
      <c r="Y1212" s="4"/>
      <c r="Z1212" s="4"/>
    </row>
    <row r="1213" ht="15.75" customHeight="1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 t="str">
        <f>IFERROR(__xludf.DUMMYFUNCTION("""COMPUTED_VALUE"""),"electrical compliance certificate professional")</f>
        <v>electrical compliance certificate professional</v>
      </c>
      <c r="U1213" s="4"/>
      <c r="V1213" s="4"/>
      <c r="W1213" s="4"/>
      <c r="X1213" s="4"/>
      <c r="Y1213" s="4"/>
      <c r="Z1213" s="4"/>
    </row>
    <row r="1214" ht="15.75" customHeight="1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 t="str">
        <f>IFERROR(__xludf.DUMMYFUNCTION("""COMPUTED_VALUE"""),"electrical compliance certificate qualified")</f>
        <v>electrical compliance certificate qualified</v>
      </c>
      <c r="U1214" s="4"/>
      <c r="V1214" s="4"/>
      <c r="W1214" s="4"/>
      <c r="X1214" s="4"/>
      <c r="Y1214" s="4"/>
      <c r="Z1214" s="4"/>
    </row>
    <row r="1215" ht="15.75" customHeight="1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 t="str">
        <f>IFERROR(__xludf.DUMMYFUNCTION("""COMPUTED_VALUE"""),"electrical compliance certificate quote")</f>
        <v>electrical compliance certificate quote</v>
      </c>
      <c r="U1215" s="4"/>
      <c r="V1215" s="4"/>
      <c r="W1215" s="4"/>
      <c r="X1215" s="4"/>
      <c r="Y1215" s="4"/>
      <c r="Z1215" s="4"/>
    </row>
    <row r="1216" ht="15.75" customHeight="1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 t="str">
        <f>IFERROR(__xludf.DUMMYFUNCTION("""COMPUTED_VALUE"""),"electrical compliance certificate reliable")</f>
        <v>electrical compliance certificate reliable</v>
      </c>
      <c r="U1216" s="4"/>
      <c r="V1216" s="4"/>
      <c r="W1216" s="4"/>
      <c r="X1216" s="4"/>
      <c r="Y1216" s="4"/>
      <c r="Z1216" s="4"/>
    </row>
    <row r="1217" ht="15.75" customHeight="1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 t="str">
        <f>IFERROR(__xludf.DUMMYFUNCTION("""COMPUTED_VALUE"""),"electrical compliance certificate repair")</f>
        <v>electrical compliance certificate repair</v>
      </c>
      <c r="U1217" s="4"/>
      <c r="V1217" s="4"/>
      <c r="W1217" s="4"/>
      <c r="X1217" s="4"/>
      <c r="Y1217" s="4"/>
      <c r="Z1217" s="4"/>
    </row>
    <row r="1218" ht="15.75" customHeight="1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 t="str">
        <f>IFERROR(__xludf.DUMMYFUNCTION("""COMPUTED_VALUE"""),"electrical compliance certificate same day")</f>
        <v>electrical compliance certificate same day</v>
      </c>
      <c r="U1218" s="4"/>
      <c r="V1218" s="4"/>
      <c r="W1218" s="4"/>
      <c r="X1218" s="4"/>
      <c r="Y1218" s="4"/>
      <c r="Z1218" s="4"/>
    </row>
    <row r="1219" ht="15.75" customHeight="1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 t="str">
        <f>IFERROR(__xludf.DUMMYFUNCTION("""COMPUTED_VALUE"""),"electrical compliance certificate service")</f>
        <v>electrical compliance certificate service</v>
      </c>
      <c r="U1219" s="4"/>
      <c r="V1219" s="4"/>
      <c r="W1219" s="4"/>
      <c r="X1219" s="4"/>
      <c r="Y1219" s="4"/>
      <c r="Z1219" s="4"/>
    </row>
    <row r="1220" ht="15.75" customHeight="1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 t="str">
        <f>IFERROR(__xludf.DUMMYFUNCTION("""COMPUTED_VALUE"""),"electrical contractor")</f>
        <v>electrical contractor</v>
      </c>
      <c r="U1220" s="4"/>
      <c r="V1220" s="4"/>
      <c r="W1220" s="4"/>
      <c r="X1220" s="4"/>
      <c r="Y1220" s="4"/>
      <c r="Z1220" s="4"/>
    </row>
    <row r="1221" ht="15.75" customHeight="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 t="str">
        <f>IFERROR(__xludf.DUMMYFUNCTION("""COMPUTED_VALUE"""),"electrical contractor affordable")</f>
        <v>electrical contractor affordable</v>
      </c>
      <c r="U1221" s="4"/>
      <c r="V1221" s="4"/>
      <c r="W1221" s="4"/>
      <c r="X1221" s="4"/>
      <c r="Y1221" s="4"/>
      <c r="Z1221" s="4"/>
    </row>
    <row r="1222" ht="15.75" customHeight="1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 t="str">
        <f>IFERROR(__xludf.DUMMYFUNCTION("""COMPUTED_VALUE"""),"electrical contractor call out")</f>
        <v>electrical contractor call out</v>
      </c>
      <c r="U1222" s="4"/>
      <c r="V1222" s="4"/>
      <c r="W1222" s="4"/>
      <c r="X1222" s="4"/>
      <c r="Y1222" s="4"/>
      <c r="Z1222" s="4"/>
    </row>
    <row r="1223" ht="15.75" customHeight="1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 t="str">
        <f>IFERROR(__xludf.DUMMYFUNCTION("""COMPUTED_VALUE"""),"electrical contractor cape town")</f>
        <v>electrical contractor cape town</v>
      </c>
      <c r="U1223" s="4"/>
      <c r="V1223" s="4"/>
      <c r="W1223" s="4"/>
      <c r="X1223" s="4"/>
      <c r="Y1223" s="4"/>
      <c r="Z1223" s="4"/>
    </row>
    <row r="1224" ht="15.75" customHeight="1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 t="str">
        <f>IFERROR(__xludf.DUMMYFUNCTION("""COMPUTED_VALUE"""),"electrical contractor COC")</f>
        <v>electrical contractor COC</v>
      </c>
      <c r="U1224" s="4"/>
      <c r="V1224" s="4"/>
      <c r="W1224" s="4"/>
      <c r="X1224" s="4"/>
      <c r="Y1224" s="4"/>
      <c r="Z1224" s="4"/>
    </row>
    <row r="1225" ht="15.75" customHeight="1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 t="str">
        <f>IFERROR(__xludf.DUMMYFUNCTION("""COMPUTED_VALUE"""),"electrical contractor company")</f>
        <v>electrical contractor company</v>
      </c>
      <c r="U1225" s="4"/>
      <c r="V1225" s="4"/>
      <c r="W1225" s="4"/>
      <c r="X1225" s="4"/>
      <c r="Y1225" s="4"/>
      <c r="Z1225" s="4"/>
    </row>
    <row r="1226" ht="15.75" customHeight="1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 t="str">
        <f>IFERROR(__xludf.DUMMYFUNCTION("""COMPUTED_VALUE"""),"electrical contractor cost")</f>
        <v>electrical contractor cost</v>
      </c>
      <c r="U1226" s="4"/>
      <c r="V1226" s="4"/>
      <c r="W1226" s="4"/>
      <c r="X1226" s="4"/>
      <c r="Y1226" s="4"/>
      <c r="Z1226" s="4"/>
    </row>
    <row r="1227" ht="15.75" customHeight="1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 t="str">
        <f>IFERROR(__xludf.DUMMYFUNCTION("""COMPUTED_VALUE"""),"electrical contractor emergency")</f>
        <v>electrical contractor emergency</v>
      </c>
      <c r="U1227" s="4"/>
      <c r="V1227" s="4"/>
      <c r="W1227" s="4"/>
      <c r="X1227" s="4"/>
      <c r="Y1227" s="4"/>
      <c r="Z1227" s="4"/>
    </row>
    <row r="1228" ht="15.75" customHeight="1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 t="str">
        <f>IFERROR(__xludf.DUMMYFUNCTION("""COMPUTED_VALUE"""),"electrical contractor inspection")</f>
        <v>electrical contractor inspection</v>
      </c>
      <c r="U1228" s="4"/>
      <c r="V1228" s="4"/>
      <c r="W1228" s="4"/>
      <c r="X1228" s="4"/>
      <c r="Y1228" s="4"/>
      <c r="Z1228" s="4"/>
    </row>
    <row r="1229" ht="15.75" customHeight="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 t="str">
        <f>IFERROR(__xludf.DUMMYFUNCTION("""COMPUTED_VALUE"""),"electrical contractor installation")</f>
        <v>electrical contractor installation</v>
      </c>
      <c r="U1229" s="4"/>
      <c r="V1229" s="4"/>
      <c r="W1229" s="4"/>
      <c r="X1229" s="4"/>
      <c r="Y1229" s="4"/>
      <c r="Z1229" s="4"/>
    </row>
    <row r="1230" ht="15.75" customHeight="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 t="str">
        <f>IFERROR(__xludf.DUMMYFUNCTION("""COMPUTED_VALUE"""),"electrical contractor licensed")</f>
        <v>electrical contractor licensed</v>
      </c>
      <c r="U1230" s="4"/>
      <c r="V1230" s="4"/>
      <c r="W1230" s="4"/>
      <c r="X1230" s="4"/>
      <c r="Y1230" s="4"/>
      <c r="Z1230" s="4"/>
    </row>
    <row r="1231" ht="15.75" customHeight="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 t="str">
        <f>IFERROR(__xludf.DUMMYFUNCTION("""COMPUTED_VALUE"""),"electrical contractor local")</f>
        <v>electrical contractor local</v>
      </c>
      <c r="U1231" s="4"/>
      <c r="V1231" s="4"/>
      <c r="W1231" s="4"/>
      <c r="X1231" s="4"/>
      <c r="Y1231" s="4"/>
      <c r="Z1231" s="4"/>
    </row>
    <row r="1232" ht="15.75" customHeight="1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 t="str">
        <f>IFERROR(__xludf.DUMMYFUNCTION("""COMPUTED_VALUE"""),"electrical contractor near me")</f>
        <v>electrical contractor near me</v>
      </c>
      <c r="U1232" s="4"/>
      <c r="V1232" s="4"/>
      <c r="W1232" s="4"/>
      <c r="X1232" s="4"/>
      <c r="Y1232" s="4"/>
      <c r="Z1232" s="4"/>
    </row>
    <row r="1233" ht="15.75" customHeight="1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 t="str">
        <f>IFERROR(__xludf.DUMMYFUNCTION("""COMPUTED_VALUE"""),"electrical contractor professional")</f>
        <v>electrical contractor professional</v>
      </c>
      <c r="U1233" s="4"/>
      <c r="V1233" s="4"/>
      <c r="W1233" s="4"/>
      <c r="X1233" s="4"/>
      <c r="Y1233" s="4"/>
      <c r="Z1233" s="4"/>
    </row>
    <row r="1234" ht="15.75" customHeight="1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 t="str">
        <f>IFERROR(__xludf.DUMMYFUNCTION("""COMPUTED_VALUE"""),"electrical contractor qualified")</f>
        <v>electrical contractor qualified</v>
      </c>
      <c r="U1234" s="4"/>
      <c r="V1234" s="4"/>
      <c r="W1234" s="4"/>
      <c r="X1234" s="4"/>
      <c r="Y1234" s="4"/>
      <c r="Z1234" s="4"/>
    </row>
    <row r="1235" ht="15.75" customHeight="1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 t="str">
        <f>IFERROR(__xludf.DUMMYFUNCTION("""COMPUTED_VALUE"""),"electrical contractor quote")</f>
        <v>electrical contractor quote</v>
      </c>
      <c r="U1235" s="4"/>
      <c r="V1235" s="4"/>
      <c r="W1235" s="4"/>
      <c r="X1235" s="4"/>
      <c r="Y1235" s="4"/>
      <c r="Z1235" s="4"/>
    </row>
    <row r="1236" ht="15.75" customHeight="1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 t="str">
        <f>IFERROR(__xludf.DUMMYFUNCTION("""COMPUTED_VALUE"""),"electrical contractor reliable")</f>
        <v>electrical contractor reliable</v>
      </c>
      <c r="U1236" s="4"/>
      <c r="V1236" s="4"/>
      <c r="W1236" s="4"/>
      <c r="X1236" s="4"/>
      <c r="Y1236" s="4"/>
      <c r="Z1236" s="4"/>
    </row>
    <row r="1237" ht="15.75" customHeight="1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 t="str">
        <f>IFERROR(__xludf.DUMMYFUNCTION("""COMPUTED_VALUE"""),"electrical contractor repair")</f>
        <v>electrical contractor repair</v>
      </c>
      <c r="U1237" s="4"/>
      <c r="V1237" s="4"/>
      <c r="W1237" s="4"/>
      <c r="X1237" s="4"/>
      <c r="Y1237" s="4"/>
      <c r="Z1237" s="4"/>
    </row>
    <row r="1238" ht="15.75" customHeight="1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 t="str">
        <f>IFERROR(__xludf.DUMMYFUNCTION("""COMPUTED_VALUE"""),"electrical contractor same day")</f>
        <v>electrical contractor same day</v>
      </c>
      <c r="U1238" s="4"/>
      <c r="V1238" s="4"/>
      <c r="W1238" s="4"/>
      <c r="X1238" s="4"/>
      <c r="Y1238" s="4"/>
      <c r="Z1238" s="4"/>
    </row>
    <row r="1239" ht="15.75" customHeight="1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 t="str">
        <f>IFERROR(__xludf.DUMMYFUNCTION("""COMPUTED_VALUE"""),"electrical contractor service")</f>
        <v>electrical contractor service</v>
      </c>
      <c r="U1239" s="4"/>
      <c r="V1239" s="4"/>
      <c r="W1239" s="4"/>
      <c r="X1239" s="4"/>
      <c r="Y1239" s="4"/>
      <c r="Z1239" s="4"/>
    </row>
    <row r="1240" ht="15.75" customHeight="1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 t="str">
        <f>IFERROR(__xludf.DUMMYFUNCTION("""COMPUTED_VALUE"""),"electrical installation")</f>
        <v>electrical installation</v>
      </c>
      <c r="U1240" s="4"/>
      <c r="V1240" s="4"/>
      <c r="W1240" s="4"/>
      <c r="X1240" s="4"/>
      <c r="Y1240" s="4"/>
      <c r="Z1240" s="4"/>
    </row>
    <row r="1241" ht="15.75" customHeight="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 t="str">
        <f>IFERROR(__xludf.DUMMYFUNCTION("""COMPUTED_VALUE"""),"electrical installation affordable")</f>
        <v>electrical installation affordable</v>
      </c>
      <c r="U1241" s="4"/>
      <c r="V1241" s="4"/>
      <c r="W1241" s="4"/>
      <c r="X1241" s="4"/>
      <c r="Y1241" s="4"/>
      <c r="Z1241" s="4"/>
    </row>
    <row r="1242" ht="15.75" customHeight="1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 t="str">
        <f>IFERROR(__xludf.DUMMYFUNCTION("""COMPUTED_VALUE"""),"electrical installation call out")</f>
        <v>electrical installation call out</v>
      </c>
      <c r="U1242" s="4"/>
      <c r="V1242" s="4"/>
      <c r="W1242" s="4"/>
      <c r="X1242" s="4"/>
      <c r="Y1242" s="4"/>
      <c r="Z1242" s="4"/>
    </row>
    <row r="1243" ht="15.75" customHeight="1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 t="str">
        <f>IFERROR(__xludf.DUMMYFUNCTION("""COMPUTED_VALUE"""),"electrical installation cape town")</f>
        <v>electrical installation cape town</v>
      </c>
      <c r="U1243" s="4"/>
      <c r="V1243" s="4"/>
      <c r="W1243" s="4"/>
      <c r="X1243" s="4"/>
      <c r="Y1243" s="4"/>
      <c r="Z1243" s="4"/>
    </row>
    <row r="1244" ht="15.75" customHeight="1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 t="str">
        <f>IFERROR(__xludf.DUMMYFUNCTION("""COMPUTED_VALUE"""),"electrical installation COC")</f>
        <v>electrical installation COC</v>
      </c>
      <c r="U1244" s="4"/>
      <c r="V1244" s="4"/>
      <c r="W1244" s="4"/>
      <c r="X1244" s="4"/>
      <c r="Y1244" s="4"/>
      <c r="Z1244" s="4"/>
    </row>
    <row r="1245" ht="15.75" customHeight="1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 t="str">
        <f>IFERROR(__xludf.DUMMYFUNCTION("""COMPUTED_VALUE"""),"electrical installation company")</f>
        <v>electrical installation company</v>
      </c>
      <c r="U1245" s="4"/>
      <c r="V1245" s="4"/>
      <c r="W1245" s="4"/>
      <c r="X1245" s="4"/>
      <c r="Y1245" s="4"/>
      <c r="Z1245" s="4"/>
    </row>
    <row r="1246" ht="15.75" customHeight="1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 t="str">
        <f>IFERROR(__xludf.DUMMYFUNCTION("""COMPUTED_VALUE"""),"electrical installation contractor")</f>
        <v>electrical installation contractor</v>
      </c>
      <c r="U1246" s="4"/>
      <c r="V1246" s="4"/>
      <c r="W1246" s="4"/>
      <c r="X1246" s="4"/>
      <c r="Y1246" s="4"/>
      <c r="Z1246" s="4"/>
    </row>
    <row r="1247" ht="15.75" customHeight="1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 t="str">
        <f>IFERROR(__xludf.DUMMYFUNCTION("""COMPUTED_VALUE"""),"electrical installation cost")</f>
        <v>electrical installation cost</v>
      </c>
      <c r="U1247" s="4"/>
      <c r="V1247" s="4"/>
      <c r="W1247" s="4"/>
      <c r="X1247" s="4"/>
      <c r="Y1247" s="4"/>
      <c r="Z1247" s="4"/>
    </row>
    <row r="1248" ht="15.75" customHeight="1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 t="str">
        <f>IFERROR(__xludf.DUMMYFUNCTION("""COMPUTED_VALUE"""),"electrical installation emergency")</f>
        <v>electrical installation emergency</v>
      </c>
      <c r="U1248" s="4"/>
      <c r="V1248" s="4"/>
      <c r="W1248" s="4"/>
      <c r="X1248" s="4"/>
      <c r="Y1248" s="4"/>
      <c r="Z1248" s="4"/>
    </row>
    <row r="1249" ht="15.75" customHeight="1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 t="str">
        <f>IFERROR(__xludf.DUMMYFUNCTION("""COMPUTED_VALUE"""),"electrical installation inspection")</f>
        <v>electrical installation inspection</v>
      </c>
      <c r="U1249" s="4"/>
      <c r="V1249" s="4"/>
      <c r="W1249" s="4"/>
      <c r="X1249" s="4"/>
      <c r="Y1249" s="4"/>
      <c r="Z1249" s="4"/>
    </row>
    <row r="1250" ht="15.75" customHeight="1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 t="str">
        <f>IFERROR(__xludf.DUMMYFUNCTION("""COMPUTED_VALUE"""),"electrical installation licensed")</f>
        <v>electrical installation licensed</v>
      </c>
      <c r="U1250" s="4"/>
      <c r="V1250" s="4"/>
      <c r="W1250" s="4"/>
      <c r="X1250" s="4"/>
      <c r="Y1250" s="4"/>
      <c r="Z1250" s="4"/>
    </row>
    <row r="1251" ht="15.75" customHeight="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 t="str">
        <f>IFERROR(__xludf.DUMMYFUNCTION("""COMPUTED_VALUE"""),"electrical installation local")</f>
        <v>electrical installation local</v>
      </c>
      <c r="U1251" s="4"/>
      <c r="V1251" s="4"/>
      <c r="W1251" s="4"/>
      <c r="X1251" s="4"/>
      <c r="Y1251" s="4"/>
      <c r="Z1251" s="4"/>
    </row>
    <row r="1252" ht="15.75" customHeight="1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 t="str">
        <f>IFERROR(__xludf.DUMMYFUNCTION("""COMPUTED_VALUE"""),"electrical installation near me")</f>
        <v>electrical installation near me</v>
      </c>
      <c r="U1252" s="4"/>
      <c r="V1252" s="4"/>
      <c r="W1252" s="4"/>
      <c r="X1252" s="4"/>
      <c r="Y1252" s="4"/>
      <c r="Z1252" s="4"/>
    </row>
    <row r="1253" ht="15.75" customHeight="1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 t="str">
        <f>IFERROR(__xludf.DUMMYFUNCTION("""COMPUTED_VALUE"""),"electrical installation professional")</f>
        <v>electrical installation professional</v>
      </c>
      <c r="U1253" s="4"/>
      <c r="V1253" s="4"/>
      <c r="W1253" s="4"/>
      <c r="X1253" s="4"/>
      <c r="Y1253" s="4"/>
      <c r="Z1253" s="4"/>
    </row>
    <row r="1254" ht="15.75" customHeight="1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 t="str">
        <f>IFERROR(__xludf.DUMMYFUNCTION("""COMPUTED_VALUE"""),"electrical installation qualified")</f>
        <v>electrical installation qualified</v>
      </c>
      <c r="U1254" s="4"/>
      <c r="V1254" s="4"/>
      <c r="W1254" s="4"/>
      <c r="X1254" s="4"/>
      <c r="Y1254" s="4"/>
      <c r="Z1254" s="4"/>
    </row>
    <row r="1255" ht="15.75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 t="str">
        <f>IFERROR(__xludf.DUMMYFUNCTION("""COMPUTED_VALUE"""),"electrical installation quote")</f>
        <v>electrical installation quote</v>
      </c>
      <c r="U1255" s="4"/>
      <c r="V1255" s="4"/>
      <c r="W1255" s="4"/>
      <c r="X1255" s="4"/>
      <c r="Y1255" s="4"/>
      <c r="Z1255" s="4"/>
    </row>
    <row r="1256" ht="15.75" customHeight="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 t="str">
        <f>IFERROR(__xludf.DUMMYFUNCTION("""COMPUTED_VALUE"""),"electrical installation reliable")</f>
        <v>electrical installation reliable</v>
      </c>
      <c r="U1256" s="4"/>
      <c r="V1256" s="4"/>
      <c r="W1256" s="4"/>
      <c r="X1256" s="4"/>
      <c r="Y1256" s="4"/>
      <c r="Z1256" s="4"/>
    </row>
    <row r="1257" ht="15.75" customHeight="1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 t="str">
        <f>IFERROR(__xludf.DUMMYFUNCTION("""COMPUTED_VALUE"""),"electrical installation repair")</f>
        <v>electrical installation repair</v>
      </c>
      <c r="U1257" s="4"/>
      <c r="V1257" s="4"/>
      <c r="W1257" s="4"/>
      <c r="X1257" s="4"/>
      <c r="Y1257" s="4"/>
      <c r="Z1257" s="4"/>
    </row>
    <row r="1258" ht="15.75" customHeight="1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 t="str">
        <f>IFERROR(__xludf.DUMMYFUNCTION("""COMPUTED_VALUE"""),"electrical installation same day")</f>
        <v>electrical installation same day</v>
      </c>
      <c r="U1258" s="4"/>
      <c r="V1258" s="4"/>
      <c r="W1258" s="4"/>
      <c r="X1258" s="4"/>
      <c r="Y1258" s="4"/>
      <c r="Z1258" s="4"/>
    </row>
    <row r="1259" ht="15.75" customHeight="1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 t="str">
        <f>IFERROR(__xludf.DUMMYFUNCTION("""COMPUTED_VALUE"""),"electrical installation service")</f>
        <v>electrical installation service</v>
      </c>
      <c r="U1259" s="4"/>
      <c r="V1259" s="4"/>
      <c r="W1259" s="4"/>
      <c r="X1259" s="4"/>
      <c r="Y1259" s="4"/>
      <c r="Z1259" s="4"/>
    </row>
    <row r="1260" ht="15.75" customHeight="1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 t="str">
        <f>IFERROR(__xludf.DUMMYFUNCTION("""COMPUTED_VALUE"""),"electrical maintenance affordable")</f>
        <v>electrical maintenance affordable</v>
      </c>
      <c r="U1260" s="4"/>
      <c r="V1260" s="4"/>
      <c r="W1260" s="4"/>
      <c r="X1260" s="4"/>
      <c r="Y1260" s="4"/>
      <c r="Z1260" s="4"/>
    </row>
    <row r="1261" ht="15.75" customHeight="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 t="str">
        <f>IFERROR(__xludf.DUMMYFUNCTION("""COMPUTED_VALUE"""),"electrical maintenance call out")</f>
        <v>electrical maintenance call out</v>
      </c>
      <c r="U1261" s="4"/>
      <c r="V1261" s="4"/>
      <c r="W1261" s="4"/>
      <c r="X1261" s="4"/>
      <c r="Y1261" s="4"/>
      <c r="Z1261" s="4"/>
    </row>
    <row r="1262" ht="15.75" customHeight="1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 t="str">
        <f>IFERROR(__xludf.DUMMYFUNCTION("""COMPUTED_VALUE"""),"electrical maintenance cape town")</f>
        <v>electrical maintenance cape town</v>
      </c>
      <c r="U1262" s="4"/>
      <c r="V1262" s="4"/>
      <c r="W1262" s="4"/>
      <c r="X1262" s="4"/>
      <c r="Y1262" s="4"/>
      <c r="Z1262" s="4"/>
    </row>
    <row r="1263" ht="15.75" customHeight="1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 t="str">
        <f>IFERROR(__xludf.DUMMYFUNCTION("""COMPUTED_VALUE"""),"electrical maintenance COC")</f>
        <v>electrical maintenance COC</v>
      </c>
      <c r="U1263" s="4"/>
      <c r="V1263" s="4"/>
      <c r="W1263" s="4"/>
      <c r="X1263" s="4"/>
      <c r="Y1263" s="4"/>
      <c r="Z1263" s="4"/>
    </row>
    <row r="1264" ht="15.75" customHeight="1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 t="str">
        <f>IFERROR(__xludf.DUMMYFUNCTION("""COMPUTED_VALUE"""),"electrical maintenance company")</f>
        <v>electrical maintenance company</v>
      </c>
      <c r="U1264" s="4"/>
      <c r="V1264" s="4"/>
      <c r="W1264" s="4"/>
      <c r="X1264" s="4"/>
      <c r="Y1264" s="4"/>
      <c r="Z1264" s="4"/>
    </row>
    <row r="1265" ht="15.75" customHeight="1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 t="str">
        <f>IFERROR(__xludf.DUMMYFUNCTION("""COMPUTED_VALUE"""),"electrical maintenance contractor")</f>
        <v>electrical maintenance contractor</v>
      </c>
      <c r="U1265" s="4"/>
      <c r="V1265" s="4"/>
      <c r="W1265" s="4"/>
      <c r="X1265" s="4"/>
      <c r="Y1265" s="4"/>
      <c r="Z1265" s="4"/>
    </row>
    <row r="1266" ht="15.75" customHeight="1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 t="str">
        <f>IFERROR(__xludf.DUMMYFUNCTION("""COMPUTED_VALUE"""),"electrical maintenance cost")</f>
        <v>electrical maintenance cost</v>
      </c>
      <c r="U1266" s="4"/>
      <c r="V1266" s="4"/>
      <c r="W1266" s="4"/>
      <c r="X1266" s="4"/>
      <c r="Y1266" s="4"/>
      <c r="Z1266" s="4"/>
    </row>
    <row r="1267" ht="15.75" customHeight="1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 t="str">
        <f>IFERROR(__xludf.DUMMYFUNCTION("""COMPUTED_VALUE"""),"electrical maintenance emergency")</f>
        <v>electrical maintenance emergency</v>
      </c>
      <c r="U1267" s="4"/>
      <c r="V1267" s="4"/>
      <c r="W1267" s="4"/>
      <c r="X1267" s="4"/>
      <c r="Y1267" s="4"/>
      <c r="Z1267" s="4"/>
    </row>
    <row r="1268" ht="15.75" customHeight="1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 t="str">
        <f>IFERROR(__xludf.DUMMYFUNCTION("""COMPUTED_VALUE"""),"electrical maintenance inspection")</f>
        <v>electrical maintenance inspection</v>
      </c>
      <c r="U1268" s="4"/>
      <c r="V1268" s="4"/>
      <c r="W1268" s="4"/>
      <c r="X1268" s="4"/>
      <c r="Y1268" s="4"/>
      <c r="Z1268" s="4"/>
    </row>
    <row r="1269" ht="15.75" customHeight="1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 t="str">
        <f>IFERROR(__xludf.DUMMYFUNCTION("""COMPUTED_VALUE"""),"electrical maintenance installation")</f>
        <v>electrical maintenance installation</v>
      </c>
      <c r="U1269" s="4"/>
      <c r="V1269" s="4"/>
      <c r="W1269" s="4"/>
      <c r="X1269" s="4"/>
      <c r="Y1269" s="4"/>
      <c r="Z1269" s="4"/>
    </row>
    <row r="1270" ht="15.75" customHeight="1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 t="str">
        <f>IFERROR(__xludf.DUMMYFUNCTION("""COMPUTED_VALUE"""),"electrical maintenance licensed")</f>
        <v>electrical maintenance licensed</v>
      </c>
      <c r="U1270" s="4"/>
      <c r="V1270" s="4"/>
      <c r="W1270" s="4"/>
      <c r="X1270" s="4"/>
      <c r="Y1270" s="4"/>
      <c r="Z1270" s="4"/>
    </row>
    <row r="1271" ht="15.75" customHeight="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 t="str">
        <f>IFERROR(__xludf.DUMMYFUNCTION("""COMPUTED_VALUE"""),"electrical maintenance local")</f>
        <v>electrical maintenance local</v>
      </c>
      <c r="U1271" s="4"/>
      <c r="V1271" s="4"/>
      <c r="W1271" s="4"/>
      <c r="X1271" s="4"/>
      <c r="Y1271" s="4"/>
      <c r="Z1271" s="4"/>
    </row>
    <row r="1272" ht="15.75" customHeight="1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 t="str">
        <f>IFERROR(__xludf.DUMMYFUNCTION("""COMPUTED_VALUE"""),"electrical maintenance near me")</f>
        <v>electrical maintenance near me</v>
      </c>
      <c r="U1272" s="4"/>
      <c r="V1272" s="4"/>
      <c r="W1272" s="4"/>
      <c r="X1272" s="4"/>
      <c r="Y1272" s="4"/>
      <c r="Z1272" s="4"/>
    </row>
    <row r="1273" ht="15.75" customHeight="1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 t="str">
        <f>IFERROR(__xludf.DUMMYFUNCTION("""COMPUTED_VALUE"""),"electrical maintenance professional")</f>
        <v>electrical maintenance professional</v>
      </c>
      <c r="U1273" s="4"/>
      <c r="V1273" s="4"/>
      <c r="W1273" s="4"/>
      <c r="X1273" s="4"/>
      <c r="Y1273" s="4"/>
      <c r="Z1273" s="4"/>
    </row>
    <row r="1274" ht="15.75" customHeight="1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 t="str">
        <f>IFERROR(__xludf.DUMMYFUNCTION("""COMPUTED_VALUE"""),"electrical maintenance qualified")</f>
        <v>electrical maintenance qualified</v>
      </c>
      <c r="U1274" s="4"/>
      <c r="V1274" s="4"/>
      <c r="W1274" s="4"/>
      <c r="X1274" s="4"/>
      <c r="Y1274" s="4"/>
      <c r="Z1274" s="4"/>
    </row>
    <row r="1275" ht="15.75" customHeight="1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 t="str">
        <f>IFERROR(__xludf.DUMMYFUNCTION("""COMPUTED_VALUE"""),"electrical maintenance quote")</f>
        <v>electrical maintenance quote</v>
      </c>
      <c r="U1275" s="4"/>
      <c r="V1275" s="4"/>
      <c r="W1275" s="4"/>
      <c r="X1275" s="4"/>
      <c r="Y1275" s="4"/>
      <c r="Z1275" s="4"/>
    </row>
    <row r="1276" ht="15.75" customHeight="1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 t="str">
        <f>IFERROR(__xludf.DUMMYFUNCTION("""COMPUTED_VALUE"""),"electrical maintenance reliable")</f>
        <v>electrical maintenance reliable</v>
      </c>
      <c r="U1276" s="4"/>
      <c r="V1276" s="4"/>
      <c r="W1276" s="4"/>
      <c r="X1276" s="4"/>
      <c r="Y1276" s="4"/>
      <c r="Z1276" s="4"/>
    </row>
    <row r="1277" ht="15.75" customHeight="1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 t="str">
        <f>IFERROR(__xludf.DUMMYFUNCTION("""COMPUTED_VALUE"""),"electrical maintenance repair")</f>
        <v>electrical maintenance repair</v>
      </c>
      <c r="U1277" s="4"/>
      <c r="V1277" s="4"/>
      <c r="W1277" s="4"/>
      <c r="X1277" s="4"/>
      <c r="Y1277" s="4"/>
      <c r="Z1277" s="4"/>
    </row>
    <row r="1278" ht="15.75" customHeight="1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 t="str">
        <f>IFERROR(__xludf.DUMMYFUNCTION("""COMPUTED_VALUE"""),"electrical maintenance same day")</f>
        <v>electrical maintenance same day</v>
      </c>
      <c r="U1278" s="4"/>
      <c r="V1278" s="4"/>
      <c r="W1278" s="4"/>
      <c r="X1278" s="4"/>
      <c r="Y1278" s="4"/>
      <c r="Z1278" s="4"/>
    </row>
    <row r="1279" ht="15.75" customHeight="1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 t="str">
        <f>IFERROR(__xludf.DUMMYFUNCTION("""COMPUTED_VALUE"""),"electrical maintenance service")</f>
        <v>electrical maintenance service</v>
      </c>
      <c r="U1279" s="4"/>
      <c r="V1279" s="4"/>
      <c r="W1279" s="4"/>
      <c r="X1279" s="4"/>
      <c r="Y1279" s="4"/>
      <c r="Z1279" s="4"/>
    </row>
    <row r="1280" ht="15.75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 t="str">
        <f>IFERROR(__xludf.DUMMYFUNCTION("""COMPUTED_VALUE"""),"electrical repairs")</f>
        <v>electrical repairs</v>
      </c>
      <c r="U1280" s="4"/>
      <c r="V1280" s="4"/>
      <c r="W1280" s="4"/>
      <c r="X1280" s="4"/>
      <c r="Y1280" s="4"/>
      <c r="Z1280" s="4"/>
    </row>
    <row r="1281" ht="15.75" customHeight="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 t="str">
        <f>IFERROR(__xludf.DUMMYFUNCTION("""COMPUTED_VALUE"""),"electrical repairs affordable")</f>
        <v>electrical repairs affordable</v>
      </c>
      <c r="U1281" s="4"/>
      <c r="V1281" s="4"/>
      <c r="W1281" s="4"/>
      <c r="X1281" s="4"/>
      <c r="Y1281" s="4"/>
      <c r="Z1281" s="4"/>
    </row>
    <row r="1282" ht="15.75" customHeight="1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 t="str">
        <f>IFERROR(__xludf.DUMMYFUNCTION("""COMPUTED_VALUE"""),"electrical repairs apartment")</f>
        <v>electrical repairs apartment</v>
      </c>
      <c r="U1282" s="4"/>
      <c r="V1282" s="4"/>
      <c r="W1282" s="4"/>
      <c r="X1282" s="4"/>
      <c r="Y1282" s="4"/>
      <c r="Z1282" s="4"/>
    </row>
    <row r="1283" ht="15.75" customHeight="1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 t="str">
        <f>IFERROR(__xludf.DUMMYFUNCTION("""COMPUTED_VALUE"""),"electrical repairs body corporate")</f>
        <v>electrical repairs body corporate</v>
      </c>
      <c r="U1283" s="4"/>
      <c r="V1283" s="4"/>
      <c r="W1283" s="4"/>
      <c r="X1283" s="4"/>
      <c r="Y1283" s="4"/>
      <c r="Z1283" s="4"/>
    </row>
    <row r="1284" ht="15.75" customHeight="1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 t="str">
        <f>IFERROR(__xludf.DUMMYFUNCTION("""COMPUTED_VALUE"""),"electrical repairs building")</f>
        <v>electrical repairs building</v>
      </c>
      <c r="U1284" s="4"/>
      <c r="V1284" s="4"/>
      <c r="W1284" s="4"/>
      <c r="X1284" s="4"/>
      <c r="Y1284" s="4"/>
      <c r="Z1284" s="4"/>
    </row>
    <row r="1285" ht="15.75" customHeight="1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 t="str">
        <f>IFERROR(__xludf.DUMMYFUNCTION("""COMPUTED_VALUE"""),"electrical repairs business")</f>
        <v>electrical repairs business</v>
      </c>
      <c r="U1285" s="4"/>
      <c r="V1285" s="4"/>
      <c r="W1285" s="4"/>
      <c r="X1285" s="4"/>
      <c r="Y1285" s="4"/>
      <c r="Z1285" s="4"/>
    </row>
    <row r="1286" ht="15.75" customHeight="1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 t="str">
        <f>IFERROR(__xludf.DUMMYFUNCTION("""COMPUTED_VALUE"""),"electrical repairs call out")</f>
        <v>electrical repairs call out</v>
      </c>
      <c r="U1286" s="4"/>
      <c r="V1286" s="4"/>
      <c r="W1286" s="4"/>
      <c r="X1286" s="4"/>
      <c r="Y1286" s="4"/>
      <c r="Z1286" s="4"/>
    </row>
    <row r="1287" ht="15.75" customHeight="1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 t="str">
        <f>IFERROR(__xludf.DUMMYFUNCTION("""COMPUTED_VALUE"""),"electrical repairs cape town")</f>
        <v>electrical repairs cape town</v>
      </c>
      <c r="U1287" s="4"/>
      <c r="V1287" s="4"/>
      <c r="W1287" s="4"/>
      <c r="X1287" s="4"/>
      <c r="Y1287" s="4"/>
      <c r="Z1287" s="4"/>
    </row>
    <row r="1288" ht="15.75" customHeight="1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 t="str">
        <f>IFERROR(__xludf.DUMMYFUNCTION("""COMPUTED_VALUE"""),"electrical repairs COC")</f>
        <v>electrical repairs COC</v>
      </c>
      <c r="U1288" s="4"/>
      <c r="V1288" s="4"/>
      <c r="W1288" s="4"/>
      <c r="X1288" s="4"/>
      <c r="Y1288" s="4"/>
      <c r="Z1288" s="4"/>
    </row>
    <row r="1289" ht="15.75" customHeight="1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 t="str">
        <f>IFERROR(__xludf.DUMMYFUNCTION("""COMPUTED_VALUE"""),"electrical repairs commercial property")</f>
        <v>electrical repairs commercial property</v>
      </c>
      <c r="U1289" s="4"/>
      <c r="V1289" s="4"/>
      <c r="W1289" s="4"/>
      <c r="X1289" s="4"/>
      <c r="Y1289" s="4"/>
      <c r="Z1289" s="4"/>
    </row>
    <row r="1290" ht="15.75" customHeight="1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 t="str">
        <f>IFERROR(__xludf.DUMMYFUNCTION("""COMPUTED_VALUE"""),"electrical repairs company")</f>
        <v>electrical repairs company</v>
      </c>
      <c r="U1290" s="4"/>
      <c r="V1290" s="4"/>
      <c r="W1290" s="4"/>
      <c r="X1290" s="4"/>
      <c r="Y1290" s="4"/>
      <c r="Z1290" s="4"/>
    </row>
    <row r="1291" ht="15.75" customHeight="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 t="str">
        <f>IFERROR(__xludf.DUMMYFUNCTION("""COMPUTED_VALUE"""),"electrical repairs contractor")</f>
        <v>electrical repairs contractor</v>
      </c>
      <c r="U1291" s="4"/>
      <c r="V1291" s="4"/>
      <c r="W1291" s="4"/>
      <c r="X1291" s="4"/>
      <c r="Y1291" s="4"/>
      <c r="Z1291" s="4"/>
    </row>
    <row r="1292" ht="15.75" customHeight="1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 t="str">
        <f>IFERROR(__xludf.DUMMYFUNCTION("""COMPUTED_VALUE"""),"electrical repairs cost")</f>
        <v>electrical repairs cost</v>
      </c>
      <c r="U1292" s="4"/>
      <c r="V1292" s="4"/>
      <c r="W1292" s="4"/>
      <c r="X1292" s="4"/>
      <c r="Y1292" s="4"/>
      <c r="Z1292" s="4"/>
    </row>
    <row r="1293" ht="15.75" customHeight="1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 t="str">
        <f>IFERROR(__xludf.DUMMYFUNCTION("""COMPUTED_VALUE"""),"electrical repairs emergency")</f>
        <v>electrical repairs emergency</v>
      </c>
      <c r="U1293" s="4"/>
      <c r="V1293" s="4"/>
      <c r="W1293" s="4"/>
      <c r="X1293" s="4"/>
      <c r="Y1293" s="4"/>
      <c r="Z1293" s="4"/>
    </row>
    <row r="1294" ht="15.75" customHeight="1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 t="str">
        <f>IFERROR(__xludf.DUMMYFUNCTION("""COMPUTED_VALUE"""),"electrical repairs estate agent")</f>
        <v>electrical repairs estate agent</v>
      </c>
      <c r="U1294" s="4"/>
      <c r="V1294" s="4"/>
      <c r="W1294" s="4"/>
      <c r="X1294" s="4"/>
      <c r="Y1294" s="4"/>
      <c r="Z1294" s="4"/>
    </row>
    <row r="1295" ht="15.75" customHeight="1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 t="str">
        <f>IFERROR(__xludf.DUMMYFUNCTION("""COMPUTED_VALUE"""),"electrical repairs flat")</f>
        <v>electrical repairs flat</v>
      </c>
      <c r="U1295" s="4"/>
      <c r="V1295" s="4"/>
      <c r="W1295" s="4"/>
      <c r="X1295" s="4"/>
      <c r="Y1295" s="4"/>
      <c r="Z1295" s="4"/>
    </row>
    <row r="1296" ht="15.75" customHeight="1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 t="str">
        <f>IFERROR(__xludf.DUMMYFUNCTION("""COMPUTED_VALUE"""),"electrical repairs guesthouse")</f>
        <v>electrical repairs guesthouse</v>
      </c>
      <c r="U1296" s="4"/>
      <c r="V1296" s="4"/>
      <c r="W1296" s="4"/>
      <c r="X1296" s="4"/>
      <c r="Y1296" s="4"/>
      <c r="Z1296" s="4"/>
    </row>
    <row r="1297" ht="15.75" customHeight="1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 t="str">
        <f>IFERROR(__xludf.DUMMYFUNCTION("""COMPUTED_VALUE"""),"electrical repairs home")</f>
        <v>electrical repairs home</v>
      </c>
      <c r="U1297" s="4"/>
      <c r="V1297" s="4"/>
      <c r="W1297" s="4"/>
      <c r="X1297" s="4"/>
      <c r="Y1297" s="4"/>
      <c r="Z1297" s="4"/>
    </row>
    <row r="1298" ht="15.75" customHeight="1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 t="str">
        <f>IFERROR(__xludf.DUMMYFUNCTION("""COMPUTED_VALUE"""),"electrical repairs hotel")</f>
        <v>electrical repairs hotel</v>
      </c>
      <c r="U1298" s="4"/>
      <c r="V1298" s="4"/>
      <c r="W1298" s="4"/>
      <c r="X1298" s="4"/>
      <c r="Y1298" s="4"/>
      <c r="Z1298" s="4"/>
    </row>
    <row r="1299" ht="15.75" customHeight="1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 t="str">
        <f>IFERROR(__xludf.DUMMYFUNCTION("""COMPUTED_VALUE"""),"electrical repairs house")</f>
        <v>electrical repairs house</v>
      </c>
      <c r="U1299" s="4"/>
      <c r="V1299" s="4"/>
      <c r="W1299" s="4"/>
      <c r="X1299" s="4"/>
      <c r="Y1299" s="4"/>
      <c r="Z1299" s="4"/>
    </row>
    <row r="1300" ht="15.75" customHeight="1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 t="str">
        <f>IFERROR(__xludf.DUMMYFUNCTION("""COMPUTED_VALUE"""),"electrical repairs inspection")</f>
        <v>electrical repairs inspection</v>
      </c>
      <c r="U1300" s="4"/>
      <c r="V1300" s="4"/>
      <c r="W1300" s="4"/>
      <c r="X1300" s="4"/>
      <c r="Y1300" s="4"/>
      <c r="Z1300" s="4"/>
    </row>
    <row r="1301" ht="15.75" customHeight="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 t="str">
        <f>IFERROR(__xludf.DUMMYFUNCTION("""COMPUTED_VALUE"""),"electrical repairs installation")</f>
        <v>electrical repairs installation</v>
      </c>
      <c r="U1301" s="4"/>
      <c r="V1301" s="4"/>
      <c r="W1301" s="4"/>
      <c r="X1301" s="4"/>
      <c r="Y1301" s="4"/>
      <c r="Z1301" s="4"/>
    </row>
    <row r="1302" ht="15.75" customHeight="1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 t="str">
        <f>IFERROR(__xludf.DUMMYFUNCTION("""COMPUTED_VALUE"""),"electrical repairs landlord")</f>
        <v>electrical repairs landlord</v>
      </c>
      <c r="U1302" s="4"/>
      <c r="V1302" s="4"/>
      <c r="W1302" s="4"/>
      <c r="X1302" s="4"/>
      <c r="Y1302" s="4"/>
      <c r="Z1302" s="4"/>
    </row>
    <row r="1303" ht="15.75" customHeight="1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 t="str">
        <f>IFERROR(__xludf.DUMMYFUNCTION("""COMPUTED_VALUE"""),"electrical repairs licensed")</f>
        <v>electrical repairs licensed</v>
      </c>
      <c r="U1303" s="4"/>
      <c r="V1303" s="4"/>
      <c r="W1303" s="4"/>
      <c r="X1303" s="4"/>
      <c r="Y1303" s="4"/>
      <c r="Z1303" s="4"/>
    </row>
    <row r="1304" ht="15.75" customHeight="1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 t="str">
        <f>IFERROR(__xludf.DUMMYFUNCTION("""COMPUTED_VALUE"""),"electrical repairs local")</f>
        <v>electrical repairs local</v>
      </c>
      <c r="U1304" s="4"/>
      <c r="V1304" s="4"/>
      <c r="W1304" s="4"/>
      <c r="X1304" s="4"/>
      <c r="Y1304" s="4"/>
      <c r="Z1304" s="4"/>
    </row>
    <row r="1305" ht="15.75" customHeight="1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 t="str">
        <f>IFERROR(__xludf.DUMMYFUNCTION("""COMPUTED_VALUE"""),"electrical repairs near me")</f>
        <v>electrical repairs near me</v>
      </c>
      <c r="U1305" s="4"/>
      <c r="V1305" s="4"/>
      <c r="W1305" s="4"/>
      <c r="X1305" s="4"/>
      <c r="Y1305" s="4"/>
      <c r="Z1305" s="4"/>
    </row>
    <row r="1306" ht="15.75" customHeight="1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 t="str">
        <f>IFERROR(__xludf.DUMMYFUNCTION("""COMPUTED_VALUE"""),"electrical repairs office")</f>
        <v>electrical repairs office</v>
      </c>
      <c r="U1306" s="4"/>
      <c r="V1306" s="4"/>
      <c r="W1306" s="4"/>
      <c r="X1306" s="4"/>
      <c r="Y1306" s="4"/>
      <c r="Z1306" s="4"/>
    </row>
    <row r="1307" ht="15.75" customHeight="1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 t="str">
        <f>IFERROR(__xludf.DUMMYFUNCTION("""COMPUTED_VALUE"""),"electrical repairs professional")</f>
        <v>electrical repairs professional</v>
      </c>
      <c r="U1307" s="4"/>
      <c r="V1307" s="4"/>
      <c r="W1307" s="4"/>
      <c r="X1307" s="4"/>
      <c r="Y1307" s="4"/>
      <c r="Z1307" s="4"/>
    </row>
    <row r="1308" ht="15.75" customHeight="1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 t="str">
        <f>IFERROR(__xludf.DUMMYFUNCTION("""COMPUTED_VALUE"""),"electrical repairs property manager")</f>
        <v>electrical repairs property manager</v>
      </c>
      <c r="U1308" s="4"/>
      <c r="V1308" s="4"/>
      <c r="W1308" s="4"/>
      <c r="X1308" s="4"/>
      <c r="Y1308" s="4"/>
      <c r="Z1308" s="4"/>
    </row>
    <row r="1309" ht="15.75" customHeight="1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 t="str">
        <f>IFERROR(__xludf.DUMMYFUNCTION("""COMPUTED_VALUE"""),"electrical repairs qualified")</f>
        <v>electrical repairs qualified</v>
      </c>
      <c r="U1309" s="4"/>
      <c r="V1309" s="4"/>
      <c r="W1309" s="4"/>
      <c r="X1309" s="4"/>
      <c r="Y1309" s="4"/>
      <c r="Z1309" s="4"/>
    </row>
    <row r="1310" ht="15.75" customHeight="1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 t="str">
        <f>IFERROR(__xludf.DUMMYFUNCTION("""COMPUTED_VALUE"""),"electrical repairs quote")</f>
        <v>electrical repairs quote</v>
      </c>
      <c r="U1310" s="4"/>
      <c r="V1310" s="4"/>
      <c r="W1310" s="4"/>
      <c r="X1310" s="4"/>
      <c r="Y1310" s="4"/>
      <c r="Z1310" s="4"/>
    </row>
    <row r="1311" ht="15.75" customHeight="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 t="str">
        <f>IFERROR(__xludf.DUMMYFUNCTION("""COMPUTED_VALUE"""),"electrical repairs reliable")</f>
        <v>electrical repairs reliable</v>
      </c>
      <c r="U1311" s="4"/>
      <c r="V1311" s="4"/>
      <c r="W1311" s="4"/>
      <c r="X1311" s="4"/>
      <c r="Y1311" s="4"/>
      <c r="Z1311" s="4"/>
    </row>
    <row r="1312" ht="15.75" customHeight="1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 t="str">
        <f>IFERROR(__xludf.DUMMYFUNCTION("""COMPUTED_VALUE"""),"electrical repairs residential property")</f>
        <v>electrical repairs residential property</v>
      </c>
      <c r="U1312" s="4"/>
      <c r="V1312" s="4"/>
      <c r="W1312" s="4"/>
      <c r="X1312" s="4"/>
      <c r="Y1312" s="4"/>
      <c r="Z1312" s="4"/>
    </row>
    <row r="1313" ht="15.75" customHeight="1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 t="str">
        <f>IFERROR(__xludf.DUMMYFUNCTION("""COMPUTED_VALUE"""),"electrical repairs restaurant")</f>
        <v>electrical repairs restaurant</v>
      </c>
      <c r="U1313" s="4"/>
      <c r="V1313" s="4"/>
      <c r="W1313" s="4"/>
      <c r="X1313" s="4"/>
      <c r="Y1313" s="4"/>
      <c r="Z1313" s="4"/>
    </row>
    <row r="1314" ht="15.75" customHeight="1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 t="str">
        <f>IFERROR(__xludf.DUMMYFUNCTION("""COMPUTED_VALUE"""),"electrical repairs same day")</f>
        <v>electrical repairs same day</v>
      </c>
      <c r="U1314" s="4"/>
      <c r="V1314" s="4"/>
      <c r="W1314" s="4"/>
      <c r="X1314" s="4"/>
      <c r="Y1314" s="4"/>
      <c r="Z1314" s="4"/>
    </row>
    <row r="1315" ht="15.75" customHeight="1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 t="str">
        <f>IFERROR(__xludf.DUMMYFUNCTION("""COMPUTED_VALUE"""),"electrical repairs school")</f>
        <v>electrical repairs school</v>
      </c>
      <c r="U1315" s="4"/>
      <c r="V1315" s="4"/>
      <c r="W1315" s="4"/>
      <c r="X1315" s="4"/>
      <c r="Y1315" s="4"/>
      <c r="Z1315" s="4"/>
    </row>
    <row r="1316" ht="15.75" customHeight="1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 t="str">
        <f>IFERROR(__xludf.DUMMYFUNCTION("""COMPUTED_VALUE"""),"electrical repairs service")</f>
        <v>electrical repairs service</v>
      </c>
      <c r="U1316" s="4"/>
      <c r="V1316" s="4"/>
      <c r="W1316" s="4"/>
      <c r="X1316" s="4"/>
      <c r="Y1316" s="4"/>
      <c r="Z1316" s="4"/>
    </row>
    <row r="1317" ht="15.75" customHeight="1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 t="str">
        <f>IFERROR(__xludf.DUMMYFUNCTION("""COMPUTED_VALUE"""),"electrical repairs shop")</f>
        <v>electrical repairs shop</v>
      </c>
      <c r="U1317" s="4"/>
      <c r="V1317" s="4"/>
      <c r="W1317" s="4"/>
      <c r="X1317" s="4"/>
      <c r="Y1317" s="4"/>
      <c r="Z1317" s="4"/>
    </row>
    <row r="1318" ht="15.75" customHeight="1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 t="str">
        <f>IFERROR(__xludf.DUMMYFUNCTION("""COMPUTED_VALUE"""),"electrical repairs tenant")</f>
        <v>electrical repairs tenant</v>
      </c>
      <c r="U1318" s="4"/>
      <c r="V1318" s="4"/>
      <c r="W1318" s="4"/>
      <c r="X1318" s="4"/>
      <c r="Y1318" s="4"/>
      <c r="Z1318" s="4"/>
    </row>
    <row r="1319" ht="15.75" customHeight="1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 t="str">
        <f>IFERROR(__xludf.DUMMYFUNCTION("""COMPUTED_VALUE"""),"electrical repairs townhouse")</f>
        <v>electrical repairs townhouse</v>
      </c>
      <c r="U1319" s="4"/>
      <c r="V1319" s="4"/>
      <c r="W1319" s="4"/>
      <c r="X1319" s="4"/>
      <c r="Y1319" s="4"/>
      <c r="Z1319" s="4"/>
    </row>
    <row r="1320" ht="15.75" customHeight="1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 t="str">
        <f>IFERROR(__xludf.DUMMYFUNCTION("""COMPUTED_VALUE"""),"electrical services")</f>
        <v>electrical services</v>
      </c>
      <c r="U1320" s="4"/>
      <c r="V1320" s="4"/>
      <c r="W1320" s="4"/>
      <c r="X1320" s="4"/>
      <c r="Y1320" s="4"/>
      <c r="Z1320" s="4"/>
    </row>
    <row r="1321" ht="15.75" customHeight="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 t="str">
        <f>IFERROR(__xludf.DUMMYFUNCTION("""COMPUTED_VALUE"""),"electrical services affordable")</f>
        <v>electrical services affordable</v>
      </c>
      <c r="U1321" s="4"/>
      <c r="V1321" s="4"/>
      <c r="W1321" s="4"/>
      <c r="X1321" s="4"/>
      <c r="Y1321" s="4"/>
      <c r="Z1321" s="4"/>
    </row>
    <row r="1322" ht="15.75" customHeight="1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 t="str">
        <f>IFERROR(__xludf.DUMMYFUNCTION("""COMPUTED_VALUE"""),"electrical services call out")</f>
        <v>electrical services call out</v>
      </c>
      <c r="U1322" s="4"/>
      <c r="V1322" s="4"/>
      <c r="W1322" s="4"/>
      <c r="X1322" s="4"/>
      <c r="Y1322" s="4"/>
      <c r="Z1322" s="4"/>
    </row>
    <row r="1323" ht="15.75" customHeight="1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 t="str">
        <f>IFERROR(__xludf.DUMMYFUNCTION("""COMPUTED_VALUE"""),"electrical services cape town")</f>
        <v>electrical services cape town</v>
      </c>
      <c r="U1323" s="4"/>
      <c r="V1323" s="4"/>
      <c r="W1323" s="4"/>
      <c r="X1323" s="4"/>
      <c r="Y1323" s="4"/>
      <c r="Z1323" s="4"/>
    </row>
    <row r="1324" ht="15.75" customHeight="1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 t="str">
        <f>IFERROR(__xludf.DUMMYFUNCTION("""COMPUTED_VALUE"""),"electrical services COC")</f>
        <v>electrical services COC</v>
      </c>
      <c r="U1324" s="4"/>
      <c r="V1324" s="4"/>
      <c r="W1324" s="4"/>
      <c r="X1324" s="4"/>
      <c r="Y1324" s="4"/>
      <c r="Z1324" s="4"/>
    </row>
    <row r="1325" ht="15.75" customHeight="1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 t="str">
        <f>IFERROR(__xludf.DUMMYFUNCTION("""COMPUTED_VALUE"""),"electrical services company")</f>
        <v>electrical services company</v>
      </c>
      <c r="U1325" s="4"/>
      <c r="V1325" s="4"/>
      <c r="W1325" s="4"/>
      <c r="X1325" s="4"/>
      <c r="Y1325" s="4"/>
      <c r="Z1325" s="4"/>
    </row>
    <row r="1326" ht="15.75" customHeight="1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 t="str">
        <f>IFERROR(__xludf.DUMMYFUNCTION("""COMPUTED_VALUE"""),"electrical services contractor")</f>
        <v>electrical services contractor</v>
      </c>
      <c r="U1326" s="4"/>
      <c r="V1326" s="4"/>
      <c r="W1326" s="4"/>
      <c r="X1326" s="4"/>
      <c r="Y1326" s="4"/>
      <c r="Z1326" s="4"/>
    </row>
    <row r="1327" ht="15.75" customHeight="1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 t="str">
        <f>IFERROR(__xludf.DUMMYFUNCTION("""COMPUTED_VALUE"""),"electrical services cost")</f>
        <v>electrical services cost</v>
      </c>
      <c r="U1327" s="4"/>
      <c r="V1327" s="4"/>
      <c r="W1327" s="4"/>
      <c r="X1327" s="4"/>
      <c r="Y1327" s="4"/>
      <c r="Z1327" s="4"/>
    </row>
    <row r="1328" ht="15.75" customHeight="1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 t="str">
        <f>IFERROR(__xludf.DUMMYFUNCTION("""COMPUTED_VALUE"""),"electrical services emergency")</f>
        <v>electrical services emergency</v>
      </c>
      <c r="U1328" s="4"/>
      <c r="V1328" s="4"/>
      <c r="W1328" s="4"/>
      <c r="X1328" s="4"/>
      <c r="Y1328" s="4"/>
      <c r="Z1328" s="4"/>
    </row>
    <row r="1329" ht="15.75" customHeight="1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 t="str">
        <f>IFERROR(__xludf.DUMMYFUNCTION("""COMPUTED_VALUE"""),"electrical services inspection")</f>
        <v>electrical services inspection</v>
      </c>
      <c r="U1329" s="4"/>
      <c r="V1329" s="4"/>
      <c r="W1329" s="4"/>
      <c r="X1329" s="4"/>
      <c r="Y1329" s="4"/>
      <c r="Z1329" s="4"/>
    </row>
    <row r="1330" ht="15.75" customHeight="1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 t="str">
        <f>IFERROR(__xludf.DUMMYFUNCTION("""COMPUTED_VALUE"""),"electrical services installation")</f>
        <v>electrical services installation</v>
      </c>
      <c r="U1330" s="4"/>
      <c r="V1330" s="4"/>
      <c r="W1330" s="4"/>
      <c r="X1330" s="4"/>
      <c r="Y1330" s="4"/>
      <c r="Z1330" s="4"/>
    </row>
    <row r="1331" ht="15.75" customHeight="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 t="str">
        <f>IFERROR(__xludf.DUMMYFUNCTION("""COMPUTED_VALUE"""),"electrical services licensed")</f>
        <v>electrical services licensed</v>
      </c>
      <c r="U1331" s="4"/>
      <c r="V1331" s="4"/>
      <c r="W1331" s="4"/>
      <c r="X1331" s="4"/>
      <c r="Y1331" s="4"/>
      <c r="Z1331" s="4"/>
    </row>
    <row r="1332" ht="15.75" customHeight="1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 t="str">
        <f>IFERROR(__xludf.DUMMYFUNCTION("""COMPUTED_VALUE"""),"electrical services local")</f>
        <v>electrical services local</v>
      </c>
      <c r="U1332" s="4"/>
      <c r="V1332" s="4"/>
      <c r="W1332" s="4"/>
      <c r="X1332" s="4"/>
      <c r="Y1332" s="4"/>
      <c r="Z1332" s="4"/>
    </row>
    <row r="1333" ht="15.75" customHeight="1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 t="str">
        <f>IFERROR(__xludf.DUMMYFUNCTION("""COMPUTED_VALUE"""),"electrical services near me")</f>
        <v>electrical services near me</v>
      </c>
      <c r="U1333" s="4"/>
      <c r="V1333" s="4"/>
      <c r="W1333" s="4"/>
      <c r="X1333" s="4"/>
      <c r="Y1333" s="4"/>
      <c r="Z1333" s="4"/>
    </row>
    <row r="1334" ht="15.75" customHeight="1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 t="str">
        <f>IFERROR(__xludf.DUMMYFUNCTION("""COMPUTED_VALUE"""),"electrical services professional")</f>
        <v>electrical services professional</v>
      </c>
      <c r="U1334" s="4"/>
      <c r="V1334" s="4"/>
      <c r="W1334" s="4"/>
      <c r="X1334" s="4"/>
      <c r="Y1334" s="4"/>
      <c r="Z1334" s="4"/>
    </row>
    <row r="1335" ht="15.75" customHeight="1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 t="str">
        <f>IFERROR(__xludf.DUMMYFUNCTION("""COMPUTED_VALUE"""),"electrical services qualified")</f>
        <v>electrical services qualified</v>
      </c>
      <c r="U1335" s="4"/>
      <c r="V1335" s="4"/>
      <c r="W1335" s="4"/>
      <c r="X1335" s="4"/>
      <c r="Y1335" s="4"/>
      <c r="Z1335" s="4"/>
    </row>
    <row r="1336" ht="15.75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 t="str">
        <f>IFERROR(__xludf.DUMMYFUNCTION("""COMPUTED_VALUE"""),"electrical services quote")</f>
        <v>electrical services quote</v>
      </c>
      <c r="U1336" s="4"/>
      <c r="V1336" s="4"/>
      <c r="W1336" s="4"/>
      <c r="X1336" s="4"/>
      <c r="Y1336" s="4"/>
      <c r="Z1336" s="4"/>
    </row>
    <row r="1337" ht="15.75" customHeight="1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 t="str">
        <f>IFERROR(__xludf.DUMMYFUNCTION("""COMPUTED_VALUE"""),"electrical services reliable")</f>
        <v>electrical services reliable</v>
      </c>
      <c r="U1337" s="4"/>
      <c r="V1337" s="4"/>
      <c r="W1337" s="4"/>
      <c r="X1337" s="4"/>
      <c r="Y1337" s="4"/>
      <c r="Z1337" s="4"/>
    </row>
    <row r="1338" ht="15.75" customHeight="1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 t="str">
        <f>IFERROR(__xludf.DUMMYFUNCTION("""COMPUTED_VALUE"""),"electrical services repair")</f>
        <v>electrical services repair</v>
      </c>
      <c r="U1338" s="4"/>
      <c r="V1338" s="4"/>
      <c r="W1338" s="4"/>
      <c r="X1338" s="4"/>
      <c r="Y1338" s="4"/>
      <c r="Z1338" s="4"/>
    </row>
    <row r="1339" ht="15.75" customHeight="1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 t="str">
        <f>IFERROR(__xludf.DUMMYFUNCTION("""COMPUTED_VALUE"""),"electrical services same day")</f>
        <v>electrical services same day</v>
      </c>
      <c r="U1339" s="4"/>
      <c r="V1339" s="4"/>
      <c r="W1339" s="4"/>
      <c r="X1339" s="4"/>
      <c r="Y1339" s="4"/>
      <c r="Z1339" s="4"/>
    </row>
    <row r="1340" ht="15.75" customHeight="1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 t="str">
        <f>IFERROR(__xludf.DUMMYFUNCTION("""COMPUTED_VALUE"""),"electrician Atlantic Seaboard")</f>
        <v>electrician Atlantic Seaboard</v>
      </c>
      <c r="U1340" s="4"/>
      <c r="V1340" s="4"/>
      <c r="W1340" s="4"/>
      <c r="X1340" s="4"/>
      <c r="Y1340" s="4"/>
      <c r="Z1340" s="4"/>
    </row>
    <row r="1341" ht="15.75" customHeight="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 t="str">
        <f>IFERROR(__xludf.DUMMYFUNCTION("""COMPUTED_VALUE"""),"electrician Bellville")</f>
        <v>electrician Bellville</v>
      </c>
      <c r="U1341" s="4"/>
      <c r="V1341" s="4"/>
      <c r="W1341" s="4"/>
      <c r="X1341" s="4"/>
      <c r="Y1341" s="4"/>
      <c r="Z1341" s="4"/>
    </row>
    <row r="1342" ht="15.75" customHeight="1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 t="str">
        <f>IFERROR(__xludf.DUMMYFUNCTION("""COMPUTED_VALUE"""),"electrician Camps Bay")</f>
        <v>electrician Camps Bay</v>
      </c>
      <c r="U1342" s="4"/>
      <c r="V1342" s="4"/>
      <c r="W1342" s="4"/>
      <c r="X1342" s="4"/>
      <c r="Y1342" s="4"/>
      <c r="Z1342" s="4"/>
    </row>
    <row r="1343" ht="15.75" customHeight="1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 t="str">
        <f>IFERROR(__xludf.DUMMYFUNCTION("""COMPUTED_VALUE"""),"electrician Cape Town")</f>
        <v>electrician Cape Town</v>
      </c>
      <c r="U1343" s="4"/>
      <c r="V1343" s="4"/>
      <c r="W1343" s="4"/>
      <c r="X1343" s="4"/>
      <c r="Y1343" s="4"/>
      <c r="Z1343" s="4"/>
    </row>
    <row r="1344" ht="15.75" customHeight="1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 t="str">
        <f>IFERROR(__xludf.DUMMYFUNCTION("""COMPUTED_VALUE"""),"electrician cape town")</f>
        <v>electrician cape town</v>
      </c>
      <c r="U1344" s="4"/>
      <c r="V1344" s="4"/>
      <c r="W1344" s="4"/>
      <c r="X1344" s="4"/>
      <c r="Y1344" s="4"/>
      <c r="Z1344" s="4"/>
    </row>
    <row r="1345" ht="15.75" customHeight="1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 t="str">
        <f>IFERROR(__xludf.DUMMYFUNCTION("""COMPUTED_VALUE"""),"electrician cape town 24 hour")</f>
        <v>electrician cape town 24 hour</v>
      </c>
      <c r="U1345" s="4"/>
      <c r="V1345" s="4"/>
      <c r="W1345" s="4"/>
      <c r="X1345" s="4"/>
      <c r="Y1345" s="4"/>
      <c r="Z1345" s="4"/>
    </row>
    <row r="1346" ht="15.75" customHeight="1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 t="str">
        <f>IFERROR(__xludf.DUMMYFUNCTION("""COMPUTED_VALUE"""),"electrician cape town affordable")</f>
        <v>electrician cape town affordable</v>
      </c>
      <c r="U1346" s="4"/>
      <c r="V1346" s="4"/>
      <c r="W1346" s="4"/>
      <c r="X1346" s="4"/>
      <c r="Y1346" s="4"/>
      <c r="Z1346" s="4"/>
    </row>
    <row r="1347" ht="15.75" customHeight="1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 t="str">
        <f>IFERROR(__xludf.DUMMYFUNCTION("""COMPUTED_VALUE"""),"electrician cape town alternatives")</f>
        <v>electrician cape town alternatives</v>
      </c>
      <c r="U1347" s="4"/>
      <c r="V1347" s="4"/>
      <c r="W1347" s="4"/>
      <c r="X1347" s="4"/>
      <c r="Y1347" s="4"/>
      <c r="Z1347" s="4"/>
    </row>
    <row r="1348" ht="15.75" customHeight="1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 t="str">
        <f>IFERROR(__xludf.DUMMYFUNCTION("""COMPUTED_VALUE"""),"electrician cape town best")</f>
        <v>electrician cape town best</v>
      </c>
      <c r="U1348" s="4"/>
      <c r="V1348" s="4"/>
      <c r="W1348" s="4"/>
      <c r="X1348" s="4"/>
      <c r="Y1348" s="4"/>
      <c r="Z1348" s="4"/>
    </row>
    <row r="1349" ht="15.75" customHeight="1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 t="str">
        <f>IFERROR(__xludf.DUMMYFUNCTION("""COMPUTED_VALUE"""),"electrician cape town call out")</f>
        <v>electrician cape town call out</v>
      </c>
      <c r="U1349" s="4"/>
      <c r="V1349" s="4"/>
      <c r="W1349" s="4"/>
      <c r="X1349" s="4"/>
      <c r="Y1349" s="4"/>
      <c r="Z1349" s="4"/>
    </row>
    <row r="1350" ht="15.75" customHeight="1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 t="str">
        <f>IFERROR(__xludf.DUMMYFUNCTION("""COMPUTED_VALUE"""),"electrician Cape Town CBD")</f>
        <v>electrician Cape Town CBD</v>
      </c>
      <c r="U1350" s="4"/>
      <c r="V1350" s="4"/>
      <c r="W1350" s="4"/>
      <c r="X1350" s="4"/>
      <c r="Y1350" s="4"/>
      <c r="Z1350" s="4"/>
    </row>
    <row r="1351" ht="15.75" customHeight="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 t="str">
        <f>IFERROR(__xludf.DUMMYFUNCTION("""COMPUTED_VALUE"""),"electrician cape town certified")</f>
        <v>electrician cape town certified</v>
      </c>
      <c r="U1351" s="4"/>
      <c r="V1351" s="4"/>
      <c r="W1351" s="4"/>
      <c r="X1351" s="4"/>
      <c r="Y1351" s="4"/>
      <c r="Z1351" s="4"/>
    </row>
    <row r="1352" ht="15.75" customHeight="1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 t="str">
        <f>IFERROR(__xludf.DUMMYFUNCTION("""COMPUTED_VALUE"""),"electrician cape town COC")</f>
        <v>electrician cape town COC</v>
      </c>
      <c r="U1352" s="4"/>
      <c r="V1352" s="4"/>
      <c r="W1352" s="4"/>
      <c r="X1352" s="4"/>
      <c r="Y1352" s="4"/>
      <c r="Z1352" s="4"/>
    </row>
    <row r="1353" ht="15.75" customHeight="1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 t="str">
        <f>IFERROR(__xludf.DUMMYFUNCTION("""COMPUTED_VALUE"""),"electrician cape town company")</f>
        <v>electrician cape town company</v>
      </c>
      <c r="U1353" s="4"/>
      <c r="V1353" s="4"/>
      <c r="W1353" s="4"/>
      <c r="X1353" s="4"/>
      <c r="Y1353" s="4"/>
      <c r="Z1353" s="4"/>
    </row>
    <row r="1354" ht="15.75" customHeight="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 t="str">
        <f>IFERROR(__xludf.DUMMYFUNCTION("""COMPUTED_VALUE"""),"electrician cape town compare")</f>
        <v>electrician cape town compare</v>
      </c>
      <c r="U1354" s="4"/>
      <c r="V1354" s="4"/>
      <c r="W1354" s="4"/>
      <c r="X1354" s="4"/>
      <c r="Y1354" s="4"/>
      <c r="Z1354" s="4"/>
    </row>
    <row r="1355" ht="15.75" customHeight="1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 t="str">
        <f>IFERROR(__xludf.DUMMYFUNCTION("""COMPUTED_VALUE"""),"electrician cape town complaints")</f>
        <v>electrician cape town complaints</v>
      </c>
      <c r="U1355" s="4"/>
      <c r="V1355" s="4"/>
      <c r="W1355" s="4"/>
      <c r="X1355" s="4"/>
      <c r="Y1355" s="4"/>
      <c r="Z1355" s="4"/>
    </row>
    <row r="1356" ht="15.75" customHeight="1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 t="str">
        <f>IFERROR(__xludf.DUMMYFUNCTION("""COMPUTED_VALUE"""),"electrician cape town contractor")</f>
        <v>electrician cape town contractor</v>
      </c>
      <c r="U1356" s="4"/>
      <c r="V1356" s="4"/>
      <c r="W1356" s="4"/>
      <c r="X1356" s="4"/>
      <c r="Y1356" s="4"/>
      <c r="Z1356" s="4"/>
    </row>
    <row r="1357" ht="15.75" customHeight="1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 t="str">
        <f>IFERROR(__xludf.DUMMYFUNCTION("""COMPUTED_VALUE"""),"electrician cape town cost")</f>
        <v>electrician cape town cost</v>
      </c>
      <c r="U1357" s="4"/>
      <c r="V1357" s="4"/>
      <c r="W1357" s="4"/>
      <c r="X1357" s="4"/>
      <c r="Y1357" s="4"/>
      <c r="Z1357" s="4"/>
    </row>
    <row r="1358" ht="15.75" customHeight="1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 t="str">
        <f>IFERROR(__xludf.DUMMYFUNCTION("""COMPUTED_VALUE"""),"electrician cape town emergency")</f>
        <v>electrician cape town emergency</v>
      </c>
      <c r="U1358" s="4"/>
      <c r="V1358" s="4"/>
      <c r="W1358" s="4"/>
      <c r="X1358" s="4"/>
      <c r="Y1358" s="4"/>
      <c r="Z1358" s="4"/>
    </row>
    <row r="1359" ht="15.75" customHeight="1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 t="str">
        <f>IFERROR(__xludf.DUMMYFUNCTION("""COMPUTED_VALUE"""),"electrician cape town inspection")</f>
        <v>electrician cape town inspection</v>
      </c>
      <c r="U1359" s="4"/>
      <c r="V1359" s="4"/>
      <c r="W1359" s="4"/>
      <c r="X1359" s="4"/>
      <c r="Y1359" s="4"/>
      <c r="Z1359" s="4"/>
    </row>
    <row r="1360" ht="15.75" customHeight="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 t="str">
        <f>IFERROR(__xludf.DUMMYFUNCTION("""COMPUTED_VALUE"""),"electrician cape town installation")</f>
        <v>electrician cape town installation</v>
      </c>
      <c r="U1360" s="4"/>
      <c r="V1360" s="4"/>
      <c r="W1360" s="4"/>
      <c r="X1360" s="4"/>
      <c r="Y1360" s="4"/>
      <c r="Z1360" s="4"/>
    </row>
    <row r="1361" ht="15.75" customHeight="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 t="str">
        <f>IFERROR(__xludf.DUMMYFUNCTION("""COMPUTED_VALUE"""),"electrician cape town insured")</f>
        <v>electrician cape town insured</v>
      </c>
      <c r="U1361" s="4"/>
      <c r="V1361" s="4"/>
      <c r="W1361" s="4"/>
      <c r="X1361" s="4"/>
      <c r="Y1361" s="4"/>
      <c r="Z1361" s="4"/>
    </row>
    <row r="1362" ht="15.75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 t="str">
        <f>IFERROR(__xludf.DUMMYFUNCTION("""COMPUTED_VALUE"""),"electrician cape town licensed")</f>
        <v>electrician cape town licensed</v>
      </c>
      <c r="U1362" s="4"/>
      <c r="V1362" s="4"/>
      <c r="W1362" s="4"/>
      <c r="X1362" s="4"/>
      <c r="Y1362" s="4"/>
      <c r="Z1362" s="4"/>
    </row>
    <row r="1363" ht="15.75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 t="str">
        <f>IFERROR(__xludf.DUMMYFUNCTION("""COMPUTED_VALUE"""),"electrician cape town local")</f>
        <v>electrician cape town local</v>
      </c>
      <c r="U1363" s="4"/>
      <c r="V1363" s="4"/>
      <c r="W1363" s="4"/>
      <c r="X1363" s="4"/>
      <c r="Y1363" s="4"/>
      <c r="Z1363" s="4"/>
    </row>
    <row r="1364" ht="15.75" customHeight="1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 t="str">
        <f>IFERROR(__xludf.DUMMYFUNCTION("""COMPUTED_VALUE"""),"electrician cape town near me")</f>
        <v>electrician cape town near me</v>
      </c>
      <c r="U1364" s="4"/>
      <c r="V1364" s="4"/>
      <c r="W1364" s="4"/>
      <c r="X1364" s="4"/>
      <c r="Y1364" s="4"/>
      <c r="Z1364" s="4"/>
    </row>
    <row r="1365" ht="15.75" customHeight="1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 t="str">
        <f>IFERROR(__xludf.DUMMYFUNCTION("""COMPUTED_VALUE"""),"electrician cape town prices")</f>
        <v>electrician cape town prices</v>
      </c>
      <c r="U1365" s="4"/>
      <c r="V1365" s="4"/>
      <c r="W1365" s="4"/>
      <c r="X1365" s="4"/>
      <c r="Y1365" s="4"/>
      <c r="Z1365" s="4"/>
    </row>
    <row r="1366" ht="15.75" customHeight="1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 t="str">
        <f>IFERROR(__xludf.DUMMYFUNCTION("""COMPUTED_VALUE"""),"electrician cape town professional")</f>
        <v>electrician cape town professional</v>
      </c>
      <c r="U1366" s="4"/>
      <c r="V1366" s="4"/>
      <c r="W1366" s="4"/>
      <c r="X1366" s="4"/>
      <c r="Y1366" s="4"/>
      <c r="Z1366" s="4"/>
    </row>
    <row r="1367" ht="15.75" customHeight="1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 t="str">
        <f>IFERROR(__xludf.DUMMYFUNCTION("""COMPUTED_VALUE"""),"electrician cape town qualified")</f>
        <v>electrician cape town qualified</v>
      </c>
      <c r="U1367" s="4"/>
      <c r="V1367" s="4"/>
      <c r="W1367" s="4"/>
      <c r="X1367" s="4"/>
      <c r="Y1367" s="4"/>
      <c r="Z1367" s="4"/>
    </row>
    <row r="1368" ht="15.75" customHeight="1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 t="str">
        <f>IFERROR(__xludf.DUMMYFUNCTION("""COMPUTED_VALUE"""),"electrician cape town quote")</f>
        <v>electrician cape town quote</v>
      </c>
      <c r="U1368" s="4"/>
      <c r="V1368" s="4"/>
      <c r="W1368" s="4"/>
      <c r="X1368" s="4"/>
      <c r="Y1368" s="4"/>
      <c r="Z1368" s="4"/>
    </row>
    <row r="1369" ht="15.75" customHeight="1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 t="str">
        <f>IFERROR(__xludf.DUMMYFUNCTION("""COMPUTED_VALUE"""),"electrician cape town reliable")</f>
        <v>electrician cape town reliable</v>
      </c>
      <c r="U1369" s="4"/>
      <c r="V1369" s="4"/>
      <c r="W1369" s="4"/>
      <c r="X1369" s="4"/>
      <c r="Y1369" s="4"/>
      <c r="Z1369" s="4"/>
    </row>
    <row r="1370" ht="15.75" customHeight="1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 t="str">
        <f>IFERROR(__xludf.DUMMYFUNCTION("""COMPUTED_VALUE"""),"electrician cape town repair")</f>
        <v>electrician cape town repair</v>
      </c>
      <c r="U1370" s="4"/>
      <c r="V1370" s="4"/>
      <c r="W1370" s="4"/>
      <c r="X1370" s="4"/>
      <c r="Y1370" s="4"/>
      <c r="Z1370" s="4"/>
    </row>
    <row r="1371" ht="15.75" customHeight="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 t="str">
        <f>IFERROR(__xludf.DUMMYFUNCTION("""COMPUTED_VALUE"""),"electrician cape town reputable")</f>
        <v>electrician cape town reputable</v>
      </c>
      <c r="U1371" s="4"/>
      <c r="V1371" s="4"/>
      <c r="W1371" s="4"/>
      <c r="X1371" s="4"/>
      <c r="Y1371" s="4"/>
      <c r="Z1371" s="4"/>
    </row>
    <row r="1372" ht="15.75" customHeight="1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 t="str">
        <f>IFERROR(__xludf.DUMMYFUNCTION("""COMPUTED_VALUE"""),"electrician cape town review")</f>
        <v>electrician cape town review</v>
      </c>
      <c r="U1372" s="4"/>
      <c r="V1372" s="4"/>
      <c r="W1372" s="4"/>
      <c r="X1372" s="4"/>
      <c r="Y1372" s="4"/>
      <c r="Z1372" s="4"/>
    </row>
    <row r="1373" ht="15.75" customHeight="1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 t="str">
        <f>IFERROR(__xludf.DUMMYFUNCTION("""COMPUTED_VALUE"""),"electrician cape town reviews")</f>
        <v>electrician cape town reviews</v>
      </c>
      <c r="U1373" s="4"/>
      <c r="V1373" s="4"/>
      <c r="W1373" s="4"/>
      <c r="X1373" s="4"/>
      <c r="Y1373" s="4"/>
      <c r="Z1373" s="4"/>
    </row>
    <row r="1374" ht="15.75" customHeight="1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 t="str">
        <f>IFERROR(__xludf.DUMMYFUNCTION("""COMPUTED_VALUE"""),"electrician cape town same day")</f>
        <v>electrician cape town same day</v>
      </c>
      <c r="U1374" s="4"/>
      <c r="V1374" s="4"/>
      <c r="W1374" s="4"/>
      <c r="X1374" s="4"/>
      <c r="Y1374" s="4"/>
      <c r="Z1374" s="4"/>
    </row>
    <row r="1375" ht="15.75" customHeight="1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 t="str">
        <f>IFERROR(__xludf.DUMMYFUNCTION("""COMPUTED_VALUE"""),"electrician cape town service")</f>
        <v>electrician cape town service</v>
      </c>
      <c r="U1375" s="4"/>
      <c r="V1375" s="4"/>
      <c r="W1375" s="4"/>
      <c r="X1375" s="4"/>
      <c r="Y1375" s="4"/>
      <c r="Z1375" s="4"/>
    </row>
    <row r="1376" ht="15.75" customHeight="1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 t="str">
        <f>IFERROR(__xludf.DUMMYFUNCTION("""COMPUTED_VALUE"""),"electrician cape town top rated")</f>
        <v>electrician cape town top rated</v>
      </c>
      <c r="U1376" s="4"/>
      <c r="V1376" s="4"/>
      <c r="W1376" s="4"/>
      <c r="X1376" s="4"/>
      <c r="Y1376" s="4"/>
      <c r="Z1376" s="4"/>
    </row>
    <row r="1377" ht="15.75" customHeight="1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 t="str">
        <f>IFERROR(__xludf.DUMMYFUNCTION("""COMPUTED_VALUE"""),"electrician cape town trusted")</f>
        <v>electrician cape town trusted</v>
      </c>
      <c r="U1377" s="4"/>
      <c r="V1377" s="4"/>
      <c r="W1377" s="4"/>
      <c r="X1377" s="4"/>
      <c r="Y1377" s="4"/>
      <c r="Z1377" s="4"/>
    </row>
    <row r="1378" ht="15.75" customHeight="1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 t="str">
        <f>IFERROR(__xludf.DUMMYFUNCTION("""COMPUTED_VALUE"""),"electrician cape town vs")</f>
        <v>electrician cape town vs</v>
      </c>
      <c r="U1378" s="4"/>
      <c r="V1378" s="4"/>
      <c r="W1378" s="4"/>
      <c r="X1378" s="4"/>
      <c r="Y1378" s="4"/>
      <c r="Z1378" s="4"/>
    </row>
    <row r="1379" ht="15.75" customHeight="1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 t="str">
        <f>IFERROR(__xludf.DUMMYFUNCTION("""COMPUTED_VALUE"""),"electrician Claremont")</f>
        <v>electrician Claremont</v>
      </c>
      <c r="U1379" s="4"/>
      <c r="V1379" s="4"/>
      <c r="W1379" s="4"/>
      <c r="X1379" s="4"/>
      <c r="Y1379" s="4"/>
      <c r="Z1379" s="4"/>
    </row>
    <row r="1380" ht="15.75" customHeight="1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 t="str">
        <f>IFERROR(__xludf.DUMMYFUNCTION("""COMPUTED_VALUE"""),"electrician Constantia")</f>
        <v>electrician Constantia</v>
      </c>
      <c r="U1380" s="4"/>
      <c r="V1380" s="4"/>
      <c r="W1380" s="4"/>
      <c r="X1380" s="4"/>
      <c r="Y1380" s="4"/>
      <c r="Z1380" s="4"/>
    </row>
    <row r="1381" ht="15.75" customHeight="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 t="str">
        <f>IFERROR(__xludf.DUMMYFUNCTION("""COMPUTED_VALUE"""),"electrician Durbanville")</f>
        <v>electrician Durbanville</v>
      </c>
      <c r="U1381" s="4"/>
      <c r="V1381" s="4"/>
      <c r="W1381" s="4"/>
      <c r="X1381" s="4"/>
      <c r="Y1381" s="4"/>
      <c r="Z1381" s="4"/>
    </row>
    <row r="1382" ht="15.75" customHeight="1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 t="str">
        <f>IFERROR(__xludf.DUMMYFUNCTION("""COMPUTED_VALUE"""),"electrician Fish Hoek")</f>
        <v>electrician Fish Hoek</v>
      </c>
      <c r="U1382" s="4"/>
      <c r="V1382" s="4"/>
      <c r="W1382" s="4"/>
      <c r="X1382" s="4"/>
      <c r="Y1382" s="4"/>
      <c r="Z1382" s="4"/>
    </row>
    <row r="1383" ht="15.75" customHeight="1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 t="str">
        <f>IFERROR(__xludf.DUMMYFUNCTION("""COMPUTED_VALUE"""),"electrician Green Point")</f>
        <v>electrician Green Point</v>
      </c>
      <c r="U1383" s="4"/>
      <c r="V1383" s="4"/>
      <c r="W1383" s="4"/>
      <c r="X1383" s="4"/>
      <c r="Y1383" s="4"/>
      <c r="Z1383" s="4"/>
    </row>
    <row r="1384" ht="15.75" customHeight="1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 t="str">
        <f>IFERROR(__xludf.DUMMYFUNCTION("""COMPUTED_VALUE"""),"electrician Hout Bay")</f>
        <v>electrician Hout Bay</v>
      </c>
      <c r="U1384" s="4"/>
      <c r="V1384" s="4"/>
      <c r="W1384" s="4"/>
      <c r="X1384" s="4"/>
      <c r="Y1384" s="4"/>
      <c r="Z1384" s="4"/>
    </row>
    <row r="1385" ht="15.75" customHeight="1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 t="str">
        <f>IFERROR(__xludf.DUMMYFUNCTION("""COMPUTED_VALUE"""),"electrician Maitland")</f>
        <v>electrician Maitland</v>
      </c>
      <c r="U1385" s="4"/>
      <c r="V1385" s="4"/>
      <c r="W1385" s="4"/>
      <c r="X1385" s="4"/>
      <c r="Y1385" s="4"/>
      <c r="Z1385" s="4"/>
    </row>
    <row r="1386" ht="15.75" customHeight="1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 t="str">
        <f>IFERROR(__xludf.DUMMYFUNCTION("""COMPUTED_VALUE"""),"electrician Milnerton")</f>
        <v>electrician Milnerton</v>
      </c>
      <c r="U1386" s="4"/>
      <c r="V1386" s="4"/>
      <c r="W1386" s="4"/>
      <c r="X1386" s="4"/>
      <c r="Y1386" s="4"/>
      <c r="Z1386" s="4"/>
    </row>
    <row r="1387" ht="15.75" customHeight="1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 t="str">
        <f>IFERROR(__xludf.DUMMYFUNCTION("""COMPUTED_VALUE"""),"electrician Muizenberg")</f>
        <v>electrician Muizenberg</v>
      </c>
      <c r="U1387" s="4"/>
      <c r="V1387" s="4"/>
      <c r="W1387" s="4"/>
      <c r="X1387" s="4"/>
      <c r="Y1387" s="4"/>
      <c r="Z1387" s="4"/>
    </row>
    <row r="1388" ht="15.75" customHeight="1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 t="str">
        <f>IFERROR(__xludf.DUMMYFUNCTION("""COMPUTED_VALUE"""),"electrician Newlands")</f>
        <v>electrician Newlands</v>
      </c>
      <c r="U1388" s="4"/>
      <c r="V1388" s="4"/>
      <c r="W1388" s="4"/>
      <c r="X1388" s="4"/>
      <c r="Y1388" s="4"/>
      <c r="Z1388" s="4"/>
    </row>
    <row r="1389" ht="15.75" customHeight="1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 t="str">
        <f>IFERROR(__xludf.DUMMYFUNCTION("""COMPUTED_VALUE"""),"electrician Northern Suburbs")</f>
        <v>electrician Northern Suburbs</v>
      </c>
      <c r="U1389" s="4"/>
      <c r="V1389" s="4"/>
      <c r="W1389" s="4"/>
      <c r="X1389" s="4"/>
      <c r="Y1389" s="4"/>
      <c r="Z1389" s="4"/>
    </row>
    <row r="1390" ht="15.75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 t="str">
        <f>IFERROR(__xludf.DUMMYFUNCTION("""COMPUTED_VALUE"""),"electrician Observatory")</f>
        <v>electrician Observatory</v>
      </c>
      <c r="U1390" s="4"/>
      <c r="V1390" s="4"/>
      <c r="W1390" s="4"/>
      <c r="X1390" s="4"/>
      <c r="Y1390" s="4"/>
      <c r="Z1390" s="4"/>
    </row>
    <row r="1391" ht="15.75" customHeight="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 t="str">
        <f>IFERROR(__xludf.DUMMYFUNCTION("""COMPUTED_VALUE"""),"electrician Plumstead")</f>
        <v>electrician Plumstead</v>
      </c>
      <c r="U1391" s="4"/>
      <c r="V1391" s="4"/>
      <c r="W1391" s="4"/>
      <c r="X1391" s="4"/>
      <c r="Y1391" s="4"/>
      <c r="Z1391" s="4"/>
    </row>
    <row r="1392" ht="15.75" customHeight="1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 t="str">
        <f>IFERROR(__xludf.DUMMYFUNCTION("""COMPUTED_VALUE"""),"electrician Rondebosch")</f>
        <v>electrician Rondebosch</v>
      </c>
      <c r="U1392" s="4"/>
      <c r="V1392" s="4"/>
      <c r="W1392" s="4"/>
      <c r="X1392" s="4"/>
      <c r="Y1392" s="4"/>
      <c r="Z1392" s="4"/>
    </row>
    <row r="1393" ht="15.75" customHeight="1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 t="str">
        <f>IFERROR(__xludf.DUMMYFUNCTION("""COMPUTED_VALUE"""),"electrician Sea Point")</f>
        <v>electrician Sea Point</v>
      </c>
      <c r="U1393" s="4"/>
      <c r="V1393" s="4"/>
      <c r="W1393" s="4"/>
      <c r="X1393" s="4"/>
      <c r="Y1393" s="4"/>
      <c r="Z1393" s="4"/>
    </row>
    <row r="1394" ht="15.75" customHeight="1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 t="str">
        <f>IFERROR(__xludf.DUMMYFUNCTION("""COMPUTED_VALUE"""),"electrician South Africa")</f>
        <v>electrician South Africa</v>
      </c>
      <c r="U1394" s="4"/>
      <c r="V1394" s="4"/>
      <c r="W1394" s="4"/>
      <c r="X1394" s="4"/>
      <c r="Y1394" s="4"/>
      <c r="Z1394" s="4"/>
    </row>
    <row r="1395" ht="15.75" customHeight="1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 t="str">
        <f>IFERROR(__xludf.DUMMYFUNCTION("""COMPUTED_VALUE"""),"electrician Southern Suburbs")</f>
        <v>electrician Southern Suburbs</v>
      </c>
      <c r="U1395" s="4"/>
      <c r="V1395" s="4"/>
      <c r="W1395" s="4"/>
      <c r="X1395" s="4"/>
      <c r="Y1395" s="4"/>
      <c r="Z1395" s="4"/>
    </row>
    <row r="1396" ht="15.75" customHeight="1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 t="str">
        <f>IFERROR(__xludf.DUMMYFUNCTION("""COMPUTED_VALUE"""),"electrician Table View")</f>
        <v>electrician Table View</v>
      </c>
      <c r="U1396" s="4"/>
      <c r="V1396" s="4"/>
      <c r="W1396" s="4"/>
      <c r="X1396" s="4"/>
      <c r="Y1396" s="4"/>
      <c r="Z1396" s="4"/>
    </row>
    <row r="1397" ht="15.75" customHeight="1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 t="str">
        <f>IFERROR(__xludf.DUMMYFUNCTION("""COMPUTED_VALUE"""),"electrician Tokai")</f>
        <v>electrician Tokai</v>
      </c>
      <c r="U1397" s="4"/>
      <c r="V1397" s="4"/>
      <c r="W1397" s="4"/>
      <c r="X1397" s="4"/>
      <c r="Y1397" s="4"/>
      <c r="Z1397" s="4"/>
    </row>
    <row r="1398" ht="15.75" customHeight="1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 t="str">
        <f>IFERROR(__xludf.DUMMYFUNCTION("""COMPUTED_VALUE"""),"electrician Woodstock")</f>
        <v>electrician Woodstock</v>
      </c>
      <c r="U1398" s="4"/>
      <c r="V1398" s="4"/>
      <c r="W1398" s="4"/>
      <c r="X1398" s="4"/>
      <c r="Y1398" s="4"/>
      <c r="Z1398" s="4"/>
    </row>
    <row r="1399" ht="15.75" customHeight="1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 t="str">
        <f>IFERROR(__xludf.DUMMYFUNCTION("""COMPUTED_VALUE"""),"electrician Wynberg")</f>
        <v>electrician Wynberg</v>
      </c>
      <c r="U1399" s="4"/>
      <c r="V1399" s="4"/>
      <c r="W1399" s="4"/>
      <c r="X1399" s="4"/>
      <c r="Y1399" s="4"/>
      <c r="Z1399" s="4"/>
    </row>
    <row r="1400" ht="15.75" customHeight="1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 t="str">
        <f>IFERROR(__xludf.DUMMYFUNCTION("""COMPUTED_VALUE"""),"emergency 24 hour plumber")</f>
        <v>emergency 24 hour plumber</v>
      </c>
      <c r="U1400" s="4"/>
      <c r="V1400" s="4"/>
      <c r="W1400" s="4"/>
      <c r="X1400" s="4"/>
      <c r="Y1400" s="4"/>
      <c r="Z1400" s="4"/>
    </row>
    <row r="1401" ht="15.75" customHeight="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 t="str">
        <f>IFERROR(__xludf.DUMMYFUNCTION("""COMPUTED_VALUE"""),"emergency air conditioning")</f>
        <v>emergency air conditioning</v>
      </c>
      <c r="U1401" s="4"/>
      <c r="V1401" s="4"/>
      <c r="W1401" s="4"/>
      <c r="X1401" s="4"/>
      <c r="Y1401" s="4"/>
      <c r="Z1401" s="4"/>
    </row>
    <row r="1402" ht="15.75" customHeight="1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 t="str">
        <f>IFERROR(__xludf.DUMMYFUNCTION("""COMPUTED_VALUE"""),"emergency air conditioning repair")</f>
        <v>emergency air conditioning repair</v>
      </c>
      <c r="U1402" s="4"/>
      <c r="V1402" s="4"/>
      <c r="W1402" s="4"/>
      <c r="X1402" s="4"/>
      <c r="Y1402" s="4"/>
      <c r="Z1402" s="4"/>
    </row>
    <row r="1403" ht="15.75" customHeight="1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 t="str">
        <f>IFERROR(__xludf.DUMMYFUNCTION("""COMPUTED_VALUE"""),"emergency aircon installation")</f>
        <v>emergency aircon installation</v>
      </c>
      <c r="U1403" s="4"/>
      <c r="V1403" s="4"/>
      <c r="W1403" s="4"/>
      <c r="X1403" s="4"/>
      <c r="Y1403" s="4"/>
      <c r="Z1403" s="4"/>
    </row>
    <row r="1404" ht="15.75" customHeight="1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 t="str">
        <f>IFERROR(__xludf.DUMMYFUNCTION("""COMPUTED_VALUE"""),"emergency aircon repair")</f>
        <v>emergency aircon repair</v>
      </c>
      <c r="U1404" s="4"/>
      <c r="V1404" s="4"/>
      <c r="W1404" s="4"/>
      <c r="X1404" s="4"/>
      <c r="Y1404" s="4"/>
      <c r="Z1404" s="4"/>
    </row>
    <row r="1405" ht="15.75" customHeight="1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 t="str">
        <f>IFERROR(__xludf.DUMMYFUNCTION("""COMPUTED_VALUE"""),"emergency aircon service")</f>
        <v>emergency aircon service</v>
      </c>
      <c r="U1405" s="4"/>
      <c r="V1405" s="4"/>
      <c r="W1405" s="4"/>
      <c r="X1405" s="4"/>
      <c r="Y1405" s="4"/>
      <c r="Z1405" s="4"/>
    </row>
    <row r="1406" ht="15.75" customHeight="1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 t="str">
        <f>IFERROR(__xludf.DUMMYFUNCTION("""COMPUTED_VALUE"""),"emergency bathroom plumbing repair")</f>
        <v>emergency bathroom plumbing repair</v>
      </c>
      <c r="U1406" s="4"/>
      <c r="V1406" s="4"/>
      <c r="W1406" s="4"/>
      <c r="X1406" s="4"/>
      <c r="Y1406" s="4"/>
      <c r="Z1406" s="4"/>
    </row>
    <row r="1407" ht="15.75" customHeight="1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 t="str">
        <f>IFERROR(__xludf.DUMMYFUNCTION("""COMPUTED_VALUE"""),"emergency blocked drain")</f>
        <v>emergency blocked drain</v>
      </c>
      <c r="U1407" s="4"/>
      <c r="V1407" s="4"/>
      <c r="W1407" s="4"/>
      <c r="X1407" s="4"/>
      <c r="Y1407" s="4"/>
      <c r="Z1407" s="4"/>
    </row>
    <row r="1408" ht="15.75" customHeight="1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 t="str">
        <f>IFERROR(__xludf.DUMMYFUNCTION("""COMPUTED_VALUE"""),"emergency blocked toilet plumber")</f>
        <v>emergency blocked toilet plumber</v>
      </c>
      <c r="U1408" s="4"/>
      <c r="V1408" s="4"/>
      <c r="W1408" s="4"/>
      <c r="X1408" s="4"/>
      <c r="Y1408" s="4"/>
      <c r="Z1408" s="4"/>
    </row>
    <row r="1409" ht="15.75" customHeight="1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 t="str">
        <f>IFERROR(__xludf.DUMMYFUNCTION("""COMPUTED_VALUE"""),"emergency burst geyser")</f>
        <v>emergency burst geyser</v>
      </c>
      <c r="U1409" s="4"/>
      <c r="V1409" s="4"/>
      <c r="W1409" s="4"/>
      <c r="X1409" s="4"/>
      <c r="Y1409" s="4"/>
      <c r="Z1409" s="4"/>
    </row>
    <row r="1410" ht="15.75" customHeight="1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 t="str">
        <f>IFERROR(__xludf.DUMMYFUNCTION("""COMPUTED_VALUE"""),"emergency burst pipe repair")</f>
        <v>emergency burst pipe repair</v>
      </c>
      <c r="U1410" s="4"/>
      <c r="V1410" s="4"/>
      <c r="W1410" s="4"/>
      <c r="X1410" s="4"/>
      <c r="Y1410" s="4"/>
      <c r="Z1410" s="4"/>
    </row>
    <row r="1411" ht="15.75" customHeight="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 t="str">
        <f>IFERROR(__xludf.DUMMYFUNCTION("""COMPUTED_VALUE"""),"emergency cold room repair")</f>
        <v>emergency cold room repair</v>
      </c>
      <c r="U1411" s="4"/>
      <c r="V1411" s="4"/>
      <c r="W1411" s="4"/>
      <c r="X1411" s="4"/>
      <c r="Y1411" s="4"/>
      <c r="Z1411" s="4"/>
    </row>
    <row r="1412" ht="15.75" customHeight="1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 t="str">
        <f>IFERROR(__xludf.DUMMYFUNCTION("""COMPUTED_VALUE"""),"emergency commercial electrician")</f>
        <v>emergency commercial electrician</v>
      </c>
      <c r="U1412" s="4"/>
      <c r="V1412" s="4"/>
      <c r="W1412" s="4"/>
      <c r="X1412" s="4"/>
      <c r="Y1412" s="4"/>
      <c r="Z1412" s="4"/>
    </row>
    <row r="1413" ht="15.75" customHeight="1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 t="str">
        <f>IFERROR(__xludf.DUMMYFUNCTION("""COMPUTED_VALUE"""),"emergency commercial plumber")</f>
        <v>emergency commercial plumber</v>
      </c>
      <c r="U1413" s="4"/>
      <c r="V1413" s="4"/>
      <c r="W1413" s="4"/>
      <c r="X1413" s="4"/>
      <c r="Y1413" s="4"/>
      <c r="Z1413" s="4"/>
    </row>
    <row r="1414" ht="15.75" customHeight="1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 t="str">
        <f>IFERROR(__xludf.DUMMYFUNCTION("""COMPUTED_VALUE"""),"emergency commercial refrigeration")</f>
        <v>emergency commercial refrigeration</v>
      </c>
      <c r="U1414" s="4"/>
      <c r="V1414" s="4"/>
      <c r="W1414" s="4"/>
      <c r="X1414" s="4"/>
      <c r="Y1414" s="4"/>
      <c r="Z1414" s="4"/>
    </row>
    <row r="1415" ht="15.75" customHeight="1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 t="str">
        <f>IFERROR(__xludf.DUMMYFUNCTION("""COMPUTED_VALUE"""),"emergency drain cleaning")</f>
        <v>emergency drain cleaning</v>
      </c>
      <c r="U1415" s="4"/>
      <c r="V1415" s="4"/>
      <c r="W1415" s="4"/>
      <c r="X1415" s="4"/>
      <c r="Y1415" s="4"/>
      <c r="Z1415" s="4"/>
    </row>
    <row r="1416" ht="15.75" customHeight="1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 t="str">
        <f>IFERROR(__xludf.DUMMYFUNCTION("""COMPUTED_VALUE"""),"emergency drain inspection")</f>
        <v>emergency drain inspection</v>
      </c>
      <c r="U1416" s="4"/>
      <c r="V1416" s="4"/>
      <c r="W1416" s="4"/>
      <c r="X1416" s="4"/>
      <c r="Y1416" s="4"/>
      <c r="Z1416" s="4"/>
    </row>
    <row r="1417" ht="15.75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 t="str">
        <f>IFERROR(__xludf.DUMMYFUNCTION("""COMPUTED_VALUE"""),"emergency drain unblocking")</f>
        <v>emergency drain unblocking</v>
      </c>
      <c r="U1417" s="4"/>
      <c r="V1417" s="4"/>
      <c r="W1417" s="4"/>
      <c r="X1417" s="4"/>
      <c r="Y1417" s="4"/>
      <c r="Z1417" s="4"/>
    </row>
    <row r="1418" ht="15.75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 t="str">
        <f>IFERROR(__xludf.DUMMYFUNCTION("""COMPUTED_VALUE"""),"emergency electrical compliance certificate")</f>
        <v>emergency electrical compliance certificate</v>
      </c>
      <c r="U1418" s="4"/>
      <c r="V1418" s="4"/>
      <c r="W1418" s="4"/>
      <c r="X1418" s="4"/>
      <c r="Y1418" s="4"/>
      <c r="Z1418" s="4"/>
    </row>
    <row r="1419" ht="15.75" customHeight="1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 t="str">
        <f>IFERROR(__xludf.DUMMYFUNCTION("""COMPUTED_VALUE"""),"emergency electrical contractor")</f>
        <v>emergency electrical contractor</v>
      </c>
      <c r="U1419" s="4"/>
      <c r="V1419" s="4"/>
      <c r="W1419" s="4"/>
      <c r="X1419" s="4"/>
      <c r="Y1419" s="4"/>
      <c r="Z1419" s="4"/>
    </row>
    <row r="1420" ht="15.75" customHeight="1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 t="str">
        <f>IFERROR(__xludf.DUMMYFUNCTION("""COMPUTED_VALUE"""),"emergency electrical installation")</f>
        <v>emergency electrical installation</v>
      </c>
      <c r="U1420" s="4"/>
      <c r="V1420" s="4"/>
      <c r="W1420" s="4"/>
      <c r="X1420" s="4"/>
      <c r="Y1420" s="4"/>
      <c r="Z1420" s="4"/>
    </row>
    <row r="1421" ht="15.75" customHeight="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 t="str">
        <f>IFERROR(__xludf.DUMMYFUNCTION("""COMPUTED_VALUE"""),"emergency electrical maintenance")</f>
        <v>emergency electrical maintenance</v>
      </c>
      <c r="U1421" s="4"/>
      <c r="V1421" s="4"/>
      <c r="W1421" s="4"/>
      <c r="X1421" s="4"/>
      <c r="Y1421" s="4"/>
      <c r="Z1421" s="4"/>
    </row>
    <row r="1422" ht="15.75" customHeight="1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 t="str">
        <f>IFERROR(__xludf.DUMMYFUNCTION("""COMPUTED_VALUE"""),"emergency electrical repairs")</f>
        <v>emergency electrical repairs</v>
      </c>
      <c r="U1422" s="4"/>
      <c r="V1422" s="4"/>
      <c r="W1422" s="4"/>
      <c r="X1422" s="4"/>
      <c r="Y1422" s="4"/>
      <c r="Z1422" s="4"/>
    </row>
    <row r="1423" ht="15.75" customHeight="1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 t="str">
        <f>IFERROR(__xludf.DUMMYFUNCTION("""COMPUTED_VALUE"""),"emergency electrical services")</f>
        <v>emergency electrical services</v>
      </c>
      <c r="U1423" s="4"/>
      <c r="V1423" s="4"/>
      <c r="W1423" s="4"/>
      <c r="X1423" s="4"/>
      <c r="Y1423" s="4"/>
      <c r="Z1423" s="4"/>
    </row>
    <row r="1424" ht="15.75" customHeight="1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 t="str">
        <f>IFERROR(__xludf.DUMMYFUNCTION("""COMPUTED_VALUE"""),"emergency electrician")</f>
        <v>emergency electrician</v>
      </c>
      <c r="U1424" s="4"/>
      <c r="V1424" s="4"/>
      <c r="W1424" s="4"/>
      <c r="X1424" s="4"/>
      <c r="Y1424" s="4"/>
      <c r="Z1424" s="4"/>
    </row>
    <row r="1425" ht="15.75" customHeight="1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 t="str">
        <f>IFERROR(__xludf.DUMMYFUNCTION("""COMPUTED_VALUE"""),"emergency electrician affordable")</f>
        <v>emergency electrician affordable</v>
      </c>
      <c r="U1425" s="4"/>
      <c r="V1425" s="4"/>
      <c r="W1425" s="4"/>
      <c r="X1425" s="4"/>
      <c r="Y1425" s="4"/>
      <c r="Z1425" s="4"/>
    </row>
    <row r="1426" ht="15.75" customHeight="1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 t="str">
        <f>IFERROR(__xludf.DUMMYFUNCTION("""COMPUTED_VALUE"""),"emergency electrician call out")</f>
        <v>emergency electrician call out</v>
      </c>
      <c r="U1426" s="4"/>
      <c r="V1426" s="4"/>
      <c r="W1426" s="4"/>
      <c r="X1426" s="4"/>
      <c r="Y1426" s="4"/>
      <c r="Z1426" s="4"/>
    </row>
    <row r="1427" ht="15.75" customHeight="1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 t="str">
        <f>IFERROR(__xludf.DUMMYFUNCTION("""COMPUTED_VALUE"""),"emergency electrician cape town")</f>
        <v>emergency electrician cape town</v>
      </c>
      <c r="U1427" s="4"/>
      <c r="V1427" s="4"/>
      <c r="W1427" s="4"/>
      <c r="X1427" s="4"/>
      <c r="Y1427" s="4"/>
      <c r="Z1427" s="4"/>
    </row>
    <row r="1428" ht="15.75" customHeight="1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 t="str">
        <f>IFERROR(__xludf.DUMMYFUNCTION("""COMPUTED_VALUE"""),"emergency electrician COC")</f>
        <v>emergency electrician COC</v>
      </c>
      <c r="U1428" s="4"/>
      <c r="V1428" s="4"/>
      <c r="W1428" s="4"/>
      <c r="X1428" s="4"/>
      <c r="Y1428" s="4"/>
      <c r="Z1428" s="4"/>
    </row>
    <row r="1429" ht="15.75" customHeight="1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 t="str">
        <f>IFERROR(__xludf.DUMMYFUNCTION("""COMPUTED_VALUE"""),"emergency electrician company")</f>
        <v>emergency electrician company</v>
      </c>
      <c r="U1429" s="4"/>
      <c r="V1429" s="4"/>
      <c r="W1429" s="4"/>
      <c r="X1429" s="4"/>
      <c r="Y1429" s="4"/>
      <c r="Z1429" s="4"/>
    </row>
    <row r="1430" ht="15.75" customHeight="1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 t="str">
        <f>IFERROR(__xludf.DUMMYFUNCTION("""COMPUTED_VALUE"""),"emergency electrician contractor")</f>
        <v>emergency electrician contractor</v>
      </c>
      <c r="U1430" s="4"/>
      <c r="V1430" s="4"/>
      <c r="W1430" s="4"/>
      <c r="X1430" s="4"/>
      <c r="Y1430" s="4"/>
      <c r="Z1430" s="4"/>
    </row>
    <row r="1431" ht="15.75" customHeight="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 t="str">
        <f>IFERROR(__xludf.DUMMYFUNCTION("""COMPUTED_VALUE"""),"emergency electrician cost")</f>
        <v>emergency electrician cost</v>
      </c>
      <c r="U1431" s="4"/>
      <c r="V1431" s="4"/>
      <c r="W1431" s="4"/>
      <c r="X1431" s="4"/>
      <c r="Y1431" s="4"/>
      <c r="Z1431" s="4"/>
    </row>
    <row r="1432" ht="15.75" customHeight="1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 t="str">
        <f>IFERROR(__xludf.DUMMYFUNCTION("""COMPUTED_VALUE"""),"emergency electrician inspection")</f>
        <v>emergency electrician inspection</v>
      </c>
      <c r="U1432" s="4"/>
      <c r="V1432" s="4"/>
      <c r="W1432" s="4"/>
      <c r="X1432" s="4"/>
      <c r="Y1432" s="4"/>
      <c r="Z1432" s="4"/>
    </row>
    <row r="1433" ht="15.75" customHeight="1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 t="str">
        <f>IFERROR(__xludf.DUMMYFUNCTION("""COMPUTED_VALUE"""),"emergency electrician installation")</f>
        <v>emergency electrician installation</v>
      </c>
      <c r="U1433" s="4"/>
      <c r="V1433" s="4"/>
      <c r="W1433" s="4"/>
      <c r="X1433" s="4"/>
      <c r="Y1433" s="4"/>
      <c r="Z1433" s="4"/>
    </row>
    <row r="1434" ht="15.75" customHeight="1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 t="str">
        <f>IFERROR(__xludf.DUMMYFUNCTION("""COMPUTED_VALUE"""),"emergency electrician licensed")</f>
        <v>emergency electrician licensed</v>
      </c>
      <c r="U1434" s="4"/>
      <c r="V1434" s="4"/>
      <c r="W1434" s="4"/>
      <c r="X1434" s="4"/>
      <c r="Y1434" s="4"/>
      <c r="Z1434" s="4"/>
    </row>
    <row r="1435" ht="15.75" customHeight="1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 t="str">
        <f>IFERROR(__xludf.DUMMYFUNCTION("""COMPUTED_VALUE"""),"emergency electrician local")</f>
        <v>emergency electrician local</v>
      </c>
      <c r="U1435" s="4"/>
      <c r="V1435" s="4"/>
      <c r="W1435" s="4"/>
      <c r="X1435" s="4"/>
      <c r="Y1435" s="4"/>
      <c r="Z1435" s="4"/>
    </row>
    <row r="1436" ht="15.75" customHeight="1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 t="str">
        <f>IFERROR(__xludf.DUMMYFUNCTION("""COMPUTED_VALUE"""),"emergency electrician near me")</f>
        <v>emergency electrician near me</v>
      </c>
      <c r="U1436" s="4"/>
      <c r="V1436" s="4"/>
      <c r="W1436" s="4"/>
      <c r="X1436" s="4"/>
      <c r="Y1436" s="4"/>
      <c r="Z1436" s="4"/>
    </row>
    <row r="1437" ht="15.75" customHeight="1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 t="str">
        <f>IFERROR(__xludf.DUMMYFUNCTION("""COMPUTED_VALUE"""),"emergency electrician professional")</f>
        <v>emergency electrician professional</v>
      </c>
      <c r="U1437" s="4"/>
      <c r="V1437" s="4"/>
      <c r="W1437" s="4"/>
      <c r="X1437" s="4"/>
      <c r="Y1437" s="4"/>
      <c r="Z1437" s="4"/>
    </row>
    <row r="1438" ht="15.75" customHeight="1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 t="str">
        <f>IFERROR(__xludf.DUMMYFUNCTION("""COMPUTED_VALUE"""),"emergency electrician qualified")</f>
        <v>emergency electrician qualified</v>
      </c>
      <c r="U1438" s="4"/>
      <c r="V1438" s="4"/>
      <c r="W1438" s="4"/>
      <c r="X1438" s="4"/>
      <c r="Y1438" s="4"/>
      <c r="Z1438" s="4"/>
    </row>
    <row r="1439" ht="15.75" customHeight="1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 t="str">
        <f>IFERROR(__xludf.DUMMYFUNCTION("""COMPUTED_VALUE"""),"emergency electrician quote")</f>
        <v>emergency electrician quote</v>
      </c>
      <c r="U1439" s="4"/>
      <c r="V1439" s="4"/>
      <c r="W1439" s="4"/>
      <c r="X1439" s="4"/>
      <c r="Y1439" s="4"/>
      <c r="Z1439" s="4"/>
    </row>
    <row r="1440" ht="15.75" customHeight="1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 t="str">
        <f>IFERROR(__xludf.DUMMYFUNCTION("""COMPUTED_VALUE"""),"emergency electrician reliable")</f>
        <v>emergency electrician reliable</v>
      </c>
      <c r="U1440" s="4"/>
      <c r="V1440" s="4"/>
      <c r="W1440" s="4"/>
      <c r="X1440" s="4"/>
      <c r="Y1440" s="4"/>
      <c r="Z1440" s="4"/>
    </row>
    <row r="1441" ht="15.75" customHeight="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 t="str">
        <f>IFERROR(__xludf.DUMMYFUNCTION("""COMPUTED_VALUE"""),"emergency electrician repair")</f>
        <v>emergency electrician repair</v>
      </c>
      <c r="U1441" s="4"/>
      <c r="V1441" s="4"/>
      <c r="W1441" s="4"/>
      <c r="X1441" s="4"/>
      <c r="Y1441" s="4"/>
      <c r="Z1441" s="4"/>
    </row>
    <row r="1442" ht="15.75" customHeight="1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 t="str">
        <f>IFERROR(__xludf.DUMMYFUNCTION("""COMPUTED_VALUE"""),"emergency electrician same day")</f>
        <v>emergency electrician same day</v>
      </c>
      <c r="U1442" s="4"/>
      <c r="V1442" s="4"/>
      <c r="W1442" s="4"/>
      <c r="X1442" s="4"/>
      <c r="Y1442" s="4"/>
      <c r="Z1442" s="4"/>
    </row>
    <row r="1443" ht="15.75" customHeight="1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 t="str">
        <f>IFERROR(__xludf.DUMMYFUNCTION("""COMPUTED_VALUE"""),"emergency electrician service")</f>
        <v>emergency electrician service</v>
      </c>
      <c r="U1443" s="4"/>
      <c r="V1443" s="4"/>
      <c r="W1443" s="4"/>
      <c r="X1443" s="4"/>
      <c r="Y1443" s="4"/>
      <c r="Z1443" s="4"/>
    </row>
    <row r="1444" ht="15.75" customHeight="1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 t="str">
        <f>IFERROR(__xludf.DUMMYFUNCTION("""COMPUTED_VALUE"""),"emergency fridge repair")</f>
        <v>emergency fridge repair</v>
      </c>
      <c r="U1444" s="4"/>
      <c r="V1444" s="4"/>
      <c r="W1444" s="4"/>
      <c r="X1444" s="4"/>
      <c r="Y1444" s="4"/>
      <c r="Z1444" s="4"/>
    </row>
    <row r="1445" ht="15.75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 t="str">
        <f>IFERROR(__xludf.DUMMYFUNCTION("""COMPUTED_VALUE"""),"emergency geyser repair")</f>
        <v>emergency geyser repair</v>
      </c>
      <c r="U1445" s="4"/>
      <c r="V1445" s="4"/>
      <c r="W1445" s="4"/>
      <c r="X1445" s="4"/>
      <c r="Y1445" s="4"/>
      <c r="Z1445" s="4"/>
    </row>
    <row r="1446" ht="15.75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 t="str">
        <f>IFERROR(__xludf.DUMMYFUNCTION("""COMPUTED_VALUE"""),"emergency geyser replacement")</f>
        <v>emergency geyser replacement</v>
      </c>
      <c r="U1446" s="4"/>
      <c r="V1446" s="4"/>
      <c r="W1446" s="4"/>
      <c r="X1446" s="4"/>
      <c r="Y1446" s="4"/>
      <c r="Z1446" s="4"/>
    </row>
    <row r="1447" ht="15.75" customHeight="1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 t="str">
        <f>IFERROR(__xludf.DUMMYFUNCTION("""COMPUTED_VALUE"""),"emergency help for aircon service")</f>
        <v>emergency help for aircon service</v>
      </c>
      <c r="U1447" s="4"/>
      <c r="V1447" s="4"/>
      <c r="W1447" s="4"/>
      <c r="X1447" s="4"/>
      <c r="Y1447" s="4"/>
      <c r="Z1447" s="4"/>
    </row>
    <row r="1448" ht="15.75" customHeight="1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 t="str">
        <f>IFERROR(__xludf.DUMMYFUNCTION("""COMPUTED_VALUE"""),"emergency help for blocked drain")</f>
        <v>emergency help for blocked drain</v>
      </c>
      <c r="U1448" s="4"/>
      <c r="V1448" s="4"/>
      <c r="W1448" s="4"/>
      <c r="X1448" s="4"/>
      <c r="Y1448" s="4"/>
      <c r="Z1448" s="4"/>
    </row>
    <row r="1449" ht="15.75" customHeight="1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 t="str">
        <f>IFERROR(__xludf.DUMMYFUNCTION("""COMPUTED_VALUE"""),"emergency help for burst pipe")</f>
        <v>emergency help for burst pipe</v>
      </c>
      <c r="U1449" s="4"/>
      <c r="V1449" s="4"/>
      <c r="W1449" s="4"/>
      <c r="X1449" s="4"/>
      <c r="Y1449" s="4"/>
      <c r="Z1449" s="4"/>
    </row>
    <row r="1450" ht="15.75" customHeight="1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 t="str">
        <f>IFERROR(__xludf.DUMMYFUNCTION("""COMPUTED_VALUE"""),"emergency help for electrical COC")</f>
        <v>emergency help for electrical COC</v>
      </c>
      <c r="U1450" s="4"/>
      <c r="V1450" s="4"/>
      <c r="W1450" s="4"/>
      <c r="X1450" s="4"/>
      <c r="Y1450" s="4"/>
      <c r="Z1450" s="4"/>
    </row>
    <row r="1451" ht="15.75" customHeight="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 t="str">
        <f>IFERROR(__xludf.DUMMYFUNCTION("""COMPUTED_VALUE"""),"emergency help for emergency plumber")</f>
        <v>emergency help for emergency plumber</v>
      </c>
      <c r="U1451" s="4"/>
      <c r="V1451" s="4"/>
      <c r="W1451" s="4"/>
      <c r="X1451" s="4"/>
      <c r="Y1451" s="4"/>
      <c r="Z1451" s="4"/>
    </row>
    <row r="1452" ht="15.75" customHeight="1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 t="str">
        <f>IFERROR(__xludf.DUMMYFUNCTION("""COMPUTED_VALUE"""),"emergency help for geyser repair")</f>
        <v>emergency help for geyser repair</v>
      </c>
      <c r="U1452" s="4"/>
      <c r="V1452" s="4"/>
      <c r="W1452" s="4"/>
      <c r="X1452" s="4"/>
      <c r="Y1452" s="4"/>
      <c r="Z1452" s="4"/>
    </row>
    <row r="1453" ht="15.75" customHeight="1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 t="str">
        <f>IFERROR(__xludf.DUMMYFUNCTION("""COMPUTED_VALUE"""),"emergency help for leak detection")</f>
        <v>emergency help for leak detection</v>
      </c>
      <c r="U1453" s="4"/>
      <c r="V1453" s="4"/>
      <c r="W1453" s="4"/>
      <c r="X1453" s="4"/>
      <c r="Y1453" s="4"/>
      <c r="Z1453" s="4"/>
    </row>
    <row r="1454" ht="15.75" customHeight="1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 t="str">
        <f>IFERROR(__xludf.DUMMYFUNCTION("""COMPUTED_VALUE"""),"emergency help for plumber cost")</f>
        <v>emergency help for plumber cost</v>
      </c>
      <c r="U1454" s="4"/>
      <c r="V1454" s="4"/>
      <c r="W1454" s="4"/>
      <c r="X1454" s="4"/>
      <c r="Y1454" s="4"/>
      <c r="Z1454" s="4"/>
    </row>
    <row r="1455" ht="15.75" customHeight="1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 t="str">
        <f>IFERROR(__xludf.DUMMYFUNCTION("""COMPUTED_VALUE"""),"emergency help for plumbing maintenance")</f>
        <v>emergency help for plumbing maintenance</v>
      </c>
      <c r="U1455" s="4"/>
      <c r="V1455" s="4"/>
      <c r="W1455" s="4"/>
      <c r="X1455" s="4"/>
      <c r="Y1455" s="4"/>
      <c r="Z1455" s="4"/>
    </row>
    <row r="1456" ht="15.75" customHeight="1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 t="str">
        <f>IFERROR(__xludf.DUMMYFUNCTION("""COMPUTED_VALUE"""),"emergency help for refrigeration repair")</f>
        <v>emergency help for refrigeration repair</v>
      </c>
      <c r="U1456" s="4"/>
      <c r="V1456" s="4"/>
      <c r="W1456" s="4"/>
      <c r="X1456" s="4"/>
      <c r="Y1456" s="4"/>
      <c r="Z1456" s="4"/>
    </row>
    <row r="1457" ht="15.75" customHeight="1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 t="str">
        <f>IFERROR(__xludf.DUMMYFUNCTION("""COMPUTED_VALUE"""),"emergency HVAC services")</f>
        <v>emergency HVAC services</v>
      </c>
      <c r="U1457" s="4"/>
      <c r="V1457" s="4"/>
      <c r="W1457" s="4"/>
      <c r="X1457" s="4"/>
      <c r="Y1457" s="4"/>
      <c r="Z1457" s="4"/>
    </row>
    <row r="1458" ht="15.75" customHeight="1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 t="str">
        <f>IFERROR(__xludf.DUMMYFUNCTION("""COMPUTED_VALUE"""),"emergency kitchen plumbing repair")</f>
        <v>emergency kitchen plumbing repair</v>
      </c>
      <c r="U1458" s="4"/>
      <c r="V1458" s="4"/>
      <c r="W1458" s="4"/>
      <c r="X1458" s="4"/>
      <c r="Y1458" s="4"/>
      <c r="Z1458" s="4"/>
    </row>
    <row r="1459" ht="15.75" customHeight="1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 t="str">
        <f>IFERROR(__xludf.DUMMYFUNCTION("""COMPUTED_VALUE"""),"emergency leak detection")</f>
        <v>emergency leak detection</v>
      </c>
      <c r="U1459" s="4"/>
      <c r="V1459" s="4"/>
      <c r="W1459" s="4"/>
      <c r="X1459" s="4"/>
      <c r="Y1459" s="4"/>
      <c r="Z1459" s="4"/>
    </row>
    <row r="1460" ht="15.75" customHeight="1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 t="str">
        <f>IFERROR(__xludf.DUMMYFUNCTION("""COMPUTED_VALUE"""),"emergency leaking pipe repair")</f>
        <v>emergency leaking pipe repair</v>
      </c>
      <c r="U1460" s="4"/>
      <c r="V1460" s="4"/>
      <c r="W1460" s="4"/>
      <c r="X1460" s="4"/>
      <c r="Y1460" s="4"/>
      <c r="Z1460" s="4"/>
    </row>
    <row r="1461" ht="15.75" customHeight="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 t="str">
        <f>IFERROR(__xludf.DUMMYFUNCTION("""COMPUTED_VALUE"""),"emergency leaking tap repair")</f>
        <v>emergency leaking tap repair</v>
      </c>
      <c r="U1461" s="4"/>
      <c r="V1461" s="4"/>
      <c r="W1461" s="4"/>
      <c r="X1461" s="4"/>
      <c r="Y1461" s="4"/>
      <c r="Z1461" s="4"/>
    </row>
    <row r="1462" ht="15.75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 t="str">
        <f>IFERROR(__xludf.DUMMYFUNCTION("""COMPUTED_VALUE"""),"emergency maintenance plumber")</f>
        <v>emergency maintenance plumber</v>
      </c>
      <c r="U1462" s="4"/>
      <c r="V1462" s="4"/>
      <c r="W1462" s="4"/>
      <c r="X1462" s="4"/>
      <c r="Y1462" s="4"/>
      <c r="Z1462" s="4"/>
    </row>
    <row r="1463" ht="15.75" customHeight="1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 t="str">
        <f>IFERROR(__xludf.DUMMYFUNCTION("""COMPUTED_VALUE"""),"emergency pipe repair")</f>
        <v>emergency pipe repair</v>
      </c>
      <c r="U1463" s="4"/>
      <c r="V1463" s="4"/>
      <c r="W1463" s="4"/>
      <c r="X1463" s="4"/>
      <c r="Y1463" s="4"/>
      <c r="Z1463" s="4"/>
    </row>
    <row r="1464" ht="15.75" customHeight="1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 t="str">
        <f>IFERROR(__xludf.DUMMYFUNCTION("""COMPUTED_VALUE"""),"emergency plumber")</f>
        <v>emergency plumber</v>
      </c>
      <c r="U1464" s="4"/>
      <c r="V1464" s="4"/>
      <c r="W1464" s="4"/>
      <c r="X1464" s="4"/>
      <c r="Y1464" s="4"/>
      <c r="Z1464" s="4"/>
    </row>
    <row r="1465" ht="15.75" customHeight="1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 t="str">
        <f>IFERROR(__xludf.DUMMYFUNCTION("""COMPUTED_VALUE"""),"emergency plumber after hours")</f>
        <v>emergency plumber after hours</v>
      </c>
      <c r="U1465" s="4"/>
      <c r="V1465" s="4"/>
      <c r="W1465" s="4"/>
      <c r="X1465" s="4"/>
      <c r="Y1465" s="4"/>
      <c r="Z1465" s="4"/>
    </row>
    <row r="1466" ht="15.75" customHeight="1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 t="str">
        <f>IFERROR(__xludf.DUMMYFUNCTION("""COMPUTED_VALUE"""),"emergency plumber Atlantic Seaboard")</f>
        <v>emergency plumber Atlantic Seaboard</v>
      </c>
      <c r="U1466" s="4"/>
      <c r="V1466" s="4"/>
      <c r="W1466" s="4"/>
      <c r="X1466" s="4"/>
      <c r="Y1466" s="4"/>
      <c r="Z1466" s="4"/>
    </row>
    <row r="1467" ht="15.75" customHeight="1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 t="str">
        <f>IFERROR(__xludf.DUMMYFUNCTION("""COMPUTED_VALUE"""),"emergency plumber Bellville")</f>
        <v>emergency plumber Bellville</v>
      </c>
      <c r="U1467" s="4"/>
      <c r="V1467" s="4"/>
      <c r="W1467" s="4"/>
      <c r="X1467" s="4"/>
      <c r="Y1467" s="4"/>
      <c r="Z1467" s="4"/>
    </row>
    <row r="1468" ht="15.75" customHeight="1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 t="str">
        <f>IFERROR(__xludf.DUMMYFUNCTION("""COMPUTED_VALUE"""),"emergency plumber best way to fix")</f>
        <v>emergency plumber best way to fix</v>
      </c>
      <c r="U1468" s="4"/>
      <c r="V1468" s="4"/>
      <c r="W1468" s="4"/>
      <c r="X1468" s="4"/>
      <c r="Y1468" s="4"/>
      <c r="Z1468" s="4"/>
    </row>
    <row r="1469" ht="15.75" customHeight="1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 t="str">
        <f>IFERROR(__xludf.DUMMYFUNCTION("""COMPUTED_VALUE"""),"emergency plumber call out")</f>
        <v>emergency plumber call out</v>
      </c>
      <c r="U1469" s="4"/>
      <c r="V1469" s="4"/>
      <c r="W1469" s="4"/>
      <c r="X1469" s="4"/>
      <c r="Y1469" s="4"/>
      <c r="Z1469" s="4"/>
    </row>
    <row r="1470" ht="15.75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 t="str">
        <f>IFERROR(__xludf.DUMMYFUNCTION("""COMPUTED_VALUE"""),"emergency plumber Camps Bay")</f>
        <v>emergency plumber Camps Bay</v>
      </c>
      <c r="U1470" s="4"/>
      <c r="V1470" s="4"/>
      <c r="W1470" s="4"/>
      <c r="X1470" s="4"/>
      <c r="Y1470" s="4"/>
      <c r="Z1470" s="4"/>
    </row>
    <row r="1471" ht="15.75" customHeight="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 t="str">
        <f>IFERROR(__xludf.DUMMYFUNCTION("""COMPUTED_VALUE"""),"emergency plumber can a plumber fix")</f>
        <v>emergency plumber can a plumber fix</v>
      </c>
      <c r="U1471" s="4"/>
      <c r="V1471" s="4"/>
      <c r="W1471" s="4"/>
      <c r="X1471" s="4"/>
      <c r="Y1471" s="4"/>
      <c r="Z1471" s="4"/>
    </row>
    <row r="1472" ht="15.75" customHeight="1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 t="str">
        <f>IFERROR(__xludf.DUMMYFUNCTION("""COMPUTED_VALUE"""),"emergency plumber cape town")</f>
        <v>emergency plumber cape town</v>
      </c>
      <c r="U1472" s="4"/>
      <c r="V1472" s="4"/>
      <c r="W1472" s="4"/>
      <c r="X1472" s="4"/>
      <c r="Y1472" s="4"/>
      <c r="Z1472" s="4"/>
    </row>
    <row r="1473" ht="15.75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 t="str">
        <f>IFERROR(__xludf.DUMMYFUNCTION("""COMPUTED_VALUE"""),"emergency plumber Cape Town")</f>
        <v>emergency plumber Cape Town</v>
      </c>
      <c r="U1473" s="4"/>
      <c r="V1473" s="4"/>
      <c r="W1473" s="4"/>
      <c r="X1473" s="4"/>
      <c r="Y1473" s="4"/>
      <c r="Z1473" s="4"/>
    </row>
    <row r="1474" ht="15.75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 t="str">
        <f>IFERROR(__xludf.DUMMYFUNCTION("""COMPUTED_VALUE"""),"emergency plumber cape town 24 hour")</f>
        <v>emergency plumber cape town 24 hour</v>
      </c>
      <c r="U1474" s="4"/>
      <c r="V1474" s="4"/>
      <c r="W1474" s="4"/>
      <c r="X1474" s="4"/>
      <c r="Y1474" s="4"/>
      <c r="Z1474" s="4"/>
    </row>
    <row r="1475" ht="15.75" customHeight="1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 t="str">
        <f>IFERROR(__xludf.DUMMYFUNCTION("""COMPUTED_VALUE"""),"emergency plumber cape town affordable")</f>
        <v>emergency plumber cape town affordable</v>
      </c>
      <c r="U1475" s="4"/>
      <c r="V1475" s="4"/>
      <c r="W1475" s="4"/>
      <c r="X1475" s="4"/>
      <c r="Y1475" s="4"/>
      <c r="Z1475" s="4"/>
    </row>
    <row r="1476" ht="15.75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 t="str">
        <f>IFERROR(__xludf.DUMMYFUNCTION("""COMPUTED_VALUE"""),"emergency plumber cape town alternatives")</f>
        <v>emergency plumber cape town alternatives</v>
      </c>
      <c r="U1476" s="4"/>
      <c r="V1476" s="4"/>
      <c r="W1476" s="4"/>
      <c r="X1476" s="4"/>
      <c r="Y1476" s="4"/>
      <c r="Z1476" s="4"/>
    </row>
    <row r="1477" ht="15.75" customHeight="1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 t="str">
        <f>IFERROR(__xludf.DUMMYFUNCTION("""COMPUTED_VALUE"""),"emergency plumber cape town best")</f>
        <v>emergency plumber cape town best</v>
      </c>
      <c r="U1477" s="4"/>
      <c r="V1477" s="4"/>
      <c r="W1477" s="4"/>
      <c r="X1477" s="4"/>
      <c r="Y1477" s="4"/>
      <c r="Z1477" s="4"/>
    </row>
    <row r="1478" ht="15.75" customHeight="1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 t="str">
        <f>IFERROR(__xludf.DUMMYFUNCTION("""COMPUTED_VALUE"""),"emergency plumber Cape Town CBD")</f>
        <v>emergency plumber Cape Town CBD</v>
      </c>
      <c r="U1478" s="4"/>
      <c r="V1478" s="4"/>
      <c r="W1478" s="4"/>
      <c r="X1478" s="4"/>
      <c r="Y1478" s="4"/>
      <c r="Z1478" s="4"/>
    </row>
    <row r="1479" ht="15.75" customHeight="1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 t="str">
        <f>IFERROR(__xludf.DUMMYFUNCTION("""COMPUTED_VALUE"""),"emergency plumber cape town certified")</f>
        <v>emergency plumber cape town certified</v>
      </c>
      <c r="U1479" s="4"/>
      <c r="V1479" s="4"/>
      <c r="W1479" s="4"/>
      <c r="X1479" s="4"/>
      <c r="Y1479" s="4"/>
      <c r="Z1479" s="4"/>
    </row>
    <row r="1480" ht="15.75" customHeight="1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 t="str">
        <f>IFERROR(__xludf.DUMMYFUNCTION("""COMPUTED_VALUE"""),"emergency plumber cape town compare")</f>
        <v>emergency plumber cape town compare</v>
      </c>
      <c r="U1480" s="4"/>
      <c r="V1480" s="4"/>
      <c r="W1480" s="4"/>
      <c r="X1480" s="4"/>
      <c r="Y1480" s="4"/>
      <c r="Z1480" s="4"/>
    </row>
    <row r="1481" ht="15.75" customHeight="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 t="str">
        <f>IFERROR(__xludf.DUMMYFUNCTION("""COMPUTED_VALUE"""),"emergency plumber cape town complaints")</f>
        <v>emergency plumber cape town complaints</v>
      </c>
      <c r="U1481" s="4"/>
      <c r="V1481" s="4"/>
      <c r="W1481" s="4"/>
      <c r="X1481" s="4"/>
      <c r="Y1481" s="4"/>
      <c r="Z1481" s="4"/>
    </row>
    <row r="1482" ht="15.75" customHeight="1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 t="str">
        <f>IFERROR(__xludf.DUMMYFUNCTION("""COMPUTED_VALUE"""),"emergency plumber cape town cost")</f>
        <v>emergency plumber cape town cost</v>
      </c>
      <c r="U1482" s="4"/>
      <c r="V1482" s="4"/>
      <c r="W1482" s="4"/>
      <c r="X1482" s="4"/>
      <c r="Y1482" s="4"/>
      <c r="Z1482" s="4"/>
    </row>
    <row r="1483" ht="15.75" customHeight="1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 t="str">
        <f>IFERROR(__xludf.DUMMYFUNCTION("""COMPUTED_VALUE"""),"emergency plumber cape town insured")</f>
        <v>emergency plumber cape town insured</v>
      </c>
      <c r="U1483" s="4"/>
      <c r="V1483" s="4"/>
      <c r="W1483" s="4"/>
      <c r="X1483" s="4"/>
      <c r="Y1483" s="4"/>
      <c r="Z1483" s="4"/>
    </row>
    <row r="1484" ht="15.75" customHeight="1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 t="str">
        <f>IFERROR(__xludf.DUMMYFUNCTION("""COMPUTED_VALUE"""),"emergency plumber cape town licensed")</f>
        <v>emergency plumber cape town licensed</v>
      </c>
      <c r="U1484" s="4"/>
      <c r="V1484" s="4"/>
      <c r="W1484" s="4"/>
      <c r="X1484" s="4"/>
      <c r="Y1484" s="4"/>
      <c r="Z1484" s="4"/>
    </row>
    <row r="1485" ht="15.75" customHeight="1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 t="str">
        <f>IFERROR(__xludf.DUMMYFUNCTION("""COMPUTED_VALUE"""),"emergency plumber cape town local")</f>
        <v>emergency plumber cape town local</v>
      </c>
      <c r="U1485" s="4"/>
      <c r="V1485" s="4"/>
      <c r="W1485" s="4"/>
      <c r="X1485" s="4"/>
      <c r="Y1485" s="4"/>
      <c r="Z1485" s="4"/>
    </row>
    <row r="1486" ht="15.75" customHeight="1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 t="str">
        <f>IFERROR(__xludf.DUMMYFUNCTION("""COMPUTED_VALUE"""),"emergency plumber cape town near me")</f>
        <v>emergency plumber cape town near me</v>
      </c>
      <c r="U1486" s="4"/>
      <c r="V1486" s="4"/>
      <c r="W1486" s="4"/>
      <c r="X1486" s="4"/>
      <c r="Y1486" s="4"/>
      <c r="Z1486" s="4"/>
    </row>
    <row r="1487" ht="15.75" customHeight="1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 t="str">
        <f>IFERROR(__xludf.DUMMYFUNCTION("""COMPUTED_VALUE"""),"emergency plumber cape town prices")</f>
        <v>emergency plumber cape town prices</v>
      </c>
      <c r="U1487" s="4"/>
      <c r="V1487" s="4"/>
      <c r="W1487" s="4"/>
      <c r="X1487" s="4"/>
      <c r="Y1487" s="4"/>
      <c r="Z1487" s="4"/>
    </row>
    <row r="1488" ht="15.75" customHeight="1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 t="str">
        <f>IFERROR(__xludf.DUMMYFUNCTION("""COMPUTED_VALUE"""),"emergency plumber cape town qualified")</f>
        <v>emergency plumber cape town qualified</v>
      </c>
      <c r="U1488" s="4"/>
      <c r="V1488" s="4"/>
      <c r="W1488" s="4"/>
      <c r="X1488" s="4"/>
      <c r="Y1488" s="4"/>
      <c r="Z1488" s="4"/>
    </row>
    <row r="1489" ht="15.75" customHeight="1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 t="str">
        <f>IFERROR(__xludf.DUMMYFUNCTION("""COMPUTED_VALUE"""),"emergency plumber cape town quote")</f>
        <v>emergency plumber cape town quote</v>
      </c>
      <c r="U1489" s="4"/>
      <c r="V1489" s="4"/>
      <c r="W1489" s="4"/>
      <c r="X1489" s="4"/>
      <c r="Y1489" s="4"/>
      <c r="Z1489" s="4"/>
    </row>
    <row r="1490" ht="15.75" customHeight="1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 t="str">
        <f>IFERROR(__xludf.DUMMYFUNCTION("""COMPUTED_VALUE"""),"emergency plumber cape town reliable")</f>
        <v>emergency plumber cape town reliable</v>
      </c>
      <c r="U1490" s="4"/>
      <c r="V1490" s="4"/>
      <c r="W1490" s="4"/>
      <c r="X1490" s="4"/>
      <c r="Y1490" s="4"/>
      <c r="Z1490" s="4"/>
    </row>
    <row r="1491" ht="15.75" customHeight="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 t="str">
        <f>IFERROR(__xludf.DUMMYFUNCTION("""COMPUTED_VALUE"""),"emergency plumber cape town reputable")</f>
        <v>emergency plumber cape town reputable</v>
      </c>
      <c r="U1491" s="4"/>
      <c r="V1491" s="4"/>
      <c r="W1491" s="4"/>
      <c r="X1491" s="4"/>
      <c r="Y1491" s="4"/>
      <c r="Z1491" s="4"/>
    </row>
    <row r="1492" ht="15.75" customHeight="1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 t="str">
        <f>IFERROR(__xludf.DUMMYFUNCTION("""COMPUTED_VALUE"""),"emergency plumber cape town review")</f>
        <v>emergency plumber cape town review</v>
      </c>
      <c r="U1492" s="4"/>
      <c r="V1492" s="4"/>
      <c r="W1492" s="4"/>
      <c r="X1492" s="4"/>
      <c r="Y1492" s="4"/>
      <c r="Z1492" s="4"/>
    </row>
    <row r="1493" ht="15.75" customHeight="1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 t="str">
        <f>IFERROR(__xludf.DUMMYFUNCTION("""COMPUTED_VALUE"""),"emergency plumber cape town reviews")</f>
        <v>emergency plumber cape town reviews</v>
      </c>
      <c r="U1493" s="4"/>
      <c r="V1493" s="4"/>
      <c r="W1493" s="4"/>
      <c r="X1493" s="4"/>
      <c r="Y1493" s="4"/>
      <c r="Z1493" s="4"/>
    </row>
    <row r="1494" ht="15.75" customHeight="1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 t="str">
        <f>IFERROR(__xludf.DUMMYFUNCTION("""COMPUTED_VALUE"""),"emergency plumber cape town same day")</f>
        <v>emergency plumber cape town same day</v>
      </c>
      <c r="U1494" s="4"/>
      <c r="V1494" s="4"/>
      <c r="W1494" s="4"/>
      <c r="X1494" s="4"/>
      <c r="Y1494" s="4"/>
      <c r="Z1494" s="4"/>
    </row>
    <row r="1495" ht="15.75" customHeight="1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 t="str">
        <f>IFERROR(__xludf.DUMMYFUNCTION("""COMPUTED_VALUE"""),"emergency plumber cape town top rated")</f>
        <v>emergency plumber cape town top rated</v>
      </c>
      <c r="U1495" s="4"/>
      <c r="V1495" s="4"/>
      <c r="W1495" s="4"/>
      <c r="X1495" s="4"/>
      <c r="Y1495" s="4"/>
      <c r="Z1495" s="4"/>
    </row>
    <row r="1496" ht="15.75" customHeight="1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 t="str">
        <f>IFERROR(__xludf.DUMMYFUNCTION("""COMPUTED_VALUE"""),"emergency plumber cape town trusted")</f>
        <v>emergency plumber cape town trusted</v>
      </c>
      <c r="U1496" s="4"/>
      <c r="V1496" s="4"/>
      <c r="W1496" s="4"/>
      <c r="X1496" s="4"/>
      <c r="Y1496" s="4"/>
      <c r="Z1496" s="4"/>
    </row>
    <row r="1497" ht="15.75" customHeight="1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 t="str">
        <f>IFERROR(__xludf.DUMMYFUNCTION("""COMPUTED_VALUE"""),"emergency plumber cape town vs")</f>
        <v>emergency plumber cape town vs</v>
      </c>
      <c r="U1497" s="4"/>
      <c r="V1497" s="4"/>
      <c r="W1497" s="4"/>
      <c r="X1497" s="4"/>
      <c r="Y1497" s="4"/>
      <c r="Z1497" s="4"/>
    </row>
    <row r="1498" ht="15.75" customHeight="1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 t="str">
        <f>IFERROR(__xludf.DUMMYFUNCTION("""COMPUTED_VALUE"""),"emergency plumber Claremont")</f>
        <v>emergency plumber Claremont</v>
      </c>
      <c r="U1498" s="4"/>
      <c r="V1498" s="4"/>
      <c r="W1498" s="4"/>
      <c r="X1498" s="4"/>
      <c r="Y1498" s="4"/>
      <c r="Z1498" s="4"/>
    </row>
    <row r="1499" ht="15.75" customHeight="1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 t="str">
        <f>IFERROR(__xludf.DUMMYFUNCTION("""COMPUTED_VALUE"""),"emergency plumber commercial")</f>
        <v>emergency plumber commercial</v>
      </c>
      <c r="U1499" s="4"/>
      <c r="V1499" s="4"/>
      <c r="W1499" s="4"/>
      <c r="X1499" s="4"/>
      <c r="Y1499" s="4"/>
      <c r="Z1499" s="4"/>
    </row>
    <row r="1500" ht="15.75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 t="str">
        <f>IFERROR(__xludf.DUMMYFUNCTION("""COMPUTED_VALUE"""),"emergency plumber company")</f>
        <v>emergency plumber company</v>
      </c>
      <c r="U1500" s="4"/>
      <c r="V1500" s="4"/>
      <c r="W1500" s="4"/>
      <c r="X1500" s="4"/>
      <c r="Y1500" s="4"/>
      <c r="Z1500" s="4"/>
    </row>
    <row r="1501" ht="15.75" customHeight="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 t="str">
        <f>IFERROR(__xludf.DUMMYFUNCTION("""COMPUTED_VALUE"""),"emergency plumber Constantia")</f>
        <v>emergency plumber Constantia</v>
      </c>
      <c r="U1501" s="4"/>
      <c r="V1501" s="4"/>
      <c r="W1501" s="4"/>
      <c r="X1501" s="4"/>
      <c r="Y1501" s="4"/>
      <c r="Z1501" s="4"/>
    </row>
    <row r="1502" ht="15.75" customHeight="1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 t="str">
        <f>IFERROR(__xludf.DUMMYFUNCTION("""COMPUTED_VALUE"""),"emergency plumber cost")</f>
        <v>emergency plumber cost</v>
      </c>
      <c r="U1502" s="4"/>
      <c r="V1502" s="4"/>
      <c r="W1502" s="4"/>
      <c r="X1502" s="4"/>
      <c r="Y1502" s="4"/>
      <c r="Z1502" s="4"/>
    </row>
    <row r="1503" ht="15.75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 t="str">
        <f>IFERROR(__xludf.DUMMYFUNCTION("""COMPUTED_VALUE"""),"emergency plumber cost of")</f>
        <v>emergency plumber cost of</v>
      </c>
      <c r="U1503" s="4"/>
      <c r="V1503" s="4"/>
      <c r="W1503" s="4"/>
      <c r="X1503" s="4"/>
      <c r="Y1503" s="4"/>
      <c r="Z1503" s="4"/>
    </row>
    <row r="1504" ht="15.75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 t="str">
        <f>IFERROR(__xludf.DUMMYFUNCTION("""COMPUTED_VALUE"""),"emergency plumber do I need")</f>
        <v>emergency plumber do I need</v>
      </c>
      <c r="U1504" s="4"/>
      <c r="V1504" s="4"/>
      <c r="W1504" s="4"/>
      <c r="X1504" s="4"/>
      <c r="Y1504" s="4"/>
      <c r="Z1504" s="4"/>
    </row>
    <row r="1505" ht="15.75" customHeight="1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 t="str">
        <f>IFERROR(__xludf.DUMMYFUNCTION("""COMPUTED_VALUE"""),"emergency plumber Durbanville")</f>
        <v>emergency plumber Durbanville</v>
      </c>
      <c r="U1505" s="4"/>
      <c r="V1505" s="4"/>
      <c r="W1505" s="4"/>
      <c r="X1505" s="4"/>
      <c r="Y1505" s="4"/>
      <c r="Z1505" s="4"/>
    </row>
    <row r="1506" ht="15.75" customHeight="1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 t="str">
        <f>IFERROR(__xludf.DUMMYFUNCTION("""COMPUTED_VALUE"""),"emergency plumber emergency help for")</f>
        <v>emergency plumber emergency help for</v>
      </c>
      <c r="U1506" s="4"/>
      <c r="V1506" s="4"/>
      <c r="W1506" s="4"/>
      <c r="X1506" s="4"/>
      <c r="Y1506" s="4"/>
      <c r="Z1506" s="4"/>
    </row>
    <row r="1507" ht="15.75" customHeight="1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 t="str">
        <f>IFERROR(__xludf.DUMMYFUNCTION("""COMPUTED_VALUE"""),"emergency plumber fast")</f>
        <v>emergency plumber fast</v>
      </c>
      <c r="U1507" s="4"/>
      <c r="V1507" s="4"/>
      <c r="W1507" s="4"/>
      <c r="X1507" s="4"/>
      <c r="Y1507" s="4"/>
      <c r="Z1507" s="4"/>
    </row>
    <row r="1508" ht="15.75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 t="str">
        <f>IFERROR(__xludf.DUMMYFUNCTION("""COMPUTED_VALUE"""),"emergency plumber Fish Hoek")</f>
        <v>emergency plumber Fish Hoek</v>
      </c>
      <c r="U1508" s="4"/>
      <c r="V1508" s="4"/>
      <c r="W1508" s="4"/>
      <c r="X1508" s="4"/>
      <c r="Y1508" s="4"/>
      <c r="Z1508" s="4"/>
    </row>
    <row r="1509" ht="15.75" customHeight="1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 t="str">
        <f>IFERROR(__xludf.DUMMYFUNCTION("""COMPUTED_VALUE"""),"emergency plumber Green Point")</f>
        <v>emergency plumber Green Point</v>
      </c>
      <c r="U1509" s="4"/>
      <c r="V1509" s="4"/>
      <c r="W1509" s="4"/>
      <c r="X1509" s="4"/>
      <c r="Y1509" s="4"/>
      <c r="Z1509" s="4"/>
    </row>
    <row r="1510" ht="15.75" customHeight="1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 t="str">
        <f>IFERROR(__xludf.DUMMYFUNCTION("""COMPUTED_VALUE"""),"emergency plumber Hout Bay")</f>
        <v>emergency plumber Hout Bay</v>
      </c>
      <c r="U1510" s="4"/>
      <c r="V1510" s="4"/>
      <c r="W1510" s="4"/>
      <c r="X1510" s="4"/>
      <c r="Y1510" s="4"/>
      <c r="Z1510" s="4"/>
    </row>
    <row r="1511" ht="15.75" customHeight="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 t="str">
        <f>IFERROR(__xludf.DUMMYFUNCTION("""COMPUTED_VALUE"""),"emergency plumber how long does")</f>
        <v>emergency plumber how long does</v>
      </c>
      <c r="U1511" s="4"/>
      <c r="V1511" s="4"/>
      <c r="W1511" s="4"/>
      <c r="X1511" s="4"/>
      <c r="Y1511" s="4"/>
      <c r="Z1511" s="4"/>
    </row>
    <row r="1512" ht="15.75" customHeight="1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 t="str">
        <f>IFERROR(__xludf.DUMMYFUNCTION("""COMPUTED_VALUE"""),"emergency plumber how much does")</f>
        <v>emergency plumber how much does</v>
      </c>
      <c r="U1512" s="4"/>
      <c r="V1512" s="4"/>
      <c r="W1512" s="4"/>
      <c r="X1512" s="4"/>
      <c r="Y1512" s="4"/>
      <c r="Z1512" s="4"/>
    </row>
    <row r="1513" ht="15.75" customHeight="1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 t="str">
        <f>IFERROR(__xludf.DUMMYFUNCTION("""COMPUTED_VALUE"""),"emergency plumber how to choose")</f>
        <v>emergency plumber how to choose</v>
      </c>
      <c r="U1513" s="4"/>
      <c r="V1513" s="4"/>
      <c r="W1513" s="4"/>
      <c r="X1513" s="4"/>
      <c r="Y1513" s="4"/>
      <c r="Z1513" s="4"/>
    </row>
    <row r="1514" ht="15.75" customHeight="1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 t="str">
        <f>IFERROR(__xludf.DUMMYFUNCTION("""COMPUTED_VALUE"""),"emergency plumber how to prevent")</f>
        <v>emergency plumber how to prevent</v>
      </c>
      <c r="U1514" s="4"/>
      <c r="V1514" s="4"/>
      <c r="W1514" s="4"/>
      <c r="X1514" s="4"/>
      <c r="Y1514" s="4"/>
      <c r="Z1514" s="4"/>
    </row>
    <row r="1515" ht="15.75" customHeight="1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 t="str">
        <f>IFERROR(__xludf.DUMMYFUNCTION("""COMPUTED_VALUE"""),"emergency plumber is it safe to")</f>
        <v>emergency plumber is it safe to</v>
      </c>
      <c r="U1515" s="4"/>
      <c r="V1515" s="4"/>
      <c r="W1515" s="4"/>
      <c r="X1515" s="4"/>
      <c r="Y1515" s="4"/>
      <c r="Z1515" s="4"/>
    </row>
    <row r="1516" ht="15.75" customHeight="1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 t="str">
        <f>IFERROR(__xludf.DUMMYFUNCTION("""COMPUTED_VALUE"""),"emergency plumber local")</f>
        <v>emergency plumber local</v>
      </c>
      <c r="U1516" s="4"/>
      <c r="V1516" s="4"/>
      <c r="W1516" s="4"/>
      <c r="X1516" s="4"/>
      <c r="Y1516" s="4"/>
      <c r="Z1516" s="4"/>
    </row>
    <row r="1517" ht="15.75" customHeight="1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 t="str">
        <f>IFERROR(__xludf.DUMMYFUNCTION("""COMPUTED_VALUE"""),"emergency plumber Maitland")</f>
        <v>emergency plumber Maitland</v>
      </c>
      <c r="U1517" s="4"/>
      <c r="V1517" s="4"/>
      <c r="W1517" s="4"/>
      <c r="X1517" s="4"/>
      <c r="Y1517" s="4"/>
      <c r="Z1517" s="4"/>
    </row>
    <row r="1518" ht="15.75" customHeight="1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 t="str">
        <f>IFERROR(__xludf.DUMMYFUNCTION("""COMPUTED_VALUE"""),"emergency plumber Milnerton")</f>
        <v>emergency plumber Milnerton</v>
      </c>
      <c r="U1518" s="4"/>
      <c r="V1518" s="4"/>
      <c r="W1518" s="4"/>
      <c r="X1518" s="4"/>
      <c r="Y1518" s="4"/>
      <c r="Z1518" s="4"/>
    </row>
    <row r="1519" ht="15.75" customHeight="1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 t="str">
        <f>IFERROR(__xludf.DUMMYFUNCTION("""COMPUTED_VALUE"""),"emergency plumber Muizenberg")</f>
        <v>emergency plumber Muizenberg</v>
      </c>
      <c r="U1519" s="4"/>
      <c r="V1519" s="4"/>
      <c r="W1519" s="4"/>
      <c r="X1519" s="4"/>
      <c r="Y1519" s="4"/>
      <c r="Z1519" s="4"/>
    </row>
    <row r="1520" ht="15.75" customHeight="1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 t="str">
        <f>IFERROR(__xludf.DUMMYFUNCTION("""COMPUTED_VALUE"""),"emergency plumber near me")</f>
        <v>emergency plumber near me</v>
      </c>
      <c r="U1520" s="4"/>
      <c r="V1520" s="4"/>
      <c r="W1520" s="4"/>
      <c r="X1520" s="4"/>
      <c r="Y1520" s="4"/>
      <c r="Z1520" s="4"/>
    </row>
    <row r="1521" ht="15.75" customHeight="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 t="str">
        <f>IFERROR(__xludf.DUMMYFUNCTION("""COMPUTED_VALUE"""),"emergency plumber near me for")</f>
        <v>emergency plumber near me for</v>
      </c>
      <c r="U1521" s="4"/>
      <c r="V1521" s="4"/>
      <c r="W1521" s="4"/>
      <c r="X1521" s="4"/>
      <c r="Y1521" s="4"/>
      <c r="Z1521" s="4"/>
    </row>
    <row r="1522" ht="15.75" customHeight="1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 t="str">
        <f>IFERROR(__xludf.DUMMYFUNCTION("""COMPUTED_VALUE"""),"emergency plumber Newlands")</f>
        <v>emergency plumber Newlands</v>
      </c>
      <c r="U1522" s="4"/>
      <c r="V1522" s="4"/>
      <c r="W1522" s="4"/>
      <c r="X1522" s="4"/>
      <c r="Y1522" s="4"/>
      <c r="Z1522" s="4"/>
    </row>
    <row r="1523" ht="15.75" customHeight="1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 t="str">
        <f>IFERROR(__xludf.DUMMYFUNCTION("""COMPUTED_VALUE"""),"emergency plumber Northern Suburbs")</f>
        <v>emergency plumber Northern Suburbs</v>
      </c>
      <c r="U1523" s="4"/>
      <c r="V1523" s="4"/>
      <c r="W1523" s="4"/>
      <c r="X1523" s="4"/>
      <c r="Y1523" s="4"/>
      <c r="Z1523" s="4"/>
    </row>
    <row r="1524" ht="15.75" customHeight="1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 t="str">
        <f>IFERROR(__xludf.DUMMYFUNCTION("""COMPUTED_VALUE"""),"emergency plumber Observatory")</f>
        <v>emergency plumber Observatory</v>
      </c>
      <c r="U1524" s="4"/>
      <c r="V1524" s="4"/>
      <c r="W1524" s="4"/>
      <c r="X1524" s="4"/>
      <c r="Y1524" s="4"/>
      <c r="Z1524" s="4"/>
    </row>
    <row r="1525" ht="15.75" customHeight="1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 t="str">
        <f>IFERROR(__xludf.DUMMYFUNCTION("""COMPUTED_VALUE"""),"emergency plumber Plumstead")</f>
        <v>emergency plumber Plumstead</v>
      </c>
      <c r="U1525" s="4"/>
      <c r="V1525" s="4"/>
      <c r="W1525" s="4"/>
      <c r="X1525" s="4"/>
      <c r="Y1525" s="4"/>
      <c r="Z1525" s="4"/>
    </row>
    <row r="1526" ht="15.75" customHeight="1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 t="str">
        <f>IFERROR(__xludf.DUMMYFUNCTION("""COMPUTED_VALUE"""),"emergency plumber professional")</f>
        <v>emergency plumber professional</v>
      </c>
      <c r="U1526" s="4"/>
      <c r="V1526" s="4"/>
      <c r="W1526" s="4"/>
      <c r="X1526" s="4"/>
      <c r="Y1526" s="4"/>
      <c r="Z1526" s="4"/>
    </row>
    <row r="1527" ht="15.75" customHeight="1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 t="str">
        <f>IFERROR(__xludf.DUMMYFUNCTION("""COMPUTED_VALUE"""),"emergency plumber quote")</f>
        <v>emergency plumber quote</v>
      </c>
      <c r="U1527" s="4"/>
      <c r="V1527" s="4"/>
      <c r="W1527" s="4"/>
      <c r="X1527" s="4"/>
      <c r="Y1527" s="4"/>
      <c r="Z1527" s="4"/>
    </row>
    <row r="1528" ht="15.75" customHeight="1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 t="str">
        <f>IFERROR(__xludf.DUMMYFUNCTION("""COMPUTED_VALUE"""),"emergency plumber reliable")</f>
        <v>emergency plumber reliable</v>
      </c>
      <c r="U1528" s="4"/>
      <c r="V1528" s="4"/>
      <c r="W1528" s="4"/>
      <c r="X1528" s="4"/>
      <c r="Y1528" s="4"/>
      <c r="Z1528" s="4"/>
    </row>
    <row r="1529" ht="15.75" customHeight="1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 t="str">
        <f>IFERROR(__xludf.DUMMYFUNCTION("""COMPUTED_VALUE"""),"emergency plumber repair")</f>
        <v>emergency plumber repair</v>
      </c>
      <c r="U1529" s="4"/>
      <c r="V1529" s="4"/>
      <c r="W1529" s="4"/>
      <c r="X1529" s="4"/>
      <c r="Y1529" s="4"/>
      <c r="Z1529" s="4"/>
    </row>
    <row r="1530" ht="15.75" customHeight="1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 t="str">
        <f>IFERROR(__xludf.DUMMYFUNCTION("""COMPUTED_VALUE"""),"emergency plumber residential")</f>
        <v>emergency plumber residential</v>
      </c>
      <c r="U1530" s="4"/>
      <c r="V1530" s="4"/>
      <c r="W1530" s="4"/>
      <c r="X1530" s="4"/>
      <c r="Y1530" s="4"/>
      <c r="Z1530" s="4"/>
    </row>
    <row r="1531" ht="15.75" customHeight="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 t="str">
        <f>IFERROR(__xludf.DUMMYFUNCTION("""COMPUTED_VALUE"""),"emergency plumber Rondebosch")</f>
        <v>emergency plumber Rondebosch</v>
      </c>
      <c r="U1531" s="4"/>
      <c r="V1531" s="4"/>
      <c r="W1531" s="4"/>
      <c r="X1531" s="4"/>
      <c r="Y1531" s="4"/>
      <c r="Z1531" s="4"/>
    </row>
    <row r="1532" ht="15.75" customHeight="1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 t="str">
        <f>IFERROR(__xludf.DUMMYFUNCTION("""COMPUTED_VALUE"""),"emergency plumber same day")</f>
        <v>emergency plumber same day</v>
      </c>
      <c r="U1532" s="4"/>
      <c r="V1532" s="4"/>
      <c r="W1532" s="4"/>
      <c r="X1532" s="4"/>
      <c r="Y1532" s="4"/>
      <c r="Z1532" s="4"/>
    </row>
    <row r="1533" ht="15.75" customHeight="1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 t="str">
        <f>IFERROR(__xludf.DUMMYFUNCTION("""COMPUTED_VALUE"""),"emergency plumber same day help for")</f>
        <v>emergency plumber same day help for</v>
      </c>
      <c r="U1533" s="4"/>
      <c r="V1533" s="4"/>
      <c r="W1533" s="4"/>
      <c r="X1533" s="4"/>
      <c r="Y1533" s="4"/>
      <c r="Z1533" s="4"/>
    </row>
    <row r="1534" ht="15.75" customHeight="1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 t="str">
        <f>IFERROR(__xludf.DUMMYFUNCTION("""COMPUTED_VALUE"""),"emergency plumber Sea Point")</f>
        <v>emergency plumber Sea Point</v>
      </c>
      <c r="U1534" s="4"/>
      <c r="V1534" s="4"/>
      <c r="W1534" s="4"/>
      <c r="X1534" s="4"/>
      <c r="Y1534" s="4"/>
      <c r="Z1534" s="4"/>
    </row>
    <row r="1535" ht="15.75" customHeight="1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 t="str">
        <f>IFERROR(__xludf.DUMMYFUNCTION("""COMPUTED_VALUE"""),"emergency plumber service")</f>
        <v>emergency plumber service</v>
      </c>
      <c r="U1535" s="4"/>
      <c r="V1535" s="4"/>
      <c r="W1535" s="4"/>
      <c r="X1535" s="4"/>
      <c r="Y1535" s="4"/>
      <c r="Z1535" s="4"/>
    </row>
    <row r="1536" ht="15.75" customHeight="1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 t="str">
        <f>IFERROR(__xludf.DUMMYFUNCTION("""COMPUTED_VALUE"""),"emergency plumber signs you need")</f>
        <v>emergency plumber signs you need</v>
      </c>
      <c r="U1536" s="4"/>
      <c r="V1536" s="4"/>
      <c r="W1536" s="4"/>
      <c r="X1536" s="4"/>
      <c r="Y1536" s="4"/>
      <c r="Z1536" s="4"/>
    </row>
    <row r="1537" ht="15.75" customHeight="1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 t="str">
        <f>IFERROR(__xludf.DUMMYFUNCTION("""COMPUTED_VALUE"""),"emergency plumber South Africa")</f>
        <v>emergency plumber South Africa</v>
      </c>
      <c r="U1537" s="4"/>
      <c r="V1537" s="4"/>
      <c r="W1537" s="4"/>
      <c r="X1537" s="4"/>
      <c r="Y1537" s="4"/>
      <c r="Z1537" s="4"/>
    </row>
    <row r="1538" ht="15.75" customHeight="1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 t="str">
        <f>IFERROR(__xludf.DUMMYFUNCTION("""COMPUTED_VALUE"""),"emergency plumber Southern Suburbs")</f>
        <v>emergency plumber Southern Suburbs</v>
      </c>
      <c r="U1538" s="4"/>
      <c r="V1538" s="4"/>
      <c r="W1538" s="4"/>
      <c r="X1538" s="4"/>
      <c r="Y1538" s="4"/>
      <c r="Z1538" s="4"/>
    </row>
    <row r="1539" ht="15.75" customHeight="1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 t="str">
        <f>IFERROR(__xludf.DUMMYFUNCTION("""COMPUTED_VALUE"""),"emergency plumber Table View")</f>
        <v>emergency plumber Table View</v>
      </c>
      <c r="U1539" s="4"/>
      <c r="V1539" s="4"/>
      <c r="W1539" s="4"/>
      <c r="X1539" s="4"/>
      <c r="Y1539" s="4"/>
      <c r="Z1539" s="4"/>
    </row>
    <row r="1540" ht="15.75" customHeight="1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 t="str">
        <f>IFERROR(__xludf.DUMMYFUNCTION("""COMPUTED_VALUE"""),"emergency plumber Tokai")</f>
        <v>emergency plumber Tokai</v>
      </c>
      <c r="U1540" s="4"/>
      <c r="V1540" s="4"/>
      <c r="W1540" s="4"/>
      <c r="X1540" s="4"/>
      <c r="Y1540" s="4"/>
      <c r="Z1540" s="4"/>
    </row>
    <row r="1541" ht="15.75" customHeight="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 t="str">
        <f>IFERROR(__xludf.DUMMYFUNCTION("""COMPUTED_VALUE"""),"emergency plumber urgent")</f>
        <v>emergency plumber urgent</v>
      </c>
      <c r="U1541" s="4"/>
      <c r="V1541" s="4"/>
      <c r="W1541" s="4"/>
      <c r="X1541" s="4"/>
      <c r="Y1541" s="4"/>
      <c r="Z1541" s="4"/>
    </row>
    <row r="1542" ht="15.75" customHeight="1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 t="str">
        <f>IFERROR(__xludf.DUMMYFUNCTION("""COMPUTED_VALUE"""),"emergency plumber weekend")</f>
        <v>emergency plumber weekend</v>
      </c>
      <c r="U1542" s="4"/>
      <c r="V1542" s="4"/>
      <c r="W1542" s="4"/>
      <c r="X1542" s="4"/>
      <c r="Y1542" s="4"/>
      <c r="Z1542" s="4"/>
    </row>
    <row r="1543" ht="15.75" customHeight="1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 t="str">
        <f>IFERROR(__xludf.DUMMYFUNCTION("""COMPUTED_VALUE"""),"emergency plumber what causes")</f>
        <v>emergency plumber what causes</v>
      </c>
      <c r="U1543" s="4"/>
      <c r="V1543" s="4"/>
      <c r="W1543" s="4"/>
      <c r="X1543" s="4"/>
      <c r="Y1543" s="4"/>
      <c r="Z1543" s="4"/>
    </row>
    <row r="1544" ht="15.75" customHeight="1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 t="str">
        <f>IFERROR(__xludf.DUMMYFUNCTION("""COMPUTED_VALUE"""),"emergency plumber what is")</f>
        <v>emergency plumber what is</v>
      </c>
      <c r="U1544" s="4"/>
      <c r="V1544" s="4"/>
      <c r="W1544" s="4"/>
      <c r="X1544" s="4"/>
      <c r="Y1544" s="4"/>
      <c r="Z1544" s="4"/>
    </row>
    <row r="1545" ht="15.75" customHeight="1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 t="str">
        <f>IFERROR(__xludf.DUMMYFUNCTION("""COMPUTED_VALUE"""),"emergency plumber when to call a")</f>
        <v>emergency plumber when to call a</v>
      </c>
      <c r="U1545" s="4"/>
      <c r="V1545" s="4"/>
      <c r="W1545" s="4"/>
      <c r="X1545" s="4"/>
      <c r="Y1545" s="4"/>
      <c r="Z1545" s="4"/>
    </row>
    <row r="1546" ht="15.75" customHeight="1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 t="str">
        <f>IFERROR(__xludf.DUMMYFUNCTION("""COMPUTED_VALUE"""),"emergency plumber who fixes")</f>
        <v>emergency plumber who fixes</v>
      </c>
      <c r="U1546" s="4"/>
      <c r="V1546" s="4"/>
      <c r="W1546" s="4"/>
      <c r="X1546" s="4"/>
      <c r="Y1546" s="4"/>
      <c r="Z1546" s="4"/>
    </row>
    <row r="1547" ht="15.75" customHeight="1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 t="str">
        <f>IFERROR(__xludf.DUMMYFUNCTION("""COMPUTED_VALUE"""),"emergency plumber why is my")</f>
        <v>emergency plumber why is my</v>
      </c>
      <c r="U1547" s="4"/>
      <c r="V1547" s="4"/>
      <c r="W1547" s="4"/>
      <c r="X1547" s="4"/>
      <c r="Y1547" s="4"/>
      <c r="Z1547" s="4"/>
    </row>
    <row r="1548" ht="15.75" customHeight="1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 t="str">
        <f>IFERROR(__xludf.DUMMYFUNCTION("""COMPUTED_VALUE"""),"emergency plumber Woodstock")</f>
        <v>emergency plumber Woodstock</v>
      </c>
      <c r="U1548" s="4"/>
      <c r="V1548" s="4"/>
      <c r="W1548" s="4"/>
      <c r="X1548" s="4"/>
      <c r="Y1548" s="4"/>
      <c r="Z1548" s="4"/>
    </row>
    <row r="1549" ht="15.75" customHeight="1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 t="str">
        <f>IFERROR(__xludf.DUMMYFUNCTION("""COMPUTED_VALUE"""),"emergency plumber Wynberg")</f>
        <v>emergency plumber Wynberg</v>
      </c>
      <c r="U1549" s="4"/>
      <c r="V1549" s="4"/>
      <c r="W1549" s="4"/>
      <c r="X1549" s="4"/>
      <c r="Y1549" s="4"/>
      <c r="Z1549" s="4"/>
    </row>
    <row r="1550" ht="15.75" customHeight="1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 t="str">
        <f>IFERROR(__xludf.DUMMYFUNCTION("""COMPUTED_VALUE"""),"emergency plumbing apartment")</f>
        <v>emergency plumbing apartment</v>
      </c>
      <c r="U1550" s="4"/>
      <c r="V1550" s="4"/>
      <c r="W1550" s="4"/>
      <c r="X1550" s="4"/>
      <c r="Y1550" s="4"/>
      <c r="Z1550" s="4"/>
    </row>
    <row r="1551" ht="15.75" customHeight="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 t="str">
        <f>IFERROR(__xludf.DUMMYFUNCTION("""COMPUTED_VALUE"""),"emergency plumbing body corporate")</f>
        <v>emergency plumbing body corporate</v>
      </c>
      <c r="U1551" s="4"/>
      <c r="V1551" s="4"/>
      <c r="W1551" s="4"/>
      <c r="X1551" s="4"/>
      <c r="Y1551" s="4"/>
      <c r="Z1551" s="4"/>
    </row>
    <row r="1552" ht="15.75" customHeight="1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 t="str">
        <f>IFERROR(__xludf.DUMMYFUNCTION("""COMPUTED_VALUE"""),"emergency plumbing building")</f>
        <v>emergency plumbing building</v>
      </c>
      <c r="U1552" s="4"/>
      <c r="V1552" s="4"/>
      <c r="W1552" s="4"/>
      <c r="X1552" s="4"/>
      <c r="Y1552" s="4"/>
      <c r="Z1552" s="4"/>
    </row>
    <row r="1553" ht="15.75" customHeight="1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 t="str">
        <f>IFERROR(__xludf.DUMMYFUNCTION("""COMPUTED_VALUE"""),"emergency plumbing business")</f>
        <v>emergency plumbing business</v>
      </c>
      <c r="U1553" s="4"/>
      <c r="V1553" s="4"/>
      <c r="W1553" s="4"/>
      <c r="X1553" s="4"/>
      <c r="Y1553" s="4"/>
      <c r="Z1553" s="4"/>
    </row>
    <row r="1554" ht="15.75" customHeight="1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 t="str">
        <f>IFERROR(__xludf.DUMMYFUNCTION("""COMPUTED_VALUE"""),"emergency plumbing commercial property")</f>
        <v>emergency plumbing commercial property</v>
      </c>
      <c r="U1554" s="4"/>
      <c r="V1554" s="4"/>
      <c r="W1554" s="4"/>
      <c r="X1554" s="4"/>
      <c r="Y1554" s="4"/>
      <c r="Z1554" s="4"/>
    </row>
    <row r="1555" ht="15.75" customHeight="1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 t="str">
        <f>IFERROR(__xludf.DUMMYFUNCTION("""COMPUTED_VALUE"""),"emergency plumbing company")</f>
        <v>emergency plumbing company</v>
      </c>
      <c r="U1555" s="4"/>
      <c r="V1555" s="4"/>
      <c r="W1555" s="4"/>
      <c r="X1555" s="4"/>
      <c r="Y1555" s="4"/>
      <c r="Z1555" s="4"/>
    </row>
    <row r="1556" ht="15.75" customHeight="1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 t="str">
        <f>IFERROR(__xludf.DUMMYFUNCTION("""COMPUTED_VALUE"""),"emergency plumbing contractors")</f>
        <v>emergency plumbing contractors</v>
      </c>
      <c r="U1556" s="4"/>
      <c r="V1556" s="4"/>
      <c r="W1556" s="4"/>
      <c r="X1556" s="4"/>
      <c r="Y1556" s="4"/>
      <c r="Z1556" s="4"/>
    </row>
    <row r="1557" ht="15.75" customHeight="1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 t="str">
        <f>IFERROR(__xludf.DUMMYFUNCTION("""COMPUTED_VALUE"""),"emergency plumbing estate agent")</f>
        <v>emergency plumbing estate agent</v>
      </c>
      <c r="U1557" s="4"/>
      <c r="V1557" s="4"/>
      <c r="W1557" s="4"/>
      <c r="X1557" s="4"/>
      <c r="Y1557" s="4"/>
      <c r="Z1557" s="4"/>
    </row>
    <row r="1558" ht="15.75" customHeight="1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 t="str">
        <f>IFERROR(__xludf.DUMMYFUNCTION("""COMPUTED_VALUE"""),"emergency plumbing flat")</f>
        <v>emergency plumbing flat</v>
      </c>
      <c r="U1558" s="4"/>
      <c r="V1558" s="4"/>
      <c r="W1558" s="4"/>
      <c r="X1558" s="4"/>
      <c r="Y1558" s="4"/>
      <c r="Z1558" s="4"/>
    </row>
    <row r="1559" ht="15.75" customHeight="1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 t="str">
        <f>IFERROR(__xludf.DUMMYFUNCTION("""COMPUTED_VALUE"""),"emergency plumbing guesthouse")</f>
        <v>emergency plumbing guesthouse</v>
      </c>
      <c r="U1559" s="4"/>
      <c r="V1559" s="4"/>
      <c r="W1559" s="4"/>
      <c r="X1559" s="4"/>
      <c r="Y1559" s="4"/>
      <c r="Z1559" s="4"/>
    </row>
    <row r="1560" ht="15.75" customHeight="1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 t="str">
        <f>IFERROR(__xludf.DUMMYFUNCTION("""COMPUTED_VALUE"""),"emergency plumbing home")</f>
        <v>emergency plumbing home</v>
      </c>
      <c r="U1560" s="4"/>
      <c r="V1560" s="4"/>
      <c r="W1560" s="4"/>
      <c r="X1560" s="4"/>
      <c r="Y1560" s="4"/>
      <c r="Z1560" s="4"/>
    </row>
    <row r="1561" ht="15.75" customHeight="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 t="str">
        <f>IFERROR(__xludf.DUMMYFUNCTION("""COMPUTED_VALUE"""),"emergency plumbing hotel")</f>
        <v>emergency plumbing hotel</v>
      </c>
      <c r="U1561" s="4"/>
      <c r="V1561" s="4"/>
      <c r="W1561" s="4"/>
      <c r="X1561" s="4"/>
      <c r="Y1561" s="4"/>
      <c r="Z1561" s="4"/>
    </row>
    <row r="1562" ht="15.75" customHeight="1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 t="str">
        <f>IFERROR(__xludf.DUMMYFUNCTION("""COMPUTED_VALUE"""),"emergency plumbing house")</f>
        <v>emergency plumbing house</v>
      </c>
      <c r="U1562" s="4"/>
      <c r="V1562" s="4"/>
      <c r="W1562" s="4"/>
      <c r="X1562" s="4"/>
      <c r="Y1562" s="4"/>
      <c r="Z1562" s="4"/>
    </row>
    <row r="1563" ht="15.75" customHeight="1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 t="str">
        <f>IFERROR(__xludf.DUMMYFUNCTION("""COMPUTED_VALUE"""),"emergency plumbing inspection")</f>
        <v>emergency plumbing inspection</v>
      </c>
      <c r="U1563" s="4"/>
      <c r="V1563" s="4"/>
      <c r="W1563" s="4"/>
      <c r="X1563" s="4"/>
      <c r="Y1563" s="4"/>
      <c r="Z1563" s="4"/>
    </row>
    <row r="1564" ht="15.75" customHeight="1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 t="str">
        <f>IFERROR(__xludf.DUMMYFUNCTION("""COMPUTED_VALUE"""),"emergency plumbing installation")</f>
        <v>emergency plumbing installation</v>
      </c>
      <c r="U1564" s="4"/>
      <c r="V1564" s="4"/>
      <c r="W1564" s="4"/>
      <c r="X1564" s="4"/>
      <c r="Y1564" s="4"/>
      <c r="Z1564" s="4"/>
    </row>
    <row r="1565" ht="15.75" customHeight="1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 t="str">
        <f>IFERROR(__xludf.DUMMYFUNCTION("""COMPUTED_VALUE"""),"emergency plumbing landlord")</f>
        <v>emergency plumbing landlord</v>
      </c>
      <c r="U1565" s="4"/>
      <c r="V1565" s="4"/>
      <c r="W1565" s="4"/>
      <c r="X1565" s="4"/>
      <c r="Y1565" s="4"/>
      <c r="Z1565" s="4"/>
    </row>
    <row r="1566" ht="15.75" customHeight="1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 t="str">
        <f>IFERROR(__xludf.DUMMYFUNCTION("""COMPUTED_VALUE"""),"emergency plumbing office")</f>
        <v>emergency plumbing office</v>
      </c>
      <c r="U1566" s="4"/>
      <c r="V1566" s="4"/>
      <c r="W1566" s="4"/>
      <c r="X1566" s="4"/>
      <c r="Y1566" s="4"/>
      <c r="Z1566" s="4"/>
    </row>
    <row r="1567" ht="15.75" customHeight="1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 t="str">
        <f>IFERROR(__xludf.DUMMYFUNCTION("""COMPUTED_VALUE"""),"emergency plumbing property manager")</f>
        <v>emergency plumbing property manager</v>
      </c>
      <c r="U1567" s="4"/>
      <c r="V1567" s="4"/>
      <c r="W1567" s="4"/>
      <c r="X1567" s="4"/>
      <c r="Y1567" s="4"/>
      <c r="Z1567" s="4"/>
    </row>
    <row r="1568" ht="15.75" customHeight="1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 t="str">
        <f>IFERROR(__xludf.DUMMYFUNCTION("""COMPUTED_VALUE"""),"emergency plumbing repairs")</f>
        <v>emergency plumbing repairs</v>
      </c>
      <c r="U1568" s="4"/>
      <c r="V1568" s="4"/>
      <c r="W1568" s="4"/>
      <c r="X1568" s="4"/>
      <c r="Y1568" s="4"/>
      <c r="Z1568" s="4"/>
    </row>
    <row r="1569" ht="15.75" customHeight="1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 t="str">
        <f>IFERROR(__xludf.DUMMYFUNCTION("""COMPUTED_VALUE"""),"emergency plumbing residential property")</f>
        <v>emergency plumbing residential property</v>
      </c>
      <c r="U1569" s="4"/>
      <c r="V1569" s="4"/>
      <c r="W1569" s="4"/>
      <c r="X1569" s="4"/>
      <c r="Y1569" s="4"/>
      <c r="Z1569" s="4"/>
    </row>
    <row r="1570" ht="15.75" customHeight="1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 t="str">
        <f>IFERROR(__xludf.DUMMYFUNCTION("""COMPUTED_VALUE"""),"emergency plumbing restaurant")</f>
        <v>emergency plumbing restaurant</v>
      </c>
      <c r="U1570" s="4"/>
      <c r="V1570" s="4"/>
      <c r="W1570" s="4"/>
      <c r="X1570" s="4"/>
      <c r="Y1570" s="4"/>
      <c r="Z1570" s="4"/>
    </row>
    <row r="1571" ht="15.75" customHeight="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 t="str">
        <f>IFERROR(__xludf.DUMMYFUNCTION("""COMPUTED_VALUE"""),"emergency plumbing school")</f>
        <v>emergency plumbing school</v>
      </c>
      <c r="U1571" s="4"/>
      <c r="V1571" s="4"/>
      <c r="W1571" s="4"/>
      <c r="X1571" s="4"/>
      <c r="Y1571" s="4"/>
      <c r="Z1571" s="4"/>
    </row>
    <row r="1572" ht="15.75" customHeight="1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 t="str">
        <f>IFERROR(__xludf.DUMMYFUNCTION("""COMPUTED_VALUE"""),"emergency plumbing services")</f>
        <v>emergency plumbing services</v>
      </c>
      <c r="U1572" s="4"/>
      <c r="V1572" s="4"/>
      <c r="W1572" s="4"/>
      <c r="X1572" s="4"/>
      <c r="Y1572" s="4"/>
      <c r="Z1572" s="4"/>
    </row>
    <row r="1573" ht="15.75" customHeight="1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 t="str">
        <f>IFERROR(__xludf.DUMMYFUNCTION("""COMPUTED_VALUE"""),"emergency plumbing shop")</f>
        <v>emergency plumbing shop</v>
      </c>
      <c r="U1573" s="4"/>
      <c r="V1573" s="4"/>
      <c r="W1573" s="4"/>
      <c r="X1573" s="4"/>
      <c r="Y1573" s="4"/>
      <c r="Z1573" s="4"/>
    </row>
    <row r="1574" ht="15.75" customHeight="1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 t="str">
        <f>IFERROR(__xludf.DUMMYFUNCTION("""COMPUTED_VALUE"""),"emergency plumbing tenant")</f>
        <v>emergency plumbing tenant</v>
      </c>
      <c r="U1574" s="4"/>
      <c r="V1574" s="4"/>
      <c r="W1574" s="4"/>
      <c r="X1574" s="4"/>
      <c r="Y1574" s="4"/>
      <c r="Z1574" s="4"/>
    </row>
    <row r="1575" ht="15.75" customHeight="1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 t="str">
        <f>IFERROR(__xludf.DUMMYFUNCTION("""COMPUTED_VALUE"""),"emergency plumbing townhouse")</f>
        <v>emergency plumbing townhouse</v>
      </c>
      <c r="U1575" s="4"/>
      <c r="V1575" s="4"/>
      <c r="W1575" s="4"/>
      <c r="X1575" s="4"/>
      <c r="Y1575" s="4"/>
      <c r="Z1575" s="4"/>
    </row>
    <row r="1576" ht="15.75" customHeight="1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 t="str">
        <f>IFERROR(__xludf.DUMMYFUNCTION("""COMPUTED_VALUE"""),"emergency refrigeration repair")</f>
        <v>emergency refrigeration repair</v>
      </c>
      <c r="U1576" s="4"/>
      <c r="V1576" s="4"/>
      <c r="W1576" s="4"/>
      <c r="X1576" s="4"/>
      <c r="Y1576" s="4"/>
      <c r="Z1576" s="4"/>
    </row>
    <row r="1577" ht="15.75" customHeight="1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 t="str">
        <f>IFERROR(__xludf.DUMMYFUNCTION("""COMPUTED_VALUE"""),"emergency residential electrician")</f>
        <v>emergency residential electrician</v>
      </c>
      <c r="U1577" s="4"/>
      <c r="V1577" s="4"/>
      <c r="W1577" s="4"/>
      <c r="X1577" s="4"/>
      <c r="Y1577" s="4"/>
      <c r="Z1577" s="4"/>
    </row>
    <row r="1578" ht="15.75" customHeight="1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 t="str">
        <f>IFERROR(__xludf.DUMMYFUNCTION("""COMPUTED_VALUE"""),"emergency residential plumber")</f>
        <v>emergency residential plumber</v>
      </c>
      <c r="U1578" s="4"/>
      <c r="V1578" s="4"/>
      <c r="W1578" s="4"/>
      <c r="X1578" s="4"/>
      <c r="Y1578" s="4"/>
      <c r="Z1578" s="4"/>
    </row>
    <row r="1579" ht="15.75" customHeight="1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 t="str">
        <f>IFERROR(__xludf.DUMMYFUNCTION("""COMPUTED_VALUE"""),"emergency toilet repair")</f>
        <v>emergency toilet repair</v>
      </c>
      <c r="U1579" s="4"/>
      <c r="V1579" s="4"/>
      <c r="W1579" s="4"/>
      <c r="X1579" s="4"/>
      <c r="Y1579" s="4"/>
      <c r="Z1579" s="4"/>
    </row>
    <row r="1580" ht="15.75" customHeight="1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 t="str">
        <f>IFERROR(__xludf.DUMMYFUNCTION("""COMPUTED_VALUE"""),"emergency water leak detection")</f>
        <v>emergency water leak detection</v>
      </c>
      <c r="U1580" s="4"/>
      <c r="V1580" s="4"/>
      <c r="W1580" s="4"/>
      <c r="X1580" s="4"/>
      <c r="Y1580" s="4"/>
      <c r="Z1580" s="4"/>
    </row>
    <row r="1581" ht="15.75" customHeight="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 t="str">
        <f>IFERROR(__xludf.DUMMYFUNCTION("""COMPUTED_VALUE"""),"emergency water leak repair")</f>
        <v>emergency water leak repair</v>
      </c>
      <c r="U1581" s="4"/>
      <c r="V1581" s="4"/>
      <c r="W1581" s="4"/>
      <c r="X1581" s="4"/>
      <c r="Y1581" s="4"/>
      <c r="Z1581" s="4"/>
    </row>
    <row r="1582" ht="15.75" customHeight="1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 t="str">
        <f>IFERROR(__xludf.DUMMYFUNCTION("""COMPUTED_VALUE"""),"estate agent air conditioning services")</f>
        <v>estate agent air conditioning services</v>
      </c>
      <c r="U1582" s="4"/>
      <c r="V1582" s="4"/>
      <c r="W1582" s="4"/>
      <c r="X1582" s="4"/>
      <c r="Y1582" s="4"/>
      <c r="Z1582" s="4"/>
    </row>
    <row r="1583" ht="15.75" customHeight="1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 t="str">
        <f>IFERROR(__xludf.DUMMYFUNCTION("""COMPUTED_VALUE"""),"estate agent drain cleaning")</f>
        <v>estate agent drain cleaning</v>
      </c>
      <c r="U1583" s="4"/>
      <c r="V1583" s="4"/>
      <c r="W1583" s="4"/>
      <c r="X1583" s="4"/>
      <c r="Y1583" s="4"/>
      <c r="Z1583" s="4"/>
    </row>
    <row r="1584" ht="15.75" customHeight="1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 t="str">
        <f>IFERROR(__xludf.DUMMYFUNCTION("""COMPUTED_VALUE"""),"estate agent electrical repairs")</f>
        <v>estate agent electrical repairs</v>
      </c>
      <c r="U1584" s="4"/>
      <c r="V1584" s="4"/>
      <c r="W1584" s="4"/>
      <c r="X1584" s="4"/>
      <c r="Y1584" s="4"/>
      <c r="Z1584" s="4"/>
    </row>
    <row r="1585" ht="15.75" customHeight="1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 t="str">
        <f>IFERROR(__xludf.DUMMYFUNCTION("""COMPUTED_VALUE"""),"estate agent emergency plumbing")</f>
        <v>estate agent emergency plumbing</v>
      </c>
      <c r="U1585" s="4"/>
      <c r="V1585" s="4"/>
      <c r="W1585" s="4"/>
      <c r="X1585" s="4"/>
      <c r="Y1585" s="4"/>
      <c r="Z1585" s="4"/>
    </row>
    <row r="1586" ht="15.75" customHeight="1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 t="str">
        <f>IFERROR(__xludf.DUMMYFUNCTION("""COMPUTED_VALUE"""),"estate agent geyser repairs")</f>
        <v>estate agent geyser repairs</v>
      </c>
      <c r="U1586" s="4"/>
      <c r="V1586" s="4"/>
      <c r="W1586" s="4"/>
      <c r="X1586" s="4"/>
      <c r="Y1586" s="4"/>
      <c r="Z1586" s="4"/>
    </row>
    <row r="1587" ht="15.75" customHeight="1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 t="str">
        <f>IFERROR(__xludf.DUMMYFUNCTION("""COMPUTED_VALUE"""),"estate agent leak detection")</f>
        <v>estate agent leak detection</v>
      </c>
      <c r="U1587" s="4"/>
      <c r="V1587" s="4"/>
      <c r="W1587" s="4"/>
      <c r="X1587" s="4"/>
      <c r="Y1587" s="4"/>
      <c r="Z1587" s="4"/>
    </row>
    <row r="1588" ht="15.75" customHeight="1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 t="str">
        <f>IFERROR(__xludf.DUMMYFUNCTION("""COMPUTED_VALUE"""),"estate agent maintenance plumber")</f>
        <v>estate agent maintenance plumber</v>
      </c>
      <c r="U1588" s="4"/>
      <c r="V1588" s="4"/>
      <c r="W1588" s="4"/>
      <c r="X1588" s="4"/>
      <c r="Y1588" s="4"/>
      <c r="Z1588" s="4"/>
    </row>
    <row r="1589" ht="15.75" customHeight="1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 t="str">
        <f>IFERROR(__xludf.DUMMYFUNCTION("""COMPUTED_VALUE"""),"estate agent plumbing company")</f>
        <v>estate agent plumbing company</v>
      </c>
      <c r="U1589" s="4"/>
      <c r="V1589" s="4"/>
      <c r="W1589" s="4"/>
      <c r="X1589" s="4"/>
      <c r="Y1589" s="4"/>
      <c r="Z1589" s="4"/>
    </row>
    <row r="1590" ht="15.75" customHeight="1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 t="str">
        <f>IFERROR(__xludf.DUMMYFUNCTION("""COMPUTED_VALUE"""),"estate agent plumbing services")</f>
        <v>estate agent plumbing services</v>
      </c>
      <c r="U1590" s="4"/>
      <c r="V1590" s="4"/>
      <c r="W1590" s="4"/>
      <c r="X1590" s="4"/>
      <c r="Y1590" s="4"/>
      <c r="Z1590" s="4"/>
    </row>
    <row r="1591" ht="15.75" customHeight="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 t="str">
        <f>IFERROR(__xludf.DUMMYFUNCTION("""COMPUTED_VALUE"""),"estate agent refrigeration services")</f>
        <v>estate agent refrigeration services</v>
      </c>
      <c r="U1591" s="4"/>
      <c r="V1591" s="4"/>
      <c r="W1591" s="4"/>
      <c r="X1591" s="4"/>
      <c r="Y1591" s="4"/>
      <c r="Z1591" s="4"/>
    </row>
    <row r="1592" ht="15.75" customHeight="1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 t="str">
        <f>IFERROR(__xludf.DUMMYFUNCTION("""COMPUTED_VALUE"""),"fast 24 hour plumber")</f>
        <v>fast 24 hour plumber</v>
      </c>
      <c r="U1592" s="4"/>
      <c r="V1592" s="4"/>
      <c r="W1592" s="4"/>
      <c r="X1592" s="4"/>
      <c r="Y1592" s="4"/>
      <c r="Z1592" s="4"/>
    </row>
    <row r="1593" ht="15.75" customHeight="1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 t="str">
        <f>IFERROR(__xludf.DUMMYFUNCTION("""COMPUTED_VALUE"""),"fast bathroom plumbing repair")</f>
        <v>fast bathroom plumbing repair</v>
      </c>
      <c r="U1593" s="4"/>
      <c r="V1593" s="4"/>
      <c r="W1593" s="4"/>
      <c r="X1593" s="4"/>
      <c r="Y1593" s="4"/>
      <c r="Z1593" s="4"/>
    </row>
    <row r="1594" ht="15.75" customHeight="1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 t="str">
        <f>IFERROR(__xludf.DUMMYFUNCTION("""COMPUTED_VALUE"""),"fast blocked toilet plumber")</f>
        <v>fast blocked toilet plumber</v>
      </c>
      <c r="U1594" s="4"/>
      <c r="V1594" s="4"/>
      <c r="W1594" s="4"/>
      <c r="X1594" s="4"/>
      <c r="Y1594" s="4"/>
      <c r="Z1594" s="4"/>
    </row>
    <row r="1595" ht="15.75" customHeight="1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 t="str">
        <f>IFERROR(__xludf.DUMMYFUNCTION("""COMPUTED_VALUE"""),"fast burst pipe repair")</f>
        <v>fast burst pipe repair</v>
      </c>
      <c r="U1595" s="4"/>
      <c r="V1595" s="4"/>
      <c r="W1595" s="4"/>
      <c r="X1595" s="4"/>
      <c r="Y1595" s="4"/>
      <c r="Z1595" s="4"/>
    </row>
    <row r="1596" ht="15.75" customHeight="1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 t="str">
        <f>IFERROR(__xludf.DUMMYFUNCTION("""COMPUTED_VALUE"""),"fast emergency plumber")</f>
        <v>fast emergency plumber</v>
      </c>
      <c r="U1596" s="4"/>
      <c r="V1596" s="4"/>
      <c r="W1596" s="4"/>
      <c r="X1596" s="4"/>
      <c r="Y1596" s="4"/>
      <c r="Z1596" s="4"/>
    </row>
    <row r="1597" ht="15.75" customHeight="1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 t="str">
        <f>IFERROR(__xludf.DUMMYFUNCTION("""COMPUTED_VALUE"""),"fast kitchen plumbing repair")</f>
        <v>fast kitchen plumbing repair</v>
      </c>
      <c r="U1597" s="4"/>
      <c r="V1597" s="4"/>
      <c r="W1597" s="4"/>
      <c r="X1597" s="4"/>
      <c r="Y1597" s="4"/>
      <c r="Z1597" s="4"/>
    </row>
    <row r="1598" ht="15.75" customHeight="1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 t="str">
        <f>IFERROR(__xludf.DUMMYFUNCTION("""COMPUTED_VALUE"""),"fast leaking pipe repair")</f>
        <v>fast leaking pipe repair</v>
      </c>
      <c r="U1598" s="4"/>
      <c r="V1598" s="4"/>
      <c r="W1598" s="4"/>
      <c r="X1598" s="4"/>
      <c r="Y1598" s="4"/>
      <c r="Z1598" s="4"/>
    </row>
    <row r="1599" ht="15.75" customHeight="1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 t="str">
        <f>IFERROR(__xludf.DUMMYFUNCTION("""COMPUTED_VALUE"""),"fast leaking tap repair")</f>
        <v>fast leaking tap repair</v>
      </c>
      <c r="U1599" s="4"/>
      <c r="V1599" s="4"/>
      <c r="W1599" s="4"/>
      <c r="X1599" s="4"/>
      <c r="Y1599" s="4"/>
      <c r="Z1599" s="4"/>
    </row>
    <row r="1600" ht="15.75" customHeight="1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 t="str">
        <f>IFERROR(__xludf.DUMMYFUNCTION("""COMPUTED_VALUE"""),"fast toilet repair")</f>
        <v>fast toilet repair</v>
      </c>
      <c r="U1600" s="4"/>
      <c r="V1600" s="4"/>
      <c r="W1600" s="4"/>
      <c r="X1600" s="4"/>
      <c r="Y1600" s="4"/>
      <c r="Z1600" s="4"/>
    </row>
    <row r="1601" ht="15.75" customHeight="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 t="str">
        <f>IFERROR(__xludf.DUMMYFUNCTION("""COMPUTED_VALUE"""),"fast water leak repair")</f>
        <v>fast water leak repair</v>
      </c>
      <c r="U1601" s="4"/>
      <c r="V1601" s="4"/>
      <c r="W1601" s="4"/>
      <c r="X1601" s="4"/>
      <c r="Y1601" s="4"/>
      <c r="Z1601" s="4"/>
    </row>
    <row r="1602" ht="15.75" customHeight="1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 t="str">
        <f>IFERROR(__xludf.DUMMYFUNCTION("""COMPUTED_VALUE"""),"Fish Hoek aircon repairs")</f>
        <v>Fish Hoek aircon repairs</v>
      </c>
      <c r="U1602" s="4"/>
      <c r="V1602" s="4"/>
      <c r="W1602" s="4"/>
      <c r="X1602" s="4"/>
      <c r="Y1602" s="4"/>
      <c r="Z1602" s="4"/>
    </row>
    <row r="1603" ht="15.75" customHeight="1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 t="str">
        <f>IFERROR(__xludf.DUMMYFUNCTION("""COMPUTED_VALUE"""),"Fish Hoek blocked drain plumber")</f>
        <v>Fish Hoek blocked drain plumber</v>
      </c>
      <c r="U1603" s="4"/>
      <c r="V1603" s="4"/>
      <c r="W1603" s="4"/>
      <c r="X1603" s="4"/>
      <c r="Y1603" s="4"/>
      <c r="Z1603" s="4"/>
    </row>
    <row r="1604" ht="15.75" customHeight="1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 t="str">
        <f>IFERROR(__xludf.DUMMYFUNCTION("""COMPUTED_VALUE"""),"Fish Hoek electrician")</f>
        <v>Fish Hoek electrician</v>
      </c>
      <c r="U1604" s="4"/>
      <c r="V1604" s="4"/>
      <c r="W1604" s="4"/>
      <c r="X1604" s="4"/>
      <c r="Y1604" s="4"/>
      <c r="Z1604" s="4"/>
    </row>
    <row r="1605" ht="15.75" customHeight="1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 t="str">
        <f>IFERROR(__xludf.DUMMYFUNCTION("""COMPUTED_VALUE"""),"Fish Hoek emergency plumber")</f>
        <v>Fish Hoek emergency plumber</v>
      </c>
      <c r="U1605" s="4"/>
      <c r="V1605" s="4"/>
      <c r="W1605" s="4"/>
      <c r="X1605" s="4"/>
      <c r="Y1605" s="4"/>
      <c r="Z1605" s="4"/>
    </row>
    <row r="1606" ht="15.75" customHeight="1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 t="str">
        <f>IFERROR(__xludf.DUMMYFUNCTION("""COMPUTED_VALUE"""),"Fish Hoek geyser repair")</f>
        <v>Fish Hoek geyser repair</v>
      </c>
      <c r="U1606" s="4"/>
      <c r="V1606" s="4"/>
      <c r="W1606" s="4"/>
      <c r="X1606" s="4"/>
      <c r="Y1606" s="4"/>
      <c r="Z1606" s="4"/>
    </row>
    <row r="1607" ht="15.75" customHeight="1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 t="str">
        <f>IFERROR(__xludf.DUMMYFUNCTION("""COMPUTED_VALUE"""),"Fish Hoek leak detection plumber")</f>
        <v>Fish Hoek leak detection plumber</v>
      </c>
      <c r="U1607" s="4"/>
      <c r="V1607" s="4"/>
      <c r="W1607" s="4"/>
      <c r="X1607" s="4"/>
      <c r="Y1607" s="4"/>
      <c r="Z1607" s="4"/>
    </row>
    <row r="1608" ht="15.75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 t="str">
        <f>IFERROR(__xludf.DUMMYFUNCTION("""COMPUTED_VALUE"""),"Fish Hoek plumber")</f>
        <v>Fish Hoek plumber</v>
      </c>
      <c r="U1608" s="4"/>
      <c r="V1608" s="4"/>
      <c r="W1608" s="4"/>
      <c r="X1608" s="4"/>
      <c r="Y1608" s="4"/>
      <c r="Z1608" s="4"/>
    </row>
    <row r="1609" ht="15.75" customHeight="1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 t="str">
        <f>IFERROR(__xludf.DUMMYFUNCTION("""COMPUTED_VALUE"""),"Fish Hoek plumbers")</f>
        <v>Fish Hoek plumbers</v>
      </c>
      <c r="U1609" s="4"/>
      <c r="V1609" s="4"/>
      <c r="W1609" s="4"/>
      <c r="X1609" s="4"/>
      <c r="Y1609" s="4"/>
      <c r="Z1609" s="4"/>
    </row>
    <row r="1610" ht="15.75" customHeight="1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 t="str">
        <f>IFERROR(__xludf.DUMMYFUNCTION("""COMPUTED_VALUE"""),"Fish Hoek plumbing company")</f>
        <v>Fish Hoek plumbing company</v>
      </c>
      <c r="U1610" s="4"/>
      <c r="V1610" s="4"/>
      <c r="W1610" s="4"/>
      <c r="X1610" s="4"/>
      <c r="Y1610" s="4"/>
      <c r="Z1610" s="4"/>
    </row>
    <row r="1611" ht="15.75" customHeight="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 t="str">
        <f>IFERROR(__xludf.DUMMYFUNCTION("""COMPUTED_VALUE"""),"Fish Hoek refrigeration services")</f>
        <v>Fish Hoek refrigeration services</v>
      </c>
      <c r="U1611" s="4"/>
      <c r="V1611" s="4"/>
      <c r="W1611" s="4"/>
      <c r="X1611" s="4"/>
      <c r="Y1611" s="4"/>
      <c r="Z1611" s="4"/>
    </row>
    <row r="1612" ht="15.75" customHeight="1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 t="str">
        <f>IFERROR(__xludf.DUMMYFUNCTION("""COMPUTED_VALUE"""),"flat air conditioning services")</f>
        <v>flat air conditioning services</v>
      </c>
      <c r="U1612" s="4"/>
      <c r="V1612" s="4"/>
      <c r="W1612" s="4"/>
      <c r="X1612" s="4"/>
      <c r="Y1612" s="4"/>
      <c r="Z1612" s="4"/>
    </row>
    <row r="1613" ht="15.75" customHeight="1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 t="str">
        <f>IFERROR(__xludf.DUMMYFUNCTION("""COMPUTED_VALUE"""),"flat drain cleaning")</f>
        <v>flat drain cleaning</v>
      </c>
      <c r="U1613" s="4"/>
      <c r="V1613" s="4"/>
      <c r="W1613" s="4"/>
      <c r="X1613" s="4"/>
      <c r="Y1613" s="4"/>
      <c r="Z1613" s="4"/>
    </row>
    <row r="1614" ht="15.75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 t="str">
        <f>IFERROR(__xludf.DUMMYFUNCTION("""COMPUTED_VALUE"""),"flat electrical repairs")</f>
        <v>flat electrical repairs</v>
      </c>
      <c r="U1614" s="4"/>
      <c r="V1614" s="4"/>
      <c r="W1614" s="4"/>
      <c r="X1614" s="4"/>
      <c r="Y1614" s="4"/>
      <c r="Z1614" s="4"/>
    </row>
    <row r="1615" ht="15.75" customHeight="1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 t="str">
        <f>IFERROR(__xludf.DUMMYFUNCTION("""COMPUTED_VALUE"""),"flat emergency plumbing")</f>
        <v>flat emergency plumbing</v>
      </c>
      <c r="U1615" s="4"/>
      <c r="V1615" s="4"/>
      <c r="W1615" s="4"/>
      <c r="X1615" s="4"/>
      <c r="Y1615" s="4"/>
      <c r="Z1615" s="4"/>
    </row>
    <row r="1616" ht="15.75" customHeight="1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 t="str">
        <f>IFERROR(__xludf.DUMMYFUNCTION("""COMPUTED_VALUE"""),"flat geyser repairs")</f>
        <v>flat geyser repairs</v>
      </c>
      <c r="U1616" s="4"/>
      <c r="V1616" s="4"/>
      <c r="W1616" s="4"/>
      <c r="X1616" s="4"/>
      <c r="Y1616" s="4"/>
      <c r="Z1616" s="4"/>
    </row>
    <row r="1617" ht="15.75" customHeight="1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 t="str">
        <f>IFERROR(__xludf.DUMMYFUNCTION("""COMPUTED_VALUE"""),"flat leak detection")</f>
        <v>flat leak detection</v>
      </c>
      <c r="U1617" s="4"/>
      <c r="V1617" s="4"/>
      <c r="W1617" s="4"/>
      <c r="X1617" s="4"/>
      <c r="Y1617" s="4"/>
      <c r="Z1617" s="4"/>
    </row>
    <row r="1618" ht="15.75" customHeight="1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 t="str">
        <f>IFERROR(__xludf.DUMMYFUNCTION("""COMPUTED_VALUE"""),"flat maintenance plumber")</f>
        <v>flat maintenance plumber</v>
      </c>
      <c r="U1618" s="4"/>
      <c r="V1618" s="4"/>
      <c r="W1618" s="4"/>
      <c r="X1618" s="4"/>
      <c r="Y1618" s="4"/>
      <c r="Z1618" s="4"/>
    </row>
    <row r="1619" ht="15.75" customHeight="1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 t="str">
        <f>IFERROR(__xludf.DUMMYFUNCTION("""COMPUTED_VALUE"""),"flat plumbing company")</f>
        <v>flat plumbing company</v>
      </c>
      <c r="U1619" s="4"/>
      <c r="V1619" s="4"/>
      <c r="W1619" s="4"/>
      <c r="X1619" s="4"/>
      <c r="Y1619" s="4"/>
      <c r="Z1619" s="4"/>
    </row>
    <row r="1620" ht="15.75" customHeight="1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 t="str">
        <f>IFERROR(__xludf.DUMMYFUNCTION("""COMPUTED_VALUE"""),"flat plumbing services")</f>
        <v>flat plumbing services</v>
      </c>
      <c r="U1620" s="4"/>
      <c r="V1620" s="4"/>
      <c r="W1620" s="4"/>
      <c r="X1620" s="4"/>
      <c r="Y1620" s="4"/>
      <c r="Z1620" s="4"/>
    </row>
    <row r="1621" ht="15.75" customHeight="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 t="str">
        <f>IFERROR(__xludf.DUMMYFUNCTION("""COMPUTED_VALUE"""),"flat refrigeration services")</f>
        <v>flat refrigeration services</v>
      </c>
      <c r="U1621" s="4"/>
      <c r="V1621" s="4"/>
      <c r="W1621" s="4"/>
      <c r="X1621" s="4"/>
      <c r="Y1621" s="4"/>
      <c r="Z1621" s="4"/>
    </row>
    <row r="1622" ht="15.75" customHeight="1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 t="str">
        <f>IFERROR(__xludf.DUMMYFUNCTION("""COMPUTED_VALUE"""),"fridge repair")</f>
        <v>fridge repair</v>
      </c>
      <c r="U1622" s="4"/>
      <c r="V1622" s="4"/>
      <c r="W1622" s="4"/>
      <c r="X1622" s="4"/>
      <c r="Y1622" s="4"/>
      <c r="Z1622" s="4"/>
    </row>
    <row r="1623" ht="15.75" customHeight="1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 t="str">
        <f>IFERROR(__xludf.DUMMYFUNCTION("""COMPUTED_VALUE"""),"fridge repair affordable")</f>
        <v>fridge repair affordable</v>
      </c>
      <c r="U1623" s="4"/>
      <c r="V1623" s="4"/>
      <c r="W1623" s="4"/>
      <c r="X1623" s="4"/>
      <c r="Y1623" s="4"/>
      <c r="Z1623" s="4"/>
    </row>
    <row r="1624" ht="15.75" customHeight="1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 t="str">
        <f>IFERROR(__xludf.DUMMYFUNCTION("""COMPUTED_VALUE"""),"fridge repair best")</f>
        <v>fridge repair best</v>
      </c>
      <c r="U1624" s="4"/>
      <c r="V1624" s="4"/>
      <c r="W1624" s="4"/>
      <c r="X1624" s="4"/>
      <c r="Y1624" s="4"/>
      <c r="Z1624" s="4"/>
    </row>
    <row r="1625" ht="15.75" customHeight="1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 t="str">
        <f>IFERROR(__xludf.DUMMYFUNCTION("""COMPUTED_VALUE"""),"fridge repair cape town")</f>
        <v>fridge repair cape town</v>
      </c>
      <c r="U1625" s="4"/>
      <c r="V1625" s="4"/>
      <c r="W1625" s="4"/>
      <c r="X1625" s="4"/>
      <c r="Y1625" s="4"/>
      <c r="Z1625" s="4"/>
    </row>
    <row r="1626" ht="15.75" customHeight="1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 t="str">
        <f>IFERROR(__xludf.DUMMYFUNCTION("""COMPUTED_VALUE"""),"fridge repair commercial")</f>
        <v>fridge repair commercial</v>
      </c>
      <c r="U1626" s="4"/>
      <c r="V1626" s="4"/>
      <c r="W1626" s="4"/>
      <c r="X1626" s="4"/>
      <c r="Y1626" s="4"/>
      <c r="Z1626" s="4"/>
    </row>
    <row r="1627" ht="15.75" customHeight="1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 t="str">
        <f>IFERROR(__xludf.DUMMYFUNCTION("""COMPUTED_VALUE"""),"fridge repair company")</f>
        <v>fridge repair company</v>
      </c>
      <c r="U1627" s="4"/>
      <c r="V1627" s="4"/>
      <c r="W1627" s="4"/>
      <c r="X1627" s="4"/>
      <c r="Y1627" s="4"/>
      <c r="Z1627" s="4"/>
    </row>
    <row r="1628" ht="15.75" customHeight="1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 t="str">
        <f>IFERROR(__xludf.DUMMYFUNCTION("""COMPUTED_VALUE"""),"fridge repair contractor")</f>
        <v>fridge repair contractor</v>
      </c>
      <c r="U1628" s="4"/>
      <c r="V1628" s="4"/>
      <c r="W1628" s="4"/>
      <c r="X1628" s="4"/>
      <c r="Y1628" s="4"/>
      <c r="Z1628" s="4"/>
    </row>
    <row r="1629" ht="15.75" customHeight="1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 t="str">
        <f>IFERROR(__xludf.DUMMYFUNCTION("""COMPUTED_VALUE"""),"fridge repair cost")</f>
        <v>fridge repair cost</v>
      </c>
      <c r="U1629" s="4"/>
      <c r="V1629" s="4"/>
      <c r="W1629" s="4"/>
      <c r="X1629" s="4"/>
      <c r="Y1629" s="4"/>
      <c r="Z1629" s="4"/>
    </row>
    <row r="1630" ht="15.75" customHeight="1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 t="str">
        <f>IFERROR(__xludf.DUMMYFUNCTION("""COMPUTED_VALUE"""),"fridge repair emergency")</f>
        <v>fridge repair emergency</v>
      </c>
      <c r="U1630" s="4"/>
      <c r="V1630" s="4"/>
      <c r="W1630" s="4"/>
      <c r="X1630" s="4"/>
      <c r="Y1630" s="4"/>
      <c r="Z1630" s="4"/>
    </row>
    <row r="1631" ht="15.75" customHeight="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 t="str">
        <f>IFERROR(__xludf.DUMMYFUNCTION("""COMPUTED_VALUE"""),"fridge repair installation")</f>
        <v>fridge repair installation</v>
      </c>
      <c r="U1631" s="4"/>
      <c r="V1631" s="4"/>
      <c r="W1631" s="4"/>
      <c r="X1631" s="4"/>
      <c r="Y1631" s="4"/>
      <c r="Z1631" s="4"/>
    </row>
    <row r="1632" ht="15.75" customHeight="1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 t="str">
        <f>IFERROR(__xludf.DUMMYFUNCTION("""COMPUTED_VALUE"""),"fridge repair local")</f>
        <v>fridge repair local</v>
      </c>
      <c r="U1632" s="4"/>
      <c r="V1632" s="4"/>
      <c r="W1632" s="4"/>
      <c r="X1632" s="4"/>
      <c r="Y1632" s="4"/>
      <c r="Z1632" s="4"/>
    </row>
    <row r="1633" ht="15.75" customHeight="1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 t="str">
        <f>IFERROR(__xludf.DUMMYFUNCTION("""COMPUTED_VALUE"""),"fridge repair maintenance")</f>
        <v>fridge repair maintenance</v>
      </c>
      <c r="U1633" s="4"/>
      <c r="V1633" s="4"/>
      <c r="W1633" s="4"/>
      <c r="X1633" s="4"/>
      <c r="Y1633" s="4"/>
      <c r="Z1633" s="4"/>
    </row>
    <row r="1634" ht="15.75" customHeight="1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 t="str">
        <f>IFERROR(__xludf.DUMMYFUNCTION("""COMPUTED_VALUE"""),"fridge repair near me")</f>
        <v>fridge repair near me</v>
      </c>
      <c r="U1634" s="4"/>
      <c r="V1634" s="4"/>
      <c r="W1634" s="4"/>
      <c r="X1634" s="4"/>
      <c r="Y1634" s="4"/>
      <c r="Z1634" s="4"/>
    </row>
    <row r="1635" ht="15.75" customHeight="1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 t="str">
        <f>IFERROR(__xludf.DUMMYFUNCTION("""COMPUTED_VALUE"""),"fridge repair professional")</f>
        <v>fridge repair professional</v>
      </c>
      <c r="U1635" s="4"/>
      <c r="V1635" s="4"/>
      <c r="W1635" s="4"/>
      <c r="X1635" s="4"/>
      <c r="Y1635" s="4"/>
      <c r="Z1635" s="4"/>
    </row>
    <row r="1636" ht="15.75" customHeight="1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 t="str">
        <f>IFERROR(__xludf.DUMMYFUNCTION("""COMPUTED_VALUE"""),"fridge repair quote")</f>
        <v>fridge repair quote</v>
      </c>
      <c r="U1636" s="4"/>
      <c r="V1636" s="4"/>
      <c r="W1636" s="4"/>
      <c r="X1636" s="4"/>
      <c r="Y1636" s="4"/>
      <c r="Z1636" s="4"/>
    </row>
    <row r="1637" ht="15.75" customHeight="1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 t="str">
        <f>IFERROR(__xludf.DUMMYFUNCTION("""COMPUTED_VALUE"""),"fridge repair reliable")</f>
        <v>fridge repair reliable</v>
      </c>
      <c r="U1637" s="4"/>
      <c r="V1637" s="4"/>
      <c r="W1637" s="4"/>
      <c r="X1637" s="4"/>
      <c r="Y1637" s="4"/>
      <c r="Z1637" s="4"/>
    </row>
    <row r="1638" ht="15.75" customHeight="1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 t="str">
        <f>IFERROR(__xludf.DUMMYFUNCTION("""COMPUTED_VALUE"""),"fridge repair residential")</f>
        <v>fridge repair residential</v>
      </c>
      <c r="U1638" s="4"/>
      <c r="V1638" s="4"/>
      <c r="W1638" s="4"/>
      <c r="X1638" s="4"/>
      <c r="Y1638" s="4"/>
      <c r="Z1638" s="4"/>
    </row>
    <row r="1639" ht="15.75" customHeight="1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 t="str">
        <f>IFERROR(__xludf.DUMMYFUNCTION("""COMPUTED_VALUE"""),"fridge repair same day")</f>
        <v>fridge repair same day</v>
      </c>
      <c r="U1639" s="4"/>
      <c r="V1639" s="4"/>
      <c r="W1639" s="4"/>
      <c r="X1639" s="4"/>
      <c r="Y1639" s="4"/>
      <c r="Z1639" s="4"/>
    </row>
    <row r="1640" ht="15.75" customHeight="1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 t="str">
        <f>IFERROR(__xludf.DUMMYFUNCTION("""COMPUTED_VALUE"""),"fridge repair service")</f>
        <v>fridge repair service</v>
      </c>
      <c r="U1640" s="4"/>
      <c r="V1640" s="4"/>
      <c r="W1640" s="4"/>
      <c r="X1640" s="4"/>
      <c r="Y1640" s="4"/>
      <c r="Z1640" s="4"/>
    </row>
    <row r="1641" ht="15.75" customHeight="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 t="str">
        <f>IFERROR(__xludf.DUMMYFUNCTION("""COMPUTED_VALUE"""),"fridge repair technician")</f>
        <v>fridge repair technician</v>
      </c>
      <c r="U1641" s="4"/>
      <c r="V1641" s="4"/>
      <c r="W1641" s="4"/>
      <c r="X1641" s="4"/>
      <c r="Y1641" s="4"/>
      <c r="Z1641" s="4"/>
    </row>
    <row r="1642" ht="15.75" customHeight="1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 t="str">
        <f>IFERROR(__xludf.DUMMYFUNCTION("""COMPUTED_VALUE"""),"geyser repair")</f>
        <v>geyser repair</v>
      </c>
      <c r="U1642" s="4"/>
      <c r="V1642" s="4"/>
      <c r="W1642" s="4"/>
      <c r="X1642" s="4"/>
      <c r="Y1642" s="4"/>
      <c r="Z1642" s="4"/>
    </row>
    <row r="1643" ht="15.75" customHeight="1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 t="str">
        <f>IFERROR(__xludf.DUMMYFUNCTION("""COMPUTED_VALUE"""),"geyser repair affordable")</f>
        <v>geyser repair affordable</v>
      </c>
      <c r="U1643" s="4"/>
      <c r="V1643" s="4"/>
      <c r="W1643" s="4"/>
      <c r="X1643" s="4"/>
      <c r="Y1643" s="4"/>
      <c r="Z1643" s="4"/>
    </row>
    <row r="1644" ht="15.75" customHeight="1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 t="str">
        <f>IFERROR(__xludf.DUMMYFUNCTION("""COMPUTED_VALUE"""),"geyser repair Atlantic Seaboard")</f>
        <v>geyser repair Atlantic Seaboard</v>
      </c>
      <c r="U1644" s="4"/>
      <c r="V1644" s="4"/>
      <c r="W1644" s="4"/>
      <c r="X1644" s="4"/>
      <c r="Y1644" s="4"/>
      <c r="Z1644" s="4"/>
    </row>
    <row r="1645" ht="15.75" customHeight="1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 t="str">
        <f>IFERROR(__xludf.DUMMYFUNCTION("""COMPUTED_VALUE"""),"geyser repair Bellville")</f>
        <v>geyser repair Bellville</v>
      </c>
      <c r="U1645" s="4"/>
      <c r="V1645" s="4"/>
      <c r="W1645" s="4"/>
      <c r="X1645" s="4"/>
      <c r="Y1645" s="4"/>
      <c r="Z1645" s="4"/>
    </row>
    <row r="1646" ht="15.75" customHeight="1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 t="str">
        <f>IFERROR(__xludf.DUMMYFUNCTION("""COMPUTED_VALUE"""),"geyser repair best")</f>
        <v>geyser repair best</v>
      </c>
      <c r="U1646" s="4"/>
      <c r="V1646" s="4"/>
      <c r="W1646" s="4"/>
      <c r="X1646" s="4"/>
      <c r="Y1646" s="4"/>
      <c r="Z1646" s="4"/>
    </row>
    <row r="1647" ht="15.75" customHeight="1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 t="str">
        <f>IFERROR(__xludf.DUMMYFUNCTION("""COMPUTED_VALUE"""),"geyser repair best way to fix")</f>
        <v>geyser repair best way to fix</v>
      </c>
      <c r="U1647" s="4"/>
      <c r="V1647" s="4"/>
      <c r="W1647" s="4"/>
      <c r="X1647" s="4"/>
      <c r="Y1647" s="4"/>
      <c r="Z1647" s="4"/>
    </row>
    <row r="1648" ht="15.75" customHeight="1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 t="str">
        <f>IFERROR(__xludf.DUMMYFUNCTION("""COMPUTED_VALUE"""),"geyser repair Camps Bay")</f>
        <v>geyser repair Camps Bay</v>
      </c>
      <c r="U1648" s="4"/>
      <c r="V1648" s="4"/>
      <c r="W1648" s="4"/>
      <c r="X1648" s="4"/>
      <c r="Y1648" s="4"/>
      <c r="Z1648" s="4"/>
    </row>
    <row r="1649" ht="15.75" customHeight="1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 t="str">
        <f>IFERROR(__xludf.DUMMYFUNCTION("""COMPUTED_VALUE"""),"geyser repair can a plumber fix")</f>
        <v>geyser repair can a plumber fix</v>
      </c>
      <c r="U1649" s="4"/>
      <c r="V1649" s="4"/>
      <c r="W1649" s="4"/>
      <c r="X1649" s="4"/>
      <c r="Y1649" s="4"/>
      <c r="Z1649" s="4"/>
    </row>
    <row r="1650" ht="15.75" customHeight="1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 t="str">
        <f>IFERROR(__xludf.DUMMYFUNCTION("""COMPUTED_VALUE"""),"geyser repair cape town")</f>
        <v>geyser repair cape town</v>
      </c>
      <c r="U1650" s="4"/>
      <c r="V1650" s="4"/>
      <c r="W1650" s="4"/>
      <c r="X1650" s="4"/>
      <c r="Y1650" s="4"/>
      <c r="Z1650" s="4"/>
    </row>
    <row r="1651" ht="15.75" customHeight="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 t="str">
        <f>IFERROR(__xludf.DUMMYFUNCTION("""COMPUTED_VALUE"""),"geyser repair Cape Town")</f>
        <v>geyser repair Cape Town</v>
      </c>
      <c r="U1651" s="4"/>
      <c r="V1651" s="4"/>
      <c r="W1651" s="4"/>
      <c r="X1651" s="4"/>
      <c r="Y1651" s="4"/>
      <c r="Z1651" s="4"/>
    </row>
    <row r="1652" ht="15.75" customHeight="1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 t="str">
        <f>IFERROR(__xludf.DUMMYFUNCTION("""COMPUTED_VALUE"""),"geyser repair Cape Town CBD")</f>
        <v>geyser repair Cape Town CBD</v>
      </c>
      <c r="U1652" s="4"/>
      <c r="V1652" s="4"/>
      <c r="W1652" s="4"/>
      <c r="X1652" s="4"/>
      <c r="Y1652" s="4"/>
      <c r="Z1652" s="4"/>
    </row>
    <row r="1653" ht="15.75" customHeight="1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 t="str">
        <f>IFERROR(__xludf.DUMMYFUNCTION("""COMPUTED_VALUE"""),"geyser repair CCTV")</f>
        <v>geyser repair CCTV</v>
      </c>
      <c r="U1653" s="4"/>
      <c r="V1653" s="4"/>
      <c r="W1653" s="4"/>
      <c r="X1653" s="4"/>
      <c r="Y1653" s="4"/>
      <c r="Z1653" s="4"/>
    </row>
    <row r="1654" ht="15.75" customHeight="1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 t="str">
        <f>IFERROR(__xludf.DUMMYFUNCTION("""COMPUTED_VALUE"""),"geyser repair Claremont")</f>
        <v>geyser repair Claremont</v>
      </c>
      <c r="U1654" s="4"/>
      <c r="V1654" s="4"/>
      <c r="W1654" s="4"/>
      <c r="X1654" s="4"/>
      <c r="Y1654" s="4"/>
      <c r="Z1654" s="4"/>
    </row>
    <row r="1655" ht="15.75" customHeight="1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 t="str">
        <f>IFERROR(__xludf.DUMMYFUNCTION("""COMPUTED_VALUE"""),"geyser repair commercial")</f>
        <v>geyser repair commercial</v>
      </c>
      <c r="U1655" s="4"/>
      <c r="V1655" s="4"/>
      <c r="W1655" s="4"/>
      <c r="X1655" s="4"/>
      <c r="Y1655" s="4"/>
      <c r="Z1655" s="4"/>
    </row>
    <row r="1656" ht="15.75" customHeight="1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 t="str">
        <f>IFERROR(__xludf.DUMMYFUNCTION("""COMPUTED_VALUE"""),"geyser repair Constantia")</f>
        <v>geyser repair Constantia</v>
      </c>
      <c r="U1656" s="4"/>
      <c r="V1656" s="4"/>
      <c r="W1656" s="4"/>
      <c r="X1656" s="4"/>
      <c r="Y1656" s="4"/>
      <c r="Z1656" s="4"/>
    </row>
    <row r="1657" ht="15.75" customHeight="1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 t="str">
        <f>IFERROR(__xludf.DUMMYFUNCTION("""COMPUTED_VALUE"""),"geyser repair cost")</f>
        <v>geyser repair cost</v>
      </c>
      <c r="U1657" s="4"/>
      <c r="V1657" s="4"/>
      <c r="W1657" s="4"/>
      <c r="X1657" s="4"/>
      <c r="Y1657" s="4"/>
      <c r="Z1657" s="4"/>
    </row>
    <row r="1658" ht="15.75" customHeight="1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 t="str">
        <f>IFERROR(__xludf.DUMMYFUNCTION("""COMPUTED_VALUE"""),"geyser repair cost of")</f>
        <v>geyser repair cost of</v>
      </c>
      <c r="U1658" s="4"/>
      <c r="V1658" s="4"/>
      <c r="W1658" s="4"/>
      <c r="X1658" s="4"/>
      <c r="Y1658" s="4"/>
      <c r="Z1658" s="4"/>
    </row>
    <row r="1659" ht="15.75" customHeight="1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 t="str">
        <f>IFERROR(__xludf.DUMMYFUNCTION("""COMPUTED_VALUE"""),"geyser repair do I need")</f>
        <v>geyser repair do I need</v>
      </c>
      <c r="U1659" s="4"/>
      <c r="V1659" s="4"/>
      <c r="W1659" s="4"/>
      <c r="X1659" s="4"/>
      <c r="Y1659" s="4"/>
      <c r="Z1659" s="4"/>
    </row>
    <row r="1660" ht="15.75" customHeight="1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 t="str">
        <f>IFERROR(__xludf.DUMMYFUNCTION("""COMPUTED_VALUE"""),"geyser repair Durbanville")</f>
        <v>geyser repair Durbanville</v>
      </c>
      <c r="U1660" s="4"/>
      <c r="V1660" s="4"/>
      <c r="W1660" s="4"/>
      <c r="X1660" s="4"/>
      <c r="Y1660" s="4"/>
      <c r="Z1660" s="4"/>
    </row>
    <row r="1661" ht="15.75" customHeight="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 t="str">
        <f>IFERROR(__xludf.DUMMYFUNCTION("""COMPUTED_VALUE"""),"geyser repair emergency")</f>
        <v>geyser repair emergency</v>
      </c>
      <c r="U1661" s="4"/>
      <c r="V1661" s="4"/>
      <c r="W1661" s="4"/>
      <c r="X1661" s="4"/>
      <c r="Y1661" s="4"/>
      <c r="Z1661" s="4"/>
    </row>
    <row r="1662" ht="15.75" customHeight="1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 t="str">
        <f>IFERROR(__xludf.DUMMYFUNCTION("""COMPUTED_VALUE"""),"geyser repair emergency help for")</f>
        <v>geyser repair emergency help for</v>
      </c>
      <c r="U1662" s="4"/>
      <c r="V1662" s="4"/>
      <c r="W1662" s="4"/>
      <c r="X1662" s="4"/>
      <c r="Y1662" s="4"/>
      <c r="Z1662" s="4"/>
    </row>
    <row r="1663" ht="15.75" customHeight="1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 t="str">
        <f>IFERROR(__xludf.DUMMYFUNCTION("""COMPUTED_VALUE"""),"geyser repair Fish Hoek")</f>
        <v>geyser repair Fish Hoek</v>
      </c>
      <c r="U1663" s="4"/>
      <c r="V1663" s="4"/>
      <c r="W1663" s="4"/>
      <c r="X1663" s="4"/>
      <c r="Y1663" s="4"/>
      <c r="Z1663" s="4"/>
    </row>
    <row r="1664" ht="15.75" customHeight="1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 t="str">
        <f>IFERROR(__xludf.DUMMYFUNCTION("""COMPUTED_VALUE"""),"geyser repair Green Point")</f>
        <v>geyser repair Green Point</v>
      </c>
      <c r="U1664" s="4"/>
      <c r="V1664" s="4"/>
      <c r="W1664" s="4"/>
      <c r="X1664" s="4"/>
      <c r="Y1664" s="4"/>
      <c r="Z1664" s="4"/>
    </row>
    <row r="1665" ht="15.75" customHeight="1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 t="str">
        <f>IFERROR(__xludf.DUMMYFUNCTION("""COMPUTED_VALUE"""),"geyser repair high pressure jetting")</f>
        <v>geyser repair high pressure jetting</v>
      </c>
      <c r="U1665" s="4"/>
      <c r="V1665" s="4"/>
      <c r="W1665" s="4"/>
      <c r="X1665" s="4"/>
      <c r="Y1665" s="4"/>
      <c r="Z1665" s="4"/>
    </row>
    <row r="1666" ht="15.75" customHeight="1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 t="str">
        <f>IFERROR(__xludf.DUMMYFUNCTION("""COMPUTED_VALUE"""),"geyser repair Hout Bay")</f>
        <v>geyser repair Hout Bay</v>
      </c>
      <c r="U1666" s="4"/>
      <c r="V1666" s="4"/>
      <c r="W1666" s="4"/>
      <c r="X1666" s="4"/>
      <c r="Y1666" s="4"/>
      <c r="Z1666" s="4"/>
    </row>
    <row r="1667" ht="15.75" customHeight="1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 t="str">
        <f>IFERROR(__xludf.DUMMYFUNCTION("""COMPUTED_VALUE"""),"geyser repair how long does")</f>
        <v>geyser repair how long does</v>
      </c>
      <c r="U1667" s="4"/>
      <c r="V1667" s="4"/>
      <c r="W1667" s="4"/>
      <c r="X1667" s="4"/>
      <c r="Y1667" s="4"/>
      <c r="Z1667" s="4"/>
    </row>
    <row r="1668" ht="15.75" customHeight="1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 t="str">
        <f>IFERROR(__xludf.DUMMYFUNCTION("""COMPUTED_VALUE"""),"geyser repair how much does")</f>
        <v>geyser repair how much does</v>
      </c>
      <c r="U1668" s="4"/>
      <c r="V1668" s="4"/>
      <c r="W1668" s="4"/>
      <c r="X1668" s="4"/>
      <c r="Y1668" s="4"/>
      <c r="Z1668" s="4"/>
    </row>
    <row r="1669" ht="15.75" customHeight="1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 t="str">
        <f>IFERROR(__xludf.DUMMYFUNCTION("""COMPUTED_VALUE"""),"geyser repair how to choose")</f>
        <v>geyser repair how to choose</v>
      </c>
      <c r="U1669" s="4"/>
      <c r="V1669" s="4"/>
      <c r="W1669" s="4"/>
      <c r="X1669" s="4"/>
      <c r="Y1669" s="4"/>
      <c r="Z1669" s="4"/>
    </row>
    <row r="1670" ht="15.75" customHeight="1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 t="str">
        <f>IFERROR(__xludf.DUMMYFUNCTION("""COMPUTED_VALUE"""),"geyser repair how to prevent")</f>
        <v>geyser repair how to prevent</v>
      </c>
      <c r="U1670" s="4"/>
      <c r="V1670" s="4"/>
      <c r="W1670" s="4"/>
      <c r="X1670" s="4"/>
      <c r="Y1670" s="4"/>
      <c r="Z1670" s="4"/>
    </row>
    <row r="1671" ht="15.75" customHeight="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 t="str">
        <f>IFERROR(__xludf.DUMMYFUNCTION("""COMPUTED_VALUE"""),"geyser repair installation")</f>
        <v>geyser repair installation</v>
      </c>
      <c r="U1671" s="4"/>
      <c r="V1671" s="4"/>
      <c r="W1671" s="4"/>
      <c r="X1671" s="4"/>
      <c r="Y1671" s="4"/>
      <c r="Z1671" s="4"/>
    </row>
    <row r="1672" ht="15.75" customHeight="1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 t="str">
        <f>IFERROR(__xludf.DUMMYFUNCTION("""COMPUTED_VALUE"""),"geyser repair is it safe to")</f>
        <v>geyser repair is it safe to</v>
      </c>
      <c r="U1672" s="4"/>
      <c r="V1672" s="4"/>
      <c r="W1672" s="4"/>
      <c r="X1672" s="4"/>
      <c r="Y1672" s="4"/>
      <c r="Z1672" s="4"/>
    </row>
    <row r="1673" ht="15.75" customHeight="1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 t="str">
        <f>IFERROR(__xludf.DUMMYFUNCTION("""COMPUTED_VALUE"""),"geyser repair Maitland")</f>
        <v>geyser repair Maitland</v>
      </c>
      <c r="U1673" s="4"/>
      <c r="V1673" s="4"/>
      <c r="W1673" s="4"/>
      <c r="X1673" s="4"/>
      <c r="Y1673" s="4"/>
      <c r="Z1673" s="4"/>
    </row>
    <row r="1674" ht="15.75" customHeight="1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 t="str">
        <f>IFERROR(__xludf.DUMMYFUNCTION("""COMPUTED_VALUE"""),"geyser repair Milnerton")</f>
        <v>geyser repair Milnerton</v>
      </c>
      <c r="U1674" s="4"/>
      <c r="V1674" s="4"/>
      <c r="W1674" s="4"/>
      <c r="X1674" s="4"/>
      <c r="Y1674" s="4"/>
      <c r="Z1674" s="4"/>
    </row>
    <row r="1675" ht="15.75" customHeight="1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 t="str">
        <f>IFERROR(__xludf.DUMMYFUNCTION("""COMPUTED_VALUE"""),"geyser repair Muizenberg")</f>
        <v>geyser repair Muizenberg</v>
      </c>
      <c r="U1675" s="4"/>
      <c r="V1675" s="4"/>
      <c r="W1675" s="4"/>
      <c r="X1675" s="4"/>
      <c r="Y1675" s="4"/>
      <c r="Z1675" s="4"/>
    </row>
    <row r="1676" ht="15.75" customHeight="1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 t="str">
        <f>IFERROR(__xludf.DUMMYFUNCTION("""COMPUTED_VALUE"""),"geyser repair near me")</f>
        <v>geyser repair near me</v>
      </c>
      <c r="U1676" s="4"/>
      <c r="V1676" s="4"/>
      <c r="W1676" s="4"/>
      <c r="X1676" s="4"/>
      <c r="Y1676" s="4"/>
      <c r="Z1676" s="4"/>
    </row>
    <row r="1677" ht="15.75" customHeight="1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 t="str">
        <f>IFERROR(__xludf.DUMMYFUNCTION("""COMPUTED_VALUE"""),"geyser repair near me for")</f>
        <v>geyser repair near me for</v>
      </c>
      <c r="U1677" s="4"/>
      <c r="V1677" s="4"/>
      <c r="W1677" s="4"/>
      <c r="X1677" s="4"/>
      <c r="Y1677" s="4"/>
      <c r="Z1677" s="4"/>
    </row>
    <row r="1678" ht="15.75" customHeight="1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 t="str">
        <f>IFERROR(__xludf.DUMMYFUNCTION("""COMPUTED_VALUE"""),"geyser repair Newlands")</f>
        <v>geyser repair Newlands</v>
      </c>
      <c r="U1678" s="4"/>
      <c r="V1678" s="4"/>
      <c r="W1678" s="4"/>
      <c r="X1678" s="4"/>
      <c r="Y1678" s="4"/>
      <c r="Z1678" s="4"/>
    </row>
    <row r="1679" ht="15.75" customHeight="1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 t="str">
        <f>IFERROR(__xludf.DUMMYFUNCTION("""COMPUTED_VALUE"""),"geyser repair Northern Suburbs")</f>
        <v>geyser repair Northern Suburbs</v>
      </c>
      <c r="U1679" s="4"/>
      <c r="V1679" s="4"/>
      <c r="W1679" s="4"/>
      <c r="X1679" s="4"/>
      <c r="Y1679" s="4"/>
      <c r="Z1679" s="4"/>
    </row>
    <row r="1680" ht="15.75" customHeight="1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 t="str">
        <f>IFERROR(__xludf.DUMMYFUNCTION("""COMPUTED_VALUE"""),"geyser repair Observatory")</f>
        <v>geyser repair Observatory</v>
      </c>
      <c r="U1680" s="4"/>
      <c r="V1680" s="4"/>
      <c r="W1680" s="4"/>
      <c r="X1680" s="4"/>
      <c r="Y1680" s="4"/>
      <c r="Z1680" s="4"/>
    </row>
    <row r="1681" ht="15.75" customHeight="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 t="str">
        <f>IFERROR(__xludf.DUMMYFUNCTION("""COMPUTED_VALUE"""),"geyser repair plumber")</f>
        <v>geyser repair plumber</v>
      </c>
      <c r="U1681" s="4"/>
      <c r="V1681" s="4"/>
      <c r="W1681" s="4"/>
      <c r="X1681" s="4"/>
      <c r="Y1681" s="4"/>
      <c r="Z1681" s="4"/>
    </row>
    <row r="1682" ht="15.75" customHeight="1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 t="str">
        <f>IFERROR(__xludf.DUMMYFUNCTION("""COMPUTED_VALUE"""),"geyser repair plumbing company")</f>
        <v>geyser repair plumbing company</v>
      </c>
      <c r="U1682" s="4"/>
      <c r="V1682" s="4"/>
      <c r="W1682" s="4"/>
      <c r="X1682" s="4"/>
      <c r="Y1682" s="4"/>
      <c r="Z1682" s="4"/>
    </row>
    <row r="1683" ht="15.75" customHeight="1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 t="str">
        <f>IFERROR(__xludf.DUMMYFUNCTION("""COMPUTED_VALUE"""),"geyser repair Plumstead")</f>
        <v>geyser repair Plumstead</v>
      </c>
      <c r="U1683" s="4"/>
      <c r="V1683" s="4"/>
      <c r="W1683" s="4"/>
      <c r="X1683" s="4"/>
      <c r="Y1683" s="4"/>
      <c r="Z1683" s="4"/>
    </row>
    <row r="1684" ht="15.75" customHeight="1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 t="str">
        <f>IFERROR(__xludf.DUMMYFUNCTION("""COMPUTED_VALUE"""),"geyser repair quote")</f>
        <v>geyser repair quote</v>
      </c>
      <c r="U1684" s="4"/>
      <c r="V1684" s="4"/>
      <c r="W1684" s="4"/>
      <c r="X1684" s="4"/>
      <c r="Y1684" s="4"/>
      <c r="Z1684" s="4"/>
    </row>
    <row r="1685" ht="15.75" customHeight="1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 t="str">
        <f>IFERROR(__xludf.DUMMYFUNCTION("""COMPUTED_VALUE"""),"geyser repair reliable")</f>
        <v>geyser repair reliable</v>
      </c>
      <c r="U1685" s="4"/>
      <c r="V1685" s="4"/>
      <c r="W1685" s="4"/>
      <c r="X1685" s="4"/>
      <c r="Y1685" s="4"/>
      <c r="Z1685" s="4"/>
    </row>
    <row r="1686" ht="15.75" customHeight="1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 t="str">
        <f>IFERROR(__xludf.DUMMYFUNCTION("""COMPUTED_VALUE"""),"geyser repair replacement")</f>
        <v>geyser repair replacement</v>
      </c>
      <c r="U1686" s="4"/>
      <c r="V1686" s="4"/>
      <c r="W1686" s="4"/>
      <c r="X1686" s="4"/>
      <c r="Y1686" s="4"/>
      <c r="Z1686" s="4"/>
    </row>
    <row r="1687" ht="15.75" customHeight="1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 t="str">
        <f>IFERROR(__xludf.DUMMYFUNCTION("""COMPUTED_VALUE"""),"geyser repair residential")</f>
        <v>geyser repair residential</v>
      </c>
      <c r="U1687" s="4"/>
      <c r="V1687" s="4"/>
      <c r="W1687" s="4"/>
      <c r="X1687" s="4"/>
      <c r="Y1687" s="4"/>
      <c r="Z1687" s="4"/>
    </row>
    <row r="1688" ht="15.75" customHeight="1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 t="str">
        <f>IFERROR(__xludf.DUMMYFUNCTION("""COMPUTED_VALUE"""),"geyser repair Rondebosch")</f>
        <v>geyser repair Rondebosch</v>
      </c>
      <c r="U1688" s="4"/>
      <c r="V1688" s="4"/>
      <c r="W1688" s="4"/>
      <c r="X1688" s="4"/>
      <c r="Y1688" s="4"/>
      <c r="Z1688" s="4"/>
    </row>
    <row r="1689" ht="15.75" customHeight="1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 t="str">
        <f>IFERROR(__xludf.DUMMYFUNCTION("""COMPUTED_VALUE"""),"geyser repair same day")</f>
        <v>geyser repair same day</v>
      </c>
      <c r="U1689" s="4"/>
      <c r="V1689" s="4"/>
      <c r="W1689" s="4"/>
      <c r="X1689" s="4"/>
      <c r="Y1689" s="4"/>
      <c r="Z1689" s="4"/>
    </row>
    <row r="1690" ht="15.75" customHeight="1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 t="str">
        <f>IFERROR(__xludf.DUMMYFUNCTION("""COMPUTED_VALUE"""),"geyser repair same day help for")</f>
        <v>geyser repair same day help for</v>
      </c>
      <c r="U1690" s="4"/>
      <c r="V1690" s="4"/>
      <c r="W1690" s="4"/>
      <c r="X1690" s="4"/>
      <c r="Y1690" s="4"/>
      <c r="Z1690" s="4"/>
    </row>
    <row r="1691" ht="15.75" customHeight="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 t="str">
        <f>IFERROR(__xludf.DUMMYFUNCTION("""COMPUTED_VALUE"""),"geyser repair Sea Point")</f>
        <v>geyser repair Sea Point</v>
      </c>
      <c r="U1691" s="4"/>
      <c r="V1691" s="4"/>
      <c r="W1691" s="4"/>
      <c r="X1691" s="4"/>
      <c r="Y1691" s="4"/>
      <c r="Z1691" s="4"/>
    </row>
    <row r="1692" ht="15.75" customHeight="1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 t="str">
        <f>IFERROR(__xludf.DUMMYFUNCTION("""COMPUTED_VALUE"""),"geyser repair service")</f>
        <v>geyser repair service</v>
      </c>
      <c r="U1692" s="4"/>
      <c r="V1692" s="4"/>
      <c r="W1692" s="4"/>
      <c r="X1692" s="4"/>
      <c r="Y1692" s="4"/>
      <c r="Z1692" s="4"/>
    </row>
    <row r="1693" ht="15.75" customHeight="1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 t="str">
        <f>IFERROR(__xludf.DUMMYFUNCTION("""COMPUTED_VALUE"""),"geyser repair signs you need")</f>
        <v>geyser repair signs you need</v>
      </c>
      <c r="U1693" s="4"/>
      <c r="V1693" s="4"/>
      <c r="W1693" s="4"/>
      <c r="X1693" s="4"/>
      <c r="Y1693" s="4"/>
      <c r="Z1693" s="4"/>
    </row>
    <row r="1694" ht="15.75" customHeight="1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 t="str">
        <f>IFERROR(__xludf.DUMMYFUNCTION("""COMPUTED_VALUE"""),"geyser repair South Africa")</f>
        <v>geyser repair South Africa</v>
      </c>
      <c r="U1694" s="4"/>
      <c r="V1694" s="4"/>
      <c r="W1694" s="4"/>
      <c r="X1694" s="4"/>
      <c r="Y1694" s="4"/>
      <c r="Z1694" s="4"/>
    </row>
    <row r="1695" ht="15.75" customHeight="1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 t="str">
        <f>IFERROR(__xludf.DUMMYFUNCTION("""COMPUTED_VALUE"""),"geyser repair Southern Suburbs")</f>
        <v>geyser repair Southern Suburbs</v>
      </c>
      <c r="U1695" s="4"/>
      <c r="V1695" s="4"/>
      <c r="W1695" s="4"/>
      <c r="X1695" s="4"/>
      <c r="Y1695" s="4"/>
      <c r="Z1695" s="4"/>
    </row>
    <row r="1696" ht="15.75" customHeight="1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 t="str">
        <f>IFERROR(__xludf.DUMMYFUNCTION("""COMPUTED_VALUE"""),"geyser repair specialist")</f>
        <v>geyser repair specialist</v>
      </c>
      <c r="U1696" s="4"/>
      <c r="V1696" s="4"/>
      <c r="W1696" s="4"/>
      <c r="X1696" s="4"/>
      <c r="Y1696" s="4"/>
      <c r="Z1696" s="4"/>
    </row>
    <row r="1697" ht="15.75" customHeight="1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 t="str">
        <f>IFERROR(__xludf.DUMMYFUNCTION("""COMPUTED_VALUE"""),"geyser repair Table View")</f>
        <v>geyser repair Table View</v>
      </c>
      <c r="U1697" s="4"/>
      <c r="V1697" s="4"/>
      <c r="W1697" s="4"/>
      <c r="X1697" s="4"/>
      <c r="Y1697" s="4"/>
      <c r="Z1697" s="4"/>
    </row>
    <row r="1698" ht="15.75" customHeight="1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 t="str">
        <f>IFERROR(__xludf.DUMMYFUNCTION("""COMPUTED_VALUE"""),"geyser repair Tokai")</f>
        <v>geyser repair Tokai</v>
      </c>
      <c r="U1698" s="4"/>
      <c r="V1698" s="4"/>
      <c r="W1698" s="4"/>
      <c r="X1698" s="4"/>
      <c r="Y1698" s="4"/>
      <c r="Z1698" s="4"/>
    </row>
    <row r="1699" ht="15.75" customHeight="1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 t="str">
        <f>IFERROR(__xludf.DUMMYFUNCTION("""COMPUTED_VALUE"""),"geyser repair what causes")</f>
        <v>geyser repair what causes</v>
      </c>
      <c r="U1699" s="4"/>
      <c r="V1699" s="4"/>
      <c r="W1699" s="4"/>
      <c r="X1699" s="4"/>
      <c r="Y1699" s="4"/>
      <c r="Z1699" s="4"/>
    </row>
    <row r="1700" ht="15.75" customHeight="1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 t="str">
        <f>IFERROR(__xludf.DUMMYFUNCTION("""COMPUTED_VALUE"""),"geyser repair what is")</f>
        <v>geyser repair what is</v>
      </c>
      <c r="U1700" s="4"/>
      <c r="V1700" s="4"/>
      <c r="W1700" s="4"/>
      <c r="X1700" s="4"/>
      <c r="Y1700" s="4"/>
      <c r="Z1700" s="4"/>
    </row>
    <row r="1701" ht="15.75" customHeight="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 t="str">
        <f>IFERROR(__xludf.DUMMYFUNCTION("""COMPUTED_VALUE"""),"geyser repair when to call a")</f>
        <v>geyser repair when to call a</v>
      </c>
      <c r="U1701" s="4"/>
      <c r="V1701" s="4"/>
      <c r="W1701" s="4"/>
      <c r="X1701" s="4"/>
      <c r="Y1701" s="4"/>
      <c r="Z1701" s="4"/>
    </row>
    <row r="1702" ht="15.75" customHeight="1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 t="str">
        <f>IFERROR(__xludf.DUMMYFUNCTION("""COMPUTED_VALUE"""),"geyser repair who fixes")</f>
        <v>geyser repair who fixes</v>
      </c>
      <c r="U1702" s="4"/>
      <c r="V1702" s="4"/>
      <c r="W1702" s="4"/>
      <c r="X1702" s="4"/>
      <c r="Y1702" s="4"/>
      <c r="Z1702" s="4"/>
    </row>
    <row r="1703" ht="15.75" customHeight="1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 t="str">
        <f>IFERROR(__xludf.DUMMYFUNCTION("""COMPUTED_VALUE"""),"geyser repair why is my")</f>
        <v>geyser repair why is my</v>
      </c>
      <c r="U1703" s="4"/>
      <c r="V1703" s="4"/>
      <c r="W1703" s="4"/>
      <c r="X1703" s="4"/>
      <c r="Y1703" s="4"/>
      <c r="Z1703" s="4"/>
    </row>
    <row r="1704" ht="15.75" customHeight="1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 t="str">
        <f>IFERROR(__xludf.DUMMYFUNCTION("""COMPUTED_VALUE"""),"geyser repair Woodstock")</f>
        <v>geyser repair Woodstock</v>
      </c>
      <c r="U1704" s="4"/>
      <c r="V1704" s="4"/>
      <c r="W1704" s="4"/>
      <c r="X1704" s="4"/>
      <c r="Y1704" s="4"/>
      <c r="Z1704" s="4"/>
    </row>
    <row r="1705" ht="15.75" customHeight="1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 t="str">
        <f>IFERROR(__xludf.DUMMYFUNCTION("""COMPUTED_VALUE"""),"geyser repair Wynberg")</f>
        <v>geyser repair Wynberg</v>
      </c>
      <c r="U1705" s="4"/>
      <c r="V1705" s="4"/>
      <c r="W1705" s="4"/>
      <c r="X1705" s="4"/>
      <c r="Y1705" s="4"/>
      <c r="Z1705" s="4"/>
    </row>
    <row r="1706" ht="15.75" customHeight="1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 t="str">
        <f>IFERROR(__xludf.DUMMYFUNCTION("""COMPUTED_VALUE"""),"geyser repairs apartment")</f>
        <v>geyser repairs apartment</v>
      </c>
      <c r="U1706" s="4"/>
      <c r="V1706" s="4"/>
      <c r="W1706" s="4"/>
      <c r="X1706" s="4"/>
      <c r="Y1706" s="4"/>
      <c r="Z1706" s="4"/>
    </row>
    <row r="1707" ht="15.75" customHeight="1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 t="str">
        <f>IFERROR(__xludf.DUMMYFUNCTION("""COMPUTED_VALUE"""),"geyser repairs body corporate")</f>
        <v>geyser repairs body corporate</v>
      </c>
      <c r="U1707" s="4"/>
      <c r="V1707" s="4"/>
      <c r="W1707" s="4"/>
      <c r="X1707" s="4"/>
      <c r="Y1707" s="4"/>
      <c r="Z1707" s="4"/>
    </row>
    <row r="1708" ht="15.75" customHeight="1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 t="str">
        <f>IFERROR(__xludf.DUMMYFUNCTION("""COMPUTED_VALUE"""),"geyser repairs building")</f>
        <v>geyser repairs building</v>
      </c>
      <c r="U1708" s="4"/>
      <c r="V1708" s="4"/>
      <c r="W1708" s="4"/>
      <c r="X1708" s="4"/>
      <c r="Y1708" s="4"/>
      <c r="Z1708" s="4"/>
    </row>
    <row r="1709" ht="15.75" customHeight="1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 t="str">
        <f>IFERROR(__xludf.DUMMYFUNCTION("""COMPUTED_VALUE"""),"geyser repairs business")</f>
        <v>geyser repairs business</v>
      </c>
      <c r="U1709" s="4"/>
      <c r="V1709" s="4"/>
      <c r="W1709" s="4"/>
      <c r="X1709" s="4"/>
      <c r="Y1709" s="4"/>
      <c r="Z1709" s="4"/>
    </row>
    <row r="1710" ht="15.75" customHeight="1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 t="str">
        <f>IFERROR(__xludf.DUMMYFUNCTION("""COMPUTED_VALUE"""),"geyser repairs commercial property")</f>
        <v>geyser repairs commercial property</v>
      </c>
      <c r="U1710" s="4"/>
      <c r="V1710" s="4"/>
      <c r="W1710" s="4"/>
      <c r="X1710" s="4"/>
      <c r="Y1710" s="4"/>
      <c r="Z1710" s="4"/>
    </row>
    <row r="1711" ht="15.75" customHeight="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 t="str">
        <f>IFERROR(__xludf.DUMMYFUNCTION("""COMPUTED_VALUE"""),"geyser repairs estate agent")</f>
        <v>geyser repairs estate agent</v>
      </c>
      <c r="U1711" s="4"/>
      <c r="V1711" s="4"/>
      <c r="W1711" s="4"/>
      <c r="X1711" s="4"/>
      <c r="Y1711" s="4"/>
      <c r="Z1711" s="4"/>
    </row>
    <row r="1712" ht="15.75" customHeight="1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 t="str">
        <f>IFERROR(__xludf.DUMMYFUNCTION("""COMPUTED_VALUE"""),"geyser repairs flat")</f>
        <v>geyser repairs flat</v>
      </c>
      <c r="U1712" s="4"/>
      <c r="V1712" s="4"/>
      <c r="W1712" s="4"/>
      <c r="X1712" s="4"/>
      <c r="Y1712" s="4"/>
      <c r="Z1712" s="4"/>
    </row>
    <row r="1713" ht="15.75" customHeight="1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 t="str">
        <f>IFERROR(__xludf.DUMMYFUNCTION("""COMPUTED_VALUE"""),"geyser repairs guesthouse")</f>
        <v>geyser repairs guesthouse</v>
      </c>
      <c r="U1713" s="4"/>
      <c r="V1713" s="4"/>
      <c r="W1713" s="4"/>
      <c r="X1713" s="4"/>
      <c r="Y1713" s="4"/>
      <c r="Z1713" s="4"/>
    </row>
    <row r="1714" ht="15.75" customHeight="1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 t="str">
        <f>IFERROR(__xludf.DUMMYFUNCTION("""COMPUTED_VALUE"""),"geyser repairs home")</f>
        <v>geyser repairs home</v>
      </c>
      <c r="U1714" s="4"/>
      <c r="V1714" s="4"/>
      <c r="W1714" s="4"/>
      <c r="X1714" s="4"/>
      <c r="Y1714" s="4"/>
      <c r="Z1714" s="4"/>
    </row>
    <row r="1715" ht="15.75" customHeight="1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 t="str">
        <f>IFERROR(__xludf.DUMMYFUNCTION("""COMPUTED_VALUE"""),"geyser repairs hotel")</f>
        <v>geyser repairs hotel</v>
      </c>
      <c r="U1715" s="4"/>
      <c r="V1715" s="4"/>
      <c r="W1715" s="4"/>
      <c r="X1715" s="4"/>
      <c r="Y1715" s="4"/>
      <c r="Z1715" s="4"/>
    </row>
    <row r="1716" ht="15.75" customHeight="1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 t="str">
        <f>IFERROR(__xludf.DUMMYFUNCTION("""COMPUTED_VALUE"""),"geyser repairs house")</f>
        <v>geyser repairs house</v>
      </c>
      <c r="U1716" s="4"/>
      <c r="V1716" s="4"/>
      <c r="W1716" s="4"/>
      <c r="X1716" s="4"/>
      <c r="Y1716" s="4"/>
      <c r="Z1716" s="4"/>
    </row>
    <row r="1717" ht="15.75" customHeight="1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 t="str">
        <f>IFERROR(__xludf.DUMMYFUNCTION("""COMPUTED_VALUE"""),"geyser repairs landlord")</f>
        <v>geyser repairs landlord</v>
      </c>
      <c r="U1717" s="4"/>
      <c r="V1717" s="4"/>
      <c r="W1717" s="4"/>
      <c r="X1717" s="4"/>
      <c r="Y1717" s="4"/>
      <c r="Z1717" s="4"/>
    </row>
    <row r="1718" ht="15.75" customHeight="1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 t="str">
        <f>IFERROR(__xludf.DUMMYFUNCTION("""COMPUTED_VALUE"""),"geyser repairs office")</f>
        <v>geyser repairs office</v>
      </c>
      <c r="U1718" s="4"/>
      <c r="V1718" s="4"/>
      <c r="W1718" s="4"/>
      <c r="X1718" s="4"/>
      <c r="Y1718" s="4"/>
      <c r="Z1718" s="4"/>
    </row>
    <row r="1719" ht="15.75" customHeight="1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 t="str">
        <f>IFERROR(__xludf.DUMMYFUNCTION("""COMPUTED_VALUE"""),"geyser repairs property manager")</f>
        <v>geyser repairs property manager</v>
      </c>
      <c r="U1719" s="4"/>
      <c r="V1719" s="4"/>
      <c r="W1719" s="4"/>
      <c r="X1719" s="4"/>
      <c r="Y1719" s="4"/>
      <c r="Z1719" s="4"/>
    </row>
    <row r="1720" ht="15.75" customHeight="1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 t="str">
        <f>IFERROR(__xludf.DUMMYFUNCTION("""COMPUTED_VALUE"""),"geyser repairs residential property")</f>
        <v>geyser repairs residential property</v>
      </c>
      <c r="U1720" s="4"/>
      <c r="V1720" s="4"/>
      <c r="W1720" s="4"/>
      <c r="X1720" s="4"/>
      <c r="Y1720" s="4"/>
      <c r="Z1720" s="4"/>
    </row>
    <row r="1721" ht="15.75" customHeight="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 t="str">
        <f>IFERROR(__xludf.DUMMYFUNCTION("""COMPUTED_VALUE"""),"geyser repairs restaurant")</f>
        <v>geyser repairs restaurant</v>
      </c>
      <c r="U1721" s="4"/>
      <c r="V1721" s="4"/>
      <c r="W1721" s="4"/>
      <c r="X1721" s="4"/>
      <c r="Y1721" s="4"/>
      <c r="Z1721" s="4"/>
    </row>
    <row r="1722" ht="15.75" customHeight="1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 t="str">
        <f>IFERROR(__xludf.DUMMYFUNCTION("""COMPUTED_VALUE"""),"geyser repairs school")</f>
        <v>geyser repairs school</v>
      </c>
      <c r="U1722" s="4"/>
      <c r="V1722" s="4"/>
      <c r="W1722" s="4"/>
      <c r="X1722" s="4"/>
      <c r="Y1722" s="4"/>
      <c r="Z1722" s="4"/>
    </row>
    <row r="1723" ht="15.75" customHeight="1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 t="str">
        <f>IFERROR(__xludf.DUMMYFUNCTION("""COMPUTED_VALUE"""),"geyser repairs shop")</f>
        <v>geyser repairs shop</v>
      </c>
      <c r="U1723" s="4"/>
      <c r="V1723" s="4"/>
      <c r="W1723" s="4"/>
      <c r="X1723" s="4"/>
      <c r="Y1723" s="4"/>
      <c r="Z1723" s="4"/>
    </row>
    <row r="1724" ht="15.75" customHeight="1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 t="str">
        <f>IFERROR(__xludf.DUMMYFUNCTION("""COMPUTED_VALUE"""),"geyser repairs tenant")</f>
        <v>geyser repairs tenant</v>
      </c>
      <c r="U1724" s="4"/>
      <c r="V1724" s="4"/>
      <c r="W1724" s="4"/>
      <c r="X1724" s="4"/>
      <c r="Y1724" s="4"/>
      <c r="Z1724" s="4"/>
    </row>
    <row r="1725" ht="15.75" customHeight="1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 t="str">
        <f>IFERROR(__xludf.DUMMYFUNCTION("""COMPUTED_VALUE"""),"geyser repairs townhouse")</f>
        <v>geyser repairs townhouse</v>
      </c>
      <c r="U1725" s="4"/>
      <c r="V1725" s="4"/>
      <c r="W1725" s="4"/>
      <c r="X1725" s="4"/>
      <c r="Y1725" s="4"/>
      <c r="Z1725" s="4"/>
    </row>
    <row r="1726" ht="15.75" customHeight="1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 t="str">
        <f>IFERROR(__xludf.DUMMYFUNCTION("""COMPUTED_VALUE"""),"geyser replacement")</f>
        <v>geyser replacement</v>
      </c>
      <c r="U1726" s="4"/>
      <c r="V1726" s="4"/>
      <c r="W1726" s="4"/>
      <c r="X1726" s="4"/>
      <c r="Y1726" s="4"/>
      <c r="Z1726" s="4"/>
    </row>
    <row r="1727" ht="15.75" customHeight="1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 t="str">
        <f>IFERROR(__xludf.DUMMYFUNCTION("""COMPUTED_VALUE"""),"geyser replacement affordable")</f>
        <v>geyser replacement affordable</v>
      </c>
      <c r="U1727" s="4"/>
      <c r="V1727" s="4"/>
      <c r="W1727" s="4"/>
      <c r="X1727" s="4"/>
      <c r="Y1727" s="4"/>
      <c r="Z1727" s="4"/>
    </row>
    <row r="1728" ht="15.75" customHeight="1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 t="str">
        <f>IFERROR(__xludf.DUMMYFUNCTION("""COMPUTED_VALUE"""),"geyser replacement best")</f>
        <v>geyser replacement best</v>
      </c>
      <c r="U1728" s="4"/>
      <c r="V1728" s="4"/>
      <c r="W1728" s="4"/>
      <c r="X1728" s="4"/>
      <c r="Y1728" s="4"/>
      <c r="Z1728" s="4"/>
    </row>
    <row r="1729" ht="15.75" customHeight="1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 t="str">
        <f>IFERROR(__xludf.DUMMYFUNCTION("""COMPUTED_VALUE"""),"geyser replacement cape town")</f>
        <v>geyser replacement cape town</v>
      </c>
      <c r="U1729" s="4"/>
      <c r="V1729" s="4"/>
      <c r="W1729" s="4"/>
      <c r="X1729" s="4"/>
      <c r="Y1729" s="4"/>
      <c r="Z1729" s="4"/>
    </row>
    <row r="1730" ht="15.75" customHeight="1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 t="str">
        <f>IFERROR(__xludf.DUMMYFUNCTION("""COMPUTED_VALUE"""),"geyser replacement CCTV")</f>
        <v>geyser replacement CCTV</v>
      </c>
      <c r="U1730" s="4"/>
      <c r="V1730" s="4"/>
      <c r="W1730" s="4"/>
      <c r="X1730" s="4"/>
      <c r="Y1730" s="4"/>
      <c r="Z1730" s="4"/>
    </row>
    <row r="1731" ht="15.75" customHeight="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 t="str">
        <f>IFERROR(__xludf.DUMMYFUNCTION("""COMPUTED_VALUE"""),"geyser replacement commercial")</f>
        <v>geyser replacement commercial</v>
      </c>
      <c r="U1731" s="4"/>
      <c r="V1731" s="4"/>
      <c r="W1731" s="4"/>
      <c r="X1731" s="4"/>
      <c r="Y1731" s="4"/>
      <c r="Z1731" s="4"/>
    </row>
    <row r="1732" ht="15.75" customHeight="1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 t="str">
        <f>IFERROR(__xludf.DUMMYFUNCTION("""COMPUTED_VALUE"""),"geyser replacement cost")</f>
        <v>geyser replacement cost</v>
      </c>
      <c r="U1732" s="4"/>
      <c r="V1732" s="4"/>
      <c r="W1732" s="4"/>
      <c r="X1732" s="4"/>
      <c r="Y1732" s="4"/>
      <c r="Z1732" s="4"/>
    </row>
    <row r="1733" ht="15.75" customHeight="1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 t="str">
        <f>IFERROR(__xludf.DUMMYFUNCTION("""COMPUTED_VALUE"""),"geyser replacement emergency")</f>
        <v>geyser replacement emergency</v>
      </c>
      <c r="U1733" s="4"/>
      <c r="V1733" s="4"/>
      <c r="W1733" s="4"/>
      <c r="X1733" s="4"/>
      <c r="Y1733" s="4"/>
      <c r="Z1733" s="4"/>
    </row>
    <row r="1734" ht="15.75" customHeight="1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 t="str">
        <f>IFERROR(__xludf.DUMMYFUNCTION("""COMPUTED_VALUE"""),"geyser replacement high pressure jetting")</f>
        <v>geyser replacement high pressure jetting</v>
      </c>
      <c r="U1734" s="4"/>
      <c r="V1734" s="4"/>
      <c r="W1734" s="4"/>
      <c r="X1734" s="4"/>
      <c r="Y1734" s="4"/>
      <c r="Z1734" s="4"/>
    </row>
    <row r="1735" ht="15.75" customHeight="1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 t="str">
        <f>IFERROR(__xludf.DUMMYFUNCTION("""COMPUTED_VALUE"""),"geyser replacement installation")</f>
        <v>geyser replacement installation</v>
      </c>
      <c r="U1735" s="4"/>
      <c r="V1735" s="4"/>
      <c r="W1735" s="4"/>
      <c r="X1735" s="4"/>
      <c r="Y1735" s="4"/>
      <c r="Z1735" s="4"/>
    </row>
    <row r="1736" ht="15.75" customHeight="1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 t="str">
        <f>IFERROR(__xludf.DUMMYFUNCTION("""COMPUTED_VALUE"""),"geyser replacement near me")</f>
        <v>geyser replacement near me</v>
      </c>
      <c r="U1736" s="4"/>
      <c r="V1736" s="4"/>
      <c r="W1736" s="4"/>
      <c r="X1736" s="4"/>
      <c r="Y1736" s="4"/>
      <c r="Z1736" s="4"/>
    </row>
    <row r="1737" ht="15.75" customHeight="1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 t="str">
        <f>IFERROR(__xludf.DUMMYFUNCTION("""COMPUTED_VALUE"""),"geyser replacement plumber")</f>
        <v>geyser replacement plumber</v>
      </c>
      <c r="U1737" s="4"/>
      <c r="V1737" s="4"/>
      <c r="W1737" s="4"/>
      <c r="X1737" s="4"/>
      <c r="Y1737" s="4"/>
      <c r="Z1737" s="4"/>
    </row>
    <row r="1738" ht="15.75" customHeight="1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 t="str">
        <f>IFERROR(__xludf.DUMMYFUNCTION("""COMPUTED_VALUE"""),"geyser replacement plumbing company")</f>
        <v>geyser replacement plumbing company</v>
      </c>
      <c r="U1738" s="4"/>
      <c r="V1738" s="4"/>
      <c r="W1738" s="4"/>
      <c r="X1738" s="4"/>
      <c r="Y1738" s="4"/>
      <c r="Z1738" s="4"/>
    </row>
    <row r="1739" ht="15.75" customHeight="1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 t="str">
        <f>IFERROR(__xludf.DUMMYFUNCTION("""COMPUTED_VALUE"""),"geyser replacement quote")</f>
        <v>geyser replacement quote</v>
      </c>
      <c r="U1739" s="4"/>
      <c r="V1739" s="4"/>
      <c r="W1739" s="4"/>
      <c r="X1739" s="4"/>
      <c r="Y1739" s="4"/>
      <c r="Z1739" s="4"/>
    </row>
    <row r="1740" ht="15.75" customHeight="1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 t="str">
        <f>IFERROR(__xludf.DUMMYFUNCTION("""COMPUTED_VALUE"""),"geyser replacement reliable")</f>
        <v>geyser replacement reliable</v>
      </c>
      <c r="U1740" s="4"/>
      <c r="V1740" s="4"/>
      <c r="W1740" s="4"/>
      <c r="X1740" s="4"/>
      <c r="Y1740" s="4"/>
      <c r="Z1740" s="4"/>
    </row>
    <row r="1741" ht="15.75" customHeight="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 t="str">
        <f>IFERROR(__xludf.DUMMYFUNCTION("""COMPUTED_VALUE"""),"geyser replacement repair")</f>
        <v>geyser replacement repair</v>
      </c>
      <c r="U1741" s="4"/>
      <c r="V1741" s="4"/>
      <c r="W1741" s="4"/>
      <c r="X1741" s="4"/>
      <c r="Y1741" s="4"/>
      <c r="Z1741" s="4"/>
    </row>
    <row r="1742" ht="15.75" customHeight="1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 t="str">
        <f>IFERROR(__xludf.DUMMYFUNCTION("""COMPUTED_VALUE"""),"geyser replacement residential")</f>
        <v>geyser replacement residential</v>
      </c>
      <c r="U1742" s="4"/>
      <c r="V1742" s="4"/>
      <c r="W1742" s="4"/>
      <c r="X1742" s="4"/>
      <c r="Y1742" s="4"/>
      <c r="Z1742" s="4"/>
    </row>
    <row r="1743" ht="15.75" customHeight="1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 t="str">
        <f>IFERROR(__xludf.DUMMYFUNCTION("""COMPUTED_VALUE"""),"geyser replacement same day")</f>
        <v>geyser replacement same day</v>
      </c>
      <c r="U1743" s="4"/>
      <c r="V1743" s="4"/>
      <c r="W1743" s="4"/>
      <c r="X1743" s="4"/>
      <c r="Y1743" s="4"/>
      <c r="Z1743" s="4"/>
    </row>
    <row r="1744" ht="15.75" customHeight="1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 t="str">
        <f>IFERROR(__xludf.DUMMYFUNCTION("""COMPUTED_VALUE"""),"geyser replacement service")</f>
        <v>geyser replacement service</v>
      </c>
      <c r="U1744" s="4"/>
      <c r="V1744" s="4"/>
      <c r="W1744" s="4"/>
      <c r="X1744" s="4"/>
      <c r="Y1744" s="4"/>
      <c r="Z1744" s="4"/>
    </row>
    <row r="1745" ht="15.75" customHeight="1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 t="str">
        <f>IFERROR(__xludf.DUMMYFUNCTION("""COMPUTED_VALUE"""),"geyser replacement specialist")</f>
        <v>geyser replacement specialist</v>
      </c>
      <c r="U1745" s="4"/>
      <c r="V1745" s="4"/>
      <c r="W1745" s="4"/>
      <c r="X1745" s="4"/>
      <c r="Y1745" s="4"/>
      <c r="Z1745" s="4"/>
    </row>
    <row r="1746" ht="15.75" customHeight="1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 t="str">
        <f>IFERROR(__xludf.DUMMYFUNCTION("""COMPUTED_VALUE"""),"Green Point aircon repairs")</f>
        <v>Green Point aircon repairs</v>
      </c>
      <c r="U1746" s="4"/>
      <c r="V1746" s="4"/>
      <c r="W1746" s="4"/>
      <c r="X1746" s="4"/>
      <c r="Y1746" s="4"/>
      <c r="Z1746" s="4"/>
    </row>
    <row r="1747" ht="15.75" customHeight="1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 t="str">
        <f>IFERROR(__xludf.DUMMYFUNCTION("""COMPUTED_VALUE"""),"Green Point blocked drain plumber")</f>
        <v>Green Point blocked drain plumber</v>
      </c>
      <c r="U1747" s="4"/>
      <c r="V1747" s="4"/>
      <c r="W1747" s="4"/>
      <c r="X1747" s="4"/>
      <c r="Y1747" s="4"/>
      <c r="Z1747" s="4"/>
    </row>
    <row r="1748" ht="15.75" customHeight="1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 t="str">
        <f>IFERROR(__xludf.DUMMYFUNCTION("""COMPUTED_VALUE"""),"Green Point electrician")</f>
        <v>Green Point electrician</v>
      </c>
      <c r="U1748" s="4"/>
      <c r="V1748" s="4"/>
      <c r="W1748" s="4"/>
      <c r="X1748" s="4"/>
      <c r="Y1748" s="4"/>
      <c r="Z1748" s="4"/>
    </row>
    <row r="1749" ht="15.75" customHeight="1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 t="str">
        <f>IFERROR(__xludf.DUMMYFUNCTION("""COMPUTED_VALUE"""),"Green Point emergency plumber")</f>
        <v>Green Point emergency plumber</v>
      </c>
      <c r="U1749" s="4"/>
      <c r="V1749" s="4"/>
      <c r="W1749" s="4"/>
      <c r="X1749" s="4"/>
      <c r="Y1749" s="4"/>
      <c r="Z1749" s="4"/>
    </row>
    <row r="1750" ht="15.75" customHeight="1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 t="str">
        <f>IFERROR(__xludf.DUMMYFUNCTION("""COMPUTED_VALUE"""),"Green Point geyser repair")</f>
        <v>Green Point geyser repair</v>
      </c>
      <c r="U1750" s="4"/>
      <c r="V1750" s="4"/>
      <c r="W1750" s="4"/>
      <c r="X1750" s="4"/>
      <c r="Y1750" s="4"/>
      <c r="Z1750" s="4"/>
    </row>
    <row r="1751" ht="15.75" customHeight="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 t="str">
        <f>IFERROR(__xludf.DUMMYFUNCTION("""COMPUTED_VALUE"""),"Green Point leak detection plumber")</f>
        <v>Green Point leak detection plumber</v>
      </c>
      <c r="U1751" s="4"/>
      <c r="V1751" s="4"/>
      <c r="W1751" s="4"/>
      <c r="X1751" s="4"/>
      <c r="Y1751" s="4"/>
      <c r="Z1751" s="4"/>
    </row>
    <row r="1752" ht="15.75" customHeight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 t="str">
        <f>IFERROR(__xludf.DUMMYFUNCTION("""COMPUTED_VALUE"""),"Green Point plumber")</f>
        <v>Green Point plumber</v>
      </c>
      <c r="U1752" s="4"/>
      <c r="V1752" s="4"/>
      <c r="W1752" s="4"/>
      <c r="X1752" s="4"/>
      <c r="Y1752" s="4"/>
      <c r="Z1752" s="4"/>
    </row>
    <row r="1753" ht="15.75" customHeight="1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 t="str">
        <f>IFERROR(__xludf.DUMMYFUNCTION("""COMPUTED_VALUE"""),"Green Point plumbers")</f>
        <v>Green Point plumbers</v>
      </c>
      <c r="U1753" s="4"/>
      <c r="V1753" s="4"/>
      <c r="W1753" s="4"/>
      <c r="X1753" s="4"/>
      <c r="Y1753" s="4"/>
      <c r="Z1753" s="4"/>
    </row>
    <row r="1754" ht="15.75" customHeight="1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 t="str">
        <f>IFERROR(__xludf.DUMMYFUNCTION("""COMPUTED_VALUE"""),"Green Point plumbing company")</f>
        <v>Green Point plumbing company</v>
      </c>
      <c r="U1754" s="4"/>
      <c r="V1754" s="4"/>
      <c r="W1754" s="4"/>
      <c r="X1754" s="4"/>
      <c r="Y1754" s="4"/>
      <c r="Z1754" s="4"/>
    </row>
    <row r="1755" ht="15.75" customHeight="1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 t="str">
        <f>IFERROR(__xludf.DUMMYFUNCTION("""COMPUTED_VALUE"""),"Green Point refrigeration services")</f>
        <v>Green Point refrigeration services</v>
      </c>
      <c r="U1755" s="4"/>
      <c r="V1755" s="4"/>
      <c r="W1755" s="4"/>
      <c r="X1755" s="4"/>
      <c r="Y1755" s="4"/>
      <c r="Z1755" s="4"/>
    </row>
    <row r="1756" ht="15.75" customHeight="1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 t="str">
        <f>IFERROR(__xludf.DUMMYFUNCTION("""COMPUTED_VALUE"""),"guesthouse air conditioning services")</f>
        <v>guesthouse air conditioning services</v>
      </c>
      <c r="U1756" s="4"/>
      <c r="V1756" s="4"/>
      <c r="W1756" s="4"/>
      <c r="X1756" s="4"/>
      <c r="Y1756" s="4"/>
      <c r="Z1756" s="4"/>
    </row>
    <row r="1757" ht="15.75" customHeight="1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 t="str">
        <f>IFERROR(__xludf.DUMMYFUNCTION("""COMPUTED_VALUE"""),"guesthouse drain cleaning")</f>
        <v>guesthouse drain cleaning</v>
      </c>
      <c r="U1757" s="4"/>
      <c r="V1757" s="4"/>
      <c r="W1757" s="4"/>
      <c r="X1757" s="4"/>
      <c r="Y1757" s="4"/>
      <c r="Z1757" s="4"/>
    </row>
    <row r="1758" ht="15.75" customHeight="1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 t="str">
        <f>IFERROR(__xludf.DUMMYFUNCTION("""COMPUTED_VALUE"""),"guesthouse electrical repairs")</f>
        <v>guesthouse electrical repairs</v>
      </c>
      <c r="U1758" s="4"/>
      <c r="V1758" s="4"/>
      <c r="W1758" s="4"/>
      <c r="X1758" s="4"/>
      <c r="Y1758" s="4"/>
      <c r="Z1758" s="4"/>
    </row>
    <row r="1759" ht="15.75" customHeight="1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 t="str">
        <f>IFERROR(__xludf.DUMMYFUNCTION("""COMPUTED_VALUE"""),"guesthouse emergency plumbing")</f>
        <v>guesthouse emergency plumbing</v>
      </c>
      <c r="U1759" s="4"/>
      <c r="V1759" s="4"/>
      <c r="W1759" s="4"/>
      <c r="X1759" s="4"/>
      <c r="Y1759" s="4"/>
      <c r="Z1759" s="4"/>
    </row>
    <row r="1760" ht="15.75" customHeight="1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 t="str">
        <f>IFERROR(__xludf.DUMMYFUNCTION("""COMPUTED_VALUE"""),"guesthouse geyser repairs")</f>
        <v>guesthouse geyser repairs</v>
      </c>
      <c r="U1760" s="4"/>
      <c r="V1760" s="4"/>
      <c r="W1760" s="4"/>
      <c r="X1760" s="4"/>
      <c r="Y1760" s="4"/>
      <c r="Z1760" s="4"/>
    </row>
    <row r="1761" ht="15.75" customHeight="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 t="str">
        <f>IFERROR(__xludf.DUMMYFUNCTION("""COMPUTED_VALUE"""),"guesthouse leak detection")</f>
        <v>guesthouse leak detection</v>
      </c>
      <c r="U1761" s="4"/>
      <c r="V1761" s="4"/>
      <c r="W1761" s="4"/>
      <c r="X1761" s="4"/>
      <c r="Y1761" s="4"/>
      <c r="Z1761" s="4"/>
    </row>
    <row r="1762" ht="15.75" customHeight="1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 t="str">
        <f>IFERROR(__xludf.DUMMYFUNCTION("""COMPUTED_VALUE"""),"guesthouse maintenance plumber")</f>
        <v>guesthouse maintenance plumber</v>
      </c>
      <c r="U1762" s="4"/>
      <c r="V1762" s="4"/>
      <c r="W1762" s="4"/>
      <c r="X1762" s="4"/>
      <c r="Y1762" s="4"/>
      <c r="Z1762" s="4"/>
    </row>
    <row r="1763" ht="15.75" customHeight="1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 t="str">
        <f>IFERROR(__xludf.DUMMYFUNCTION("""COMPUTED_VALUE"""),"guesthouse plumbing company")</f>
        <v>guesthouse plumbing company</v>
      </c>
      <c r="U1763" s="4"/>
      <c r="V1763" s="4"/>
      <c r="W1763" s="4"/>
      <c r="X1763" s="4"/>
      <c r="Y1763" s="4"/>
      <c r="Z1763" s="4"/>
    </row>
    <row r="1764" ht="15.75" customHeight="1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 t="str">
        <f>IFERROR(__xludf.DUMMYFUNCTION("""COMPUTED_VALUE"""),"guesthouse plumbing services")</f>
        <v>guesthouse plumbing services</v>
      </c>
      <c r="U1764" s="4"/>
      <c r="V1764" s="4"/>
      <c r="W1764" s="4"/>
      <c r="X1764" s="4"/>
      <c r="Y1764" s="4"/>
      <c r="Z1764" s="4"/>
    </row>
    <row r="1765" ht="15.75" customHeight="1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 t="str">
        <f>IFERROR(__xludf.DUMMYFUNCTION("""COMPUTED_VALUE"""),"guesthouse refrigeration services")</f>
        <v>guesthouse refrigeration services</v>
      </c>
      <c r="U1765" s="4"/>
      <c r="V1765" s="4"/>
      <c r="W1765" s="4"/>
      <c r="X1765" s="4"/>
      <c r="Y1765" s="4"/>
      <c r="Z1765" s="4"/>
    </row>
    <row r="1766" ht="15.75" customHeight="1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 t="str">
        <f>IFERROR(__xludf.DUMMYFUNCTION("""COMPUTED_VALUE"""),"high pressure jetting blocked drain")</f>
        <v>high pressure jetting blocked drain</v>
      </c>
      <c r="U1766" s="4"/>
      <c r="V1766" s="4"/>
      <c r="W1766" s="4"/>
      <c r="X1766" s="4"/>
      <c r="Y1766" s="4"/>
      <c r="Z1766" s="4"/>
    </row>
    <row r="1767" ht="15.75" customHeight="1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 t="str">
        <f>IFERROR(__xludf.DUMMYFUNCTION("""COMPUTED_VALUE"""),"high pressure jetting burst geyser")</f>
        <v>high pressure jetting burst geyser</v>
      </c>
      <c r="U1767" s="4"/>
      <c r="V1767" s="4"/>
      <c r="W1767" s="4"/>
      <c r="X1767" s="4"/>
      <c r="Y1767" s="4"/>
      <c r="Z1767" s="4"/>
    </row>
    <row r="1768" ht="15.75" customHeight="1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 t="str">
        <f>IFERROR(__xludf.DUMMYFUNCTION("""COMPUTED_VALUE"""),"high pressure jetting drain cleaning")</f>
        <v>high pressure jetting drain cleaning</v>
      </c>
      <c r="U1768" s="4"/>
      <c r="V1768" s="4"/>
      <c r="W1768" s="4"/>
      <c r="X1768" s="4"/>
      <c r="Y1768" s="4"/>
      <c r="Z1768" s="4"/>
    </row>
    <row r="1769" ht="15.75" customHeight="1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 t="str">
        <f>IFERROR(__xludf.DUMMYFUNCTION("""COMPUTED_VALUE"""),"high pressure jetting drain inspection")</f>
        <v>high pressure jetting drain inspection</v>
      </c>
      <c r="U1769" s="4"/>
      <c r="V1769" s="4"/>
      <c r="W1769" s="4"/>
      <c r="X1769" s="4"/>
      <c r="Y1769" s="4"/>
      <c r="Z1769" s="4"/>
    </row>
    <row r="1770" ht="15.75" customHeight="1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 t="str">
        <f>IFERROR(__xludf.DUMMYFUNCTION("""COMPUTED_VALUE"""),"high pressure jetting drain unblocking")</f>
        <v>high pressure jetting drain unblocking</v>
      </c>
      <c r="U1770" s="4"/>
      <c r="V1770" s="4"/>
      <c r="W1770" s="4"/>
      <c r="X1770" s="4"/>
      <c r="Y1770" s="4"/>
      <c r="Z1770" s="4"/>
    </row>
    <row r="1771" ht="15.75" customHeight="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 t="str">
        <f>IFERROR(__xludf.DUMMYFUNCTION("""COMPUTED_VALUE"""),"high pressure jetting geyser repair")</f>
        <v>high pressure jetting geyser repair</v>
      </c>
      <c r="U1771" s="4"/>
      <c r="V1771" s="4"/>
      <c r="W1771" s="4"/>
      <c r="X1771" s="4"/>
      <c r="Y1771" s="4"/>
      <c r="Z1771" s="4"/>
    </row>
    <row r="1772" ht="15.75" customHeight="1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 t="str">
        <f>IFERROR(__xludf.DUMMYFUNCTION("""COMPUTED_VALUE"""),"high pressure jetting geyser replacement")</f>
        <v>high pressure jetting geyser replacement</v>
      </c>
      <c r="U1772" s="4"/>
      <c r="V1772" s="4"/>
      <c r="W1772" s="4"/>
      <c r="X1772" s="4"/>
      <c r="Y1772" s="4"/>
      <c r="Z1772" s="4"/>
    </row>
    <row r="1773" ht="15.75" customHeight="1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 t="str">
        <f>IFERROR(__xludf.DUMMYFUNCTION("""COMPUTED_VALUE"""),"high pressure jetting leak detection")</f>
        <v>high pressure jetting leak detection</v>
      </c>
      <c r="U1773" s="4"/>
      <c r="V1773" s="4"/>
      <c r="W1773" s="4"/>
      <c r="X1773" s="4"/>
      <c r="Y1773" s="4"/>
      <c r="Z1773" s="4"/>
    </row>
    <row r="1774" ht="15.75" customHeight="1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 t="str">
        <f>IFERROR(__xludf.DUMMYFUNCTION("""COMPUTED_VALUE"""),"high pressure jetting pipe repair")</f>
        <v>high pressure jetting pipe repair</v>
      </c>
      <c r="U1774" s="4"/>
      <c r="V1774" s="4"/>
      <c r="W1774" s="4"/>
      <c r="X1774" s="4"/>
      <c r="Y1774" s="4"/>
      <c r="Z1774" s="4"/>
    </row>
    <row r="1775" ht="15.75" customHeight="1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 t="str">
        <f>IFERROR(__xludf.DUMMYFUNCTION("""COMPUTED_VALUE"""),"high pressure jetting water leak detection")</f>
        <v>high pressure jetting water leak detection</v>
      </c>
      <c r="U1775" s="4"/>
      <c r="V1775" s="4"/>
      <c r="W1775" s="4"/>
      <c r="X1775" s="4"/>
      <c r="Y1775" s="4"/>
      <c r="Z1775" s="4"/>
    </row>
    <row r="1776" ht="15.75" customHeight="1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 t="str">
        <f>IFERROR(__xludf.DUMMYFUNCTION("""COMPUTED_VALUE"""),"home air conditioning services")</f>
        <v>home air conditioning services</v>
      </c>
      <c r="U1776" s="4"/>
      <c r="V1776" s="4"/>
      <c r="W1776" s="4"/>
      <c r="X1776" s="4"/>
      <c r="Y1776" s="4"/>
      <c r="Z1776" s="4"/>
    </row>
    <row r="1777" ht="15.75" customHeight="1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 t="str">
        <f>IFERROR(__xludf.DUMMYFUNCTION("""COMPUTED_VALUE"""),"home drain cleaning")</f>
        <v>home drain cleaning</v>
      </c>
      <c r="U1777" s="4"/>
      <c r="V1777" s="4"/>
      <c r="W1777" s="4"/>
      <c r="X1777" s="4"/>
      <c r="Y1777" s="4"/>
      <c r="Z1777" s="4"/>
    </row>
    <row r="1778" ht="15.75" customHeight="1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 t="str">
        <f>IFERROR(__xludf.DUMMYFUNCTION("""COMPUTED_VALUE"""),"home electrical repairs")</f>
        <v>home electrical repairs</v>
      </c>
      <c r="U1778" s="4"/>
      <c r="V1778" s="4"/>
      <c r="W1778" s="4"/>
      <c r="X1778" s="4"/>
      <c r="Y1778" s="4"/>
      <c r="Z1778" s="4"/>
    </row>
    <row r="1779" ht="15.75" customHeight="1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 t="str">
        <f>IFERROR(__xludf.DUMMYFUNCTION("""COMPUTED_VALUE"""),"home emergency plumbing")</f>
        <v>home emergency plumbing</v>
      </c>
      <c r="U1779" s="4"/>
      <c r="V1779" s="4"/>
      <c r="W1779" s="4"/>
      <c r="X1779" s="4"/>
      <c r="Y1779" s="4"/>
      <c r="Z1779" s="4"/>
    </row>
    <row r="1780" ht="15.75" customHeight="1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 t="str">
        <f>IFERROR(__xludf.DUMMYFUNCTION("""COMPUTED_VALUE"""),"home geyser repairs")</f>
        <v>home geyser repairs</v>
      </c>
      <c r="U1780" s="4"/>
      <c r="V1780" s="4"/>
      <c r="W1780" s="4"/>
      <c r="X1780" s="4"/>
      <c r="Y1780" s="4"/>
      <c r="Z1780" s="4"/>
    </row>
    <row r="1781" ht="15.75" customHeight="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 t="str">
        <f>IFERROR(__xludf.DUMMYFUNCTION("""COMPUTED_VALUE"""),"home leak detection")</f>
        <v>home leak detection</v>
      </c>
      <c r="U1781" s="4"/>
      <c r="V1781" s="4"/>
      <c r="W1781" s="4"/>
      <c r="X1781" s="4"/>
      <c r="Y1781" s="4"/>
      <c r="Z1781" s="4"/>
    </row>
    <row r="1782" ht="15.75" customHeight="1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 t="str">
        <f>IFERROR(__xludf.DUMMYFUNCTION("""COMPUTED_VALUE"""),"home maintenance plumber")</f>
        <v>home maintenance plumber</v>
      </c>
      <c r="U1782" s="4"/>
      <c r="V1782" s="4"/>
      <c r="W1782" s="4"/>
      <c r="X1782" s="4"/>
      <c r="Y1782" s="4"/>
      <c r="Z1782" s="4"/>
    </row>
    <row r="1783" ht="15.75" customHeight="1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 t="str">
        <f>IFERROR(__xludf.DUMMYFUNCTION("""COMPUTED_VALUE"""),"home plumbing company")</f>
        <v>home plumbing company</v>
      </c>
      <c r="U1783" s="4"/>
      <c r="V1783" s="4"/>
      <c r="W1783" s="4"/>
      <c r="X1783" s="4"/>
      <c r="Y1783" s="4"/>
      <c r="Z1783" s="4"/>
    </row>
    <row r="1784" ht="15.75" customHeight="1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 t="str">
        <f>IFERROR(__xludf.DUMMYFUNCTION("""COMPUTED_VALUE"""),"home plumbing services")</f>
        <v>home plumbing services</v>
      </c>
      <c r="U1784" s="4"/>
      <c r="V1784" s="4"/>
      <c r="W1784" s="4"/>
      <c r="X1784" s="4"/>
      <c r="Y1784" s="4"/>
      <c r="Z1784" s="4"/>
    </row>
    <row r="1785" ht="15.75" customHeight="1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 t="str">
        <f>IFERROR(__xludf.DUMMYFUNCTION("""COMPUTED_VALUE"""),"home refrigeration services")</f>
        <v>home refrigeration services</v>
      </c>
      <c r="U1785" s="4"/>
      <c r="V1785" s="4"/>
      <c r="W1785" s="4"/>
      <c r="X1785" s="4"/>
      <c r="Y1785" s="4"/>
      <c r="Z1785" s="4"/>
    </row>
    <row r="1786" ht="15.75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 t="str">
        <f>IFERROR(__xludf.DUMMYFUNCTION("""COMPUTED_VALUE"""),"hotel air conditioning services")</f>
        <v>hotel air conditioning services</v>
      </c>
      <c r="U1786" s="4"/>
      <c r="V1786" s="4"/>
      <c r="W1786" s="4"/>
      <c r="X1786" s="4"/>
      <c r="Y1786" s="4"/>
      <c r="Z1786" s="4"/>
    </row>
    <row r="1787" ht="15.75" customHeight="1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 t="str">
        <f>IFERROR(__xludf.DUMMYFUNCTION("""COMPUTED_VALUE"""),"hotel drain cleaning")</f>
        <v>hotel drain cleaning</v>
      </c>
      <c r="U1787" s="4"/>
      <c r="V1787" s="4"/>
      <c r="W1787" s="4"/>
      <c r="X1787" s="4"/>
      <c r="Y1787" s="4"/>
      <c r="Z1787" s="4"/>
    </row>
    <row r="1788" ht="15.75" customHeight="1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 t="str">
        <f>IFERROR(__xludf.DUMMYFUNCTION("""COMPUTED_VALUE"""),"hotel electrical repairs")</f>
        <v>hotel electrical repairs</v>
      </c>
      <c r="U1788" s="4"/>
      <c r="V1788" s="4"/>
      <c r="W1788" s="4"/>
      <c r="X1788" s="4"/>
      <c r="Y1788" s="4"/>
      <c r="Z1788" s="4"/>
    </row>
    <row r="1789" ht="15.75" customHeight="1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 t="str">
        <f>IFERROR(__xludf.DUMMYFUNCTION("""COMPUTED_VALUE"""),"hotel emergency plumbing")</f>
        <v>hotel emergency plumbing</v>
      </c>
      <c r="U1789" s="4"/>
      <c r="V1789" s="4"/>
      <c r="W1789" s="4"/>
      <c r="X1789" s="4"/>
      <c r="Y1789" s="4"/>
      <c r="Z1789" s="4"/>
    </row>
    <row r="1790" ht="15.75" customHeight="1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 t="str">
        <f>IFERROR(__xludf.DUMMYFUNCTION("""COMPUTED_VALUE"""),"hotel geyser repairs")</f>
        <v>hotel geyser repairs</v>
      </c>
      <c r="U1790" s="4"/>
      <c r="V1790" s="4"/>
      <c r="W1790" s="4"/>
      <c r="X1790" s="4"/>
      <c r="Y1790" s="4"/>
      <c r="Z1790" s="4"/>
    </row>
    <row r="1791" ht="15.75" customHeight="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 t="str">
        <f>IFERROR(__xludf.DUMMYFUNCTION("""COMPUTED_VALUE"""),"hotel leak detection")</f>
        <v>hotel leak detection</v>
      </c>
      <c r="U1791" s="4"/>
      <c r="V1791" s="4"/>
      <c r="W1791" s="4"/>
      <c r="X1791" s="4"/>
      <c r="Y1791" s="4"/>
      <c r="Z1791" s="4"/>
    </row>
    <row r="1792" ht="15.75" customHeight="1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 t="str">
        <f>IFERROR(__xludf.DUMMYFUNCTION("""COMPUTED_VALUE"""),"hotel maintenance plumber")</f>
        <v>hotel maintenance plumber</v>
      </c>
      <c r="U1792" s="4"/>
      <c r="V1792" s="4"/>
      <c r="W1792" s="4"/>
      <c r="X1792" s="4"/>
      <c r="Y1792" s="4"/>
      <c r="Z1792" s="4"/>
    </row>
    <row r="1793" ht="15.75" customHeight="1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 t="str">
        <f>IFERROR(__xludf.DUMMYFUNCTION("""COMPUTED_VALUE"""),"hotel plumbing company")</f>
        <v>hotel plumbing company</v>
      </c>
      <c r="U1793" s="4"/>
      <c r="V1793" s="4"/>
      <c r="W1793" s="4"/>
      <c r="X1793" s="4"/>
      <c r="Y1793" s="4"/>
      <c r="Z1793" s="4"/>
    </row>
    <row r="1794" ht="15.75" customHeight="1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 t="str">
        <f>IFERROR(__xludf.DUMMYFUNCTION("""COMPUTED_VALUE"""),"hotel plumbing services")</f>
        <v>hotel plumbing services</v>
      </c>
      <c r="U1794" s="4"/>
      <c r="V1794" s="4"/>
      <c r="W1794" s="4"/>
      <c r="X1794" s="4"/>
      <c r="Y1794" s="4"/>
      <c r="Z1794" s="4"/>
    </row>
    <row r="1795" ht="15.75" customHeight="1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 t="str">
        <f>IFERROR(__xludf.DUMMYFUNCTION("""COMPUTED_VALUE"""),"hotel refrigeration services")</f>
        <v>hotel refrigeration services</v>
      </c>
      <c r="U1795" s="4"/>
      <c r="V1795" s="4"/>
      <c r="W1795" s="4"/>
      <c r="X1795" s="4"/>
      <c r="Y1795" s="4"/>
      <c r="Z1795" s="4"/>
    </row>
    <row r="1796" ht="15.75" customHeight="1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 t="str">
        <f>IFERROR(__xludf.DUMMYFUNCTION("""COMPUTED_VALUE"""),"house air conditioning services")</f>
        <v>house air conditioning services</v>
      </c>
      <c r="U1796" s="4"/>
      <c r="V1796" s="4"/>
      <c r="W1796" s="4"/>
      <c r="X1796" s="4"/>
      <c r="Y1796" s="4"/>
      <c r="Z1796" s="4"/>
    </row>
    <row r="1797" ht="15.75" customHeight="1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 t="str">
        <f>IFERROR(__xludf.DUMMYFUNCTION("""COMPUTED_VALUE"""),"house drain cleaning")</f>
        <v>house drain cleaning</v>
      </c>
      <c r="U1797" s="4"/>
      <c r="V1797" s="4"/>
      <c r="W1797" s="4"/>
      <c r="X1797" s="4"/>
      <c r="Y1797" s="4"/>
      <c r="Z1797" s="4"/>
    </row>
    <row r="1798" ht="15.75" customHeight="1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 t="str">
        <f>IFERROR(__xludf.DUMMYFUNCTION("""COMPUTED_VALUE"""),"house electrical repairs")</f>
        <v>house electrical repairs</v>
      </c>
      <c r="U1798" s="4"/>
      <c r="V1798" s="4"/>
      <c r="W1798" s="4"/>
      <c r="X1798" s="4"/>
      <c r="Y1798" s="4"/>
      <c r="Z1798" s="4"/>
    </row>
    <row r="1799" ht="15.75" customHeight="1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 t="str">
        <f>IFERROR(__xludf.DUMMYFUNCTION("""COMPUTED_VALUE"""),"house emergency plumbing")</f>
        <v>house emergency plumbing</v>
      </c>
      <c r="U1799" s="4"/>
      <c r="V1799" s="4"/>
      <c r="W1799" s="4"/>
      <c r="X1799" s="4"/>
      <c r="Y1799" s="4"/>
      <c r="Z1799" s="4"/>
    </row>
    <row r="1800" ht="15.75" customHeight="1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 t="str">
        <f>IFERROR(__xludf.DUMMYFUNCTION("""COMPUTED_VALUE"""),"house geyser repairs")</f>
        <v>house geyser repairs</v>
      </c>
      <c r="U1800" s="4"/>
      <c r="V1800" s="4"/>
      <c r="W1800" s="4"/>
      <c r="X1800" s="4"/>
      <c r="Y1800" s="4"/>
      <c r="Z1800" s="4"/>
    </row>
    <row r="1801" ht="15.75" customHeight="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 t="str">
        <f>IFERROR(__xludf.DUMMYFUNCTION("""COMPUTED_VALUE"""),"house leak detection")</f>
        <v>house leak detection</v>
      </c>
      <c r="U1801" s="4"/>
      <c r="V1801" s="4"/>
      <c r="W1801" s="4"/>
      <c r="X1801" s="4"/>
      <c r="Y1801" s="4"/>
      <c r="Z1801" s="4"/>
    </row>
    <row r="1802" ht="15.75" customHeight="1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 t="str">
        <f>IFERROR(__xludf.DUMMYFUNCTION("""COMPUTED_VALUE"""),"house maintenance plumber")</f>
        <v>house maintenance plumber</v>
      </c>
      <c r="U1802" s="4"/>
      <c r="V1802" s="4"/>
      <c r="W1802" s="4"/>
      <c r="X1802" s="4"/>
      <c r="Y1802" s="4"/>
      <c r="Z1802" s="4"/>
    </row>
    <row r="1803" ht="15.75" customHeight="1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 t="str">
        <f>IFERROR(__xludf.DUMMYFUNCTION("""COMPUTED_VALUE"""),"house plumbing company")</f>
        <v>house plumbing company</v>
      </c>
      <c r="U1803" s="4"/>
      <c r="V1803" s="4"/>
      <c r="W1803" s="4"/>
      <c r="X1803" s="4"/>
      <c r="Y1803" s="4"/>
      <c r="Z1803" s="4"/>
    </row>
    <row r="1804" ht="15.75" customHeight="1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 t="str">
        <f>IFERROR(__xludf.DUMMYFUNCTION("""COMPUTED_VALUE"""),"house plumbing services")</f>
        <v>house plumbing services</v>
      </c>
      <c r="U1804" s="4"/>
      <c r="V1804" s="4"/>
      <c r="W1804" s="4"/>
      <c r="X1804" s="4"/>
      <c r="Y1804" s="4"/>
      <c r="Z1804" s="4"/>
    </row>
    <row r="1805" ht="15.75" customHeight="1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 t="str">
        <f>IFERROR(__xludf.DUMMYFUNCTION("""COMPUTED_VALUE"""),"house refrigeration services")</f>
        <v>house refrigeration services</v>
      </c>
      <c r="U1805" s="4"/>
      <c r="V1805" s="4"/>
      <c r="W1805" s="4"/>
      <c r="X1805" s="4"/>
      <c r="Y1805" s="4"/>
      <c r="Z1805" s="4"/>
    </row>
    <row r="1806" ht="15.75" customHeight="1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 t="str">
        <f>IFERROR(__xludf.DUMMYFUNCTION("""COMPUTED_VALUE"""),"Hout Bay aircon repairs")</f>
        <v>Hout Bay aircon repairs</v>
      </c>
      <c r="U1806" s="4"/>
      <c r="V1806" s="4"/>
      <c r="W1806" s="4"/>
      <c r="X1806" s="4"/>
      <c r="Y1806" s="4"/>
      <c r="Z1806" s="4"/>
    </row>
    <row r="1807" ht="15.75" customHeight="1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 t="str">
        <f>IFERROR(__xludf.DUMMYFUNCTION("""COMPUTED_VALUE"""),"Hout Bay blocked drain plumber")</f>
        <v>Hout Bay blocked drain plumber</v>
      </c>
      <c r="U1807" s="4"/>
      <c r="V1807" s="4"/>
      <c r="W1807" s="4"/>
      <c r="X1807" s="4"/>
      <c r="Y1807" s="4"/>
      <c r="Z1807" s="4"/>
    </row>
    <row r="1808" ht="15.75" customHeight="1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 t="str">
        <f>IFERROR(__xludf.DUMMYFUNCTION("""COMPUTED_VALUE"""),"Hout Bay electrician")</f>
        <v>Hout Bay electrician</v>
      </c>
      <c r="U1808" s="4"/>
      <c r="V1808" s="4"/>
      <c r="W1808" s="4"/>
      <c r="X1808" s="4"/>
      <c r="Y1808" s="4"/>
      <c r="Z1808" s="4"/>
    </row>
    <row r="1809" ht="15.75" customHeight="1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 t="str">
        <f>IFERROR(__xludf.DUMMYFUNCTION("""COMPUTED_VALUE"""),"Hout Bay emergency plumber")</f>
        <v>Hout Bay emergency plumber</v>
      </c>
      <c r="U1809" s="4"/>
      <c r="V1809" s="4"/>
      <c r="W1809" s="4"/>
      <c r="X1809" s="4"/>
      <c r="Y1809" s="4"/>
      <c r="Z1809" s="4"/>
    </row>
    <row r="1810" ht="15.75" customHeight="1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 t="str">
        <f>IFERROR(__xludf.DUMMYFUNCTION("""COMPUTED_VALUE"""),"Hout Bay geyser repair")</f>
        <v>Hout Bay geyser repair</v>
      </c>
      <c r="U1810" s="4"/>
      <c r="V1810" s="4"/>
      <c r="W1810" s="4"/>
      <c r="X1810" s="4"/>
      <c r="Y1810" s="4"/>
      <c r="Z1810" s="4"/>
    </row>
    <row r="1811" ht="15.75" customHeight="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 t="str">
        <f>IFERROR(__xludf.DUMMYFUNCTION("""COMPUTED_VALUE"""),"Hout Bay leak detection plumber")</f>
        <v>Hout Bay leak detection plumber</v>
      </c>
      <c r="U1811" s="4"/>
      <c r="V1811" s="4"/>
      <c r="W1811" s="4"/>
      <c r="X1811" s="4"/>
      <c r="Y1811" s="4"/>
      <c r="Z1811" s="4"/>
    </row>
    <row r="1812" ht="15.75" customHeight="1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 t="str">
        <f>IFERROR(__xludf.DUMMYFUNCTION("""COMPUTED_VALUE"""),"Hout Bay plumber")</f>
        <v>Hout Bay plumber</v>
      </c>
      <c r="U1812" s="4"/>
      <c r="V1812" s="4"/>
      <c r="W1812" s="4"/>
      <c r="X1812" s="4"/>
      <c r="Y1812" s="4"/>
      <c r="Z1812" s="4"/>
    </row>
    <row r="1813" ht="15.75" customHeight="1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 t="str">
        <f>IFERROR(__xludf.DUMMYFUNCTION("""COMPUTED_VALUE"""),"Hout Bay plumbers")</f>
        <v>Hout Bay plumbers</v>
      </c>
      <c r="U1813" s="4"/>
      <c r="V1813" s="4"/>
      <c r="W1813" s="4"/>
      <c r="X1813" s="4"/>
      <c r="Y1813" s="4"/>
      <c r="Z1813" s="4"/>
    </row>
    <row r="1814" ht="15.75" customHeight="1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 t="str">
        <f>IFERROR(__xludf.DUMMYFUNCTION("""COMPUTED_VALUE"""),"Hout Bay plumbing company")</f>
        <v>Hout Bay plumbing company</v>
      </c>
      <c r="U1814" s="4"/>
      <c r="V1814" s="4"/>
      <c r="W1814" s="4"/>
      <c r="X1814" s="4"/>
      <c r="Y1814" s="4"/>
      <c r="Z1814" s="4"/>
    </row>
    <row r="1815" ht="15.75" customHeight="1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 t="str">
        <f>IFERROR(__xludf.DUMMYFUNCTION("""COMPUTED_VALUE"""),"Hout Bay refrigeration services")</f>
        <v>Hout Bay refrigeration services</v>
      </c>
      <c r="U1815" s="4"/>
      <c r="V1815" s="4"/>
      <c r="W1815" s="4"/>
      <c r="X1815" s="4"/>
      <c r="Y1815" s="4"/>
      <c r="Z1815" s="4"/>
    </row>
    <row r="1816" ht="15.75" customHeight="1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 t="str">
        <f>IFERROR(__xludf.DUMMYFUNCTION("""COMPUTED_VALUE"""),"how long does aircon service")</f>
        <v>how long does aircon service</v>
      </c>
      <c r="U1816" s="4"/>
      <c r="V1816" s="4"/>
      <c r="W1816" s="4"/>
      <c r="X1816" s="4"/>
      <c r="Y1816" s="4"/>
      <c r="Z1816" s="4"/>
    </row>
    <row r="1817" ht="15.75" customHeight="1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 t="str">
        <f>IFERROR(__xludf.DUMMYFUNCTION("""COMPUTED_VALUE"""),"how long does blocked drain")</f>
        <v>how long does blocked drain</v>
      </c>
      <c r="U1817" s="4"/>
      <c r="V1817" s="4"/>
      <c r="W1817" s="4"/>
      <c r="X1817" s="4"/>
      <c r="Y1817" s="4"/>
      <c r="Z1817" s="4"/>
    </row>
    <row r="1818" ht="15.75" customHeight="1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 t="str">
        <f>IFERROR(__xludf.DUMMYFUNCTION("""COMPUTED_VALUE"""),"how long does burst pipe")</f>
        <v>how long does burst pipe</v>
      </c>
      <c r="U1818" s="4"/>
      <c r="V1818" s="4"/>
      <c r="W1818" s="4"/>
      <c r="X1818" s="4"/>
      <c r="Y1818" s="4"/>
      <c r="Z1818" s="4"/>
    </row>
    <row r="1819" ht="15.75" customHeight="1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 t="str">
        <f>IFERROR(__xludf.DUMMYFUNCTION("""COMPUTED_VALUE"""),"how long does electrical COC")</f>
        <v>how long does electrical COC</v>
      </c>
      <c r="U1819" s="4"/>
      <c r="V1819" s="4"/>
      <c r="W1819" s="4"/>
      <c r="X1819" s="4"/>
      <c r="Y1819" s="4"/>
      <c r="Z1819" s="4"/>
    </row>
    <row r="1820" ht="15.75" customHeight="1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 t="str">
        <f>IFERROR(__xludf.DUMMYFUNCTION("""COMPUTED_VALUE"""),"how long does emergency plumber")</f>
        <v>how long does emergency plumber</v>
      </c>
      <c r="U1820" s="4"/>
      <c r="V1820" s="4"/>
      <c r="W1820" s="4"/>
      <c r="X1820" s="4"/>
      <c r="Y1820" s="4"/>
      <c r="Z1820" s="4"/>
    </row>
    <row r="1821" ht="15.75" customHeight="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 t="str">
        <f>IFERROR(__xludf.DUMMYFUNCTION("""COMPUTED_VALUE"""),"how long does geyser repair")</f>
        <v>how long does geyser repair</v>
      </c>
      <c r="U1821" s="4"/>
      <c r="V1821" s="4"/>
      <c r="W1821" s="4"/>
      <c r="X1821" s="4"/>
      <c r="Y1821" s="4"/>
      <c r="Z1821" s="4"/>
    </row>
    <row r="1822" ht="15.75" customHeight="1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 t="str">
        <f>IFERROR(__xludf.DUMMYFUNCTION("""COMPUTED_VALUE"""),"how long does leak detection")</f>
        <v>how long does leak detection</v>
      </c>
      <c r="U1822" s="4"/>
      <c r="V1822" s="4"/>
      <c r="W1822" s="4"/>
      <c r="X1822" s="4"/>
      <c r="Y1822" s="4"/>
      <c r="Z1822" s="4"/>
    </row>
    <row r="1823" ht="15.75" customHeight="1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 t="str">
        <f>IFERROR(__xludf.DUMMYFUNCTION("""COMPUTED_VALUE"""),"how long does plumber cost")</f>
        <v>how long does plumber cost</v>
      </c>
      <c r="U1823" s="4"/>
      <c r="V1823" s="4"/>
      <c r="W1823" s="4"/>
      <c r="X1823" s="4"/>
      <c r="Y1823" s="4"/>
      <c r="Z1823" s="4"/>
    </row>
    <row r="1824" ht="15.75" customHeight="1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 t="str">
        <f>IFERROR(__xludf.DUMMYFUNCTION("""COMPUTED_VALUE"""),"how long does plumbing maintenance")</f>
        <v>how long does plumbing maintenance</v>
      </c>
      <c r="U1824" s="4"/>
      <c r="V1824" s="4"/>
      <c r="W1824" s="4"/>
      <c r="X1824" s="4"/>
      <c r="Y1824" s="4"/>
      <c r="Z1824" s="4"/>
    </row>
    <row r="1825" ht="15.75" customHeight="1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 t="str">
        <f>IFERROR(__xludf.DUMMYFUNCTION("""COMPUTED_VALUE"""),"how long does refrigeration repair")</f>
        <v>how long does refrigeration repair</v>
      </c>
      <c r="U1825" s="4"/>
      <c r="V1825" s="4"/>
      <c r="W1825" s="4"/>
      <c r="X1825" s="4"/>
      <c r="Y1825" s="4"/>
      <c r="Z1825" s="4"/>
    </row>
    <row r="1826" ht="15.75" customHeight="1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 t="str">
        <f>IFERROR(__xludf.DUMMYFUNCTION("""COMPUTED_VALUE"""),"how much does aircon service")</f>
        <v>how much does aircon service</v>
      </c>
      <c r="U1826" s="4"/>
      <c r="V1826" s="4"/>
      <c r="W1826" s="4"/>
      <c r="X1826" s="4"/>
      <c r="Y1826" s="4"/>
      <c r="Z1826" s="4"/>
    </row>
    <row r="1827" ht="15.75" customHeight="1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 t="str">
        <f>IFERROR(__xludf.DUMMYFUNCTION("""COMPUTED_VALUE"""),"how much does blocked drain")</f>
        <v>how much does blocked drain</v>
      </c>
      <c r="U1827" s="4"/>
      <c r="V1827" s="4"/>
      <c r="W1827" s="4"/>
      <c r="X1827" s="4"/>
      <c r="Y1827" s="4"/>
      <c r="Z1827" s="4"/>
    </row>
    <row r="1828" ht="15.75" customHeight="1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 t="str">
        <f>IFERROR(__xludf.DUMMYFUNCTION("""COMPUTED_VALUE"""),"how much does burst pipe")</f>
        <v>how much does burst pipe</v>
      </c>
      <c r="U1828" s="4"/>
      <c r="V1828" s="4"/>
      <c r="W1828" s="4"/>
      <c r="X1828" s="4"/>
      <c r="Y1828" s="4"/>
      <c r="Z1828" s="4"/>
    </row>
    <row r="1829" ht="15.75" customHeight="1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 t="str">
        <f>IFERROR(__xludf.DUMMYFUNCTION("""COMPUTED_VALUE"""),"how much does electrical COC")</f>
        <v>how much does electrical COC</v>
      </c>
      <c r="U1829" s="4"/>
      <c r="V1829" s="4"/>
      <c r="W1829" s="4"/>
      <c r="X1829" s="4"/>
      <c r="Y1829" s="4"/>
      <c r="Z1829" s="4"/>
    </row>
    <row r="1830" ht="15.75" customHeight="1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 t="str">
        <f>IFERROR(__xludf.DUMMYFUNCTION("""COMPUTED_VALUE"""),"how much does emergency plumber")</f>
        <v>how much does emergency plumber</v>
      </c>
      <c r="U1830" s="4"/>
      <c r="V1830" s="4"/>
      <c r="W1830" s="4"/>
      <c r="X1830" s="4"/>
      <c r="Y1830" s="4"/>
      <c r="Z1830" s="4"/>
    </row>
    <row r="1831" ht="15.75" customHeight="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 t="str">
        <f>IFERROR(__xludf.DUMMYFUNCTION("""COMPUTED_VALUE"""),"how much does geyser repair")</f>
        <v>how much does geyser repair</v>
      </c>
      <c r="U1831" s="4"/>
      <c r="V1831" s="4"/>
      <c r="W1831" s="4"/>
      <c r="X1831" s="4"/>
      <c r="Y1831" s="4"/>
      <c r="Z1831" s="4"/>
    </row>
    <row r="1832" ht="15.75" customHeight="1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 t="str">
        <f>IFERROR(__xludf.DUMMYFUNCTION("""COMPUTED_VALUE"""),"how much does leak detection")</f>
        <v>how much does leak detection</v>
      </c>
      <c r="U1832" s="4"/>
      <c r="V1832" s="4"/>
      <c r="W1832" s="4"/>
      <c r="X1832" s="4"/>
      <c r="Y1832" s="4"/>
      <c r="Z1832" s="4"/>
    </row>
    <row r="1833" ht="15.75" customHeight="1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 t="str">
        <f>IFERROR(__xludf.DUMMYFUNCTION("""COMPUTED_VALUE"""),"how much does plumber cost")</f>
        <v>how much does plumber cost</v>
      </c>
      <c r="U1833" s="4"/>
      <c r="V1833" s="4"/>
      <c r="W1833" s="4"/>
      <c r="X1833" s="4"/>
      <c r="Y1833" s="4"/>
      <c r="Z1833" s="4"/>
    </row>
    <row r="1834" ht="15.75" customHeight="1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 t="str">
        <f>IFERROR(__xludf.DUMMYFUNCTION("""COMPUTED_VALUE"""),"how much does plumbing maintenance")</f>
        <v>how much does plumbing maintenance</v>
      </c>
      <c r="U1834" s="4"/>
      <c r="V1834" s="4"/>
      <c r="W1834" s="4"/>
      <c r="X1834" s="4"/>
      <c r="Y1834" s="4"/>
      <c r="Z1834" s="4"/>
    </row>
    <row r="1835" ht="15.75" customHeight="1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 t="str">
        <f>IFERROR(__xludf.DUMMYFUNCTION("""COMPUTED_VALUE"""),"how much does refrigeration repair")</f>
        <v>how much does refrigeration repair</v>
      </c>
      <c r="U1835" s="4"/>
      <c r="V1835" s="4"/>
      <c r="W1835" s="4"/>
      <c r="X1835" s="4"/>
      <c r="Y1835" s="4"/>
      <c r="Z1835" s="4"/>
    </row>
    <row r="1836" ht="15.75" customHeight="1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 t="str">
        <f>IFERROR(__xludf.DUMMYFUNCTION("""COMPUTED_VALUE"""),"how to choose aircon service")</f>
        <v>how to choose aircon service</v>
      </c>
      <c r="U1836" s="4"/>
      <c r="V1836" s="4"/>
      <c r="W1836" s="4"/>
      <c r="X1836" s="4"/>
      <c r="Y1836" s="4"/>
      <c r="Z1836" s="4"/>
    </row>
    <row r="1837" ht="15.75" customHeight="1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 t="str">
        <f>IFERROR(__xludf.DUMMYFUNCTION("""COMPUTED_VALUE"""),"how to choose blocked drain")</f>
        <v>how to choose blocked drain</v>
      </c>
      <c r="U1837" s="4"/>
      <c r="V1837" s="4"/>
      <c r="W1837" s="4"/>
      <c r="X1837" s="4"/>
      <c r="Y1837" s="4"/>
      <c r="Z1837" s="4"/>
    </row>
    <row r="1838" ht="15.75" customHeight="1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 t="str">
        <f>IFERROR(__xludf.DUMMYFUNCTION("""COMPUTED_VALUE"""),"how to choose burst pipe")</f>
        <v>how to choose burst pipe</v>
      </c>
      <c r="U1838" s="4"/>
      <c r="V1838" s="4"/>
      <c r="W1838" s="4"/>
      <c r="X1838" s="4"/>
      <c r="Y1838" s="4"/>
      <c r="Z1838" s="4"/>
    </row>
    <row r="1839" ht="15.75" customHeight="1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 t="str">
        <f>IFERROR(__xludf.DUMMYFUNCTION("""COMPUTED_VALUE"""),"how to choose electrical COC")</f>
        <v>how to choose electrical COC</v>
      </c>
      <c r="U1839" s="4"/>
      <c r="V1839" s="4"/>
      <c r="W1839" s="4"/>
      <c r="X1839" s="4"/>
      <c r="Y1839" s="4"/>
      <c r="Z1839" s="4"/>
    </row>
    <row r="1840" ht="15.75" customHeight="1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 t="str">
        <f>IFERROR(__xludf.DUMMYFUNCTION("""COMPUTED_VALUE"""),"how to choose emergency plumber")</f>
        <v>how to choose emergency plumber</v>
      </c>
      <c r="U1840" s="4"/>
      <c r="V1840" s="4"/>
      <c r="W1840" s="4"/>
      <c r="X1840" s="4"/>
      <c r="Y1840" s="4"/>
      <c r="Z1840" s="4"/>
    </row>
    <row r="1841" ht="15.75" customHeight="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 t="str">
        <f>IFERROR(__xludf.DUMMYFUNCTION("""COMPUTED_VALUE"""),"how to choose geyser repair")</f>
        <v>how to choose geyser repair</v>
      </c>
      <c r="U1841" s="4"/>
      <c r="V1841" s="4"/>
      <c r="W1841" s="4"/>
      <c r="X1841" s="4"/>
      <c r="Y1841" s="4"/>
      <c r="Z1841" s="4"/>
    </row>
    <row r="1842" ht="15.75" customHeight="1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 t="str">
        <f>IFERROR(__xludf.DUMMYFUNCTION("""COMPUTED_VALUE"""),"how to choose leak detection")</f>
        <v>how to choose leak detection</v>
      </c>
      <c r="U1842" s="4"/>
      <c r="V1842" s="4"/>
      <c r="W1842" s="4"/>
      <c r="X1842" s="4"/>
      <c r="Y1842" s="4"/>
      <c r="Z1842" s="4"/>
    </row>
    <row r="1843" ht="15.75" customHeight="1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 t="str">
        <f>IFERROR(__xludf.DUMMYFUNCTION("""COMPUTED_VALUE"""),"how to choose plumber cost")</f>
        <v>how to choose plumber cost</v>
      </c>
      <c r="U1843" s="4"/>
      <c r="V1843" s="4"/>
      <c r="W1843" s="4"/>
      <c r="X1843" s="4"/>
      <c r="Y1843" s="4"/>
      <c r="Z1843" s="4"/>
    </row>
    <row r="1844" ht="15.75" customHeight="1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 t="str">
        <f>IFERROR(__xludf.DUMMYFUNCTION("""COMPUTED_VALUE"""),"how to choose plumbing maintenance")</f>
        <v>how to choose plumbing maintenance</v>
      </c>
      <c r="U1844" s="4"/>
      <c r="V1844" s="4"/>
      <c r="W1844" s="4"/>
      <c r="X1844" s="4"/>
      <c r="Y1844" s="4"/>
      <c r="Z1844" s="4"/>
    </row>
    <row r="1845" ht="15.75" customHeight="1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 t="str">
        <f>IFERROR(__xludf.DUMMYFUNCTION("""COMPUTED_VALUE"""),"how to choose refrigeration repair")</f>
        <v>how to choose refrigeration repair</v>
      </c>
      <c r="U1845" s="4"/>
      <c r="V1845" s="4"/>
      <c r="W1845" s="4"/>
      <c r="X1845" s="4"/>
      <c r="Y1845" s="4"/>
      <c r="Z1845" s="4"/>
    </row>
    <row r="1846" ht="15.75" customHeight="1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 t="str">
        <f>IFERROR(__xludf.DUMMYFUNCTION("""COMPUTED_VALUE"""),"how to prevent aircon service")</f>
        <v>how to prevent aircon service</v>
      </c>
      <c r="U1846" s="4"/>
      <c r="V1846" s="4"/>
      <c r="W1846" s="4"/>
      <c r="X1846" s="4"/>
      <c r="Y1846" s="4"/>
      <c r="Z1846" s="4"/>
    </row>
    <row r="1847" ht="15.75" customHeight="1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 t="str">
        <f>IFERROR(__xludf.DUMMYFUNCTION("""COMPUTED_VALUE"""),"how to prevent blocked drain")</f>
        <v>how to prevent blocked drain</v>
      </c>
      <c r="U1847" s="4"/>
      <c r="V1847" s="4"/>
      <c r="W1847" s="4"/>
      <c r="X1847" s="4"/>
      <c r="Y1847" s="4"/>
      <c r="Z1847" s="4"/>
    </row>
    <row r="1848" ht="15.75" customHeight="1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 t="str">
        <f>IFERROR(__xludf.DUMMYFUNCTION("""COMPUTED_VALUE"""),"how to prevent burst pipe")</f>
        <v>how to prevent burst pipe</v>
      </c>
      <c r="U1848" s="4"/>
      <c r="V1848" s="4"/>
      <c r="W1848" s="4"/>
      <c r="X1848" s="4"/>
      <c r="Y1848" s="4"/>
      <c r="Z1848" s="4"/>
    </row>
    <row r="1849" ht="15.75" customHeight="1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 t="str">
        <f>IFERROR(__xludf.DUMMYFUNCTION("""COMPUTED_VALUE"""),"how to prevent electrical COC")</f>
        <v>how to prevent electrical COC</v>
      </c>
      <c r="U1849" s="4"/>
      <c r="V1849" s="4"/>
      <c r="W1849" s="4"/>
      <c r="X1849" s="4"/>
      <c r="Y1849" s="4"/>
      <c r="Z1849" s="4"/>
    </row>
    <row r="1850" ht="15.75" customHeight="1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 t="str">
        <f>IFERROR(__xludf.DUMMYFUNCTION("""COMPUTED_VALUE"""),"how to prevent emergency plumber")</f>
        <v>how to prevent emergency plumber</v>
      </c>
      <c r="U1850" s="4"/>
      <c r="V1850" s="4"/>
      <c r="W1850" s="4"/>
      <c r="X1850" s="4"/>
      <c r="Y1850" s="4"/>
      <c r="Z1850" s="4"/>
    </row>
    <row r="1851" ht="15.75" customHeight="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 t="str">
        <f>IFERROR(__xludf.DUMMYFUNCTION("""COMPUTED_VALUE"""),"how to prevent geyser repair")</f>
        <v>how to prevent geyser repair</v>
      </c>
      <c r="U1851" s="4"/>
      <c r="V1851" s="4"/>
      <c r="W1851" s="4"/>
      <c r="X1851" s="4"/>
      <c r="Y1851" s="4"/>
      <c r="Z1851" s="4"/>
    </row>
    <row r="1852" ht="15.75" customHeight="1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 t="str">
        <f>IFERROR(__xludf.DUMMYFUNCTION("""COMPUTED_VALUE"""),"how to prevent leak detection")</f>
        <v>how to prevent leak detection</v>
      </c>
      <c r="U1852" s="4"/>
      <c r="V1852" s="4"/>
      <c r="W1852" s="4"/>
      <c r="X1852" s="4"/>
      <c r="Y1852" s="4"/>
      <c r="Z1852" s="4"/>
    </row>
    <row r="1853" ht="15.75" customHeight="1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 t="str">
        <f>IFERROR(__xludf.DUMMYFUNCTION("""COMPUTED_VALUE"""),"how to prevent plumber cost")</f>
        <v>how to prevent plumber cost</v>
      </c>
      <c r="U1853" s="4"/>
      <c r="V1853" s="4"/>
      <c r="W1853" s="4"/>
      <c r="X1853" s="4"/>
      <c r="Y1853" s="4"/>
      <c r="Z1853" s="4"/>
    </row>
    <row r="1854" ht="15.75" customHeight="1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 t="str">
        <f>IFERROR(__xludf.DUMMYFUNCTION("""COMPUTED_VALUE"""),"how to prevent plumbing maintenance")</f>
        <v>how to prevent plumbing maintenance</v>
      </c>
      <c r="U1854" s="4"/>
      <c r="V1854" s="4"/>
      <c r="W1854" s="4"/>
      <c r="X1854" s="4"/>
      <c r="Y1854" s="4"/>
      <c r="Z1854" s="4"/>
    </row>
    <row r="1855" ht="15.75" customHeight="1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 t="str">
        <f>IFERROR(__xludf.DUMMYFUNCTION("""COMPUTED_VALUE"""),"how to prevent refrigeration repair")</f>
        <v>how to prevent refrigeration repair</v>
      </c>
      <c r="U1855" s="4"/>
      <c r="V1855" s="4"/>
      <c r="W1855" s="4"/>
      <c r="X1855" s="4"/>
      <c r="Y1855" s="4"/>
      <c r="Z1855" s="4"/>
    </row>
    <row r="1856" ht="15.75" customHeight="1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 t="str">
        <f>IFERROR(__xludf.DUMMYFUNCTION("""COMPUTED_VALUE"""),"HVAC services")</f>
        <v>HVAC services</v>
      </c>
      <c r="U1856" s="4"/>
      <c r="V1856" s="4"/>
      <c r="W1856" s="4"/>
      <c r="X1856" s="4"/>
      <c r="Y1856" s="4"/>
      <c r="Z1856" s="4"/>
    </row>
    <row r="1857" ht="15.75" customHeight="1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 t="str">
        <f>IFERROR(__xludf.DUMMYFUNCTION("""COMPUTED_VALUE"""),"HVAC services affordable")</f>
        <v>HVAC services affordable</v>
      </c>
      <c r="U1857" s="4"/>
      <c r="V1857" s="4"/>
      <c r="W1857" s="4"/>
      <c r="X1857" s="4"/>
      <c r="Y1857" s="4"/>
      <c r="Z1857" s="4"/>
    </row>
    <row r="1858" ht="15.75" customHeight="1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 t="str">
        <f>IFERROR(__xludf.DUMMYFUNCTION("""COMPUTED_VALUE"""),"HVAC services best")</f>
        <v>HVAC services best</v>
      </c>
      <c r="U1858" s="4"/>
      <c r="V1858" s="4"/>
      <c r="W1858" s="4"/>
      <c r="X1858" s="4"/>
      <c r="Y1858" s="4"/>
      <c r="Z1858" s="4"/>
    </row>
    <row r="1859" ht="15.75" customHeight="1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 t="str">
        <f>IFERROR(__xludf.DUMMYFUNCTION("""COMPUTED_VALUE"""),"HVAC services cape town")</f>
        <v>HVAC services cape town</v>
      </c>
      <c r="U1859" s="4"/>
      <c r="V1859" s="4"/>
      <c r="W1859" s="4"/>
      <c r="X1859" s="4"/>
      <c r="Y1859" s="4"/>
      <c r="Z1859" s="4"/>
    </row>
    <row r="1860" ht="15.75" customHeight="1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 t="str">
        <f>IFERROR(__xludf.DUMMYFUNCTION("""COMPUTED_VALUE"""),"HVAC services commercial")</f>
        <v>HVAC services commercial</v>
      </c>
      <c r="U1860" s="4"/>
      <c r="V1860" s="4"/>
      <c r="W1860" s="4"/>
      <c r="X1860" s="4"/>
      <c r="Y1860" s="4"/>
      <c r="Z1860" s="4"/>
    </row>
    <row r="1861" ht="15.75" customHeight="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 t="str">
        <f>IFERROR(__xludf.DUMMYFUNCTION("""COMPUTED_VALUE"""),"HVAC services company")</f>
        <v>HVAC services company</v>
      </c>
      <c r="U1861" s="4"/>
      <c r="V1861" s="4"/>
      <c r="W1861" s="4"/>
      <c r="X1861" s="4"/>
      <c r="Y1861" s="4"/>
      <c r="Z1861" s="4"/>
    </row>
    <row r="1862" ht="15.75" customHeight="1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 t="str">
        <f>IFERROR(__xludf.DUMMYFUNCTION("""COMPUTED_VALUE"""),"HVAC services contractor")</f>
        <v>HVAC services contractor</v>
      </c>
      <c r="U1862" s="4"/>
      <c r="V1862" s="4"/>
      <c r="W1862" s="4"/>
      <c r="X1862" s="4"/>
      <c r="Y1862" s="4"/>
      <c r="Z1862" s="4"/>
    </row>
    <row r="1863" ht="15.75" customHeight="1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 t="str">
        <f>IFERROR(__xludf.DUMMYFUNCTION("""COMPUTED_VALUE"""),"HVAC services cost")</f>
        <v>HVAC services cost</v>
      </c>
      <c r="U1863" s="4"/>
      <c r="V1863" s="4"/>
      <c r="W1863" s="4"/>
      <c r="X1863" s="4"/>
      <c r="Y1863" s="4"/>
      <c r="Z1863" s="4"/>
    </row>
    <row r="1864" ht="15.75" customHeight="1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 t="str">
        <f>IFERROR(__xludf.DUMMYFUNCTION("""COMPUTED_VALUE"""),"HVAC services emergency")</f>
        <v>HVAC services emergency</v>
      </c>
      <c r="U1864" s="4"/>
      <c r="V1864" s="4"/>
      <c r="W1864" s="4"/>
      <c r="X1864" s="4"/>
      <c r="Y1864" s="4"/>
      <c r="Z1864" s="4"/>
    </row>
    <row r="1865" ht="15.75" customHeight="1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 t="str">
        <f>IFERROR(__xludf.DUMMYFUNCTION("""COMPUTED_VALUE"""),"HVAC services installation")</f>
        <v>HVAC services installation</v>
      </c>
      <c r="U1865" s="4"/>
      <c r="V1865" s="4"/>
      <c r="W1865" s="4"/>
      <c r="X1865" s="4"/>
      <c r="Y1865" s="4"/>
      <c r="Z1865" s="4"/>
    </row>
    <row r="1866" ht="15.75" customHeight="1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 t="str">
        <f>IFERROR(__xludf.DUMMYFUNCTION("""COMPUTED_VALUE"""),"HVAC services local")</f>
        <v>HVAC services local</v>
      </c>
      <c r="U1866" s="4"/>
      <c r="V1866" s="4"/>
      <c r="W1866" s="4"/>
      <c r="X1866" s="4"/>
      <c r="Y1866" s="4"/>
      <c r="Z1866" s="4"/>
    </row>
    <row r="1867" ht="15.75" customHeight="1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 t="str">
        <f>IFERROR(__xludf.DUMMYFUNCTION("""COMPUTED_VALUE"""),"HVAC services maintenance")</f>
        <v>HVAC services maintenance</v>
      </c>
      <c r="U1867" s="4"/>
      <c r="V1867" s="4"/>
      <c r="W1867" s="4"/>
      <c r="X1867" s="4"/>
      <c r="Y1867" s="4"/>
      <c r="Z1867" s="4"/>
    </row>
    <row r="1868" ht="15.75" customHeight="1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 t="str">
        <f>IFERROR(__xludf.DUMMYFUNCTION("""COMPUTED_VALUE"""),"HVAC services near me")</f>
        <v>HVAC services near me</v>
      </c>
      <c r="U1868" s="4"/>
      <c r="V1868" s="4"/>
      <c r="W1868" s="4"/>
      <c r="X1868" s="4"/>
      <c r="Y1868" s="4"/>
      <c r="Z1868" s="4"/>
    </row>
    <row r="1869" ht="15.75" customHeight="1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 t="str">
        <f>IFERROR(__xludf.DUMMYFUNCTION("""COMPUTED_VALUE"""),"HVAC services professional")</f>
        <v>HVAC services professional</v>
      </c>
      <c r="U1869" s="4"/>
      <c r="V1869" s="4"/>
      <c r="W1869" s="4"/>
      <c r="X1869" s="4"/>
      <c r="Y1869" s="4"/>
      <c r="Z1869" s="4"/>
    </row>
    <row r="1870" ht="15.75" customHeight="1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 t="str">
        <f>IFERROR(__xludf.DUMMYFUNCTION("""COMPUTED_VALUE"""),"HVAC services quote")</f>
        <v>HVAC services quote</v>
      </c>
      <c r="U1870" s="4"/>
      <c r="V1870" s="4"/>
      <c r="W1870" s="4"/>
      <c r="X1870" s="4"/>
      <c r="Y1870" s="4"/>
      <c r="Z1870" s="4"/>
    </row>
    <row r="1871" ht="15.75" customHeight="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 t="str">
        <f>IFERROR(__xludf.DUMMYFUNCTION("""COMPUTED_VALUE"""),"HVAC services reliable")</f>
        <v>HVAC services reliable</v>
      </c>
      <c r="U1871" s="4"/>
      <c r="V1871" s="4"/>
      <c r="W1871" s="4"/>
      <c r="X1871" s="4"/>
      <c r="Y1871" s="4"/>
      <c r="Z1871" s="4"/>
    </row>
    <row r="1872" ht="15.75" customHeight="1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 t="str">
        <f>IFERROR(__xludf.DUMMYFUNCTION("""COMPUTED_VALUE"""),"HVAC services repair")</f>
        <v>HVAC services repair</v>
      </c>
      <c r="U1872" s="4"/>
      <c r="V1872" s="4"/>
      <c r="W1872" s="4"/>
      <c r="X1872" s="4"/>
      <c r="Y1872" s="4"/>
      <c r="Z1872" s="4"/>
    </row>
    <row r="1873" ht="15.75" customHeight="1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 t="str">
        <f>IFERROR(__xludf.DUMMYFUNCTION("""COMPUTED_VALUE"""),"HVAC services residential")</f>
        <v>HVAC services residential</v>
      </c>
      <c r="U1873" s="4"/>
      <c r="V1873" s="4"/>
      <c r="W1873" s="4"/>
      <c r="X1873" s="4"/>
      <c r="Y1873" s="4"/>
      <c r="Z1873" s="4"/>
    </row>
    <row r="1874" ht="15.75" customHeight="1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 t="str">
        <f>IFERROR(__xludf.DUMMYFUNCTION("""COMPUTED_VALUE"""),"HVAC services same day")</f>
        <v>HVAC services same day</v>
      </c>
      <c r="U1874" s="4"/>
      <c r="V1874" s="4"/>
      <c r="W1874" s="4"/>
      <c r="X1874" s="4"/>
      <c r="Y1874" s="4"/>
      <c r="Z1874" s="4"/>
    </row>
    <row r="1875" ht="15.75" customHeight="1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 t="str">
        <f>IFERROR(__xludf.DUMMYFUNCTION("""COMPUTED_VALUE"""),"HVAC services technician")</f>
        <v>HVAC services technician</v>
      </c>
      <c r="U1875" s="4"/>
      <c r="V1875" s="4"/>
      <c r="W1875" s="4"/>
      <c r="X1875" s="4"/>
      <c r="Y1875" s="4"/>
      <c r="Z1875" s="4"/>
    </row>
    <row r="1876" ht="15.75" customHeight="1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 t="str">
        <f>IFERROR(__xludf.DUMMYFUNCTION("""COMPUTED_VALUE"""),"inspection commercial electrician")</f>
        <v>inspection commercial electrician</v>
      </c>
      <c r="U1876" s="4"/>
      <c r="V1876" s="4"/>
      <c r="W1876" s="4"/>
      <c r="X1876" s="4"/>
      <c r="Y1876" s="4"/>
      <c r="Z1876" s="4"/>
    </row>
    <row r="1877" ht="15.75" customHeight="1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 t="str">
        <f>IFERROR(__xludf.DUMMYFUNCTION("""COMPUTED_VALUE"""),"inspection electrical compliance certificate")</f>
        <v>inspection electrical compliance certificate</v>
      </c>
      <c r="U1877" s="4"/>
      <c r="V1877" s="4"/>
      <c r="W1877" s="4"/>
      <c r="X1877" s="4"/>
      <c r="Y1877" s="4"/>
      <c r="Z1877" s="4"/>
    </row>
    <row r="1878" ht="15.75" customHeight="1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 t="str">
        <f>IFERROR(__xludf.DUMMYFUNCTION("""COMPUTED_VALUE"""),"inspection electrical contractor")</f>
        <v>inspection electrical contractor</v>
      </c>
      <c r="U1878" s="4"/>
      <c r="V1878" s="4"/>
      <c r="W1878" s="4"/>
      <c r="X1878" s="4"/>
      <c r="Y1878" s="4"/>
      <c r="Z1878" s="4"/>
    </row>
    <row r="1879" ht="15.75" customHeight="1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 t="str">
        <f>IFERROR(__xludf.DUMMYFUNCTION("""COMPUTED_VALUE"""),"inspection electrical installation")</f>
        <v>inspection electrical installation</v>
      </c>
      <c r="U1879" s="4"/>
      <c r="V1879" s="4"/>
      <c r="W1879" s="4"/>
      <c r="X1879" s="4"/>
      <c r="Y1879" s="4"/>
      <c r="Z1879" s="4"/>
    </row>
    <row r="1880" ht="15.75" customHeight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 t="str">
        <f>IFERROR(__xludf.DUMMYFUNCTION("""COMPUTED_VALUE"""),"inspection electrical maintenance")</f>
        <v>inspection electrical maintenance</v>
      </c>
      <c r="U1880" s="4"/>
      <c r="V1880" s="4"/>
      <c r="W1880" s="4"/>
      <c r="X1880" s="4"/>
      <c r="Y1880" s="4"/>
      <c r="Z1880" s="4"/>
    </row>
    <row r="1881" ht="15.75" customHeight="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 t="str">
        <f>IFERROR(__xludf.DUMMYFUNCTION("""COMPUTED_VALUE"""),"inspection electrical repairs")</f>
        <v>inspection electrical repairs</v>
      </c>
      <c r="U1881" s="4"/>
      <c r="V1881" s="4"/>
      <c r="W1881" s="4"/>
      <c r="X1881" s="4"/>
      <c r="Y1881" s="4"/>
      <c r="Z1881" s="4"/>
    </row>
    <row r="1882" ht="15.75" customHeight="1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 t="str">
        <f>IFERROR(__xludf.DUMMYFUNCTION("""COMPUTED_VALUE"""),"inspection electrical services")</f>
        <v>inspection electrical services</v>
      </c>
      <c r="U1882" s="4"/>
      <c r="V1882" s="4"/>
      <c r="W1882" s="4"/>
      <c r="X1882" s="4"/>
      <c r="Y1882" s="4"/>
      <c r="Z1882" s="4"/>
    </row>
    <row r="1883" ht="15.75" customHeight="1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 t="str">
        <f>IFERROR(__xludf.DUMMYFUNCTION("""COMPUTED_VALUE"""),"inspection electrician cape town")</f>
        <v>inspection electrician cape town</v>
      </c>
      <c r="U1883" s="4"/>
      <c r="V1883" s="4"/>
      <c r="W1883" s="4"/>
      <c r="X1883" s="4"/>
      <c r="Y1883" s="4"/>
      <c r="Z1883" s="4"/>
    </row>
    <row r="1884" ht="15.75" customHeight="1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 t="str">
        <f>IFERROR(__xludf.DUMMYFUNCTION("""COMPUTED_VALUE"""),"inspection emergency electrician")</f>
        <v>inspection emergency electrician</v>
      </c>
      <c r="U1884" s="4"/>
      <c r="V1884" s="4"/>
      <c r="W1884" s="4"/>
      <c r="X1884" s="4"/>
      <c r="Y1884" s="4"/>
      <c r="Z1884" s="4"/>
    </row>
    <row r="1885" ht="15.75" customHeight="1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 t="str">
        <f>IFERROR(__xludf.DUMMYFUNCTION("""COMPUTED_VALUE"""),"inspection residential electrician")</f>
        <v>inspection residential electrician</v>
      </c>
      <c r="U1885" s="4"/>
      <c r="V1885" s="4"/>
      <c r="W1885" s="4"/>
      <c r="X1885" s="4"/>
      <c r="Y1885" s="4"/>
      <c r="Z1885" s="4"/>
    </row>
    <row r="1886" ht="15.75" customHeight="1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 t="str">
        <f>IFERROR(__xludf.DUMMYFUNCTION("""COMPUTED_VALUE"""),"installation air conditioning")</f>
        <v>installation air conditioning</v>
      </c>
      <c r="U1886" s="4"/>
      <c r="V1886" s="4"/>
      <c r="W1886" s="4"/>
      <c r="X1886" s="4"/>
      <c r="Y1886" s="4"/>
      <c r="Z1886" s="4"/>
    </row>
    <row r="1887" ht="15.75" customHeight="1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 t="str">
        <f>IFERROR(__xludf.DUMMYFUNCTION("""COMPUTED_VALUE"""),"installation air conditioning repair")</f>
        <v>installation air conditioning repair</v>
      </c>
      <c r="U1887" s="4"/>
      <c r="V1887" s="4"/>
      <c r="W1887" s="4"/>
      <c r="X1887" s="4"/>
      <c r="Y1887" s="4"/>
      <c r="Z1887" s="4"/>
    </row>
    <row r="1888" ht="15.75" customHeight="1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 t="str">
        <f>IFERROR(__xludf.DUMMYFUNCTION("""COMPUTED_VALUE"""),"installation aircon repair")</f>
        <v>installation aircon repair</v>
      </c>
      <c r="U1888" s="4"/>
      <c r="V1888" s="4"/>
      <c r="W1888" s="4"/>
      <c r="X1888" s="4"/>
      <c r="Y1888" s="4"/>
      <c r="Z1888" s="4"/>
    </row>
    <row r="1889" ht="15.75" customHeight="1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 t="str">
        <f>IFERROR(__xludf.DUMMYFUNCTION("""COMPUTED_VALUE"""),"installation aircon service")</f>
        <v>installation aircon service</v>
      </c>
      <c r="U1889" s="4"/>
      <c r="V1889" s="4"/>
      <c r="W1889" s="4"/>
      <c r="X1889" s="4"/>
      <c r="Y1889" s="4"/>
      <c r="Z1889" s="4"/>
    </row>
    <row r="1890" ht="15.75" customHeight="1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 t="str">
        <f>IFERROR(__xludf.DUMMYFUNCTION("""COMPUTED_VALUE"""),"installation blocked drain")</f>
        <v>installation blocked drain</v>
      </c>
      <c r="U1890" s="4"/>
      <c r="V1890" s="4"/>
      <c r="W1890" s="4"/>
      <c r="X1890" s="4"/>
      <c r="Y1890" s="4"/>
      <c r="Z1890" s="4"/>
    </row>
    <row r="1891" ht="15.75" customHeight="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 t="str">
        <f>IFERROR(__xludf.DUMMYFUNCTION("""COMPUTED_VALUE"""),"installation burst geyser")</f>
        <v>installation burst geyser</v>
      </c>
      <c r="U1891" s="4"/>
      <c r="V1891" s="4"/>
      <c r="W1891" s="4"/>
      <c r="X1891" s="4"/>
      <c r="Y1891" s="4"/>
      <c r="Z1891" s="4"/>
    </row>
    <row r="1892" ht="15.75" customHeight="1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 t="str">
        <f>IFERROR(__xludf.DUMMYFUNCTION("""COMPUTED_VALUE"""),"installation cold room repair")</f>
        <v>installation cold room repair</v>
      </c>
      <c r="U1892" s="4"/>
      <c r="V1892" s="4"/>
      <c r="W1892" s="4"/>
      <c r="X1892" s="4"/>
      <c r="Y1892" s="4"/>
      <c r="Z1892" s="4"/>
    </row>
    <row r="1893" ht="15.75" customHeight="1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 t="str">
        <f>IFERROR(__xludf.DUMMYFUNCTION("""COMPUTED_VALUE"""),"installation commercial electrician")</f>
        <v>installation commercial electrician</v>
      </c>
      <c r="U1893" s="4"/>
      <c r="V1893" s="4"/>
      <c r="W1893" s="4"/>
      <c r="X1893" s="4"/>
      <c r="Y1893" s="4"/>
      <c r="Z1893" s="4"/>
    </row>
    <row r="1894" ht="15.75" customHeight="1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 t="str">
        <f>IFERROR(__xludf.DUMMYFUNCTION("""COMPUTED_VALUE"""),"installation commercial plumber")</f>
        <v>installation commercial plumber</v>
      </c>
      <c r="U1894" s="4"/>
      <c r="V1894" s="4"/>
      <c r="W1894" s="4"/>
      <c r="X1894" s="4"/>
      <c r="Y1894" s="4"/>
      <c r="Z1894" s="4"/>
    </row>
    <row r="1895" ht="15.75" customHeight="1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 t="str">
        <f>IFERROR(__xludf.DUMMYFUNCTION("""COMPUTED_VALUE"""),"installation commercial refrigeration")</f>
        <v>installation commercial refrigeration</v>
      </c>
      <c r="U1895" s="4"/>
      <c r="V1895" s="4"/>
      <c r="W1895" s="4"/>
      <c r="X1895" s="4"/>
      <c r="Y1895" s="4"/>
      <c r="Z1895" s="4"/>
    </row>
    <row r="1896" ht="15.75" customHeight="1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 t="str">
        <f>IFERROR(__xludf.DUMMYFUNCTION("""COMPUTED_VALUE"""),"installation drain cleaning")</f>
        <v>installation drain cleaning</v>
      </c>
      <c r="U1896" s="4"/>
      <c r="V1896" s="4"/>
      <c r="W1896" s="4"/>
      <c r="X1896" s="4"/>
      <c r="Y1896" s="4"/>
      <c r="Z1896" s="4"/>
    </row>
    <row r="1897" ht="15.75" customHeight="1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 t="str">
        <f>IFERROR(__xludf.DUMMYFUNCTION("""COMPUTED_VALUE"""),"installation drain inspection")</f>
        <v>installation drain inspection</v>
      </c>
      <c r="U1897" s="4"/>
      <c r="V1897" s="4"/>
      <c r="W1897" s="4"/>
      <c r="X1897" s="4"/>
      <c r="Y1897" s="4"/>
      <c r="Z1897" s="4"/>
    </row>
    <row r="1898" ht="15.75" customHeight="1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 t="str">
        <f>IFERROR(__xludf.DUMMYFUNCTION("""COMPUTED_VALUE"""),"installation drain unblocking")</f>
        <v>installation drain unblocking</v>
      </c>
      <c r="U1898" s="4"/>
      <c r="V1898" s="4"/>
      <c r="W1898" s="4"/>
      <c r="X1898" s="4"/>
      <c r="Y1898" s="4"/>
      <c r="Z1898" s="4"/>
    </row>
    <row r="1899" ht="15.75" customHeight="1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 t="str">
        <f>IFERROR(__xludf.DUMMYFUNCTION("""COMPUTED_VALUE"""),"installation electrical compliance certificate")</f>
        <v>installation electrical compliance certificate</v>
      </c>
      <c r="U1899" s="4"/>
      <c r="V1899" s="4"/>
      <c r="W1899" s="4"/>
      <c r="X1899" s="4"/>
      <c r="Y1899" s="4"/>
      <c r="Z1899" s="4"/>
    </row>
    <row r="1900" ht="15.75" customHeight="1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 t="str">
        <f>IFERROR(__xludf.DUMMYFUNCTION("""COMPUTED_VALUE"""),"installation electrical contractor")</f>
        <v>installation electrical contractor</v>
      </c>
      <c r="U1900" s="4"/>
      <c r="V1900" s="4"/>
      <c r="W1900" s="4"/>
      <c r="X1900" s="4"/>
      <c r="Y1900" s="4"/>
      <c r="Z1900" s="4"/>
    </row>
    <row r="1901" ht="15.75" customHeight="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 t="str">
        <f>IFERROR(__xludf.DUMMYFUNCTION("""COMPUTED_VALUE"""),"installation electrical maintenance")</f>
        <v>installation electrical maintenance</v>
      </c>
      <c r="U1901" s="4"/>
      <c r="V1901" s="4"/>
      <c r="W1901" s="4"/>
      <c r="X1901" s="4"/>
      <c r="Y1901" s="4"/>
      <c r="Z1901" s="4"/>
    </row>
    <row r="1902" ht="15.75" customHeight="1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 t="str">
        <f>IFERROR(__xludf.DUMMYFUNCTION("""COMPUTED_VALUE"""),"installation electrical repairs")</f>
        <v>installation electrical repairs</v>
      </c>
      <c r="U1902" s="4"/>
      <c r="V1902" s="4"/>
      <c r="W1902" s="4"/>
      <c r="X1902" s="4"/>
      <c r="Y1902" s="4"/>
      <c r="Z1902" s="4"/>
    </row>
    <row r="1903" ht="15.75" customHeight="1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 t="str">
        <f>IFERROR(__xludf.DUMMYFUNCTION("""COMPUTED_VALUE"""),"installation electrical services")</f>
        <v>installation electrical services</v>
      </c>
      <c r="U1903" s="4"/>
      <c r="V1903" s="4"/>
      <c r="W1903" s="4"/>
      <c r="X1903" s="4"/>
      <c r="Y1903" s="4"/>
      <c r="Z1903" s="4"/>
    </row>
    <row r="1904" ht="15.75" customHeight="1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 t="str">
        <f>IFERROR(__xludf.DUMMYFUNCTION("""COMPUTED_VALUE"""),"installation electrician cape town")</f>
        <v>installation electrician cape town</v>
      </c>
      <c r="U1904" s="4"/>
      <c r="V1904" s="4"/>
      <c r="W1904" s="4"/>
      <c r="X1904" s="4"/>
      <c r="Y1904" s="4"/>
      <c r="Z1904" s="4"/>
    </row>
    <row r="1905" ht="15.75" customHeight="1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 t="str">
        <f>IFERROR(__xludf.DUMMYFUNCTION("""COMPUTED_VALUE"""),"installation emergency electrician")</f>
        <v>installation emergency electrician</v>
      </c>
      <c r="U1905" s="4"/>
      <c r="V1905" s="4"/>
      <c r="W1905" s="4"/>
      <c r="X1905" s="4"/>
      <c r="Y1905" s="4"/>
      <c r="Z1905" s="4"/>
    </row>
    <row r="1906" ht="15.75" customHeight="1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 t="str">
        <f>IFERROR(__xludf.DUMMYFUNCTION("""COMPUTED_VALUE"""),"installation fridge repair")</f>
        <v>installation fridge repair</v>
      </c>
      <c r="U1906" s="4"/>
      <c r="V1906" s="4"/>
      <c r="W1906" s="4"/>
      <c r="X1906" s="4"/>
      <c r="Y1906" s="4"/>
      <c r="Z1906" s="4"/>
    </row>
    <row r="1907" ht="15.75" customHeight="1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 t="str">
        <f>IFERROR(__xludf.DUMMYFUNCTION("""COMPUTED_VALUE"""),"installation geyser repair")</f>
        <v>installation geyser repair</v>
      </c>
      <c r="U1907" s="4"/>
      <c r="V1907" s="4"/>
      <c r="W1907" s="4"/>
      <c r="X1907" s="4"/>
      <c r="Y1907" s="4"/>
      <c r="Z1907" s="4"/>
    </row>
    <row r="1908" ht="15.75" customHeight="1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 t="str">
        <f>IFERROR(__xludf.DUMMYFUNCTION("""COMPUTED_VALUE"""),"installation geyser replacement")</f>
        <v>installation geyser replacement</v>
      </c>
      <c r="U1908" s="4"/>
      <c r="V1908" s="4"/>
      <c r="W1908" s="4"/>
      <c r="X1908" s="4"/>
      <c r="Y1908" s="4"/>
      <c r="Z1908" s="4"/>
    </row>
    <row r="1909" ht="15.75" customHeight="1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 t="str">
        <f>IFERROR(__xludf.DUMMYFUNCTION("""COMPUTED_VALUE"""),"installation HVAC services")</f>
        <v>installation HVAC services</v>
      </c>
      <c r="U1909" s="4"/>
      <c r="V1909" s="4"/>
      <c r="W1909" s="4"/>
      <c r="X1909" s="4"/>
      <c r="Y1909" s="4"/>
      <c r="Z1909" s="4"/>
    </row>
    <row r="1910" ht="15.75" customHeight="1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 t="str">
        <f>IFERROR(__xludf.DUMMYFUNCTION("""COMPUTED_VALUE"""),"installation leak detection")</f>
        <v>installation leak detection</v>
      </c>
      <c r="U1910" s="4"/>
      <c r="V1910" s="4"/>
      <c r="W1910" s="4"/>
      <c r="X1910" s="4"/>
      <c r="Y1910" s="4"/>
      <c r="Z1910" s="4"/>
    </row>
    <row r="1911" ht="15.75" customHeight="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 t="str">
        <f>IFERROR(__xludf.DUMMYFUNCTION("""COMPUTED_VALUE"""),"installation maintenance plumber")</f>
        <v>installation maintenance plumber</v>
      </c>
      <c r="U1911" s="4"/>
      <c r="V1911" s="4"/>
      <c r="W1911" s="4"/>
      <c r="X1911" s="4"/>
      <c r="Y1911" s="4"/>
      <c r="Z1911" s="4"/>
    </row>
    <row r="1912" ht="15.75" customHeight="1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 t="str">
        <f>IFERROR(__xludf.DUMMYFUNCTION("""COMPUTED_VALUE"""),"installation pipe repair")</f>
        <v>installation pipe repair</v>
      </c>
      <c r="U1912" s="4"/>
      <c r="V1912" s="4"/>
      <c r="W1912" s="4"/>
      <c r="X1912" s="4"/>
      <c r="Y1912" s="4"/>
      <c r="Z1912" s="4"/>
    </row>
    <row r="1913" ht="15.75" customHeight="1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 t="str">
        <f>IFERROR(__xludf.DUMMYFUNCTION("""COMPUTED_VALUE"""),"installation plumber cape town")</f>
        <v>installation plumber cape town</v>
      </c>
      <c r="U1913" s="4"/>
      <c r="V1913" s="4"/>
      <c r="W1913" s="4"/>
      <c r="X1913" s="4"/>
      <c r="Y1913" s="4"/>
      <c r="Z1913" s="4"/>
    </row>
    <row r="1914" ht="15.75" customHeight="1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 t="str">
        <f>IFERROR(__xludf.DUMMYFUNCTION("""COMPUTED_VALUE"""),"installation plumbing company")</f>
        <v>installation plumbing company</v>
      </c>
      <c r="U1914" s="4"/>
      <c r="V1914" s="4"/>
      <c r="W1914" s="4"/>
      <c r="X1914" s="4"/>
      <c r="Y1914" s="4"/>
      <c r="Z1914" s="4"/>
    </row>
    <row r="1915" ht="15.75" customHeight="1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 t="str">
        <f>IFERROR(__xludf.DUMMYFUNCTION("""COMPUTED_VALUE"""),"installation plumbing contractors")</f>
        <v>installation plumbing contractors</v>
      </c>
      <c r="U1915" s="4"/>
      <c r="V1915" s="4"/>
      <c r="W1915" s="4"/>
      <c r="X1915" s="4"/>
      <c r="Y1915" s="4"/>
      <c r="Z1915" s="4"/>
    </row>
    <row r="1916" ht="15.75" customHeight="1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 t="str">
        <f>IFERROR(__xludf.DUMMYFUNCTION("""COMPUTED_VALUE"""),"installation plumbing inspection")</f>
        <v>installation plumbing inspection</v>
      </c>
      <c r="U1916" s="4"/>
      <c r="V1916" s="4"/>
      <c r="W1916" s="4"/>
      <c r="X1916" s="4"/>
      <c r="Y1916" s="4"/>
      <c r="Z1916" s="4"/>
    </row>
    <row r="1917" ht="15.75" customHeight="1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 t="str">
        <f>IFERROR(__xludf.DUMMYFUNCTION("""COMPUTED_VALUE"""),"installation plumbing repairs")</f>
        <v>installation plumbing repairs</v>
      </c>
      <c r="U1917" s="4"/>
      <c r="V1917" s="4"/>
      <c r="W1917" s="4"/>
      <c r="X1917" s="4"/>
      <c r="Y1917" s="4"/>
      <c r="Z1917" s="4"/>
    </row>
    <row r="1918" ht="15.75" customHeight="1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 t="str">
        <f>IFERROR(__xludf.DUMMYFUNCTION("""COMPUTED_VALUE"""),"installation plumbing services")</f>
        <v>installation plumbing services</v>
      </c>
      <c r="U1918" s="4"/>
      <c r="V1918" s="4"/>
      <c r="W1918" s="4"/>
      <c r="X1918" s="4"/>
      <c r="Y1918" s="4"/>
      <c r="Z1918" s="4"/>
    </row>
    <row r="1919" ht="15.75" customHeight="1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 t="str">
        <f>IFERROR(__xludf.DUMMYFUNCTION("""COMPUTED_VALUE"""),"installation refrigeration repair")</f>
        <v>installation refrigeration repair</v>
      </c>
      <c r="U1919" s="4"/>
      <c r="V1919" s="4"/>
      <c r="W1919" s="4"/>
      <c r="X1919" s="4"/>
      <c r="Y1919" s="4"/>
      <c r="Z1919" s="4"/>
    </row>
    <row r="1920" ht="15.75" customHeight="1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 t="str">
        <f>IFERROR(__xludf.DUMMYFUNCTION("""COMPUTED_VALUE"""),"installation residential electrician")</f>
        <v>installation residential electrician</v>
      </c>
      <c r="U1920" s="4"/>
      <c r="V1920" s="4"/>
      <c r="W1920" s="4"/>
      <c r="X1920" s="4"/>
      <c r="Y1920" s="4"/>
      <c r="Z1920" s="4"/>
    </row>
    <row r="1921" ht="15.75" customHeight="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 t="str">
        <f>IFERROR(__xludf.DUMMYFUNCTION("""COMPUTED_VALUE"""),"installation residential plumber")</f>
        <v>installation residential plumber</v>
      </c>
      <c r="U1921" s="4"/>
      <c r="V1921" s="4"/>
      <c r="W1921" s="4"/>
      <c r="X1921" s="4"/>
      <c r="Y1921" s="4"/>
      <c r="Z1921" s="4"/>
    </row>
    <row r="1922" ht="15.75" customHeight="1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 t="str">
        <f>IFERROR(__xludf.DUMMYFUNCTION("""COMPUTED_VALUE"""),"installation water leak detection")</f>
        <v>installation water leak detection</v>
      </c>
      <c r="U1922" s="4"/>
      <c r="V1922" s="4"/>
      <c r="W1922" s="4"/>
      <c r="X1922" s="4"/>
      <c r="Y1922" s="4"/>
      <c r="Z1922" s="4"/>
    </row>
    <row r="1923" ht="15.75" customHeight="1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 t="str">
        <f>IFERROR(__xludf.DUMMYFUNCTION("""COMPUTED_VALUE"""),"insured absolute plumbing cape town")</f>
        <v>insured absolute plumbing cape town</v>
      </c>
      <c r="U1923" s="4"/>
      <c r="V1923" s="4"/>
      <c r="W1923" s="4"/>
      <c r="X1923" s="4"/>
      <c r="Y1923" s="4"/>
      <c r="Z1923" s="4"/>
    </row>
    <row r="1924" ht="15.75" customHeight="1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 t="str">
        <f>IFERROR(__xludf.DUMMYFUNCTION("""COMPUTED_VALUE"""),"insured aircon repair cape town")</f>
        <v>insured aircon repair cape town</v>
      </c>
      <c r="U1924" s="4"/>
      <c r="V1924" s="4"/>
      <c r="W1924" s="4"/>
      <c r="X1924" s="4"/>
      <c r="Y1924" s="4"/>
      <c r="Z1924" s="4"/>
    </row>
    <row r="1925" ht="15.75" customHeight="1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 t="str">
        <f>IFERROR(__xludf.DUMMYFUNCTION("""COMPUTED_VALUE"""),"insured bosman plumbers")</f>
        <v>insured bosman plumbers</v>
      </c>
      <c r="U1925" s="4"/>
      <c r="V1925" s="4"/>
      <c r="W1925" s="4"/>
      <c r="X1925" s="4"/>
      <c r="Y1925" s="4"/>
      <c r="Z1925" s="4"/>
    </row>
    <row r="1926" ht="15.75" customHeight="1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 t="str">
        <f>IFERROR(__xludf.DUMMYFUNCTION("""COMPUTED_VALUE"""),"insured drain surgeon cape town")</f>
        <v>insured drain surgeon cape town</v>
      </c>
      <c r="U1926" s="4"/>
      <c r="V1926" s="4"/>
      <c r="W1926" s="4"/>
      <c r="X1926" s="4"/>
      <c r="Y1926" s="4"/>
      <c r="Z1926" s="4"/>
    </row>
    <row r="1927" ht="15.75" customHeight="1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 t="str">
        <f>IFERROR(__xludf.DUMMYFUNCTION("""COMPUTED_VALUE"""),"insured electrician cape town")</f>
        <v>insured electrician cape town</v>
      </c>
      <c r="U1927" s="4"/>
      <c r="V1927" s="4"/>
      <c r="W1927" s="4"/>
      <c r="X1927" s="4"/>
      <c r="Y1927" s="4"/>
      <c r="Z1927" s="4"/>
    </row>
    <row r="1928" ht="15.75" customHeight="1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 t="str">
        <f>IFERROR(__xludf.DUMMYFUNCTION("""COMPUTED_VALUE"""),"insured emergency plumber cape town")</f>
        <v>insured emergency plumber cape town</v>
      </c>
      <c r="U1928" s="4"/>
      <c r="V1928" s="4"/>
      <c r="W1928" s="4"/>
      <c r="X1928" s="4"/>
      <c r="Y1928" s="4"/>
      <c r="Z1928" s="4"/>
    </row>
    <row r="1929" ht="15.75" customHeight="1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 t="str">
        <f>IFERROR(__xludf.DUMMYFUNCTION("""COMPUTED_VALUE"""),"insured plumber near me")</f>
        <v>insured plumber near me</v>
      </c>
      <c r="U1929" s="4"/>
      <c r="V1929" s="4"/>
      <c r="W1929" s="4"/>
      <c r="X1929" s="4"/>
      <c r="Y1929" s="4"/>
      <c r="Z1929" s="4"/>
    </row>
    <row r="1930" ht="15.75" customHeight="1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 t="str">
        <f>IFERROR(__xludf.DUMMYFUNCTION("""COMPUTED_VALUE"""),"insured plumbers cape town")</f>
        <v>insured plumbers cape town</v>
      </c>
      <c r="U1930" s="4"/>
      <c r="V1930" s="4"/>
      <c r="W1930" s="4"/>
      <c r="X1930" s="4"/>
      <c r="Y1930" s="4"/>
      <c r="Z1930" s="4"/>
    </row>
    <row r="1931" ht="15.75" customHeight="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 t="str">
        <f>IFERROR(__xludf.DUMMYFUNCTION("""COMPUTED_VALUE"""),"insured plumbing company cape town")</f>
        <v>insured plumbing company cape town</v>
      </c>
      <c r="U1931" s="4"/>
      <c r="V1931" s="4"/>
      <c r="W1931" s="4"/>
      <c r="X1931" s="4"/>
      <c r="Y1931" s="4"/>
      <c r="Z1931" s="4"/>
    </row>
    <row r="1932" ht="15.75" customHeight="1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 t="str">
        <f>IFERROR(__xludf.DUMMYFUNCTION("""COMPUTED_VALUE"""),"insured schmidhauser plumbing")</f>
        <v>insured schmidhauser plumbing</v>
      </c>
      <c r="U1932" s="4"/>
      <c r="V1932" s="4"/>
      <c r="W1932" s="4"/>
      <c r="X1932" s="4"/>
      <c r="Y1932" s="4"/>
      <c r="Z1932" s="4"/>
    </row>
    <row r="1933" ht="15.75" customHeight="1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 t="str">
        <f>IFERROR(__xludf.DUMMYFUNCTION("""COMPUTED_VALUE"""),"is it safe to aircon service")</f>
        <v>is it safe to aircon service</v>
      </c>
      <c r="U1933" s="4"/>
      <c r="V1933" s="4"/>
      <c r="W1933" s="4"/>
      <c r="X1933" s="4"/>
      <c r="Y1933" s="4"/>
      <c r="Z1933" s="4"/>
    </row>
    <row r="1934" ht="15.75" customHeight="1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 t="str">
        <f>IFERROR(__xludf.DUMMYFUNCTION("""COMPUTED_VALUE"""),"is it safe to blocked drain")</f>
        <v>is it safe to blocked drain</v>
      </c>
      <c r="U1934" s="4"/>
      <c r="V1934" s="4"/>
      <c r="W1934" s="4"/>
      <c r="X1934" s="4"/>
      <c r="Y1934" s="4"/>
      <c r="Z1934" s="4"/>
    </row>
    <row r="1935" ht="15.75" customHeight="1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 t="str">
        <f>IFERROR(__xludf.DUMMYFUNCTION("""COMPUTED_VALUE"""),"is it safe to burst pipe")</f>
        <v>is it safe to burst pipe</v>
      </c>
      <c r="U1935" s="4"/>
      <c r="V1935" s="4"/>
      <c r="W1935" s="4"/>
      <c r="X1935" s="4"/>
      <c r="Y1935" s="4"/>
      <c r="Z1935" s="4"/>
    </row>
    <row r="1936" ht="15.75" customHeight="1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 t="str">
        <f>IFERROR(__xludf.DUMMYFUNCTION("""COMPUTED_VALUE"""),"is it safe to electrical COC")</f>
        <v>is it safe to electrical COC</v>
      </c>
      <c r="U1936" s="4"/>
      <c r="V1936" s="4"/>
      <c r="W1936" s="4"/>
      <c r="X1936" s="4"/>
      <c r="Y1936" s="4"/>
      <c r="Z1936" s="4"/>
    </row>
    <row r="1937" ht="15.75" customHeight="1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 t="str">
        <f>IFERROR(__xludf.DUMMYFUNCTION("""COMPUTED_VALUE"""),"is it safe to emergency plumber")</f>
        <v>is it safe to emergency plumber</v>
      </c>
      <c r="U1937" s="4"/>
      <c r="V1937" s="4"/>
      <c r="W1937" s="4"/>
      <c r="X1937" s="4"/>
      <c r="Y1937" s="4"/>
      <c r="Z1937" s="4"/>
    </row>
    <row r="1938" ht="15.75" customHeight="1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 t="str">
        <f>IFERROR(__xludf.DUMMYFUNCTION("""COMPUTED_VALUE"""),"is it safe to geyser repair")</f>
        <v>is it safe to geyser repair</v>
      </c>
      <c r="U1938" s="4"/>
      <c r="V1938" s="4"/>
      <c r="W1938" s="4"/>
      <c r="X1938" s="4"/>
      <c r="Y1938" s="4"/>
      <c r="Z1938" s="4"/>
    </row>
    <row r="1939" ht="15.75" customHeight="1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 t="str">
        <f>IFERROR(__xludf.DUMMYFUNCTION("""COMPUTED_VALUE"""),"is it safe to leak detection")</f>
        <v>is it safe to leak detection</v>
      </c>
      <c r="U1939" s="4"/>
      <c r="V1939" s="4"/>
      <c r="W1939" s="4"/>
      <c r="X1939" s="4"/>
      <c r="Y1939" s="4"/>
      <c r="Z1939" s="4"/>
    </row>
    <row r="1940" ht="15.75" customHeight="1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 t="str">
        <f>IFERROR(__xludf.DUMMYFUNCTION("""COMPUTED_VALUE"""),"is it safe to plumber cost")</f>
        <v>is it safe to plumber cost</v>
      </c>
      <c r="U1940" s="4"/>
      <c r="V1940" s="4"/>
      <c r="W1940" s="4"/>
      <c r="X1940" s="4"/>
      <c r="Y1940" s="4"/>
      <c r="Z1940" s="4"/>
    </row>
    <row r="1941" ht="15.75" customHeight="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 t="str">
        <f>IFERROR(__xludf.DUMMYFUNCTION("""COMPUTED_VALUE"""),"is it safe to plumbing maintenance")</f>
        <v>is it safe to plumbing maintenance</v>
      </c>
      <c r="U1941" s="4"/>
      <c r="V1941" s="4"/>
      <c r="W1941" s="4"/>
      <c r="X1941" s="4"/>
      <c r="Y1941" s="4"/>
      <c r="Z1941" s="4"/>
    </row>
    <row r="1942" ht="15.75" customHeight="1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 t="str">
        <f>IFERROR(__xludf.DUMMYFUNCTION("""COMPUTED_VALUE"""),"is it safe to refrigeration repair")</f>
        <v>is it safe to refrigeration repair</v>
      </c>
      <c r="U1942" s="4"/>
      <c r="V1942" s="4"/>
      <c r="W1942" s="4"/>
      <c r="X1942" s="4"/>
      <c r="Y1942" s="4"/>
      <c r="Z1942" s="4"/>
    </row>
    <row r="1943" ht="15.75" customHeight="1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 t="str">
        <f>IFERROR(__xludf.DUMMYFUNCTION("""COMPUTED_VALUE"""),"kitchen plumbing repair")</f>
        <v>kitchen plumbing repair</v>
      </c>
      <c r="U1943" s="4"/>
      <c r="V1943" s="4"/>
      <c r="W1943" s="4"/>
      <c r="X1943" s="4"/>
      <c r="Y1943" s="4"/>
      <c r="Z1943" s="4"/>
    </row>
    <row r="1944" ht="15.75" customHeight="1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 t="str">
        <f>IFERROR(__xludf.DUMMYFUNCTION("""COMPUTED_VALUE"""),"kitchen plumbing repair after hours")</f>
        <v>kitchen plumbing repair after hours</v>
      </c>
      <c r="U1944" s="4"/>
      <c r="V1944" s="4"/>
      <c r="W1944" s="4"/>
      <c r="X1944" s="4"/>
      <c r="Y1944" s="4"/>
      <c r="Z1944" s="4"/>
    </row>
    <row r="1945" ht="15.75" customHeight="1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 t="str">
        <f>IFERROR(__xludf.DUMMYFUNCTION("""COMPUTED_VALUE"""),"kitchen plumbing repair call out")</f>
        <v>kitchen plumbing repair call out</v>
      </c>
      <c r="U1945" s="4"/>
      <c r="V1945" s="4"/>
      <c r="W1945" s="4"/>
      <c r="X1945" s="4"/>
      <c r="Y1945" s="4"/>
      <c r="Z1945" s="4"/>
    </row>
    <row r="1946" ht="15.75" customHeight="1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 t="str">
        <f>IFERROR(__xludf.DUMMYFUNCTION("""COMPUTED_VALUE"""),"kitchen plumbing repair cape town")</f>
        <v>kitchen plumbing repair cape town</v>
      </c>
      <c r="U1946" s="4"/>
      <c r="V1946" s="4"/>
      <c r="W1946" s="4"/>
      <c r="X1946" s="4"/>
      <c r="Y1946" s="4"/>
      <c r="Z1946" s="4"/>
    </row>
    <row r="1947" ht="15.75" customHeight="1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 t="str">
        <f>IFERROR(__xludf.DUMMYFUNCTION("""COMPUTED_VALUE"""),"kitchen plumbing repair commercial")</f>
        <v>kitchen plumbing repair commercial</v>
      </c>
      <c r="U1947" s="4"/>
      <c r="V1947" s="4"/>
      <c r="W1947" s="4"/>
      <c r="X1947" s="4"/>
      <c r="Y1947" s="4"/>
      <c r="Z1947" s="4"/>
    </row>
    <row r="1948" ht="15.75" customHeight="1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 t="str">
        <f>IFERROR(__xludf.DUMMYFUNCTION("""COMPUTED_VALUE"""),"kitchen plumbing repair company")</f>
        <v>kitchen plumbing repair company</v>
      </c>
      <c r="U1948" s="4"/>
      <c r="V1948" s="4"/>
      <c r="W1948" s="4"/>
      <c r="X1948" s="4"/>
      <c r="Y1948" s="4"/>
      <c r="Z1948" s="4"/>
    </row>
    <row r="1949" ht="15.75" customHeight="1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 t="str">
        <f>IFERROR(__xludf.DUMMYFUNCTION("""COMPUTED_VALUE"""),"kitchen plumbing repair cost")</f>
        <v>kitchen plumbing repair cost</v>
      </c>
      <c r="U1949" s="4"/>
      <c r="V1949" s="4"/>
      <c r="W1949" s="4"/>
      <c r="X1949" s="4"/>
      <c r="Y1949" s="4"/>
      <c r="Z1949" s="4"/>
    </row>
    <row r="1950" ht="15.75" customHeight="1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 t="str">
        <f>IFERROR(__xludf.DUMMYFUNCTION("""COMPUTED_VALUE"""),"kitchen plumbing repair emergency")</f>
        <v>kitchen plumbing repair emergency</v>
      </c>
      <c r="U1950" s="4"/>
      <c r="V1950" s="4"/>
      <c r="W1950" s="4"/>
      <c r="X1950" s="4"/>
      <c r="Y1950" s="4"/>
      <c r="Z1950" s="4"/>
    </row>
    <row r="1951" ht="15.75" customHeight="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 t="str">
        <f>IFERROR(__xludf.DUMMYFUNCTION("""COMPUTED_VALUE"""),"kitchen plumbing repair fast")</f>
        <v>kitchen plumbing repair fast</v>
      </c>
      <c r="U1951" s="4"/>
      <c r="V1951" s="4"/>
      <c r="W1951" s="4"/>
      <c r="X1951" s="4"/>
      <c r="Y1951" s="4"/>
      <c r="Z1951" s="4"/>
    </row>
    <row r="1952" ht="15.75" customHeight="1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 t="str">
        <f>IFERROR(__xludf.DUMMYFUNCTION("""COMPUTED_VALUE"""),"kitchen plumbing repair local")</f>
        <v>kitchen plumbing repair local</v>
      </c>
      <c r="U1952" s="4"/>
      <c r="V1952" s="4"/>
      <c r="W1952" s="4"/>
      <c r="X1952" s="4"/>
      <c r="Y1952" s="4"/>
      <c r="Z1952" s="4"/>
    </row>
    <row r="1953" ht="15.75" customHeight="1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 t="str">
        <f>IFERROR(__xludf.DUMMYFUNCTION("""COMPUTED_VALUE"""),"kitchen plumbing repair near me")</f>
        <v>kitchen plumbing repair near me</v>
      </c>
      <c r="U1953" s="4"/>
      <c r="V1953" s="4"/>
      <c r="W1953" s="4"/>
      <c r="X1953" s="4"/>
      <c r="Y1953" s="4"/>
      <c r="Z1953" s="4"/>
    </row>
    <row r="1954" ht="15.75" customHeight="1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 t="str">
        <f>IFERROR(__xludf.DUMMYFUNCTION("""COMPUTED_VALUE"""),"kitchen plumbing repair plumber")</f>
        <v>kitchen plumbing repair plumber</v>
      </c>
      <c r="U1954" s="4"/>
      <c r="V1954" s="4"/>
      <c r="W1954" s="4"/>
      <c r="X1954" s="4"/>
      <c r="Y1954" s="4"/>
      <c r="Z1954" s="4"/>
    </row>
    <row r="1955" ht="15.75" customHeight="1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 t="str">
        <f>IFERROR(__xludf.DUMMYFUNCTION("""COMPUTED_VALUE"""),"kitchen plumbing repair professional")</f>
        <v>kitchen plumbing repair professional</v>
      </c>
      <c r="U1955" s="4"/>
      <c r="V1955" s="4"/>
      <c r="W1955" s="4"/>
      <c r="X1955" s="4"/>
      <c r="Y1955" s="4"/>
      <c r="Z1955" s="4"/>
    </row>
    <row r="1956" ht="15.75" customHeight="1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 t="str">
        <f>IFERROR(__xludf.DUMMYFUNCTION("""COMPUTED_VALUE"""),"kitchen plumbing repair quote")</f>
        <v>kitchen plumbing repair quote</v>
      </c>
      <c r="U1956" s="4"/>
      <c r="V1956" s="4"/>
      <c r="W1956" s="4"/>
      <c r="X1956" s="4"/>
      <c r="Y1956" s="4"/>
      <c r="Z1956" s="4"/>
    </row>
    <row r="1957" ht="15.75" customHeight="1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 t="str">
        <f>IFERROR(__xludf.DUMMYFUNCTION("""COMPUTED_VALUE"""),"kitchen plumbing repair reliable")</f>
        <v>kitchen plumbing repair reliable</v>
      </c>
      <c r="U1957" s="4"/>
      <c r="V1957" s="4"/>
      <c r="W1957" s="4"/>
      <c r="X1957" s="4"/>
      <c r="Y1957" s="4"/>
      <c r="Z1957" s="4"/>
    </row>
    <row r="1958" ht="15.75" customHeight="1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 t="str">
        <f>IFERROR(__xludf.DUMMYFUNCTION("""COMPUTED_VALUE"""),"kitchen plumbing repair residential")</f>
        <v>kitchen plumbing repair residential</v>
      </c>
      <c r="U1958" s="4"/>
      <c r="V1958" s="4"/>
      <c r="W1958" s="4"/>
      <c r="X1958" s="4"/>
      <c r="Y1958" s="4"/>
      <c r="Z1958" s="4"/>
    </row>
    <row r="1959" ht="15.75" customHeight="1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 t="str">
        <f>IFERROR(__xludf.DUMMYFUNCTION("""COMPUTED_VALUE"""),"kitchen plumbing repair same day")</f>
        <v>kitchen plumbing repair same day</v>
      </c>
      <c r="U1959" s="4"/>
      <c r="V1959" s="4"/>
      <c r="W1959" s="4"/>
      <c r="X1959" s="4"/>
      <c r="Y1959" s="4"/>
      <c r="Z1959" s="4"/>
    </row>
    <row r="1960" ht="15.75" customHeight="1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 t="str">
        <f>IFERROR(__xludf.DUMMYFUNCTION("""COMPUTED_VALUE"""),"kitchen plumbing repair service")</f>
        <v>kitchen plumbing repair service</v>
      </c>
      <c r="U1960" s="4"/>
      <c r="V1960" s="4"/>
      <c r="W1960" s="4"/>
      <c r="X1960" s="4"/>
      <c r="Y1960" s="4"/>
      <c r="Z1960" s="4"/>
    </row>
    <row r="1961" ht="15.75" customHeight="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 t="str">
        <f>IFERROR(__xludf.DUMMYFUNCTION("""COMPUTED_VALUE"""),"kitchen plumbing repair urgent")</f>
        <v>kitchen plumbing repair urgent</v>
      </c>
      <c r="U1961" s="4"/>
      <c r="V1961" s="4"/>
      <c r="W1961" s="4"/>
      <c r="X1961" s="4"/>
      <c r="Y1961" s="4"/>
      <c r="Z1961" s="4"/>
    </row>
    <row r="1962" ht="15.75" customHeight="1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 t="str">
        <f>IFERROR(__xludf.DUMMYFUNCTION("""COMPUTED_VALUE"""),"kitchen plumbing repair weekend")</f>
        <v>kitchen plumbing repair weekend</v>
      </c>
      <c r="U1962" s="4"/>
      <c r="V1962" s="4"/>
      <c r="W1962" s="4"/>
      <c r="X1962" s="4"/>
      <c r="Y1962" s="4"/>
      <c r="Z1962" s="4"/>
    </row>
    <row r="1963" ht="15.75" customHeight="1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 t="str">
        <f>IFERROR(__xludf.DUMMYFUNCTION("""COMPUTED_VALUE"""),"landlord air conditioning services")</f>
        <v>landlord air conditioning services</v>
      </c>
      <c r="U1963" s="4"/>
      <c r="V1963" s="4"/>
      <c r="W1963" s="4"/>
      <c r="X1963" s="4"/>
      <c r="Y1963" s="4"/>
      <c r="Z1963" s="4"/>
    </row>
    <row r="1964" ht="15.75" customHeight="1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 t="str">
        <f>IFERROR(__xludf.DUMMYFUNCTION("""COMPUTED_VALUE"""),"landlord drain cleaning")</f>
        <v>landlord drain cleaning</v>
      </c>
      <c r="U1964" s="4"/>
      <c r="V1964" s="4"/>
      <c r="W1964" s="4"/>
      <c r="X1964" s="4"/>
      <c r="Y1964" s="4"/>
      <c r="Z1964" s="4"/>
    </row>
    <row r="1965" ht="15.75" customHeight="1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 t="str">
        <f>IFERROR(__xludf.DUMMYFUNCTION("""COMPUTED_VALUE"""),"landlord electrical repairs")</f>
        <v>landlord electrical repairs</v>
      </c>
      <c r="U1965" s="4"/>
      <c r="V1965" s="4"/>
      <c r="W1965" s="4"/>
      <c r="X1965" s="4"/>
      <c r="Y1965" s="4"/>
      <c r="Z1965" s="4"/>
    </row>
    <row r="1966" ht="15.75" customHeight="1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 t="str">
        <f>IFERROR(__xludf.DUMMYFUNCTION("""COMPUTED_VALUE"""),"landlord emergency plumbing")</f>
        <v>landlord emergency plumbing</v>
      </c>
      <c r="U1966" s="4"/>
      <c r="V1966" s="4"/>
      <c r="W1966" s="4"/>
      <c r="X1966" s="4"/>
      <c r="Y1966" s="4"/>
      <c r="Z1966" s="4"/>
    </row>
    <row r="1967" ht="15.75" customHeight="1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 t="str">
        <f>IFERROR(__xludf.DUMMYFUNCTION("""COMPUTED_VALUE"""),"landlord geyser repairs")</f>
        <v>landlord geyser repairs</v>
      </c>
      <c r="U1967" s="4"/>
      <c r="V1967" s="4"/>
      <c r="W1967" s="4"/>
      <c r="X1967" s="4"/>
      <c r="Y1967" s="4"/>
      <c r="Z1967" s="4"/>
    </row>
    <row r="1968" ht="15.75" customHeight="1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 t="str">
        <f>IFERROR(__xludf.DUMMYFUNCTION("""COMPUTED_VALUE"""),"landlord leak detection")</f>
        <v>landlord leak detection</v>
      </c>
      <c r="U1968" s="4"/>
      <c r="V1968" s="4"/>
      <c r="W1968" s="4"/>
      <c r="X1968" s="4"/>
      <c r="Y1968" s="4"/>
      <c r="Z1968" s="4"/>
    </row>
    <row r="1969" ht="15.75" customHeight="1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 t="str">
        <f>IFERROR(__xludf.DUMMYFUNCTION("""COMPUTED_VALUE"""),"landlord maintenance plumber")</f>
        <v>landlord maintenance plumber</v>
      </c>
      <c r="U1969" s="4"/>
      <c r="V1969" s="4"/>
      <c r="W1969" s="4"/>
      <c r="X1969" s="4"/>
      <c r="Y1969" s="4"/>
      <c r="Z1969" s="4"/>
    </row>
    <row r="1970" ht="15.75" customHeight="1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 t="str">
        <f>IFERROR(__xludf.DUMMYFUNCTION("""COMPUTED_VALUE"""),"landlord plumbing company")</f>
        <v>landlord plumbing company</v>
      </c>
      <c r="U1970" s="4"/>
      <c r="V1970" s="4"/>
      <c r="W1970" s="4"/>
      <c r="X1970" s="4"/>
      <c r="Y1970" s="4"/>
      <c r="Z1970" s="4"/>
    </row>
    <row r="1971" ht="15.75" customHeight="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 t="str">
        <f>IFERROR(__xludf.DUMMYFUNCTION("""COMPUTED_VALUE"""),"landlord plumbing services")</f>
        <v>landlord plumbing services</v>
      </c>
      <c r="U1971" s="4"/>
      <c r="V1971" s="4"/>
      <c r="W1971" s="4"/>
      <c r="X1971" s="4"/>
      <c r="Y1971" s="4"/>
      <c r="Z1971" s="4"/>
    </row>
    <row r="1972" ht="15.75" customHeight="1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 t="str">
        <f>IFERROR(__xludf.DUMMYFUNCTION("""COMPUTED_VALUE"""),"landlord refrigeration services")</f>
        <v>landlord refrigeration services</v>
      </c>
      <c r="U1972" s="4"/>
      <c r="V1972" s="4"/>
      <c r="W1972" s="4"/>
      <c r="X1972" s="4"/>
      <c r="Y1972" s="4"/>
      <c r="Z1972" s="4"/>
    </row>
    <row r="1973" ht="15.75" customHeight="1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 t="str">
        <f>IFERROR(__xludf.DUMMYFUNCTION("""COMPUTED_VALUE"""),"leak detection affordable")</f>
        <v>leak detection affordable</v>
      </c>
      <c r="U1973" s="4"/>
      <c r="V1973" s="4"/>
      <c r="W1973" s="4"/>
      <c r="X1973" s="4"/>
      <c r="Y1973" s="4"/>
      <c r="Z1973" s="4"/>
    </row>
    <row r="1974" ht="15.75" customHeight="1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 t="str">
        <f>IFERROR(__xludf.DUMMYFUNCTION("""COMPUTED_VALUE"""),"leak detection apartment")</f>
        <v>leak detection apartment</v>
      </c>
      <c r="U1974" s="4"/>
      <c r="V1974" s="4"/>
      <c r="W1974" s="4"/>
      <c r="X1974" s="4"/>
      <c r="Y1974" s="4"/>
      <c r="Z1974" s="4"/>
    </row>
    <row r="1975" ht="15.75" customHeight="1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 t="str">
        <f>IFERROR(__xludf.DUMMYFUNCTION("""COMPUTED_VALUE"""),"leak detection best")</f>
        <v>leak detection best</v>
      </c>
      <c r="U1975" s="4"/>
      <c r="V1975" s="4"/>
      <c r="W1975" s="4"/>
      <c r="X1975" s="4"/>
      <c r="Y1975" s="4"/>
      <c r="Z1975" s="4"/>
    </row>
    <row r="1976" ht="15.75" customHeight="1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 t="str">
        <f>IFERROR(__xludf.DUMMYFUNCTION("""COMPUTED_VALUE"""),"leak detection best way to fix")</f>
        <v>leak detection best way to fix</v>
      </c>
      <c r="U1976" s="4"/>
      <c r="V1976" s="4"/>
      <c r="W1976" s="4"/>
      <c r="X1976" s="4"/>
      <c r="Y1976" s="4"/>
      <c r="Z1976" s="4"/>
    </row>
    <row r="1977" ht="15.75" customHeight="1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 t="str">
        <f>IFERROR(__xludf.DUMMYFUNCTION("""COMPUTED_VALUE"""),"leak detection body corporate")</f>
        <v>leak detection body corporate</v>
      </c>
      <c r="U1977" s="4"/>
      <c r="V1977" s="4"/>
      <c r="W1977" s="4"/>
      <c r="X1977" s="4"/>
      <c r="Y1977" s="4"/>
      <c r="Z1977" s="4"/>
    </row>
    <row r="1978" ht="15.75" customHeight="1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 t="str">
        <f>IFERROR(__xludf.DUMMYFUNCTION("""COMPUTED_VALUE"""),"leak detection building")</f>
        <v>leak detection building</v>
      </c>
      <c r="U1978" s="4"/>
      <c r="V1978" s="4"/>
      <c r="W1978" s="4"/>
      <c r="X1978" s="4"/>
      <c r="Y1978" s="4"/>
      <c r="Z1978" s="4"/>
    </row>
    <row r="1979" ht="15.75" customHeight="1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 t="str">
        <f>IFERROR(__xludf.DUMMYFUNCTION("""COMPUTED_VALUE"""),"leak detection business")</f>
        <v>leak detection business</v>
      </c>
      <c r="U1979" s="4"/>
      <c r="V1979" s="4"/>
      <c r="W1979" s="4"/>
      <c r="X1979" s="4"/>
      <c r="Y1979" s="4"/>
      <c r="Z1979" s="4"/>
    </row>
    <row r="1980" ht="15.75" customHeight="1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 t="str">
        <f>IFERROR(__xludf.DUMMYFUNCTION("""COMPUTED_VALUE"""),"leak detection can a plumber fix")</f>
        <v>leak detection can a plumber fix</v>
      </c>
      <c r="U1980" s="4"/>
      <c r="V1980" s="4"/>
      <c r="W1980" s="4"/>
      <c r="X1980" s="4"/>
      <c r="Y1980" s="4"/>
      <c r="Z1980" s="4"/>
    </row>
    <row r="1981" ht="15.75" customHeight="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 t="str">
        <f>IFERROR(__xludf.DUMMYFUNCTION("""COMPUTED_VALUE"""),"leak detection cape town")</f>
        <v>leak detection cape town</v>
      </c>
      <c r="U1981" s="4"/>
      <c r="V1981" s="4"/>
      <c r="W1981" s="4"/>
      <c r="X1981" s="4"/>
      <c r="Y1981" s="4"/>
      <c r="Z1981" s="4"/>
    </row>
    <row r="1982" ht="15.75" customHeight="1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 t="str">
        <f>IFERROR(__xludf.DUMMYFUNCTION("""COMPUTED_VALUE"""),"leak detection CCTV")</f>
        <v>leak detection CCTV</v>
      </c>
      <c r="U1982" s="4"/>
      <c r="V1982" s="4"/>
      <c r="W1982" s="4"/>
      <c r="X1982" s="4"/>
      <c r="Y1982" s="4"/>
      <c r="Z1982" s="4"/>
    </row>
    <row r="1983" ht="15.75" customHeight="1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 t="str">
        <f>IFERROR(__xludf.DUMMYFUNCTION("""COMPUTED_VALUE"""),"leak detection commercial")</f>
        <v>leak detection commercial</v>
      </c>
      <c r="U1983" s="4"/>
      <c r="V1983" s="4"/>
      <c r="W1983" s="4"/>
      <c r="X1983" s="4"/>
      <c r="Y1983" s="4"/>
      <c r="Z1983" s="4"/>
    </row>
    <row r="1984" ht="15.75" customHeight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 t="str">
        <f>IFERROR(__xludf.DUMMYFUNCTION("""COMPUTED_VALUE"""),"leak detection commercial property")</f>
        <v>leak detection commercial property</v>
      </c>
      <c r="U1984" s="4"/>
      <c r="V1984" s="4"/>
      <c r="W1984" s="4"/>
      <c r="X1984" s="4"/>
      <c r="Y1984" s="4"/>
      <c r="Z1984" s="4"/>
    </row>
    <row r="1985" ht="15.75" customHeight="1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 t="str">
        <f>IFERROR(__xludf.DUMMYFUNCTION("""COMPUTED_VALUE"""),"leak detection cost")</f>
        <v>leak detection cost</v>
      </c>
      <c r="U1985" s="4"/>
      <c r="V1985" s="4"/>
      <c r="W1985" s="4"/>
      <c r="X1985" s="4"/>
      <c r="Y1985" s="4"/>
      <c r="Z1985" s="4"/>
    </row>
    <row r="1986" ht="15.75" customHeight="1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 t="str">
        <f>IFERROR(__xludf.DUMMYFUNCTION("""COMPUTED_VALUE"""),"leak detection cost of")</f>
        <v>leak detection cost of</v>
      </c>
      <c r="U1986" s="4"/>
      <c r="V1986" s="4"/>
      <c r="W1986" s="4"/>
      <c r="X1986" s="4"/>
      <c r="Y1986" s="4"/>
      <c r="Z1986" s="4"/>
    </row>
    <row r="1987" ht="15.75" customHeight="1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 t="str">
        <f>IFERROR(__xludf.DUMMYFUNCTION("""COMPUTED_VALUE"""),"leak detection do I need")</f>
        <v>leak detection do I need</v>
      </c>
      <c r="U1987" s="4"/>
      <c r="V1987" s="4"/>
      <c r="W1987" s="4"/>
      <c r="X1987" s="4"/>
      <c r="Y1987" s="4"/>
      <c r="Z1987" s="4"/>
    </row>
    <row r="1988" ht="15.75" customHeight="1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 t="str">
        <f>IFERROR(__xludf.DUMMYFUNCTION("""COMPUTED_VALUE"""),"leak detection emergency")</f>
        <v>leak detection emergency</v>
      </c>
      <c r="U1988" s="4"/>
      <c r="V1988" s="4"/>
      <c r="W1988" s="4"/>
      <c r="X1988" s="4"/>
      <c r="Y1988" s="4"/>
      <c r="Z1988" s="4"/>
    </row>
    <row r="1989" ht="15.75" customHeight="1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 t="str">
        <f>IFERROR(__xludf.DUMMYFUNCTION("""COMPUTED_VALUE"""),"leak detection emergency help for")</f>
        <v>leak detection emergency help for</v>
      </c>
      <c r="U1989" s="4"/>
      <c r="V1989" s="4"/>
      <c r="W1989" s="4"/>
      <c r="X1989" s="4"/>
      <c r="Y1989" s="4"/>
      <c r="Z1989" s="4"/>
    </row>
    <row r="1990" ht="15.75" customHeight="1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 t="str">
        <f>IFERROR(__xludf.DUMMYFUNCTION("""COMPUTED_VALUE"""),"leak detection estate agent")</f>
        <v>leak detection estate agent</v>
      </c>
      <c r="U1990" s="4"/>
      <c r="V1990" s="4"/>
      <c r="W1990" s="4"/>
      <c r="X1990" s="4"/>
      <c r="Y1990" s="4"/>
      <c r="Z1990" s="4"/>
    </row>
    <row r="1991" ht="15.75" customHeight="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 t="str">
        <f>IFERROR(__xludf.DUMMYFUNCTION("""COMPUTED_VALUE"""),"leak detection flat")</f>
        <v>leak detection flat</v>
      </c>
      <c r="U1991" s="4"/>
      <c r="V1991" s="4"/>
      <c r="W1991" s="4"/>
      <c r="X1991" s="4"/>
      <c r="Y1991" s="4"/>
      <c r="Z1991" s="4"/>
    </row>
    <row r="1992" ht="15.75" customHeight="1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 t="str">
        <f>IFERROR(__xludf.DUMMYFUNCTION("""COMPUTED_VALUE"""),"leak detection guesthouse")</f>
        <v>leak detection guesthouse</v>
      </c>
      <c r="U1992" s="4"/>
      <c r="V1992" s="4"/>
      <c r="W1992" s="4"/>
      <c r="X1992" s="4"/>
      <c r="Y1992" s="4"/>
      <c r="Z1992" s="4"/>
    </row>
    <row r="1993" ht="15.75" customHeight="1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 t="str">
        <f>IFERROR(__xludf.DUMMYFUNCTION("""COMPUTED_VALUE"""),"leak detection high pressure jetting")</f>
        <v>leak detection high pressure jetting</v>
      </c>
      <c r="U1993" s="4"/>
      <c r="V1993" s="4"/>
      <c r="W1993" s="4"/>
      <c r="X1993" s="4"/>
      <c r="Y1993" s="4"/>
      <c r="Z1993" s="4"/>
    </row>
    <row r="1994" ht="15.75" customHeight="1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 t="str">
        <f>IFERROR(__xludf.DUMMYFUNCTION("""COMPUTED_VALUE"""),"leak detection home")</f>
        <v>leak detection home</v>
      </c>
      <c r="U1994" s="4"/>
      <c r="V1994" s="4"/>
      <c r="W1994" s="4"/>
      <c r="X1994" s="4"/>
      <c r="Y1994" s="4"/>
      <c r="Z1994" s="4"/>
    </row>
    <row r="1995" ht="15.75" customHeight="1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 t="str">
        <f>IFERROR(__xludf.DUMMYFUNCTION("""COMPUTED_VALUE"""),"leak detection hotel")</f>
        <v>leak detection hotel</v>
      </c>
      <c r="U1995" s="4"/>
      <c r="V1995" s="4"/>
      <c r="W1995" s="4"/>
      <c r="X1995" s="4"/>
      <c r="Y1995" s="4"/>
      <c r="Z1995" s="4"/>
    </row>
    <row r="1996" ht="15.75" customHeight="1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 t="str">
        <f>IFERROR(__xludf.DUMMYFUNCTION("""COMPUTED_VALUE"""),"leak detection house")</f>
        <v>leak detection house</v>
      </c>
      <c r="U1996" s="4"/>
      <c r="V1996" s="4"/>
      <c r="W1996" s="4"/>
      <c r="X1996" s="4"/>
      <c r="Y1996" s="4"/>
      <c r="Z1996" s="4"/>
    </row>
    <row r="1997" ht="15.75" customHeight="1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 t="str">
        <f>IFERROR(__xludf.DUMMYFUNCTION("""COMPUTED_VALUE"""),"leak detection how long does")</f>
        <v>leak detection how long does</v>
      </c>
      <c r="U1997" s="4"/>
      <c r="V1997" s="4"/>
      <c r="W1997" s="4"/>
      <c r="X1997" s="4"/>
      <c r="Y1997" s="4"/>
      <c r="Z1997" s="4"/>
    </row>
    <row r="1998" ht="15.75" customHeight="1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 t="str">
        <f>IFERROR(__xludf.DUMMYFUNCTION("""COMPUTED_VALUE"""),"leak detection how much does")</f>
        <v>leak detection how much does</v>
      </c>
      <c r="U1998" s="4"/>
      <c r="V1998" s="4"/>
      <c r="W1998" s="4"/>
      <c r="X1998" s="4"/>
      <c r="Y1998" s="4"/>
      <c r="Z1998" s="4"/>
    </row>
    <row r="1999" ht="15.75" customHeight="1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 t="str">
        <f>IFERROR(__xludf.DUMMYFUNCTION("""COMPUTED_VALUE"""),"leak detection how to choose")</f>
        <v>leak detection how to choose</v>
      </c>
      <c r="U1999" s="4"/>
      <c r="V1999" s="4"/>
      <c r="W1999" s="4"/>
      <c r="X1999" s="4"/>
      <c r="Y1999" s="4"/>
      <c r="Z1999" s="4"/>
    </row>
    <row r="2000" ht="15.75" customHeight="1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 t="str">
        <f>IFERROR(__xludf.DUMMYFUNCTION("""COMPUTED_VALUE"""),"leak detection how to prevent")</f>
        <v>leak detection how to prevent</v>
      </c>
      <c r="U2000" s="4"/>
      <c r="V2000" s="4"/>
      <c r="W2000" s="4"/>
      <c r="X2000" s="4"/>
      <c r="Y2000" s="4"/>
      <c r="Z2000" s="4"/>
    </row>
    <row r="2001" ht="15.75" customHeight="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 t="str">
        <f>IFERROR(__xludf.DUMMYFUNCTION("""COMPUTED_VALUE"""),"leak detection installation")</f>
        <v>leak detection installation</v>
      </c>
      <c r="U2001" s="4"/>
      <c r="V2001" s="4"/>
      <c r="W2001" s="4"/>
      <c r="X2001" s="4"/>
      <c r="Y2001" s="4"/>
      <c r="Z2001" s="4"/>
    </row>
    <row r="2002" ht="15.75" customHeight="1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 t="str">
        <f>IFERROR(__xludf.DUMMYFUNCTION("""COMPUTED_VALUE"""),"leak detection is it safe to")</f>
        <v>leak detection is it safe to</v>
      </c>
      <c r="U2002" s="4"/>
      <c r="V2002" s="4"/>
      <c r="W2002" s="4"/>
      <c r="X2002" s="4"/>
      <c r="Y2002" s="4"/>
      <c r="Z2002" s="4"/>
    </row>
    <row r="2003" ht="15.75" customHeight="1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 t="str">
        <f>IFERROR(__xludf.DUMMYFUNCTION("""COMPUTED_VALUE"""),"leak detection landlord")</f>
        <v>leak detection landlord</v>
      </c>
      <c r="U2003" s="4"/>
      <c r="V2003" s="4"/>
      <c r="W2003" s="4"/>
      <c r="X2003" s="4"/>
      <c r="Y2003" s="4"/>
      <c r="Z2003" s="4"/>
    </row>
    <row r="2004" ht="15.75" customHeight="1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 t="str">
        <f>IFERROR(__xludf.DUMMYFUNCTION("""COMPUTED_VALUE"""),"leak detection near me")</f>
        <v>leak detection near me</v>
      </c>
      <c r="U2004" s="4"/>
      <c r="V2004" s="4"/>
      <c r="W2004" s="4"/>
      <c r="X2004" s="4"/>
      <c r="Y2004" s="4"/>
      <c r="Z2004" s="4"/>
    </row>
    <row r="2005" ht="15.75" customHeight="1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 t="str">
        <f>IFERROR(__xludf.DUMMYFUNCTION("""COMPUTED_VALUE"""),"leak detection near me for")</f>
        <v>leak detection near me for</v>
      </c>
      <c r="U2005" s="4"/>
      <c r="V2005" s="4"/>
      <c r="W2005" s="4"/>
      <c r="X2005" s="4"/>
      <c r="Y2005" s="4"/>
      <c r="Z2005" s="4"/>
    </row>
    <row r="2006" ht="15.75" customHeight="1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 t="str">
        <f>IFERROR(__xludf.DUMMYFUNCTION("""COMPUTED_VALUE"""),"leak detection office")</f>
        <v>leak detection office</v>
      </c>
      <c r="U2006" s="4"/>
      <c r="V2006" s="4"/>
      <c r="W2006" s="4"/>
      <c r="X2006" s="4"/>
      <c r="Y2006" s="4"/>
      <c r="Z2006" s="4"/>
    </row>
    <row r="2007" ht="15.75" customHeight="1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 t="str">
        <f>IFERROR(__xludf.DUMMYFUNCTION("""COMPUTED_VALUE"""),"leak detection plumber")</f>
        <v>leak detection plumber</v>
      </c>
      <c r="U2007" s="4"/>
      <c r="V2007" s="4"/>
      <c r="W2007" s="4"/>
      <c r="X2007" s="4"/>
      <c r="Y2007" s="4"/>
      <c r="Z2007" s="4"/>
    </row>
    <row r="2008" ht="15.75" customHeight="1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 t="str">
        <f>IFERROR(__xludf.DUMMYFUNCTION("""COMPUTED_VALUE"""),"leak detection plumber Atlantic Seaboard")</f>
        <v>leak detection plumber Atlantic Seaboard</v>
      </c>
      <c r="U2008" s="4"/>
      <c r="V2008" s="4"/>
      <c r="W2008" s="4"/>
      <c r="X2008" s="4"/>
      <c r="Y2008" s="4"/>
      <c r="Z2008" s="4"/>
    </row>
    <row r="2009" ht="15.75" customHeight="1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 t="str">
        <f>IFERROR(__xludf.DUMMYFUNCTION("""COMPUTED_VALUE"""),"leak detection plumber Bellville")</f>
        <v>leak detection plumber Bellville</v>
      </c>
      <c r="U2009" s="4"/>
      <c r="V2009" s="4"/>
      <c r="W2009" s="4"/>
      <c r="X2009" s="4"/>
      <c r="Y2009" s="4"/>
      <c r="Z2009" s="4"/>
    </row>
    <row r="2010" ht="15.75" customHeight="1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 t="str">
        <f>IFERROR(__xludf.DUMMYFUNCTION("""COMPUTED_VALUE"""),"leak detection plumber Camps Bay")</f>
        <v>leak detection plumber Camps Bay</v>
      </c>
      <c r="U2010" s="4"/>
      <c r="V2010" s="4"/>
      <c r="W2010" s="4"/>
      <c r="X2010" s="4"/>
      <c r="Y2010" s="4"/>
      <c r="Z2010" s="4"/>
    </row>
    <row r="2011" ht="15.75" customHeight="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 t="str">
        <f>IFERROR(__xludf.DUMMYFUNCTION("""COMPUTED_VALUE"""),"leak detection plumber Cape Town")</f>
        <v>leak detection plumber Cape Town</v>
      </c>
      <c r="U2011" s="4"/>
      <c r="V2011" s="4"/>
      <c r="W2011" s="4"/>
      <c r="X2011" s="4"/>
      <c r="Y2011" s="4"/>
      <c r="Z2011" s="4"/>
    </row>
    <row r="2012" ht="15.75" customHeight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 t="str">
        <f>IFERROR(__xludf.DUMMYFUNCTION("""COMPUTED_VALUE"""),"leak detection plumber Cape Town CBD")</f>
        <v>leak detection plumber Cape Town CBD</v>
      </c>
      <c r="U2012" s="4"/>
      <c r="V2012" s="4"/>
      <c r="W2012" s="4"/>
      <c r="X2012" s="4"/>
      <c r="Y2012" s="4"/>
      <c r="Z2012" s="4"/>
    </row>
    <row r="2013" ht="15.75" customHeight="1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 t="str">
        <f>IFERROR(__xludf.DUMMYFUNCTION("""COMPUTED_VALUE"""),"leak detection plumber Claremont")</f>
        <v>leak detection plumber Claremont</v>
      </c>
      <c r="U2013" s="4"/>
      <c r="V2013" s="4"/>
      <c r="W2013" s="4"/>
      <c r="X2013" s="4"/>
      <c r="Y2013" s="4"/>
      <c r="Z2013" s="4"/>
    </row>
    <row r="2014" ht="15.75" customHeight="1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 t="str">
        <f>IFERROR(__xludf.DUMMYFUNCTION("""COMPUTED_VALUE"""),"leak detection plumber Constantia")</f>
        <v>leak detection plumber Constantia</v>
      </c>
      <c r="U2014" s="4"/>
      <c r="V2014" s="4"/>
      <c r="W2014" s="4"/>
      <c r="X2014" s="4"/>
      <c r="Y2014" s="4"/>
      <c r="Z2014" s="4"/>
    </row>
    <row r="2015" ht="15.75" customHeight="1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 t="str">
        <f>IFERROR(__xludf.DUMMYFUNCTION("""COMPUTED_VALUE"""),"leak detection plumber Durbanville")</f>
        <v>leak detection plumber Durbanville</v>
      </c>
      <c r="U2015" s="4"/>
      <c r="V2015" s="4"/>
      <c r="W2015" s="4"/>
      <c r="X2015" s="4"/>
      <c r="Y2015" s="4"/>
      <c r="Z2015" s="4"/>
    </row>
    <row r="2016" ht="15.75" customHeight="1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 t="str">
        <f>IFERROR(__xludf.DUMMYFUNCTION("""COMPUTED_VALUE"""),"leak detection plumber Fish Hoek")</f>
        <v>leak detection plumber Fish Hoek</v>
      </c>
      <c r="U2016" s="4"/>
      <c r="V2016" s="4"/>
      <c r="W2016" s="4"/>
      <c r="X2016" s="4"/>
      <c r="Y2016" s="4"/>
      <c r="Z2016" s="4"/>
    </row>
    <row r="2017" ht="15.75" customHeight="1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 t="str">
        <f>IFERROR(__xludf.DUMMYFUNCTION("""COMPUTED_VALUE"""),"leak detection plumber Green Point")</f>
        <v>leak detection plumber Green Point</v>
      </c>
      <c r="U2017" s="4"/>
      <c r="V2017" s="4"/>
      <c r="W2017" s="4"/>
      <c r="X2017" s="4"/>
      <c r="Y2017" s="4"/>
      <c r="Z2017" s="4"/>
    </row>
    <row r="2018" ht="15.75" customHeight="1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 t="str">
        <f>IFERROR(__xludf.DUMMYFUNCTION("""COMPUTED_VALUE"""),"leak detection plumber Hout Bay")</f>
        <v>leak detection plumber Hout Bay</v>
      </c>
      <c r="U2018" s="4"/>
      <c r="V2018" s="4"/>
      <c r="W2018" s="4"/>
      <c r="X2018" s="4"/>
      <c r="Y2018" s="4"/>
      <c r="Z2018" s="4"/>
    </row>
    <row r="2019" ht="15.75" customHeight="1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 t="str">
        <f>IFERROR(__xludf.DUMMYFUNCTION("""COMPUTED_VALUE"""),"leak detection plumber Maitland")</f>
        <v>leak detection plumber Maitland</v>
      </c>
      <c r="U2019" s="4"/>
      <c r="V2019" s="4"/>
      <c r="W2019" s="4"/>
      <c r="X2019" s="4"/>
      <c r="Y2019" s="4"/>
      <c r="Z2019" s="4"/>
    </row>
    <row r="2020" ht="15.75" customHeight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 t="str">
        <f>IFERROR(__xludf.DUMMYFUNCTION("""COMPUTED_VALUE"""),"leak detection plumber Milnerton")</f>
        <v>leak detection plumber Milnerton</v>
      </c>
      <c r="U2020" s="4"/>
      <c r="V2020" s="4"/>
      <c r="W2020" s="4"/>
      <c r="X2020" s="4"/>
      <c r="Y2020" s="4"/>
      <c r="Z2020" s="4"/>
    </row>
    <row r="2021" ht="15.75" customHeight="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 t="str">
        <f>IFERROR(__xludf.DUMMYFUNCTION("""COMPUTED_VALUE"""),"leak detection plumber Muizenberg")</f>
        <v>leak detection plumber Muizenberg</v>
      </c>
      <c r="U2021" s="4"/>
      <c r="V2021" s="4"/>
      <c r="W2021" s="4"/>
      <c r="X2021" s="4"/>
      <c r="Y2021" s="4"/>
      <c r="Z2021" s="4"/>
    </row>
    <row r="2022" ht="15.75" customHeight="1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 t="str">
        <f>IFERROR(__xludf.DUMMYFUNCTION("""COMPUTED_VALUE"""),"leak detection plumber Newlands")</f>
        <v>leak detection plumber Newlands</v>
      </c>
      <c r="U2022" s="4"/>
      <c r="V2022" s="4"/>
      <c r="W2022" s="4"/>
      <c r="X2022" s="4"/>
      <c r="Y2022" s="4"/>
      <c r="Z2022" s="4"/>
    </row>
    <row r="2023" ht="15.75" customHeight="1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 t="str">
        <f>IFERROR(__xludf.DUMMYFUNCTION("""COMPUTED_VALUE"""),"leak detection plumber Northern Suburbs")</f>
        <v>leak detection plumber Northern Suburbs</v>
      </c>
      <c r="U2023" s="4"/>
      <c r="V2023" s="4"/>
      <c r="W2023" s="4"/>
      <c r="X2023" s="4"/>
      <c r="Y2023" s="4"/>
      <c r="Z2023" s="4"/>
    </row>
    <row r="2024" ht="15.75" customHeight="1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 t="str">
        <f>IFERROR(__xludf.DUMMYFUNCTION("""COMPUTED_VALUE"""),"leak detection plumber Observatory")</f>
        <v>leak detection plumber Observatory</v>
      </c>
      <c r="U2024" s="4"/>
      <c r="V2024" s="4"/>
      <c r="W2024" s="4"/>
      <c r="X2024" s="4"/>
      <c r="Y2024" s="4"/>
      <c r="Z2024" s="4"/>
    </row>
    <row r="2025" ht="15.75" customHeight="1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 t="str">
        <f>IFERROR(__xludf.DUMMYFUNCTION("""COMPUTED_VALUE"""),"leak detection plumber Plumstead")</f>
        <v>leak detection plumber Plumstead</v>
      </c>
      <c r="U2025" s="4"/>
      <c r="V2025" s="4"/>
      <c r="W2025" s="4"/>
      <c r="X2025" s="4"/>
      <c r="Y2025" s="4"/>
      <c r="Z2025" s="4"/>
    </row>
    <row r="2026" ht="15.75" customHeight="1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 t="str">
        <f>IFERROR(__xludf.DUMMYFUNCTION("""COMPUTED_VALUE"""),"leak detection plumber Rondebosch")</f>
        <v>leak detection plumber Rondebosch</v>
      </c>
      <c r="U2026" s="4"/>
      <c r="V2026" s="4"/>
      <c r="W2026" s="4"/>
      <c r="X2026" s="4"/>
      <c r="Y2026" s="4"/>
      <c r="Z2026" s="4"/>
    </row>
    <row r="2027" ht="15.75" customHeight="1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 t="str">
        <f>IFERROR(__xludf.DUMMYFUNCTION("""COMPUTED_VALUE"""),"leak detection plumber Sea Point")</f>
        <v>leak detection plumber Sea Point</v>
      </c>
      <c r="U2027" s="4"/>
      <c r="V2027" s="4"/>
      <c r="W2027" s="4"/>
      <c r="X2027" s="4"/>
      <c r="Y2027" s="4"/>
      <c r="Z2027" s="4"/>
    </row>
    <row r="2028" ht="15.75" customHeight="1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 t="str">
        <f>IFERROR(__xludf.DUMMYFUNCTION("""COMPUTED_VALUE"""),"leak detection plumber South Africa")</f>
        <v>leak detection plumber South Africa</v>
      </c>
      <c r="U2028" s="4"/>
      <c r="V2028" s="4"/>
      <c r="W2028" s="4"/>
      <c r="X2028" s="4"/>
      <c r="Y2028" s="4"/>
      <c r="Z2028" s="4"/>
    </row>
    <row r="2029" ht="15.75" customHeight="1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 t="str">
        <f>IFERROR(__xludf.DUMMYFUNCTION("""COMPUTED_VALUE"""),"leak detection plumber Southern Suburbs")</f>
        <v>leak detection plumber Southern Suburbs</v>
      </c>
      <c r="U2029" s="4"/>
      <c r="V2029" s="4"/>
      <c r="W2029" s="4"/>
      <c r="X2029" s="4"/>
      <c r="Y2029" s="4"/>
      <c r="Z2029" s="4"/>
    </row>
    <row r="2030" ht="15.75" customHeight="1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 t="str">
        <f>IFERROR(__xludf.DUMMYFUNCTION("""COMPUTED_VALUE"""),"leak detection plumber Table View")</f>
        <v>leak detection plumber Table View</v>
      </c>
      <c r="U2030" s="4"/>
      <c r="V2030" s="4"/>
      <c r="W2030" s="4"/>
      <c r="X2030" s="4"/>
      <c r="Y2030" s="4"/>
      <c r="Z2030" s="4"/>
    </row>
    <row r="2031" ht="15.75" customHeight="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 t="str">
        <f>IFERROR(__xludf.DUMMYFUNCTION("""COMPUTED_VALUE"""),"leak detection plumber Tokai")</f>
        <v>leak detection plumber Tokai</v>
      </c>
      <c r="U2031" s="4"/>
      <c r="V2031" s="4"/>
      <c r="W2031" s="4"/>
      <c r="X2031" s="4"/>
      <c r="Y2031" s="4"/>
      <c r="Z2031" s="4"/>
    </row>
    <row r="2032" ht="15.75" customHeight="1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 t="str">
        <f>IFERROR(__xludf.DUMMYFUNCTION("""COMPUTED_VALUE"""),"leak detection plumber Woodstock")</f>
        <v>leak detection plumber Woodstock</v>
      </c>
      <c r="U2032" s="4"/>
      <c r="V2032" s="4"/>
      <c r="W2032" s="4"/>
      <c r="X2032" s="4"/>
      <c r="Y2032" s="4"/>
      <c r="Z2032" s="4"/>
    </row>
    <row r="2033" ht="15.75" customHeight="1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 t="str">
        <f>IFERROR(__xludf.DUMMYFUNCTION("""COMPUTED_VALUE"""),"leak detection plumber Wynberg")</f>
        <v>leak detection plumber Wynberg</v>
      </c>
      <c r="U2033" s="4"/>
      <c r="V2033" s="4"/>
      <c r="W2033" s="4"/>
      <c r="X2033" s="4"/>
      <c r="Y2033" s="4"/>
      <c r="Z2033" s="4"/>
    </row>
    <row r="2034" ht="15.75" customHeight="1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 t="str">
        <f>IFERROR(__xludf.DUMMYFUNCTION("""COMPUTED_VALUE"""),"leak detection plumbing company")</f>
        <v>leak detection plumbing company</v>
      </c>
      <c r="U2034" s="4"/>
      <c r="V2034" s="4"/>
      <c r="W2034" s="4"/>
      <c r="X2034" s="4"/>
      <c r="Y2034" s="4"/>
      <c r="Z2034" s="4"/>
    </row>
    <row r="2035" ht="15.75" customHeight="1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 t="str">
        <f>IFERROR(__xludf.DUMMYFUNCTION("""COMPUTED_VALUE"""),"leak detection property manager")</f>
        <v>leak detection property manager</v>
      </c>
      <c r="U2035" s="4"/>
      <c r="V2035" s="4"/>
      <c r="W2035" s="4"/>
      <c r="X2035" s="4"/>
      <c r="Y2035" s="4"/>
      <c r="Z2035" s="4"/>
    </row>
    <row r="2036" ht="15.75" customHeight="1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 t="str">
        <f>IFERROR(__xludf.DUMMYFUNCTION("""COMPUTED_VALUE"""),"leak detection quote")</f>
        <v>leak detection quote</v>
      </c>
      <c r="U2036" s="4"/>
      <c r="V2036" s="4"/>
      <c r="W2036" s="4"/>
      <c r="X2036" s="4"/>
      <c r="Y2036" s="4"/>
      <c r="Z2036" s="4"/>
    </row>
    <row r="2037" ht="15.75" customHeight="1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 t="str">
        <f>IFERROR(__xludf.DUMMYFUNCTION("""COMPUTED_VALUE"""),"leak detection reliable")</f>
        <v>leak detection reliable</v>
      </c>
      <c r="U2037" s="4"/>
      <c r="V2037" s="4"/>
      <c r="W2037" s="4"/>
      <c r="X2037" s="4"/>
      <c r="Y2037" s="4"/>
      <c r="Z2037" s="4"/>
    </row>
    <row r="2038" ht="15.75" customHeight="1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 t="str">
        <f>IFERROR(__xludf.DUMMYFUNCTION("""COMPUTED_VALUE"""),"leak detection repair")</f>
        <v>leak detection repair</v>
      </c>
      <c r="U2038" s="4"/>
      <c r="V2038" s="4"/>
      <c r="W2038" s="4"/>
      <c r="X2038" s="4"/>
      <c r="Y2038" s="4"/>
      <c r="Z2038" s="4"/>
    </row>
    <row r="2039" ht="15.75" customHeight="1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 t="str">
        <f>IFERROR(__xludf.DUMMYFUNCTION("""COMPUTED_VALUE"""),"leak detection replacement")</f>
        <v>leak detection replacement</v>
      </c>
      <c r="U2039" s="4"/>
      <c r="V2039" s="4"/>
      <c r="W2039" s="4"/>
      <c r="X2039" s="4"/>
      <c r="Y2039" s="4"/>
      <c r="Z2039" s="4"/>
    </row>
    <row r="2040" ht="15.75" customHeight="1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 t="str">
        <f>IFERROR(__xludf.DUMMYFUNCTION("""COMPUTED_VALUE"""),"leak detection residential")</f>
        <v>leak detection residential</v>
      </c>
      <c r="U2040" s="4"/>
      <c r="V2040" s="4"/>
      <c r="W2040" s="4"/>
      <c r="X2040" s="4"/>
      <c r="Y2040" s="4"/>
      <c r="Z2040" s="4"/>
    </row>
    <row r="2041" ht="15.75" customHeight="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 t="str">
        <f>IFERROR(__xludf.DUMMYFUNCTION("""COMPUTED_VALUE"""),"leak detection residential property")</f>
        <v>leak detection residential property</v>
      </c>
      <c r="U2041" s="4"/>
      <c r="V2041" s="4"/>
      <c r="W2041" s="4"/>
      <c r="X2041" s="4"/>
      <c r="Y2041" s="4"/>
      <c r="Z2041" s="4"/>
    </row>
    <row r="2042" ht="15.75" customHeight="1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 t="str">
        <f>IFERROR(__xludf.DUMMYFUNCTION("""COMPUTED_VALUE"""),"leak detection restaurant")</f>
        <v>leak detection restaurant</v>
      </c>
      <c r="U2042" s="4"/>
      <c r="V2042" s="4"/>
      <c r="W2042" s="4"/>
      <c r="X2042" s="4"/>
      <c r="Y2042" s="4"/>
      <c r="Z2042" s="4"/>
    </row>
    <row r="2043" ht="15.75" customHeight="1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 t="str">
        <f>IFERROR(__xludf.DUMMYFUNCTION("""COMPUTED_VALUE"""),"leak detection same day")</f>
        <v>leak detection same day</v>
      </c>
      <c r="U2043" s="4"/>
      <c r="V2043" s="4"/>
      <c r="W2043" s="4"/>
      <c r="X2043" s="4"/>
      <c r="Y2043" s="4"/>
      <c r="Z2043" s="4"/>
    </row>
    <row r="2044" ht="15.75" customHeight="1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 t="str">
        <f>IFERROR(__xludf.DUMMYFUNCTION("""COMPUTED_VALUE"""),"leak detection same day help for")</f>
        <v>leak detection same day help for</v>
      </c>
      <c r="U2044" s="4"/>
      <c r="V2044" s="4"/>
      <c r="W2044" s="4"/>
      <c r="X2044" s="4"/>
      <c r="Y2044" s="4"/>
      <c r="Z2044" s="4"/>
    </row>
    <row r="2045" ht="15.75" customHeight="1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 t="str">
        <f>IFERROR(__xludf.DUMMYFUNCTION("""COMPUTED_VALUE"""),"leak detection school")</f>
        <v>leak detection school</v>
      </c>
      <c r="U2045" s="4"/>
      <c r="V2045" s="4"/>
      <c r="W2045" s="4"/>
      <c r="X2045" s="4"/>
      <c r="Y2045" s="4"/>
      <c r="Z2045" s="4"/>
    </row>
    <row r="2046" ht="15.75" customHeight="1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 t="str">
        <f>IFERROR(__xludf.DUMMYFUNCTION("""COMPUTED_VALUE"""),"leak detection service")</f>
        <v>leak detection service</v>
      </c>
      <c r="U2046" s="4"/>
      <c r="V2046" s="4"/>
      <c r="W2046" s="4"/>
      <c r="X2046" s="4"/>
      <c r="Y2046" s="4"/>
      <c r="Z2046" s="4"/>
    </row>
    <row r="2047" ht="15.75" customHeight="1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 t="str">
        <f>IFERROR(__xludf.DUMMYFUNCTION("""COMPUTED_VALUE"""),"leak detection shop")</f>
        <v>leak detection shop</v>
      </c>
      <c r="U2047" s="4"/>
      <c r="V2047" s="4"/>
      <c r="W2047" s="4"/>
      <c r="X2047" s="4"/>
      <c r="Y2047" s="4"/>
      <c r="Z2047" s="4"/>
    </row>
    <row r="2048" ht="15.75" customHeight="1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 t="str">
        <f>IFERROR(__xludf.DUMMYFUNCTION("""COMPUTED_VALUE"""),"leak detection signs you need")</f>
        <v>leak detection signs you need</v>
      </c>
      <c r="U2048" s="4"/>
      <c r="V2048" s="4"/>
      <c r="W2048" s="4"/>
      <c r="X2048" s="4"/>
      <c r="Y2048" s="4"/>
      <c r="Z2048" s="4"/>
    </row>
    <row r="2049" ht="15.75" customHeight="1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 t="str">
        <f>IFERROR(__xludf.DUMMYFUNCTION("""COMPUTED_VALUE"""),"leak detection specialist")</f>
        <v>leak detection specialist</v>
      </c>
      <c r="U2049" s="4"/>
      <c r="V2049" s="4"/>
      <c r="W2049" s="4"/>
      <c r="X2049" s="4"/>
      <c r="Y2049" s="4"/>
      <c r="Z2049" s="4"/>
    </row>
    <row r="2050" ht="15.75" customHeight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 t="str">
        <f>IFERROR(__xludf.DUMMYFUNCTION("""COMPUTED_VALUE"""),"leak detection tenant")</f>
        <v>leak detection tenant</v>
      </c>
      <c r="U2050" s="4"/>
      <c r="V2050" s="4"/>
      <c r="W2050" s="4"/>
      <c r="X2050" s="4"/>
      <c r="Y2050" s="4"/>
      <c r="Z2050" s="4"/>
    </row>
    <row r="2051" ht="15.75" customHeight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 t="str">
        <f>IFERROR(__xludf.DUMMYFUNCTION("""COMPUTED_VALUE"""),"leak detection townhouse")</f>
        <v>leak detection townhouse</v>
      </c>
      <c r="U2051" s="4"/>
      <c r="V2051" s="4"/>
      <c r="W2051" s="4"/>
      <c r="X2051" s="4"/>
      <c r="Y2051" s="4"/>
      <c r="Z2051" s="4"/>
    </row>
    <row r="2052" ht="15.75" customHeight="1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 t="str">
        <f>IFERROR(__xludf.DUMMYFUNCTION("""COMPUTED_VALUE"""),"leak detection what causes")</f>
        <v>leak detection what causes</v>
      </c>
      <c r="U2052" s="4"/>
      <c r="V2052" s="4"/>
      <c r="W2052" s="4"/>
      <c r="X2052" s="4"/>
      <c r="Y2052" s="4"/>
      <c r="Z2052" s="4"/>
    </row>
    <row r="2053" ht="15.75" customHeight="1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 t="str">
        <f>IFERROR(__xludf.DUMMYFUNCTION("""COMPUTED_VALUE"""),"leak detection what is")</f>
        <v>leak detection what is</v>
      </c>
      <c r="U2053" s="4"/>
      <c r="V2053" s="4"/>
      <c r="W2053" s="4"/>
      <c r="X2053" s="4"/>
      <c r="Y2053" s="4"/>
      <c r="Z2053" s="4"/>
    </row>
    <row r="2054" ht="15.75" customHeight="1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 t="str">
        <f>IFERROR(__xludf.DUMMYFUNCTION("""COMPUTED_VALUE"""),"leak detection when to call a")</f>
        <v>leak detection when to call a</v>
      </c>
      <c r="U2054" s="4"/>
      <c r="V2054" s="4"/>
      <c r="W2054" s="4"/>
      <c r="X2054" s="4"/>
      <c r="Y2054" s="4"/>
      <c r="Z2054" s="4"/>
    </row>
    <row r="2055" ht="15.75" customHeight="1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 t="str">
        <f>IFERROR(__xludf.DUMMYFUNCTION("""COMPUTED_VALUE"""),"leak detection who fixes")</f>
        <v>leak detection who fixes</v>
      </c>
      <c r="U2055" s="4"/>
      <c r="V2055" s="4"/>
      <c r="W2055" s="4"/>
      <c r="X2055" s="4"/>
      <c r="Y2055" s="4"/>
      <c r="Z2055" s="4"/>
    </row>
    <row r="2056" ht="15.75" customHeight="1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 t="str">
        <f>IFERROR(__xludf.DUMMYFUNCTION("""COMPUTED_VALUE"""),"leak detection why is my")</f>
        <v>leak detection why is my</v>
      </c>
      <c r="U2056" s="4"/>
      <c r="V2056" s="4"/>
      <c r="W2056" s="4"/>
      <c r="X2056" s="4"/>
      <c r="Y2056" s="4"/>
      <c r="Z2056" s="4"/>
    </row>
    <row r="2057" ht="15.75" customHeight="1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 t="str">
        <f>IFERROR(__xludf.DUMMYFUNCTION("""COMPUTED_VALUE"""),"leaking pipe repair")</f>
        <v>leaking pipe repair</v>
      </c>
      <c r="U2057" s="4"/>
      <c r="V2057" s="4"/>
      <c r="W2057" s="4"/>
      <c r="X2057" s="4"/>
      <c r="Y2057" s="4"/>
      <c r="Z2057" s="4"/>
    </row>
    <row r="2058" ht="15.75" customHeight="1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 t="str">
        <f>IFERROR(__xludf.DUMMYFUNCTION("""COMPUTED_VALUE"""),"leaking pipe repair after hours")</f>
        <v>leaking pipe repair after hours</v>
      </c>
      <c r="U2058" s="4"/>
      <c r="V2058" s="4"/>
      <c r="W2058" s="4"/>
      <c r="X2058" s="4"/>
      <c r="Y2058" s="4"/>
      <c r="Z2058" s="4"/>
    </row>
    <row r="2059" ht="15.75" customHeight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 t="str">
        <f>IFERROR(__xludf.DUMMYFUNCTION("""COMPUTED_VALUE"""),"leaking pipe repair call out")</f>
        <v>leaking pipe repair call out</v>
      </c>
      <c r="U2059" s="4"/>
      <c r="V2059" s="4"/>
      <c r="W2059" s="4"/>
      <c r="X2059" s="4"/>
      <c r="Y2059" s="4"/>
      <c r="Z2059" s="4"/>
    </row>
    <row r="2060" ht="15.75" customHeight="1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 t="str">
        <f>IFERROR(__xludf.DUMMYFUNCTION("""COMPUTED_VALUE"""),"leaking pipe repair cape town")</f>
        <v>leaking pipe repair cape town</v>
      </c>
      <c r="U2060" s="4"/>
      <c r="V2060" s="4"/>
      <c r="W2060" s="4"/>
      <c r="X2060" s="4"/>
      <c r="Y2060" s="4"/>
      <c r="Z2060" s="4"/>
    </row>
    <row r="2061" ht="15.75" customHeight="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 t="str">
        <f>IFERROR(__xludf.DUMMYFUNCTION("""COMPUTED_VALUE"""),"leaking pipe repair commercial")</f>
        <v>leaking pipe repair commercial</v>
      </c>
      <c r="U2061" s="4"/>
      <c r="V2061" s="4"/>
      <c r="W2061" s="4"/>
      <c r="X2061" s="4"/>
      <c r="Y2061" s="4"/>
      <c r="Z2061" s="4"/>
    </row>
    <row r="2062" ht="15.75" customHeight="1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 t="str">
        <f>IFERROR(__xludf.DUMMYFUNCTION("""COMPUTED_VALUE"""),"leaking pipe repair company")</f>
        <v>leaking pipe repair company</v>
      </c>
      <c r="U2062" s="4"/>
      <c r="V2062" s="4"/>
      <c r="W2062" s="4"/>
      <c r="X2062" s="4"/>
      <c r="Y2062" s="4"/>
      <c r="Z2062" s="4"/>
    </row>
    <row r="2063" ht="15.75" customHeight="1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 t="str">
        <f>IFERROR(__xludf.DUMMYFUNCTION("""COMPUTED_VALUE"""),"leaking pipe repair cost")</f>
        <v>leaking pipe repair cost</v>
      </c>
      <c r="U2063" s="4"/>
      <c r="V2063" s="4"/>
      <c r="W2063" s="4"/>
      <c r="X2063" s="4"/>
      <c r="Y2063" s="4"/>
      <c r="Z2063" s="4"/>
    </row>
    <row r="2064" ht="15.75" customHeight="1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 t="str">
        <f>IFERROR(__xludf.DUMMYFUNCTION("""COMPUTED_VALUE"""),"leaking pipe repair emergency")</f>
        <v>leaking pipe repair emergency</v>
      </c>
      <c r="U2064" s="4"/>
      <c r="V2064" s="4"/>
      <c r="W2064" s="4"/>
      <c r="X2064" s="4"/>
      <c r="Y2064" s="4"/>
      <c r="Z2064" s="4"/>
    </row>
    <row r="2065" ht="15.75" customHeight="1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 t="str">
        <f>IFERROR(__xludf.DUMMYFUNCTION("""COMPUTED_VALUE"""),"leaking pipe repair fast")</f>
        <v>leaking pipe repair fast</v>
      </c>
      <c r="U2065" s="4"/>
      <c r="V2065" s="4"/>
      <c r="W2065" s="4"/>
      <c r="X2065" s="4"/>
      <c r="Y2065" s="4"/>
      <c r="Z2065" s="4"/>
    </row>
    <row r="2066" ht="15.75" customHeight="1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 t="str">
        <f>IFERROR(__xludf.DUMMYFUNCTION("""COMPUTED_VALUE"""),"leaking pipe repair local")</f>
        <v>leaking pipe repair local</v>
      </c>
      <c r="U2066" s="4"/>
      <c r="V2066" s="4"/>
      <c r="W2066" s="4"/>
      <c r="X2066" s="4"/>
      <c r="Y2066" s="4"/>
      <c r="Z2066" s="4"/>
    </row>
    <row r="2067" ht="15.75" customHeight="1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 t="str">
        <f>IFERROR(__xludf.DUMMYFUNCTION("""COMPUTED_VALUE"""),"leaking pipe repair near me")</f>
        <v>leaking pipe repair near me</v>
      </c>
      <c r="U2067" s="4"/>
      <c r="V2067" s="4"/>
      <c r="W2067" s="4"/>
      <c r="X2067" s="4"/>
      <c r="Y2067" s="4"/>
      <c r="Z2067" s="4"/>
    </row>
    <row r="2068" ht="15.75" customHeight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 t="str">
        <f>IFERROR(__xludf.DUMMYFUNCTION("""COMPUTED_VALUE"""),"leaking pipe repair plumber")</f>
        <v>leaking pipe repair plumber</v>
      </c>
      <c r="U2068" s="4"/>
      <c r="V2068" s="4"/>
      <c r="W2068" s="4"/>
      <c r="X2068" s="4"/>
      <c r="Y2068" s="4"/>
      <c r="Z2068" s="4"/>
    </row>
    <row r="2069" ht="15.75" customHeight="1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 t="str">
        <f>IFERROR(__xludf.DUMMYFUNCTION("""COMPUTED_VALUE"""),"leaking pipe repair professional")</f>
        <v>leaking pipe repair professional</v>
      </c>
      <c r="U2069" s="4"/>
      <c r="V2069" s="4"/>
      <c r="W2069" s="4"/>
      <c r="X2069" s="4"/>
      <c r="Y2069" s="4"/>
      <c r="Z2069" s="4"/>
    </row>
    <row r="2070" ht="15.75" customHeight="1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 t="str">
        <f>IFERROR(__xludf.DUMMYFUNCTION("""COMPUTED_VALUE"""),"leaking pipe repair quote")</f>
        <v>leaking pipe repair quote</v>
      </c>
      <c r="U2070" s="4"/>
      <c r="V2070" s="4"/>
      <c r="W2070" s="4"/>
      <c r="X2070" s="4"/>
      <c r="Y2070" s="4"/>
      <c r="Z2070" s="4"/>
    </row>
    <row r="2071" ht="15.75" customHeight="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 t="str">
        <f>IFERROR(__xludf.DUMMYFUNCTION("""COMPUTED_VALUE"""),"leaking pipe repair reliable")</f>
        <v>leaking pipe repair reliable</v>
      </c>
      <c r="U2071" s="4"/>
      <c r="V2071" s="4"/>
      <c r="W2071" s="4"/>
      <c r="X2071" s="4"/>
      <c r="Y2071" s="4"/>
      <c r="Z2071" s="4"/>
    </row>
    <row r="2072" ht="15.75" customHeight="1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 t="str">
        <f>IFERROR(__xludf.DUMMYFUNCTION("""COMPUTED_VALUE"""),"leaking pipe repair residential")</f>
        <v>leaking pipe repair residential</v>
      </c>
      <c r="U2072" s="4"/>
      <c r="V2072" s="4"/>
      <c r="W2072" s="4"/>
      <c r="X2072" s="4"/>
      <c r="Y2072" s="4"/>
      <c r="Z2072" s="4"/>
    </row>
    <row r="2073" ht="15.75" customHeight="1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 t="str">
        <f>IFERROR(__xludf.DUMMYFUNCTION("""COMPUTED_VALUE"""),"leaking pipe repair same day")</f>
        <v>leaking pipe repair same day</v>
      </c>
      <c r="U2073" s="4"/>
      <c r="V2073" s="4"/>
      <c r="W2073" s="4"/>
      <c r="X2073" s="4"/>
      <c r="Y2073" s="4"/>
      <c r="Z2073" s="4"/>
    </row>
    <row r="2074" ht="15.75" customHeight="1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 t="str">
        <f>IFERROR(__xludf.DUMMYFUNCTION("""COMPUTED_VALUE"""),"leaking pipe repair service")</f>
        <v>leaking pipe repair service</v>
      </c>
      <c r="U2074" s="4"/>
      <c r="V2074" s="4"/>
      <c r="W2074" s="4"/>
      <c r="X2074" s="4"/>
      <c r="Y2074" s="4"/>
      <c r="Z2074" s="4"/>
    </row>
    <row r="2075" ht="15.75" customHeight="1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 t="str">
        <f>IFERROR(__xludf.DUMMYFUNCTION("""COMPUTED_VALUE"""),"leaking pipe repair urgent")</f>
        <v>leaking pipe repair urgent</v>
      </c>
      <c r="U2075" s="4"/>
      <c r="V2075" s="4"/>
      <c r="W2075" s="4"/>
      <c r="X2075" s="4"/>
      <c r="Y2075" s="4"/>
      <c r="Z2075" s="4"/>
    </row>
    <row r="2076" ht="15.75" customHeight="1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 t="str">
        <f>IFERROR(__xludf.DUMMYFUNCTION("""COMPUTED_VALUE"""),"leaking pipe repair weekend")</f>
        <v>leaking pipe repair weekend</v>
      </c>
      <c r="U2076" s="4"/>
      <c r="V2076" s="4"/>
      <c r="W2076" s="4"/>
      <c r="X2076" s="4"/>
      <c r="Y2076" s="4"/>
      <c r="Z2076" s="4"/>
    </row>
    <row r="2077" ht="15.75" customHeight="1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 t="str">
        <f>IFERROR(__xludf.DUMMYFUNCTION("""COMPUTED_VALUE"""),"leaking tap repair")</f>
        <v>leaking tap repair</v>
      </c>
      <c r="U2077" s="4"/>
      <c r="V2077" s="4"/>
      <c r="W2077" s="4"/>
      <c r="X2077" s="4"/>
      <c r="Y2077" s="4"/>
      <c r="Z2077" s="4"/>
    </row>
    <row r="2078" ht="15.75" customHeight="1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 t="str">
        <f>IFERROR(__xludf.DUMMYFUNCTION("""COMPUTED_VALUE"""),"leaking tap repair after hours")</f>
        <v>leaking tap repair after hours</v>
      </c>
      <c r="U2078" s="4"/>
      <c r="V2078" s="4"/>
      <c r="W2078" s="4"/>
      <c r="X2078" s="4"/>
      <c r="Y2078" s="4"/>
      <c r="Z2078" s="4"/>
    </row>
    <row r="2079" ht="15.75" customHeight="1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 t="str">
        <f>IFERROR(__xludf.DUMMYFUNCTION("""COMPUTED_VALUE"""),"leaking tap repair call out")</f>
        <v>leaking tap repair call out</v>
      </c>
      <c r="U2079" s="4"/>
      <c r="V2079" s="4"/>
      <c r="W2079" s="4"/>
      <c r="X2079" s="4"/>
      <c r="Y2079" s="4"/>
      <c r="Z2079" s="4"/>
    </row>
    <row r="2080" ht="15.75" customHeight="1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 t="str">
        <f>IFERROR(__xludf.DUMMYFUNCTION("""COMPUTED_VALUE"""),"leaking tap repair cape town")</f>
        <v>leaking tap repair cape town</v>
      </c>
      <c r="U2080" s="4"/>
      <c r="V2080" s="4"/>
      <c r="W2080" s="4"/>
      <c r="X2080" s="4"/>
      <c r="Y2080" s="4"/>
      <c r="Z2080" s="4"/>
    </row>
    <row r="2081" ht="15.75" customHeight="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 t="str">
        <f>IFERROR(__xludf.DUMMYFUNCTION("""COMPUTED_VALUE"""),"leaking tap repair commercial")</f>
        <v>leaking tap repair commercial</v>
      </c>
      <c r="U2081" s="4"/>
      <c r="V2081" s="4"/>
      <c r="W2081" s="4"/>
      <c r="X2081" s="4"/>
      <c r="Y2081" s="4"/>
      <c r="Z2081" s="4"/>
    </row>
    <row r="2082" ht="15.75" customHeight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 t="str">
        <f>IFERROR(__xludf.DUMMYFUNCTION("""COMPUTED_VALUE"""),"leaking tap repair company")</f>
        <v>leaking tap repair company</v>
      </c>
      <c r="U2082" s="4"/>
      <c r="V2082" s="4"/>
      <c r="W2082" s="4"/>
      <c r="X2082" s="4"/>
      <c r="Y2082" s="4"/>
      <c r="Z2082" s="4"/>
    </row>
    <row r="2083" ht="15.75" customHeight="1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 t="str">
        <f>IFERROR(__xludf.DUMMYFUNCTION("""COMPUTED_VALUE"""),"leaking tap repair cost")</f>
        <v>leaking tap repair cost</v>
      </c>
      <c r="U2083" s="4"/>
      <c r="V2083" s="4"/>
      <c r="W2083" s="4"/>
      <c r="X2083" s="4"/>
      <c r="Y2083" s="4"/>
      <c r="Z2083" s="4"/>
    </row>
    <row r="2084" ht="15.75" customHeight="1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 t="str">
        <f>IFERROR(__xludf.DUMMYFUNCTION("""COMPUTED_VALUE"""),"leaking tap repair emergency")</f>
        <v>leaking tap repair emergency</v>
      </c>
      <c r="U2084" s="4"/>
      <c r="V2084" s="4"/>
      <c r="W2084" s="4"/>
      <c r="X2084" s="4"/>
      <c r="Y2084" s="4"/>
      <c r="Z2084" s="4"/>
    </row>
    <row r="2085" ht="15.75" customHeight="1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 t="str">
        <f>IFERROR(__xludf.DUMMYFUNCTION("""COMPUTED_VALUE"""),"leaking tap repair fast")</f>
        <v>leaking tap repair fast</v>
      </c>
      <c r="U2085" s="4"/>
      <c r="V2085" s="4"/>
      <c r="W2085" s="4"/>
      <c r="X2085" s="4"/>
      <c r="Y2085" s="4"/>
      <c r="Z2085" s="4"/>
    </row>
    <row r="2086" ht="15.75" customHeight="1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 t="str">
        <f>IFERROR(__xludf.DUMMYFUNCTION("""COMPUTED_VALUE"""),"leaking tap repair local")</f>
        <v>leaking tap repair local</v>
      </c>
      <c r="U2086" s="4"/>
      <c r="V2086" s="4"/>
      <c r="W2086" s="4"/>
      <c r="X2086" s="4"/>
      <c r="Y2086" s="4"/>
      <c r="Z2086" s="4"/>
    </row>
    <row r="2087" ht="15.75" customHeight="1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 t="str">
        <f>IFERROR(__xludf.DUMMYFUNCTION("""COMPUTED_VALUE"""),"leaking tap repair near me")</f>
        <v>leaking tap repair near me</v>
      </c>
      <c r="U2087" s="4"/>
      <c r="V2087" s="4"/>
      <c r="W2087" s="4"/>
      <c r="X2087" s="4"/>
      <c r="Y2087" s="4"/>
      <c r="Z2087" s="4"/>
    </row>
    <row r="2088" ht="15.75" customHeight="1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 t="str">
        <f>IFERROR(__xludf.DUMMYFUNCTION("""COMPUTED_VALUE"""),"leaking tap repair plumber")</f>
        <v>leaking tap repair plumber</v>
      </c>
      <c r="U2088" s="4"/>
      <c r="V2088" s="4"/>
      <c r="W2088" s="4"/>
      <c r="X2088" s="4"/>
      <c r="Y2088" s="4"/>
      <c r="Z2088" s="4"/>
    </row>
    <row r="2089" ht="15.75" customHeight="1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 t="str">
        <f>IFERROR(__xludf.DUMMYFUNCTION("""COMPUTED_VALUE"""),"leaking tap repair professional")</f>
        <v>leaking tap repair professional</v>
      </c>
      <c r="U2089" s="4"/>
      <c r="V2089" s="4"/>
      <c r="W2089" s="4"/>
      <c r="X2089" s="4"/>
      <c r="Y2089" s="4"/>
      <c r="Z2089" s="4"/>
    </row>
    <row r="2090" ht="15.75" customHeight="1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 t="str">
        <f>IFERROR(__xludf.DUMMYFUNCTION("""COMPUTED_VALUE"""),"leaking tap repair quote")</f>
        <v>leaking tap repair quote</v>
      </c>
      <c r="U2090" s="4"/>
      <c r="V2090" s="4"/>
      <c r="W2090" s="4"/>
      <c r="X2090" s="4"/>
      <c r="Y2090" s="4"/>
      <c r="Z2090" s="4"/>
    </row>
    <row r="2091" ht="15.75" customHeight="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 t="str">
        <f>IFERROR(__xludf.DUMMYFUNCTION("""COMPUTED_VALUE"""),"leaking tap repair reliable")</f>
        <v>leaking tap repair reliable</v>
      </c>
      <c r="U2091" s="4"/>
      <c r="V2091" s="4"/>
      <c r="W2091" s="4"/>
      <c r="X2091" s="4"/>
      <c r="Y2091" s="4"/>
      <c r="Z2091" s="4"/>
    </row>
    <row r="2092" ht="15.75" customHeight="1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 t="str">
        <f>IFERROR(__xludf.DUMMYFUNCTION("""COMPUTED_VALUE"""),"leaking tap repair residential")</f>
        <v>leaking tap repair residential</v>
      </c>
      <c r="U2092" s="4"/>
      <c r="V2092" s="4"/>
      <c r="W2092" s="4"/>
      <c r="X2092" s="4"/>
      <c r="Y2092" s="4"/>
      <c r="Z2092" s="4"/>
    </row>
    <row r="2093" ht="15.75" customHeight="1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 t="str">
        <f>IFERROR(__xludf.DUMMYFUNCTION("""COMPUTED_VALUE"""),"leaking tap repair same day")</f>
        <v>leaking tap repair same day</v>
      </c>
      <c r="U2093" s="4"/>
      <c r="V2093" s="4"/>
      <c r="W2093" s="4"/>
      <c r="X2093" s="4"/>
      <c r="Y2093" s="4"/>
      <c r="Z2093" s="4"/>
    </row>
    <row r="2094" ht="15.75" customHeight="1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 t="str">
        <f>IFERROR(__xludf.DUMMYFUNCTION("""COMPUTED_VALUE"""),"leaking tap repair service")</f>
        <v>leaking tap repair service</v>
      </c>
      <c r="U2094" s="4"/>
      <c r="V2094" s="4"/>
      <c r="W2094" s="4"/>
      <c r="X2094" s="4"/>
      <c r="Y2094" s="4"/>
      <c r="Z2094" s="4"/>
    </row>
    <row r="2095" ht="15.75" customHeight="1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 t="str">
        <f>IFERROR(__xludf.DUMMYFUNCTION("""COMPUTED_VALUE"""),"leaking tap repair urgent")</f>
        <v>leaking tap repair urgent</v>
      </c>
      <c r="U2095" s="4"/>
      <c r="V2095" s="4"/>
      <c r="W2095" s="4"/>
      <c r="X2095" s="4"/>
      <c r="Y2095" s="4"/>
      <c r="Z2095" s="4"/>
    </row>
    <row r="2096" ht="15.75" customHeight="1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 t="str">
        <f>IFERROR(__xludf.DUMMYFUNCTION("""COMPUTED_VALUE"""),"leaking tap repair weekend")</f>
        <v>leaking tap repair weekend</v>
      </c>
      <c r="U2096" s="4"/>
      <c r="V2096" s="4"/>
      <c r="W2096" s="4"/>
      <c r="X2096" s="4"/>
      <c r="Y2096" s="4"/>
      <c r="Z2096" s="4"/>
    </row>
    <row r="2097" ht="15.75" customHeight="1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 t="str">
        <f>IFERROR(__xludf.DUMMYFUNCTION("""COMPUTED_VALUE"""),"licensed absolute plumbing cape town")</f>
        <v>licensed absolute plumbing cape town</v>
      </c>
      <c r="U2097" s="4"/>
      <c r="V2097" s="4"/>
      <c r="W2097" s="4"/>
      <c r="X2097" s="4"/>
      <c r="Y2097" s="4"/>
      <c r="Z2097" s="4"/>
    </row>
    <row r="2098" ht="15.75" customHeight="1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 t="str">
        <f>IFERROR(__xludf.DUMMYFUNCTION("""COMPUTED_VALUE"""),"licensed aircon repair cape town")</f>
        <v>licensed aircon repair cape town</v>
      </c>
      <c r="U2098" s="4"/>
      <c r="V2098" s="4"/>
      <c r="W2098" s="4"/>
      <c r="X2098" s="4"/>
      <c r="Y2098" s="4"/>
      <c r="Z2098" s="4"/>
    </row>
    <row r="2099" ht="15.75" customHeight="1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 t="str">
        <f>IFERROR(__xludf.DUMMYFUNCTION("""COMPUTED_VALUE"""),"licensed bosman plumbers")</f>
        <v>licensed bosman plumbers</v>
      </c>
      <c r="U2099" s="4"/>
      <c r="V2099" s="4"/>
      <c r="W2099" s="4"/>
      <c r="X2099" s="4"/>
      <c r="Y2099" s="4"/>
      <c r="Z2099" s="4"/>
    </row>
    <row r="2100" ht="15.75" customHeight="1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 t="str">
        <f>IFERROR(__xludf.DUMMYFUNCTION("""COMPUTED_VALUE"""),"licensed commercial electrician")</f>
        <v>licensed commercial electrician</v>
      </c>
      <c r="U2100" s="4"/>
      <c r="V2100" s="4"/>
      <c r="W2100" s="4"/>
      <c r="X2100" s="4"/>
      <c r="Y2100" s="4"/>
      <c r="Z2100" s="4"/>
    </row>
    <row r="2101" ht="15.75" customHeight="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 t="str">
        <f>IFERROR(__xludf.DUMMYFUNCTION("""COMPUTED_VALUE"""),"licensed commercial plumber")</f>
        <v>licensed commercial plumber</v>
      </c>
      <c r="U2101" s="4"/>
      <c r="V2101" s="4"/>
      <c r="W2101" s="4"/>
      <c r="X2101" s="4"/>
      <c r="Y2101" s="4"/>
      <c r="Z2101" s="4"/>
    </row>
    <row r="2102" ht="15.75" customHeight="1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 t="str">
        <f>IFERROR(__xludf.DUMMYFUNCTION("""COMPUTED_VALUE"""),"licensed drain surgeon cape town")</f>
        <v>licensed drain surgeon cape town</v>
      </c>
      <c r="U2102" s="4"/>
      <c r="V2102" s="4"/>
      <c r="W2102" s="4"/>
      <c r="X2102" s="4"/>
      <c r="Y2102" s="4"/>
      <c r="Z2102" s="4"/>
    </row>
    <row r="2103" ht="15.75" customHeight="1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 t="str">
        <f>IFERROR(__xludf.DUMMYFUNCTION("""COMPUTED_VALUE"""),"licensed electrical compliance certificate")</f>
        <v>licensed electrical compliance certificate</v>
      </c>
      <c r="U2103" s="4"/>
      <c r="V2103" s="4"/>
      <c r="W2103" s="4"/>
      <c r="X2103" s="4"/>
      <c r="Y2103" s="4"/>
      <c r="Z2103" s="4"/>
    </row>
    <row r="2104" ht="15.75" customHeight="1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 t="str">
        <f>IFERROR(__xludf.DUMMYFUNCTION("""COMPUTED_VALUE"""),"licensed electrical contractor")</f>
        <v>licensed electrical contractor</v>
      </c>
      <c r="U2104" s="4"/>
      <c r="V2104" s="4"/>
      <c r="W2104" s="4"/>
      <c r="X2104" s="4"/>
      <c r="Y2104" s="4"/>
      <c r="Z2104" s="4"/>
    </row>
    <row r="2105" ht="15.75" customHeight="1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 t="str">
        <f>IFERROR(__xludf.DUMMYFUNCTION("""COMPUTED_VALUE"""),"licensed electrical installation")</f>
        <v>licensed electrical installation</v>
      </c>
      <c r="U2105" s="4"/>
      <c r="V2105" s="4"/>
      <c r="W2105" s="4"/>
      <c r="X2105" s="4"/>
      <c r="Y2105" s="4"/>
      <c r="Z2105" s="4"/>
    </row>
    <row r="2106" ht="15.75" customHeight="1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 t="str">
        <f>IFERROR(__xludf.DUMMYFUNCTION("""COMPUTED_VALUE"""),"licensed electrical maintenance")</f>
        <v>licensed electrical maintenance</v>
      </c>
      <c r="U2106" s="4"/>
      <c r="V2106" s="4"/>
      <c r="W2106" s="4"/>
      <c r="X2106" s="4"/>
      <c r="Y2106" s="4"/>
      <c r="Z2106" s="4"/>
    </row>
    <row r="2107" ht="15.75" customHeight="1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 t="str">
        <f>IFERROR(__xludf.DUMMYFUNCTION("""COMPUTED_VALUE"""),"licensed electrical repairs")</f>
        <v>licensed electrical repairs</v>
      </c>
      <c r="U2107" s="4"/>
      <c r="V2107" s="4"/>
      <c r="W2107" s="4"/>
      <c r="X2107" s="4"/>
      <c r="Y2107" s="4"/>
      <c r="Z2107" s="4"/>
    </row>
    <row r="2108" ht="15.75" customHeight="1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 t="str">
        <f>IFERROR(__xludf.DUMMYFUNCTION("""COMPUTED_VALUE"""),"licensed electrical services")</f>
        <v>licensed electrical services</v>
      </c>
      <c r="U2108" s="4"/>
      <c r="V2108" s="4"/>
      <c r="W2108" s="4"/>
      <c r="X2108" s="4"/>
      <c r="Y2108" s="4"/>
      <c r="Z2108" s="4"/>
    </row>
    <row r="2109" ht="15.75" customHeight="1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 t="str">
        <f>IFERROR(__xludf.DUMMYFUNCTION("""COMPUTED_VALUE"""),"licensed electrician cape town")</f>
        <v>licensed electrician cape town</v>
      </c>
      <c r="U2109" s="4"/>
      <c r="V2109" s="4"/>
      <c r="W2109" s="4"/>
      <c r="X2109" s="4"/>
      <c r="Y2109" s="4"/>
      <c r="Z2109" s="4"/>
    </row>
    <row r="2110" ht="15.75" customHeight="1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 t="str">
        <f>IFERROR(__xludf.DUMMYFUNCTION("""COMPUTED_VALUE"""),"licensed emergency electrician")</f>
        <v>licensed emergency electrician</v>
      </c>
      <c r="U2110" s="4"/>
      <c r="V2110" s="4"/>
      <c r="W2110" s="4"/>
      <c r="X2110" s="4"/>
      <c r="Y2110" s="4"/>
      <c r="Z2110" s="4"/>
    </row>
    <row r="2111" ht="15.75" customHeight="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 t="str">
        <f>IFERROR(__xludf.DUMMYFUNCTION("""COMPUTED_VALUE"""),"licensed emergency plumber cape town")</f>
        <v>licensed emergency plumber cape town</v>
      </c>
      <c r="U2111" s="4"/>
      <c r="V2111" s="4"/>
      <c r="W2111" s="4"/>
      <c r="X2111" s="4"/>
      <c r="Y2111" s="4"/>
      <c r="Z2111" s="4"/>
    </row>
    <row r="2112" ht="15.75" customHeight="1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 t="str">
        <f>IFERROR(__xludf.DUMMYFUNCTION("""COMPUTED_VALUE"""),"licensed maintenance plumber")</f>
        <v>licensed maintenance plumber</v>
      </c>
      <c r="U2112" s="4"/>
      <c r="V2112" s="4"/>
      <c r="W2112" s="4"/>
      <c r="X2112" s="4"/>
      <c r="Y2112" s="4"/>
      <c r="Z2112" s="4"/>
    </row>
    <row r="2113" ht="15.75" customHeight="1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 t="str">
        <f>IFERROR(__xludf.DUMMYFUNCTION("""COMPUTED_VALUE"""),"licensed plumber cape town")</f>
        <v>licensed plumber cape town</v>
      </c>
      <c r="U2113" s="4"/>
      <c r="V2113" s="4"/>
      <c r="W2113" s="4"/>
      <c r="X2113" s="4"/>
      <c r="Y2113" s="4"/>
      <c r="Z2113" s="4"/>
    </row>
    <row r="2114" ht="15.75" customHeight="1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 t="str">
        <f>IFERROR(__xludf.DUMMYFUNCTION("""COMPUTED_VALUE"""),"licensed plumber near me")</f>
        <v>licensed plumber near me</v>
      </c>
      <c r="U2114" s="4"/>
      <c r="V2114" s="4"/>
      <c r="W2114" s="4"/>
      <c r="X2114" s="4"/>
      <c r="Y2114" s="4"/>
      <c r="Z2114" s="4"/>
    </row>
    <row r="2115" ht="15.75" customHeight="1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 t="str">
        <f>IFERROR(__xludf.DUMMYFUNCTION("""COMPUTED_VALUE"""),"licensed plumbers cape town")</f>
        <v>licensed plumbers cape town</v>
      </c>
      <c r="U2115" s="4"/>
      <c r="V2115" s="4"/>
      <c r="W2115" s="4"/>
      <c r="X2115" s="4"/>
      <c r="Y2115" s="4"/>
      <c r="Z2115" s="4"/>
    </row>
    <row r="2116" ht="15.75" customHeight="1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 t="str">
        <f>IFERROR(__xludf.DUMMYFUNCTION("""COMPUTED_VALUE"""),"licensed plumbing company")</f>
        <v>licensed plumbing company</v>
      </c>
      <c r="U2116" s="4"/>
      <c r="V2116" s="4"/>
      <c r="W2116" s="4"/>
      <c r="X2116" s="4"/>
      <c r="Y2116" s="4"/>
      <c r="Z2116" s="4"/>
    </row>
    <row r="2117" ht="15.75" customHeight="1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 t="str">
        <f>IFERROR(__xludf.DUMMYFUNCTION("""COMPUTED_VALUE"""),"licensed plumbing company cape town")</f>
        <v>licensed plumbing company cape town</v>
      </c>
      <c r="U2117" s="4"/>
      <c r="V2117" s="4"/>
      <c r="W2117" s="4"/>
      <c r="X2117" s="4"/>
      <c r="Y2117" s="4"/>
      <c r="Z2117" s="4"/>
    </row>
    <row r="2118" ht="15.75" customHeight="1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 t="str">
        <f>IFERROR(__xludf.DUMMYFUNCTION("""COMPUTED_VALUE"""),"licensed plumbing contractors")</f>
        <v>licensed plumbing contractors</v>
      </c>
      <c r="U2118" s="4"/>
      <c r="V2118" s="4"/>
      <c r="W2118" s="4"/>
      <c r="X2118" s="4"/>
      <c r="Y2118" s="4"/>
      <c r="Z2118" s="4"/>
    </row>
    <row r="2119" ht="15.75" customHeight="1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 t="str">
        <f>IFERROR(__xludf.DUMMYFUNCTION("""COMPUTED_VALUE"""),"licensed plumbing inspection")</f>
        <v>licensed plumbing inspection</v>
      </c>
      <c r="U2119" s="4"/>
      <c r="V2119" s="4"/>
      <c r="W2119" s="4"/>
      <c r="X2119" s="4"/>
      <c r="Y2119" s="4"/>
      <c r="Z2119" s="4"/>
    </row>
    <row r="2120" ht="15.75" customHeight="1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 t="str">
        <f>IFERROR(__xludf.DUMMYFUNCTION("""COMPUTED_VALUE"""),"licensed plumbing installation")</f>
        <v>licensed plumbing installation</v>
      </c>
      <c r="U2120" s="4"/>
      <c r="V2120" s="4"/>
      <c r="W2120" s="4"/>
      <c r="X2120" s="4"/>
      <c r="Y2120" s="4"/>
      <c r="Z2120" s="4"/>
    </row>
    <row r="2121" ht="15.75" customHeight="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 t="str">
        <f>IFERROR(__xludf.DUMMYFUNCTION("""COMPUTED_VALUE"""),"licensed plumbing repairs")</f>
        <v>licensed plumbing repairs</v>
      </c>
      <c r="U2121" s="4"/>
      <c r="V2121" s="4"/>
      <c r="W2121" s="4"/>
      <c r="X2121" s="4"/>
      <c r="Y2121" s="4"/>
      <c r="Z2121" s="4"/>
    </row>
    <row r="2122" ht="15.75" customHeight="1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 t="str">
        <f>IFERROR(__xludf.DUMMYFUNCTION("""COMPUTED_VALUE"""),"licensed plumbing services")</f>
        <v>licensed plumbing services</v>
      </c>
      <c r="U2122" s="4"/>
      <c r="V2122" s="4"/>
      <c r="W2122" s="4"/>
      <c r="X2122" s="4"/>
      <c r="Y2122" s="4"/>
      <c r="Z2122" s="4"/>
    </row>
    <row r="2123" ht="15.75" customHeight="1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 t="str">
        <f>IFERROR(__xludf.DUMMYFUNCTION("""COMPUTED_VALUE"""),"licensed residential electrician")</f>
        <v>licensed residential electrician</v>
      </c>
      <c r="U2123" s="4"/>
      <c r="V2123" s="4"/>
      <c r="W2123" s="4"/>
      <c r="X2123" s="4"/>
      <c r="Y2123" s="4"/>
      <c r="Z2123" s="4"/>
    </row>
    <row r="2124" ht="15.75" customHeight="1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 t="str">
        <f>IFERROR(__xludf.DUMMYFUNCTION("""COMPUTED_VALUE"""),"licensed residential plumber")</f>
        <v>licensed residential plumber</v>
      </c>
      <c r="U2124" s="4"/>
      <c r="V2124" s="4"/>
      <c r="W2124" s="4"/>
      <c r="X2124" s="4"/>
      <c r="Y2124" s="4"/>
      <c r="Z2124" s="4"/>
    </row>
    <row r="2125" ht="15.75" customHeight="1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 t="str">
        <f>IFERROR(__xludf.DUMMYFUNCTION("""COMPUTED_VALUE"""),"licensed schmidhauser plumbing")</f>
        <v>licensed schmidhauser plumbing</v>
      </c>
      <c r="U2125" s="4"/>
      <c r="V2125" s="4"/>
      <c r="W2125" s="4"/>
      <c r="X2125" s="4"/>
      <c r="Y2125" s="4"/>
      <c r="Z2125" s="4"/>
    </row>
    <row r="2126" ht="15.75" customHeight="1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 t="str">
        <f>IFERROR(__xludf.DUMMYFUNCTION("""COMPUTED_VALUE"""),"local 24 hour plumber")</f>
        <v>local 24 hour plumber</v>
      </c>
      <c r="U2126" s="4"/>
      <c r="V2126" s="4"/>
      <c r="W2126" s="4"/>
      <c r="X2126" s="4"/>
      <c r="Y2126" s="4"/>
      <c r="Z2126" s="4"/>
    </row>
    <row r="2127" ht="15.75" customHeight="1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 t="str">
        <f>IFERROR(__xludf.DUMMYFUNCTION("""COMPUTED_VALUE"""),"local absolute plumbing cape town")</f>
        <v>local absolute plumbing cape town</v>
      </c>
      <c r="U2127" s="4"/>
      <c r="V2127" s="4"/>
      <c r="W2127" s="4"/>
      <c r="X2127" s="4"/>
      <c r="Y2127" s="4"/>
      <c r="Z2127" s="4"/>
    </row>
    <row r="2128" ht="15.75" customHeight="1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 t="str">
        <f>IFERROR(__xludf.DUMMYFUNCTION("""COMPUTED_VALUE"""),"local air conditioning")</f>
        <v>local air conditioning</v>
      </c>
      <c r="U2128" s="4"/>
      <c r="V2128" s="4"/>
      <c r="W2128" s="4"/>
      <c r="X2128" s="4"/>
      <c r="Y2128" s="4"/>
      <c r="Z2128" s="4"/>
    </row>
    <row r="2129" ht="15.75" customHeight="1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 t="str">
        <f>IFERROR(__xludf.DUMMYFUNCTION("""COMPUTED_VALUE"""),"local air conditioning repair")</f>
        <v>local air conditioning repair</v>
      </c>
      <c r="U2129" s="4"/>
      <c r="V2129" s="4"/>
      <c r="W2129" s="4"/>
      <c r="X2129" s="4"/>
      <c r="Y2129" s="4"/>
      <c r="Z2129" s="4"/>
    </row>
    <row r="2130" ht="15.75" customHeight="1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 t="str">
        <f>IFERROR(__xludf.DUMMYFUNCTION("""COMPUTED_VALUE"""),"local aircon installation")</f>
        <v>local aircon installation</v>
      </c>
      <c r="U2130" s="4"/>
      <c r="V2130" s="4"/>
      <c r="W2130" s="4"/>
      <c r="X2130" s="4"/>
      <c r="Y2130" s="4"/>
      <c r="Z2130" s="4"/>
    </row>
    <row r="2131" ht="15.75" customHeight="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 t="str">
        <f>IFERROR(__xludf.DUMMYFUNCTION("""COMPUTED_VALUE"""),"local aircon repair")</f>
        <v>local aircon repair</v>
      </c>
      <c r="U2131" s="4"/>
      <c r="V2131" s="4"/>
      <c r="W2131" s="4"/>
      <c r="X2131" s="4"/>
      <c r="Y2131" s="4"/>
      <c r="Z2131" s="4"/>
    </row>
    <row r="2132" ht="15.75" customHeight="1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 t="str">
        <f>IFERROR(__xludf.DUMMYFUNCTION("""COMPUTED_VALUE"""),"local aircon repair cape town")</f>
        <v>local aircon repair cape town</v>
      </c>
      <c r="U2132" s="4"/>
      <c r="V2132" s="4"/>
      <c r="W2132" s="4"/>
      <c r="X2132" s="4"/>
      <c r="Y2132" s="4"/>
      <c r="Z2132" s="4"/>
    </row>
    <row r="2133" ht="15.75" customHeight="1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 t="str">
        <f>IFERROR(__xludf.DUMMYFUNCTION("""COMPUTED_VALUE"""),"local aircon service")</f>
        <v>local aircon service</v>
      </c>
      <c r="U2133" s="4"/>
      <c r="V2133" s="4"/>
      <c r="W2133" s="4"/>
      <c r="X2133" s="4"/>
      <c r="Y2133" s="4"/>
      <c r="Z2133" s="4"/>
    </row>
    <row r="2134" ht="15.75" customHeight="1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 t="str">
        <f>IFERROR(__xludf.DUMMYFUNCTION("""COMPUTED_VALUE"""),"local bathroom plumbing repair")</f>
        <v>local bathroom plumbing repair</v>
      </c>
      <c r="U2134" s="4"/>
      <c r="V2134" s="4"/>
      <c r="W2134" s="4"/>
      <c r="X2134" s="4"/>
      <c r="Y2134" s="4"/>
      <c r="Z2134" s="4"/>
    </row>
    <row r="2135" ht="15.75" customHeight="1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 t="str">
        <f>IFERROR(__xludf.DUMMYFUNCTION("""COMPUTED_VALUE"""),"local blocked toilet plumber")</f>
        <v>local blocked toilet plumber</v>
      </c>
      <c r="U2135" s="4"/>
      <c r="V2135" s="4"/>
      <c r="W2135" s="4"/>
      <c r="X2135" s="4"/>
      <c r="Y2135" s="4"/>
      <c r="Z2135" s="4"/>
    </row>
    <row r="2136" ht="15.75" customHeight="1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 t="str">
        <f>IFERROR(__xludf.DUMMYFUNCTION("""COMPUTED_VALUE"""),"local bosman plumbers")</f>
        <v>local bosman plumbers</v>
      </c>
      <c r="U2136" s="4"/>
      <c r="V2136" s="4"/>
      <c r="W2136" s="4"/>
      <c r="X2136" s="4"/>
      <c r="Y2136" s="4"/>
      <c r="Z2136" s="4"/>
    </row>
    <row r="2137" ht="15.75" customHeight="1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 t="str">
        <f>IFERROR(__xludf.DUMMYFUNCTION("""COMPUTED_VALUE"""),"local burst pipe repair")</f>
        <v>local burst pipe repair</v>
      </c>
      <c r="U2137" s="4"/>
      <c r="V2137" s="4"/>
      <c r="W2137" s="4"/>
      <c r="X2137" s="4"/>
      <c r="Y2137" s="4"/>
      <c r="Z2137" s="4"/>
    </row>
    <row r="2138" ht="15.75" customHeight="1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 t="str">
        <f>IFERROR(__xludf.DUMMYFUNCTION("""COMPUTED_VALUE"""),"local cold room repair")</f>
        <v>local cold room repair</v>
      </c>
      <c r="U2138" s="4"/>
      <c r="V2138" s="4"/>
      <c r="W2138" s="4"/>
      <c r="X2138" s="4"/>
      <c r="Y2138" s="4"/>
      <c r="Z2138" s="4"/>
    </row>
    <row r="2139" ht="15.75" customHeight="1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 t="str">
        <f>IFERROR(__xludf.DUMMYFUNCTION("""COMPUTED_VALUE"""),"local commercial electrician")</f>
        <v>local commercial electrician</v>
      </c>
      <c r="U2139" s="4"/>
      <c r="V2139" s="4"/>
      <c r="W2139" s="4"/>
      <c r="X2139" s="4"/>
      <c r="Y2139" s="4"/>
      <c r="Z2139" s="4"/>
    </row>
    <row r="2140" ht="15.75" customHeight="1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 t="str">
        <f>IFERROR(__xludf.DUMMYFUNCTION("""COMPUTED_VALUE"""),"local commercial plumber")</f>
        <v>local commercial plumber</v>
      </c>
      <c r="U2140" s="4"/>
      <c r="V2140" s="4"/>
      <c r="W2140" s="4"/>
      <c r="X2140" s="4"/>
      <c r="Y2140" s="4"/>
      <c r="Z2140" s="4"/>
    </row>
    <row r="2141" ht="15.75" customHeight="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 t="str">
        <f>IFERROR(__xludf.DUMMYFUNCTION("""COMPUTED_VALUE"""),"local commercial refrigeration")</f>
        <v>local commercial refrigeration</v>
      </c>
      <c r="U2141" s="4"/>
      <c r="V2141" s="4"/>
      <c r="W2141" s="4"/>
      <c r="X2141" s="4"/>
      <c r="Y2141" s="4"/>
      <c r="Z2141" s="4"/>
    </row>
    <row r="2142" ht="15.75" customHeight="1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 t="str">
        <f>IFERROR(__xludf.DUMMYFUNCTION("""COMPUTED_VALUE"""),"local drain surgeon cape town")</f>
        <v>local drain surgeon cape town</v>
      </c>
      <c r="U2142" s="4"/>
      <c r="V2142" s="4"/>
      <c r="W2142" s="4"/>
      <c r="X2142" s="4"/>
      <c r="Y2142" s="4"/>
      <c r="Z2142" s="4"/>
    </row>
    <row r="2143" ht="15.75" customHeight="1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 t="str">
        <f>IFERROR(__xludf.DUMMYFUNCTION("""COMPUTED_VALUE"""),"local electrical compliance certificate")</f>
        <v>local electrical compliance certificate</v>
      </c>
      <c r="U2143" s="4"/>
      <c r="V2143" s="4"/>
      <c r="W2143" s="4"/>
      <c r="X2143" s="4"/>
      <c r="Y2143" s="4"/>
      <c r="Z2143" s="4"/>
    </row>
    <row r="2144" ht="15.75" customHeight="1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 t="str">
        <f>IFERROR(__xludf.DUMMYFUNCTION("""COMPUTED_VALUE"""),"local electrical contractor")</f>
        <v>local electrical contractor</v>
      </c>
      <c r="U2144" s="4"/>
      <c r="V2144" s="4"/>
      <c r="W2144" s="4"/>
      <c r="X2144" s="4"/>
      <c r="Y2144" s="4"/>
      <c r="Z2144" s="4"/>
    </row>
    <row r="2145" ht="15.75" customHeight="1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 t="str">
        <f>IFERROR(__xludf.DUMMYFUNCTION("""COMPUTED_VALUE"""),"local electrical installation")</f>
        <v>local electrical installation</v>
      </c>
      <c r="U2145" s="4"/>
      <c r="V2145" s="4"/>
      <c r="W2145" s="4"/>
      <c r="X2145" s="4"/>
      <c r="Y2145" s="4"/>
      <c r="Z2145" s="4"/>
    </row>
    <row r="2146" ht="15.75" customHeight="1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 t="str">
        <f>IFERROR(__xludf.DUMMYFUNCTION("""COMPUTED_VALUE"""),"local electrical maintenance")</f>
        <v>local electrical maintenance</v>
      </c>
      <c r="U2146" s="4"/>
      <c r="V2146" s="4"/>
      <c r="W2146" s="4"/>
      <c r="X2146" s="4"/>
      <c r="Y2146" s="4"/>
      <c r="Z2146" s="4"/>
    </row>
    <row r="2147" ht="15.75" customHeight="1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 t="str">
        <f>IFERROR(__xludf.DUMMYFUNCTION("""COMPUTED_VALUE"""),"local electrical repairs")</f>
        <v>local electrical repairs</v>
      </c>
      <c r="U2147" s="4"/>
      <c r="V2147" s="4"/>
      <c r="W2147" s="4"/>
      <c r="X2147" s="4"/>
      <c r="Y2147" s="4"/>
      <c r="Z2147" s="4"/>
    </row>
    <row r="2148" ht="15.75" customHeight="1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 t="str">
        <f>IFERROR(__xludf.DUMMYFUNCTION("""COMPUTED_VALUE"""),"local electrical services")</f>
        <v>local electrical services</v>
      </c>
      <c r="U2148" s="4"/>
      <c r="V2148" s="4"/>
      <c r="W2148" s="4"/>
      <c r="X2148" s="4"/>
      <c r="Y2148" s="4"/>
      <c r="Z2148" s="4"/>
    </row>
    <row r="2149" ht="15.75" customHeight="1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 t="str">
        <f>IFERROR(__xludf.DUMMYFUNCTION("""COMPUTED_VALUE"""),"local electrician cape town")</f>
        <v>local electrician cape town</v>
      </c>
      <c r="U2149" s="4"/>
      <c r="V2149" s="4"/>
      <c r="W2149" s="4"/>
      <c r="X2149" s="4"/>
      <c r="Y2149" s="4"/>
      <c r="Z2149" s="4"/>
    </row>
    <row r="2150" ht="15.75" customHeight="1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 t="str">
        <f>IFERROR(__xludf.DUMMYFUNCTION("""COMPUTED_VALUE"""),"local emergency electrician")</f>
        <v>local emergency electrician</v>
      </c>
      <c r="U2150" s="4"/>
      <c r="V2150" s="4"/>
      <c r="W2150" s="4"/>
      <c r="X2150" s="4"/>
      <c r="Y2150" s="4"/>
      <c r="Z2150" s="4"/>
    </row>
    <row r="2151" ht="15.75" customHeight="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 t="str">
        <f>IFERROR(__xludf.DUMMYFUNCTION("""COMPUTED_VALUE"""),"local emergency plumber")</f>
        <v>local emergency plumber</v>
      </c>
      <c r="U2151" s="4"/>
      <c r="V2151" s="4"/>
      <c r="W2151" s="4"/>
      <c r="X2151" s="4"/>
      <c r="Y2151" s="4"/>
      <c r="Z2151" s="4"/>
    </row>
    <row r="2152" ht="15.75" customHeight="1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 t="str">
        <f>IFERROR(__xludf.DUMMYFUNCTION("""COMPUTED_VALUE"""),"local emergency plumber cape town")</f>
        <v>local emergency plumber cape town</v>
      </c>
      <c r="U2152" s="4"/>
      <c r="V2152" s="4"/>
      <c r="W2152" s="4"/>
      <c r="X2152" s="4"/>
      <c r="Y2152" s="4"/>
      <c r="Z2152" s="4"/>
    </row>
    <row r="2153" ht="15.75" customHeight="1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 t="str">
        <f>IFERROR(__xludf.DUMMYFUNCTION("""COMPUTED_VALUE"""),"local fridge repair")</f>
        <v>local fridge repair</v>
      </c>
      <c r="U2153" s="4"/>
      <c r="V2153" s="4"/>
      <c r="W2153" s="4"/>
      <c r="X2153" s="4"/>
      <c r="Y2153" s="4"/>
      <c r="Z2153" s="4"/>
    </row>
    <row r="2154" ht="15.75" customHeight="1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 t="str">
        <f>IFERROR(__xludf.DUMMYFUNCTION("""COMPUTED_VALUE"""),"local HVAC services")</f>
        <v>local HVAC services</v>
      </c>
      <c r="U2154" s="4"/>
      <c r="V2154" s="4"/>
      <c r="W2154" s="4"/>
      <c r="X2154" s="4"/>
      <c r="Y2154" s="4"/>
      <c r="Z2154" s="4"/>
    </row>
    <row r="2155" ht="15.75" customHeight="1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 t="str">
        <f>IFERROR(__xludf.DUMMYFUNCTION("""COMPUTED_VALUE"""),"local kitchen plumbing repair")</f>
        <v>local kitchen plumbing repair</v>
      </c>
      <c r="U2155" s="4"/>
      <c r="V2155" s="4"/>
      <c r="W2155" s="4"/>
      <c r="X2155" s="4"/>
      <c r="Y2155" s="4"/>
      <c r="Z2155" s="4"/>
    </row>
    <row r="2156" ht="15.75" customHeight="1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 t="str">
        <f>IFERROR(__xludf.DUMMYFUNCTION("""COMPUTED_VALUE"""),"local leaking pipe repair")</f>
        <v>local leaking pipe repair</v>
      </c>
      <c r="U2156" s="4"/>
      <c r="V2156" s="4"/>
      <c r="W2156" s="4"/>
      <c r="X2156" s="4"/>
      <c r="Y2156" s="4"/>
      <c r="Z2156" s="4"/>
    </row>
    <row r="2157" ht="15.75" customHeight="1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 t="str">
        <f>IFERROR(__xludf.DUMMYFUNCTION("""COMPUTED_VALUE"""),"local leaking tap repair")</f>
        <v>local leaking tap repair</v>
      </c>
      <c r="U2157" s="4"/>
      <c r="V2157" s="4"/>
      <c r="W2157" s="4"/>
      <c r="X2157" s="4"/>
      <c r="Y2157" s="4"/>
      <c r="Z2157" s="4"/>
    </row>
    <row r="2158" ht="15.75" customHeight="1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 t="str">
        <f>IFERROR(__xludf.DUMMYFUNCTION("""COMPUTED_VALUE"""),"local maintenance plumber")</f>
        <v>local maintenance plumber</v>
      </c>
      <c r="U2158" s="4"/>
      <c r="V2158" s="4"/>
      <c r="W2158" s="4"/>
      <c r="X2158" s="4"/>
      <c r="Y2158" s="4"/>
      <c r="Z2158" s="4"/>
    </row>
    <row r="2159" ht="15.75" customHeight="1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 t="str">
        <f>IFERROR(__xludf.DUMMYFUNCTION("""COMPUTED_VALUE"""),"local plumber cape town")</f>
        <v>local plumber cape town</v>
      </c>
      <c r="U2159" s="4"/>
      <c r="V2159" s="4"/>
      <c r="W2159" s="4"/>
      <c r="X2159" s="4"/>
      <c r="Y2159" s="4"/>
      <c r="Z2159" s="4"/>
    </row>
    <row r="2160" ht="15.75" customHeight="1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 t="str">
        <f>IFERROR(__xludf.DUMMYFUNCTION("""COMPUTED_VALUE"""),"local plumber near me")</f>
        <v>local plumber near me</v>
      </c>
      <c r="U2160" s="4"/>
      <c r="V2160" s="4"/>
      <c r="W2160" s="4"/>
      <c r="X2160" s="4"/>
      <c r="Y2160" s="4"/>
      <c r="Z2160" s="4"/>
    </row>
    <row r="2161" ht="15.75" customHeight="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 t="str">
        <f>IFERROR(__xludf.DUMMYFUNCTION("""COMPUTED_VALUE"""),"local plumbers cape town")</f>
        <v>local plumbers cape town</v>
      </c>
      <c r="U2161" s="4"/>
      <c r="V2161" s="4"/>
      <c r="W2161" s="4"/>
      <c r="X2161" s="4"/>
      <c r="Y2161" s="4"/>
      <c r="Z2161" s="4"/>
    </row>
    <row r="2162" ht="15.75" customHeight="1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 t="str">
        <f>IFERROR(__xludf.DUMMYFUNCTION("""COMPUTED_VALUE"""),"local plumbing company")</f>
        <v>local plumbing company</v>
      </c>
      <c r="U2162" s="4"/>
      <c r="V2162" s="4"/>
      <c r="W2162" s="4"/>
      <c r="X2162" s="4"/>
      <c r="Y2162" s="4"/>
      <c r="Z2162" s="4"/>
    </row>
    <row r="2163" ht="15.75" customHeight="1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 t="str">
        <f>IFERROR(__xludf.DUMMYFUNCTION("""COMPUTED_VALUE"""),"local plumbing company cape town")</f>
        <v>local plumbing company cape town</v>
      </c>
      <c r="U2163" s="4"/>
      <c r="V2163" s="4"/>
      <c r="W2163" s="4"/>
      <c r="X2163" s="4"/>
      <c r="Y2163" s="4"/>
      <c r="Z2163" s="4"/>
    </row>
    <row r="2164" ht="15.75" customHeight="1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 t="str">
        <f>IFERROR(__xludf.DUMMYFUNCTION("""COMPUTED_VALUE"""),"local plumbing contractors")</f>
        <v>local plumbing contractors</v>
      </c>
      <c r="U2164" s="4"/>
      <c r="V2164" s="4"/>
      <c r="W2164" s="4"/>
      <c r="X2164" s="4"/>
      <c r="Y2164" s="4"/>
      <c r="Z2164" s="4"/>
    </row>
    <row r="2165" ht="15.75" customHeight="1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 t="str">
        <f>IFERROR(__xludf.DUMMYFUNCTION("""COMPUTED_VALUE"""),"local plumbing inspection")</f>
        <v>local plumbing inspection</v>
      </c>
      <c r="U2165" s="4"/>
      <c r="V2165" s="4"/>
      <c r="W2165" s="4"/>
      <c r="X2165" s="4"/>
      <c r="Y2165" s="4"/>
      <c r="Z2165" s="4"/>
    </row>
    <row r="2166" ht="15.75" customHeight="1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 t="str">
        <f>IFERROR(__xludf.DUMMYFUNCTION("""COMPUTED_VALUE"""),"local plumbing installation")</f>
        <v>local plumbing installation</v>
      </c>
      <c r="U2166" s="4"/>
      <c r="V2166" s="4"/>
      <c r="W2166" s="4"/>
      <c r="X2166" s="4"/>
      <c r="Y2166" s="4"/>
      <c r="Z2166" s="4"/>
    </row>
    <row r="2167" ht="15.75" customHeight="1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 t="str">
        <f>IFERROR(__xludf.DUMMYFUNCTION("""COMPUTED_VALUE"""),"local plumbing repairs")</f>
        <v>local plumbing repairs</v>
      </c>
      <c r="U2167" s="4"/>
      <c r="V2167" s="4"/>
      <c r="W2167" s="4"/>
      <c r="X2167" s="4"/>
      <c r="Y2167" s="4"/>
      <c r="Z2167" s="4"/>
    </row>
    <row r="2168" ht="15.75" customHeight="1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 t="str">
        <f>IFERROR(__xludf.DUMMYFUNCTION("""COMPUTED_VALUE"""),"local plumbing services")</f>
        <v>local plumbing services</v>
      </c>
      <c r="U2168" s="4"/>
      <c r="V2168" s="4"/>
      <c r="W2168" s="4"/>
      <c r="X2168" s="4"/>
      <c r="Y2168" s="4"/>
      <c r="Z2168" s="4"/>
    </row>
    <row r="2169" ht="15.75" customHeight="1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 t="str">
        <f>IFERROR(__xludf.DUMMYFUNCTION("""COMPUTED_VALUE"""),"local refrigeration repair")</f>
        <v>local refrigeration repair</v>
      </c>
      <c r="U2169" s="4"/>
      <c r="V2169" s="4"/>
      <c r="W2169" s="4"/>
      <c r="X2169" s="4"/>
      <c r="Y2169" s="4"/>
      <c r="Z2169" s="4"/>
    </row>
    <row r="2170" ht="15.75" customHeight="1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 t="str">
        <f>IFERROR(__xludf.DUMMYFUNCTION("""COMPUTED_VALUE"""),"local residential electrician")</f>
        <v>local residential electrician</v>
      </c>
      <c r="U2170" s="4"/>
      <c r="V2170" s="4"/>
      <c r="W2170" s="4"/>
      <c r="X2170" s="4"/>
      <c r="Y2170" s="4"/>
      <c r="Z2170" s="4"/>
    </row>
    <row r="2171" ht="15.75" customHeight="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 t="str">
        <f>IFERROR(__xludf.DUMMYFUNCTION("""COMPUTED_VALUE"""),"local residential plumber")</f>
        <v>local residential plumber</v>
      </c>
      <c r="U2171" s="4"/>
      <c r="V2171" s="4"/>
      <c r="W2171" s="4"/>
      <c r="X2171" s="4"/>
      <c r="Y2171" s="4"/>
      <c r="Z2171" s="4"/>
    </row>
    <row r="2172" ht="15.75" customHeight="1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 t="str">
        <f>IFERROR(__xludf.DUMMYFUNCTION("""COMPUTED_VALUE"""),"local schmidhauser plumbing")</f>
        <v>local schmidhauser plumbing</v>
      </c>
      <c r="U2172" s="4"/>
      <c r="V2172" s="4"/>
      <c r="W2172" s="4"/>
      <c r="X2172" s="4"/>
      <c r="Y2172" s="4"/>
      <c r="Z2172" s="4"/>
    </row>
    <row r="2173" ht="15.75" customHeight="1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 t="str">
        <f>IFERROR(__xludf.DUMMYFUNCTION("""COMPUTED_VALUE"""),"local toilet repair")</f>
        <v>local toilet repair</v>
      </c>
      <c r="U2173" s="4"/>
      <c r="V2173" s="4"/>
      <c r="W2173" s="4"/>
      <c r="X2173" s="4"/>
      <c r="Y2173" s="4"/>
      <c r="Z2173" s="4"/>
    </row>
    <row r="2174" ht="15.75" customHeight="1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 t="str">
        <f>IFERROR(__xludf.DUMMYFUNCTION("""COMPUTED_VALUE"""),"local water leak repair")</f>
        <v>local water leak repair</v>
      </c>
      <c r="U2174" s="4"/>
      <c r="V2174" s="4"/>
      <c r="W2174" s="4"/>
      <c r="X2174" s="4"/>
      <c r="Y2174" s="4"/>
      <c r="Z2174" s="4"/>
    </row>
    <row r="2175" ht="15.75" customHeight="1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 t="str">
        <f>IFERROR(__xludf.DUMMYFUNCTION("""COMPUTED_VALUE"""),"maintenance air conditioning")</f>
        <v>maintenance air conditioning</v>
      </c>
      <c r="U2175" s="4"/>
      <c r="V2175" s="4"/>
      <c r="W2175" s="4"/>
      <c r="X2175" s="4"/>
      <c r="Y2175" s="4"/>
      <c r="Z2175" s="4"/>
    </row>
    <row r="2176" ht="15.75" customHeight="1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 t="str">
        <f>IFERROR(__xludf.DUMMYFUNCTION("""COMPUTED_VALUE"""),"maintenance air conditioning repair")</f>
        <v>maintenance air conditioning repair</v>
      </c>
      <c r="U2176" s="4"/>
      <c r="V2176" s="4"/>
      <c r="W2176" s="4"/>
      <c r="X2176" s="4"/>
      <c r="Y2176" s="4"/>
      <c r="Z2176" s="4"/>
    </row>
    <row r="2177" ht="15.75" customHeight="1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 t="str">
        <f>IFERROR(__xludf.DUMMYFUNCTION("""COMPUTED_VALUE"""),"maintenance aircon installation")</f>
        <v>maintenance aircon installation</v>
      </c>
      <c r="U2177" s="4"/>
      <c r="V2177" s="4"/>
      <c r="W2177" s="4"/>
      <c r="X2177" s="4"/>
      <c r="Y2177" s="4"/>
      <c r="Z2177" s="4"/>
    </row>
    <row r="2178" ht="15.75" customHeight="1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 t="str">
        <f>IFERROR(__xludf.DUMMYFUNCTION("""COMPUTED_VALUE"""),"maintenance aircon repair")</f>
        <v>maintenance aircon repair</v>
      </c>
      <c r="U2178" s="4"/>
      <c r="V2178" s="4"/>
      <c r="W2178" s="4"/>
      <c r="X2178" s="4"/>
      <c r="Y2178" s="4"/>
      <c r="Z2178" s="4"/>
    </row>
    <row r="2179" ht="15.75" customHeight="1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 t="str">
        <f>IFERROR(__xludf.DUMMYFUNCTION("""COMPUTED_VALUE"""),"maintenance aircon service")</f>
        <v>maintenance aircon service</v>
      </c>
      <c r="U2179" s="4"/>
      <c r="V2179" s="4"/>
      <c r="W2179" s="4"/>
      <c r="X2179" s="4"/>
      <c r="Y2179" s="4"/>
      <c r="Z2179" s="4"/>
    </row>
    <row r="2180" ht="15.75" customHeight="1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 t="str">
        <f>IFERROR(__xludf.DUMMYFUNCTION("""COMPUTED_VALUE"""),"maintenance cold room repair")</f>
        <v>maintenance cold room repair</v>
      </c>
      <c r="U2180" s="4"/>
      <c r="V2180" s="4"/>
      <c r="W2180" s="4"/>
      <c r="X2180" s="4"/>
      <c r="Y2180" s="4"/>
      <c r="Z2180" s="4"/>
    </row>
    <row r="2181" ht="15.75" customHeight="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 t="str">
        <f>IFERROR(__xludf.DUMMYFUNCTION("""COMPUTED_VALUE"""),"maintenance commercial plumber")</f>
        <v>maintenance commercial plumber</v>
      </c>
      <c r="U2181" s="4"/>
      <c r="V2181" s="4"/>
      <c r="W2181" s="4"/>
      <c r="X2181" s="4"/>
      <c r="Y2181" s="4"/>
      <c r="Z2181" s="4"/>
    </row>
    <row r="2182" ht="15.75" customHeight="1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 t="str">
        <f>IFERROR(__xludf.DUMMYFUNCTION("""COMPUTED_VALUE"""),"maintenance commercial refrigeration")</f>
        <v>maintenance commercial refrigeration</v>
      </c>
      <c r="U2182" s="4"/>
      <c r="V2182" s="4"/>
      <c r="W2182" s="4"/>
      <c r="X2182" s="4"/>
      <c r="Y2182" s="4"/>
      <c r="Z2182" s="4"/>
    </row>
    <row r="2183" ht="15.75" customHeight="1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 t="str">
        <f>IFERROR(__xludf.DUMMYFUNCTION("""COMPUTED_VALUE"""),"maintenance fridge repair")</f>
        <v>maintenance fridge repair</v>
      </c>
      <c r="U2183" s="4"/>
      <c r="V2183" s="4"/>
      <c r="W2183" s="4"/>
      <c r="X2183" s="4"/>
      <c r="Y2183" s="4"/>
      <c r="Z2183" s="4"/>
    </row>
    <row r="2184" ht="15.75" customHeight="1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 t="str">
        <f>IFERROR(__xludf.DUMMYFUNCTION("""COMPUTED_VALUE"""),"maintenance HVAC services")</f>
        <v>maintenance HVAC services</v>
      </c>
      <c r="U2184" s="4"/>
      <c r="V2184" s="4"/>
      <c r="W2184" s="4"/>
      <c r="X2184" s="4"/>
      <c r="Y2184" s="4"/>
      <c r="Z2184" s="4"/>
    </row>
    <row r="2185" ht="15.75" customHeight="1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 t="str">
        <f>IFERROR(__xludf.DUMMYFUNCTION("""COMPUTED_VALUE"""),"maintenance plumber")</f>
        <v>maintenance plumber</v>
      </c>
      <c r="U2185" s="4"/>
      <c r="V2185" s="4"/>
      <c r="W2185" s="4"/>
      <c r="X2185" s="4"/>
      <c r="Y2185" s="4"/>
      <c r="Z2185" s="4"/>
    </row>
    <row r="2186" ht="15.75" customHeight="1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 t="str">
        <f>IFERROR(__xludf.DUMMYFUNCTION("""COMPUTED_VALUE"""),"maintenance plumber 24 hour")</f>
        <v>maintenance plumber 24 hour</v>
      </c>
      <c r="U2186" s="4"/>
      <c r="V2186" s="4"/>
      <c r="W2186" s="4"/>
      <c r="X2186" s="4"/>
      <c r="Y2186" s="4"/>
      <c r="Z2186" s="4"/>
    </row>
    <row r="2187" ht="15.75" customHeight="1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 t="str">
        <f>IFERROR(__xludf.DUMMYFUNCTION("""COMPUTED_VALUE"""),"maintenance plumber affordable")</f>
        <v>maintenance plumber affordable</v>
      </c>
      <c r="U2187" s="4"/>
      <c r="V2187" s="4"/>
      <c r="W2187" s="4"/>
      <c r="X2187" s="4"/>
      <c r="Y2187" s="4"/>
      <c r="Z2187" s="4"/>
    </row>
    <row r="2188" ht="15.75" customHeight="1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 t="str">
        <f>IFERROR(__xludf.DUMMYFUNCTION("""COMPUTED_VALUE"""),"maintenance plumber after hours")</f>
        <v>maintenance plumber after hours</v>
      </c>
      <c r="U2188" s="4"/>
      <c r="V2188" s="4"/>
      <c r="W2188" s="4"/>
      <c r="X2188" s="4"/>
      <c r="Y2188" s="4"/>
      <c r="Z2188" s="4"/>
    </row>
    <row r="2189" ht="15.75" customHeight="1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 t="str">
        <f>IFERROR(__xludf.DUMMYFUNCTION("""COMPUTED_VALUE"""),"maintenance plumber apartment")</f>
        <v>maintenance plumber apartment</v>
      </c>
      <c r="U2189" s="4"/>
      <c r="V2189" s="4"/>
      <c r="W2189" s="4"/>
      <c r="X2189" s="4"/>
      <c r="Y2189" s="4"/>
      <c r="Z2189" s="4"/>
    </row>
    <row r="2190" ht="15.75" customHeight="1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 t="str">
        <f>IFERROR(__xludf.DUMMYFUNCTION("""COMPUTED_VALUE"""),"maintenance plumber best")</f>
        <v>maintenance plumber best</v>
      </c>
      <c r="U2190" s="4"/>
      <c r="V2190" s="4"/>
      <c r="W2190" s="4"/>
      <c r="X2190" s="4"/>
      <c r="Y2190" s="4"/>
      <c r="Z2190" s="4"/>
    </row>
    <row r="2191" ht="15.75" customHeight="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 t="str">
        <f>IFERROR(__xludf.DUMMYFUNCTION("""COMPUTED_VALUE"""),"maintenance plumber body corporate")</f>
        <v>maintenance plumber body corporate</v>
      </c>
      <c r="U2191" s="4"/>
      <c r="V2191" s="4"/>
      <c r="W2191" s="4"/>
      <c r="X2191" s="4"/>
      <c r="Y2191" s="4"/>
      <c r="Z2191" s="4"/>
    </row>
    <row r="2192" ht="15.75" customHeight="1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 t="str">
        <f>IFERROR(__xludf.DUMMYFUNCTION("""COMPUTED_VALUE"""),"maintenance plumber building")</f>
        <v>maintenance plumber building</v>
      </c>
      <c r="U2192" s="4"/>
      <c r="V2192" s="4"/>
      <c r="W2192" s="4"/>
      <c r="X2192" s="4"/>
      <c r="Y2192" s="4"/>
      <c r="Z2192" s="4"/>
    </row>
    <row r="2193" ht="15.75" customHeight="1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 t="str">
        <f>IFERROR(__xludf.DUMMYFUNCTION("""COMPUTED_VALUE"""),"maintenance plumber business")</f>
        <v>maintenance plumber business</v>
      </c>
      <c r="U2193" s="4"/>
      <c r="V2193" s="4"/>
      <c r="W2193" s="4"/>
      <c r="X2193" s="4"/>
      <c r="Y2193" s="4"/>
      <c r="Z2193" s="4"/>
    </row>
    <row r="2194" ht="15.75" customHeight="1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 t="str">
        <f>IFERROR(__xludf.DUMMYFUNCTION("""COMPUTED_VALUE"""),"maintenance plumber call out")</f>
        <v>maintenance plumber call out</v>
      </c>
      <c r="U2194" s="4"/>
      <c r="V2194" s="4"/>
      <c r="W2194" s="4"/>
      <c r="X2194" s="4"/>
      <c r="Y2194" s="4"/>
      <c r="Z2194" s="4"/>
    </row>
    <row r="2195" ht="15.75" customHeight="1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 t="str">
        <f>IFERROR(__xludf.DUMMYFUNCTION("""COMPUTED_VALUE"""),"maintenance plumber cape town")</f>
        <v>maintenance plumber cape town</v>
      </c>
      <c r="U2195" s="4"/>
      <c r="V2195" s="4"/>
      <c r="W2195" s="4"/>
      <c r="X2195" s="4"/>
      <c r="Y2195" s="4"/>
      <c r="Z2195" s="4"/>
    </row>
    <row r="2196" ht="15.75" customHeight="1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 t="str">
        <f>IFERROR(__xludf.DUMMYFUNCTION("""COMPUTED_VALUE"""),"maintenance plumber commercial property")</f>
        <v>maintenance plumber commercial property</v>
      </c>
      <c r="U2196" s="4"/>
      <c r="V2196" s="4"/>
      <c r="W2196" s="4"/>
      <c r="X2196" s="4"/>
      <c r="Y2196" s="4"/>
      <c r="Z2196" s="4"/>
    </row>
    <row r="2197" ht="15.75" customHeight="1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 t="str">
        <f>IFERROR(__xludf.DUMMYFUNCTION("""COMPUTED_VALUE"""),"maintenance plumber company")</f>
        <v>maintenance plumber company</v>
      </c>
      <c r="U2197" s="4"/>
      <c r="V2197" s="4"/>
      <c r="W2197" s="4"/>
      <c r="X2197" s="4"/>
      <c r="Y2197" s="4"/>
      <c r="Z2197" s="4"/>
    </row>
    <row r="2198" ht="15.75" customHeight="1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 t="str">
        <f>IFERROR(__xludf.DUMMYFUNCTION("""COMPUTED_VALUE"""),"maintenance plumber contractor")</f>
        <v>maintenance plumber contractor</v>
      </c>
      <c r="U2198" s="4"/>
      <c r="V2198" s="4"/>
      <c r="W2198" s="4"/>
      <c r="X2198" s="4"/>
      <c r="Y2198" s="4"/>
      <c r="Z2198" s="4"/>
    </row>
    <row r="2199" ht="15.75" customHeight="1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 t="str">
        <f>IFERROR(__xludf.DUMMYFUNCTION("""COMPUTED_VALUE"""),"maintenance plumber cost")</f>
        <v>maintenance plumber cost</v>
      </c>
      <c r="U2199" s="4"/>
      <c r="V2199" s="4"/>
      <c r="W2199" s="4"/>
      <c r="X2199" s="4"/>
      <c r="Y2199" s="4"/>
      <c r="Z2199" s="4"/>
    </row>
    <row r="2200" ht="15.75" customHeight="1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 t="str">
        <f>IFERROR(__xludf.DUMMYFUNCTION("""COMPUTED_VALUE"""),"maintenance plumber emergency")</f>
        <v>maintenance plumber emergency</v>
      </c>
      <c r="U2200" s="4"/>
      <c r="V2200" s="4"/>
      <c r="W2200" s="4"/>
      <c r="X2200" s="4"/>
      <c r="Y2200" s="4"/>
      <c r="Z2200" s="4"/>
    </row>
    <row r="2201" ht="15.75" customHeight="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 t="str">
        <f>IFERROR(__xludf.DUMMYFUNCTION("""COMPUTED_VALUE"""),"maintenance plumber estate agent")</f>
        <v>maintenance plumber estate agent</v>
      </c>
      <c r="U2201" s="4"/>
      <c r="V2201" s="4"/>
      <c r="W2201" s="4"/>
      <c r="X2201" s="4"/>
      <c r="Y2201" s="4"/>
      <c r="Z2201" s="4"/>
    </row>
    <row r="2202" ht="15.75" customHeight="1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 t="str">
        <f>IFERROR(__xludf.DUMMYFUNCTION("""COMPUTED_VALUE"""),"maintenance plumber flat")</f>
        <v>maintenance plumber flat</v>
      </c>
      <c r="U2202" s="4"/>
      <c r="V2202" s="4"/>
      <c r="W2202" s="4"/>
      <c r="X2202" s="4"/>
      <c r="Y2202" s="4"/>
      <c r="Z2202" s="4"/>
    </row>
    <row r="2203" ht="15.75" customHeight="1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 t="str">
        <f>IFERROR(__xludf.DUMMYFUNCTION("""COMPUTED_VALUE"""),"maintenance plumber guesthouse")</f>
        <v>maintenance plumber guesthouse</v>
      </c>
      <c r="U2203" s="4"/>
      <c r="V2203" s="4"/>
      <c r="W2203" s="4"/>
      <c r="X2203" s="4"/>
      <c r="Y2203" s="4"/>
      <c r="Z2203" s="4"/>
    </row>
    <row r="2204" ht="15.75" customHeight="1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 t="str">
        <f>IFERROR(__xludf.DUMMYFUNCTION("""COMPUTED_VALUE"""),"maintenance plumber home")</f>
        <v>maintenance plumber home</v>
      </c>
      <c r="U2204" s="4"/>
      <c r="V2204" s="4"/>
      <c r="W2204" s="4"/>
      <c r="X2204" s="4"/>
      <c r="Y2204" s="4"/>
      <c r="Z2204" s="4"/>
    </row>
    <row r="2205" ht="15.75" customHeight="1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 t="str">
        <f>IFERROR(__xludf.DUMMYFUNCTION("""COMPUTED_VALUE"""),"maintenance plumber hotel")</f>
        <v>maintenance plumber hotel</v>
      </c>
      <c r="U2205" s="4"/>
      <c r="V2205" s="4"/>
      <c r="W2205" s="4"/>
      <c r="X2205" s="4"/>
      <c r="Y2205" s="4"/>
      <c r="Z2205" s="4"/>
    </row>
    <row r="2206" ht="15.75" customHeight="1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 t="str">
        <f>IFERROR(__xludf.DUMMYFUNCTION("""COMPUTED_VALUE"""),"maintenance plumber house")</f>
        <v>maintenance plumber house</v>
      </c>
      <c r="U2206" s="4"/>
      <c r="V2206" s="4"/>
      <c r="W2206" s="4"/>
      <c r="X2206" s="4"/>
      <c r="Y2206" s="4"/>
      <c r="Z2206" s="4"/>
    </row>
    <row r="2207" ht="15.75" customHeight="1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 t="str">
        <f>IFERROR(__xludf.DUMMYFUNCTION("""COMPUTED_VALUE"""),"maintenance plumber installation")</f>
        <v>maintenance plumber installation</v>
      </c>
      <c r="U2207" s="4"/>
      <c r="V2207" s="4"/>
      <c r="W2207" s="4"/>
      <c r="X2207" s="4"/>
      <c r="Y2207" s="4"/>
      <c r="Z2207" s="4"/>
    </row>
    <row r="2208" ht="15.75" customHeight="1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 t="str">
        <f>IFERROR(__xludf.DUMMYFUNCTION("""COMPUTED_VALUE"""),"maintenance plumber landlord")</f>
        <v>maintenance plumber landlord</v>
      </c>
      <c r="U2208" s="4"/>
      <c r="V2208" s="4"/>
      <c r="W2208" s="4"/>
      <c r="X2208" s="4"/>
      <c r="Y2208" s="4"/>
      <c r="Z2208" s="4"/>
    </row>
    <row r="2209" ht="15.75" customHeight="1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 t="str">
        <f>IFERROR(__xludf.DUMMYFUNCTION("""COMPUTED_VALUE"""),"maintenance plumber licensed")</f>
        <v>maintenance plumber licensed</v>
      </c>
      <c r="U2209" s="4"/>
      <c r="V2209" s="4"/>
      <c r="W2209" s="4"/>
      <c r="X2209" s="4"/>
      <c r="Y2209" s="4"/>
      <c r="Z2209" s="4"/>
    </row>
    <row r="2210" ht="15.75" customHeight="1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 t="str">
        <f>IFERROR(__xludf.DUMMYFUNCTION("""COMPUTED_VALUE"""),"maintenance plumber local")</f>
        <v>maintenance plumber local</v>
      </c>
      <c r="U2210" s="4"/>
      <c r="V2210" s="4"/>
      <c r="W2210" s="4"/>
      <c r="X2210" s="4"/>
      <c r="Y2210" s="4"/>
      <c r="Z2210" s="4"/>
    </row>
    <row r="2211" ht="15.75" customHeight="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 t="str">
        <f>IFERROR(__xludf.DUMMYFUNCTION("""COMPUTED_VALUE"""),"maintenance plumber near me")</f>
        <v>maintenance plumber near me</v>
      </c>
      <c r="U2211" s="4"/>
      <c r="V2211" s="4"/>
      <c r="W2211" s="4"/>
      <c r="X2211" s="4"/>
      <c r="Y2211" s="4"/>
      <c r="Z2211" s="4"/>
    </row>
    <row r="2212" ht="15.75" customHeight="1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 t="str">
        <f>IFERROR(__xludf.DUMMYFUNCTION("""COMPUTED_VALUE"""),"maintenance plumber office")</f>
        <v>maintenance plumber office</v>
      </c>
      <c r="U2212" s="4"/>
      <c r="V2212" s="4"/>
      <c r="W2212" s="4"/>
      <c r="X2212" s="4"/>
      <c r="Y2212" s="4"/>
      <c r="Z2212" s="4"/>
    </row>
    <row r="2213" ht="15.75" customHeight="1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 t="str">
        <f>IFERROR(__xludf.DUMMYFUNCTION("""COMPUTED_VALUE"""),"maintenance plumber professional")</f>
        <v>maintenance plumber professional</v>
      </c>
      <c r="U2213" s="4"/>
      <c r="V2213" s="4"/>
      <c r="W2213" s="4"/>
      <c r="X2213" s="4"/>
      <c r="Y2213" s="4"/>
      <c r="Z2213" s="4"/>
    </row>
    <row r="2214" ht="15.75" customHeight="1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 t="str">
        <f>IFERROR(__xludf.DUMMYFUNCTION("""COMPUTED_VALUE"""),"maintenance plumber property manager")</f>
        <v>maintenance plumber property manager</v>
      </c>
      <c r="U2214" s="4"/>
      <c r="V2214" s="4"/>
      <c r="W2214" s="4"/>
      <c r="X2214" s="4"/>
      <c r="Y2214" s="4"/>
      <c r="Z2214" s="4"/>
    </row>
    <row r="2215" ht="15.75" customHeight="1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 t="str">
        <f>IFERROR(__xludf.DUMMYFUNCTION("""COMPUTED_VALUE"""),"maintenance plumber qualified")</f>
        <v>maintenance plumber qualified</v>
      </c>
      <c r="U2215" s="4"/>
      <c r="V2215" s="4"/>
      <c r="W2215" s="4"/>
      <c r="X2215" s="4"/>
      <c r="Y2215" s="4"/>
      <c r="Z2215" s="4"/>
    </row>
    <row r="2216" ht="15.75" customHeight="1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 t="str">
        <f>IFERROR(__xludf.DUMMYFUNCTION("""COMPUTED_VALUE"""),"maintenance plumber quote")</f>
        <v>maintenance plumber quote</v>
      </c>
      <c r="U2216" s="4"/>
      <c r="V2216" s="4"/>
      <c r="W2216" s="4"/>
      <c r="X2216" s="4"/>
      <c r="Y2216" s="4"/>
      <c r="Z2216" s="4"/>
    </row>
    <row r="2217" ht="15.75" customHeight="1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 t="str">
        <f>IFERROR(__xludf.DUMMYFUNCTION("""COMPUTED_VALUE"""),"maintenance plumber reliable")</f>
        <v>maintenance plumber reliable</v>
      </c>
      <c r="U2217" s="4"/>
      <c r="V2217" s="4"/>
      <c r="W2217" s="4"/>
      <c r="X2217" s="4"/>
      <c r="Y2217" s="4"/>
      <c r="Z2217" s="4"/>
    </row>
    <row r="2218" ht="15.75" customHeight="1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 t="str">
        <f>IFERROR(__xludf.DUMMYFUNCTION("""COMPUTED_VALUE"""),"maintenance plumber repair")</f>
        <v>maintenance plumber repair</v>
      </c>
      <c r="U2218" s="4"/>
      <c r="V2218" s="4"/>
      <c r="W2218" s="4"/>
      <c r="X2218" s="4"/>
      <c r="Y2218" s="4"/>
      <c r="Z2218" s="4"/>
    </row>
    <row r="2219" ht="15.75" customHeight="1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 t="str">
        <f>IFERROR(__xludf.DUMMYFUNCTION("""COMPUTED_VALUE"""),"maintenance plumber residential property")</f>
        <v>maintenance plumber residential property</v>
      </c>
      <c r="U2219" s="4"/>
      <c r="V2219" s="4"/>
      <c r="W2219" s="4"/>
      <c r="X2219" s="4"/>
      <c r="Y2219" s="4"/>
      <c r="Z2219" s="4"/>
    </row>
    <row r="2220" ht="15.75" customHeight="1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 t="str">
        <f>IFERROR(__xludf.DUMMYFUNCTION("""COMPUTED_VALUE"""),"maintenance plumber restaurant")</f>
        <v>maintenance plumber restaurant</v>
      </c>
      <c r="U2220" s="4"/>
      <c r="V2220" s="4"/>
      <c r="W2220" s="4"/>
      <c r="X2220" s="4"/>
      <c r="Y2220" s="4"/>
      <c r="Z2220" s="4"/>
    </row>
    <row r="2221" ht="15.75" customHeight="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 t="str">
        <f>IFERROR(__xludf.DUMMYFUNCTION("""COMPUTED_VALUE"""),"maintenance plumber same day")</f>
        <v>maintenance plumber same day</v>
      </c>
      <c r="U2221" s="4"/>
      <c r="V2221" s="4"/>
      <c r="W2221" s="4"/>
      <c r="X2221" s="4"/>
      <c r="Y2221" s="4"/>
      <c r="Z2221" s="4"/>
    </row>
    <row r="2222" ht="15.75" customHeight="1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 t="str">
        <f>IFERROR(__xludf.DUMMYFUNCTION("""COMPUTED_VALUE"""),"maintenance plumber school")</f>
        <v>maintenance plumber school</v>
      </c>
      <c r="U2222" s="4"/>
      <c r="V2222" s="4"/>
      <c r="W2222" s="4"/>
      <c r="X2222" s="4"/>
      <c r="Y2222" s="4"/>
      <c r="Z2222" s="4"/>
    </row>
    <row r="2223" ht="15.75" customHeight="1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 t="str">
        <f>IFERROR(__xludf.DUMMYFUNCTION("""COMPUTED_VALUE"""),"maintenance plumber service")</f>
        <v>maintenance plumber service</v>
      </c>
      <c r="U2223" s="4"/>
      <c r="V2223" s="4"/>
      <c r="W2223" s="4"/>
      <c r="X2223" s="4"/>
      <c r="Y2223" s="4"/>
      <c r="Z2223" s="4"/>
    </row>
    <row r="2224" ht="15.75" customHeight="1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 t="str">
        <f>IFERROR(__xludf.DUMMYFUNCTION("""COMPUTED_VALUE"""),"maintenance plumber shop")</f>
        <v>maintenance plumber shop</v>
      </c>
      <c r="U2224" s="4"/>
      <c r="V2224" s="4"/>
      <c r="W2224" s="4"/>
      <c r="X2224" s="4"/>
      <c r="Y2224" s="4"/>
      <c r="Z2224" s="4"/>
    </row>
    <row r="2225" ht="15.75" customHeight="1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 t="str">
        <f>IFERROR(__xludf.DUMMYFUNCTION("""COMPUTED_VALUE"""),"maintenance plumber tenant")</f>
        <v>maintenance plumber tenant</v>
      </c>
      <c r="U2225" s="4"/>
      <c r="V2225" s="4"/>
      <c r="W2225" s="4"/>
      <c r="X2225" s="4"/>
      <c r="Y2225" s="4"/>
      <c r="Z2225" s="4"/>
    </row>
    <row r="2226" ht="15.75" customHeight="1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 t="str">
        <f>IFERROR(__xludf.DUMMYFUNCTION("""COMPUTED_VALUE"""),"maintenance plumber top rated")</f>
        <v>maintenance plumber top rated</v>
      </c>
      <c r="U2226" s="4"/>
      <c r="V2226" s="4"/>
      <c r="W2226" s="4"/>
      <c r="X2226" s="4"/>
      <c r="Y2226" s="4"/>
      <c r="Z2226" s="4"/>
    </row>
    <row r="2227" ht="15.75" customHeight="1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 t="str">
        <f>IFERROR(__xludf.DUMMYFUNCTION("""COMPUTED_VALUE"""),"maintenance plumber townhouse")</f>
        <v>maintenance plumber townhouse</v>
      </c>
      <c r="U2227" s="4"/>
      <c r="V2227" s="4"/>
      <c r="W2227" s="4"/>
      <c r="X2227" s="4"/>
      <c r="Y2227" s="4"/>
      <c r="Z2227" s="4"/>
    </row>
    <row r="2228" ht="15.75" customHeight="1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 t="str">
        <f>IFERROR(__xludf.DUMMYFUNCTION("""COMPUTED_VALUE"""),"maintenance plumber trusted")</f>
        <v>maintenance plumber trusted</v>
      </c>
      <c r="U2228" s="4"/>
      <c r="V2228" s="4"/>
      <c r="W2228" s="4"/>
      <c r="X2228" s="4"/>
      <c r="Y2228" s="4"/>
      <c r="Z2228" s="4"/>
    </row>
    <row r="2229" ht="15.75" customHeight="1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 t="str">
        <f>IFERROR(__xludf.DUMMYFUNCTION("""COMPUTED_VALUE"""),"maintenance plumbing company")</f>
        <v>maintenance plumbing company</v>
      </c>
      <c r="U2229" s="4"/>
      <c r="V2229" s="4"/>
      <c r="W2229" s="4"/>
      <c r="X2229" s="4"/>
      <c r="Y2229" s="4"/>
      <c r="Z2229" s="4"/>
    </row>
    <row r="2230" ht="15.75" customHeight="1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 t="str">
        <f>IFERROR(__xludf.DUMMYFUNCTION("""COMPUTED_VALUE"""),"maintenance plumbing contractors")</f>
        <v>maintenance plumbing contractors</v>
      </c>
      <c r="U2230" s="4"/>
      <c r="V2230" s="4"/>
      <c r="W2230" s="4"/>
      <c r="X2230" s="4"/>
      <c r="Y2230" s="4"/>
      <c r="Z2230" s="4"/>
    </row>
    <row r="2231" ht="15.75" customHeight="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 t="str">
        <f>IFERROR(__xludf.DUMMYFUNCTION("""COMPUTED_VALUE"""),"maintenance plumbing inspection")</f>
        <v>maintenance plumbing inspection</v>
      </c>
      <c r="U2231" s="4"/>
      <c r="V2231" s="4"/>
      <c r="W2231" s="4"/>
      <c r="X2231" s="4"/>
      <c r="Y2231" s="4"/>
      <c r="Z2231" s="4"/>
    </row>
    <row r="2232" ht="15.75" customHeight="1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 t="str">
        <f>IFERROR(__xludf.DUMMYFUNCTION("""COMPUTED_VALUE"""),"maintenance plumbing installation")</f>
        <v>maintenance plumbing installation</v>
      </c>
      <c r="U2232" s="4"/>
      <c r="V2232" s="4"/>
      <c r="W2232" s="4"/>
      <c r="X2232" s="4"/>
      <c r="Y2232" s="4"/>
      <c r="Z2232" s="4"/>
    </row>
    <row r="2233" ht="15.75" customHeight="1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 t="str">
        <f>IFERROR(__xludf.DUMMYFUNCTION("""COMPUTED_VALUE"""),"maintenance plumbing repairs")</f>
        <v>maintenance plumbing repairs</v>
      </c>
      <c r="U2233" s="4"/>
      <c r="V2233" s="4"/>
      <c r="W2233" s="4"/>
      <c r="X2233" s="4"/>
      <c r="Y2233" s="4"/>
      <c r="Z2233" s="4"/>
    </row>
    <row r="2234" ht="15.75" customHeight="1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 t="str">
        <f>IFERROR(__xludf.DUMMYFUNCTION("""COMPUTED_VALUE"""),"maintenance plumbing services")</f>
        <v>maintenance plumbing services</v>
      </c>
      <c r="U2234" s="4"/>
      <c r="V2234" s="4"/>
      <c r="W2234" s="4"/>
      <c r="X2234" s="4"/>
      <c r="Y2234" s="4"/>
      <c r="Z2234" s="4"/>
    </row>
    <row r="2235" ht="15.75" customHeight="1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 t="str">
        <f>IFERROR(__xludf.DUMMYFUNCTION("""COMPUTED_VALUE"""),"maintenance refrigeration repair")</f>
        <v>maintenance refrigeration repair</v>
      </c>
      <c r="U2235" s="4"/>
      <c r="V2235" s="4"/>
      <c r="W2235" s="4"/>
      <c r="X2235" s="4"/>
      <c r="Y2235" s="4"/>
      <c r="Z2235" s="4"/>
    </row>
    <row r="2236" ht="15.75" customHeight="1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 t="str">
        <f>IFERROR(__xludf.DUMMYFUNCTION("""COMPUTED_VALUE"""),"maintenance residential plumber")</f>
        <v>maintenance residential plumber</v>
      </c>
      <c r="U2236" s="4"/>
      <c r="V2236" s="4"/>
      <c r="W2236" s="4"/>
      <c r="X2236" s="4"/>
      <c r="Y2236" s="4"/>
      <c r="Z2236" s="4"/>
    </row>
    <row r="2237" ht="15.75" customHeight="1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 t="str">
        <f>IFERROR(__xludf.DUMMYFUNCTION("""COMPUTED_VALUE"""),"Maitland aircon repairs")</f>
        <v>Maitland aircon repairs</v>
      </c>
      <c r="U2237" s="4"/>
      <c r="V2237" s="4"/>
      <c r="W2237" s="4"/>
      <c r="X2237" s="4"/>
      <c r="Y2237" s="4"/>
      <c r="Z2237" s="4"/>
    </row>
    <row r="2238" ht="15.75" customHeight="1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 t="str">
        <f>IFERROR(__xludf.DUMMYFUNCTION("""COMPUTED_VALUE"""),"Maitland blocked drain plumber")</f>
        <v>Maitland blocked drain plumber</v>
      </c>
      <c r="U2238" s="4"/>
      <c r="V2238" s="4"/>
      <c r="W2238" s="4"/>
      <c r="X2238" s="4"/>
      <c r="Y2238" s="4"/>
      <c r="Z2238" s="4"/>
    </row>
    <row r="2239" ht="15.75" customHeight="1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 t="str">
        <f>IFERROR(__xludf.DUMMYFUNCTION("""COMPUTED_VALUE"""),"Maitland electrician")</f>
        <v>Maitland electrician</v>
      </c>
      <c r="U2239" s="4"/>
      <c r="V2239" s="4"/>
      <c r="W2239" s="4"/>
      <c r="X2239" s="4"/>
      <c r="Y2239" s="4"/>
      <c r="Z2239" s="4"/>
    </row>
    <row r="2240" ht="15.75" customHeight="1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 t="str">
        <f>IFERROR(__xludf.DUMMYFUNCTION("""COMPUTED_VALUE"""),"Maitland emergency plumber")</f>
        <v>Maitland emergency plumber</v>
      </c>
      <c r="U2240" s="4"/>
      <c r="V2240" s="4"/>
      <c r="W2240" s="4"/>
      <c r="X2240" s="4"/>
      <c r="Y2240" s="4"/>
      <c r="Z2240" s="4"/>
    </row>
    <row r="2241" ht="15.75" customHeight="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 t="str">
        <f>IFERROR(__xludf.DUMMYFUNCTION("""COMPUTED_VALUE"""),"Maitland geyser repair")</f>
        <v>Maitland geyser repair</v>
      </c>
      <c r="U2241" s="4"/>
      <c r="V2241" s="4"/>
      <c r="W2241" s="4"/>
      <c r="X2241" s="4"/>
      <c r="Y2241" s="4"/>
      <c r="Z2241" s="4"/>
    </row>
    <row r="2242" ht="15.75" customHeight="1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 t="str">
        <f>IFERROR(__xludf.DUMMYFUNCTION("""COMPUTED_VALUE"""),"Maitland leak detection plumber")</f>
        <v>Maitland leak detection plumber</v>
      </c>
      <c r="U2242" s="4"/>
      <c r="V2242" s="4"/>
      <c r="W2242" s="4"/>
      <c r="X2242" s="4"/>
      <c r="Y2242" s="4"/>
      <c r="Z2242" s="4"/>
    </row>
    <row r="2243" ht="15.75" customHeight="1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 t="str">
        <f>IFERROR(__xludf.DUMMYFUNCTION("""COMPUTED_VALUE"""),"Maitland plumber")</f>
        <v>Maitland plumber</v>
      </c>
      <c r="U2243" s="4"/>
      <c r="V2243" s="4"/>
      <c r="W2243" s="4"/>
      <c r="X2243" s="4"/>
      <c r="Y2243" s="4"/>
      <c r="Z2243" s="4"/>
    </row>
    <row r="2244" ht="15.75" customHeight="1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 t="str">
        <f>IFERROR(__xludf.DUMMYFUNCTION("""COMPUTED_VALUE"""),"Maitland plumbers")</f>
        <v>Maitland plumbers</v>
      </c>
      <c r="U2244" s="4"/>
      <c r="V2244" s="4"/>
      <c r="W2244" s="4"/>
      <c r="X2244" s="4"/>
      <c r="Y2244" s="4"/>
      <c r="Z2244" s="4"/>
    </row>
    <row r="2245" ht="15.75" customHeight="1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 t="str">
        <f>IFERROR(__xludf.DUMMYFUNCTION("""COMPUTED_VALUE"""),"Maitland plumbing company")</f>
        <v>Maitland plumbing company</v>
      </c>
      <c r="U2245" s="4"/>
      <c r="V2245" s="4"/>
      <c r="W2245" s="4"/>
      <c r="X2245" s="4"/>
      <c r="Y2245" s="4"/>
      <c r="Z2245" s="4"/>
    </row>
    <row r="2246" ht="15.75" customHeight="1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 t="str">
        <f>IFERROR(__xludf.DUMMYFUNCTION("""COMPUTED_VALUE"""),"Maitland refrigeration services")</f>
        <v>Maitland refrigeration services</v>
      </c>
      <c r="U2246" s="4"/>
      <c r="V2246" s="4"/>
      <c r="W2246" s="4"/>
      <c r="X2246" s="4"/>
      <c r="Y2246" s="4"/>
      <c r="Z2246" s="4"/>
    </row>
    <row r="2247" ht="15.75" customHeight="1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 t="str">
        <f>IFERROR(__xludf.DUMMYFUNCTION("""COMPUTED_VALUE"""),"Milnerton aircon repairs")</f>
        <v>Milnerton aircon repairs</v>
      </c>
      <c r="U2247" s="4"/>
      <c r="V2247" s="4"/>
      <c r="W2247" s="4"/>
      <c r="X2247" s="4"/>
      <c r="Y2247" s="4"/>
      <c r="Z2247" s="4"/>
    </row>
    <row r="2248" ht="15.75" customHeight="1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 t="str">
        <f>IFERROR(__xludf.DUMMYFUNCTION("""COMPUTED_VALUE"""),"Milnerton blocked drain plumber")</f>
        <v>Milnerton blocked drain plumber</v>
      </c>
      <c r="U2248" s="4"/>
      <c r="V2248" s="4"/>
      <c r="W2248" s="4"/>
      <c r="X2248" s="4"/>
      <c r="Y2248" s="4"/>
      <c r="Z2248" s="4"/>
    </row>
    <row r="2249" ht="15.75" customHeight="1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 t="str">
        <f>IFERROR(__xludf.DUMMYFUNCTION("""COMPUTED_VALUE"""),"Milnerton electrician")</f>
        <v>Milnerton electrician</v>
      </c>
      <c r="U2249" s="4"/>
      <c r="V2249" s="4"/>
      <c r="W2249" s="4"/>
      <c r="X2249" s="4"/>
      <c r="Y2249" s="4"/>
      <c r="Z2249" s="4"/>
    </row>
    <row r="2250" ht="15.75" customHeight="1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 t="str">
        <f>IFERROR(__xludf.DUMMYFUNCTION("""COMPUTED_VALUE"""),"Milnerton emergency plumber")</f>
        <v>Milnerton emergency plumber</v>
      </c>
      <c r="U2250" s="4"/>
      <c r="V2250" s="4"/>
      <c r="W2250" s="4"/>
      <c r="X2250" s="4"/>
      <c r="Y2250" s="4"/>
      <c r="Z2250" s="4"/>
    </row>
    <row r="2251" ht="15.75" customHeight="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 t="str">
        <f>IFERROR(__xludf.DUMMYFUNCTION("""COMPUTED_VALUE"""),"Milnerton geyser repair")</f>
        <v>Milnerton geyser repair</v>
      </c>
      <c r="U2251" s="4"/>
      <c r="V2251" s="4"/>
      <c r="W2251" s="4"/>
      <c r="X2251" s="4"/>
      <c r="Y2251" s="4"/>
      <c r="Z2251" s="4"/>
    </row>
    <row r="2252" ht="15.75" customHeight="1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 t="str">
        <f>IFERROR(__xludf.DUMMYFUNCTION("""COMPUTED_VALUE"""),"Milnerton leak detection plumber")</f>
        <v>Milnerton leak detection plumber</v>
      </c>
      <c r="U2252" s="4"/>
      <c r="V2252" s="4"/>
      <c r="W2252" s="4"/>
      <c r="X2252" s="4"/>
      <c r="Y2252" s="4"/>
      <c r="Z2252" s="4"/>
    </row>
    <row r="2253" ht="15.75" customHeight="1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 t="str">
        <f>IFERROR(__xludf.DUMMYFUNCTION("""COMPUTED_VALUE"""),"Milnerton plumber")</f>
        <v>Milnerton plumber</v>
      </c>
      <c r="U2253" s="4"/>
      <c r="V2253" s="4"/>
      <c r="W2253" s="4"/>
      <c r="X2253" s="4"/>
      <c r="Y2253" s="4"/>
      <c r="Z2253" s="4"/>
    </row>
    <row r="2254" ht="15.75" customHeight="1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 t="str">
        <f>IFERROR(__xludf.DUMMYFUNCTION("""COMPUTED_VALUE"""),"Milnerton plumbers")</f>
        <v>Milnerton plumbers</v>
      </c>
      <c r="U2254" s="4"/>
      <c r="V2254" s="4"/>
      <c r="W2254" s="4"/>
      <c r="X2254" s="4"/>
      <c r="Y2254" s="4"/>
      <c r="Z2254" s="4"/>
    </row>
    <row r="2255" ht="15.75" customHeight="1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 t="str">
        <f>IFERROR(__xludf.DUMMYFUNCTION("""COMPUTED_VALUE"""),"Milnerton plumbing company")</f>
        <v>Milnerton plumbing company</v>
      </c>
      <c r="U2255" s="4"/>
      <c r="V2255" s="4"/>
      <c r="W2255" s="4"/>
      <c r="X2255" s="4"/>
      <c r="Y2255" s="4"/>
      <c r="Z2255" s="4"/>
    </row>
    <row r="2256" ht="15.75" customHeight="1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 t="str">
        <f>IFERROR(__xludf.DUMMYFUNCTION("""COMPUTED_VALUE"""),"Milnerton refrigeration services")</f>
        <v>Milnerton refrigeration services</v>
      </c>
      <c r="U2256" s="4"/>
      <c r="V2256" s="4"/>
      <c r="W2256" s="4"/>
      <c r="X2256" s="4"/>
      <c r="Y2256" s="4"/>
      <c r="Z2256" s="4"/>
    </row>
    <row r="2257" ht="15.75" customHeight="1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 t="str">
        <f>IFERROR(__xludf.DUMMYFUNCTION("""COMPUTED_VALUE"""),"Muizenberg aircon repairs")</f>
        <v>Muizenberg aircon repairs</v>
      </c>
      <c r="U2257" s="4"/>
      <c r="V2257" s="4"/>
      <c r="W2257" s="4"/>
      <c r="X2257" s="4"/>
      <c r="Y2257" s="4"/>
      <c r="Z2257" s="4"/>
    </row>
    <row r="2258" ht="15.75" customHeight="1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 t="str">
        <f>IFERROR(__xludf.DUMMYFUNCTION("""COMPUTED_VALUE"""),"Muizenberg blocked drain plumber")</f>
        <v>Muizenberg blocked drain plumber</v>
      </c>
      <c r="U2258" s="4"/>
      <c r="V2258" s="4"/>
      <c r="W2258" s="4"/>
      <c r="X2258" s="4"/>
      <c r="Y2258" s="4"/>
      <c r="Z2258" s="4"/>
    </row>
    <row r="2259" ht="15.75" customHeight="1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 t="str">
        <f>IFERROR(__xludf.DUMMYFUNCTION("""COMPUTED_VALUE"""),"Muizenberg electrician")</f>
        <v>Muizenberg electrician</v>
      </c>
      <c r="U2259" s="4"/>
      <c r="V2259" s="4"/>
      <c r="W2259" s="4"/>
      <c r="X2259" s="4"/>
      <c r="Y2259" s="4"/>
      <c r="Z2259" s="4"/>
    </row>
    <row r="2260" ht="15.75" customHeight="1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 t="str">
        <f>IFERROR(__xludf.DUMMYFUNCTION("""COMPUTED_VALUE"""),"Muizenberg emergency plumber")</f>
        <v>Muizenberg emergency plumber</v>
      </c>
      <c r="U2260" s="4"/>
      <c r="V2260" s="4"/>
      <c r="W2260" s="4"/>
      <c r="X2260" s="4"/>
      <c r="Y2260" s="4"/>
      <c r="Z2260" s="4"/>
    </row>
    <row r="2261" ht="15.75" customHeight="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 t="str">
        <f>IFERROR(__xludf.DUMMYFUNCTION("""COMPUTED_VALUE"""),"Muizenberg geyser repair")</f>
        <v>Muizenberg geyser repair</v>
      </c>
      <c r="U2261" s="4"/>
      <c r="V2261" s="4"/>
      <c r="W2261" s="4"/>
      <c r="X2261" s="4"/>
      <c r="Y2261" s="4"/>
      <c r="Z2261" s="4"/>
    </row>
    <row r="2262" ht="15.75" customHeight="1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 t="str">
        <f>IFERROR(__xludf.DUMMYFUNCTION("""COMPUTED_VALUE"""),"Muizenberg leak detection plumber")</f>
        <v>Muizenberg leak detection plumber</v>
      </c>
      <c r="U2262" s="4"/>
      <c r="V2262" s="4"/>
      <c r="W2262" s="4"/>
      <c r="X2262" s="4"/>
      <c r="Y2262" s="4"/>
      <c r="Z2262" s="4"/>
    </row>
    <row r="2263" ht="15.75" customHeight="1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 t="str">
        <f>IFERROR(__xludf.DUMMYFUNCTION("""COMPUTED_VALUE"""),"Muizenberg plumber")</f>
        <v>Muizenberg plumber</v>
      </c>
      <c r="U2263" s="4"/>
      <c r="V2263" s="4"/>
      <c r="W2263" s="4"/>
      <c r="X2263" s="4"/>
      <c r="Y2263" s="4"/>
      <c r="Z2263" s="4"/>
    </row>
    <row r="2264" ht="15.75" customHeight="1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 t="str">
        <f>IFERROR(__xludf.DUMMYFUNCTION("""COMPUTED_VALUE"""),"Muizenberg plumbers")</f>
        <v>Muizenberg plumbers</v>
      </c>
      <c r="U2264" s="4"/>
      <c r="V2264" s="4"/>
      <c r="W2264" s="4"/>
      <c r="X2264" s="4"/>
      <c r="Y2264" s="4"/>
      <c r="Z2264" s="4"/>
    </row>
    <row r="2265" ht="15.75" customHeight="1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 t="str">
        <f>IFERROR(__xludf.DUMMYFUNCTION("""COMPUTED_VALUE"""),"Muizenberg plumbing company")</f>
        <v>Muizenberg plumbing company</v>
      </c>
      <c r="U2265" s="4"/>
      <c r="V2265" s="4"/>
      <c r="W2265" s="4"/>
      <c r="X2265" s="4"/>
      <c r="Y2265" s="4"/>
      <c r="Z2265" s="4"/>
    </row>
    <row r="2266" ht="15.75" customHeight="1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 t="str">
        <f>IFERROR(__xludf.DUMMYFUNCTION("""COMPUTED_VALUE"""),"Muizenberg refrigeration services")</f>
        <v>Muizenberg refrigeration services</v>
      </c>
      <c r="U2266" s="4"/>
      <c r="V2266" s="4"/>
      <c r="W2266" s="4"/>
      <c r="X2266" s="4"/>
      <c r="Y2266" s="4"/>
      <c r="Z2266" s="4"/>
    </row>
    <row r="2267" ht="15.75" customHeight="1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 t="str">
        <f>IFERROR(__xludf.DUMMYFUNCTION("""COMPUTED_VALUE"""),"near me 24 hour plumber")</f>
        <v>near me 24 hour plumber</v>
      </c>
      <c r="U2267" s="4"/>
      <c r="V2267" s="4"/>
      <c r="W2267" s="4"/>
      <c r="X2267" s="4"/>
      <c r="Y2267" s="4"/>
      <c r="Z2267" s="4"/>
    </row>
    <row r="2268" ht="15.75" customHeight="1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 t="str">
        <f>IFERROR(__xludf.DUMMYFUNCTION("""COMPUTED_VALUE"""),"near me absolute plumbing cape town")</f>
        <v>near me absolute plumbing cape town</v>
      </c>
      <c r="U2268" s="4"/>
      <c r="V2268" s="4"/>
      <c r="W2268" s="4"/>
      <c r="X2268" s="4"/>
      <c r="Y2268" s="4"/>
      <c r="Z2268" s="4"/>
    </row>
    <row r="2269" ht="15.75" customHeight="1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 t="str">
        <f>IFERROR(__xludf.DUMMYFUNCTION("""COMPUTED_VALUE"""),"near me air conditioning")</f>
        <v>near me air conditioning</v>
      </c>
      <c r="U2269" s="4"/>
      <c r="V2269" s="4"/>
      <c r="W2269" s="4"/>
      <c r="X2269" s="4"/>
      <c r="Y2269" s="4"/>
      <c r="Z2269" s="4"/>
    </row>
    <row r="2270" ht="15.75" customHeight="1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 t="str">
        <f>IFERROR(__xludf.DUMMYFUNCTION("""COMPUTED_VALUE"""),"near me air conditioning repair")</f>
        <v>near me air conditioning repair</v>
      </c>
      <c r="U2270" s="4"/>
      <c r="V2270" s="4"/>
      <c r="W2270" s="4"/>
      <c r="X2270" s="4"/>
      <c r="Y2270" s="4"/>
      <c r="Z2270" s="4"/>
    </row>
    <row r="2271" ht="15.75" customHeight="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 t="str">
        <f>IFERROR(__xludf.DUMMYFUNCTION("""COMPUTED_VALUE"""),"near me aircon installation")</f>
        <v>near me aircon installation</v>
      </c>
      <c r="U2271" s="4"/>
      <c r="V2271" s="4"/>
      <c r="W2271" s="4"/>
      <c r="X2271" s="4"/>
      <c r="Y2271" s="4"/>
      <c r="Z2271" s="4"/>
    </row>
    <row r="2272" ht="15.75" customHeight="1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 t="str">
        <f>IFERROR(__xludf.DUMMYFUNCTION("""COMPUTED_VALUE"""),"near me aircon repair")</f>
        <v>near me aircon repair</v>
      </c>
      <c r="U2272" s="4"/>
      <c r="V2272" s="4"/>
      <c r="W2272" s="4"/>
      <c r="X2272" s="4"/>
      <c r="Y2272" s="4"/>
      <c r="Z2272" s="4"/>
    </row>
    <row r="2273" ht="15.75" customHeight="1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 t="str">
        <f>IFERROR(__xludf.DUMMYFUNCTION("""COMPUTED_VALUE"""),"near me aircon repair cape town")</f>
        <v>near me aircon repair cape town</v>
      </c>
      <c r="U2273" s="4"/>
      <c r="V2273" s="4"/>
      <c r="W2273" s="4"/>
      <c r="X2273" s="4"/>
      <c r="Y2273" s="4"/>
      <c r="Z2273" s="4"/>
    </row>
    <row r="2274" ht="15.75" customHeight="1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 t="str">
        <f>IFERROR(__xludf.DUMMYFUNCTION("""COMPUTED_VALUE"""),"near me aircon service")</f>
        <v>near me aircon service</v>
      </c>
      <c r="U2274" s="4"/>
      <c r="V2274" s="4"/>
      <c r="W2274" s="4"/>
      <c r="X2274" s="4"/>
      <c r="Y2274" s="4"/>
      <c r="Z2274" s="4"/>
    </row>
    <row r="2275" ht="15.75" customHeight="1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 t="str">
        <f>IFERROR(__xludf.DUMMYFUNCTION("""COMPUTED_VALUE"""),"near me bathroom plumbing repair")</f>
        <v>near me bathroom plumbing repair</v>
      </c>
      <c r="U2275" s="4"/>
      <c r="V2275" s="4"/>
      <c r="W2275" s="4"/>
      <c r="X2275" s="4"/>
      <c r="Y2275" s="4"/>
      <c r="Z2275" s="4"/>
    </row>
    <row r="2276" ht="15.75" customHeight="1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 t="str">
        <f>IFERROR(__xludf.DUMMYFUNCTION("""COMPUTED_VALUE"""),"near me blocked drain")</f>
        <v>near me blocked drain</v>
      </c>
      <c r="U2276" s="4"/>
      <c r="V2276" s="4"/>
      <c r="W2276" s="4"/>
      <c r="X2276" s="4"/>
      <c r="Y2276" s="4"/>
      <c r="Z2276" s="4"/>
    </row>
    <row r="2277" ht="15.75" customHeight="1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 t="str">
        <f>IFERROR(__xludf.DUMMYFUNCTION("""COMPUTED_VALUE"""),"near me blocked toilet plumber")</f>
        <v>near me blocked toilet plumber</v>
      </c>
      <c r="U2277" s="4"/>
      <c r="V2277" s="4"/>
      <c r="W2277" s="4"/>
      <c r="X2277" s="4"/>
      <c r="Y2277" s="4"/>
      <c r="Z2277" s="4"/>
    </row>
    <row r="2278" ht="15.75" customHeight="1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 t="str">
        <f>IFERROR(__xludf.DUMMYFUNCTION("""COMPUTED_VALUE"""),"near me bosman plumbers")</f>
        <v>near me bosman plumbers</v>
      </c>
      <c r="U2278" s="4"/>
      <c r="V2278" s="4"/>
      <c r="W2278" s="4"/>
      <c r="X2278" s="4"/>
      <c r="Y2278" s="4"/>
      <c r="Z2278" s="4"/>
    </row>
    <row r="2279" ht="15.75" customHeight="1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 t="str">
        <f>IFERROR(__xludf.DUMMYFUNCTION("""COMPUTED_VALUE"""),"near me burst geyser")</f>
        <v>near me burst geyser</v>
      </c>
      <c r="U2279" s="4"/>
      <c r="V2279" s="4"/>
      <c r="W2279" s="4"/>
      <c r="X2279" s="4"/>
      <c r="Y2279" s="4"/>
      <c r="Z2279" s="4"/>
    </row>
    <row r="2280" ht="15.75" customHeight="1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 t="str">
        <f>IFERROR(__xludf.DUMMYFUNCTION("""COMPUTED_VALUE"""),"near me burst pipe repair")</f>
        <v>near me burst pipe repair</v>
      </c>
      <c r="U2280" s="4"/>
      <c r="V2280" s="4"/>
      <c r="W2280" s="4"/>
      <c r="X2280" s="4"/>
      <c r="Y2280" s="4"/>
      <c r="Z2280" s="4"/>
    </row>
    <row r="2281" ht="15.75" customHeight="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 t="str">
        <f>IFERROR(__xludf.DUMMYFUNCTION("""COMPUTED_VALUE"""),"near me cold room repair")</f>
        <v>near me cold room repair</v>
      </c>
      <c r="U2281" s="4"/>
      <c r="V2281" s="4"/>
      <c r="W2281" s="4"/>
      <c r="X2281" s="4"/>
      <c r="Y2281" s="4"/>
      <c r="Z2281" s="4"/>
    </row>
    <row r="2282" ht="15.75" customHeight="1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 t="str">
        <f>IFERROR(__xludf.DUMMYFUNCTION("""COMPUTED_VALUE"""),"near me commercial electrician")</f>
        <v>near me commercial electrician</v>
      </c>
      <c r="U2282" s="4"/>
      <c r="V2282" s="4"/>
      <c r="W2282" s="4"/>
      <c r="X2282" s="4"/>
      <c r="Y2282" s="4"/>
      <c r="Z2282" s="4"/>
    </row>
    <row r="2283" ht="15.75" customHeight="1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 t="str">
        <f>IFERROR(__xludf.DUMMYFUNCTION("""COMPUTED_VALUE"""),"near me commercial plumber")</f>
        <v>near me commercial plumber</v>
      </c>
      <c r="U2283" s="4"/>
      <c r="V2283" s="4"/>
      <c r="W2283" s="4"/>
      <c r="X2283" s="4"/>
      <c r="Y2283" s="4"/>
      <c r="Z2283" s="4"/>
    </row>
    <row r="2284" ht="15.75" customHeight="1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 t="str">
        <f>IFERROR(__xludf.DUMMYFUNCTION("""COMPUTED_VALUE"""),"near me commercial refrigeration")</f>
        <v>near me commercial refrigeration</v>
      </c>
      <c r="U2284" s="4"/>
      <c r="V2284" s="4"/>
      <c r="W2284" s="4"/>
      <c r="X2284" s="4"/>
      <c r="Y2284" s="4"/>
      <c r="Z2284" s="4"/>
    </row>
    <row r="2285" ht="15.75" customHeight="1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 t="str">
        <f>IFERROR(__xludf.DUMMYFUNCTION("""COMPUTED_VALUE"""),"near me drain cleaning")</f>
        <v>near me drain cleaning</v>
      </c>
      <c r="U2285" s="4"/>
      <c r="V2285" s="4"/>
      <c r="W2285" s="4"/>
      <c r="X2285" s="4"/>
      <c r="Y2285" s="4"/>
      <c r="Z2285" s="4"/>
    </row>
    <row r="2286" ht="15.75" customHeight="1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 t="str">
        <f>IFERROR(__xludf.DUMMYFUNCTION("""COMPUTED_VALUE"""),"near me drain inspection")</f>
        <v>near me drain inspection</v>
      </c>
      <c r="U2286" s="4"/>
      <c r="V2286" s="4"/>
      <c r="W2286" s="4"/>
      <c r="X2286" s="4"/>
      <c r="Y2286" s="4"/>
      <c r="Z2286" s="4"/>
    </row>
    <row r="2287" ht="15.75" customHeight="1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 t="str">
        <f>IFERROR(__xludf.DUMMYFUNCTION("""COMPUTED_VALUE"""),"near me drain surgeon cape town")</f>
        <v>near me drain surgeon cape town</v>
      </c>
      <c r="U2287" s="4"/>
      <c r="V2287" s="4"/>
      <c r="W2287" s="4"/>
      <c r="X2287" s="4"/>
      <c r="Y2287" s="4"/>
      <c r="Z2287" s="4"/>
    </row>
    <row r="2288" ht="15.75" customHeight="1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 t="str">
        <f>IFERROR(__xludf.DUMMYFUNCTION("""COMPUTED_VALUE"""),"near me drain unblocking")</f>
        <v>near me drain unblocking</v>
      </c>
      <c r="U2288" s="4"/>
      <c r="V2288" s="4"/>
      <c r="W2288" s="4"/>
      <c r="X2288" s="4"/>
      <c r="Y2288" s="4"/>
      <c r="Z2288" s="4"/>
    </row>
    <row r="2289" ht="15.75" customHeight="1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 t="str">
        <f>IFERROR(__xludf.DUMMYFUNCTION("""COMPUTED_VALUE"""),"near me electrical compliance certificate")</f>
        <v>near me electrical compliance certificate</v>
      </c>
      <c r="U2289" s="4"/>
      <c r="V2289" s="4"/>
      <c r="W2289" s="4"/>
      <c r="X2289" s="4"/>
      <c r="Y2289" s="4"/>
      <c r="Z2289" s="4"/>
    </row>
    <row r="2290" ht="15.75" customHeight="1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 t="str">
        <f>IFERROR(__xludf.DUMMYFUNCTION("""COMPUTED_VALUE"""),"near me electrical contractor")</f>
        <v>near me electrical contractor</v>
      </c>
      <c r="U2290" s="4"/>
      <c r="V2290" s="4"/>
      <c r="W2290" s="4"/>
      <c r="X2290" s="4"/>
      <c r="Y2290" s="4"/>
      <c r="Z2290" s="4"/>
    </row>
    <row r="2291" ht="15.75" customHeight="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 t="str">
        <f>IFERROR(__xludf.DUMMYFUNCTION("""COMPUTED_VALUE"""),"near me electrical installation")</f>
        <v>near me electrical installation</v>
      </c>
      <c r="U2291" s="4"/>
      <c r="V2291" s="4"/>
      <c r="W2291" s="4"/>
      <c r="X2291" s="4"/>
      <c r="Y2291" s="4"/>
      <c r="Z2291" s="4"/>
    </row>
    <row r="2292" ht="15.75" customHeight="1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 t="str">
        <f>IFERROR(__xludf.DUMMYFUNCTION("""COMPUTED_VALUE"""),"near me electrical maintenance")</f>
        <v>near me electrical maintenance</v>
      </c>
      <c r="U2292" s="4"/>
      <c r="V2292" s="4"/>
      <c r="W2292" s="4"/>
      <c r="X2292" s="4"/>
      <c r="Y2292" s="4"/>
      <c r="Z2292" s="4"/>
    </row>
    <row r="2293" ht="15.75" customHeight="1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 t="str">
        <f>IFERROR(__xludf.DUMMYFUNCTION("""COMPUTED_VALUE"""),"near me electrical repairs")</f>
        <v>near me electrical repairs</v>
      </c>
      <c r="U2293" s="4"/>
      <c r="V2293" s="4"/>
      <c r="W2293" s="4"/>
      <c r="X2293" s="4"/>
      <c r="Y2293" s="4"/>
      <c r="Z2293" s="4"/>
    </row>
    <row r="2294" ht="15.75" customHeight="1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 t="str">
        <f>IFERROR(__xludf.DUMMYFUNCTION("""COMPUTED_VALUE"""),"near me electrical services")</f>
        <v>near me electrical services</v>
      </c>
      <c r="U2294" s="4"/>
      <c r="V2294" s="4"/>
      <c r="W2294" s="4"/>
      <c r="X2294" s="4"/>
      <c r="Y2294" s="4"/>
      <c r="Z2294" s="4"/>
    </row>
    <row r="2295" ht="15.75" customHeight="1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 t="str">
        <f>IFERROR(__xludf.DUMMYFUNCTION("""COMPUTED_VALUE"""),"near me electrician cape town")</f>
        <v>near me electrician cape town</v>
      </c>
      <c r="U2295" s="4"/>
      <c r="V2295" s="4"/>
      <c r="W2295" s="4"/>
      <c r="X2295" s="4"/>
      <c r="Y2295" s="4"/>
      <c r="Z2295" s="4"/>
    </row>
    <row r="2296" ht="15.75" customHeight="1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 t="str">
        <f>IFERROR(__xludf.DUMMYFUNCTION("""COMPUTED_VALUE"""),"near me emergency electrician")</f>
        <v>near me emergency electrician</v>
      </c>
      <c r="U2296" s="4"/>
      <c r="V2296" s="4"/>
      <c r="W2296" s="4"/>
      <c r="X2296" s="4"/>
      <c r="Y2296" s="4"/>
      <c r="Z2296" s="4"/>
    </row>
    <row r="2297" ht="15.75" customHeight="1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 t="str">
        <f>IFERROR(__xludf.DUMMYFUNCTION("""COMPUTED_VALUE"""),"near me emergency plumber")</f>
        <v>near me emergency plumber</v>
      </c>
      <c r="U2297" s="4"/>
      <c r="V2297" s="4"/>
      <c r="W2297" s="4"/>
      <c r="X2297" s="4"/>
      <c r="Y2297" s="4"/>
      <c r="Z2297" s="4"/>
    </row>
    <row r="2298" ht="15.75" customHeight="1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 t="str">
        <f>IFERROR(__xludf.DUMMYFUNCTION("""COMPUTED_VALUE"""),"near me emergency plumber cape town")</f>
        <v>near me emergency plumber cape town</v>
      </c>
      <c r="U2298" s="4"/>
      <c r="V2298" s="4"/>
      <c r="W2298" s="4"/>
      <c r="X2298" s="4"/>
      <c r="Y2298" s="4"/>
      <c r="Z2298" s="4"/>
    </row>
    <row r="2299" ht="15.75" customHeight="1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 t="str">
        <f>IFERROR(__xludf.DUMMYFUNCTION("""COMPUTED_VALUE"""),"near me for aircon service")</f>
        <v>near me for aircon service</v>
      </c>
      <c r="U2299" s="4"/>
      <c r="V2299" s="4"/>
      <c r="W2299" s="4"/>
      <c r="X2299" s="4"/>
      <c r="Y2299" s="4"/>
      <c r="Z2299" s="4"/>
    </row>
    <row r="2300" ht="15.75" customHeight="1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 t="str">
        <f>IFERROR(__xludf.DUMMYFUNCTION("""COMPUTED_VALUE"""),"near me for blocked drain")</f>
        <v>near me for blocked drain</v>
      </c>
      <c r="U2300" s="4"/>
      <c r="V2300" s="4"/>
      <c r="W2300" s="4"/>
      <c r="X2300" s="4"/>
      <c r="Y2300" s="4"/>
      <c r="Z2300" s="4"/>
    </row>
    <row r="2301" ht="15.75" customHeight="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 t="str">
        <f>IFERROR(__xludf.DUMMYFUNCTION("""COMPUTED_VALUE"""),"near me for burst pipe")</f>
        <v>near me for burst pipe</v>
      </c>
      <c r="U2301" s="4"/>
      <c r="V2301" s="4"/>
      <c r="W2301" s="4"/>
      <c r="X2301" s="4"/>
      <c r="Y2301" s="4"/>
      <c r="Z2301" s="4"/>
    </row>
    <row r="2302" ht="15.75" customHeight="1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 t="str">
        <f>IFERROR(__xludf.DUMMYFUNCTION("""COMPUTED_VALUE"""),"near me for electrical COC")</f>
        <v>near me for electrical COC</v>
      </c>
      <c r="U2302" s="4"/>
      <c r="V2302" s="4"/>
      <c r="W2302" s="4"/>
      <c r="X2302" s="4"/>
      <c r="Y2302" s="4"/>
      <c r="Z2302" s="4"/>
    </row>
    <row r="2303" ht="15.75" customHeight="1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 t="str">
        <f>IFERROR(__xludf.DUMMYFUNCTION("""COMPUTED_VALUE"""),"near me for emergency plumber")</f>
        <v>near me for emergency plumber</v>
      </c>
      <c r="U2303" s="4"/>
      <c r="V2303" s="4"/>
      <c r="W2303" s="4"/>
      <c r="X2303" s="4"/>
      <c r="Y2303" s="4"/>
      <c r="Z2303" s="4"/>
    </row>
    <row r="2304" ht="15.75" customHeight="1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 t="str">
        <f>IFERROR(__xludf.DUMMYFUNCTION("""COMPUTED_VALUE"""),"near me for geyser repair")</f>
        <v>near me for geyser repair</v>
      </c>
      <c r="U2304" s="4"/>
      <c r="V2304" s="4"/>
      <c r="W2304" s="4"/>
      <c r="X2304" s="4"/>
      <c r="Y2304" s="4"/>
      <c r="Z2304" s="4"/>
    </row>
    <row r="2305" ht="15.75" customHeight="1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 t="str">
        <f>IFERROR(__xludf.DUMMYFUNCTION("""COMPUTED_VALUE"""),"near me for leak detection")</f>
        <v>near me for leak detection</v>
      </c>
      <c r="U2305" s="4"/>
      <c r="V2305" s="4"/>
      <c r="W2305" s="4"/>
      <c r="X2305" s="4"/>
      <c r="Y2305" s="4"/>
      <c r="Z2305" s="4"/>
    </row>
    <row r="2306" ht="15.75" customHeight="1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 t="str">
        <f>IFERROR(__xludf.DUMMYFUNCTION("""COMPUTED_VALUE"""),"near me for plumber cost")</f>
        <v>near me for plumber cost</v>
      </c>
      <c r="U2306" s="4"/>
      <c r="V2306" s="4"/>
      <c r="W2306" s="4"/>
      <c r="X2306" s="4"/>
      <c r="Y2306" s="4"/>
      <c r="Z2306" s="4"/>
    </row>
    <row r="2307" ht="15.75" customHeight="1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 t="str">
        <f>IFERROR(__xludf.DUMMYFUNCTION("""COMPUTED_VALUE"""),"near me for plumbing maintenance")</f>
        <v>near me for plumbing maintenance</v>
      </c>
      <c r="U2307" s="4"/>
      <c r="V2307" s="4"/>
      <c r="W2307" s="4"/>
      <c r="X2307" s="4"/>
      <c r="Y2307" s="4"/>
      <c r="Z2307" s="4"/>
    </row>
    <row r="2308" ht="15.75" customHeight="1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 t="str">
        <f>IFERROR(__xludf.DUMMYFUNCTION("""COMPUTED_VALUE"""),"near me for refrigeration repair")</f>
        <v>near me for refrigeration repair</v>
      </c>
      <c r="U2308" s="4"/>
      <c r="V2308" s="4"/>
      <c r="W2308" s="4"/>
      <c r="X2308" s="4"/>
      <c r="Y2308" s="4"/>
      <c r="Z2308" s="4"/>
    </row>
    <row r="2309" ht="15.75" customHeight="1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 t="str">
        <f>IFERROR(__xludf.DUMMYFUNCTION("""COMPUTED_VALUE"""),"near me fridge repair")</f>
        <v>near me fridge repair</v>
      </c>
      <c r="U2309" s="4"/>
      <c r="V2309" s="4"/>
      <c r="W2309" s="4"/>
      <c r="X2309" s="4"/>
      <c r="Y2309" s="4"/>
      <c r="Z2309" s="4"/>
    </row>
    <row r="2310" ht="15.75" customHeight="1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 t="str">
        <f>IFERROR(__xludf.DUMMYFUNCTION("""COMPUTED_VALUE"""),"near me geyser repair")</f>
        <v>near me geyser repair</v>
      </c>
      <c r="U2310" s="4"/>
      <c r="V2310" s="4"/>
      <c r="W2310" s="4"/>
      <c r="X2310" s="4"/>
      <c r="Y2310" s="4"/>
      <c r="Z2310" s="4"/>
    </row>
    <row r="2311" ht="15.75" customHeight="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 t="str">
        <f>IFERROR(__xludf.DUMMYFUNCTION("""COMPUTED_VALUE"""),"near me geyser replacement")</f>
        <v>near me geyser replacement</v>
      </c>
      <c r="U2311" s="4"/>
      <c r="V2311" s="4"/>
      <c r="W2311" s="4"/>
      <c r="X2311" s="4"/>
      <c r="Y2311" s="4"/>
      <c r="Z2311" s="4"/>
    </row>
    <row r="2312" ht="15.75" customHeight="1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 t="str">
        <f>IFERROR(__xludf.DUMMYFUNCTION("""COMPUTED_VALUE"""),"near me HVAC services")</f>
        <v>near me HVAC services</v>
      </c>
      <c r="U2312" s="4"/>
      <c r="V2312" s="4"/>
      <c r="W2312" s="4"/>
      <c r="X2312" s="4"/>
      <c r="Y2312" s="4"/>
      <c r="Z2312" s="4"/>
    </row>
    <row r="2313" ht="15.75" customHeight="1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 t="str">
        <f>IFERROR(__xludf.DUMMYFUNCTION("""COMPUTED_VALUE"""),"near me kitchen plumbing repair")</f>
        <v>near me kitchen plumbing repair</v>
      </c>
      <c r="U2313" s="4"/>
      <c r="V2313" s="4"/>
      <c r="W2313" s="4"/>
      <c r="X2313" s="4"/>
      <c r="Y2313" s="4"/>
      <c r="Z2313" s="4"/>
    </row>
    <row r="2314" ht="15.75" customHeight="1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 t="str">
        <f>IFERROR(__xludf.DUMMYFUNCTION("""COMPUTED_VALUE"""),"near me leak detection")</f>
        <v>near me leak detection</v>
      </c>
      <c r="U2314" s="4"/>
      <c r="V2314" s="4"/>
      <c r="W2314" s="4"/>
      <c r="X2314" s="4"/>
      <c r="Y2314" s="4"/>
      <c r="Z2314" s="4"/>
    </row>
    <row r="2315" ht="15.75" customHeight="1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 t="str">
        <f>IFERROR(__xludf.DUMMYFUNCTION("""COMPUTED_VALUE"""),"near me leaking pipe repair")</f>
        <v>near me leaking pipe repair</v>
      </c>
      <c r="U2315" s="4"/>
      <c r="V2315" s="4"/>
      <c r="W2315" s="4"/>
      <c r="X2315" s="4"/>
      <c r="Y2315" s="4"/>
      <c r="Z2315" s="4"/>
    </row>
    <row r="2316" ht="15.75" customHeight="1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 t="str">
        <f>IFERROR(__xludf.DUMMYFUNCTION("""COMPUTED_VALUE"""),"near me leaking tap repair")</f>
        <v>near me leaking tap repair</v>
      </c>
      <c r="U2316" s="4"/>
      <c r="V2316" s="4"/>
      <c r="W2316" s="4"/>
      <c r="X2316" s="4"/>
      <c r="Y2316" s="4"/>
      <c r="Z2316" s="4"/>
    </row>
    <row r="2317" ht="15.75" customHeight="1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 t="str">
        <f>IFERROR(__xludf.DUMMYFUNCTION("""COMPUTED_VALUE"""),"near me maintenance plumber")</f>
        <v>near me maintenance plumber</v>
      </c>
      <c r="U2317" s="4"/>
      <c r="V2317" s="4"/>
      <c r="W2317" s="4"/>
      <c r="X2317" s="4"/>
      <c r="Y2317" s="4"/>
      <c r="Z2317" s="4"/>
    </row>
    <row r="2318" ht="15.75" customHeight="1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 t="str">
        <f>IFERROR(__xludf.DUMMYFUNCTION("""COMPUTED_VALUE"""),"near me pipe repair")</f>
        <v>near me pipe repair</v>
      </c>
      <c r="U2318" s="4"/>
      <c r="V2318" s="4"/>
      <c r="W2318" s="4"/>
      <c r="X2318" s="4"/>
      <c r="Y2318" s="4"/>
      <c r="Z2318" s="4"/>
    </row>
    <row r="2319" ht="15.75" customHeight="1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 t="str">
        <f>IFERROR(__xludf.DUMMYFUNCTION("""COMPUTED_VALUE"""),"near me plumber cape town")</f>
        <v>near me plumber cape town</v>
      </c>
      <c r="U2319" s="4"/>
      <c r="V2319" s="4"/>
      <c r="W2319" s="4"/>
      <c r="X2319" s="4"/>
      <c r="Y2319" s="4"/>
      <c r="Z2319" s="4"/>
    </row>
    <row r="2320" ht="15.75" customHeight="1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 t="str">
        <f>IFERROR(__xludf.DUMMYFUNCTION("""COMPUTED_VALUE"""),"near me plumbers cape town")</f>
        <v>near me plumbers cape town</v>
      </c>
      <c r="U2320" s="4"/>
      <c r="V2320" s="4"/>
      <c r="W2320" s="4"/>
      <c r="X2320" s="4"/>
      <c r="Y2320" s="4"/>
      <c r="Z2320" s="4"/>
    </row>
    <row r="2321" ht="15.75" customHeight="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 t="str">
        <f>IFERROR(__xludf.DUMMYFUNCTION("""COMPUTED_VALUE"""),"near me plumbing company")</f>
        <v>near me plumbing company</v>
      </c>
      <c r="U2321" s="4"/>
      <c r="V2321" s="4"/>
      <c r="W2321" s="4"/>
      <c r="X2321" s="4"/>
      <c r="Y2321" s="4"/>
      <c r="Z2321" s="4"/>
    </row>
    <row r="2322" ht="15.75" customHeight="1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 t="str">
        <f>IFERROR(__xludf.DUMMYFUNCTION("""COMPUTED_VALUE"""),"near me plumbing company cape town")</f>
        <v>near me plumbing company cape town</v>
      </c>
      <c r="U2322" s="4"/>
      <c r="V2322" s="4"/>
      <c r="W2322" s="4"/>
      <c r="X2322" s="4"/>
      <c r="Y2322" s="4"/>
      <c r="Z2322" s="4"/>
    </row>
    <row r="2323" ht="15.75" customHeight="1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 t="str">
        <f>IFERROR(__xludf.DUMMYFUNCTION("""COMPUTED_VALUE"""),"near me plumbing contractors")</f>
        <v>near me plumbing contractors</v>
      </c>
      <c r="U2323" s="4"/>
      <c r="V2323" s="4"/>
      <c r="W2323" s="4"/>
      <c r="X2323" s="4"/>
      <c r="Y2323" s="4"/>
      <c r="Z2323" s="4"/>
    </row>
    <row r="2324" ht="15.75" customHeight="1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 t="str">
        <f>IFERROR(__xludf.DUMMYFUNCTION("""COMPUTED_VALUE"""),"near me plumbing inspection")</f>
        <v>near me plumbing inspection</v>
      </c>
      <c r="U2324" s="4"/>
      <c r="V2324" s="4"/>
      <c r="W2324" s="4"/>
      <c r="X2324" s="4"/>
      <c r="Y2324" s="4"/>
      <c r="Z2324" s="4"/>
    </row>
    <row r="2325" ht="15.75" customHeight="1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 t="str">
        <f>IFERROR(__xludf.DUMMYFUNCTION("""COMPUTED_VALUE"""),"near me plumbing installation")</f>
        <v>near me plumbing installation</v>
      </c>
      <c r="U2325" s="4"/>
      <c r="V2325" s="4"/>
      <c r="W2325" s="4"/>
      <c r="X2325" s="4"/>
      <c r="Y2325" s="4"/>
      <c r="Z2325" s="4"/>
    </row>
    <row r="2326" ht="15.75" customHeight="1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 t="str">
        <f>IFERROR(__xludf.DUMMYFUNCTION("""COMPUTED_VALUE"""),"near me plumbing repairs")</f>
        <v>near me plumbing repairs</v>
      </c>
      <c r="U2326" s="4"/>
      <c r="V2326" s="4"/>
      <c r="W2326" s="4"/>
      <c r="X2326" s="4"/>
      <c r="Y2326" s="4"/>
      <c r="Z2326" s="4"/>
    </row>
    <row r="2327" ht="15.75" customHeight="1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 t="str">
        <f>IFERROR(__xludf.DUMMYFUNCTION("""COMPUTED_VALUE"""),"near me plumbing services")</f>
        <v>near me plumbing services</v>
      </c>
      <c r="U2327" s="4"/>
      <c r="V2327" s="4"/>
      <c r="W2327" s="4"/>
      <c r="X2327" s="4"/>
      <c r="Y2327" s="4"/>
      <c r="Z2327" s="4"/>
    </row>
    <row r="2328" ht="15.75" customHeight="1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 t="str">
        <f>IFERROR(__xludf.DUMMYFUNCTION("""COMPUTED_VALUE"""),"near me refrigeration repair")</f>
        <v>near me refrigeration repair</v>
      </c>
      <c r="U2328" s="4"/>
      <c r="V2328" s="4"/>
      <c r="W2328" s="4"/>
      <c r="X2328" s="4"/>
      <c r="Y2328" s="4"/>
      <c r="Z2328" s="4"/>
    </row>
    <row r="2329" ht="15.75" customHeight="1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 t="str">
        <f>IFERROR(__xludf.DUMMYFUNCTION("""COMPUTED_VALUE"""),"near me residential electrician")</f>
        <v>near me residential electrician</v>
      </c>
      <c r="U2329" s="4"/>
      <c r="V2329" s="4"/>
      <c r="W2329" s="4"/>
      <c r="X2329" s="4"/>
      <c r="Y2329" s="4"/>
      <c r="Z2329" s="4"/>
    </row>
    <row r="2330" ht="15.75" customHeight="1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 t="str">
        <f>IFERROR(__xludf.DUMMYFUNCTION("""COMPUTED_VALUE"""),"near me residential plumber")</f>
        <v>near me residential plumber</v>
      </c>
      <c r="U2330" s="4"/>
      <c r="V2330" s="4"/>
      <c r="W2330" s="4"/>
      <c r="X2330" s="4"/>
      <c r="Y2330" s="4"/>
      <c r="Z2330" s="4"/>
    </row>
    <row r="2331" ht="15.75" customHeight="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 t="str">
        <f>IFERROR(__xludf.DUMMYFUNCTION("""COMPUTED_VALUE"""),"near me schmidhauser plumbing")</f>
        <v>near me schmidhauser plumbing</v>
      </c>
      <c r="U2331" s="4"/>
      <c r="V2331" s="4"/>
      <c r="W2331" s="4"/>
      <c r="X2331" s="4"/>
      <c r="Y2331" s="4"/>
      <c r="Z2331" s="4"/>
    </row>
    <row r="2332" ht="15.75" customHeight="1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 t="str">
        <f>IFERROR(__xludf.DUMMYFUNCTION("""COMPUTED_VALUE"""),"near me toilet repair")</f>
        <v>near me toilet repair</v>
      </c>
      <c r="U2332" s="4"/>
      <c r="V2332" s="4"/>
      <c r="W2332" s="4"/>
      <c r="X2332" s="4"/>
      <c r="Y2332" s="4"/>
      <c r="Z2332" s="4"/>
    </row>
    <row r="2333" ht="15.75" customHeight="1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 t="str">
        <f>IFERROR(__xludf.DUMMYFUNCTION("""COMPUTED_VALUE"""),"near me water leak detection")</f>
        <v>near me water leak detection</v>
      </c>
      <c r="U2333" s="4"/>
      <c r="V2333" s="4"/>
      <c r="W2333" s="4"/>
      <c r="X2333" s="4"/>
      <c r="Y2333" s="4"/>
      <c r="Z2333" s="4"/>
    </row>
    <row r="2334" ht="15.75" customHeight="1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 t="str">
        <f>IFERROR(__xludf.DUMMYFUNCTION("""COMPUTED_VALUE"""),"near me water leak repair")</f>
        <v>near me water leak repair</v>
      </c>
      <c r="U2334" s="4"/>
      <c r="V2334" s="4"/>
      <c r="W2334" s="4"/>
      <c r="X2334" s="4"/>
      <c r="Y2334" s="4"/>
      <c r="Z2334" s="4"/>
    </row>
    <row r="2335" ht="15.75" customHeight="1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 t="str">
        <f>IFERROR(__xludf.DUMMYFUNCTION("""COMPUTED_VALUE"""),"Newlands aircon repairs")</f>
        <v>Newlands aircon repairs</v>
      </c>
      <c r="U2335" s="4"/>
      <c r="V2335" s="4"/>
      <c r="W2335" s="4"/>
      <c r="X2335" s="4"/>
      <c r="Y2335" s="4"/>
      <c r="Z2335" s="4"/>
    </row>
    <row r="2336" ht="15.75" customHeight="1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 t="str">
        <f>IFERROR(__xludf.DUMMYFUNCTION("""COMPUTED_VALUE"""),"Newlands blocked drain plumber")</f>
        <v>Newlands blocked drain plumber</v>
      </c>
      <c r="U2336" s="4"/>
      <c r="V2336" s="4"/>
      <c r="W2336" s="4"/>
      <c r="X2336" s="4"/>
      <c r="Y2336" s="4"/>
      <c r="Z2336" s="4"/>
    </row>
    <row r="2337" ht="15.75" customHeight="1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 t="str">
        <f>IFERROR(__xludf.DUMMYFUNCTION("""COMPUTED_VALUE"""),"Newlands electrician")</f>
        <v>Newlands electrician</v>
      </c>
      <c r="U2337" s="4"/>
      <c r="V2337" s="4"/>
      <c r="W2337" s="4"/>
      <c r="X2337" s="4"/>
      <c r="Y2337" s="4"/>
      <c r="Z2337" s="4"/>
    </row>
    <row r="2338" ht="15.75" customHeight="1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 t="str">
        <f>IFERROR(__xludf.DUMMYFUNCTION("""COMPUTED_VALUE"""),"Newlands emergency plumber")</f>
        <v>Newlands emergency plumber</v>
      </c>
      <c r="U2338" s="4"/>
      <c r="V2338" s="4"/>
      <c r="W2338" s="4"/>
      <c r="X2338" s="4"/>
      <c r="Y2338" s="4"/>
      <c r="Z2338" s="4"/>
    </row>
    <row r="2339" ht="15.75" customHeight="1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 t="str">
        <f>IFERROR(__xludf.DUMMYFUNCTION("""COMPUTED_VALUE"""),"Newlands geyser repair")</f>
        <v>Newlands geyser repair</v>
      </c>
      <c r="U2339" s="4"/>
      <c r="V2339" s="4"/>
      <c r="W2339" s="4"/>
      <c r="X2339" s="4"/>
      <c r="Y2339" s="4"/>
      <c r="Z2339" s="4"/>
    </row>
    <row r="2340" ht="15.75" customHeight="1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 t="str">
        <f>IFERROR(__xludf.DUMMYFUNCTION("""COMPUTED_VALUE"""),"Newlands leak detection plumber")</f>
        <v>Newlands leak detection plumber</v>
      </c>
      <c r="U2340" s="4"/>
      <c r="V2340" s="4"/>
      <c r="W2340" s="4"/>
      <c r="X2340" s="4"/>
      <c r="Y2340" s="4"/>
      <c r="Z2340" s="4"/>
    </row>
    <row r="2341" ht="15.75" customHeight="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 t="str">
        <f>IFERROR(__xludf.DUMMYFUNCTION("""COMPUTED_VALUE"""),"Newlands plumber")</f>
        <v>Newlands plumber</v>
      </c>
      <c r="U2341" s="4"/>
      <c r="V2341" s="4"/>
      <c r="W2341" s="4"/>
      <c r="X2341" s="4"/>
      <c r="Y2341" s="4"/>
      <c r="Z2341" s="4"/>
    </row>
    <row r="2342" ht="15.75" customHeight="1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 t="str">
        <f>IFERROR(__xludf.DUMMYFUNCTION("""COMPUTED_VALUE"""),"Newlands plumbers")</f>
        <v>Newlands plumbers</v>
      </c>
      <c r="U2342" s="4"/>
      <c r="V2342" s="4"/>
      <c r="W2342" s="4"/>
      <c r="X2342" s="4"/>
      <c r="Y2342" s="4"/>
      <c r="Z2342" s="4"/>
    </row>
    <row r="2343" ht="15.75" customHeight="1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 t="str">
        <f>IFERROR(__xludf.DUMMYFUNCTION("""COMPUTED_VALUE"""),"Newlands plumbing company")</f>
        <v>Newlands plumbing company</v>
      </c>
      <c r="U2343" s="4"/>
      <c r="V2343" s="4"/>
      <c r="W2343" s="4"/>
      <c r="X2343" s="4"/>
      <c r="Y2343" s="4"/>
      <c r="Z2343" s="4"/>
    </row>
    <row r="2344" ht="15.75" customHeight="1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 t="str">
        <f>IFERROR(__xludf.DUMMYFUNCTION("""COMPUTED_VALUE"""),"Newlands refrigeration services")</f>
        <v>Newlands refrigeration services</v>
      </c>
      <c r="U2344" s="4"/>
      <c r="V2344" s="4"/>
      <c r="W2344" s="4"/>
      <c r="X2344" s="4"/>
      <c r="Y2344" s="4"/>
      <c r="Z2344" s="4"/>
    </row>
    <row r="2345" ht="15.75" customHeight="1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 t="str">
        <f>IFERROR(__xludf.DUMMYFUNCTION("""COMPUTED_VALUE"""),"Northern Suburbs aircon repairs")</f>
        <v>Northern Suburbs aircon repairs</v>
      </c>
      <c r="U2345" s="4"/>
      <c r="V2345" s="4"/>
      <c r="W2345" s="4"/>
      <c r="X2345" s="4"/>
      <c r="Y2345" s="4"/>
      <c r="Z2345" s="4"/>
    </row>
    <row r="2346" ht="15.75" customHeight="1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 t="str">
        <f>IFERROR(__xludf.DUMMYFUNCTION("""COMPUTED_VALUE"""),"Northern Suburbs blocked drain plumber")</f>
        <v>Northern Suburbs blocked drain plumber</v>
      </c>
      <c r="U2346" s="4"/>
      <c r="V2346" s="4"/>
      <c r="W2346" s="4"/>
      <c r="X2346" s="4"/>
      <c r="Y2346" s="4"/>
      <c r="Z2346" s="4"/>
    </row>
    <row r="2347" ht="15.75" customHeight="1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 t="str">
        <f>IFERROR(__xludf.DUMMYFUNCTION("""COMPUTED_VALUE"""),"Northern Suburbs electrician")</f>
        <v>Northern Suburbs electrician</v>
      </c>
      <c r="U2347" s="4"/>
      <c r="V2347" s="4"/>
      <c r="W2347" s="4"/>
      <c r="X2347" s="4"/>
      <c r="Y2347" s="4"/>
      <c r="Z2347" s="4"/>
    </row>
    <row r="2348" ht="15.75" customHeight="1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 t="str">
        <f>IFERROR(__xludf.DUMMYFUNCTION("""COMPUTED_VALUE"""),"Northern Suburbs emergency plumber")</f>
        <v>Northern Suburbs emergency plumber</v>
      </c>
      <c r="U2348" s="4"/>
      <c r="V2348" s="4"/>
      <c r="W2348" s="4"/>
      <c r="X2348" s="4"/>
      <c r="Y2348" s="4"/>
      <c r="Z2348" s="4"/>
    </row>
    <row r="2349" ht="15.75" customHeight="1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 t="str">
        <f>IFERROR(__xludf.DUMMYFUNCTION("""COMPUTED_VALUE"""),"Northern Suburbs geyser repair")</f>
        <v>Northern Suburbs geyser repair</v>
      </c>
      <c r="U2349" s="4"/>
      <c r="V2349" s="4"/>
      <c r="W2349" s="4"/>
      <c r="X2349" s="4"/>
      <c r="Y2349" s="4"/>
      <c r="Z2349" s="4"/>
    </row>
    <row r="2350" ht="15.75" customHeight="1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 t="str">
        <f>IFERROR(__xludf.DUMMYFUNCTION("""COMPUTED_VALUE"""),"Northern Suburbs leak detection plumber")</f>
        <v>Northern Suburbs leak detection plumber</v>
      </c>
      <c r="U2350" s="4"/>
      <c r="V2350" s="4"/>
      <c r="W2350" s="4"/>
      <c r="X2350" s="4"/>
      <c r="Y2350" s="4"/>
      <c r="Z2350" s="4"/>
    </row>
    <row r="2351" ht="15.75" customHeight="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 t="str">
        <f>IFERROR(__xludf.DUMMYFUNCTION("""COMPUTED_VALUE"""),"Northern Suburbs plumber")</f>
        <v>Northern Suburbs plumber</v>
      </c>
      <c r="U2351" s="4"/>
      <c r="V2351" s="4"/>
      <c r="W2351" s="4"/>
      <c r="X2351" s="4"/>
      <c r="Y2351" s="4"/>
      <c r="Z2351" s="4"/>
    </row>
    <row r="2352" ht="15.75" customHeight="1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 t="str">
        <f>IFERROR(__xludf.DUMMYFUNCTION("""COMPUTED_VALUE"""),"Northern Suburbs plumbers")</f>
        <v>Northern Suburbs plumbers</v>
      </c>
      <c r="U2352" s="4"/>
      <c r="V2352" s="4"/>
      <c r="W2352" s="4"/>
      <c r="X2352" s="4"/>
      <c r="Y2352" s="4"/>
      <c r="Z2352" s="4"/>
    </row>
    <row r="2353" ht="15.75" customHeight="1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 t="str">
        <f>IFERROR(__xludf.DUMMYFUNCTION("""COMPUTED_VALUE"""),"Northern Suburbs plumbing company")</f>
        <v>Northern Suburbs plumbing company</v>
      </c>
      <c r="U2353" s="4"/>
      <c r="V2353" s="4"/>
      <c r="W2353" s="4"/>
      <c r="X2353" s="4"/>
      <c r="Y2353" s="4"/>
      <c r="Z2353" s="4"/>
    </row>
    <row r="2354" ht="15.75" customHeight="1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 t="str">
        <f>IFERROR(__xludf.DUMMYFUNCTION("""COMPUTED_VALUE"""),"Northern Suburbs refrigeration services")</f>
        <v>Northern Suburbs refrigeration services</v>
      </c>
      <c r="U2354" s="4"/>
      <c r="V2354" s="4"/>
      <c r="W2354" s="4"/>
      <c r="X2354" s="4"/>
      <c r="Y2354" s="4"/>
      <c r="Z2354" s="4"/>
    </row>
    <row r="2355" ht="15.75" customHeight="1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 t="str">
        <f>IFERROR(__xludf.DUMMYFUNCTION("""COMPUTED_VALUE"""),"Observatory aircon repairs")</f>
        <v>Observatory aircon repairs</v>
      </c>
      <c r="U2355" s="4"/>
      <c r="V2355" s="4"/>
      <c r="W2355" s="4"/>
      <c r="X2355" s="4"/>
      <c r="Y2355" s="4"/>
      <c r="Z2355" s="4"/>
    </row>
    <row r="2356" ht="15.75" customHeight="1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 t="str">
        <f>IFERROR(__xludf.DUMMYFUNCTION("""COMPUTED_VALUE"""),"Observatory blocked drain plumber")</f>
        <v>Observatory blocked drain plumber</v>
      </c>
      <c r="U2356" s="4"/>
      <c r="V2356" s="4"/>
      <c r="W2356" s="4"/>
      <c r="X2356" s="4"/>
      <c r="Y2356" s="4"/>
      <c r="Z2356" s="4"/>
    </row>
    <row r="2357" ht="15.75" customHeight="1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 t="str">
        <f>IFERROR(__xludf.DUMMYFUNCTION("""COMPUTED_VALUE"""),"Observatory electrician")</f>
        <v>Observatory electrician</v>
      </c>
      <c r="U2357" s="4"/>
      <c r="V2357" s="4"/>
      <c r="W2357" s="4"/>
      <c r="X2357" s="4"/>
      <c r="Y2357" s="4"/>
      <c r="Z2357" s="4"/>
    </row>
    <row r="2358" ht="15.75" customHeight="1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 t="str">
        <f>IFERROR(__xludf.DUMMYFUNCTION("""COMPUTED_VALUE"""),"Observatory emergency plumber")</f>
        <v>Observatory emergency plumber</v>
      </c>
      <c r="U2358" s="4"/>
      <c r="V2358" s="4"/>
      <c r="W2358" s="4"/>
      <c r="X2358" s="4"/>
      <c r="Y2358" s="4"/>
      <c r="Z2358" s="4"/>
    </row>
    <row r="2359" ht="15.75" customHeight="1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 t="str">
        <f>IFERROR(__xludf.DUMMYFUNCTION("""COMPUTED_VALUE"""),"Observatory geyser repair")</f>
        <v>Observatory geyser repair</v>
      </c>
      <c r="U2359" s="4"/>
      <c r="V2359" s="4"/>
      <c r="W2359" s="4"/>
      <c r="X2359" s="4"/>
      <c r="Y2359" s="4"/>
      <c r="Z2359" s="4"/>
    </row>
    <row r="2360" ht="15.75" customHeight="1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 t="str">
        <f>IFERROR(__xludf.DUMMYFUNCTION("""COMPUTED_VALUE"""),"Observatory leak detection plumber")</f>
        <v>Observatory leak detection plumber</v>
      </c>
      <c r="U2360" s="4"/>
      <c r="V2360" s="4"/>
      <c r="W2360" s="4"/>
      <c r="X2360" s="4"/>
      <c r="Y2360" s="4"/>
      <c r="Z2360" s="4"/>
    </row>
    <row r="2361" ht="15.75" customHeight="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 t="str">
        <f>IFERROR(__xludf.DUMMYFUNCTION("""COMPUTED_VALUE"""),"Observatory plumber")</f>
        <v>Observatory plumber</v>
      </c>
      <c r="U2361" s="4"/>
      <c r="V2361" s="4"/>
      <c r="W2361" s="4"/>
      <c r="X2361" s="4"/>
      <c r="Y2361" s="4"/>
      <c r="Z2361" s="4"/>
    </row>
    <row r="2362" ht="15.75" customHeight="1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 t="str">
        <f>IFERROR(__xludf.DUMMYFUNCTION("""COMPUTED_VALUE"""),"Observatory plumbers")</f>
        <v>Observatory plumbers</v>
      </c>
      <c r="U2362" s="4"/>
      <c r="V2362" s="4"/>
      <c r="W2362" s="4"/>
      <c r="X2362" s="4"/>
      <c r="Y2362" s="4"/>
      <c r="Z2362" s="4"/>
    </row>
    <row r="2363" ht="15.75" customHeight="1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 t="str">
        <f>IFERROR(__xludf.DUMMYFUNCTION("""COMPUTED_VALUE"""),"Observatory plumbing company")</f>
        <v>Observatory plumbing company</v>
      </c>
      <c r="U2363" s="4"/>
      <c r="V2363" s="4"/>
      <c r="W2363" s="4"/>
      <c r="X2363" s="4"/>
      <c r="Y2363" s="4"/>
      <c r="Z2363" s="4"/>
    </row>
    <row r="2364" ht="15.75" customHeight="1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 t="str">
        <f>IFERROR(__xludf.DUMMYFUNCTION("""COMPUTED_VALUE"""),"Observatory refrigeration services")</f>
        <v>Observatory refrigeration services</v>
      </c>
      <c r="U2364" s="4"/>
      <c r="V2364" s="4"/>
      <c r="W2364" s="4"/>
      <c r="X2364" s="4"/>
      <c r="Y2364" s="4"/>
      <c r="Z2364" s="4"/>
    </row>
    <row r="2365" ht="15.75" customHeight="1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 t="str">
        <f>IFERROR(__xludf.DUMMYFUNCTION("""COMPUTED_VALUE"""),"office air conditioning services")</f>
        <v>office air conditioning services</v>
      </c>
      <c r="U2365" s="4"/>
      <c r="V2365" s="4"/>
      <c r="W2365" s="4"/>
      <c r="X2365" s="4"/>
      <c r="Y2365" s="4"/>
      <c r="Z2365" s="4"/>
    </row>
    <row r="2366" ht="15.75" customHeight="1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 t="str">
        <f>IFERROR(__xludf.DUMMYFUNCTION("""COMPUTED_VALUE"""),"office drain cleaning")</f>
        <v>office drain cleaning</v>
      </c>
      <c r="U2366" s="4"/>
      <c r="V2366" s="4"/>
      <c r="W2366" s="4"/>
      <c r="X2366" s="4"/>
      <c r="Y2366" s="4"/>
      <c r="Z2366" s="4"/>
    </row>
    <row r="2367" ht="15.75" customHeight="1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 t="str">
        <f>IFERROR(__xludf.DUMMYFUNCTION("""COMPUTED_VALUE"""),"office electrical repairs")</f>
        <v>office electrical repairs</v>
      </c>
      <c r="U2367" s="4"/>
      <c r="V2367" s="4"/>
      <c r="W2367" s="4"/>
      <c r="X2367" s="4"/>
      <c r="Y2367" s="4"/>
      <c r="Z2367" s="4"/>
    </row>
    <row r="2368" ht="15.75" customHeight="1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 t="str">
        <f>IFERROR(__xludf.DUMMYFUNCTION("""COMPUTED_VALUE"""),"office emergency plumbing")</f>
        <v>office emergency plumbing</v>
      </c>
      <c r="U2368" s="4"/>
      <c r="V2368" s="4"/>
      <c r="W2368" s="4"/>
      <c r="X2368" s="4"/>
      <c r="Y2368" s="4"/>
      <c r="Z2368" s="4"/>
    </row>
    <row r="2369" ht="15.75" customHeight="1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 t="str">
        <f>IFERROR(__xludf.DUMMYFUNCTION("""COMPUTED_VALUE"""),"office geyser repairs")</f>
        <v>office geyser repairs</v>
      </c>
      <c r="U2369" s="4"/>
      <c r="V2369" s="4"/>
      <c r="W2369" s="4"/>
      <c r="X2369" s="4"/>
      <c r="Y2369" s="4"/>
      <c r="Z2369" s="4"/>
    </row>
    <row r="2370" ht="15.75" customHeight="1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 t="str">
        <f>IFERROR(__xludf.DUMMYFUNCTION("""COMPUTED_VALUE"""),"office leak detection")</f>
        <v>office leak detection</v>
      </c>
      <c r="U2370" s="4"/>
      <c r="V2370" s="4"/>
      <c r="W2370" s="4"/>
      <c r="X2370" s="4"/>
      <c r="Y2370" s="4"/>
      <c r="Z2370" s="4"/>
    </row>
    <row r="2371" ht="15.75" customHeight="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 t="str">
        <f>IFERROR(__xludf.DUMMYFUNCTION("""COMPUTED_VALUE"""),"office maintenance plumber")</f>
        <v>office maintenance plumber</v>
      </c>
      <c r="U2371" s="4"/>
      <c r="V2371" s="4"/>
      <c r="W2371" s="4"/>
      <c r="X2371" s="4"/>
      <c r="Y2371" s="4"/>
      <c r="Z2371" s="4"/>
    </row>
    <row r="2372" ht="15.75" customHeight="1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 t="str">
        <f>IFERROR(__xludf.DUMMYFUNCTION("""COMPUTED_VALUE"""),"office plumbing company")</f>
        <v>office plumbing company</v>
      </c>
      <c r="U2372" s="4"/>
      <c r="V2372" s="4"/>
      <c r="W2372" s="4"/>
      <c r="X2372" s="4"/>
      <c r="Y2372" s="4"/>
      <c r="Z2372" s="4"/>
    </row>
    <row r="2373" ht="15.75" customHeight="1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 t="str">
        <f>IFERROR(__xludf.DUMMYFUNCTION("""COMPUTED_VALUE"""),"office plumbing services")</f>
        <v>office plumbing services</v>
      </c>
      <c r="U2373" s="4"/>
      <c r="V2373" s="4"/>
      <c r="W2373" s="4"/>
      <c r="X2373" s="4"/>
      <c r="Y2373" s="4"/>
      <c r="Z2373" s="4"/>
    </row>
    <row r="2374" ht="15.75" customHeight="1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 t="str">
        <f>IFERROR(__xludf.DUMMYFUNCTION("""COMPUTED_VALUE"""),"office refrigeration services")</f>
        <v>office refrigeration services</v>
      </c>
      <c r="U2374" s="4"/>
      <c r="V2374" s="4"/>
      <c r="W2374" s="4"/>
      <c r="X2374" s="4"/>
      <c r="Y2374" s="4"/>
      <c r="Z2374" s="4"/>
    </row>
    <row r="2375" ht="15.75" customHeight="1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 t="str">
        <f>IFERROR(__xludf.DUMMYFUNCTION("""COMPUTED_VALUE"""),"pipe repair")</f>
        <v>pipe repair</v>
      </c>
      <c r="U2375" s="4"/>
      <c r="V2375" s="4"/>
      <c r="W2375" s="4"/>
      <c r="X2375" s="4"/>
      <c r="Y2375" s="4"/>
      <c r="Z2375" s="4"/>
    </row>
    <row r="2376" ht="15.75" customHeight="1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 t="str">
        <f>IFERROR(__xludf.DUMMYFUNCTION("""COMPUTED_VALUE"""),"pipe repair affordable")</f>
        <v>pipe repair affordable</v>
      </c>
      <c r="U2376" s="4"/>
      <c r="V2376" s="4"/>
      <c r="W2376" s="4"/>
      <c r="X2376" s="4"/>
      <c r="Y2376" s="4"/>
      <c r="Z2376" s="4"/>
    </row>
    <row r="2377" ht="15.75" customHeight="1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 t="str">
        <f>IFERROR(__xludf.DUMMYFUNCTION("""COMPUTED_VALUE"""),"pipe repair best")</f>
        <v>pipe repair best</v>
      </c>
      <c r="U2377" s="4"/>
      <c r="V2377" s="4"/>
      <c r="W2377" s="4"/>
      <c r="X2377" s="4"/>
      <c r="Y2377" s="4"/>
      <c r="Z2377" s="4"/>
    </row>
    <row r="2378" ht="15.75" customHeight="1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 t="str">
        <f>IFERROR(__xludf.DUMMYFUNCTION("""COMPUTED_VALUE"""),"pipe repair cape town")</f>
        <v>pipe repair cape town</v>
      </c>
      <c r="U2378" s="4"/>
      <c r="V2378" s="4"/>
      <c r="W2378" s="4"/>
      <c r="X2378" s="4"/>
      <c r="Y2378" s="4"/>
      <c r="Z2378" s="4"/>
    </row>
    <row r="2379" ht="15.75" customHeight="1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 t="str">
        <f>IFERROR(__xludf.DUMMYFUNCTION("""COMPUTED_VALUE"""),"pipe repair CCTV")</f>
        <v>pipe repair CCTV</v>
      </c>
      <c r="U2379" s="4"/>
      <c r="V2379" s="4"/>
      <c r="W2379" s="4"/>
      <c r="X2379" s="4"/>
      <c r="Y2379" s="4"/>
      <c r="Z2379" s="4"/>
    </row>
    <row r="2380" ht="15.75" customHeight="1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 t="str">
        <f>IFERROR(__xludf.DUMMYFUNCTION("""COMPUTED_VALUE"""),"pipe repair commercial")</f>
        <v>pipe repair commercial</v>
      </c>
      <c r="U2380" s="4"/>
      <c r="V2380" s="4"/>
      <c r="W2380" s="4"/>
      <c r="X2380" s="4"/>
      <c r="Y2380" s="4"/>
      <c r="Z2380" s="4"/>
    </row>
    <row r="2381" ht="15.75" customHeight="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 t="str">
        <f>IFERROR(__xludf.DUMMYFUNCTION("""COMPUTED_VALUE"""),"pipe repair cost")</f>
        <v>pipe repair cost</v>
      </c>
      <c r="U2381" s="4"/>
      <c r="V2381" s="4"/>
      <c r="W2381" s="4"/>
      <c r="X2381" s="4"/>
      <c r="Y2381" s="4"/>
      <c r="Z2381" s="4"/>
    </row>
    <row r="2382" ht="15.75" customHeight="1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 t="str">
        <f>IFERROR(__xludf.DUMMYFUNCTION("""COMPUTED_VALUE"""),"pipe repair emergency")</f>
        <v>pipe repair emergency</v>
      </c>
      <c r="U2382" s="4"/>
      <c r="V2382" s="4"/>
      <c r="W2382" s="4"/>
      <c r="X2382" s="4"/>
      <c r="Y2382" s="4"/>
      <c r="Z2382" s="4"/>
    </row>
    <row r="2383" ht="15.75" customHeight="1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 t="str">
        <f>IFERROR(__xludf.DUMMYFUNCTION("""COMPUTED_VALUE"""),"pipe repair high pressure jetting")</f>
        <v>pipe repair high pressure jetting</v>
      </c>
      <c r="U2383" s="4"/>
      <c r="V2383" s="4"/>
      <c r="W2383" s="4"/>
      <c r="X2383" s="4"/>
      <c r="Y2383" s="4"/>
      <c r="Z2383" s="4"/>
    </row>
    <row r="2384" ht="15.75" customHeight="1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 t="str">
        <f>IFERROR(__xludf.DUMMYFUNCTION("""COMPUTED_VALUE"""),"pipe repair installation")</f>
        <v>pipe repair installation</v>
      </c>
      <c r="U2384" s="4"/>
      <c r="V2384" s="4"/>
      <c r="W2384" s="4"/>
      <c r="X2384" s="4"/>
      <c r="Y2384" s="4"/>
      <c r="Z2384" s="4"/>
    </row>
    <row r="2385" ht="15.75" customHeight="1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 t="str">
        <f>IFERROR(__xludf.DUMMYFUNCTION("""COMPUTED_VALUE"""),"pipe repair near me")</f>
        <v>pipe repair near me</v>
      </c>
      <c r="U2385" s="4"/>
      <c r="V2385" s="4"/>
      <c r="W2385" s="4"/>
      <c r="X2385" s="4"/>
      <c r="Y2385" s="4"/>
      <c r="Z2385" s="4"/>
    </row>
    <row r="2386" ht="15.75" customHeight="1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 t="str">
        <f>IFERROR(__xludf.DUMMYFUNCTION("""COMPUTED_VALUE"""),"pipe repair plumber")</f>
        <v>pipe repair plumber</v>
      </c>
      <c r="U2386" s="4"/>
      <c r="V2386" s="4"/>
      <c r="W2386" s="4"/>
      <c r="X2386" s="4"/>
      <c r="Y2386" s="4"/>
      <c r="Z2386" s="4"/>
    </row>
    <row r="2387" ht="15.75" customHeight="1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 t="str">
        <f>IFERROR(__xludf.DUMMYFUNCTION("""COMPUTED_VALUE"""),"pipe repair plumbing company")</f>
        <v>pipe repair plumbing company</v>
      </c>
      <c r="U2387" s="4"/>
      <c r="V2387" s="4"/>
      <c r="W2387" s="4"/>
      <c r="X2387" s="4"/>
      <c r="Y2387" s="4"/>
      <c r="Z2387" s="4"/>
    </row>
    <row r="2388" ht="15.75" customHeight="1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 t="str">
        <f>IFERROR(__xludf.DUMMYFUNCTION("""COMPUTED_VALUE"""),"pipe repair quote")</f>
        <v>pipe repair quote</v>
      </c>
      <c r="U2388" s="4"/>
      <c r="V2388" s="4"/>
      <c r="W2388" s="4"/>
      <c r="X2388" s="4"/>
      <c r="Y2388" s="4"/>
      <c r="Z2388" s="4"/>
    </row>
    <row r="2389" ht="15.75" customHeight="1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 t="str">
        <f>IFERROR(__xludf.DUMMYFUNCTION("""COMPUTED_VALUE"""),"pipe repair reliable")</f>
        <v>pipe repair reliable</v>
      </c>
      <c r="U2389" s="4"/>
      <c r="V2389" s="4"/>
      <c r="W2389" s="4"/>
      <c r="X2389" s="4"/>
      <c r="Y2389" s="4"/>
      <c r="Z2389" s="4"/>
    </row>
    <row r="2390" ht="15.75" customHeight="1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 t="str">
        <f>IFERROR(__xludf.DUMMYFUNCTION("""COMPUTED_VALUE"""),"pipe repair replacement")</f>
        <v>pipe repair replacement</v>
      </c>
      <c r="U2390" s="4"/>
      <c r="V2390" s="4"/>
      <c r="W2390" s="4"/>
      <c r="X2390" s="4"/>
      <c r="Y2390" s="4"/>
      <c r="Z2390" s="4"/>
    </row>
    <row r="2391" ht="15.75" customHeight="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 t="str">
        <f>IFERROR(__xludf.DUMMYFUNCTION("""COMPUTED_VALUE"""),"pipe repair residential")</f>
        <v>pipe repair residential</v>
      </c>
      <c r="U2391" s="4"/>
      <c r="V2391" s="4"/>
      <c r="W2391" s="4"/>
      <c r="X2391" s="4"/>
      <c r="Y2391" s="4"/>
      <c r="Z2391" s="4"/>
    </row>
    <row r="2392" ht="15.75" customHeight="1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 t="str">
        <f>IFERROR(__xludf.DUMMYFUNCTION("""COMPUTED_VALUE"""),"pipe repair same day")</f>
        <v>pipe repair same day</v>
      </c>
      <c r="U2392" s="4"/>
      <c r="V2392" s="4"/>
      <c r="W2392" s="4"/>
      <c r="X2392" s="4"/>
      <c r="Y2392" s="4"/>
      <c r="Z2392" s="4"/>
    </row>
    <row r="2393" ht="15.75" customHeight="1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 t="str">
        <f>IFERROR(__xludf.DUMMYFUNCTION("""COMPUTED_VALUE"""),"pipe repair service")</f>
        <v>pipe repair service</v>
      </c>
      <c r="U2393" s="4"/>
      <c r="V2393" s="4"/>
      <c r="W2393" s="4"/>
      <c r="X2393" s="4"/>
      <c r="Y2393" s="4"/>
      <c r="Z2393" s="4"/>
    </row>
    <row r="2394" ht="15.75" customHeight="1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 t="str">
        <f>IFERROR(__xludf.DUMMYFUNCTION("""COMPUTED_VALUE"""),"pipe repair specialist")</f>
        <v>pipe repair specialist</v>
      </c>
      <c r="U2394" s="4"/>
      <c r="V2394" s="4"/>
      <c r="W2394" s="4"/>
      <c r="X2394" s="4"/>
      <c r="Y2394" s="4"/>
      <c r="Z2394" s="4"/>
    </row>
    <row r="2395" ht="15.75" customHeight="1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 t="str">
        <f>IFERROR(__xludf.DUMMYFUNCTION("""COMPUTED_VALUE"""),"plumber Atlantic Seaboard")</f>
        <v>plumber Atlantic Seaboard</v>
      </c>
      <c r="U2395" s="4"/>
      <c r="V2395" s="4"/>
      <c r="W2395" s="4"/>
      <c r="X2395" s="4"/>
      <c r="Y2395" s="4"/>
      <c r="Z2395" s="4"/>
    </row>
    <row r="2396" ht="15.75" customHeight="1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 t="str">
        <f>IFERROR(__xludf.DUMMYFUNCTION("""COMPUTED_VALUE"""),"plumber bathroom plumbing repair")</f>
        <v>plumber bathroom plumbing repair</v>
      </c>
      <c r="U2396" s="4"/>
      <c r="V2396" s="4"/>
      <c r="W2396" s="4"/>
      <c r="X2396" s="4"/>
      <c r="Y2396" s="4"/>
      <c r="Z2396" s="4"/>
    </row>
    <row r="2397" ht="15.75" customHeight="1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 t="str">
        <f>IFERROR(__xludf.DUMMYFUNCTION("""COMPUTED_VALUE"""),"plumber Bellville")</f>
        <v>plumber Bellville</v>
      </c>
      <c r="U2397" s="4"/>
      <c r="V2397" s="4"/>
      <c r="W2397" s="4"/>
      <c r="X2397" s="4"/>
      <c r="Y2397" s="4"/>
      <c r="Z2397" s="4"/>
    </row>
    <row r="2398" ht="15.75" customHeight="1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 t="str">
        <f>IFERROR(__xludf.DUMMYFUNCTION("""COMPUTED_VALUE"""),"plumber blocked drain")</f>
        <v>plumber blocked drain</v>
      </c>
      <c r="U2398" s="4"/>
      <c r="V2398" s="4"/>
      <c r="W2398" s="4"/>
      <c r="X2398" s="4"/>
      <c r="Y2398" s="4"/>
      <c r="Z2398" s="4"/>
    </row>
    <row r="2399" ht="15.75" customHeight="1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 t="str">
        <f>IFERROR(__xludf.DUMMYFUNCTION("""COMPUTED_VALUE"""),"plumber burst geyser")</f>
        <v>plumber burst geyser</v>
      </c>
      <c r="U2399" s="4"/>
      <c r="V2399" s="4"/>
      <c r="W2399" s="4"/>
      <c r="X2399" s="4"/>
      <c r="Y2399" s="4"/>
      <c r="Z2399" s="4"/>
    </row>
    <row r="2400" ht="15.75" customHeight="1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 t="str">
        <f>IFERROR(__xludf.DUMMYFUNCTION("""COMPUTED_VALUE"""),"plumber burst pipe repair")</f>
        <v>plumber burst pipe repair</v>
      </c>
      <c r="U2400" s="4"/>
      <c r="V2400" s="4"/>
      <c r="W2400" s="4"/>
      <c r="X2400" s="4"/>
      <c r="Y2400" s="4"/>
      <c r="Z2400" s="4"/>
    </row>
    <row r="2401" ht="15.75" customHeight="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 t="str">
        <f>IFERROR(__xludf.DUMMYFUNCTION("""COMPUTED_VALUE"""),"plumber Camps Bay")</f>
        <v>plumber Camps Bay</v>
      </c>
      <c r="U2401" s="4"/>
      <c r="V2401" s="4"/>
      <c r="W2401" s="4"/>
      <c r="X2401" s="4"/>
      <c r="Y2401" s="4"/>
      <c r="Z2401" s="4"/>
    </row>
    <row r="2402" ht="15.75" customHeight="1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 t="str">
        <f>IFERROR(__xludf.DUMMYFUNCTION("""COMPUTED_VALUE"""),"plumber Cape Town")</f>
        <v>plumber Cape Town</v>
      </c>
      <c r="U2402" s="4"/>
      <c r="V2402" s="4"/>
      <c r="W2402" s="4"/>
      <c r="X2402" s="4"/>
      <c r="Y2402" s="4"/>
      <c r="Z2402" s="4"/>
    </row>
    <row r="2403" ht="15.75" customHeight="1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 t="str">
        <f>IFERROR(__xludf.DUMMYFUNCTION("""COMPUTED_VALUE"""),"plumber cape town 24 hour")</f>
        <v>plumber cape town 24 hour</v>
      </c>
      <c r="U2403" s="4"/>
      <c r="V2403" s="4"/>
      <c r="W2403" s="4"/>
      <c r="X2403" s="4"/>
      <c r="Y2403" s="4"/>
      <c r="Z2403" s="4"/>
    </row>
    <row r="2404" ht="15.75" customHeight="1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 t="str">
        <f>IFERROR(__xludf.DUMMYFUNCTION("""COMPUTED_VALUE"""),"plumber cape town affordable")</f>
        <v>plumber cape town affordable</v>
      </c>
      <c r="U2404" s="4"/>
      <c r="V2404" s="4"/>
      <c r="W2404" s="4"/>
      <c r="X2404" s="4"/>
      <c r="Y2404" s="4"/>
      <c r="Z2404" s="4"/>
    </row>
    <row r="2405" ht="15.75" customHeight="1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 t="str">
        <f>IFERROR(__xludf.DUMMYFUNCTION("""COMPUTED_VALUE"""),"plumber cape town after hours")</f>
        <v>plumber cape town after hours</v>
      </c>
      <c r="U2405" s="4"/>
      <c r="V2405" s="4"/>
      <c r="W2405" s="4"/>
      <c r="X2405" s="4"/>
      <c r="Y2405" s="4"/>
      <c r="Z2405" s="4"/>
    </row>
    <row r="2406" ht="15.75" customHeight="1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 t="str">
        <f>IFERROR(__xludf.DUMMYFUNCTION("""COMPUTED_VALUE"""),"plumber cape town best")</f>
        <v>plumber cape town best</v>
      </c>
      <c r="U2406" s="4"/>
      <c r="V2406" s="4"/>
      <c r="W2406" s="4"/>
      <c r="X2406" s="4"/>
      <c r="Y2406" s="4"/>
      <c r="Z2406" s="4"/>
    </row>
    <row r="2407" ht="15.75" customHeight="1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 t="str">
        <f>IFERROR(__xludf.DUMMYFUNCTION("""COMPUTED_VALUE"""),"plumber cape town call out")</f>
        <v>plumber cape town call out</v>
      </c>
      <c r="U2407" s="4"/>
      <c r="V2407" s="4"/>
      <c r="W2407" s="4"/>
      <c r="X2407" s="4"/>
      <c r="Y2407" s="4"/>
      <c r="Z2407" s="4"/>
    </row>
    <row r="2408" ht="15.75" customHeight="1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 t="str">
        <f>IFERROR(__xludf.DUMMYFUNCTION("""COMPUTED_VALUE"""),"plumber Cape Town CBD")</f>
        <v>plumber Cape Town CBD</v>
      </c>
      <c r="U2408" s="4"/>
      <c r="V2408" s="4"/>
      <c r="W2408" s="4"/>
      <c r="X2408" s="4"/>
      <c r="Y2408" s="4"/>
      <c r="Z2408" s="4"/>
    </row>
    <row r="2409" ht="15.75" customHeight="1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 t="str">
        <f>IFERROR(__xludf.DUMMYFUNCTION("""COMPUTED_VALUE"""),"plumber cape town company")</f>
        <v>plumber cape town company</v>
      </c>
      <c r="U2409" s="4"/>
      <c r="V2409" s="4"/>
      <c r="W2409" s="4"/>
      <c r="X2409" s="4"/>
      <c r="Y2409" s="4"/>
      <c r="Z2409" s="4"/>
    </row>
    <row r="2410" ht="15.75" customHeight="1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 t="str">
        <f>IFERROR(__xludf.DUMMYFUNCTION("""COMPUTED_VALUE"""),"plumber cape town contractor")</f>
        <v>plumber cape town contractor</v>
      </c>
      <c r="U2410" s="4"/>
      <c r="V2410" s="4"/>
      <c r="W2410" s="4"/>
      <c r="X2410" s="4"/>
      <c r="Y2410" s="4"/>
      <c r="Z2410" s="4"/>
    </row>
    <row r="2411" ht="15.75" customHeight="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 t="str">
        <f>IFERROR(__xludf.DUMMYFUNCTION("""COMPUTED_VALUE"""),"plumber cape town cost")</f>
        <v>plumber cape town cost</v>
      </c>
      <c r="U2411" s="4"/>
      <c r="V2411" s="4"/>
      <c r="W2411" s="4"/>
      <c r="X2411" s="4"/>
      <c r="Y2411" s="4"/>
      <c r="Z2411" s="4"/>
    </row>
    <row r="2412" ht="15.75" customHeight="1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 t="str">
        <f>IFERROR(__xludf.DUMMYFUNCTION("""COMPUTED_VALUE"""),"plumber cape town emergency")</f>
        <v>plumber cape town emergency</v>
      </c>
      <c r="U2412" s="4"/>
      <c r="V2412" s="4"/>
      <c r="W2412" s="4"/>
      <c r="X2412" s="4"/>
      <c r="Y2412" s="4"/>
      <c r="Z2412" s="4"/>
    </row>
    <row r="2413" ht="15.75" customHeight="1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 t="str">
        <f>IFERROR(__xludf.DUMMYFUNCTION("""COMPUTED_VALUE"""),"plumber cape town installation")</f>
        <v>plumber cape town installation</v>
      </c>
      <c r="U2413" s="4"/>
      <c r="V2413" s="4"/>
      <c r="W2413" s="4"/>
      <c r="X2413" s="4"/>
      <c r="Y2413" s="4"/>
      <c r="Z2413" s="4"/>
    </row>
    <row r="2414" ht="15.75" customHeight="1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 t="str">
        <f>IFERROR(__xludf.DUMMYFUNCTION("""COMPUTED_VALUE"""),"plumber cape town licensed")</f>
        <v>plumber cape town licensed</v>
      </c>
      <c r="U2414" s="4"/>
      <c r="V2414" s="4"/>
      <c r="W2414" s="4"/>
      <c r="X2414" s="4"/>
      <c r="Y2414" s="4"/>
      <c r="Z2414" s="4"/>
    </row>
    <row r="2415" ht="15.75" customHeight="1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 t="str">
        <f>IFERROR(__xludf.DUMMYFUNCTION("""COMPUTED_VALUE"""),"plumber cape town local")</f>
        <v>plumber cape town local</v>
      </c>
      <c r="U2415" s="4"/>
      <c r="V2415" s="4"/>
      <c r="W2415" s="4"/>
      <c r="X2415" s="4"/>
      <c r="Y2415" s="4"/>
      <c r="Z2415" s="4"/>
    </row>
    <row r="2416" ht="15.75" customHeight="1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 t="str">
        <f>IFERROR(__xludf.DUMMYFUNCTION("""COMPUTED_VALUE"""),"plumber cape town maintenance")</f>
        <v>plumber cape town maintenance</v>
      </c>
      <c r="U2416" s="4"/>
      <c r="V2416" s="4"/>
      <c r="W2416" s="4"/>
      <c r="X2416" s="4"/>
      <c r="Y2416" s="4"/>
      <c r="Z2416" s="4"/>
    </row>
    <row r="2417" ht="15.75" customHeight="1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 t="str">
        <f>IFERROR(__xludf.DUMMYFUNCTION("""COMPUTED_VALUE"""),"plumber cape town near me")</f>
        <v>plumber cape town near me</v>
      </c>
      <c r="U2417" s="4"/>
      <c r="V2417" s="4"/>
      <c r="W2417" s="4"/>
      <c r="X2417" s="4"/>
      <c r="Y2417" s="4"/>
      <c r="Z2417" s="4"/>
    </row>
    <row r="2418" ht="15.75" customHeight="1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 t="str">
        <f>IFERROR(__xludf.DUMMYFUNCTION("""COMPUTED_VALUE"""),"plumber cape town professional")</f>
        <v>plumber cape town professional</v>
      </c>
      <c r="U2418" s="4"/>
      <c r="V2418" s="4"/>
      <c r="W2418" s="4"/>
      <c r="X2418" s="4"/>
      <c r="Y2418" s="4"/>
      <c r="Z2418" s="4"/>
    </row>
    <row r="2419" ht="15.75" customHeight="1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 t="str">
        <f>IFERROR(__xludf.DUMMYFUNCTION("""COMPUTED_VALUE"""),"plumber cape town qualified")</f>
        <v>plumber cape town qualified</v>
      </c>
      <c r="U2419" s="4"/>
      <c r="V2419" s="4"/>
      <c r="W2419" s="4"/>
      <c r="X2419" s="4"/>
      <c r="Y2419" s="4"/>
      <c r="Z2419" s="4"/>
    </row>
    <row r="2420" ht="15.75" customHeight="1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 t="str">
        <f>IFERROR(__xludf.DUMMYFUNCTION("""COMPUTED_VALUE"""),"plumber cape town quote")</f>
        <v>plumber cape town quote</v>
      </c>
      <c r="U2420" s="4"/>
      <c r="V2420" s="4"/>
      <c r="W2420" s="4"/>
      <c r="X2420" s="4"/>
      <c r="Y2420" s="4"/>
      <c r="Z2420" s="4"/>
    </row>
    <row r="2421" ht="15.75" customHeight="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 t="str">
        <f>IFERROR(__xludf.DUMMYFUNCTION("""COMPUTED_VALUE"""),"plumber cape town reliable")</f>
        <v>plumber cape town reliable</v>
      </c>
      <c r="U2421" s="4"/>
      <c r="V2421" s="4"/>
      <c r="W2421" s="4"/>
      <c r="X2421" s="4"/>
      <c r="Y2421" s="4"/>
      <c r="Z2421" s="4"/>
    </row>
    <row r="2422" ht="15.75" customHeight="1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 t="str">
        <f>IFERROR(__xludf.DUMMYFUNCTION("""COMPUTED_VALUE"""),"plumber cape town repair")</f>
        <v>plumber cape town repair</v>
      </c>
      <c r="U2422" s="4"/>
      <c r="V2422" s="4"/>
      <c r="W2422" s="4"/>
      <c r="X2422" s="4"/>
      <c r="Y2422" s="4"/>
      <c r="Z2422" s="4"/>
    </row>
    <row r="2423" ht="15.75" customHeight="1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 t="str">
        <f>IFERROR(__xludf.DUMMYFUNCTION("""COMPUTED_VALUE"""),"plumber cape town same day")</f>
        <v>plumber cape town same day</v>
      </c>
      <c r="U2423" s="4"/>
      <c r="V2423" s="4"/>
      <c r="W2423" s="4"/>
      <c r="X2423" s="4"/>
      <c r="Y2423" s="4"/>
      <c r="Z2423" s="4"/>
    </row>
    <row r="2424" ht="15.75" customHeight="1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 t="str">
        <f>IFERROR(__xludf.DUMMYFUNCTION("""COMPUTED_VALUE"""),"plumber cape town service")</f>
        <v>plumber cape town service</v>
      </c>
      <c r="U2424" s="4"/>
      <c r="V2424" s="4"/>
      <c r="W2424" s="4"/>
      <c r="X2424" s="4"/>
      <c r="Y2424" s="4"/>
      <c r="Z2424" s="4"/>
    </row>
    <row r="2425" ht="15.75" customHeight="1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 t="str">
        <f>IFERROR(__xludf.DUMMYFUNCTION("""COMPUTED_VALUE"""),"plumber cape town top rated")</f>
        <v>plumber cape town top rated</v>
      </c>
      <c r="U2425" s="4"/>
      <c r="V2425" s="4"/>
      <c r="W2425" s="4"/>
      <c r="X2425" s="4"/>
      <c r="Y2425" s="4"/>
      <c r="Z2425" s="4"/>
    </row>
    <row r="2426" ht="15.75" customHeight="1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 t="str">
        <f>IFERROR(__xludf.DUMMYFUNCTION("""COMPUTED_VALUE"""),"plumber cape town trusted")</f>
        <v>plumber cape town trusted</v>
      </c>
      <c r="U2426" s="4"/>
      <c r="V2426" s="4"/>
      <c r="W2426" s="4"/>
      <c r="X2426" s="4"/>
      <c r="Y2426" s="4"/>
      <c r="Z2426" s="4"/>
    </row>
    <row r="2427" ht="15.75" customHeight="1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 t="str">
        <f>IFERROR(__xludf.DUMMYFUNCTION("""COMPUTED_VALUE"""),"plumber Claremont")</f>
        <v>plumber Claremont</v>
      </c>
      <c r="U2427" s="4"/>
      <c r="V2427" s="4"/>
      <c r="W2427" s="4"/>
      <c r="X2427" s="4"/>
      <c r="Y2427" s="4"/>
      <c r="Z2427" s="4"/>
    </row>
    <row r="2428" ht="15.75" customHeight="1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 t="str">
        <f>IFERROR(__xludf.DUMMYFUNCTION("""COMPUTED_VALUE"""),"plumber Constantia")</f>
        <v>plumber Constantia</v>
      </c>
      <c r="U2428" s="4"/>
      <c r="V2428" s="4"/>
      <c r="W2428" s="4"/>
      <c r="X2428" s="4"/>
      <c r="Y2428" s="4"/>
      <c r="Z2428" s="4"/>
    </row>
    <row r="2429" ht="15.75" customHeight="1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 t="str">
        <f>IFERROR(__xludf.DUMMYFUNCTION("""COMPUTED_VALUE"""),"plumber cost best way to fix")</f>
        <v>plumber cost best way to fix</v>
      </c>
      <c r="U2429" s="4"/>
      <c r="V2429" s="4"/>
      <c r="W2429" s="4"/>
      <c r="X2429" s="4"/>
      <c r="Y2429" s="4"/>
      <c r="Z2429" s="4"/>
    </row>
    <row r="2430" ht="15.75" customHeight="1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 t="str">
        <f>IFERROR(__xludf.DUMMYFUNCTION("""COMPUTED_VALUE"""),"plumber cost can a plumber fix")</f>
        <v>plumber cost can a plumber fix</v>
      </c>
      <c r="U2430" s="4"/>
      <c r="V2430" s="4"/>
      <c r="W2430" s="4"/>
      <c r="X2430" s="4"/>
      <c r="Y2430" s="4"/>
      <c r="Z2430" s="4"/>
    </row>
    <row r="2431" ht="15.75" customHeight="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 t="str">
        <f>IFERROR(__xludf.DUMMYFUNCTION("""COMPUTED_VALUE"""),"plumber cost cost of")</f>
        <v>plumber cost cost of</v>
      </c>
      <c r="U2431" s="4"/>
      <c r="V2431" s="4"/>
      <c r="W2431" s="4"/>
      <c r="X2431" s="4"/>
      <c r="Y2431" s="4"/>
      <c r="Z2431" s="4"/>
    </row>
    <row r="2432" ht="15.75" customHeight="1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 t="str">
        <f>IFERROR(__xludf.DUMMYFUNCTION("""COMPUTED_VALUE"""),"plumber cost do I need")</f>
        <v>plumber cost do I need</v>
      </c>
      <c r="U2432" s="4"/>
      <c r="V2432" s="4"/>
      <c r="W2432" s="4"/>
      <c r="X2432" s="4"/>
      <c r="Y2432" s="4"/>
      <c r="Z2432" s="4"/>
    </row>
    <row r="2433" ht="15.75" customHeight="1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 t="str">
        <f>IFERROR(__xludf.DUMMYFUNCTION("""COMPUTED_VALUE"""),"plumber cost emergency help for")</f>
        <v>plumber cost emergency help for</v>
      </c>
      <c r="U2433" s="4"/>
      <c r="V2433" s="4"/>
      <c r="W2433" s="4"/>
      <c r="X2433" s="4"/>
      <c r="Y2433" s="4"/>
      <c r="Z2433" s="4"/>
    </row>
    <row r="2434" ht="15.75" customHeight="1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 t="str">
        <f>IFERROR(__xludf.DUMMYFUNCTION("""COMPUTED_VALUE"""),"plumber cost how long does")</f>
        <v>plumber cost how long does</v>
      </c>
      <c r="U2434" s="4"/>
      <c r="V2434" s="4"/>
      <c r="W2434" s="4"/>
      <c r="X2434" s="4"/>
      <c r="Y2434" s="4"/>
      <c r="Z2434" s="4"/>
    </row>
    <row r="2435" ht="15.75" customHeight="1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 t="str">
        <f>IFERROR(__xludf.DUMMYFUNCTION("""COMPUTED_VALUE"""),"plumber cost how much does")</f>
        <v>plumber cost how much does</v>
      </c>
      <c r="U2435" s="4"/>
      <c r="V2435" s="4"/>
      <c r="W2435" s="4"/>
      <c r="X2435" s="4"/>
      <c r="Y2435" s="4"/>
      <c r="Z2435" s="4"/>
    </row>
    <row r="2436" ht="15.75" customHeight="1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 t="str">
        <f>IFERROR(__xludf.DUMMYFUNCTION("""COMPUTED_VALUE"""),"plumber cost how to choose")</f>
        <v>plumber cost how to choose</v>
      </c>
      <c r="U2436" s="4"/>
      <c r="V2436" s="4"/>
      <c r="W2436" s="4"/>
      <c r="X2436" s="4"/>
      <c r="Y2436" s="4"/>
      <c r="Z2436" s="4"/>
    </row>
    <row r="2437" ht="15.75" customHeight="1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 t="str">
        <f>IFERROR(__xludf.DUMMYFUNCTION("""COMPUTED_VALUE"""),"plumber cost how to prevent")</f>
        <v>plumber cost how to prevent</v>
      </c>
      <c r="U2437" s="4"/>
      <c r="V2437" s="4"/>
      <c r="W2437" s="4"/>
      <c r="X2437" s="4"/>
      <c r="Y2437" s="4"/>
      <c r="Z2437" s="4"/>
    </row>
    <row r="2438" ht="15.75" customHeight="1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 t="str">
        <f>IFERROR(__xludf.DUMMYFUNCTION("""COMPUTED_VALUE"""),"plumber cost is it safe to")</f>
        <v>plumber cost is it safe to</v>
      </c>
      <c r="U2438" s="4"/>
      <c r="V2438" s="4"/>
      <c r="W2438" s="4"/>
      <c r="X2438" s="4"/>
      <c r="Y2438" s="4"/>
      <c r="Z2438" s="4"/>
    </row>
    <row r="2439" ht="15.75" customHeight="1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 t="str">
        <f>IFERROR(__xludf.DUMMYFUNCTION("""COMPUTED_VALUE"""),"plumber cost near me for")</f>
        <v>plumber cost near me for</v>
      </c>
      <c r="U2439" s="4"/>
      <c r="V2439" s="4"/>
      <c r="W2439" s="4"/>
      <c r="X2439" s="4"/>
      <c r="Y2439" s="4"/>
      <c r="Z2439" s="4"/>
    </row>
    <row r="2440" ht="15.75" customHeight="1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 t="str">
        <f>IFERROR(__xludf.DUMMYFUNCTION("""COMPUTED_VALUE"""),"plumber cost same day help for")</f>
        <v>plumber cost same day help for</v>
      </c>
      <c r="U2440" s="4"/>
      <c r="V2440" s="4"/>
      <c r="W2440" s="4"/>
      <c r="X2440" s="4"/>
      <c r="Y2440" s="4"/>
      <c r="Z2440" s="4"/>
    </row>
    <row r="2441" ht="15.75" customHeight="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 t="str">
        <f>IFERROR(__xludf.DUMMYFUNCTION("""COMPUTED_VALUE"""),"plumber cost signs you need")</f>
        <v>plumber cost signs you need</v>
      </c>
      <c r="U2441" s="4"/>
      <c r="V2441" s="4"/>
      <c r="W2441" s="4"/>
      <c r="X2441" s="4"/>
      <c r="Y2441" s="4"/>
      <c r="Z2441" s="4"/>
    </row>
    <row r="2442" ht="15.75" customHeight="1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 t="str">
        <f>IFERROR(__xludf.DUMMYFUNCTION("""COMPUTED_VALUE"""),"plumber cost what causes")</f>
        <v>plumber cost what causes</v>
      </c>
      <c r="U2442" s="4"/>
      <c r="V2442" s="4"/>
      <c r="W2442" s="4"/>
      <c r="X2442" s="4"/>
      <c r="Y2442" s="4"/>
      <c r="Z2442" s="4"/>
    </row>
    <row r="2443" ht="15.75" customHeight="1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 t="str">
        <f>IFERROR(__xludf.DUMMYFUNCTION("""COMPUTED_VALUE"""),"plumber cost what is")</f>
        <v>plumber cost what is</v>
      </c>
      <c r="U2443" s="4"/>
      <c r="V2443" s="4"/>
      <c r="W2443" s="4"/>
      <c r="X2443" s="4"/>
      <c r="Y2443" s="4"/>
      <c r="Z2443" s="4"/>
    </row>
    <row r="2444" ht="15.75" customHeight="1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 t="str">
        <f>IFERROR(__xludf.DUMMYFUNCTION("""COMPUTED_VALUE"""),"plumber cost when to call a")</f>
        <v>plumber cost when to call a</v>
      </c>
      <c r="U2444" s="4"/>
      <c r="V2444" s="4"/>
      <c r="W2444" s="4"/>
      <c r="X2444" s="4"/>
      <c r="Y2444" s="4"/>
      <c r="Z2444" s="4"/>
    </row>
    <row r="2445" ht="15.75" customHeight="1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 t="str">
        <f>IFERROR(__xludf.DUMMYFUNCTION("""COMPUTED_VALUE"""),"plumber cost who fixes")</f>
        <v>plumber cost who fixes</v>
      </c>
      <c r="U2445" s="4"/>
      <c r="V2445" s="4"/>
      <c r="W2445" s="4"/>
      <c r="X2445" s="4"/>
      <c r="Y2445" s="4"/>
      <c r="Z2445" s="4"/>
    </row>
    <row r="2446" ht="15.75" customHeight="1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 t="str">
        <f>IFERROR(__xludf.DUMMYFUNCTION("""COMPUTED_VALUE"""),"plumber cost why is my")</f>
        <v>plumber cost why is my</v>
      </c>
      <c r="U2446" s="4"/>
      <c r="V2446" s="4"/>
      <c r="W2446" s="4"/>
      <c r="X2446" s="4"/>
      <c r="Y2446" s="4"/>
      <c r="Z2446" s="4"/>
    </row>
    <row r="2447" ht="15.75" customHeight="1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 t="str">
        <f>IFERROR(__xludf.DUMMYFUNCTION("""COMPUTED_VALUE"""),"plumber drain cleaning")</f>
        <v>plumber drain cleaning</v>
      </c>
      <c r="U2447" s="4"/>
      <c r="V2447" s="4"/>
      <c r="W2447" s="4"/>
      <c r="X2447" s="4"/>
      <c r="Y2447" s="4"/>
      <c r="Z2447" s="4"/>
    </row>
    <row r="2448" ht="15.75" customHeight="1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 t="str">
        <f>IFERROR(__xludf.DUMMYFUNCTION("""COMPUTED_VALUE"""),"plumber drain inspection")</f>
        <v>plumber drain inspection</v>
      </c>
      <c r="U2448" s="4"/>
      <c r="V2448" s="4"/>
      <c r="W2448" s="4"/>
      <c r="X2448" s="4"/>
      <c r="Y2448" s="4"/>
      <c r="Z2448" s="4"/>
    </row>
    <row r="2449" ht="15.75" customHeight="1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 t="str">
        <f>IFERROR(__xludf.DUMMYFUNCTION("""COMPUTED_VALUE"""),"plumber drain unblocking")</f>
        <v>plumber drain unblocking</v>
      </c>
      <c r="U2449" s="4"/>
      <c r="V2449" s="4"/>
      <c r="W2449" s="4"/>
      <c r="X2449" s="4"/>
      <c r="Y2449" s="4"/>
      <c r="Z2449" s="4"/>
    </row>
    <row r="2450" ht="15.75" customHeight="1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 t="str">
        <f>IFERROR(__xludf.DUMMYFUNCTION("""COMPUTED_VALUE"""),"plumber Durbanville")</f>
        <v>plumber Durbanville</v>
      </c>
      <c r="U2450" s="4"/>
      <c r="V2450" s="4"/>
      <c r="W2450" s="4"/>
      <c r="X2450" s="4"/>
      <c r="Y2450" s="4"/>
      <c r="Z2450" s="4"/>
    </row>
    <row r="2451" ht="15.75" customHeight="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 t="str">
        <f>IFERROR(__xludf.DUMMYFUNCTION("""COMPUTED_VALUE"""),"plumber Fish Hoek")</f>
        <v>plumber Fish Hoek</v>
      </c>
      <c r="U2451" s="4"/>
      <c r="V2451" s="4"/>
      <c r="W2451" s="4"/>
      <c r="X2451" s="4"/>
      <c r="Y2451" s="4"/>
      <c r="Z2451" s="4"/>
    </row>
    <row r="2452" ht="15.75" customHeight="1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 t="str">
        <f>IFERROR(__xludf.DUMMYFUNCTION("""COMPUTED_VALUE"""),"plumber geyser repair")</f>
        <v>plumber geyser repair</v>
      </c>
      <c r="U2452" s="4"/>
      <c r="V2452" s="4"/>
      <c r="W2452" s="4"/>
      <c r="X2452" s="4"/>
      <c r="Y2452" s="4"/>
      <c r="Z2452" s="4"/>
    </row>
    <row r="2453" ht="15.75" customHeight="1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 t="str">
        <f>IFERROR(__xludf.DUMMYFUNCTION("""COMPUTED_VALUE"""),"plumber geyser replacement")</f>
        <v>plumber geyser replacement</v>
      </c>
      <c r="U2453" s="4"/>
      <c r="V2453" s="4"/>
      <c r="W2453" s="4"/>
      <c r="X2453" s="4"/>
      <c r="Y2453" s="4"/>
      <c r="Z2453" s="4"/>
    </row>
    <row r="2454" ht="15.75" customHeight="1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 t="str">
        <f>IFERROR(__xludf.DUMMYFUNCTION("""COMPUTED_VALUE"""),"plumber Green Point")</f>
        <v>plumber Green Point</v>
      </c>
      <c r="U2454" s="4"/>
      <c r="V2454" s="4"/>
      <c r="W2454" s="4"/>
      <c r="X2454" s="4"/>
      <c r="Y2454" s="4"/>
      <c r="Z2454" s="4"/>
    </row>
    <row r="2455" ht="15.75" customHeight="1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 t="str">
        <f>IFERROR(__xludf.DUMMYFUNCTION("""COMPUTED_VALUE"""),"plumber Hout Bay")</f>
        <v>plumber Hout Bay</v>
      </c>
      <c r="U2455" s="4"/>
      <c r="V2455" s="4"/>
      <c r="W2455" s="4"/>
      <c r="X2455" s="4"/>
      <c r="Y2455" s="4"/>
      <c r="Z2455" s="4"/>
    </row>
    <row r="2456" ht="15.75" customHeight="1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 t="str">
        <f>IFERROR(__xludf.DUMMYFUNCTION("""COMPUTED_VALUE"""),"plumber kitchen plumbing repair")</f>
        <v>plumber kitchen plumbing repair</v>
      </c>
      <c r="U2456" s="4"/>
      <c r="V2456" s="4"/>
      <c r="W2456" s="4"/>
      <c r="X2456" s="4"/>
      <c r="Y2456" s="4"/>
      <c r="Z2456" s="4"/>
    </row>
    <row r="2457" ht="15.75" customHeight="1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 t="str">
        <f>IFERROR(__xludf.DUMMYFUNCTION("""COMPUTED_VALUE"""),"plumber leak detection")</f>
        <v>plumber leak detection</v>
      </c>
      <c r="U2457" s="4"/>
      <c r="V2457" s="4"/>
      <c r="W2457" s="4"/>
      <c r="X2457" s="4"/>
      <c r="Y2457" s="4"/>
      <c r="Z2457" s="4"/>
    </row>
    <row r="2458" ht="15.75" customHeight="1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 t="str">
        <f>IFERROR(__xludf.DUMMYFUNCTION("""COMPUTED_VALUE"""),"plumber leaking pipe repair")</f>
        <v>plumber leaking pipe repair</v>
      </c>
      <c r="U2458" s="4"/>
      <c r="V2458" s="4"/>
      <c r="W2458" s="4"/>
      <c r="X2458" s="4"/>
      <c r="Y2458" s="4"/>
      <c r="Z2458" s="4"/>
    </row>
    <row r="2459" ht="15.75" customHeight="1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 t="str">
        <f>IFERROR(__xludf.DUMMYFUNCTION("""COMPUTED_VALUE"""),"plumber leaking tap repair")</f>
        <v>plumber leaking tap repair</v>
      </c>
      <c r="U2459" s="4"/>
      <c r="V2459" s="4"/>
      <c r="W2459" s="4"/>
      <c r="X2459" s="4"/>
      <c r="Y2459" s="4"/>
      <c r="Z2459" s="4"/>
    </row>
    <row r="2460" ht="15.75" customHeight="1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 t="str">
        <f>IFERROR(__xludf.DUMMYFUNCTION("""COMPUTED_VALUE"""),"plumber Maitland")</f>
        <v>plumber Maitland</v>
      </c>
      <c r="U2460" s="4"/>
      <c r="V2460" s="4"/>
      <c r="W2460" s="4"/>
      <c r="X2460" s="4"/>
      <c r="Y2460" s="4"/>
      <c r="Z2460" s="4"/>
    </row>
    <row r="2461" ht="15.75" customHeight="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 t="str">
        <f>IFERROR(__xludf.DUMMYFUNCTION("""COMPUTED_VALUE"""),"plumber Milnerton")</f>
        <v>plumber Milnerton</v>
      </c>
      <c r="U2461" s="4"/>
      <c r="V2461" s="4"/>
      <c r="W2461" s="4"/>
      <c r="X2461" s="4"/>
      <c r="Y2461" s="4"/>
      <c r="Z2461" s="4"/>
    </row>
    <row r="2462" ht="15.75" customHeight="1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 t="str">
        <f>IFERROR(__xludf.DUMMYFUNCTION("""COMPUTED_VALUE"""),"plumber Muizenberg")</f>
        <v>plumber Muizenberg</v>
      </c>
      <c r="U2462" s="4"/>
      <c r="V2462" s="4"/>
      <c r="W2462" s="4"/>
      <c r="X2462" s="4"/>
      <c r="Y2462" s="4"/>
      <c r="Z2462" s="4"/>
    </row>
    <row r="2463" ht="15.75" customHeight="1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 t="str">
        <f>IFERROR(__xludf.DUMMYFUNCTION("""COMPUTED_VALUE"""),"plumber near me")</f>
        <v>plumber near me</v>
      </c>
      <c r="U2463" s="4"/>
      <c r="V2463" s="4"/>
      <c r="W2463" s="4"/>
      <c r="X2463" s="4"/>
      <c r="Y2463" s="4"/>
      <c r="Z2463" s="4"/>
    </row>
    <row r="2464" ht="15.75" customHeight="1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 t="str">
        <f>IFERROR(__xludf.DUMMYFUNCTION("""COMPUTED_VALUE"""),"plumber near me 24 hour")</f>
        <v>plumber near me 24 hour</v>
      </c>
      <c r="U2464" s="4"/>
      <c r="V2464" s="4"/>
      <c r="W2464" s="4"/>
      <c r="X2464" s="4"/>
      <c r="Y2464" s="4"/>
      <c r="Z2464" s="4"/>
    </row>
    <row r="2465" ht="15.75" customHeight="1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 t="str">
        <f>IFERROR(__xludf.DUMMYFUNCTION("""COMPUTED_VALUE"""),"plumber near me affordable")</f>
        <v>plumber near me affordable</v>
      </c>
      <c r="U2465" s="4"/>
      <c r="V2465" s="4"/>
      <c r="W2465" s="4"/>
      <c r="X2465" s="4"/>
      <c r="Y2465" s="4"/>
      <c r="Z2465" s="4"/>
    </row>
    <row r="2466" ht="15.75" customHeight="1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 t="str">
        <f>IFERROR(__xludf.DUMMYFUNCTION("""COMPUTED_VALUE"""),"plumber near me alternatives")</f>
        <v>plumber near me alternatives</v>
      </c>
      <c r="U2466" s="4"/>
      <c r="V2466" s="4"/>
      <c r="W2466" s="4"/>
      <c r="X2466" s="4"/>
      <c r="Y2466" s="4"/>
      <c r="Z2466" s="4"/>
    </row>
    <row r="2467" ht="15.75" customHeight="1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 t="str">
        <f>IFERROR(__xludf.DUMMYFUNCTION("""COMPUTED_VALUE"""),"plumber near me best")</f>
        <v>plumber near me best</v>
      </c>
      <c r="U2467" s="4"/>
      <c r="V2467" s="4"/>
      <c r="W2467" s="4"/>
      <c r="X2467" s="4"/>
      <c r="Y2467" s="4"/>
      <c r="Z2467" s="4"/>
    </row>
    <row r="2468" ht="15.75" customHeight="1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 t="str">
        <f>IFERROR(__xludf.DUMMYFUNCTION("""COMPUTED_VALUE"""),"plumber near me certified")</f>
        <v>plumber near me certified</v>
      </c>
      <c r="U2468" s="4"/>
      <c r="V2468" s="4"/>
      <c r="W2468" s="4"/>
      <c r="X2468" s="4"/>
      <c r="Y2468" s="4"/>
      <c r="Z2468" s="4"/>
    </row>
    <row r="2469" ht="15.75" customHeight="1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 t="str">
        <f>IFERROR(__xludf.DUMMYFUNCTION("""COMPUTED_VALUE"""),"plumber near me compare")</f>
        <v>plumber near me compare</v>
      </c>
      <c r="U2469" s="4"/>
      <c r="V2469" s="4"/>
      <c r="W2469" s="4"/>
      <c r="X2469" s="4"/>
      <c r="Y2469" s="4"/>
      <c r="Z2469" s="4"/>
    </row>
    <row r="2470" ht="15.75" customHeight="1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 t="str">
        <f>IFERROR(__xludf.DUMMYFUNCTION("""COMPUTED_VALUE"""),"plumber near me complaints")</f>
        <v>plumber near me complaints</v>
      </c>
      <c r="U2470" s="4"/>
      <c r="V2470" s="4"/>
      <c r="W2470" s="4"/>
      <c r="X2470" s="4"/>
      <c r="Y2470" s="4"/>
      <c r="Z2470" s="4"/>
    </row>
    <row r="2471" ht="15.75" customHeight="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 t="str">
        <f>IFERROR(__xludf.DUMMYFUNCTION("""COMPUTED_VALUE"""),"plumber near me cost")</f>
        <v>plumber near me cost</v>
      </c>
      <c r="U2471" s="4"/>
      <c r="V2471" s="4"/>
      <c r="W2471" s="4"/>
      <c r="X2471" s="4"/>
      <c r="Y2471" s="4"/>
      <c r="Z2471" s="4"/>
    </row>
    <row r="2472" ht="15.75" customHeight="1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 t="str">
        <f>IFERROR(__xludf.DUMMYFUNCTION("""COMPUTED_VALUE"""),"plumber near me insured")</f>
        <v>plumber near me insured</v>
      </c>
      <c r="U2472" s="4"/>
      <c r="V2472" s="4"/>
      <c r="W2472" s="4"/>
      <c r="X2472" s="4"/>
      <c r="Y2472" s="4"/>
      <c r="Z2472" s="4"/>
    </row>
    <row r="2473" ht="15.75" customHeight="1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 t="str">
        <f>IFERROR(__xludf.DUMMYFUNCTION("""COMPUTED_VALUE"""),"plumber near me licensed")</f>
        <v>plumber near me licensed</v>
      </c>
      <c r="U2473" s="4"/>
      <c r="V2473" s="4"/>
      <c r="W2473" s="4"/>
      <c r="X2473" s="4"/>
      <c r="Y2473" s="4"/>
      <c r="Z2473" s="4"/>
    </row>
    <row r="2474" ht="15.75" customHeight="1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 t="str">
        <f>IFERROR(__xludf.DUMMYFUNCTION("""COMPUTED_VALUE"""),"plumber near me local")</f>
        <v>plumber near me local</v>
      </c>
      <c r="U2474" s="4"/>
      <c r="V2474" s="4"/>
      <c r="W2474" s="4"/>
      <c r="X2474" s="4"/>
      <c r="Y2474" s="4"/>
      <c r="Z2474" s="4"/>
    </row>
    <row r="2475" ht="15.75" customHeight="1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 t="str">
        <f>IFERROR(__xludf.DUMMYFUNCTION("""COMPUTED_VALUE"""),"plumber near me prices")</f>
        <v>plumber near me prices</v>
      </c>
      <c r="U2475" s="4"/>
      <c r="V2475" s="4"/>
      <c r="W2475" s="4"/>
      <c r="X2475" s="4"/>
      <c r="Y2475" s="4"/>
      <c r="Z2475" s="4"/>
    </row>
    <row r="2476" ht="15.75" customHeight="1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 t="str">
        <f>IFERROR(__xludf.DUMMYFUNCTION("""COMPUTED_VALUE"""),"plumber near me qualified")</f>
        <v>plumber near me qualified</v>
      </c>
      <c r="U2476" s="4"/>
      <c r="V2476" s="4"/>
      <c r="W2476" s="4"/>
      <c r="X2476" s="4"/>
      <c r="Y2476" s="4"/>
      <c r="Z2476" s="4"/>
    </row>
    <row r="2477" ht="15.75" customHeight="1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 t="str">
        <f>IFERROR(__xludf.DUMMYFUNCTION("""COMPUTED_VALUE"""),"plumber near me quote")</f>
        <v>plumber near me quote</v>
      </c>
      <c r="U2477" s="4"/>
      <c r="V2477" s="4"/>
      <c r="W2477" s="4"/>
      <c r="X2477" s="4"/>
      <c r="Y2477" s="4"/>
      <c r="Z2477" s="4"/>
    </row>
    <row r="2478" ht="15.75" customHeight="1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 t="str">
        <f>IFERROR(__xludf.DUMMYFUNCTION("""COMPUTED_VALUE"""),"plumber near me reliable")</f>
        <v>plumber near me reliable</v>
      </c>
      <c r="U2478" s="4"/>
      <c r="V2478" s="4"/>
      <c r="W2478" s="4"/>
      <c r="X2478" s="4"/>
      <c r="Y2478" s="4"/>
      <c r="Z2478" s="4"/>
    </row>
    <row r="2479" ht="15.75" customHeight="1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 t="str">
        <f>IFERROR(__xludf.DUMMYFUNCTION("""COMPUTED_VALUE"""),"plumber near me reputable")</f>
        <v>plumber near me reputable</v>
      </c>
      <c r="U2479" s="4"/>
      <c r="V2479" s="4"/>
      <c r="W2479" s="4"/>
      <c r="X2479" s="4"/>
      <c r="Y2479" s="4"/>
      <c r="Z2479" s="4"/>
    </row>
    <row r="2480" ht="15.75" customHeight="1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 t="str">
        <f>IFERROR(__xludf.DUMMYFUNCTION("""COMPUTED_VALUE"""),"plumber near me review")</f>
        <v>plumber near me review</v>
      </c>
      <c r="U2480" s="4"/>
      <c r="V2480" s="4"/>
      <c r="W2480" s="4"/>
      <c r="X2480" s="4"/>
      <c r="Y2480" s="4"/>
      <c r="Z2480" s="4"/>
    </row>
    <row r="2481" ht="15.75" customHeight="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 t="str">
        <f>IFERROR(__xludf.DUMMYFUNCTION("""COMPUTED_VALUE"""),"plumber near me reviews")</f>
        <v>plumber near me reviews</v>
      </c>
      <c r="U2481" s="4"/>
      <c r="V2481" s="4"/>
      <c r="W2481" s="4"/>
      <c r="X2481" s="4"/>
      <c r="Y2481" s="4"/>
      <c r="Z2481" s="4"/>
    </row>
    <row r="2482" ht="15.75" customHeight="1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 t="str">
        <f>IFERROR(__xludf.DUMMYFUNCTION("""COMPUTED_VALUE"""),"plumber near me same day")</f>
        <v>plumber near me same day</v>
      </c>
      <c r="U2482" s="4"/>
      <c r="V2482" s="4"/>
      <c r="W2482" s="4"/>
      <c r="X2482" s="4"/>
      <c r="Y2482" s="4"/>
      <c r="Z2482" s="4"/>
    </row>
    <row r="2483" ht="15.75" customHeight="1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 t="str">
        <f>IFERROR(__xludf.DUMMYFUNCTION("""COMPUTED_VALUE"""),"plumber near me top rated")</f>
        <v>plumber near me top rated</v>
      </c>
      <c r="U2483" s="4"/>
      <c r="V2483" s="4"/>
      <c r="W2483" s="4"/>
      <c r="X2483" s="4"/>
      <c r="Y2483" s="4"/>
      <c r="Z2483" s="4"/>
    </row>
    <row r="2484" ht="15.75" customHeight="1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 t="str">
        <f>IFERROR(__xludf.DUMMYFUNCTION("""COMPUTED_VALUE"""),"plumber near me trusted")</f>
        <v>plumber near me trusted</v>
      </c>
      <c r="U2484" s="4"/>
      <c r="V2484" s="4"/>
      <c r="W2484" s="4"/>
      <c r="X2484" s="4"/>
      <c r="Y2484" s="4"/>
      <c r="Z2484" s="4"/>
    </row>
    <row r="2485" ht="15.75" customHeight="1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 t="str">
        <f>IFERROR(__xludf.DUMMYFUNCTION("""COMPUTED_VALUE"""),"plumber near me vs")</f>
        <v>plumber near me vs</v>
      </c>
      <c r="U2485" s="4"/>
      <c r="V2485" s="4"/>
      <c r="W2485" s="4"/>
      <c r="X2485" s="4"/>
      <c r="Y2485" s="4"/>
      <c r="Z2485" s="4"/>
    </row>
    <row r="2486" ht="15.75" customHeight="1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 t="str">
        <f>IFERROR(__xludf.DUMMYFUNCTION("""COMPUTED_VALUE"""),"plumber Newlands")</f>
        <v>plumber Newlands</v>
      </c>
      <c r="U2486" s="4"/>
      <c r="V2486" s="4"/>
      <c r="W2486" s="4"/>
      <c r="X2486" s="4"/>
      <c r="Y2486" s="4"/>
      <c r="Z2486" s="4"/>
    </row>
    <row r="2487" ht="15.75" customHeight="1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 t="str">
        <f>IFERROR(__xludf.DUMMYFUNCTION("""COMPUTED_VALUE"""),"plumber Northern Suburbs")</f>
        <v>plumber Northern Suburbs</v>
      </c>
      <c r="U2487" s="4"/>
      <c r="V2487" s="4"/>
      <c r="W2487" s="4"/>
      <c r="X2487" s="4"/>
      <c r="Y2487" s="4"/>
      <c r="Z2487" s="4"/>
    </row>
    <row r="2488" ht="15.75" customHeight="1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 t="str">
        <f>IFERROR(__xludf.DUMMYFUNCTION("""COMPUTED_VALUE"""),"plumber Observatory")</f>
        <v>plumber Observatory</v>
      </c>
      <c r="U2488" s="4"/>
      <c r="V2488" s="4"/>
      <c r="W2488" s="4"/>
      <c r="X2488" s="4"/>
      <c r="Y2488" s="4"/>
      <c r="Z2488" s="4"/>
    </row>
    <row r="2489" ht="15.75" customHeight="1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 t="str">
        <f>IFERROR(__xludf.DUMMYFUNCTION("""COMPUTED_VALUE"""),"plumber pipe repair")</f>
        <v>plumber pipe repair</v>
      </c>
      <c r="U2489" s="4"/>
      <c r="V2489" s="4"/>
      <c r="W2489" s="4"/>
      <c r="X2489" s="4"/>
      <c r="Y2489" s="4"/>
      <c r="Z2489" s="4"/>
    </row>
    <row r="2490" ht="15.75" customHeight="1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 t="str">
        <f>IFERROR(__xludf.DUMMYFUNCTION("""COMPUTED_VALUE"""),"plumber Plumstead")</f>
        <v>plumber Plumstead</v>
      </c>
      <c r="U2490" s="4"/>
      <c r="V2490" s="4"/>
      <c r="W2490" s="4"/>
      <c r="X2490" s="4"/>
      <c r="Y2490" s="4"/>
      <c r="Z2490" s="4"/>
    </row>
    <row r="2491" ht="15.75" customHeight="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 t="str">
        <f>IFERROR(__xludf.DUMMYFUNCTION("""COMPUTED_VALUE"""),"plumber Rondebosch")</f>
        <v>plumber Rondebosch</v>
      </c>
      <c r="U2491" s="4"/>
      <c r="V2491" s="4"/>
      <c r="W2491" s="4"/>
      <c r="X2491" s="4"/>
      <c r="Y2491" s="4"/>
      <c r="Z2491" s="4"/>
    </row>
    <row r="2492" ht="15.75" customHeight="1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 t="str">
        <f>IFERROR(__xludf.DUMMYFUNCTION("""COMPUTED_VALUE"""),"plumber Sea Point")</f>
        <v>plumber Sea Point</v>
      </c>
      <c r="U2492" s="4"/>
      <c r="V2492" s="4"/>
      <c r="W2492" s="4"/>
      <c r="X2492" s="4"/>
      <c r="Y2492" s="4"/>
      <c r="Z2492" s="4"/>
    </row>
    <row r="2493" ht="15.75" customHeight="1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 t="str">
        <f>IFERROR(__xludf.DUMMYFUNCTION("""COMPUTED_VALUE"""),"plumber South Africa")</f>
        <v>plumber South Africa</v>
      </c>
      <c r="U2493" s="4"/>
      <c r="V2493" s="4"/>
      <c r="W2493" s="4"/>
      <c r="X2493" s="4"/>
      <c r="Y2493" s="4"/>
      <c r="Z2493" s="4"/>
    </row>
    <row r="2494" ht="15.75" customHeight="1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 t="str">
        <f>IFERROR(__xludf.DUMMYFUNCTION("""COMPUTED_VALUE"""),"plumber Southern Suburbs")</f>
        <v>plumber Southern Suburbs</v>
      </c>
      <c r="U2494" s="4"/>
      <c r="V2494" s="4"/>
      <c r="W2494" s="4"/>
      <c r="X2494" s="4"/>
      <c r="Y2494" s="4"/>
      <c r="Z2494" s="4"/>
    </row>
    <row r="2495" ht="15.75" customHeight="1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 t="str">
        <f>IFERROR(__xludf.DUMMYFUNCTION("""COMPUTED_VALUE"""),"plumber Table View")</f>
        <v>plumber Table View</v>
      </c>
      <c r="U2495" s="4"/>
      <c r="V2495" s="4"/>
      <c r="W2495" s="4"/>
      <c r="X2495" s="4"/>
      <c r="Y2495" s="4"/>
      <c r="Z2495" s="4"/>
    </row>
    <row r="2496" ht="15.75" customHeight="1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 t="str">
        <f>IFERROR(__xludf.DUMMYFUNCTION("""COMPUTED_VALUE"""),"plumber toilet repair")</f>
        <v>plumber toilet repair</v>
      </c>
      <c r="U2496" s="4"/>
      <c r="V2496" s="4"/>
      <c r="W2496" s="4"/>
      <c r="X2496" s="4"/>
      <c r="Y2496" s="4"/>
      <c r="Z2496" s="4"/>
    </row>
    <row r="2497" ht="15.75" customHeight="1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 t="str">
        <f>IFERROR(__xludf.DUMMYFUNCTION("""COMPUTED_VALUE"""),"plumber Tokai")</f>
        <v>plumber Tokai</v>
      </c>
      <c r="U2497" s="4"/>
      <c r="V2497" s="4"/>
      <c r="W2497" s="4"/>
      <c r="X2497" s="4"/>
      <c r="Y2497" s="4"/>
      <c r="Z2497" s="4"/>
    </row>
    <row r="2498" ht="15.75" customHeight="1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 t="str">
        <f>IFERROR(__xludf.DUMMYFUNCTION("""COMPUTED_VALUE"""),"plumber water leak detection")</f>
        <v>plumber water leak detection</v>
      </c>
      <c r="U2498" s="4"/>
      <c r="V2498" s="4"/>
      <c r="W2498" s="4"/>
      <c r="X2498" s="4"/>
      <c r="Y2498" s="4"/>
      <c r="Z2498" s="4"/>
    </row>
    <row r="2499" ht="15.75" customHeight="1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 t="str">
        <f>IFERROR(__xludf.DUMMYFUNCTION("""COMPUTED_VALUE"""),"plumber water leak repair")</f>
        <v>plumber water leak repair</v>
      </c>
      <c r="U2499" s="4"/>
      <c r="V2499" s="4"/>
      <c r="W2499" s="4"/>
      <c r="X2499" s="4"/>
      <c r="Y2499" s="4"/>
      <c r="Z2499" s="4"/>
    </row>
    <row r="2500" ht="15.75" customHeight="1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 t="str">
        <f>IFERROR(__xludf.DUMMYFUNCTION("""COMPUTED_VALUE"""),"plumber Woodstock")</f>
        <v>plumber Woodstock</v>
      </c>
      <c r="U2500" s="4"/>
      <c r="V2500" s="4"/>
      <c r="W2500" s="4"/>
      <c r="X2500" s="4"/>
      <c r="Y2500" s="4"/>
      <c r="Z2500" s="4"/>
    </row>
    <row r="2501" ht="15.75" customHeight="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 t="str">
        <f>IFERROR(__xludf.DUMMYFUNCTION("""COMPUTED_VALUE"""),"plumber Wynberg")</f>
        <v>plumber Wynberg</v>
      </c>
      <c r="U2501" s="4"/>
      <c r="V2501" s="4"/>
      <c r="W2501" s="4"/>
      <c r="X2501" s="4"/>
      <c r="Y2501" s="4"/>
      <c r="Z2501" s="4"/>
    </row>
    <row r="2502" ht="15.75" customHeight="1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 t="str">
        <f>IFERROR(__xludf.DUMMYFUNCTION("""COMPUTED_VALUE"""),"plumbers Atlantic Seaboard")</f>
        <v>plumbers Atlantic Seaboard</v>
      </c>
      <c r="U2502" s="4"/>
      <c r="V2502" s="4"/>
      <c r="W2502" s="4"/>
      <c r="X2502" s="4"/>
      <c r="Y2502" s="4"/>
      <c r="Z2502" s="4"/>
    </row>
    <row r="2503" ht="15.75" customHeight="1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 t="str">
        <f>IFERROR(__xludf.DUMMYFUNCTION("""COMPUTED_VALUE"""),"plumbers Bellville")</f>
        <v>plumbers Bellville</v>
      </c>
      <c r="U2503" s="4"/>
      <c r="V2503" s="4"/>
      <c r="W2503" s="4"/>
      <c r="X2503" s="4"/>
      <c r="Y2503" s="4"/>
      <c r="Z2503" s="4"/>
    </row>
    <row r="2504" ht="15.75" customHeight="1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 t="str">
        <f>IFERROR(__xludf.DUMMYFUNCTION("""COMPUTED_VALUE"""),"plumbers Camps Bay")</f>
        <v>plumbers Camps Bay</v>
      </c>
      <c r="U2504" s="4"/>
      <c r="V2504" s="4"/>
      <c r="W2504" s="4"/>
      <c r="X2504" s="4"/>
      <c r="Y2504" s="4"/>
      <c r="Z2504" s="4"/>
    </row>
    <row r="2505" ht="15.75" customHeight="1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 t="str">
        <f>IFERROR(__xludf.DUMMYFUNCTION("""COMPUTED_VALUE"""),"plumbers Cape Town")</f>
        <v>plumbers Cape Town</v>
      </c>
      <c r="U2505" s="4"/>
      <c r="V2505" s="4"/>
      <c r="W2505" s="4"/>
      <c r="X2505" s="4"/>
      <c r="Y2505" s="4"/>
      <c r="Z2505" s="4"/>
    </row>
    <row r="2506" ht="15.75" customHeight="1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 t="str">
        <f>IFERROR(__xludf.DUMMYFUNCTION("""COMPUTED_VALUE"""),"plumbers cape town 24 hour")</f>
        <v>plumbers cape town 24 hour</v>
      </c>
      <c r="U2506" s="4"/>
      <c r="V2506" s="4"/>
      <c r="W2506" s="4"/>
      <c r="X2506" s="4"/>
      <c r="Y2506" s="4"/>
      <c r="Z2506" s="4"/>
    </row>
    <row r="2507" ht="15.75" customHeight="1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 t="str">
        <f>IFERROR(__xludf.DUMMYFUNCTION("""COMPUTED_VALUE"""),"plumbers cape town affordable")</f>
        <v>plumbers cape town affordable</v>
      </c>
      <c r="U2507" s="4"/>
      <c r="V2507" s="4"/>
      <c r="W2507" s="4"/>
      <c r="X2507" s="4"/>
      <c r="Y2507" s="4"/>
      <c r="Z2507" s="4"/>
    </row>
    <row r="2508" ht="15.75" customHeight="1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 t="str">
        <f>IFERROR(__xludf.DUMMYFUNCTION("""COMPUTED_VALUE"""),"plumbers cape town alternatives")</f>
        <v>plumbers cape town alternatives</v>
      </c>
      <c r="U2508" s="4"/>
      <c r="V2508" s="4"/>
      <c r="W2508" s="4"/>
      <c r="X2508" s="4"/>
      <c r="Y2508" s="4"/>
      <c r="Z2508" s="4"/>
    </row>
    <row r="2509" ht="15.75" customHeight="1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 t="str">
        <f>IFERROR(__xludf.DUMMYFUNCTION("""COMPUTED_VALUE"""),"plumbers cape town best")</f>
        <v>plumbers cape town best</v>
      </c>
      <c r="U2509" s="4"/>
      <c r="V2509" s="4"/>
      <c r="W2509" s="4"/>
      <c r="X2509" s="4"/>
      <c r="Y2509" s="4"/>
      <c r="Z2509" s="4"/>
    </row>
    <row r="2510" ht="15.75" customHeight="1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 t="str">
        <f>IFERROR(__xludf.DUMMYFUNCTION("""COMPUTED_VALUE"""),"plumbers Cape Town CBD")</f>
        <v>plumbers Cape Town CBD</v>
      </c>
      <c r="U2510" s="4"/>
      <c r="V2510" s="4"/>
      <c r="W2510" s="4"/>
      <c r="X2510" s="4"/>
      <c r="Y2510" s="4"/>
      <c r="Z2510" s="4"/>
    </row>
    <row r="2511" ht="15.75" customHeight="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 t="str">
        <f>IFERROR(__xludf.DUMMYFUNCTION("""COMPUTED_VALUE"""),"plumbers cape town certified")</f>
        <v>plumbers cape town certified</v>
      </c>
      <c r="U2511" s="4"/>
      <c r="V2511" s="4"/>
      <c r="W2511" s="4"/>
      <c r="X2511" s="4"/>
      <c r="Y2511" s="4"/>
      <c r="Z2511" s="4"/>
    </row>
    <row r="2512" ht="15.75" customHeight="1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 t="str">
        <f>IFERROR(__xludf.DUMMYFUNCTION("""COMPUTED_VALUE"""),"plumbers cape town compare")</f>
        <v>plumbers cape town compare</v>
      </c>
      <c r="U2512" s="4"/>
      <c r="V2512" s="4"/>
      <c r="W2512" s="4"/>
      <c r="X2512" s="4"/>
      <c r="Y2512" s="4"/>
      <c r="Z2512" s="4"/>
    </row>
    <row r="2513" ht="15.75" customHeight="1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 t="str">
        <f>IFERROR(__xludf.DUMMYFUNCTION("""COMPUTED_VALUE"""),"plumbers cape town complaints")</f>
        <v>plumbers cape town complaints</v>
      </c>
      <c r="U2513" s="4"/>
      <c r="V2513" s="4"/>
      <c r="W2513" s="4"/>
      <c r="X2513" s="4"/>
      <c r="Y2513" s="4"/>
      <c r="Z2513" s="4"/>
    </row>
    <row r="2514" ht="15.75" customHeight="1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 t="str">
        <f>IFERROR(__xludf.DUMMYFUNCTION("""COMPUTED_VALUE"""),"plumbers cape town cost")</f>
        <v>plumbers cape town cost</v>
      </c>
      <c r="U2514" s="4"/>
      <c r="V2514" s="4"/>
      <c r="W2514" s="4"/>
      <c r="X2514" s="4"/>
      <c r="Y2514" s="4"/>
      <c r="Z2514" s="4"/>
    </row>
    <row r="2515" ht="15.75" customHeight="1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 t="str">
        <f>IFERROR(__xludf.DUMMYFUNCTION("""COMPUTED_VALUE"""),"plumbers cape town insured")</f>
        <v>plumbers cape town insured</v>
      </c>
      <c r="U2515" s="4"/>
      <c r="V2515" s="4"/>
      <c r="W2515" s="4"/>
      <c r="X2515" s="4"/>
      <c r="Y2515" s="4"/>
      <c r="Z2515" s="4"/>
    </row>
    <row r="2516" ht="15.75" customHeight="1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 t="str">
        <f>IFERROR(__xludf.DUMMYFUNCTION("""COMPUTED_VALUE"""),"plumbers cape town licensed")</f>
        <v>plumbers cape town licensed</v>
      </c>
      <c r="U2516" s="4"/>
      <c r="V2516" s="4"/>
      <c r="W2516" s="4"/>
      <c r="X2516" s="4"/>
      <c r="Y2516" s="4"/>
      <c r="Z2516" s="4"/>
    </row>
    <row r="2517" ht="15.75" customHeight="1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 t="str">
        <f>IFERROR(__xludf.DUMMYFUNCTION("""COMPUTED_VALUE"""),"plumbers cape town local")</f>
        <v>plumbers cape town local</v>
      </c>
      <c r="U2517" s="4"/>
      <c r="V2517" s="4"/>
      <c r="W2517" s="4"/>
      <c r="X2517" s="4"/>
      <c r="Y2517" s="4"/>
      <c r="Z2517" s="4"/>
    </row>
    <row r="2518" ht="15.75" customHeight="1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 t="str">
        <f>IFERROR(__xludf.DUMMYFUNCTION("""COMPUTED_VALUE"""),"plumbers cape town near me")</f>
        <v>plumbers cape town near me</v>
      </c>
      <c r="U2518" s="4"/>
      <c r="V2518" s="4"/>
      <c r="W2518" s="4"/>
      <c r="X2518" s="4"/>
      <c r="Y2518" s="4"/>
      <c r="Z2518" s="4"/>
    </row>
    <row r="2519" ht="15.75" customHeight="1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 t="str">
        <f>IFERROR(__xludf.DUMMYFUNCTION("""COMPUTED_VALUE"""),"plumbers cape town prices")</f>
        <v>plumbers cape town prices</v>
      </c>
      <c r="U2519" s="4"/>
      <c r="V2519" s="4"/>
      <c r="W2519" s="4"/>
      <c r="X2519" s="4"/>
      <c r="Y2519" s="4"/>
      <c r="Z2519" s="4"/>
    </row>
    <row r="2520" ht="15.75" customHeight="1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 t="str">
        <f>IFERROR(__xludf.DUMMYFUNCTION("""COMPUTED_VALUE"""),"plumbers cape town qualified")</f>
        <v>plumbers cape town qualified</v>
      </c>
      <c r="U2520" s="4"/>
      <c r="V2520" s="4"/>
      <c r="W2520" s="4"/>
      <c r="X2520" s="4"/>
      <c r="Y2520" s="4"/>
      <c r="Z2520" s="4"/>
    </row>
    <row r="2521" ht="15.75" customHeight="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 t="str">
        <f>IFERROR(__xludf.DUMMYFUNCTION("""COMPUTED_VALUE"""),"plumbers cape town quote")</f>
        <v>plumbers cape town quote</v>
      </c>
      <c r="U2521" s="4"/>
      <c r="V2521" s="4"/>
      <c r="W2521" s="4"/>
      <c r="X2521" s="4"/>
      <c r="Y2521" s="4"/>
      <c r="Z2521" s="4"/>
    </row>
    <row r="2522" ht="15.75" customHeight="1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 t="str">
        <f>IFERROR(__xludf.DUMMYFUNCTION("""COMPUTED_VALUE"""),"plumbers cape town reliable")</f>
        <v>plumbers cape town reliable</v>
      </c>
      <c r="U2522" s="4"/>
      <c r="V2522" s="4"/>
      <c r="W2522" s="4"/>
      <c r="X2522" s="4"/>
      <c r="Y2522" s="4"/>
      <c r="Z2522" s="4"/>
    </row>
    <row r="2523" ht="15.75" customHeight="1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 t="str">
        <f>IFERROR(__xludf.DUMMYFUNCTION("""COMPUTED_VALUE"""),"plumbers cape town reputable")</f>
        <v>plumbers cape town reputable</v>
      </c>
      <c r="U2523" s="4"/>
      <c r="V2523" s="4"/>
      <c r="W2523" s="4"/>
      <c r="X2523" s="4"/>
      <c r="Y2523" s="4"/>
      <c r="Z2523" s="4"/>
    </row>
    <row r="2524" ht="15.75" customHeight="1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 t="str">
        <f>IFERROR(__xludf.DUMMYFUNCTION("""COMPUTED_VALUE"""),"plumbers cape town review")</f>
        <v>plumbers cape town review</v>
      </c>
      <c r="U2524" s="4"/>
      <c r="V2524" s="4"/>
      <c r="W2524" s="4"/>
      <c r="X2524" s="4"/>
      <c r="Y2524" s="4"/>
      <c r="Z2524" s="4"/>
    </row>
    <row r="2525" ht="15.75" customHeight="1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 t="str">
        <f>IFERROR(__xludf.DUMMYFUNCTION("""COMPUTED_VALUE"""),"plumbers cape town reviews")</f>
        <v>plumbers cape town reviews</v>
      </c>
      <c r="U2525" s="4"/>
      <c r="V2525" s="4"/>
      <c r="W2525" s="4"/>
      <c r="X2525" s="4"/>
      <c r="Y2525" s="4"/>
      <c r="Z2525" s="4"/>
    </row>
    <row r="2526" ht="15.75" customHeight="1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 t="str">
        <f>IFERROR(__xludf.DUMMYFUNCTION("""COMPUTED_VALUE"""),"plumbers cape town same day")</f>
        <v>plumbers cape town same day</v>
      </c>
      <c r="U2526" s="4"/>
      <c r="V2526" s="4"/>
      <c r="W2526" s="4"/>
      <c r="X2526" s="4"/>
      <c r="Y2526" s="4"/>
      <c r="Z2526" s="4"/>
    </row>
    <row r="2527" ht="15.75" customHeight="1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 t="str">
        <f>IFERROR(__xludf.DUMMYFUNCTION("""COMPUTED_VALUE"""),"plumbers cape town top rated")</f>
        <v>plumbers cape town top rated</v>
      </c>
      <c r="U2527" s="4"/>
      <c r="V2527" s="4"/>
      <c r="W2527" s="4"/>
      <c r="X2527" s="4"/>
      <c r="Y2527" s="4"/>
      <c r="Z2527" s="4"/>
    </row>
    <row r="2528" ht="15.75" customHeight="1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 t="str">
        <f>IFERROR(__xludf.DUMMYFUNCTION("""COMPUTED_VALUE"""),"plumbers cape town trusted")</f>
        <v>plumbers cape town trusted</v>
      </c>
      <c r="U2528" s="4"/>
      <c r="V2528" s="4"/>
      <c r="W2528" s="4"/>
      <c r="X2528" s="4"/>
      <c r="Y2528" s="4"/>
      <c r="Z2528" s="4"/>
    </row>
    <row r="2529" ht="15.75" customHeight="1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 t="str">
        <f>IFERROR(__xludf.DUMMYFUNCTION("""COMPUTED_VALUE"""),"plumbers cape town vs")</f>
        <v>plumbers cape town vs</v>
      </c>
      <c r="U2529" s="4"/>
      <c r="V2529" s="4"/>
      <c r="W2529" s="4"/>
      <c r="X2529" s="4"/>
      <c r="Y2529" s="4"/>
      <c r="Z2529" s="4"/>
    </row>
    <row r="2530" ht="15.75" customHeight="1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 t="str">
        <f>IFERROR(__xludf.DUMMYFUNCTION("""COMPUTED_VALUE"""),"plumbers Claremont")</f>
        <v>plumbers Claremont</v>
      </c>
      <c r="U2530" s="4"/>
      <c r="V2530" s="4"/>
      <c r="W2530" s="4"/>
      <c r="X2530" s="4"/>
      <c r="Y2530" s="4"/>
      <c r="Z2530" s="4"/>
    </row>
    <row r="2531" ht="15.75" customHeight="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 t="str">
        <f>IFERROR(__xludf.DUMMYFUNCTION("""COMPUTED_VALUE"""),"plumbers Constantia")</f>
        <v>plumbers Constantia</v>
      </c>
      <c r="U2531" s="4"/>
      <c r="V2531" s="4"/>
      <c r="W2531" s="4"/>
      <c r="X2531" s="4"/>
      <c r="Y2531" s="4"/>
      <c r="Z2531" s="4"/>
    </row>
    <row r="2532" ht="15.75" customHeight="1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 t="str">
        <f>IFERROR(__xludf.DUMMYFUNCTION("""COMPUTED_VALUE"""),"plumbers Durbanville")</f>
        <v>plumbers Durbanville</v>
      </c>
      <c r="U2532" s="4"/>
      <c r="V2532" s="4"/>
      <c r="W2532" s="4"/>
      <c r="X2532" s="4"/>
      <c r="Y2532" s="4"/>
      <c r="Z2532" s="4"/>
    </row>
    <row r="2533" ht="15.75" customHeight="1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 t="str">
        <f>IFERROR(__xludf.DUMMYFUNCTION("""COMPUTED_VALUE"""),"plumbers Fish Hoek")</f>
        <v>plumbers Fish Hoek</v>
      </c>
      <c r="U2533" s="4"/>
      <c r="V2533" s="4"/>
      <c r="W2533" s="4"/>
      <c r="X2533" s="4"/>
      <c r="Y2533" s="4"/>
      <c r="Z2533" s="4"/>
    </row>
    <row r="2534" ht="15.75" customHeight="1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 t="str">
        <f>IFERROR(__xludf.DUMMYFUNCTION("""COMPUTED_VALUE"""),"plumbers Green Point")</f>
        <v>plumbers Green Point</v>
      </c>
      <c r="U2534" s="4"/>
      <c r="V2534" s="4"/>
      <c r="W2534" s="4"/>
      <c r="X2534" s="4"/>
      <c r="Y2534" s="4"/>
      <c r="Z2534" s="4"/>
    </row>
    <row r="2535" ht="15.75" customHeight="1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 t="str">
        <f>IFERROR(__xludf.DUMMYFUNCTION("""COMPUTED_VALUE"""),"plumbers Hout Bay")</f>
        <v>plumbers Hout Bay</v>
      </c>
      <c r="U2535" s="4"/>
      <c r="V2535" s="4"/>
      <c r="W2535" s="4"/>
      <c r="X2535" s="4"/>
      <c r="Y2535" s="4"/>
      <c r="Z2535" s="4"/>
    </row>
    <row r="2536" ht="15.75" customHeight="1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 t="str">
        <f>IFERROR(__xludf.DUMMYFUNCTION("""COMPUTED_VALUE"""),"plumbers Maitland")</f>
        <v>plumbers Maitland</v>
      </c>
      <c r="U2536" s="4"/>
      <c r="V2536" s="4"/>
      <c r="W2536" s="4"/>
      <c r="X2536" s="4"/>
      <c r="Y2536" s="4"/>
      <c r="Z2536" s="4"/>
    </row>
    <row r="2537" ht="15.75" customHeight="1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 t="str">
        <f>IFERROR(__xludf.DUMMYFUNCTION("""COMPUTED_VALUE"""),"plumbers Milnerton")</f>
        <v>plumbers Milnerton</v>
      </c>
      <c r="U2537" s="4"/>
      <c r="V2537" s="4"/>
      <c r="W2537" s="4"/>
      <c r="X2537" s="4"/>
      <c r="Y2537" s="4"/>
      <c r="Z2537" s="4"/>
    </row>
    <row r="2538" ht="15.75" customHeight="1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 t="str">
        <f>IFERROR(__xludf.DUMMYFUNCTION("""COMPUTED_VALUE"""),"plumbers Muizenberg")</f>
        <v>plumbers Muizenberg</v>
      </c>
      <c r="U2538" s="4"/>
      <c r="V2538" s="4"/>
      <c r="W2538" s="4"/>
      <c r="X2538" s="4"/>
      <c r="Y2538" s="4"/>
      <c r="Z2538" s="4"/>
    </row>
    <row r="2539" ht="15.75" customHeight="1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 t="str">
        <f>IFERROR(__xludf.DUMMYFUNCTION("""COMPUTED_VALUE"""),"plumbers Newlands")</f>
        <v>plumbers Newlands</v>
      </c>
      <c r="U2539" s="4"/>
      <c r="V2539" s="4"/>
      <c r="W2539" s="4"/>
      <c r="X2539" s="4"/>
      <c r="Y2539" s="4"/>
      <c r="Z2539" s="4"/>
    </row>
    <row r="2540" ht="15.75" customHeight="1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 t="str">
        <f>IFERROR(__xludf.DUMMYFUNCTION("""COMPUTED_VALUE"""),"plumbers Northern Suburbs")</f>
        <v>plumbers Northern Suburbs</v>
      </c>
      <c r="U2540" s="4"/>
      <c r="V2540" s="4"/>
      <c r="W2540" s="4"/>
      <c r="X2540" s="4"/>
      <c r="Y2540" s="4"/>
      <c r="Z2540" s="4"/>
    </row>
    <row r="2541" ht="15.75" customHeight="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 t="str">
        <f>IFERROR(__xludf.DUMMYFUNCTION("""COMPUTED_VALUE"""),"plumbers Observatory")</f>
        <v>plumbers Observatory</v>
      </c>
      <c r="U2541" s="4"/>
      <c r="V2541" s="4"/>
      <c r="W2541" s="4"/>
      <c r="X2541" s="4"/>
      <c r="Y2541" s="4"/>
      <c r="Z2541" s="4"/>
    </row>
    <row r="2542" ht="15.75" customHeight="1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 t="str">
        <f>IFERROR(__xludf.DUMMYFUNCTION("""COMPUTED_VALUE"""),"plumbers Plumstead")</f>
        <v>plumbers Plumstead</v>
      </c>
      <c r="U2542" s="4"/>
      <c r="V2542" s="4"/>
      <c r="W2542" s="4"/>
      <c r="X2542" s="4"/>
      <c r="Y2542" s="4"/>
      <c r="Z2542" s="4"/>
    </row>
    <row r="2543" ht="15.75" customHeight="1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 t="str">
        <f>IFERROR(__xludf.DUMMYFUNCTION("""COMPUTED_VALUE"""),"plumbers Rondebosch")</f>
        <v>plumbers Rondebosch</v>
      </c>
      <c r="U2543" s="4"/>
      <c r="V2543" s="4"/>
      <c r="W2543" s="4"/>
      <c r="X2543" s="4"/>
      <c r="Y2543" s="4"/>
      <c r="Z2543" s="4"/>
    </row>
    <row r="2544" ht="15.75" customHeight="1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 t="str">
        <f>IFERROR(__xludf.DUMMYFUNCTION("""COMPUTED_VALUE"""),"plumbers Sea Point")</f>
        <v>plumbers Sea Point</v>
      </c>
      <c r="U2544" s="4"/>
      <c r="V2544" s="4"/>
      <c r="W2544" s="4"/>
      <c r="X2544" s="4"/>
      <c r="Y2544" s="4"/>
      <c r="Z2544" s="4"/>
    </row>
    <row r="2545" ht="15.75" customHeight="1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 t="str">
        <f>IFERROR(__xludf.DUMMYFUNCTION("""COMPUTED_VALUE"""),"plumbers South Africa")</f>
        <v>plumbers South Africa</v>
      </c>
      <c r="U2545" s="4"/>
      <c r="V2545" s="4"/>
      <c r="W2545" s="4"/>
      <c r="X2545" s="4"/>
      <c r="Y2545" s="4"/>
      <c r="Z2545" s="4"/>
    </row>
    <row r="2546" ht="15.75" customHeight="1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 t="str">
        <f>IFERROR(__xludf.DUMMYFUNCTION("""COMPUTED_VALUE"""),"plumbers Southern Suburbs")</f>
        <v>plumbers Southern Suburbs</v>
      </c>
      <c r="U2546" s="4"/>
      <c r="V2546" s="4"/>
      <c r="W2546" s="4"/>
      <c r="X2546" s="4"/>
      <c r="Y2546" s="4"/>
      <c r="Z2546" s="4"/>
    </row>
    <row r="2547" ht="15.75" customHeight="1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 t="str">
        <f>IFERROR(__xludf.DUMMYFUNCTION("""COMPUTED_VALUE"""),"plumbers Table View")</f>
        <v>plumbers Table View</v>
      </c>
      <c r="U2547" s="4"/>
      <c r="V2547" s="4"/>
      <c r="W2547" s="4"/>
      <c r="X2547" s="4"/>
      <c r="Y2547" s="4"/>
      <c r="Z2547" s="4"/>
    </row>
    <row r="2548" ht="15.75" customHeight="1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 t="str">
        <f>IFERROR(__xludf.DUMMYFUNCTION("""COMPUTED_VALUE"""),"plumbers Tokai")</f>
        <v>plumbers Tokai</v>
      </c>
      <c r="U2548" s="4"/>
      <c r="V2548" s="4"/>
      <c r="W2548" s="4"/>
      <c r="X2548" s="4"/>
      <c r="Y2548" s="4"/>
      <c r="Z2548" s="4"/>
    </row>
    <row r="2549" ht="15.75" customHeight="1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 t="str">
        <f>IFERROR(__xludf.DUMMYFUNCTION("""COMPUTED_VALUE"""),"plumbers Woodstock")</f>
        <v>plumbers Woodstock</v>
      </c>
      <c r="U2549" s="4"/>
      <c r="V2549" s="4"/>
      <c r="W2549" s="4"/>
      <c r="X2549" s="4"/>
      <c r="Y2549" s="4"/>
      <c r="Z2549" s="4"/>
    </row>
    <row r="2550" ht="15.75" customHeight="1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 t="str">
        <f>IFERROR(__xludf.DUMMYFUNCTION("""COMPUTED_VALUE"""),"plumbers Wynberg")</f>
        <v>plumbers Wynberg</v>
      </c>
      <c r="U2550" s="4"/>
      <c r="V2550" s="4"/>
      <c r="W2550" s="4"/>
      <c r="X2550" s="4"/>
      <c r="Y2550" s="4"/>
      <c r="Z2550" s="4"/>
    </row>
    <row r="2551" ht="15.75" customHeight="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 t="str">
        <f>IFERROR(__xludf.DUMMYFUNCTION("""COMPUTED_VALUE"""),"plumbing company")</f>
        <v>plumbing company</v>
      </c>
      <c r="U2551" s="4"/>
      <c r="V2551" s="4"/>
      <c r="W2551" s="4"/>
      <c r="X2551" s="4"/>
      <c r="Y2551" s="4"/>
      <c r="Z2551" s="4"/>
    </row>
    <row r="2552" ht="15.75" customHeight="1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 t="str">
        <f>IFERROR(__xludf.DUMMYFUNCTION("""COMPUTED_VALUE"""),"plumbing company 24 hour")</f>
        <v>plumbing company 24 hour</v>
      </c>
      <c r="U2552" s="4"/>
      <c r="V2552" s="4"/>
      <c r="W2552" s="4"/>
      <c r="X2552" s="4"/>
      <c r="Y2552" s="4"/>
      <c r="Z2552" s="4"/>
    </row>
    <row r="2553" ht="15.75" customHeight="1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 t="str">
        <f>IFERROR(__xludf.DUMMYFUNCTION("""COMPUTED_VALUE"""),"plumbing company affordable")</f>
        <v>plumbing company affordable</v>
      </c>
      <c r="U2553" s="4"/>
      <c r="V2553" s="4"/>
      <c r="W2553" s="4"/>
      <c r="X2553" s="4"/>
      <c r="Y2553" s="4"/>
      <c r="Z2553" s="4"/>
    </row>
    <row r="2554" ht="15.75" customHeight="1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 t="str">
        <f>IFERROR(__xludf.DUMMYFUNCTION("""COMPUTED_VALUE"""),"plumbing company after hours")</f>
        <v>plumbing company after hours</v>
      </c>
      <c r="U2554" s="4"/>
      <c r="V2554" s="4"/>
      <c r="W2554" s="4"/>
      <c r="X2554" s="4"/>
      <c r="Y2554" s="4"/>
      <c r="Z2554" s="4"/>
    </row>
    <row r="2555" ht="15.75" customHeight="1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 t="str">
        <f>IFERROR(__xludf.DUMMYFUNCTION("""COMPUTED_VALUE"""),"plumbing company apartment")</f>
        <v>plumbing company apartment</v>
      </c>
      <c r="U2555" s="4"/>
      <c r="V2555" s="4"/>
      <c r="W2555" s="4"/>
      <c r="X2555" s="4"/>
      <c r="Y2555" s="4"/>
      <c r="Z2555" s="4"/>
    </row>
    <row r="2556" ht="15.75" customHeight="1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 t="str">
        <f>IFERROR(__xludf.DUMMYFUNCTION("""COMPUTED_VALUE"""),"plumbing company Atlantic Seaboard")</f>
        <v>plumbing company Atlantic Seaboard</v>
      </c>
      <c r="U2556" s="4"/>
      <c r="V2556" s="4"/>
      <c r="W2556" s="4"/>
      <c r="X2556" s="4"/>
      <c r="Y2556" s="4"/>
      <c r="Z2556" s="4"/>
    </row>
    <row r="2557" ht="15.75" customHeight="1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 t="str">
        <f>IFERROR(__xludf.DUMMYFUNCTION("""COMPUTED_VALUE"""),"plumbing company Bellville")</f>
        <v>plumbing company Bellville</v>
      </c>
      <c r="U2557" s="4"/>
      <c r="V2557" s="4"/>
      <c r="W2557" s="4"/>
      <c r="X2557" s="4"/>
      <c r="Y2557" s="4"/>
      <c r="Z2557" s="4"/>
    </row>
    <row r="2558" ht="15.75" customHeight="1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 t="str">
        <f>IFERROR(__xludf.DUMMYFUNCTION("""COMPUTED_VALUE"""),"plumbing company best")</f>
        <v>plumbing company best</v>
      </c>
      <c r="U2558" s="4"/>
      <c r="V2558" s="4"/>
      <c r="W2558" s="4"/>
      <c r="X2558" s="4"/>
      <c r="Y2558" s="4"/>
      <c r="Z2558" s="4"/>
    </row>
    <row r="2559" ht="15.75" customHeight="1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 t="str">
        <f>IFERROR(__xludf.DUMMYFUNCTION("""COMPUTED_VALUE"""),"plumbing company blocked drain")</f>
        <v>plumbing company blocked drain</v>
      </c>
      <c r="U2559" s="4"/>
      <c r="V2559" s="4"/>
      <c r="W2559" s="4"/>
      <c r="X2559" s="4"/>
      <c r="Y2559" s="4"/>
      <c r="Z2559" s="4"/>
    </row>
    <row r="2560" ht="15.75" customHeight="1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 t="str">
        <f>IFERROR(__xludf.DUMMYFUNCTION("""COMPUTED_VALUE"""),"plumbing company body corporate")</f>
        <v>plumbing company body corporate</v>
      </c>
      <c r="U2560" s="4"/>
      <c r="V2560" s="4"/>
      <c r="W2560" s="4"/>
      <c r="X2560" s="4"/>
      <c r="Y2560" s="4"/>
      <c r="Z2560" s="4"/>
    </row>
    <row r="2561" ht="15.75" customHeight="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 t="str">
        <f>IFERROR(__xludf.DUMMYFUNCTION("""COMPUTED_VALUE"""),"plumbing company building")</f>
        <v>plumbing company building</v>
      </c>
      <c r="U2561" s="4"/>
      <c r="V2561" s="4"/>
      <c r="W2561" s="4"/>
      <c r="X2561" s="4"/>
      <c r="Y2561" s="4"/>
      <c r="Z2561" s="4"/>
    </row>
    <row r="2562" ht="15.75" customHeight="1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 t="str">
        <f>IFERROR(__xludf.DUMMYFUNCTION("""COMPUTED_VALUE"""),"plumbing company burst geyser")</f>
        <v>plumbing company burst geyser</v>
      </c>
      <c r="U2562" s="4"/>
      <c r="V2562" s="4"/>
      <c r="W2562" s="4"/>
      <c r="X2562" s="4"/>
      <c r="Y2562" s="4"/>
      <c r="Z2562" s="4"/>
    </row>
    <row r="2563" ht="15.75" customHeight="1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 t="str">
        <f>IFERROR(__xludf.DUMMYFUNCTION("""COMPUTED_VALUE"""),"plumbing company business")</f>
        <v>plumbing company business</v>
      </c>
      <c r="U2563" s="4"/>
      <c r="V2563" s="4"/>
      <c r="W2563" s="4"/>
      <c r="X2563" s="4"/>
      <c r="Y2563" s="4"/>
      <c r="Z2563" s="4"/>
    </row>
    <row r="2564" ht="15.75" customHeight="1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 t="str">
        <f>IFERROR(__xludf.DUMMYFUNCTION("""COMPUTED_VALUE"""),"plumbing company call out")</f>
        <v>plumbing company call out</v>
      </c>
      <c r="U2564" s="4"/>
      <c r="V2564" s="4"/>
      <c r="W2564" s="4"/>
      <c r="X2564" s="4"/>
      <c r="Y2564" s="4"/>
      <c r="Z2564" s="4"/>
    </row>
    <row r="2565" ht="15.75" customHeight="1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 t="str">
        <f>IFERROR(__xludf.DUMMYFUNCTION("""COMPUTED_VALUE"""),"plumbing company Camps Bay")</f>
        <v>plumbing company Camps Bay</v>
      </c>
      <c r="U2565" s="4"/>
      <c r="V2565" s="4"/>
      <c r="W2565" s="4"/>
      <c r="X2565" s="4"/>
      <c r="Y2565" s="4"/>
      <c r="Z2565" s="4"/>
    </row>
    <row r="2566" ht="15.75" customHeight="1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 t="str">
        <f>IFERROR(__xludf.DUMMYFUNCTION("""COMPUTED_VALUE"""),"plumbing company Cape Town")</f>
        <v>plumbing company Cape Town</v>
      </c>
      <c r="U2566" s="4"/>
      <c r="V2566" s="4"/>
      <c r="W2566" s="4"/>
      <c r="X2566" s="4"/>
      <c r="Y2566" s="4"/>
      <c r="Z2566" s="4"/>
    </row>
    <row r="2567" ht="15.75" customHeight="1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 t="str">
        <f>IFERROR(__xludf.DUMMYFUNCTION("""COMPUTED_VALUE"""),"plumbing company cape town 24 hour")</f>
        <v>plumbing company cape town 24 hour</v>
      </c>
      <c r="U2567" s="4"/>
      <c r="V2567" s="4"/>
      <c r="W2567" s="4"/>
      <c r="X2567" s="4"/>
      <c r="Y2567" s="4"/>
      <c r="Z2567" s="4"/>
    </row>
    <row r="2568" ht="15.75" customHeight="1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 t="str">
        <f>IFERROR(__xludf.DUMMYFUNCTION("""COMPUTED_VALUE"""),"plumbing company cape town affordable")</f>
        <v>plumbing company cape town affordable</v>
      </c>
      <c r="U2568" s="4"/>
      <c r="V2568" s="4"/>
      <c r="W2568" s="4"/>
      <c r="X2568" s="4"/>
      <c r="Y2568" s="4"/>
      <c r="Z2568" s="4"/>
    </row>
    <row r="2569" ht="15.75" customHeight="1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 t="str">
        <f>IFERROR(__xludf.DUMMYFUNCTION("""COMPUTED_VALUE"""),"plumbing company cape town alternatives")</f>
        <v>plumbing company cape town alternatives</v>
      </c>
      <c r="U2569" s="4"/>
      <c r="V2569" s="4"/>
      <c r="W2569" s="4"/>
      <c r="X2569" s="4"/>
      <c r="Y2569" s="4"/>
      <c r="Z2569" s="4"/>
    </row>
    <row r="2570" ht="15.75" customHeight="1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 t="str">
        <f>IFERROR(__xludf.DUMMYFUNCTION("""COMPUTED_VALUE"""),"plumbing company cape town best")</f>
        <v>plumbing company cape town best</v>
      </c>
      <c r="U2570" s="4"/>
      <c r="V2570" s="4"/>
      <c r="W2570" s="4"/>
      <c r="X2570" s="4"/>
      <c r="Y2570" s="4"/>
      <c r="Z2570" s="4"/>
    </row>
    <row r="2571" ht="15.75" customHeight="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 t="str">
        <f>IFERROR(__xludf.DUMMYFUNCTION("""COMPUTED_VALUE"""),"plumbing company Cape Town CBD")</f>
        <v>plumbing company Cape Town CBD</v>
      </c>
      <c r="U2571" s="4"/>
      <c r="V2571" s="4"/>
      <c r="W2571" s="4"/>
      <c r="X2571" s="4"/>
      <c r="Y2571" s="4"/>
      <c r="Z2571" s="4"/>
    </row>
    <row r="2572" ht="15.75" customHeight="1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 t="str">
        <f>IFERROR(__xludf.DUMMYFUNCTION("""COMPUTED_VALUE"""),"plumbing company cape town certified")</f>
        <v>plumbing company cape town certified</v>
      </c>
      <c r="U2572" s="4"/>
      <c r="V2572" s="4"/>
      <c r="W2572" s="4"/>
      <c r="X2572" s="4"/>
      <c r="Y2572" s="4"/>
      <c r="Z2572" s="4"/>
    </row>
    <row r="2573" ht="15.75" customHeight="1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 t="str">
        <f>IFERROR(__xludf.DUMMYFUNCTION("""COMPUTED_VALUE"""),"plumbing company cape town compare")</f>
        <v>plumbing company cape town compare</v>
      </c>
      <c r="U2573" s="4"/>
      <c r="V2573" s="4"/>
      <c r="W2573" s="4"/>
      <c r="X2573" s="4"/>
      <c r="Y2573" s="4"/>
      <c r="Z2573" s="4"/>
    </row>
    <row r="2574" ht="15.75" customHeight="1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 t="str">
        <f>IFERROR(__xludf.DUMMYFUNCTION("""COMPUTED_VALUE"""),"plumbing company cape town complaints")</f>
        <v>plumbing company cape town complaints</v>
      </c>
      <c r="U2574" s="4"/>
      <c r="V2574" s="4"/>
      <c r="W2574" s="4"/>
      <c r="X2574" s="4"/>
      <c r="Y2574" s="4"/>
      <c r="Z2574" s="4"/>
    </row>
    <row r="2575" ht="15.75" customHeight="1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 t="str">
        <f>IFERROR(__xludf.DUMMYFUNCTION("""COMPUTED_VALUE"""),"plumbing company cape town cost")</f>
        <v>plumbing company cape town cost</v>
      </c>
      <c r="U2575" s="4"/>
      <c r="V2575" s="4"/>
      <c r="W2575" s="4"/>
      <c r="X2575" s="4"/>
      <c r="Y2575" s="4"/>
      <c r="Z2575" s="4"/>
    </row>
    <row r="2576" ht="15.75" customHeight="1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 t="str">
        <f>IFERROR(__xludf.DUMMYFUNCTION("""COMPUTED_VALUE"""),"plumbing company cape town insured")</f>
        <v>plumbing company cape town insured</v>
      </c>
      <c r="U2576" s="4"/>
      <c r="V2576" s="4"/>
      <c r="W2576" s="4"/>
      <c r="X2576" s="4"/>
      <c r="Y2576" s="4"/>
      <c r="Z2576" s="4"/>
    </row>
    <row r="2577" ht="15.75" customHeight="1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 t="str">
        <f>IFERROR(__xludf.DUMMYFUNCTION("""COMPUTED_VALUE"""),"plumbing company cape town licensed")</f>
        <v>plumbing company cape town licensed</v>
      </c>
      <c r="U2577" s="4"/>
      <c r="V2577" s="4"/>
      <c r="W2577" s="4"/>
      <c r="X2577" s="4"/>
      <c r="Y2577" s="4"/>
      <c r="Z2577" s="4"/>
    </row>
    <row r="2578" ht="15.75" customHeight="1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 t="str">
        <f>IFERROR(__xludf.DUMMYFUNCTION("""COMPUTED_VALUE"""),"plumbing company cape town local")</f>
        <v>plumbing company cape town local</v>
      </c>
      <c r="U2578" s="4"/>
      <c r="V2578" s="4"/>
      <c r="W2578" s="4"/>
      <c r="X2578" s="4"/>
      <c r="Y2578" s="4"/>
      <c r="Z2578" s="4"/>
    </row>
    <row r="2579" ht="15.75" customHeight="1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 t="str">
        <f>IFERROR(__xludf.DUMMYFUNCTION("""COMPUTED_VALUE"""),"plumbing company cape town near me")</f>
        <v>plumbing company cape town near me</v>
      </c>
      <c r="U2579" s="4"/>
      <c r="V2579" s="4"/>
      <c r="W2579" s="4"/>
      <c r="X2579" s="4"/>
      <c r="Y2579" s="4"/>
      <c r="Z2579" s="4"/>
    </row>
    <row r="2580" ht="15.75" customHeight="1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 t="str">
        <f>IFERROR(__xludf.DUMMYFUNCTION("""COMPUTED_VALUE"""),"plumbing company cape town prices")</f>
        <v>plumbing company cape town prices</v>
      </c>
      <c r="U2580" s="4"/>
      <c r="V2580" s="4"/>
      <c r="W2580" s="4"/>
      <c r="X2580" s="4"/>
      <c r="Y2580" s="4"/>
      <c r="Z2580" s="4"/>
    </row>
    <row r="2581" ht="15.75" customHeight="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 t="str">
        <f>IFERROR(__xludf.DUMMYFUNCTION("""COMPUTED_VALUE"""),"plumbing company cape town qualified")</f>
        <v>plumbing company cape town qualified</v>
      </c>
      <c r="U2581" s="4"/>
      <c r="V2581" s="4"/>
      <c r="W2581" s="4"/>
      <c r="X2581" s="4"/>
      <c r="Y2581" s="4"/>
      <c r="Z2581" s="4"/>
    </row>
    <row r="2582" ht="15.75" customHeight="1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 t="str">
        <f>IFERROR(__xludf.DUMMYFUNCTION("""COMPUTED_VALUE"""),"plumbing company cape town quote")</f>
        <v>plumbing company cape town quote</v>
      </c>
      <c r="U2582" s="4"/>
      <c r="V2582" s="4"/>
      <c r="W2582" s="4"/>
      <c r="X2582" s="4"/>
      <c r="Y2582" s="4"/>
      <c r="Z2582" s="4"/>
    </row>
    <row r="2583" ht="15.75" customHeight="1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 t="str">
        <f>IFERROR(__xludf.DUMMYFUNCTION("""COMPUTED_VALUE"""),"plumbing company cape town reliable")</f>
        <v>plumbing company cape town reliable</v>
      </c>
      <c r="U2583" s="4"/>
      <c r="V2583" s="4"/>
      <c r="W2583" s="4"/>
      <c r="X2583" s="4"/>
      <c r="Y2583" s="4"/>
      <c r="Z2583" s="4"/>
    </row>
    <row r="2584" ht="15.75" customHeight="1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 t="str">
        <f>IFERROR(__xludf.DUMMYFUNCTION("""COMPUTED_VALUE"""),"plumbing company cape town reputable")</f>
        <v>plumbing company cape town reputable</v>
      </c>
      <c r="U2584" s="4"/>
      <c r="V2584" s="4"/>
      <c r="W2584" s="4"/>
      <c r="X2584" s="4"/>
      <c r="Y2584" s="4"/>
      <c r="Z2584" s="4"/>
    </row>
    <row r="2585" ht="15.75" customHeight="1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 t="str">
        <f>IFERROR(__xludf.DUMMYFUNCTION("""COMPUTED_VALUE"""),"plumbing company cape town review")</f>
        <v>plumbing company cape town review</v>
      </c>
      <c r="U2585" s="4"/>
      <c r="V2585" s="4"/>
      <c r="W2585" s="4"/>
      <c r="X2585" s="4"/>
      <c r="Y2585" s="4"/>
      <c r="Z2585" s="4"/>
    </row>
    <row r="2586" ht="15.75" customHeight="1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 t="str">
        <f>IFERROR(__xludf.DUMMYFUNCTION("""COMPUTED_VALUE"""),"plumbing company cape town reviews")</f>
        <v>plumbing company cape town reviews</v>
      </c>
      <c r="U2586" s="4"/>
      <c r="V2586" s="4"/>
      <c r="W2586" s="4"/>
      <c r="X2586" s="4"/>
      <c r="Y2586" s="4"/>
      <c r="Z2586" s="4"/>
    </row>
    <row r="2587" ht="15.75" customHeight="1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 t="str">
        <f>IFERROR(__xludf.DUMMYFUNCTION("""COMPUTED_VALUE"""),"plumbing company cape town same day")</f>
        <v>plumbing company cape town same day</v>
      </c>
      <c r="U2587" s="4"/>
      <c r="V2587" s="4"/>
      <c r="W2587" s="4"/>
      <c r="X2587" s="4"/>
      <c r="Y2587" s="4"/>
      <c r="Z2587" s="4"/>
    </row>
    <row r="2588" ht="15.75" customHeight="1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 t="str">
        <f>IFERROR(__xludf.DUMMYFUNCTION("""COMPUTED_VALUE"""),"plumbing company cape town top rated")</f>
        <v>plumbing company cape town top rated</v>
      </c>
      <c r="U2588" s="4"/>
      <c r="V2588" s="4"/>
      <c r="W2588" s="4"/>
      <c r="X2588" s="4"/>
      <c r="Y2588" s="4"/>
      <c r="Z2588" s="4"/>
    </row>
    <row r="2589" ht="15.75" customHeight="1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 t="str">
        <f>IFERROR(__xludf.DUMMYFUNCTION("""COMPUTED_VALUE"""),"plumbing company cape town trusted")</f>
        <v>plumbing company cape town trusted</v>
      </c>
      <c r="U2589" s="4"/>
      <c r="V2589" s="4"/>
      <c r="W2589" s="4"/>
      <c r="X2589" s="4"/>
      <c r="Y2589" s="4"/>
      <c r="Z2589" s="4"/>
    </row>
    <row r="2590" ht="15.75" customHeight="1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 t="str">
        <f>IFERROR(__xludf.DUMMYFUNCTION("""COMPUTED_VALUE"""),"plumbing company cape town vs")</f>
        <v>plumbing company cape town vs</v>
      </c>
      <c r="U2590" s="4"/>
      <c r="V2590" s="4"/>
      <c r="W2590" s="4"/>
      <c r="X2590" s="4"/>
      <c r="Y2590" s="4"/>
      <c r="Z2590" s="4"/>
    </row>
    <row r="2591" ht="15.75" customHeight="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 t="str">
        <f>IFERROR(__xludf.DUMMYFUNCTION("""COMPUTED_VALUE"""),"plumbing company Claremont")</f>
        <v>plumbing company Claremont</v>
      </c>
      <c r="U2591" s="4"/>
      <c r="V2591" s="4"/>
      <c r="W2591" s="4"/>
      <c r="X2591" s="4"/>
      <c r="Y2591" s="4"/>
      <c r="Z2591" s="4"/>
    </row>
    <row r="2592" ht="15.75" customHeight="1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 t="str">
        <f>IFERROR(__xludf.DUMMYFUNCTION("""COMPUTED_VALUE"""),"plumbing company commercial property")</f>
        <v>plumbing company commercial property</v>
      </c>
      <c r="U2592" s="4"/>
      <c r="V2592" s="4"/>
      <c r="W2592" s="4"/>
      <c r="X2592" s="4"/>
      <c r="Y2592" s="4"/>
      <c r="Z2592" s="4"/>
    </row>
    <row r="2593" ht="15.75" customHeight="1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 t="str">
        <f>IFERROR(__xludf.DUMMYFUNCTION("""COMPUTED_VALUE"""),"plumbing company Constantia")</f>
        <v>plumbing company Constantia</v>
      </c>
      <c r="U2593" s="4"/>
      <c r="V2593" s="4"/>
      <c r="W2593" s="4"/>
      <c r="X2593" s="4"/>
      <c r="Y2593" s="4"/>
      <c r="Z2593" s="4"/>
    </row>
    <row r="2594" ht="15.75" customHeight="1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 t="str">
        <f>IFERROR(__xludf.DUMMYFUNCTION("""COMPUTED_VALUE"""),"plumbing company contractor")</f>
        <v>plumbing company contractor</v>
      </c>
      <c r="U2594" s="4"/>
      <c r="V2594" s="4"/>
      <c r="W2594" s="4"/>
      <c r="X2594" s="4"/>
      <c r="Y2594" s="4"/>
      <c r="Z2594" s="4"/>
    </row>
    <row r="2595" ht="15.75" customHeight="1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 t="str">
        <f>IFERROR(__xludf.DUMMYFUNCTION("""COMPUTED_VALUE"""),"plumbing company cost")</f>
        <v>plumbing company cost</v>
      </c>
      <c r="U2595" s="4"/>
      <c r="V2595" s="4"/>
      <c r="W2595" s="4"/>
      <c r="X2595" s="4"/>
      <c r="Y2595" s="4"/>
      <c r="Z2595" s="4"/>
    </row>
    <row r="2596" ht="15.75" customHeight="1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 t="str">
        <f>IFERROR(__xludf.DUMMYFUNCTION("""COMPUTED_VALUE"""),"plumbing company drain cleaning")</f>
        <v>plumbing company drain cleaning</v>
      </c>
      <c r="U2596" s="4"/>
      <c r="V2596" s="4"/>
      <c r="W2596" s="4"/>
      <c r="X2596" s="4"/>
      <c r="Y2596" s="4"/>
      <c r="Z2596" s="4"/>
    </row>
    <row r="2597" ht="15.75" customHeight="1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 t="str">
        <f>IFERROR(__xludf.DUMMYFUNCTION("""COMPUTED_VALUE"""),"plumbing company drain inspection")</f>
        <v>plumbing company drain inspection</v>
      </c>
      <c r="U2597" s="4"/>
      <c r="V2597" s="4"/>
      <c r="W2597" s="4"/>
      <c r="X2597" s="4"/>
      <c r="Y2597" s="4"/>
      <c r="Z2597" s="4"/>
    </row>
    <row r="2598" ht="15.75" customHeight="1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 t="str">
        <f>IFERROR(__xludf.DUMMYFUNCTION("""COMPUTED_VALUE"""),"plumbing company drain unblocking")</f>
        <v>plumbing company drain unblocking</v>
      </c>
      <c r="U2598" s="4"/>
      <c r="V2598" s="4"/>
      <c r="W2598" s="4"/>
      <c r="X2598" s="4"/>
      <c r="Y2598" s="4"/>
      <c r="Z2598" s="4"/>
    </row>
    <row r="2599" ht="15.75" customHeight="1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 t="str">
        <f>IFERROR(__xludf.DUMMYFUNCTION("""COMPUTED_VALUE"""),"plumbing company Durbanville")</f>
        <v>plumbing company Durbanville</v>
      </c>
      <c r="U2599" s="4"/>
      <c r="V2599" s="4"/>
      <c r="W2599" s="4"/>
      <c r="X2599" s="4"/>
      <c r="Y2599" s="4"/>
      <c r="Z2599" s="4"/>
    </row>
    <row r="2600" ht="15.75" customHeight="1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 t="str">
        <f>IFERROR(__xludf.DUMMYFUNCTION("""COMPUTED_VALUE"""),"plumbing company emergency")</f>
        <v>plumbing company emergency</v>
      </c>
      <c r="U2600" s="4"/>
      <c r="V2600" s="4"/>
      <c r="W2600" s="4"/>
      <c r="X2600" s="4"/>
      <c r="Y2600" s="4"/>
      <c r="Z2600" s="4"/>
    </row>
    <row r="2601" ht="15.75" customHeight="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 t="str">
        <f>IFERROR(__xludf.DUMMYFUNCTION("""COMPUTED_VALUE"""),"plumbing company estate agent")</f>
        <v>plumbing company estate agent</v>
      </c>
      <c r="U2601" s="4"/>
      <c r="V2601" s="4"/>
      <c r="W2601" s="4"/>
      <c r="X2601" s="4"/>
      <c r="Y2601" s="4"/>
      <c r="Z2601" s="4"/>
    </row>
    <row r="2602" ht="15.75" customHeight="1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 t="str">
        <f>IFERROR(__xludf.DUMMYFUNCTION("""COMPUTED_VALUE"""),"plumbing company Fish Hoek")</f>
        <v>plumbing company Fish Hoek</v>
      </c>
      <c r="U2602" s="4"/>
      <c r="V2602" s="4"/>
      <c r="W2602" s="4"/>
      <c r="X2602" s="4"/>
      <c r="Y2602" s="4"/>
      <c r="Z2602" s="4"/>
    </row>
    <row r="2603" ht="15.75" customHeight="1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 t="str">
        <f>IFERROR(__xludf.DUMMYFUNCTION("""COMPUTED_VALUE"""),"plumbing company flat")</f>
        <v>plumbing company flat</v>
      </c>
      <c r="U2603" s="4"/>
      <c r="V2603" s="4"/>
      <c r="W2603" s="4"/>
      <c r="X2603" s="4"/>
      <c r="Y2603" s="4"/>
      <c r="Z2603" s="4"/>
    </row>
    <row r="2604" ht="15.75" customHeight="1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 t="str">
        <f>IFERROR(__xludf.DUMMYFUNCTION("""COMPUTED_VALUE"""),"plumbing company geyser repair")</f>
        <v>plumbing company geyser repair</v>
      </c>
      <c r="U2604" s="4"/>
      <c r="V2604" s="4"/>
      <c r="W2604" s="4"/>
      <c r="X2604" s="4"/>
      <c r="Y2604" s="4"/>
      <c r="Z2604" s="4"/>
    </row>
    <row r="2605" ht="15.75" customHeight="1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 t="str">
        <f>IFERROR(__xludf.DUMMYFUNCTION("""COMPUTED_VALUE"""),"plumbing company geyser replacement")</f>
        <v>plumbing company geyser replacement</v>
      </c>
      <c r="U2605" s="4"/>
      <c r="V2605" s="4"/>
      <c r="W2605" s="4"/>
      <c r="X2605" s="4"/>
      <c r="Y2605" s="4"/>
      <c r="Z2605" s="4"/>
    </row>
    <row r="2606" ht="15.75" customHeight="1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 t="str">
        <f>IFERROR(__xludf.DUMMYFUNCTION("""COMPUTED_VALUE"""),"plumbing company Green Point")</f>
        <v>plumbing company Green Point</v>
      </c>
      <c r="U2606" s="4"/>
      <c r="V2606" s="4"/>
      <c r="W2606" s="4"/>
      <c r="X2606" s="4"/>
      <c r="Y2606" s="4"/>
      <c r="Z2606" s="4"/>
    </row>
    <row r="2607" ht="15.75" customHeight="1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 t="str">
        <f>IFERROR(__xludf.DUMMYFUNCTION("""COMPUTED_VALUE"""),"plumbing company guesthouse")</f>
        <v>plumbing company guesthouse</v>
      </c>
      <c r="U2607" s="4"/>
      <c r="V2607" s="4"/>
      <c r="W2607" s="4"/>
      <c r="X2607" s="4"/>
      <c r="Y2607" s="4"/>
      <c r="Z2607" s="4"/>
    </row>
    <row r="2608" ht="15.75" customHeight="1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 t="str">
        <f>IFERROR(__xludf.DUMMYFUNCTION("""COMPUTED_VALUE"""),"plumbing company home")</f>
        <v>plumbing company home</v>
      </c>
      <c r="U2608" s="4"/>
      <c r="V2608" s="4"/>
      <c r="W2608" s="4"/>
      <c r="X2608" s="4"/>
      <c r="Y2608" s="4"/>
      <c r="Z2608" s="4"/>
    </row>
    <row r="2609" ht="15.75" customHeight="1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 t="str">
        <f>IFERROR(__xludf.DUMMYFUNCTION("""COMPUTED_VALUE"""),"plumbing company hotel")</f>
        <v>plumbing company hotel</v>
      </c>
      <c r="U2609" s="4"/>
      <c r="V2609" s="4"/>
      <c r="W2609" s="4"/>
      <c r="X2609" s="4"/>
      <c r="Y2609" s="4"/>
      <c r="Z2609" s="4"/>
    </row>
    <row r="2610" ht="15.75" customHeight="1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 t="str">
        <f>IFERROR(__xludf.DUMMYFUNCTION("""COMPUTED_VALUE"""),"plumbing company house")</f>
        <v>plumbing company house</v>
      </c>
      <c r="U2610" s="4"/>
      <c r="V2610" s="4"/>
      <c r="W2610" s="4"/>
      <c r="X2610" s="4"/>
      <c r="Y2610" s="4"/>
      <c r="Z2610" s="4"/>
    </row>
    <row r="2611" ht="15.75" customHeight="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 t="str">
        <f>IFERROR(__xludf.DUMMYFUNCTION("""COMPUTED_VALUE"""),"plumbing company Hout Bay")</f>
        <v>plumbing company Hout Bay</v>
      </c>
      <c r="U2611" s="4"/>
      <c r="V2611" s="4"/>
      <c r="W2611" s="4"/>
      <c r="X2611" s="4"/>
      <c r="Y2611" s="4"/>
      <c r="Z2611" s="4"/>
    </row>
    <row r="2612" ht="15.75" customHeight="1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 t="str">
        <f>IFERROR(__xludf.DUMMYFUNCTION("""COMPUTED_VALUE"""),"plumbing company installation")</f>
        <v>plumbing company installation</v>
      </c>
      <c r="U2612" s="4"/>
      <c r="V2612" s="4"/>
      <c r="W2612" s="4"/>
      <c r="X2612" s="4"/>
      <c r="Y2612" s="4"/>
      <c r="Z2612" s="4"/>
    </row>
    <row r="2613" ht="15.75" customHeight="1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 t="str">
        <f>IFERROR(__xludf.DUMMYFUNCTION("""COMPUTED_VALUE"""),"plumbing company landlord")</f>
        <v>plumbing company landlord</v>
      </c>
      <c r="U2613" s="4"/>
      <c r="V2613" s="4"/>
      <c r="W2613" s="4"/>
      <c r="X2613" s="4"/>
      <c r="Y2613" s="4"/>
      <c r="Z2613" s="4"/>
    </row>
    <row r="2614" ht="15.75" customHeight="1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 t="str">
        <f>IFERROR(__xludf.DUMMYFUNCTION("""COMPUTED_VALUE"""),"plumbing company leak detection")</f>
        <v>plumbing company leak detection</v>
      </c>
      <c r="U2614" s="4"/>
      <c r="V2614" s="4"/>
      <c r="W2614" s="4"/>
      <c r="X2614" s="4"/>
      <c r="Y2614" s="4"/>
      <c r="Z2614" s="4"/>
    </row>
    <row r="2615" ht="15.75" customHeight="1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 t="str">
        <f>IFERROR(__xludf.DUMMYFUNCTION("""COMPUTED_VALUE"""),"plumbing company licensed")</f>
        <v>plumbing company licensed</v>
      </c>
      <c r="U2615" s="4"/>
      <c r="V2615" s="4"/>
      <c r="W2615" s="4"/>
      <c r="X2615" s="4"/>
      <c r="Y2615" s="4"/>
      <c r="Z2615" s="4"/>
    </row>
    <row r="2616" ht="15.75" customHeight="1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 t="str">
        <f>IFERROR(__xludf.DUMMYFUNCTION("""COMPUTED_VALUE"""),"plumbing company local")</f>
        <v>plumbing company local</v>
      </c>
      <c r="U2616" s="4"/>
      <c r="V2616" s="4"/>
      <c r="W2616" s="4"/>
      <c r="X2616" s="4"/>
      <c r="Y2616" s="4"/>
      <c r="Z2616" s="4"/>
    </row>
    <row r="2617" ht="15.75" customHeight="1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 t="str">
        <f>IFERROR(__xludf.DUMMYFUNCTION("""COMPUTED_VALUE"""),"plumbing company maintenance")</f>
        <v>plumbing company maintenance</v>
      </c>
      <c r="U2617" s="4"/>
      <c r="V2617" s="4"/>
      <c r="W2617" s="4"/>
      <c r="X2617" s="4"/>
      <c r="Y2617" s="4"/>
      <c r="Z2617" s="4"/>
    </row>
    <row r="2618" ht="15.75" customHeight="1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 t="str">
        <f>IFERROR(__xludf.DUMMYFUNCTION("""COMPUTED_VALUE"""),"plumbing company Maitland")</f>
        <v>plumbing company Maitland</v>
      </c>
      <c r="U2618" s="4"/>
      <c r="V2618" s="4"/>
      <c r="W2618" s="4"/>
      <c r="X2618" s="4"/>
      <c r="Y2618" s="4"/>
      <c r="Z2618" s="4"/>
    </row>
    <row r="2619" ht="15.75" customHeight="1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 t="str">
        <f>IFERROR(__xludf.DUMMYFUNCTION("""COMPUTED_VALUE"""),"plumbing company Milnerton")</f>
        <v>plumbing company Milnerton</v>
      </c>
      <c r="U2619" s="4"/>
      <c r="V2619" s="4"/>
      <c r="W2619" s="4"/>
      <c r="X2619" s="4"/>
      <c r="Y2619" s="4"/>
      <c r="Z2619" s="4"/>
    </row>
    <row r="2620" ht="15.75" customHeight="1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 t="str">
        <f>IFERROR(__xludf.DUMMYFUNCTION("""COMPUTED_VALUE"""),"plumbing company Muizenberg")</f>
        <v>plumbing company Muizenberg</v>
      </c>
      <c r="U2620" s="4"/>
      <c r="V2620" s="4"/>
      <c r="W2620" s="4"/>
      <c r="X2620" s="4"/>
      <c r="Y2620" s="4"/>
      <c r="Z2620" s="4"/>
    </row>
    <row r="2621" ht="15.75" customHeight="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 t="str">
        <f>IFERROR(__xludf.DUMMYFUNCTION("""COMPUTED_VALUE"""),"plumbing company near me")</f>
        <v>plumbing company near me</v>
      </c>
      <c r="U2621" s="4"/>
      <c r="V2621" s="4"/>
      <c r="W2621" s="4"/>
      <c r="X2621" s="4"/>
      <c r="Y2621" s="4"/>
      <c r="Z2621" s="4"/>
    </row>
    <row r="2622" ht="15.75" customHeight="1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 t="str">
        <f>IFERROR(__xludf.DUMMYFUNCTION("""COMPUTED_VALUE"""),"plumbing company Newlands")</f>
        <v>plumbing company Newlands</v>
      </c>
      <c r="U2622" s="4"/>
      <c r="V2622" s="4"/>
      <c r="W2622" s="4"/>
      <c r="X2622" s="4"/>
      <c r="Y2622" s="4"/>
      <c r="Z2622" s="4"/>
    </row>
    <row r="2623" ht="15.75" customHeight="1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 t="str">
        <f>IFERROR(__xludf.DUMMYFUNCTION("""COMPUTED_VALUE"""),"plumbing company Northern Suburbs")</f>
        <v>plumbing company Northern Suburbs</v>
      </c>
      <c r="U2623" s="4"/>
      <c r="V2623" s="4"/>
      <c r="W2623" s="4"/>
      <c r="X2623" s="4"/>
      <c r="Y2623" s="4"/>
      <c r="Z2623" s="4"/>
    </row>
    <row r="2624" ht="15.75" customHeight="1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 t="str">
        <f>IFERROR(__xludf.DUMMYFUNCTION("""COMPUTED_VALUE"""),"plumbing company Observatory")</f>
        <v>plumbing company Observatory</v>
      </c>
      <c r="U2624" s="4"/>
      <c r="V2624" s="4"/>
      <c r="W2624" s="4"/>
      <c r="X2624" s="4"/>
      <c r="Y2624" s="4"/>
      <c r="Z2624" s="4"/>
    </row>
    <row r="2625" ht="15.75" customHeight="1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 t="str">
        <f>IFERROR(__xludf.DUMMYFUNCTION("""COMPUTED_VALUE"""),"plumbing company office")</f>
        <v>plumbing company office</v>
      </c>
      <c r="U2625" s="4"/>
      <c r="V2625" s="4"/>
      <c r="W2625" s="4"/>
      <c r="X2625" s="4"/>
      <c r="Y2625" s="4"/>
      <c r="Z2625" s="4"/>
    </row>
    <row r="2626" ht="15.75" customHeight="1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 t="str">
        <f>IFERROR(__xludf.DUMMYFUNCTION("""COMPUTED_VALUE"""),"plumbing company pipe repair")</f>
        <v>plumbing company pipe repair</v>
      </c>
      <c r="U2626" s="4"/>
      <c r="V2626" s="4"/>
      <c r="W2626" s="4"/>
      <c r="X2626" s="4"/>
      <c r="Y2626" s="4"/>
      <c r="Z2626" s="4"/>
    </row>
    <row r="2627" ht="15.75" customHeight="1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 t="str">
        <f>IFERROR(__xludf.DUMMYFUNCTION("""COMPUTED_VALUE"""),"plumbing company Plumstead")</f>
        <v>plumbing company Plumstead</v>
      </c>
      <c r="U2627" s="4"/>
      <c r="V2627" s="4"/>
      <c r="W2627" s="4"/>
      <c r="X2627" s="4"/>
      <c r="Y2627" s="4"/>
      <c r="Z2627" s="4"/>
    </row>
    <row r="2628" ht="15.75" customHeight="1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 t="str">
        <f>IFERROR(__xludf.DUMMYFUNCTION("""COMPUTED_VALUE"""),"plumbing company professional")</f>
        <v>plumbing company professional</v>
      </c>
      <c r="U2628" s="4"/>
      <c r="V2628" s="4"/>
      <c r="W2628" s="4"/>
      <c r="X2628" s="4"/>
      <c r="Y2628" s="4"/>
      <c r="Z2628" s="4"/>
    </row>
    <row r="2629" ht="15.75" customHeight="1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 t="str">
        <f>IFERROR(__xludf.DUMMYFUNCTION("""COMPUTED_VALUE"""),"plumbing company property manager")</f>
        <v>plumbing company property manager</v>
      </c>
      <c r="U2629" s="4"/>
      <c r="V2629" s="4"/>
      <c r="W2629" s="4"/>
      <c r="X2629" s="4"/>
      <c r="Y2629" s="4"/>
      <c r="Z2629" s="4"/>
    </row>
    <row r="2630" ht="15.75" customHeight="1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 t="str">
        <f>IFERROR(__xludf.DUMMYFUNCTION("""COMPUTED_VALUE"""),"plumbing company qualified")</f>
        <v>plumbing company qualified</v>
      </c>
      <c r="U2630" s="4"/>
      <c r="V2630" s="4"/>
      <c r="W2630" s="4"/>
      <c r="X2630" s="4"/>
      <c r="Y2630" s="4"/>
      <c r="Z2630" s="4"/>
    </row>
    <row r="2631" ht="15.75" customHeight="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 t="str">
        <f>IFERROR(__xludf.DUMMYFUNCTION("""COMPUTED_VALUE"""),"plumbing company quote")</f>
        <v>plumbing company quote</v>
      </c>
      <c r="U2631" s="4"/>
      <c r="V2631" s="4"/>
      <c r="W2631" s="4"/>
      <c r="X2631" s="4"/>
      <c r="Y2631" s="4"/>
      <c r="Z2631" s="4"/>
    </row>
    <row r="2632" ht="15.75" customHeight="1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 t="str">
        <f>IFERROR(__xludf.DUMMYFUNCTION("""COMPUTED_VALUE"""),"plumbing company reliable")</f>
        <v>plumbing company reliable</v>
      </c>
      <c r="U2632" s="4"/>
      <c r="V2632" s="4"/>
      <c r="W2632" s="4"/>
      <c r="X2632" s="4"/>
      <c r="Y2632" s="4"/>
      <c r="Z2632" s="4"/>
    </row>
    <row r="2633" ht="15.75" customHeight="1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 t="str">
        <f>IFERROR(__xludf.DUMMYFUNCTION("""COMPUTED_VALUE"""),"plumbing company repair")</f>
        <v>plumbing company repair</v>
      </c>
      <c r="U2633" s="4"/>
      <c r="V2633" s="4"/>
      <c r="W2633" s="4"/>
      <c r="X2633" s="4"/>
      <c r="Y2633" s="4"/>
      <c r="Z2633" s="4"/>
    </row>
    <row r="2634" ht="15.75" customHeight="1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 t="str">
        <f>IFERROR(__xludf.DUMMYFUNCTION("""COMPUTED_VALUE"""),"plumbing company residential property")</f>
        <v>plumbing company residential property</v>
      </c>
      <c r="U2634" s="4"/>
      <c r="V2634" s="4"/>
      <c r="W2634" s="4"/>
      <c r="X2634" s="4"/>
      <c r="Y2634" s="4"/>
      <c r="Z2634" s="4"/>
    </row>
    <row r="2635" ht="15.75" customHeight="1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 t="str">
        <f>IFERROR(__xludf.DUMMYFUNCTION("""COMPUTED_VALUE"""),"plumbing company restaurant")</f>
        <v>plumbing company restaurant</v>
      </c>
      <c r="U2635" s="4"/>
      <c r="V2635" s="4"/>
      <c r="W2635" s="4"/>
      <c r="X2635" s="4"/>
      <c r="Y2635" s="4"/>
      <c r="Z2635" s="4"/>
    </row>
    <row r="2636" ht="15.75" customHeight="1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 t="str">
        <f>IFERROR(__xludf.DUMMYFUNCTION("""COMPUTED_VALUE"""),"plumbing company Rondebosch")</f>
        <v>plumbing company Rondebosch</v>
      </c>
      <c r="U2636" s="4"/>
      <c r="V2636" s="4"/>
      <c r="W2636" s="4"/>
      <c r="X2636" s="4"/>
      <c r="Y2636" s="4"/>
      <c r="Z2636" s="4"/>
    </row>
    <row r="2637" ht="15.75" customHeight="1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 t="str">
        <f>IFERROR(__xludf.DUMMYFUNCTION("""COMPUTED_VALUE"""),"plumbing company same day")</f>
        <v>plumbing company same day</v>
      </c>
      <c r="U2637" s="4"/>
      <c r="V2637" s="4"/>
      <c r="W2637" s="4"/>
      <c r="X2637" s="4"/>
      <c r="Y2637" s="4"/>
      <c r="Z2637" s="4"/>
    </row>
    <row r="2638" ht="15.75" customHeight="1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 t="str">
        <f>IFERROR(__xludf.DUMMYFUNCTION("""COMPUTED_VALUE"""),"plumbing company school")</f>
        <v>plumbing company school</v>
      </c>
      <c r="U2638" s="4"/>
      <c r="V2638" s="4"/>
      <c r="W2638" s="4"/>
      <c r="X2638" s="4"/>
      <c r="Y2638" s="4"/>
      <c r="Z2638" s="4"/>
    </row>
    <row r="2639" ht="15.75" customHeight="1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 t="str">
        <f>IFERROR(__xludf.DUMMYFUNCTION("""COMPUTED_VALUE"""),"plumbing company Sea Point")</f>
        <v>plumbing company Sea Point</v>
      </c>
      <c r="U2639" s="4"/>
      <c r="V2639" s="4"/>
      <c r="W2639" s="4"/>
      <c r="X2639" s="4"/>
      <c r="Y2639" s="4"/>
      <c r="Z2639" s="4"/>
    </row>
    <row r="2640" ht="15.75" customHeight="1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 t="str">
        <f>IFERROR(__xludf.DUMMYFUNCTION("""COMPUTED_VALUE"""),"plumbing company service")</f>
        <v>plumbing company service</v>
      </c>
      <c r="U2640" s="4"/>
      <c r="V2640" s="4"/>
      <c r="W2640" s="4"/>
      <c r="X2640" s="4"/>
      <c r="Y2640" s="4"/>
      <c r="Z2640" s="4"/>
    </row>
    <row r="2641" ht="15.75" customHeight="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 t="str">
        <f>IFERROR(__xludf.DUMMYFUNCTION("""COMPUTED_VALUE"""),"plumbing company shop")</f>
        <v>plumbing company shop</v>
      </c>
      <c r="U2641" s="4"/>
      <c r="V2641" s="4"/>
      <c r="W2641" s="4"/>
      <c r="X2641" s="4"/>
      <c r="Y2641" s="4"/>
      <c r="Z2641" s="4"/>
    </row>
    <row r="2642" ht="15.75" customHeight="1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 t="str">
        <f>IFERROR(__xludf.DUMMYFUNCTION("""COMPUTED_VALUE"""),"plumbing company South Africa")</f>
        <v>plumbing company South Africa</v>
      </c>
      <c r="U2642" s="4"/>
      <c r="V2642" s="4"/>
      <c r="W2642" s="4"/>
      <c r="X2642" s="4"/>
      <c r="Y2642" s="4"/>
      <c r="Z2642" s="4"/>
    </row>
    <row r="2643" ht="15.75" customHeight="1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 t="str">
        <f>IFERROR(__xludf.DUMMYFUNCTION("""COMPUTED_VALUE"""),"plumbing company Southern Suburbs")</f>
        <v>plumbing company Southern Suburbs</v>
      </c>
      <c r="U2643" s="4"/>
      <c r="V2643" s="4"/>
      <c r="W2643" s="4"/>
      <c r="X2643" s="4"/>
      <c r="Y2643" s="4"/>
      <c r="Z2643" s="4"/>
    </row>
    <row r="2644" ht="15.75" customHeight="1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 t="str">
        <f>IFERROR(__xludf.DUMMYFUNCTION("""COMPUTED_VALUE"""),"plumbing company Table View")</f>
        <v>plumbing company Table View</v>
      </c>
      <c r="U2644" s="4"/>
      <c r="V2644" s="4"/>
      <c r="W2644" s="4"/>
      <c r="X2644" s="4"/>
      <c r="Y2644" s="4"/>
      <c r="Z2644" s="4"/>
    </row>
    <row r="2645" ht="15.75" customHeight="1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 t="str">
        <f>IFERROR(__xludf.DUMMYFUNCTION("""COMPUTED_VALUE"""),"plumbing company tenant")</f>
        <v>plumbing company tenant</v>
      </c>
      <c r="U2645" s="4"/>
      <c r="V2645" s="4"/>
      <c r="W2645" s="4"/>
      <c r="X2645" s="4"/>
      <c r="Y2645" s="4"/>
      <c r="Z2645" s="4"/>
    </row>
    <row r="2646" ht="15.75" customHeight="1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 t="str">
        <f>IFERROR(__xludf.DUMMYFUNCTION("""COMPUTED_VALUE"""),"plumbing company Tokai")</f>
        <v>plumbing company Tokai</v>
      </c>
      <c r="U2646" s="4"/>
      <c r="V2646" s="4"/>
      <c r="W2646" s="4"/>
      <c r="X2646" s="4"/>
      <c r="Y2646" s="4"/>
      <c r="Z2646" s="4"/>
    </row>
    <row r="2647" ht="15.75" customHeight="1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 t="str">
        <f>IFERROR(__xludf.DUMMYFUNCTION("""COMPUTED_VALUE"""),"plumbing company top rated")</f>
        <v>plumbing company top rated</v>
      </c>
      <c r="U2647" s="4"/>
      <c r="V2647" s="4"/>
      <c r="W2647" s="4"/>
      <c r="X2647" s="4"/>
      <c r="Y2647" s="4"/>
      <c r="Z2647" s="4"/>
    </row>
    <row r="2648" ht="15.75" customHeight="1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 t="str">
        <f>IFERROR(__xludf.DUMMYFUNCTION("""COMPUTED_VALUE"""),"plumbing company townhouse")</f>
        <v>plumbing company townhouse</v>
      </c>
      <c r="U2648" s="4"/>
      <c r="V2648" s="4"/>
      <c r="W2648" s="4"/>
      <c r="X2648" s="4"/>
      <c r="Y2648" s="4"/>
      <c r="Z2648" s="4"/>
    </row>
    <row r="2649" ht="15.75" customHeight="1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 t="str">
        <f>IFERROR(__xludf.DUMMYFUNCTION("""COMPUTED_VALUE"""),"plumbing company trusted")</f>
        <v>plumbing company trusted</v>
      </c>
      <c r="U2649" s="4"/>
      <c r="V2649" s="4"/>
      <c r="W2649" s="4"/>
      <c r="X2649" s="4"/>
      <c r="Y2649" s="4"/>
      <c r="Z2649" s="4"/>
    </row>
    <row r="2650" ht="15.75" customHeight="1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 t="str">
        <f>IFERROR(__xludf.DUMMYFUNCTION("""COMPUTED_VALUE"""),"plumbing company water leak detection")</f>
        <v>plumbing company water leak detection</v>
      </c>
      <c r="U2650" s="4"/>
      <c r="V2650" s="4"/>
      <c r="W2650" s="4"/>
      <c r="X2650" s="4"/>
      <c r="Y2650" s="4"/>
      <c r="Z2650" s="4"/>
    </row>
    <row r="2651" ht="15.75" customHeight="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 t="str">
        <f>IFERROR(__xludf.DUMMYFUNCTION("""COMPUTED_VALUE"""),"plumbing company Woodstock")</f>
        <v>plumbing company Woodstock</v>
      </c>
      <c r="U2651" s="4"/>
      <c r="V2651" s="4"/>
      <c r="W2651" s="4"/>
      <c r="X2651" s="4"/>
      <c r="Y2651" s="4"/>
      <c r="Z2651" s="4"/>
    </row>
    <row r="2652" ht="15.75" customHeight="1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 t="str">
        <f>IFERROR(__xludf.DUMMYFUNCTION("""COMPUTED_VALUE"""),"plumbing company Wynberg")</f>
        <v>plumbing company Wynberg</v>
      </c>
      <c r="U2652" s="4"/>
      <c r="V2652" s="4"/>
      <c r="W2652" s="4"/>
      <c r="X2652" s="4"/>
      <c r="Y2652" s="4"/>
      <c r="Z2652" s="4"/>
    </row>
    <row r="2653" ht="15.75" customHeight="1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 t="str">
        <f>IFERROR(__xludf.DUMMYFUNCTION("""COMPUTED_VALUE"""),"plumbing contractors")</f>
        <v>plumbing contractors</v>
      </c>
      <c r="U2653" s="4"/>
      <c r="V2653" s="4"/>
      <c r="W2653" s="4"/>
      <c r="X2653" s="4"/>
      <c r="Y2653" s="4"/>
      <c r="Z2653" s="4"/>
    </row>
    <row r="2654" ht="15.75" customHeight="1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 t="str">
        <f>IFERROR(__xludf.DUMMYFUNCTION("""COMPUTED_VALUE"""),"plumbing contractors 24 hour")</f>
        <v>plumbing contractors 24 hour</v>
      </c>
      <c r="U2654" s="4"/>
      <c r="V2654" s="4"/>
      <c r="W2654" s="4"/>
      <c r="X2654" s="4"/>
      <c r="Y2654" s="4"/>
      <c r="Z2654" s="4"/>
    </row>
    <row r="2655" ht="15.75" customHeight="1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 t="str">
        <f>IFERROR(__xludf.DUMMYFUNCTION("""COMPUTED_VALUE"""),"plumbing contractors affordable")</f>
        <v>plumbing contractors affordable</v>
      </c>
      <c r="U2655" s="4"/>
      <c r="V2655" s="4"/>
      <c r="W2655" s="4"/>
      <c r="X2655" s="4"/>
      <c r="Y2655" s="4"/>
      <c r="Z2655" s="4"/>
    </row>
    <row r="2656" ht="15.75" customHeight="1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 t="str">
        <f>IFERROR(__xludf.DUMMYFUNCTION("""COMPUTED_VALUE"""),"plumbing contractors after hours")</f>
        <v>plumbing contractors after hours</v>
      </c>
      <c r="U2656" s="4"/>
      <c r="V2656" s="4"/>
      <c r="W2656" s="4"/>
      <c r="X2656" s="4"/>
      <c r="Y2656" s="4"/>
      <c r="Z2656" s="4"/>
    </row>
    <row r="2657" ht="15.75" customHeight="1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 t="str">
        <f>IFERROR(__xludf.DUMMYFUNCTION("""COMPUTED_VALUE"""),"plumbing contractors best")</f>
        <v>plumbing contractors best</v>
      </c>
      <c r="U2657" s="4"/>
      <c r="V2657" s="4"/>
      <c r="W2657" s="4"/>
      <c r="X2657" s="4"/>
      <c r="Y2657" s="4"/>
      <c r="Z2657" s="4"/>
    </row>
    <row r="2658" ht="15.75" customHeight="1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 t="str">
        <f>IFERROR(__xludf.DUMMYFUNCTION("""COMPUTED_VALUE"""),"plumbing contractors call out")</f>
        <v>plumbing contractors call out</v>
      </c>
      <c r="U2658" s="4"/>
      <c r="V2658" s="4"/>
      <c r="W2658" s="4"/>
      <c r="X2658" s="4"/>
      <c r="Y2658" s="4"/>
      <c r="Z2658" s="4"/>
    </row>
    <row r="2659" ht="15.75" customHeight="1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 t="str">
        <f>IFERROR(__xludf.DUMMYFUNCTION("""COMPUTED_VALUE"""),"plumbing contractors company")</f>
        <v>plumbing contractors company</v>
      </c>
      <c r="U2659" s="4"/>
      <c r="V2659" s="4"/>
      <c r="W2659" s="4"/>
      <c r="X2659" s="4"/>
      <c r="Y2659" s="4"/>
      <c r="Z2659" s="4"/>
    </row>
    <row r="2660" ht="15.75" customHeight="1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 t="str">
        <f>IFERROR(__xludf.DUMMYFUNCTION("""COMPUTED_VALUE"""),"plumbing contractors cost")</f>
        <v>plumbing contractors cost</v>
      </c>
      <c r="U2660" s="4"/>
      <c r="V2660" s="4"/>
      <c r="W2660" s="4"/>
      <c r="X2660" s="4"/>
      <c r="Y2660" s="4"/>
      <c r="Z2660" s="4"/>
    </row>
    <row r="2661" ht="15.75" customHeight="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 t="str">
        <f>IFERROR(__xludf.DUMMYFUNCTION("""COMPUTED_VALUE"""),"plumbing contractors emergency")</f>
        <v>plumbing contractors emergency</v>
      </c>
      <c r="U2661" s="4"/>
      <c r="V2661" s="4"/>
      <c r="W2661" s="4"/>
      <c r="X2661" s="4"/>
      <c r="Y2661" s="4"/>
      <c r="Z2661" s="4"/>
    </row>
    <row r="2662" ht="15.75" customHeight="1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 t="str">
        <f>IFERROR(__xludf.DUMMYFUNCTION("""COMPUTED_VALUE"""),"plumbing contractors installation")</f>
        <v>plumbing contractors installation</v>
      </c>
      <c r="U2662" s="4"/>
      <c r="V2662" s="4"/>
      <c r="W2662" s="4"/>
      <c r="X2662" s="4"/>
      <c r="Y2662" s="4"/>
      <c r="Z2662" s="4"/>
    </row>
    <row r="2663" ht="15.75" customHeight="1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 t="str">
        <f>IFERROR(__xludf.DUMMYFUNCTION("""COMPUTED_VALUE"""),"plumbing contractors licensed")</f>
        <v>plumbing contractors licensed</v>
      </c>
      <c r="U2663" s="4"/>
      <c r="V2663" s="4"/>
      <c r="W2663" s="4"/>
      <c r="X2663" s="4"/>
      <c r="Y2663" s="4"/>
      <c r="Z2663" s="4"/>
    </row>
    <row r="2664" ht="15.75" customHeight="1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 t="str">
        <f>IFERROR(__xludf.DUMMYFUNCTION("""COMPUTED_VALUE"""),"plumbing contractors local")</f>
        <v>plumbing contractors local</v>
      </c>
      <c r="U2664" s="4"/>
      <c r="V2664" s="4"/>
      <c r="W2664" s="4"/>
      <c r="X2664" s="4"/>
      <c r="Y2664" s="4"/>
      <c r="Z2664" s="4"/>
    </row>
    <row r="2665" ht="15.75" customHeight="1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 t="str">
        <f>IFERROR(__xludf.DUMMYFUNCTION("""COMPUTED_VALUE"""),"plumbing contractors maintenance")</f>
        <v>plumbing contractors maintenance</v>
      </c>
      <c r="U2665" s="4"/>
      <c r="V2665" s="4"/>
      <c r="W2665" s="4"/>
      <c r="X2665" s="4"/>
      <c r="Y2665" s="4"/>
      <c r="Z2665" s="4"/>
    </row>
    <row r="2666" ht="15.75" customHeight="1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 t="str">
        <f>IFERROR(__xludf.DUMMYFUNCTION("""COMPUTED_VALUE"""),"plumbing contractors near me")</f>
        <v>plumbing contractors near me</v>
      </c>
      <c r="U2666" s="4"/>
      <c r="V2666" s="4"/>
      <c r="W2666" s="4"/>
      <c r="X2666" s="4"/>
      <c r="Y2666" s="4"/>
      <c r="Z2666" s="4"/>
    </row>
    <row r="2667" ht="15.75" customHeight="1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 t="str">
        <f>IFERROR(__xludf.DUMMYFUNCTION("""COMPUTED_VALUE"""),"plumbing contractors professional")</f>
        <v>plumbing contractors professional</v>
      </c>
      <c r="U2667" s="4"/>
      <c r="V2667" s="4"/>
      <c r="W2667" s="4"/>
      <c r="X2667" s="4"/>
      <c r="Y2667" s="4"/>
      <c r="Z2667" s="4"/>
    </row>
    <row r="2668" ht="15.75" customHeight="1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 t="str">
        <f>IFERROR(__xludf.DUMMYFUNCTION("""COMPUTED_VALUE"""),"plumbing contractors qualified")</f>
        <v>plumbing contractors qualified</v>
      </c>
      <c r="U2668" s="4"/>
      <c r="V2668" s="4"/>
      <c r="W2668" s="4"/>
      <c r="X2668" s="4"/>
      <c r="Y2668" s="4"/>
      <c r="Z2668" s="4"/>
    </row>
    <row r="2669" ht="15.75" customHeight="1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 t="str">
        <f>IFERROR(__xludf.DUMMYFUNCTION("""COMPUTED_VALUE"""),"plumbing contractors quote")</f>
        <v>plumbing contractors quote</v>
      </c>
      <c r="U2669" s="4"/>
      <c r="V2669" s="4"/>
      <c r="W2669" s="4"/>
      <c r="X2669" s="4"/>
      <c r="Y2669" s="4"/>
      <c r="Z2669" s="4"/>
    </row>
    <row r="2670" ht="15.75" customHeight="1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 t="str">
        <f>IFERROR(__xludf.DUMMYFUNCTION("""COMPUTED_VALUE"""),"plumbing contractors reliable")</f>
        <v>plumbing contractors reliable</v>
      </c>
      <c r="U2670" s="4"/>
      <c r="V2670" s="4"/>
      <c r="W2670" s="4"/>
      <c r="X2670" s="4"/>
      <c r="Y2670" s="4"/>
      <c r="Z2670" s="4"/>
    </row>
    <row r="2671" ht="15.75" customHeight="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 t="str">
        <f>IFERROR(__xludf.DUMMYFUNCTION("""COMPUTED_VALUE"""),"plumbing contractors repair")</f>
        <v>plumbing contractors repair</v>
      </c>
      <c r="U2671" s="4"/>
      <c r="V2671" s="4"/>
      <c r="W2671" s="4"/>
      <c r="X2671" s="4"/>
      <c r="Y2671" s="4"/>
      <c r="Z2671" s="4"/>
    </row>
    <row r="2672" ht="15.75" customHeight="1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 t="str">
        <f>IFERROR(__xludf.DUMMYFUNCTION("""COMPUTED_VALUE"""),"plumbing contractors same day")</f>
        <v>plumbing contractors same day</v>
      </c>
      <c r="U2672" s="4"/>
      <c r="V2672" s="4"/>
      <c r="W2672" s="4"/>
      <c r="X2672" s="4"/>
      <c r="Y2672" s="4"/>
      <c r="Z2672" s="4"/>
    </row>
    <row r="2673" ht="15.75" customHeight="1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 t="str">
        <f>IFERROR(__xludf.DUMMYFUNCTION("""COMPUTED_VALUE"""),"plumbing contractors service")</f>
        <v>plumbing contractors service</v>
      </c>
      <c r="U2673" s="4"/>
      <c r="V2673" s="4"/>
      <c r="W2673" s="4"/>
      <c r="X2673" s="4"/>
      <c r="Y2673" s="4"/>
      <c r="Z2673" s="4"/>
    </row>
    <row r="2674" ht="15.75" customHeight="1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 t="str">
        <f>IFERROR(__xludf.DUMMYFUNCTION("""COMPUTED_VALUE"""),"plumbing contractors top rated")</f>
        <v>plumbing contractors top rated</v>
      </c>
      <c r="U2674" s="4"/>
      <c r="V2674" s="4"/>
      <c r="W2674" s="4"/>
      <c r="X2674" s="4"/>
      <c r="Y2674" s="4"/>
      <c r="Z2674" s="4"/>
    </row>
    <row r="2675" ht="15.75" customHeight="1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 t="str">
        <f>IFERROR(__xludf.DUMMYFUNCTION("""COMPUTED_VALUE"""),"plumbing contractors trusted")</f>
        <v>plumbing contractors trusted</v>
      </c>
      <c r="U2675" s="4"/>
      <c r="V2675" s="4"/>
      <c r="W2675" s="4"/>
      <c r="X2675" s="4"/>
      <c r="Y2675" s="4"/>
      <c r="Z2675" s="4"/>
    </row>
    <row r="2676" ht="15.75" customHeight="1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 t="str">
        <f>IFERROR(__xludf.DUMMYFUNCTION("""COMPUTED_VALUE"""),"plumbing inspection 24 hour")</f>
        <v>plumbing inspection 24 hour</v>
      </c>
      <c r="U2676" s="4"/>
      <c r="V2676" s="4"/>
      <c r="W2676" s="4"/>
      <c r="X2676" s="4"/>
      <c r="Y2676" s="4"/>
      <c r="Z2676" s="4"/>
    </row>
    <row r="2677" ht="15.75" customHeight="1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 t="str">
        <f>IFERROR(__xludf.DUMMYFUNCTION("""COMPUTED_VALUE"""),"plumbing inspection affordable")</f>
        <v>plumbing inspection affordable</v>
      </c>
      <c r="U2677" s="4"/>
      <c r="V2677" s="4"/>
      <c r="W2677" s="4"/>
      <c r="X2677" s="4"/>
      <c r="Y2677" s="4"/>
      <c r="Z2677" s="4"/>
    </row>
    <row r="2678" ht="15.75" customHeight="1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 t="str">
        <f>IFERROR(__xludf.DUMMYFUNCTION("""COMPUTED_VALUE"""),"plumbing inspection after hours")</f>
        <v>plumbing inspection after hours</v>
      </c>
      <c r="U2678" s="4"/>
      <c r="V2678" s="4"/>
      <c r="W2678" s="4"/>
      <c r="X2678" s="4"/>
      <c r="Y2678" s="4"/>
      <c r="Z2678" s="4"/>
    </row>
    <row r="2679" ht="15.75" customHeight="1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 t="str">
        <f>IFERROR(__xludf.DUMMYFUNCTION("""COMPUTED_VALUE"""),"plumbing inspection best")</f>
        <v>plumbing inspection best</v>
      </c>
      <c r="U2679" s="4"/>
      <c r="V2679" s="4"/>
      <c r="W2679" s="4"/>
      <c r="X2679" s="4"/>
      <c r="Y2679" s="4"/>
      <c r="Z2679" s="4"/>
    </row>
    <row r="2680" ht="15.75" customHeight="1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 t="str">
        <f>IFERROR(__xludf.DUMMYFUNCTION("""COMPUTED_VALUE"""),"plumbing inspection call out")</f>
        <v>plumbing inspection call out</v>
      </c>
      <c r="U2680" s="4"/>
      <c r="V2680" s="4"/>
      <c r="W2680" s="4"/>
      <c r="X2680" s="4"/>
      <c r="Y2680" s="4"/>
      <c r="Z2680" s="4"/>
    </row>
    <row r="2681" ht="15.75" customHeight="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 t="str">
        <f>IFERROR(__xludf.DUMMYFUNCTION("""COMPUTED_VALUE"""),"plumbing inspection company")</f>
        <v>plumbing inspection company</v>
      </c>
      <c r="U2681" s="4"/>
      <c r="V2681" s="4"/>
      <c r="W2681" s="4"/>
      <c r="X2681" s="4"/>
      <c r="Y2681" s="4"/>
      <c r="Z2681" s="4"/>
    </row>
    <row r="2682" ht="15.75" customHeight="1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 t="str">
        <f>IFERROR(__xludf.DUMMYFUNCTION("""COMPUTED_VALUE"""),"plumbing inspection contractor")</f>
        <v>plumbing inspection contractor</v>
      </c>
      <c r="U2682" s="4"/>
      <c r="V2682" s="4"/>
      <c r="W2682" s="4"/>
      <c r="X2682" s="4"/>
      <c r="Y2682" s="4"/>
      <c r="Z2682" s="4"/>
    </row>
    <row r="2683" ht="15.75" customHeight="1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 t="str">
        <f>IFERROR(__xludf.DUMMYFUNCTION("""COMPUTED_VALUE"""),"plumbing inspection cost")</f>
        <v>plumbing inspection cost</v>
      </c>
      <c r="U2683" s="4"/>
      <c r="V2683" s="4"/>
      <c r="W2683" s="4"/>
      <c r="X2683" s="4"/>
      <c r="Y2683" s="4"/>
      <c r="Z2683" s="4"/>
    </row>
    <row r="2684" ht="15.75" customHeight="1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 t="str">
        <f>IFERROR(__xludf.DUMMYFUNCTION("""COMPUTED_VALUE"""),"plumbing inspection emergency")</f>
        <v>plumbing inspection emergency</v>
      </c>
      <c r="U2684" s="4"/>
      <c r="V2684" s="4"/>
      <c r="W2684" s="4"/>
      <c r="X2684" s="4"/>
      <c r="Y2684" s="4"/>
      <c r="Z2684" s="4"/>
    </row>
    <row r="2685" ht="15.75" customHeight="1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 t="str">
        <f>IFERROR(__xludf.DUMMYFUNCTION("""COMPUTED_VALUE"""),"plumbing inspection installation")</f>
        <v>plumbing inspection installation</v>
      </c>
      <c r="U2685" s="4"/>
      <c r="V2685" s="4"/>
      <c r="W2685" s="4"/>
      <c r="X2685" s="4"/>
      <c r="Y2685" s="4"/>
      <c r="Z2685" s="4"/>
    </row>
    <row r="2686" ht="15.75" customHeight="1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 t="str">
        <f>IFERROR(__xludf.DUMMYFUNCTION("""COMPUTED_VALUE"""),"plumbing inspection licensed")</f>
        <v>plumbing inspection licensed</v>
      </c>
      <c r="U2686" s="4"/>
      <c r="V2686" s="4"/>
      <c r="W2686" s="4"/>
      <c r="X2686" s="4"/>
      <c r="Y2686" s="4"/>
      <c r="Z2686" s="4"/>
    </row>
    <row r="2687" ht="15.75" customHeight="1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 t="str">
        <f>IFERROR(__xludf.DUMMYFUNCTION("""COMPUTED_VALUE"""),"plumbing inspection local")</f>
        <v>plumbing inspection local</v>
      </c>
      <c r="U2687" s="4"/>
      <c r="V2687" s="4"/>
      <c r="W2687" s="4"/>
      <c r="X2687" s="4"/>
      <c r="Y2687" s="4"/>
      <c r="Z2687" s="4"/>
    </row>
    <row r="2688" ht="15.75" customHeight="1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 t="str">
        <f>IFERROR(__xludf.DUMMYFUNCTION("""COMPUTED_VALUE"""),"plumbing inspection maintenance")</f>
        <v>plumbing inspection maintenance</v>
      </c>
      <c r="U2688" s="4"/>
      <c r="V2688" s="4"/>
      <c r="W2688" s="4"/>
      <c r="X2688" s="4"/>
      <c r="Y2688" s="4"/>
      <c r="Z2688" s="4"/>
    </row>
    <row r="2689" ht="15.75" customHeight="1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 t="str">
        <f>IFERROR(__xludf.DUMMYFUNCTION("""COMPUTED_VALUE"""),"plumbing inspection near me")</f>
        <v>plumbing inspection near me</v>
      </c>
      <c r="U2689" s="4"/>
      <c r="V2689" s="4"/>
      <c r="W2689" s="4"/>
      <c r="X2689" s="4"/>
      <c r="Y2689" s="4"/>
      <c r="Z2689" s="4"/>
    </row>
    <row r="2690" ht="15.75" customHeight="1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 t="str">
        <f>IFERROR(__xludf.DUMMYFUNCTION("""COMPUTED_VALUE"""),"plumbing inspection professional")</f>
        <v>plumbing inspection professional</v>
      </c>
      <c r="U2690" s="4"/>
      <c r="V2690" s="4"/>
      <c r="W2690" s="4"/>
      <c r="X2690" s="4"/>
      <c r="Y2690" s="4"/>
      <c r="Z2690" s="4"/>
    </row>
    <row r="2691" ht="15.75" customHeight="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 t="str">
        <f>IFERROR(__xludf.DUMMYFUNCTION("""COMPUTED_VALUE"""),"plumbing inspection qualified")</f>
        <v>plumbing inspection qualified</v>
      </c>
      <c r="U2691" s="4"/>
      <c r="V2691" s="4"/>
      <c r="W2691" s="4"/>
      <c r="X2691" s="4"/>
      <c r="Y2691" s="4"/>
      <c r="Z2691" s="4"/>
    </row>
    <row r="2692" ht="15.75" customHeight="1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 t="str">
        <f>IFERROR(__xludf.DUMMYFUNCTION("""COMPUTED_VALUE"""),"plumbing inspection quote")</f>
        <v>plumbing inspection quote</v>
      </c>
      <c r="U2692" s="4"/>
      <c r="V2692" s="4"/>
      <c r="W2692" s="4"/>
      <c r="X2692" s="4"/>
      <c r="Y2692" s="4"/>
      <c r="Z2692" s="4"/>
    </row>
    <row r="2693" ht="15.75" customHeight="1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 t="str">
        <f>IFERROR(__xludf.DUMMYFUNCTION("""COMPUTED_VALUE"""),"plumbing inspection reliable")</f>
        <v>plumbing inspection reliable</v>
      </c>
      <c r="U2693" s="4"/>
      <c r="V2693" s="4"/>
      <c r="W2693" s="4"/>
      <c r="X2693" s="4"/>
      <c r="Y2693" s="4"/>
      <c r="Z2693" s="4"/>
    </row>
    <row r="2694" ht="15.75" customHeight="1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 t="str">
        <f>IFERROR(__xludf.DUMMYFUNCTION("""COMPUTED_VALUE"""),"plumbing inspection repair")</f>
        <v>plumbing inspection repair</v>
      </c>
      <c r="U2694" s="4"/>
      <c r="V2694" s="4"/>
      <c r="W2694" s="4"/>
      <c r="X2694" s="4"/>
      <c r="Y2694" s="4"/>
      <c r="Z2694" s="4"/>
    </row>
    <row r="2695" ht="15.75" customHeight="1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 t="str">
        <f>IFERROR(__xludf.DUMMYFUNCTION("""COMPUTED_VALUE"""),"plumbing inspection same day")</f>
        <v>plumbing inspection same day</v>
      </c>
      <c r="U2695" s="4"/>
      <c r="V2695" s="4"/>
      <c r="W2695" s="4"/>
      <c r="X2695" s="4"/>
      <c r="Y2695" s="4"/>
      <c r="Z2695" s="4"/>
    </row>
    <row r="2696" ht="15.75" customHeight="1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 t="str">
        <f>IFERROR(__xludf.DUMMYFUNCTION("""COMPUTED_VALUE"""),"plumbing inspection service")</f>
        <v>plumbing inspection service</v>
      </c>
      <c r="U2696" s="4"/>
      <c r="V2696" s="4"/>
      <c r="W2696" s="4"/>
      <c r="X2696" s="4"/>
      <c r="Y2696" s="4"/>
      <c r="Z2696" s="4"/>
    </row>
    <row r="2697" ht="15.75" customHeight="1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 t="str">
        <f>IFERROR(__xludf.DUMMYFUNCTION("""COMPUTED_VALUE"""),"plumbing inspection top rated")</f>
        <v>plumbing inspection top rated</v>
      </c>
      <c r="U2697" s="4"/>
      <c r="V2697" s="4"/>
      <c r="W2697" s="4"/>
      <c r="X2697" s="4"/>
      <c r="Y2697" s="4"/>
      <c r="Z2697" s="4"/>
    </row>
    <row r="2698" ht="15.75" customHeight="1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 t="str">
        <f>IFERROR(__xludf.DUMMYFUNCTION("""COMPUTED_VALUE"""),"plumbing inspection trusted")</f>
        <v>plumbing inspection trusted</v>
      </c>
      <c r="U2698" s="4"/>
      <c r="V2698" s="4"/>
      <c r="W2698" s="4"/>
      <c r="X2698" s="4"/>
      <c r="Y2698" s="4"/>
      <c r="Z2698" s="4"/>
    </row>
    <row r="2699" ht="15.75" customHeight="1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 t="str">
        <f>IFERROR(__xludf.DUMMYFUNCTION("""COMPUTED_VALUE"""),"plumbing installation")</f>
        <v>plumbing installation</v>
      </c>
      <c r="U2699" s="4"/>
      <c r="V2699" s="4"/>
      <c r="W2699" s="4"/>
      <c r="X2699" s="4"/>
      <c r="Y2699" s="4"/>
      <c r="Z2699" s="4"/>
    </row>
    <row r="2700" ht="15.75" customHeight="1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 t="str">
        <f>IFERROR(__xludf.DUMMYFUNCTION("""COMPUTED_VALUE"""),"plumbing installation 24 hour")</f>
        <v>plumbing installation 24 hour</v>
      </c>
      <c r="U2700" s="4"/>
      <c r="V2700" s="4"/>
      <c r="W2700" s="4"/>
      <c r="X2700" s="4"/>
      <c r="Y2700" s="4"/>
      <c r="Z2700" s="4"/>
    </row>
    <row r="2701" ht="15.75" customHeight="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 t="str">
        <f>IFERROR(__xludf.DUMMYFUNCTION("""COMPUTED_VALUE"""),"plumbing installation affordable")</f>
        <v>plumbing installation affordable</v>
      </c>
      <c r="U2701" s="4"/>
      <c r="V2701" s="4"/>
      <c r="W2701" s="4"/>
      <c r="X2701" s="4"/>
      <c r="Y2701" s="4"/>
      <c r="Z2701" s="4"/>
    </row>
    <row r="2702" ht="15.75" customHeight="1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 t="str">
        <f>IFERROR(__xludf.DUMMYFUNCTION("""COMPUTED_VALUE"""),"plumbing installation after hours")</f>
        <v>plumbing installation after hours</v>
      </c>
      <c r="U2702" s="4"/>
      <c r="V2702" s="4"/>
      <c r="W2702" s="4"/>
      <c r="X2702" s="4"/>
      <c r="Y2702" s="4"/>
      <c r="Z2702" s="4"/>
    </row>
    <row r="2703" ht="15.75" customHeight="1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 t="str">
        <f>IFERROR(__xludf.DUMMYFUNCTION("""COMPUTED_VALUE"""),"plumbing installation best")</f>
        <v>plumbing installation best</v>
      </c>
      <c r="U2703" s="4"/>
      <c r="V2703" s="4"/>
      <c r="W2703" s="4"/>
      <c r="X2703" s="4"/>
      <c r="Y2703" s="4"/>
      <c r="Z2703" s="4"/>
    </row>
    <row r="2704" ht="15.75" customHeight="1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 t="str">
        <f>IFERROR(__xludf.DUMMYFUNCTION("""COMPUTED_VALUE"""),"plumbing installation call out")</f>
        <v>plumbing installation call out</v>
      </c>
      <c r="U2704" s="4"/>
      <c r="V2704" s="4"/>
      <c r="W2704" s="4"/>
      <c r="X2704" s="4"/>
      <c r="Y2704" s="4"/>
      <c r="Z2704" s="4"/>
    </row>
    <row r="2705" ht="15.75" customHeight="1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 t="str">
        <f>IFERROR(__xludf.DUMMYFUNCTION("""COMPUTED_VALUE"""),"plumbing installation company")</f>
        <v>plumbing installation company</v>
      </c>
      <c r="U2705" s="4"/>
      <c r="V2705" s="4"/>
      <c r="W2705" s="4"/>
      <c r="X2705" s="4"/>
      <c r="Y2705" s="4"/>
      <c r="Z2705" s="4"/>
    </row>
    <row r="2706" ht="15.75" customHeight="1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 t="str">
        <f>IFERROR(__xludf.DUMMYFUNCTION("""COMPUTED_VALUE"""),"plumbing installation contractor")</f>
        <v>plumbing installation contractor</v>
      </c>
      <c r="U2706" s="4"/>
      <c r="V2706" s="4"/>
      <c r="W2706" s="4"/>
      <c r="X2706" s="4"/>
      <c r="Y2706" s="4"/>
      <c r="Z2706" s="4"/>
    </row>
    <row r="2707" ht="15.75" customHeight="1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 t="str">
        <f>IFERROR(__xludf.DUMMYFUNCTION("""COMPUTED_VALUE"""),"plumbing installation cost")</f>
        <v>plumbing installation cost</v>
      </c>
      <c r="U2707" s="4"/>
      <c r="V2707" s="4"/>
      <c r="W2707" s="4"/>
      <c r="X2707" s="4"/>
      <c r="Y2707" s="4"/>
      <c r="Z2707" s="4"/>
    </row>
    <row r="2708" ht="15.75" customHeight="1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 t="str">
        <f>IFERROR(__xludf.DUMMYFUNCTION("""COMPUTED_VALUE"""),"plumbing installation emergency")</f>
        <v>plumbing installation emergency</v>
      </c>
      <c r="U2708" s="4"/>
      <c r="V2708" s="4"/>
      <c r="W2708" s="4"/>
      <c r="X2708" s="4"/>
      <c r="Y2708" s="4"/>
      <c r="Z2708" s="4"/>
    </row>
    <row r="2709" ht="15.75" customHeight="1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 t="str">
        <f>IFERROR(__xludf.DUMMYFUNCTION("""COMPUTED_VALUE"""),"plumbing installation licensed")</f>
        <v>plumbing installation licensed</v>
      </c>
      <c r="U2709" s="4"/>
      <c r="V2709" s="4"/>
      <c r="W2709" s="4"/>
      <c r="X2709" s="4"/>
      <c r="Y2709" s="4"/>
      <c r="Z2709" s="4"/>
    </row>
    <row r="2710" ht="15.75" customHeight="1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 t="str">
        <f>IFERROR(__xludf.DUMMYFUNCTION("""COMPUTED_VALUE"""),"plumbing installation local")</f>
        <v>plumbing installation local</v>
      </c>
      <c r="U2710" s="4"/>
      <c r="V2710" s="4"/>
      <c r="W2710" s="4"/>
      <c r="X2710" s="4"/>
      <c r="Y2710" s="4"/>
      <c r="Z2710" s="4"/>
    </row>
    <row r="2711" ht="15.75" customHeight="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 t="str">
        <f>IFERROR(__xludf.DUMMYFUNCTION("""COMPUTED_VALUE"""),"plumbing installation maintenance")</f>
        <v>plumbing installation maintenance</v>
      </c>
      <c r="U2711" s="4"/>
      <c r="V2711" s="4"/>
      <c r="W2711" s="4"/>
      <c r="X2711" s="4"/>
      <c r="Y2711" s="4"/>
      <c r="Z2711" s="4"/>
    </row>
    <row r="2712" ht="15.75" customHeight="1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 t="str">
        <f>IFERROR(__xludf.DUMMYFUNCTION("""COMPUTED_VALUE"""),"plumbing installation near me")</f>
        <v>plumbing installation near me</v>
      </c>
      <c r="U2712" s="4"/>
      <c r="V2712" s="4"/>
      <c r="W2712" s="4"/>
      <c r="X2712" s="4"/>
      <c r="Y2712" s="4"/>
      <c r="Z2712" s="4"/>
    </row>
    <row r="2713" ht="15.75" customHeight="1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 t="str">
        <f>IFERROR(__xludf.DUMMYFUNCTION("""COMPUTED_VALUE"""),"plumbing installation professional")</f>
        <v>plumbing installation professional</v>
      </c>
      <c r="U2713" s="4"/>
      <c r="V2713" s="4"/>
      <c r="W2713" s="4"/>
      <c r="X2713" s="4"/>
      <c r="Y2713" s="4"/>
      <c r="Z2713" s="4"/>
    </row>
    <row r="2714" ht="15.75" customHeight="1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 t="str">
        <f>IFERROR(__xludf.DUMMYFUNCTION("""COMPUTED_VALUE"""),"plumbing installation qualified")</f>
        <v>plumbing installation qualified</v>
      </c>
      <c r="U2714" s="4"/>
      <c r="V2714" s="4"/>
      <c r="W2714" s="4"/>
      <c r="X2714" s="4"/>
      <c r="Y2714" s="4"/>
      <c r="Z2714" s="4"/>
    </row>
    <row r="2715" ht="15.75" customHeight="1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 t="str">
        <f>IFERROR(__xludf.DUMMYFUNCTION("""COMPUTED_VALUE"""),"plumbing installation quote")</f>
        <v>plumbing installation quote</v>
      </c>
      <c r="U2715" s="4"/>
      <c r="V2715" s="4"/>
      <c r="W2715" s="4"/>
      <c r="X2715" s="4"/>
      <c r="Y2715" s="4"/>
      <c r="Z2715" s="4"/>
    </row>
    <row r="2716" ht="15.75" customHeight="1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 t="str">
        <f>IFERROR(__xludf.DUMMYFUNCTION("""COMPUTED_VALUE"""),"plumbing installation reliable")</f>
        <v>plumbing installation reliable</v>
      </c>
      <c r="U2716" s="4"/>
      <c r="V2716" s="4"/>
      <c r="W2716" s="4"/>
      <c r="X2716" s="4"/>
      <c r="Y2716" s="4"/>
      <c r="Z2716" s="4"/>
    </row>
    <row r="2717" ht="15.75" customHeight="1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 t="str">
        <f>IFERROR(__xludf.DUMMYFUNCTION("""COMPUTED_VALUE"""),"plumbing installation repair")</f>
        <v>plumbing installation repair</v>
      </c>
      <c r="U2717" s="4"/>
      <c r="V2717" s="4"/>
      <c r="W2717" s="4"/>
      <c r="X2717" s="4"/>
      <c r="Y2717" s="4"/>
      <c r="Z2717" s="4"/>
    </row>
    <row r="2718" ht="15.75" customHeight="1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 t="str">
        <f>IFERROR(__xludf.DUMMYFUNCTION("""COMPUTED_VALUE"""),"plumbing installation same day")</f>
        <v>plumbing installation same day</v>
      </c>
      <c r="U2718" s="4"/>
      <c r="V2718" s="4"/>
      <c r="W2718" s="4"/>
      <c r="X2718" s="4"/>
      <c r="Y2718" s="4"/>
      <c r="Z2718" s="4"/>
    </row>
    <row r="2719" ht="15.75" customHeight="1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 t="str">
        <f>IFERROR(__xludf.DUMMYFUNCTION("""COMPUTED_VALUE"""),"plumbing installation service")</f>
        <v>plumbing installation service</v>
      </c>
      <c r="U2719" s="4"/>
      <c r="V2719" s="4"/>
      <c r="W2719" s="4"/>
      <c r="X2719" s="4"/>
      <c r="Y2719" s="4"/>
      <c r="Z2719" s="4"/>
    </row>
    <row r="2720" ht="15.75" customHeight="1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 t="str">
        <f>IFERROR(__xludf.DUMMYFUNCTION("""COMPUTED_VALUE"""),"plumbing installation top rated")</f>
        <v>plumbing installation top rated</v>
      </c>
      <c r="U2720" s="4"/>
      <c r="V2720" s="4"/>
      <c r="W2720" s="4"/>
      <c r="X2720" s="4"/>
      <c r="Y2720" s="4"/>
      <c r="Z2720" s="4"/>
    </row>
    <row r="2721" ht="15.75" customHeight="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 t="str">
        <f>IFERROR(__xludf.DUMMYFUNCTION("""COMPUTED_VALUE"""),"plumbing installation trusted")</f>
        <v>plumbing installation trusted</v>
      </c>
      <c r="U2721" s="4"/>
      <c r="V2721" s="4"/>
      <c r="W2721" s="4"/>
      <c r="X2721" s="4"/>
      <c r="Y2721" s="4"/>
      <c r="Z2721" s="4"/>
    </row>
    <row r="2722" ht="15.75" customHeight="1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 t="str">
        <f>IFERROR(__xludf.DUMMYFUNCTION("""COMPUTED_VALUE"""),"plumbing maintenance best way to fix")</f>
        <v>plumbing maintenance best way to fix</v>
      </c>
      <c r="U2722" s="4"/>
      <c r="V2722" s="4"/>
      <c r="W2722" s="4"/>
      <c r="X2722" s="4"/>
      <c r="Y2722" s="4"/>
      <c r="Z2722" s="4"/>
    </row>
    <row r="2723" ht="15.75" customHeight="1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 t="str">
        <f>IFERROR(__xludf.DUMMYFUNCTION("""COMPUTED_VALUE"""),"plumbing maintenance can a plumber fix")</f>
        <v>plumbing maintenance can a plumber fix</v>
      </c>
      <c r="U2723" s="4"/>
      <c r="V2723" s="4"/>
      <c r="W2723" s="4"/>
      <c r="X2723" s="4"/>
      <c r="Y2723" s="4"/>
      <c r="Z2723" s="4"/>
    </row>
    <row r="2724" ht="15.75" customHeight="1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 t="str">
        <f>IFERROR(__xludf.DUMMYFUNCTION("""COMPUTED_VALUE"""),"plumbing maintenance cost of")</f>
        <v>plumbing maintenance cost of</v>
      </c>
      <c r="U2724" s="4"/>
      <c r="V2724" s="4"/>
      <c r="W2724" s="4"/>
      <c r="X2724" s="4"/>
      <c r="Y2724" s="4"/>
      <c r="Z2724" s="4"/>
    </row>
    <row r="2725" ht="15.75" customHeight="1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 t="str">
        <f>IFERROR(__xludf.DUMMYFUNCTION("""COMPUTED_VALUE"""),"plumbing maintenance do I need")</f>
        <v>plumbing maintenance do I need</v>
      </c>
      <c r="U2725" s="4"/>
      <c r="V2725" s="4"/>
      <c r="W2725" s="4"/>
      <c r="X2725" s="4"/>
      <c r="Y2725" s="4"/>
      <c r="Z2725" s="4"/>
    </row>
    <row r="2726" ht="15.75" customHeight="1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 t="str">
        <f>IFERROR(__xludf.DUMMYFUNCTION("""COMPUTED_VALUE"""),"plumbing maintenance emergency help for")</f>
        <v>plumbing maintenance emergency help for</v>
      </c>
      <c r="U2726" s="4"/>
      <c r="V2726" s="4"/>
      <c r="W2726" s="4"/>
      <c r="X2726" s="4"/>
      <c r="Y2726" s="4"/>
      <c r="Z2726" s="4"/>
    </row>
    <row r="2727" ht="15.75" customHeight="1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 t="str">
        <f>IFERROR(__xludf.DUMMYFUNCTION("""COMPUTED_VALUE"""),"plumbing maintenance how long does")</f>
        <v>plumbing maintenance how long does</v>
      </c>
      <c r="U2727" s="4"/>
      <c r="V2727" s="4"/>
      <c r="W2727" s="4"/>
      <c r="X2727" s="4"/>
      <c r="Y2727" s="4"/>
      <c r="Z2727" s="4"/>
    </row>
    <row r="2728" ht="15.75" customHeight="1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 t="str">
        <f>IFERROR(__xludf.DUMMYFUNCTION("""COMPUTED_VALUE"""),"plumbing maintenance how much does")</f>
        <v>plumbing maintenance how much does</v>
      </c>
      <c r="U2728" s="4"/>
      <c r="V2728" s="4"/>
      <c r="W2728" s="4"/>
      <c r="X2728" s="4"/>
      <c r="Y2728" s="4"/>
      <c r="Z2728" s="4"/>
    </row>
    <row r="2729" ht="15.75" customHeight="1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 t="str">
        <f>IFERROR(__xludf.DUMMYFUNCTION("""COMPUTED_VALUE"""),"plumbing maintenance how to choose")</f>
        <v>plumbing maintenance how to choose</v>
      </c>
      <c r="U2729" s="4"/>
      <c r="V2729" s="4"/>
      <c r="W2729" s="4"/>
      <c r="X2729" s="4"/>
      <c r="Y2729" s="4"/>
      <c r="Z2729" s="4"/>
    </row>
    <row r="2730" ht="15.75" customHeight="1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 t="str">
        <f>IFERROR(__xludf.DUMMYFUNCTION("""COMPUTED_VALUE"""),"plumbing maintenance how to prevent")</f>
        <v>plumbing maintenance how to prevent</v>
      </c>
      <c r="U2730" s="4"/>
      <c r="V2730" s="4"/>
      <c r="W2730" s="4"/>
      <c r="X2730" s="4"/>
      <c r="Y2730" s="4"/>
      <c r="Z2730" s="4"/>
    </row>
    <row r="2731" ht="15.75" customHeight="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 t="str">
        <f>IFERROR(__xludf.DUMMYFUNCTION("""COMPUTED_VALUE"""),"plumbing maintenance is it safe to")</f>
        <v>plumbing maintenance is it safe to</v>
      </c>
      <c r="U2731" s="4"/>
      <c r="V2731" s="4"/>
      <c r="W2731" s="4"/>
      <c r="X2731" s="4"/>
      <c r="Y2731" s="4"/>
      <c r="Z2731" s="4"/>
    </row>
    <row r="2732" ht="15.75" customHeight="1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 t="str">
        <f>IFERROR(__xludf.DUMMYFUNCTION("""COMPUTED_VALUE"""),"plumbing maintenance near me for")</f>
        <v>plumbing maintenance near me for</v>
      </c>
      <c r="U2732" s="4"/>
      <c r="V2732" s="4"/>
      <c r="W2732" s="4"/>
      <c r="X2732" s="4"/>
      <c r="Y2732" s="4"/>
      <c r="Z2732" s="4"/>
    </row>
    <row r="2733" ht="15.75" customHeight="1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 t="str">
        <f>IFERROR(__xludf.DUMMYFUNCTION("""COMPUTED_VALUE"""),"plumbing maintenance same day help for")</f>
        <v>plumbing maintenance same day help for</v>
      </c>
      <c r="U2733" s="4"/>
      <c r="V2733" s="4"/>
      <c r="W2733" s="4"/>
      <c r="X2733" s="4"/>
      <c r="Y2733" s="4"/>
      <c r="Z2733" s="4"/>
    </row>
    <row r="2734" ht="15.75" customHeight="1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 t="str">
        <f>IFERROR(__xludf.DUMMYFUNCTION("""COMPUTED_VALUE"""),"plumbing maintenance signs you need")</f>
        <v>plumbing maintenance signs you need</v>
      </c>
      <c r="U2734" s="4"/>
      <c r="V2734" s="4"/>
      <c r="W2734" s="4"/>
      <c r="X2734" s="4"/>
      <c r="Y2734" s="4"/>
      <c r="Z2734" s="4"/>
    </row>
    <row r="2735" ht="15.75" customHeight="1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 t="str">
        <f>IFERROR(__xludf.DUMMYFUNCTION("""COMPUTED_VALUE"""),"plumbing maintenance what causes")</f>
        <v>plumbing maintenance what causes</v>
      </c>
      <c r="U2735" s="4"/>
      <c r="V2735" s="4"/>
      <c r="W2735" s="4"/>
      <c r="X2735" s="4"/>
      <c r="Y2735" s="4"/>
      <c r="Z2735" s="4"/>
    </row>
    <row r="2736" ht="15.75" customHeight="1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 t="str">
        <f>IFERROR(__xludf.DUMMYFUNCTION("""COMPUTED_VALUE"""),"plumbing maintenance what is")</f>
        <v>plumbing maintenance what is</v>
      </c>
      <c r="U2736" s="4"/>
      <c r="V2736" s="4"/>
      <c r="W2736" s="4"/>
      <c r="X2736" s="4"/>
      <c r="Y2736" s="4"/>
      <c r="Z2736" s="4"/>
    </row>
    <row r="2737" ht="15.75" customHeight="1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 t="str">
        <f>IFERROR(__xludf.DUMMYFUNCTION("""COMPUTED_VALUE"""),"plumbing maintenance when to call a")</f>
        <v>plumbing maintenance when to call a</v>
      </c>
      <c r="U2737" s="4"/>
      <c r="V2737" s="4"/>
      <c r="W2737" s="4"/>
      <c r="X2737" s="4"/>
      <c r="Y2737" s="4"/>
      <c r="Z2737" s="4"/>
    </row>
    <row r="2738" ht="15.75" customHeight="1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 t="str">
        <f>IFERROR(__xludf.DUMMYFUNCTION("""COMPUTED_VALUE"""),"plumbing maintenance who fixes")</f>
        <v>plumbing maintenance who fixes</v>
      </c>
      <c r="U2738" s="4"/>
      <c r="V2738" s="4"/>
      <c r="W2738" s="4"/>
      <c r="X2738" s="4"/>
      <c r="Y2738" s="4"/>
      <c r="Z2738" s="4"/>
    </row>
    <row r="2739" ht="15.75" customHeight="1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 t="str">
        <f>IFERROR(__xludf.DUMMYFUNCTION("""COMPUTED_VALUE"""),"plumbing maintenance why is my")</f>
        <v>plumbing maintenance why is my</v>
      </c>
      <c r="U2739" s="4"/>
      <c r="V2739" s="4"/>
      <c r="W2739" s="4"/>
      <c r="X2739" s="4"/>
      <c r="Y2739" s="4"/>
      <c r="Z2739" s="4"/>
    </row>
    <row r="2740" ht="15.75" customHeight="1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 t="str">
        <f>IFERROR(__xludf.DUMMYFUNCTION("""COMPUTED_VALUE"""),"plumbing repairs")</f>
        <v>plumbing repairs</v>
      </c>
      <c r="U2740" s="4"/>
      <c r="V2740" s="4"/>
      <c r="W2740" s="4"/>
      <c r="X2740" s="4"/>
      <c r="Y2740" s="4"/>
      <c r="Z2740" s="4"/>
    </row>
    <row r="2741" ht="15.75" customHeight="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 t="str">
        <f>IFERROR(__xludf.DUMMYFUNCTION("""COMPUTED_VALUE"""),"plumbing repairs 24 hour")</f>
        <v>plumbing repairs 24 hour</v>
      </c>
      <c r="U2741" s="4"/>
      <c r="V2741" s="4"/>
      <c r="W2741" s="4"/>
      <c r="X2741" s="4"/>
      <c r="Y2741" s="4"/>
      <c r="Z2741" s="4"/>
    </row>
    <row r="2742" ht="15.75" customHeight="1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 t="str">
        <f>IFERROR(__xludf.DUMMYFUNCTION("""COMPUTED_VALUE"""),"plumbing repairs affordable")</f>
        <v>plumbing repairs affordable</v>
      </c>
      <c r="U2742" s="4"/>
      <c r="V2742" s="4"/>
      <c r="W2742" s="4"/>
      <c r="X2742" s="4"/>
      <c r="Y2742" s="4"/>
      <c r="Z2742" s="4"/>
    </row>
    <row r="2743" ht="15.75" customHeight="1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 t="str">
        <f>IFERROR(__xludf.DUMMYFUNCTION("""COMPUTED_VALUE"""),"plumbing repairs after hours")</f>
        <v>plumbing repairs after hours</v>
      </c>
      <c r="U2743" s="4"/>
      <c r="V2743" s="4"/>
      <c r="W2743" s="4"/>
      <c r="X2743" s="4"/>
      <c r="Y2743" s="4"/>
      <c r="Z2743" s="4"/>
    </row>
    <row r="2744" ht="15.75" customHeight="1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 t="str">
        <f>IFERROR(__xludf.DUMMYFUNCTION("""COMPUTED_VALUE"""),"plumbing repairs best")</f>
        <v>plumbing repairs best</v>
      </c>
      <c r="U2744" s="4"/>
      <c r="V2744" s="4"/>
      <c r="W2744" s="4"/>
      <c r="X2744" s="4"/>
      <c r="Y2744" s="4"/>
      <c r="Z2744" s="4"/>
    </row>
    <row r="2745" ht="15.75" customHeight="1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 t="str">
        <f>IFERROR(__xludf.DUMMYFUNCTION("""COMPUTED_VALUE"""),"plumbing repairs call out")</f>
        <v>plumbing repairs call out</v>
      </c>
      <c r="U2745" s="4"/>
      <c r="V2745" s="4"/>
      <c r="W2745" s="4"/>
      <c r="X2745" s="4"/>
      <c r="Y2745" s="4"/>
      <c r="Z2745" s="4"/>
    </row>
    <row r="2746" ht="15.75" customHeight="1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 t="str">
        <f>IFERROR(__xludf.DUMMYFUNCTION("""COMPUTED_VALUE"""),"plumbing repairs company")</f>
        <v>plumbing repairs company</v>
      </c>
      <c r="U2746" s="4"/>
      <c r="V2746" s="4"/>
      <c r="W2746" s="4"/>
      <c r="X2746" s="4"/>
      <c r="Y2746" s="4"/>
      <c r="Z2746" s="4"/>
    </row>
    <row r="2747" ht="15.75" customHeight="1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 t="str">
        <f>IFERROR(__xludf.DUMMYFUNCTION("""COMPUTED_VALUE"""),"plumbing repairs contractor")</f>
        <v>plumbing repairs contractor</v>
      </c>
      <c r="U2747" s="4"/>
      <c r="V2747" s="4"/>
      <c r="W2747" s="4"/>
      <c r="X2747" s="4"/>
      <c r="Y2747" s="4"/>
      <c r="Z2747" s="4"/>
    </row>
    <row r="2748" ht="15.75" customHeight="1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 t="str">
        <f>IFERROR(__xludf.DUMMYFUNCTION("""COMPUTED_VALUE"""),"plumbing repairs cost")</f>
        <v>plumbing repairs cost</v>
      </c>
      <c r="U2748" s="4"/>
      <c r="V2748" s="4"/>
      <c r="W2748" s="4"/>
      <c r="X2748" s="4"/>
      <c r="Y2748" s="4"/>
      <c r="Z2748" s="4"/>
    </row>
    <row r="2749" ht="15.75" customHeight="1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 t="str">
        <f>IFERROR(__xludf.DUMMYFUNCTION("""COMPUTED_VALUE"""),"plumbing repairs emergency")</f>
        <v>plumbing repairs emergency</v>
      </c>
      <c r="U2749" s="4"/>
      <c r="V2749" s="4"/>
      <c r="W2749" s="4"/>
      <c r="X2749" s="4"/>
      <c r="Y2749" s="4"/>
      <c r="Z2749" s="4"/>
    </row>
    <row r="2750" ht="15.75" customHeight="1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 t="str">
        <f>IFERROR(__xludf.DUMMYFUNCTION("""COMPUTED_VALUE"""),"plumbing repairs installation")</f>
        <v>plumbing repairs installation</v>
      </c>
      <c r="U2750" s="4"/>
      <c r="V2750" s="4"/>
      <c r="W2750" s="4"/>
      <c r="X2750" s="4"/>
      <c r="Y2750" s="4"/>
      <c r="Z2750" s="4"/>
    </row>
    <row r="2751" ht="15.75" customHeight="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 t="str">
        <f>IFERROR(__xludf.DUMMYFUNCTION("""COMPUTED_VALUE"""),"plumbing repairs licensed")</f>
        <v>plumbing repairs licensed</v>
      </c>
      <c r="U2751" s="4"/>
      <c r="V2751" s="4"/>
      <c r="W2751" s="4"/>
      <c r="X2751" s="4"/>
      <c r="Y2751" s="4"/>
      <c r="Z2751" s="4"/>
    </row>
    <row r="2752" ht="15.75" customHeight="1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 t="str">
        <f>IFERROR(__xludf.DUMMYFUNCTION("""COMPUTED_VALUE"""),"plumbing repairs local")</f>
        <v>plumbing repairs local</v>
      </c>
      <c r="U2752" s="4"/>
      <c r="V2752" s="4"/>
      <c r="W2752" s="4"/>
      <c r="X2752" s="4"/>
      <c r="Y2752" s="4"/>
      <c r="Z2752" s="4"/>
    </row>
    <row r="2753" ht="15.75" customHeight="1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 t="str">
        <f>IFERROR(__xludf.DUMMYFUNCTION("""COMPUTED_VALUE"""),"plumbing repairs maintenance")</f>
        <v>plumbing repairs maintenance</v>
      </c>
      <c r="U2753" s="4"/>
      <c r="V2753" s="4"/>
      <c r="W2753" s="4"/>
      <c r="X2753" s="4"/>
      <c r="Y2753" s="4"/>
      <c r="Z2753" s="4"/>
    </row>
    <row r="2754" ht="15.75" customHeight="1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 t="str">
        <f>IFERROR(__xludf.DUMMYFUNCTION("""COMPUTED_VALUE"""),"plumbing repairs near me")</f>
        <v>plumbing repairs near me</v>
      </c>
      <c r="U2754" s="4"/>
      <c r="V2754" s="4"/>
      <c r="W2754" s="4"/>
      <c r="X2754" s="4"/>
      <c r="Y2754" s="4"/>
      <c r="Z2754" s="4"/>
    </row>
    <row r="2755" ht="15.75" customHeight="1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 t="str">
        <f>IFERROR(__xludf.DUMMYFUNCTION("""COMPUTED_VALUE"""),"plumbing repairs professional")</f>
        <v>plumbing repairs professional</v>
      </c>
      <c r="U2755" s="4"/>
      <c r="V2755" s="4"/>
      <c r="W2755" s="4"/>
      <c r="X2755" s="4"/>
      <c r="Y2755" s="4"/>
      <c r="Z2755" s="4"/>
    </row>
    <row r="2756" ht="15.75" customHeight="1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 t="str">
        <f>IFERROR(__xludf.DUMMYFUNCTION("""COMPUTED_VALUE"""),"plumbing repairs qualified")</f>
        <v>plumbing repairs qualified</v>
      </c>
      <c r="U2756" s="4"/>
      <c r="V2756" s="4"/>
      <c r="W2756" s="4"/>
      <c r="X2756" s="4"/>
      <c r="Y2756" s="4"/>
      <c r="Z2756" s="4"/>
    </row>
    <row r="2757" ht="15.75" customHeight="1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 t="str">
        <f>IFERROR(__xludf.DUMMYFUNCTION("""COMPUTED_VALUE"""),"plumbing repairs quote")</f>
        <v>plumbing repairs quote</v>
      </c>
      <c r="U2757" s="4"/>
      <c r="V2757" s="4"/>
      <c r="W2757" s="4"/>
      <c r="X2757" s="4"/>
      <c r="Y2757" s="4"/>
      <c r="Z2757" s="4"/>
    </row>
    <row r="2758" ht="15.75" customHeight="1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 t="str">
        <f>IFERROR(__xludf.DUMMYFUNCTION("""COMPUTED_VALUE"""),"plumbing repairs reliable")</f>
        <v>plumbing repairs reliable</v>
      </c>
      <c r="U2758" s="4"/>
      <c r="V2758" s="4"/>
      <c r="W2758" s="4"/>
      <c r="X2758" s="4"/>
      <c r="Y2758" s="4"/>
      <c r="Z2758" s="4"/>
    </row>
    <row r="2759" ht="15.75" customHeight="1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 t="str">
        <f>IFERROR(__xludf.DUMMYFUNCTION("""COMPUTED_VALUE"""),"plumbing repairs same day")</f>
        <v>plumbing repairs same day</v>
      </c>
      <c r="U2759" s="4"/>
      <c r="V2759" s="4"/>
      <c r="W2759" s="4"/>
      <c r="X2759" s="4"/>
      <c r="Y2759" s="4"/>
      <c r="Z2759" s="4"/>
    </row>
    <row r="2760" ht="15.75" customHeight="1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 t="str">
        <f>IFERROR(__xludf.DUMMYFUNCTION("""COMPUTED_VALUE"""),"plumbing repairs service")</f>
        <v>plumbing repairs service</v>
      </c>
      <c r="U2760" s="4"/>
      <c r="V2760" s="4"/>
      <c r="W2760" s="4"/>
      <c r="X2760" s="4"/>
      <c r="Y2760" s="4"/>
      <c r="Z2760" s="4"/>
    </row>
    <row r="2761" ht="15.75" customHeight="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 t="str">
        <f>IFERROR(__xludf.DUMMYFUNCTION("""COMPUTED_VALUE"""),"plumbing repairs top rated")</f>
        <v>plumbing repairs top rated</v>
      </c>
      <c r="U2761" s="4"/>
      <c r="V2761" s="4"/>
      <c r="W2761" s="4"/>
      <c r="X2761" s="4"/>
      <c r="Y2761" s="4"/>
      <c r="Z2761" s="4"/>
    </row>
    <row r="2762" ht="15.75" customHeight="1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 t="str">
        <f>IFERROR(__xludf.DUMMYFUNCTION("""COMPUTED_VALUE"""),"plumbing repairs trusted")</f>
        <v>plumbing repairs trusted</v>
      </c>
      <c r="U2762" s="4"/>
      <c r="V2762" s="4"/>
      <c r="W2762" s="4"/>
      <c r="X2762" s="4"/>
      <c r="Y2762" s="4"/>
      <c r="Z2762" s="4"/>
    </row>
    <row r="2763" ht="15.75" customHeight="1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 t="str">
        <f>IFERROR(__xludf.DUMMYFUNCTION("""COMPUTED_VALUE"""),"plumbing services")</f>
        <v>plumbing services</v>
      </c>
      <c r="U2763" s="4"/>
      <c r="V2763" s="4"/>
      <c r="W2763" s="4"/>
      <c r="X2763" s="4"/>
      <c r="Y2763" s="4"/>
      <c r="Z2763" s="4"/>
    </row>
    <row r="2764" ht="15.75" customHeight="1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 t="str">
        <f>IFERROR(__xludf.DUMMYFUNCTION("""COMPUTED_VALUE"""),"plumbing services 24 hour")</f>
        <v>plumbing services 24 hour</v>
      </c>
      <c r="U2764" s="4"/>
      <c r="V2764" s="4"/>
      <c r="W2764" s="4"/>
      <c r="X2764" s="4"/>
      <c r="Y2764" s="4"/>
      <c r="Z2764" s="4"/>
    </row>
    <row r="2765" ht="15.75" customHeight="1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 t="str">
        <f>IFERROR(__xludf.DUMMYFUNCTION("""COMPUTED_VALUE"""),"plumbing services affordable")</f>
        <v>plumbing services affordable</v>
      </c>
      <c r="U2765" s="4"/>
      <c r="V2765" s="4"/>
      <c r="W2765" s="4"/>
      <c r="X2765" s="4"/>
      <c r="Y2765" s="4"/>
      <c r="Z2765" s="4"/>
    </row>
    <row r="2766" ht="15.75" customHeight="1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 t="str">
        <f>IFERROR(__xludf.DUMMYFUNCTION("""COMPUTED_VALUE"""),"plumbing services after hours")</f>
        <v>plumbing services after hours</v>
      </c>
      <c r="U2766" s="4"/>
      <c r="V2766" s="4"/>
      <c r="W2766" s="4"/>
      <c r="X2766" s="4"/>
      <c r="Y2766" s="4"/>
      <c r="Z2766" s="4"/>
    </row>
    <row r="2767" ht="15.75" customHeight="1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 t="str">
        <f>IFERROR(__xludf.DUMMYFUNCTION("""COMPUTED_VALUE"""),"plumbing services apartment")</f>
        <v>plumbing services apartment</v>
      </c>
      <c r="U2767" s="4"/>
      <c r="V2767" s="4"/>
      <c r="W2767" s="4"/>
      <c r="X2767" s="4"/>
      <c r="Y2767" s="4"/>
      <c r="Z2767" s="4"/>
    </row>
    <row r="2768" ht="15.75" customHeight="1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 t="str">
        <f>IFERROR(__xludf.DUMMYFUNCTION("""COMPUTED_VALUE"""),"plumbing services best")</f>
        <v>plumbing services best</v>
      </c>
      <c r="U2768" s="4"/>
      <c r="V2768" s="4"/>
      <c r="W2768" s="4"/>
      <c r="X2768" s="4"/>
      <c r="Y2768" s="4"/>
      <c r="Z2768" s="4"/>
    </row>
    <row r="2769" ht="15.75" customHeight="1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 t="str">
        <f>IFERROR(__xludf.DUMMYFUNCTION("""COMPUTED_VALUE"""),"plumbing services body corporate")</f>
        <v>plumbing services body corporate</v>
      </c>
      <c r="U2769" s="4"/>
      <c r="V2769" s="4"/>
      <c r="W2769" s="4"/>
      <c r="X2769" s="4"/>
      <c r="Y2769" s="4"/>
      <c r="Z2769" s="4"/>
    </row>
    <row r="2770" ht="15.75" customHeight="1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 t="str">
        <f>IFERROR(__xludf.DUMMYFUNCTION("""COMPUTED_VALUE"""),"plumbing services building")</f>
        <v>plumbing services building</v>
      </c>
      <c r="U2770" s="4"/>
      <c r="V2770" s="4"/>
      <c r="W2770" s="4"/>
      <c r="X2770" s="4"/>
      <c r="Y2770" s="4"/>
      <c r="Z2770" s="4"/>
    </row>
    <row r="2771" ht="15.75" customHeight="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 t="str">
        <f>IFERROR(__xludf.DUMMYFUNCTION("""COMPUTED_VALUE"""),"plumbing services business")</f>
        <v>plumbing services business</v>
      </c>
      <c r="U2771" s="4"/>
      <c r="V2771" s="4"/>
      <c r="W2771" s="4"/>
      <c r="X2771" s="4"/>
      <c r="Y2771" s="4"/>
      <c r="Z2771" s="4"/>
    </row>
    <row r="2772" ht="15.75" customHeight="1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 t="str">
        <f>IFERROR(__xludf.DUMMYFUNCTION("""COMPUTED_VALUE"""),"plumbing services call out")</f>
        <v>plumbing services call out</v>
      </c>
      <c r="U2772" s="4"/>
      <c r="V2772" s="4"/>
      <c r="W2772" s="4"/>
      <c r="X2772" s="4"/>
      <c r="Y2772" s="4"/>
      <c r="Z2772" s="4"/>
    </row>
    <row r="2773" ht="15.75" customHeight="1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 t="str">
        <f>IFERROR(__xludf.DUMMYFUNCTION("""COMPUTED_VALUE"""),"plumbing services commercial property")</f>
        <v>plumbing services commercial property</v>
      </c>
      <c r="U2773" s="4"/>
      <c r="V2773" s="4"/>
      <c r="W2773" s="4"/>
      <c r="X2773" s="4"/>
      <c r="Y2773" s="4"/>
      <c r="Z2773" s="4"/>
    </row>
    <row r="2774" ht="15.75" customHeight="1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 t="str">
        <f>IFERROR(__xludf.DUMMYFUNCTION("""COMPUTED_VALUE"""),"plumbing services company")</f>
        <v>plumbing services company</v>
      </c>
      <c r="U2774" s="4"/>
      <c r="V2774" s="4"/>
      <c r="W2774" s="4"/>
      <c r="X2774" s="4"/>
      <c r="Y2774" s="4"/>
      <c r="Z2774" s="4"/>
    </row>
    <row r="2775" ht="15.75" customHeight="1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 t="str">
        <f>IFERROR(__xludf.DUMMYFUNCTION("""COMPUTED_VALUE"""),"plumbing services contractor")</f>
        <v>plumbing services contractor</v>
      </c>
      <c r="U2775" s="4"/>
      <c r="V2775" s="4"/>
      <c r="W2775" s="4"/>
      <c r="X2775" s="4"/>
      <c r="Y2775" s="4"/>
      <c r="Z2775" s="4"/>
    </row>
    <row r="2776" ht="15.75" customHeight="1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 t="str">
        <f>IFERROR(__xludf.DUMMYFUNCTION("""COMPUTED_VALUE"""),"plumbing services cost")</f>
        <v>plumbing services cost</v>
      </c>
      <c r="U2776" s="4"/>
      <c r="V2776" s="4"/>
      <c r="W2776" s="4"/>
      <c r="X2776" s="4"/>
      <c r="Y2776" s="4"/>
      <c r="Z2776" s="4"/>
    </row>
    <row r="2777" ht="15.75" customHeight="1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 t="str">
        <f>IFERROR(__xludf.DUMMYFUNCTION("""COMPUTED_VALUE"""),"plumbing services emergency")</f>
        <v>plumbing services emergency</v>
      </c>
      <c r="U2777" s="4"/>
      <c r="V2777" s="4"/>
      <c r="W2777" s="4"/>
      <c r="X2777" s="4"/>
      <c r="Y2777" s="4"/>
      <c r="Z2777" s="4"/>
    </row>
    <row r="2778" ht="15.75" customHeight="1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 t="str">
        <f>IFERROR(__xludf.DUMMYFUNCTION("""COMPUTED_VALUE"""),"plumbing services estate agent")</f>
        <v>plumbing services estate agent</v>
      </c>
      <c r="U2778" s="4"/>
      <c r="V2778" s="4"/>
      <c r="W2778" s="4"/>
      <c r="X2778" s="4"/>
      <c r="Y2778" s="4"/>
      <c r="Z2778" s="4"/>
    </row>
    <row r="2779" ht="15.75" customHeight="1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 t="str">
        <f>IFERROR(__xludf.DUMMYFUNCTION("""COMPUTED_VALUE"""),"plumbing services flat")</f>
        <v>plumbing services flat</v>
      </c>
      <c r="U2779" s="4"/>
      <c r="V2779" s="4"/>
      <c r="W2779" s="4"/>
      <c r="X2779" s="4"/>
      <c r="Y2779" s="4"/>
      <c r="Z2779" s="4"/>
    </row>
    <row r="2780" ht="15.75" customHeight="1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 t="str">
        <f>IFERROR(__xludf.DUMMYFUNCTION("""COMPUTED_VALUE"""),"plumbing services guesthouse")</f>
        <v>plumbing services guesthouse</v>
      </c>
      <c r="U2780" s="4"/>
      <c r="V2780" s="4"/>
      <c r="W2780" s="4"/>
      <c r="X2780" s="4"/>
      <c r="Y2780" s="4"/>
      <c r="Z2780" s="4"/>
    </row>
    <row r="2781" ht="15.75" customHeight="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 t="str">
        <f>IFERROR(__xludf.DUMMYFUNCTION("""COMPUTED_VALUE"""),"plumbing services home")</f>
        <v>plumbing services home</v>
      </c>
      <c r="U2781" s="4"/>
      <c r="V2781" s="4"/>
      <c r="W2781" s="4"/>
      <c r="X2781" s="4"/>
      <c r="Y2781" s="4"/>
      <c r="Z2781" s="4"/>
    </row>
    <row r="2782" ht="15.75" customHeight="1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 t="str">
        <f>IFERROR(__xludf.DUMMYFUNCTION("""COMPUTED_VALUE"""),"plumbing services hotel")</f>
        <v>plumbing services hotel</v>
      </c>
      <c r="U2782" s="4"/>
      <c r="V2782" s="4"/>
      <c r="W2782" s="4"/>
      <c r="X2782" s="4"/>
      <c r="Y2782" s="4"/>
      <c r="Z2782" s="4"/>
    </row>
    <row r="2783" ht="15.75" customHeight="1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 t="str">
        <f>IFERROR(__xludf.DUMMYFUNCTION("""COMPUTED_VALUE"""),"plumbing services house")</f>
        <v>plumbing services house</v>
      </c>
      <c r="U2783" s="4"/>
      <c r="V2783" s="4"/>
      <c r="W2783" s="4"/>
      <c r="X2783" s="4"/>
      <c r="Y2783" s="4"/>
      <c r="Z2783" s="4"/>
    </row>
    <row r="2784" ht="15.75" customHeight="1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 t="str">
        <f>IFERROR(__xludf.DUMMYFUNCTION("""COMPUTED_VALUE"""),"plumbing services installation")</f>
        <v>plumbing services installation</v>
      </c>
      <c r="U2784" s="4"/>
      <c r="V2784" s="4"/>
      <c r="W2784" s="4"/>
      <c r="X2784" s="4"/>
      <c r="Y2784" s="4"/>
      <c r="Z2784" s="4"/>
    </row>
    <row r="2785" ht="15.75" customHeight="1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 t="str">
        <f>IFERROR(__xludf.DUMMYFUNCTION("""COMPUTED_VALUE"""),"plumbing services landlord")</f>
        <v>plumbing services landlord</v>
      </c>
      <c r="U2785" s="4"/>
      <c r="V2785" s="4"/>
      <c r="W2785" s="4"/>
      <c r="X2785" s="4"/>
      <c r="Y2785" s="4"/>
      <c r="Z2785" s="4"/>
    </row>
    <row r="2786" ht="15.75" customHeight="1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 t="str">
        <f>IFERROR(__xludf.DUMMYFUNCTION("""COMPUTED_VALUE"""),"plumbing services licensed")</f>
        <v>plumbing services licensed</v>
      </c>
      <c r="U2786" s="4"/>
      <c r="V2786" s="4"/>
      <c r="W2786" s="4"/>
      <c r="X2786" s="4"/>
      <c r="Y2786" s="4"/>
      <c r="Z2786" s="4"/>
    </row>
    <row r="2787" ht="15.75" customHeight="1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 t="str">
        <f>IFERROR(__xludf.DUMMYFUNCTION("""COMPUTED_VALUE"""),"plumbing services local")</f>
        <v>plumbing services local</v>
      </c>
      <c r="U2787" s="4"/>
      <c r="V2787" s="4"/>
      <c r="W2787" s="4"/>
      <c r="X2787" s="4"/>
      <c r="Y2787" s="4"/>
      <c r="Z2787" s="4"/>
    </row>
    <row r="2788" ht="15.75" customHeight="1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 t="str">
        <f>IFERROR(__xludf.DUMMYFUNCTION("""COMPUTED_VALUE"""),"plumbing services maintenance")</f>
        <v>plumbing services maintenance</v>
      </c>
      <c r="U2788" s="4"/>
      <c r="V2788" s="4"/>
      <c r="W2788" s="4"/>
      <c r="X2788" s="4"/>
      <c r="Y2788" s="4"/>
      <c r="Z2788" s="4"/>
    </row>
    <row r="2789" ht="15.75" customHeight="1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 t="str">
        <f>IFERROR(__xludf.DUMMYFUNCTION("""COMPUTED_VALUE"""),"plumbing services near me")</f>
        <v>plumbing services near me</v>
      </c>
      <c r="U2789" s="4"/>
      <c r="V2789" s="4"/>
      <c r="W2789" s="4"/>
      <c r="X2789" s="4"/>
      <c r="Y2789" s="4"/>
      <c r="Z2789" s="4"/>
    </row>
    <row r="2790" ht="15.75" customHeight="1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 t="str">
        <f>IFERROR(__xludf.DUMMYFUNCTION("""COMPUTED_VALUE"""),"plumbing services office")</f>
        <v>plumbing services office</v>
      </c>
      <c r="U2790" s="4"/>
      <c r="V2790" s="4"/>
      <c r="W2790" s="4"/>
      <c r="X2790" s="4"/>
      <c r="Y2790" s="4"/>
      <c r="Z2790" s="4"/>
    </row>
    <row r="2791" ht="15.75" customHeight="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 t="str">
        <f>IFERROR(__xludf.DUMMYFUNCTION("""COMPUTED_VALUE"""),"plumbing services professional")</f>
        <v>plumbing services professional</v>
      </c>
      <c r="U2791" s="4"/>
      <c r="V2791" s="4"/>
      <c r="W2791" s="4"/>
      <c r="X2791" s="4"/>
      <c r="Y2791" s="4"/>
      <c r="Z2791" s="4"/>
    </row>
    <row r="2792" ht="15.75" customHeight="1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 t="str">
        <f>IFERROR(__xludf.DUMMYFUNCTION("""COMPUTED_VALUE"""),"plumbing services property manager")</f>
        <v>plumbing services property manager</v>
      </c>
      <c r="U2792" s="4"/>
      <c r="V2792" s="4"/>
      <c r="W2792" s="4"/>
      <c r="X2792" s="4"/>
      <c r="Y2792" s="4"/>
      <c r="Z2792" s="4"/>
    </row>
    <row r="2793" ht="15.75" customHeight="1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 t="str">
        <f>IFERROR(__xludf.DUMMYFUNCTION("""COMPUTED_VALUE"""),"plumbing services qualified")</f>
        <v>plumbing services qualified</v>
      </c>
      <c r="U2793" s="4"/>
      <c r="V2793" s="4"/>
      <c r="W2793" s="4"/>
      <c r="X2793" s="4"/>
      <c r="Y2793" s="4"/>
      <c r="Z2793" s="4"/>
    </row>
    <row r="2794" ht="15.75" customHeight="1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 t="str">
        <f>IFERROR(__xludf.DUMMYFUNCTION("""COMPUTED_VALUE"""),"plumbing services quote")</f>
        <v>plumbing services quote</v>
      </c>
      <c r="U2794" s="4"/>
      <c r="V2794" s="4"/>
      <c r="W2794" s="4"/>
      <c r="X2794" s="4"/>
      <c r="Y2794" s="4"/>
      <c r="Z2794" s="4"/>
    </row>
    <row r="2795" ht="15.75" customHeight="1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 t="str">
        <f>IFERROR(__xludf.DUMMYFUNCTION("""COMPUTED_VALUE"""),"plumbing services reliable")</f>
        <v>plumbing services reliable</v>
      </c>
      <c r="U2795" s="4"/>
      <c r="V2795" s="4"/>
      <c r="W2795" s="4"/>
      <c r="X2795" s="4"/>
      <c r="Y2795" s="4"/>
      <c r="Z2795" s="4"/>
    </row>
    <row r="2796" ht="15.75" customHeight="1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 t="str">
        <f>IFERROR(__xludf.DUMMYFUNCTION("""COMPUTED_VALUE"""),"plumbing services repair")</f>
        <v>plumbing services repair</v>
      </c>
      <c r="U2796" s="4"/>
      <c r="V2796" s="4"/>
      <c r="W2796" s="4"/>
      <c r="X2796" s="4"/>
      <c r="Y2796" s="4"/>
      <c r="Z2796" s="4"/>
    </row>
    <row r="2797" ht="15.75" customHeight="1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 t="str">
        <f>IFERROR(__xludf.DUMMYFUNCTION("""COMPUTED_VALUE"""),"plumbing services residential property")</f>
        <v>plumbing services residential property</v>
      </c>
      <c r="U2797" s="4"/>
      <c r="V2797" s="4"/>
      <c r="W2797" s="4"/>
      <c r="X2797" s="4"/>
      <c r="Y2797" s="4"/>
      <c r="Z2797" s="4"/>
    </row>
    <row r="2798" ht="15.75" customHeight="1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 t="str">
        <f>IFERROR(__xludf.DUMMYFUNCTION("""COMPUTED_VALUE"""),"plumbing services restaurant")</f>
        <v>plumbing services restaurant</v>
      </c>
      <c r="U2798" s="4"/>
      <c r="V2798" s="4"/>
      <c r="W2798" s="4"/>
      <c r="X2798" s="4"/>
      <c r="Y2798" s="4"/>
      <c r="Z2798" s="4"/>
    </row>
    <row r="2799" ht="15.75" customHeight="1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 t="str">
        <f>IFERROR(__xludf.DUMMYFUNCTION("""COMPUTED_VALUE"""),"plumbing services same day")</f>
        <v>plumbing services same day</v>
      </c>
      <c r="U2799" s="4"/>
      <c r="V2799" s="4"/>
      <c r="W2799" s="4"/>
      <c r="X2799" s="4"/>
      <c r="Y2799" s="4"/>
      <c r="Z2799" s="4"/>
    </row>
    <row r="2800" ht="15.75" customHeight="1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 t="str">
        <f>IFERROR(__xludf.DUMMYFUNCTION("""COMPUTED_VALUE"""),"plumbing services school")</f>
        <v>plumbing services school</v>
      </c>
      <c r="U2800" s="4"/>
      <c r="V2800" s="4"/>
      <c r="W2800" s="4"/>
      <c r="X2800" s="4"/>
      <c r="Y2800" s="4"/>
      <c r="Z2800" s="4"/>
    </row>
    <row r="2801" ht="15.75" customHeight="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 t="str">
        <f>IFERROR(__xludf.DUMMYFUNCTION("""COMPUTED_VALUE"""),"plumbing services shop")</f>
        <v>plumbing services shop</v>
      </c>
      <c r="U2801" s="4"/>
      <c r="V2801" s="4"/>
      <c r="W2801" s="4"/>
      <c r="X2801" s="4"/>
      <c r="Y2801" s="4"/>
      <c r="Z2801" s="4"/>
    </row>
    <row r="2802" ht="15.75" customHeight="1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 t="str">
        <f>IFERROR(__xludf.DUMMYFUNCTION("""COMPUTED_VALUE"""),"plumbing services tenant")</f>
        <v>plumbing services tenant</v>
      </c>
      <c r="U2802" s="4"/>
      <c r="V2802" s="4"/>
      <c r="W2802" s="4"/>
      <c r="X2802" s="4"/>
      <c r="Y2802" s="4"/>
      <c r="Z2802" s="4"/>
    </row>
    <row r="2803" ht="15.75" customHeight="1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 t="str">
        <f>IFERROR(__xludf.DUMMYFUNCTION("""COMPUTED_VALUE"""),"plumbing services top rated")</f>
        <v>plumbing services top rated</v>
      </c>
      <c r="U2803" s="4"/>
      <c r="V2803" s="4"/>
      <c r="W2803" s="4"/>
      <c r="X2803" s="4"/>
      <c r="Y2803" s="4"/>
      <c r="Z2803" s="4"/>
    </row>
    <row r="2804" ht="15.75" customHeight="1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 t="str">
        <f>IFERROR(__xludf.DUMMYFUNCTION("""COMPUTED_VALUE"""),"plumbing services townhouse")</f>
        <v>plumbing services townhouse</v>
      </c>
      <c r="U2804" s="4"/>
      <c r="V2804" s="4"/>
      <c r="W2804" s="4"/>
      <c r="X2804" s="4"/>
      <c r="Y2804" s="4"/>
      <c r="Z2804" s="4"/>
    </row>
    <row r="2805" ht="15.75" customHeight="1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 t="str">
        <f>IFERROR(__xludf.DUMMYFUNCTION("""COMPUTED_VALUE"""),"plumbing services trusted")</f>
        <v>plumbing services trusted</v>
      </c>
      <c r="U2805" s="4"/>
      <c r="V2805" s="4"/>
      <c r="W2805" s="4"/>
      <c r="X2805" s="4"/>
      <c r="Y2805" s="4"/>
      <c r="Z2805" s="4"/>
    </row>
    <row r="2806" ht="15.75" customHeight="1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 t="str">
        <f>IFERROR(__xludf.DUMMYFUNCTION("""COMPUTED_VALUE"""),"Plumstead aircon repairs")</f>
        <v>Plumstead aircon repairs</v>
      </c>
      <c r="U2806" s="4"/>
      <c r="V2806" s="4"/>
      <c r="W2806" s="4"/>
      <c r="X2806" s="4"/>
      <c r="Y2806" s="4"/>
      <c r="Z2806" s="4"/>
    </row>
    <row r="2807" ht="15.75" customHeight="1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 t="str">
        <f>IFERROR(__xludf.DUMMYFUNCTION("""COMPUTED_VALUE"""),"Plumstead blocked drain plumber")</f>
        <v>Plumstead blocked drain plumber</v>
      </c>
      <c r="U2807" s="4"/>
      <c r="V2807" s="4"/>
      <c r="W2807" s="4"/>
      <c r="X2807" s="4"/>
      <c r="Y2807" s="4"/>
      <c r="Z2807" s="4"/>
    </row>
    <row r="2808" ht="15.75" customHeight="1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 t="str">
        <f>IFERROR(__xludf.DUMMYFUNCTION("""COMPUTED_VALUE"""),"Plumstead electrician")</f>
        <v>Plumstead electrician</v>
      </c>
      <c r="U2808" s="4"/>
      <c r="V2808" s="4"/>
      <c r="W2808" s="4"/>
      <c r="X2808" s="4"/>
      <c r="Y2808" s="4"/>
      <c r="Z2808" s="4"/>
    </row>
    <row r="2809" ht="15.75" customHeight="1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 t="str">
        <f>IFERROR(__xludf.DUMMYFUNCTION("""COMPUTED_VALUE"""),"Plumstead emergency plumber")</f>
        <v>Plumstead emergency plumber</v>
      </c>
      <c r="U2809" s="4"/>
      <c r="V2809" s="4"/>
      <c r="W2809" s="4"/>
      <c r="X2809" s="4"/>
      <c r="Y2809" s="4"/>
      <c r="Z2809" s="4"/>
    </row>
    <row r="2810" ht="15.75" customHeight="1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 t="str">
        <f>IFERROR(__xludf.DUMMYFUNCTION("""COMPUTED_VALUE"""),"Plumstead geyser repair")</f>
        <v>Plumstead geyser repair</v>
      </c>
      <c r="U2810" s="4"/>
      <c r="V2810" s="4"/>
      <c r="W2810" s="4"/>
      <c r="X2810" s="4"/>
      <c r="Y2810" s="4"/>
      <c r="Z2810" s="4"/>
    </row>
    <row r="2811" ht="15.75" customHeight="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 t="str">
        <f>IFERROR(__xludf.DUMMYFUNCTION("""COMPUTED_VALUE"""),"Plumstead leak detection plumber")</f>
        <v>Plumstead leak detection plumber</v>
      </c>
      <c r="U2811" s="4"/>
      <c r="V2811" s="4"/>
      <c r="W2811" s="4"/>
      <c r="X2811" s="4"/>
      <c r="Y2811" s="4"/>
      <c r="Z2811" s="4"/>
    </row>
    <row r="2812" ht="15.75" customHeight="1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 t="str">
        <f>IFERROR(__xludf.DUMMYFUNCTION("""COMPUTED_VALUE"""),"Plumstead plumber")</f>
        <v>Plumstead plumber</v>
      </c>
      <c r="U2812" s="4"/>
      <c r="V2812" s="4"/>
      <c r="W2812" s="4"/>
      <c r="X2812" s="4"/>
      <c r="Y2812" s="4"/>
      <c r="Z2812" s="4"/>
    </row>
    <row r="2813" ht="15.75" customHeight="1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 t="str">
        <f>IFERROR(__xludf.DUMMYFUNCTION("""COMPUTED_VALUE"""),"Plumstead plumbers")</f>
        <v>Plumstead plumbers</v>
      </c>
      <c r="U2813" s="4"/>
      <c r="V2813" s="4"/>
      <c r="W2813" s="4"/>
      <c r="X2813" s="4"/>
      <c r="Y2813" s="4"/>
      <c r="Z2813" s="4"/>
    </row>
    <row r="2814" ht="15.75" customHeight="1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 t="str">
        <f>IFERROR(__xludf.DUMMYFUNCTION("""COMPUTED_VALUE"""),"Plumstead plumbing company")</f>
        <v>Plumstead plumbing company</v>
      </c>
      <c r="U2814" s="4"/>
      <c r="V2814" s="4"/>
      <c r="W2814" s="4"/>
      <c r="X2814" s="4"/>
      <c r="Y2814" s="4"/>
      <c r="Z2814" s="4"/>
    </row>
    <row r="2815" ht="15.75" customHeight="1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 t="str">
        <f>IFERROR(__xludf.DUMMYFUNCTION("""COMPUTED_VALUE"""),"Plumstead refrigeration services")</f>
        <v>Plumstead refrigeration services</v>
      </c>
      <c r="U2815" s="4"/>
      <c r="V2815" s="4"/>
      <c r="W2815" s="4"/>
      <c r="X2815" s="4"/>
      <c r="Y2815" s="4"/>
      <c r="Z2815" s="4"/>
    </row>
    <row r="2816" ht="15.75" customHeight="1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 t="str">
        <f>IFERROR(__xludf.DUMMYFUNCTION("""COMPUTED_VALUE"""),"prices absolute plumbing cape town")</f>
        <v>prices absolute plumbing cape town</v>
      </c>
      <c r="U2816" s="4"/>
      <c r="V2816" s="4"/>
      <c r="W2816" s="4"/>
      <c r="X2816" s="4"/>
      <c r="Y2816" s="4"/>
      <c r="Z2816" s="4"/>
    </row>
    <row r="2817" ht="15.75" customHeight="1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 t="str">
        <f>IFERROR(__xludf.DUMMYFUNCTION("""COMPUTED_VALUE"""),"prices aircon repair cape town")</f>
        <v>prices aircon repair cape town</v>
      </c>
      <c r="U2817" s="4"/>
      <c r="V2817" s="4"/>
      <c r="W2817" s="4"/>
      <c r="X2817" s="4"/>
      <c r="Y2817" s="4"/>
      <c r="Z2817" s="4"/>
    </row>
    <row r="2818" ht="15.75" customHeight="1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 t="str">
        <f>IFERROR(__xludf.DUMMYFUNCTION("""COMPUTED_VALUE"""),"prices bosman plumbers")</f>
        <v>prices bosman plumbers</v>
      </c>
      <c r="U2818" s="4"/>
      <c r="V2818" s="4"/>
      <c r="W2818" s="4"/>
      <c r="X2818" s="4"/>
      <c r="Y2818" s="4"/>
      <c r="Z2818" s="4"/>
    </row>
    <row r="2819" ht="15.75" customHeight="1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 t="str">
        <f>IFERROR(__xludf.DUMMYFUNCTION("""COMPUTED_VALUE"""),"prices drain surgeon cape town")</f>
        <v>prices drain surgeon cape town</v>
      </c>
      <c r="U2819" s="4"/>
      <c r="V2819" s="4"/>
      <c r="W2819" s="4"/>
      <c r="X2819" s="4"/>
      <c r="Y2819" s="4"/>
      <c r="Z2819" s="4"/>
    </row>
    <row r="2820" ht="15.75" customHeight="1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 t="str">
        <f>IFERROR(__xludf.DUMMYFUNCTION("""COMPUTED_VALUE"""),"prices electrician cape town")</f>
        <v>prices electrician cape town</v>
      </c>
      <c r="U2820" s="4"/>
      <c r="V2820" s="4"/>
      <c r="W2820" s="4"/>
      <c r="X2820" s="4"/>
      <c r="Y2820" s="4"/>
      <c r="Z2820" s="4"/>
    </row>
    <row r="2821" ht="15.75" customHeight="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 t="str">
        <f>IFERROR(__xludf.DUMMYFUNCTION("""COMPUTED_VALUE"""),"prices emergency plumber cape town")</f>
        <v>prices emergency plumber cape town</v>
      </c>
      <c r="U2821" s="4"/>
      <c r="V2821" s="4"/>
      <c r="W2821" s="4"/>
      <c r="X2821" s="4"/>
      <c r="Y2821" s="4"/>
      <c r="Z2821" s="4"/>
    </row>
    <row r="2822" ht="15.75" customHeight="1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 t="str">
        <f>IFERROR(__xludf.DUMMYFUNCTION("""COMPUTED_VALUE"""),"prices plumber near me")</f>
        <v>prices plumber near me</v>
      </c>
      <c r="U2822" s="4"/>
      <c r="V2822" s="4"/>
      <c r="W2822" s="4"/>
      <c r="X2822" s="4"/>
      <c r="Y2822" s="4"/>
      <c r="Z2822" s="4"/>
    </row>
    <row r="2823" ht="15.75" customHeight="1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 t="str">
        <f>IFERROR(__xludf.DUMMYFUNCTION("""COMPUTED_VALUE"""),"prices plumbers cape town")</f>
        <v>prices plumbers cape town</v>
      </c>
      <c r="U2823" s="4"/>
      <c r="V2823" s="4"/>
      <c r="W2823" s="4"/>
      <c r="X2823" s="4"/>
      <c r="Y2823" s="4"/>
      <c r="Z2823" s="4"/>
    </row>
    <row r="2824" ht="15.75" customHeight="1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 t="str">
        <f>IFERROR(__xludf.DUMMYFUNCTION("""COMPUTED_VALUE"""),"prices plumbing company cape town")</f>
        <v>prices plumbing company cape town</v>
      </c>
      <c r="U2824" s="4"/>
      <c r="V2824" s="4"/>
      <c r="W2824" s="4"/>
      <c r="X2824" s="4"/>
      <c r="Y2824" s="4"/>
      <c r="Z2824" s="4"/>
    </row>
    <row r="2825" ht="15.75" customHeight="1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 t="str">
        <f>IFERROR(__xludf.DUMMYFUNCTION("""COMPUTED_VALUE"""),"prices schmidhauser plumbing")</f>
        <v>prices schmidhauser plumbing</v>
      </c>
      <c r="U2825" s="4"/>
      <c r="V2825" s="4"/>
      <c r="W2825" s="4"/>
      <c r="X2825" s="4"/>
      <c r="Y2825" s="4"/>
      <c r="Z2825" s="4"/>
    </row>
    <row r="2826" ht="15.75" customHeight="1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 t="str">
        <f>IFERROR(__xludf.DUMMYFUNCTION("""COMPUTED_VALUE"""),"professional 24 hour plumber")</f>
        <v>professional 24 hour plumber</v>
      </c>
      <c r="U2826" s="4"/>
      <c r="V2826" s="4"/>
      <c r="W2826" s="4"/>
      <c r="X2826" s="4"/>
      <c r="Y2826" s="4"/>
      <c r="Z2826" s="4"/>
    </row>
    <row r="2827" ht="15.75" customHeight="1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 t="str">
        <f>IFERROR(__xludf.DUMMYFUNCTION("""COMPUTED_VALUE"""),"professional air conditioning")</f>
        <v>professional air conditioning</v>
      </c>
      <c r="U2827" s="4"/>
      <c r="V2827" s="4"/>
      <c r="W2827" s="4"/>
      <c r="X2827" s="4"/>
      <c r="Y2827" s="4"/>
      <c r="Z2827" s="4"/>
    </row>
    <row r="2828" ht="15.75" customHeight="1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 t="str">
        <f>IFERROR(__xludf.DUMMYFUNCTION("""COMPUTED_VALUE"""),"professional air conditioning repair")</f>
        <v>professional air conditioning repair</v>
      </c>
      <c r="U2828" s="4"/>
      <c r="V2828" s="4"/>
      <c r="W2828" s="4"/>
      <c r="X2828" s="4"/>
      <c r="Y2828" s="4"/>
      <c r="Z2828" s="4"/>
    </row>
    <row r="2829" ht="15.75" customHeight="1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 t="str">
        <f>IFERROR(__xludf.DUMMYFUNCTION("""COMPUTED_VALUE"""),"professional aircon installation")</f>
        <v>professional aircon installation</v>
      </c>
      <c r="U2829" s="4"/>
      <c r="V2829" s="4"/>
      <c r="W2829" s="4"/>
      <c r="X2829" s="4"/>
      <c r="Y2829" s="4"/>
      <c r="Z2829" s="4"/>
    </row>
    <row r="2830" ht="15.75" customHeight="1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 t="str">
        <f>IFERROR(__xludf.DUMMYFUNCTION("""COMPUTED_VALUE"""),"professional aircon repair")</f>
        <v>professional aircon repair</v>
      </c>
      <c r="U2830" s="4"/>
      <c r="V2830" s="4"/>
      <c r="W2830" s="4"/>
      <c r="X2830" s="4"/>
      <c r="Y2830" s="4"/>
      <c r="Z2830" s="4"/>
    </row>
    <row r="2831" ht="15.75" customHeight="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 t="str">
        <f>IFERROR(__xludf.DUMMYFUNCTION("""COMPUTED_VALUE"""),"professional aircon service")</f>
        <v>professional aircon service</v>
      </c>
      <c r="U2831" s="4"/>
      <c r="V2831" s="4"/>
      <c r="W2831" s="4"/>
      <c r="X2831" s="4"/>
      <c r="Y2831" s="4"/>
      <c r="Z2831" s="4"/>
    </row>
    <row r="2832" ht="15.75" customHeight="1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 t="str">
        <f>IFERROR(__xludf.DUMMYFUNCTION("""COMPUTED_VALUE"""),"professional bathroom plumbing repair")</f>
        <v>professional bathroom plumbing repair</v>
      </c>
      <c r="U2832" s="4"/>
      <c r="V2832" s="4"/>
      <c r="W2832" s="4"/>
      <c r="X2832" s="4"/>
      <c r="Y2832" s="4"/>
      <c r="Z2832" s="4"/>
    </row>
    <row r="2833" ht="15.75" customHeight="1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 t="str">
        <f>IFERROR(__xludf.DUMMYFUNCTION("""COMPUTED_VALUE"""),"professional blocked toilet plumber")</f>
        <v>professional blocked toilet plumber</v>
      </c>
      <c r="U2833" s="4"/>
      <c r="V2833" s="4"/>
      <c r="W2833" s="4"/>
      <c r="X2833" s="4"/>
      <c r="Y2833" s="4"/>
      <c r="Z2833" s="4"/>
    </row>
    <row r="2834" ht="15.75" customHeight="1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 t="str">
        <f>IFERROR(__xludf.DUMMYFUNCTION("""COMPUTED_VALUE"""),"professional burst pipe repair")</f>
        <v>professional burst pipe repair</v>
      </c>
      <c r="U2834" s="4"/>
      <c r="V2834" s="4"/>
      <c r="W2834" s="4"/>
      <c r="X2834" s="4"/>
      <c r="Y2834" s="4"/>
      <c r="Z2834" s="4"/>
    </row>
    <row r="2835" ht="15.75" customHeight="1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 t="str">
        <f>IFERROR(__xludf.DUMMYFUNCTION("""COMPUTED_VALUE"""),"professional cold room repair")</f>
        <v>professional cold room repair</v>
      </c>
      <c r="U2835" s="4"/>
      <c r="V2835" s="4"/>
      <c r="W2835" s="4"/>
      <c r="X2835" s="4"/>
      <c r="Y2835" s="4"/>
      <c r="Z2835" s="4"/>
    </row>
    <row r="2836" ht="15.75" customHeight="1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 t="str">
        <f>IFERROR(__xludf.DUMMYFUNCTION("""COMPUTED_VALUE"""),"professional commercial electrician")</f>
        <v>professional commercial electrician</v>
      </c>
      <c r="U2836" s="4"/>
      <c r="V2836" s="4"/>
      <c r="W2836" s="4"/>
      <c r="X2836" s="4"/>
      <c r="Y2836" s="4"/>
      <c r="Z2836" s="4"/>
    </row>
    <row r="2837" ht="15.75" customHeight="1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 t="str">
        <f>IFERROR(__xludf.DUMMYFUNCTION("""COMPUTED_VALUE"""),"professional commercial plumber")</f>
        <v>professional commercial plumber</v>
      </c>
      <c r="U2837" s="4"/>
      <c r="V2837" s="4"/>
      <c r="W2837" s="4"/>
      <c r="X2837" s="4"/>
      <c r="Y2837" s="4"/>
      <c r="Z2837" s="4"/>
    </row>
    <row r="2838" ht="15.75" customHeight="1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 t="str">
        <f>IFERROR(__xludf.DUMMYFUNCTION("""COMPUTED_VALUE"""),"professional commercial refrigeration")</f>
        <v>professional commercial refrigeration</v>
      </c>
      <c r="U2838" s="4"/>
      <c r="V2838" s="4"/>
      <c r="W2838" s="4"/>
      <c r="X2838" s="4"/>
      <c r="Y2838" s="4"/>
      <c r="Z2838" s="4"/>
    </row>
    <row r="2839" ht="15.75" customHeight="1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 t="str">
        <f>IFERROR(__xludf.DUMMYFUNCTION("""COMPUTED_VALUE"""),"professional electrical compliance certificate")</f>
        <v>professional electrical compliance certificate</v>
      </c>
      <c r="U2839" s="4"/>
      <c r="V2839" s="4"/>
      <c r="W2839" s="4"/>
      <c r="X2839" s="4"/>
      <c r="Y2839" s="4"/>
      <c r="Z2839" s="4"/>
    </row>
    <row r="2840" ht="15.75" customHeight="1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 t="str">
        <f>IFERROR(__xludf.DUMMYFUNCTION("""COMPUTED_VALUE"""),"professional electrical contractor")</f>
        <v>professional electrical contractor</v>
      </c>
      <c r="U2840" s="4"/>
      <c r="V2840" s="4"/>
      <c r="W2840" s="4"/>
      <c r="X2840" s="4"/>
      <c r="Y2840" s="4"/>
      <c r="Z2840" s="4"/>
    </row>
    <row r="2841" ht="15.75" customHeight="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 t="str">
        <f>IFERROR(__xludf.DUMMYFUNCTION("""COMPUTED_VALUE"""),"professional electrical installation")</f>
        <v>professional electrical installation</v>
      </c>
      <c r="U2841" s="4"/>
      <c r="V2841" s="4"/>
      <c r="W2841" s="4"/>
      <c r="X2841" s="4"/>
      <c r="Y2841" s="4"/>
      <c r="Z2841" s="4"/>
    </row>
    <row r="2842" ht="15.75" customHeight="1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 t="str">
        <f>IFERROR(__xludf.DUMMYFUNCTION("""COMPUTED_VALUE"""),"professional electrical maintenance")</f>
        <v>professional electrical maintenance</v>
      </c>
      <c r="U2842" s="4"/>
      <c r="V2842" s="4"/>
      <c r="W2842" s="4"/>
      <c r="X2842" s="4"/>
      <c r="Y2842" s="4"/>
      <c r="Z2842" s="4"/>
    </row>
    <row r="2843" ht="15.75" customHeight="1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 t="str">
        <f>IFERROR(__xludf.DUMMYFUNCTION("""COMPUTED_VALUE"""),"professional electrical repairs")</f>
        <v>professional electrical repairs</v>
      </c>
      <c r="U2843" s="4"/>
      <c r="V2843" s="4"/>
      <c r="W2843" s="4"/>
      <c r="X2843" s="4"/>
      <c r="Y2843" s="4"/>
      <c r="Z2843" s="4"/>
    </row>
    <row r="2844" ht="15.75" customHeight="1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 t="str">
        <f>IFERROR(__xludf.DUMMYFUNCTION("""COMPUTED_VALUE"""),"professional electrical services")</f>
        <v>professional electrical services</v>
      </c>
      <c r="U2844" s="4"/>
      <c r="V2844" s="4"/>
      <c r="W2844" s="4"/>
      <c r="X2844" s="4"/>
      <c r="Y2844" s="4"/>
      <c r="Z2844" s="4"/>
    </row>
    <row r="2845" ht="15.75" customHeight="1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 t="str">
        <f>IFERROR(__xludf.DUMMYFUNCTION("""COMPUTED_VALUE"""),"professional electrician cape town")</f>
        <v>professional electrician cape town</v>
      </c>
      <c r="U2845" s="4"/>
      <c r="V2845" s="4"/>
      <c r="W2845" s="4"/>
      <c r="X2845" s="4"/>
      <c r="Y2845" s="4"/>
      <c r="Z2845" s="4"/>
    </row>
    <row r="2846" ht="15.75" customHeight="1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 t="str">
        <f>IFERROR(__xludf.DUMMYFUNCTION("""COMPUTED_VALUE"""),"professional emergency electrician")</f>
        <v>professional emergency electrician</v>
      </c>
      <c r="U2846" s="4"/>
      <c r="V2846" s="4"/>
      <c r="W2846" s="4"/>
      <c r="X2846" s="4"/>
      <c r="Y2846" s="4"/>
      <c r="Z2846" s="4"/>
    </row>
    <row r="2847" ht="15.75" customHeight="1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 t="str">
        <f>IFERROR(__xludf.DUMMYFUNCTION("""COMPUTED_VALUE"""),"professional emergency plumber")</f>
        <v>professional emergency plumber</v>
      </c>
      <c r="U2847" s="4"/>
      <c r="V2847" s="4"/>
      <c r="W2847" s="4"/>
      <c r="X2847" s="4"/>
      <c r="Y2847" s="4"/>
      <c r="Z2847" s="4"/>
    </row>
    <row r="2848" ht="15.75" customHeight="1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 t="str">
        <f>IFERROR(__xludf.DUMMYFUNCTION("""COMPUTED_VALUE"""),"professional fridge repair")</f>
        <v>professional fridge repair</v>
      </c>
      <c r="U2848" s="4"/>
      <c r="V2848" s="4"/>
      <c r="W2848" s="4"/>
      <c r="X2848" s="4"/>
      <c r="Y2848" s="4"/>
      <c r="Z2848" s="4"/>
    </row>
    <row r="2849" ht="15.75" customHeight="1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 t="str">
        <f>IFERROR(__xludf.DUMMYFUNCTION("""COMPUTED_VALUE"""),"professional HVAC services")</f>
        <v>professional HVAC services</v>
      </c>
      <c r="U2849" s="4"/>
      <c r="V2849" s="4"/>
      <c r="W2849" s="4"/>
      <c r="X2849" s="4"/>
      <c r="Y2849" s="4"/>
      <c r="Z2849" s="4"/>
    </row>
    <row r="2850" ht="15.75" customHeight="1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 t="str">
        <f>IFERROR(__xludf.DUMMYFUNCTION("""COMPUTED_VALUE"""),"professional kitchen plumbing repair")</f>
        <v>professional kitchen plumbing repair</v>
      </c>
      <c r="U2850" s="4"/>
      <c r="V2850" s="4"/>
      <c r="W2850" s="4"/>
      <c r="X2850" s="4"/>
      <c r="Y2850" s="4"/>
      <c r="Z2850" s="4"/>
    </row>
    <row r="2851" ht="15.75" customHeight="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 t="str">
        <f>IFERROR(__xludf.DUMMYFUNCTION("""COMPUTED_VALUE"""),"professional leaking pipe repair")</f>
        <v>professional leaking pipe repair</v>
      </c>
      <c r="U2851" s="4"/>
      <c r="V2851" s="4"/>
      <c r="W2851" s="4"/>
      <c r="X2851" s="4"/>
      <c r="Y2851" s="4"/>
      <c r="Z2851" s="4"/>
    </row>
    <row r="2852" ht="15.75" customHeight="1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 t="str">
        <f>IFERROR(__xludf.DUMMYFUNCTION("""COMPUTED_VALUE"""),"professional leaking tap repair")</f>
        <v>professional leaking tap repair</v>
      </c>
      <c r="U2852" s="4"/>
      <c r="V2852" s="4"/>
      <c r="W2852" s="4"/>
      <c r="X2852" s="4"/>
      <c r="Y2852" s="4"/>
      <c r="Z2852" s="4"/>
    </row>
    <row r="2853" ht="15.75" customHeight="1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 t="str">
        <f>IFERROR(__xludf.DUMMYFUNCTION("""COMPUTED_VALUE"""),"professional maintenance plumber")</f>
        <v>professional maintenance plumber</v>
      </c>
      <c r="U2853" s="4"/>
      <c r="V2853" s="4"/>
      <c r="W2853" s="4"/>
      <c r="X2853" s="4"/>
      <c r="Y2853" s="4"/>
      <c r="Z2853" s="4"/>
    </row>
    <row r="2854" ht="15.75" customHeight="1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 t="str">
        <f>IFERROR(__xludf.DUMMYFUNCTION("""COMPUTED_VALUE"""),"professional plumber cape town")</f>
        <v>professional plumber cape town</v>
      </c>
      <c r="U2854" s="4"/>
      <c r="V2854" s="4"/>
      <c r="W2854" s="4"/>
      <c r="X2854" s="4"/>
      <c r="Y2854" s="4"/>
      <c r="Z2854" s="4"/>
    </row>
    <row r="2855" ht="15.75" customHeight="1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 t="str">
        <f>IFERROR(__xludf.DUMMYFUNCTION("""COMPUTED_VALUE"""),"professional plumbing company")</f>
        <v>professional plumbing company</v>
      </c>
      <c r="U2855" s="4"/>
      <c r="V2855" s="4"/>
      <c r="W2855" s="4"/>
      <c r="X2855" s="4"/>
      <c r="Y2855" s="4"/>
      <c r="Z2855" s="4"/>
    </row>
    <row r="2856" ht="15.75" customHeight="1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 t="str">
        <f>IFERROR(__xludf.DUMMYFUNCTION("""COMPUTED_VALUE"""),"professional plumbing contractors")</f>
        <v>professional plumbing contractors</v>
      </c>
      <c r="U2856" s="4"/>
      <c r="V2856" s="4"/>
      <c r="W2856" s="4"/>
      <c r="X2856" s="4"/>
      <c r="Y2856" s="4"/>
      <c r="Z2856" s="4"/>
    </row>
    <row r="2857" ht="15.75" customHeight="1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 t="str">
        <f>IFERROR(__xludf.DUMMYFUNCTION("""COMPUTED_VALUE"""),"professional plumbing inspection")</f>
        <v>professional plumbing inspection</v>
      </c>
      <c r="U2857" s="4"/>
      <c r="V2857" s="4"/>
      <c r="W2857" s="4"/>
      <c r="X2857" s="4"/>
      <c r="Y2857" s="4"/>
      <c r="Z2857" s="4"/>
    </row>
    <row r="2858" ht="15.75" customHeight="1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 t="str">
        <f>IFERROR(__xludf.DUMMYFUNCTION("""COMPUTED_VALUE"""),"professional plumbing installation")</f>
        <v>professional plumbing installation</v>
      </c>
      <c r="U2858" s="4"/>
      <c r="V2858" s="4"/>
      <c r="W2858" s="4"/>
      <c r="X2858" s="4"/>
      <c r="Y2858" s="4"/>
      <c r="Z2858" s="4"/>
    </row>
    <row r="2859" ht="15.75" customHeight="1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 t="str">
        <f>IFERROR(__xludf.DUMMYFUNCTION("""COMPUTED_VALUE"""),"professional plumbing repairs")</f>
        <v>professional plumbing repairs</v>
      </c>
      <c r="U2859" s="4"/>
      <c r="V2859" s="4"/>
      <c r="W2859" s="4"/>
      <c r="X2859" s="4"/>
      <c r="Y2859" s="4"/>
      <c r="Z2859" s="4"/>
    </row>
    <row r="2860" ht="15.75" customHeight="1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 t="str">
        <f>IFERROR(__xludf.DUMMYFUNCTION("""COMPUTED_VALUE"""),"professional plumbing services")</f>
        <v>professional plumbing services</v>
      </c>
      <c r="U2860" s="4"/>
      <c r="V2860" s="4"/>
      <c r="W2860" s="4"/>
      <c r="X2860" s="4"/>
      <c r="Y2860" s="4"/>
      <c r="Z2860" s="4"/>
    </row>
    <row r="2861" ht="15.75" customHeight="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 t="str">
        <f>IFERROR(__xludf.DUMMYFUNCTION("""COMPUTED_VALUE"""),"professional refrigeration repair")</f>
        <v>professional refrigeration repair</v>
      </c>
      <c r="U2861" s="4"/>
      <c r="V2861" s="4"/>
      <c r="W2861" s="4"/>
      <c r="X2861" s="4"/>
      <c r="Y2861" s="4"/>
      <c r="Z2861" s="4"/>
    </row>
    <row r="2862" ht="15.75" customHeight="1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 t="str">
        <f>IFERROR(__xludf.DUMMYFUNCTION("""COMPUTED_VALUE"""),"professional residential electrician")</f>
        <v>professional residential electrician</v>
      </c>
      <c r="U2862" s="4"/>
      <c r="V2862" s="4"/>
      <c r="W2862" s="4"/>
      <c r="X2862" s="4"/>
      <c r="Y2862" s="4"/>
      <c r="Z2862" s="4"/>
    </row>
    <row r="2863" ht="15.75" customHeight="1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 t="str">
        <f>IFERROR(__xludf.DUMMYFUNCTION("""COMPUTED_VALUE"""),"professional residential plumber")</f>
        <v>professional residential plumber</v>
      </c>
      <c r="U2863" s="4"/>
      <c r="V2863" s="4"/>
      <c r="W2863" s="4"/>
      <c r="X2863" s="4"/>
      <c r="Y2863" s="4"/>
      <c r="Z2863" s="4"/>
    </row>
    <row r="2864" ht="15.75" customHeight="1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 t="str">
        <f>IFERROR(__xludf.DUMMYFUNCTION("""COMPUTED_VALUE"""),"professional toilet repair")</f>
        <v>professional toilet repair</v>
      </c>
      <c r="U2864" s="4"/>
      <c r="V2864" s="4"/>
      <c r="W2864" s="4"/>
      <c r="X2864" s="4"/>
      <c r="Y2864" s="4"/>
      <c r="Z2864" s="4"/>
    </row>
    <row r="2865" ht="15.75" customHeight="1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 t="str">
        <f>IFERROR(__xludf.DUMMYFUNCTION("""COMPUTED_VALUE"""),"professional water leak repair")</f>
        <v>professional water leak repair</v>
      </c>
      <c r="U2865" s="4"/>
      <c r="V2865" s="4"/>
      <c r="W2865" s="4"/>
      <c r="X2865" s="4"/>
      <c r="Y2865" s="4"/>
      <c r="Z2865" s="4"/>
    </row>
    <row r="2866" ht="15.75" customHeight="1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 t="str">
        <f>IFERROR(__xludf.DUMMYFUNCTION("""COMPUTED_VALUE"""),"property manager air conditioning services")</f>
        <v>property manager air conditioning services</v>
      </c>
      <c r="U2866" s="4"/>
      <c r="V2866" s="4"/>
      <c r="W2866" s="4"/>
      <c r="X2866" s="4"/>
      <c r="Y2866" s="4"/>
      <c r="Z2866" s="4"/>
    </row>
    <row r="2867" ht="15.75" customHeight="1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 t="str">
        <f>IFERROR(__xludf.DUMMYFUNCTION("""COMPUTED_VALUE"""),"property manager drain cleaning")</f>
        <v>property manager drain cleaning</v>
      </c>
      <c r="U2867" s="4"/>
      <c r="V2867" s="4"/>
      <c r="W2867" s="4"/>
      <c r="X2867" s="4"/>
      <c r="Y2867" s="4"/>
      <c r="Z2867" s="4"/>
    </row>
    <row r="2868" ht="15.75" customHeight="1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 t="str">
        <f>IFERROR(__xludf.DUMMYFUNCTION("""COMPUTED_VALUE"""),"property manager electrical repairs")</f>
        <v>property manager electrical repairs</v>
      </c>
      <c r="U2868" s="4"/>
      <c r="V2868" s="4"/>
      <c r="W2868" s="4"/>
      <c r="X2868" s="4"/>
      <c r="Y2868" s="4"/>
      <c r="Z2868" s="4"/>
    </row>
    <row r="2869" ht="15.75" customHeight="1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 t="str">
        <f>IFERROR(__xludf.DUMMYFUNCTION("""COMPUTED_VALUE"""),"property manager emergency plumbing")</f>
        <v>property manager emergency plumbing</v>
      </c>
      <c r="U2869" s="4"/>
      <c r="V2869" s="4"/>
      <c r="W2869" s="4"/>
      <c r="X2869" s="4"/>
      <c r="Y2869" s="4"/>
      <c r="Z2869" s="4"/>
    </row>
    <row r="2870" ht="15.75" customHeight="1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 t="str">
        <f>IFERROR(__xludf.DUMMYFUNCTION("""COMPUTED_VALUE"""),"property manager geyser repairs")</f>
        <v>property manager geyser repairs</v>
      </c>
      <c r="U2870" s="4"/>
      <c r="V2870" s="4"/>
      <c r="W2870" s="4"/>
      <c r="X2870" s="4"/>
      <c r="Y2870" s="4"/>
      <c r="Z2870" s="4"/>
    </row>
    <row r="2871" ht="15.75" customHeight="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 t="str">
        <f>IFERROR(__xludf.DUMMYFUNCTION("""COMPUTED_VALUE"""),"property manager leak detection")</f>
        <v>property manager leak detection</v>
      </c>
      <c r="U2871" s="4"/>
      <c r="V2871" s="4"/>
      <c r="W2871" s="4"/>
      <c r="X2871" s="4"/>
      <c r="Y2871" s="4"/>
      <c r="Z2871" s="4"/>
    </row>
    <row r="2872" ht="15.75" customHeight="1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 t="str">
        <f>IFERROR(__xludf.DUMMYFUNCTION("""COMPUTED_VALUE"""),"property manager maintenance plumber")</f>
        <v>property manager maintenance plumber</v>
      </c>
      <c r="U2872" s="4"/>
      <c r="V2872" s="4"/>
      <c r="W2872" s="4"/>
      <c r="X2872" s="4"/>
      <c r="Y2872" s="4"/>
      <c r="Z2872" s="4"/>
    </row>
    <row r="2873" ht="15.75" customHeight="1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 t="str">
        <f>IFERROR(__xludf.DUMMYFUNCTION("""COMPUTED_VALUE"""),"property manager plumbing company")</f>
        <v>property manager plumbing company</v>
      </c>
      <c r="U2873" s="4"/>
      <c r="V2873" s="4"/>
      <c r="W2873" s="4"/>
      <c r="X2873" s="4"/>
      <c r="Y2873" s="4"/>
      <c r="Z2873" s="4"/>
    </row>
    <row r="2874" ht="15.75" customHeight="1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 t="str">
        <f>IFERROR(__xludf.DUMMYFUNCTION("""COMPUTED_VALUE"""),"property manager plumbing services")</f>
        <v>property manager plumbing services</v>
      </c>
      <c r="U2874" s="4"/>
      <c r="V2874" s="4"/>
      <c r="W2874" s="4"/>
      <c r="X2874" s="4"/>
      <c r="Y2874" s="4"/>
      <c r="Z2874" s="4"/>
    </row>
    <row r="2875" ht="15.75" customHeight="1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 t="str">
        <f>IFERROR(__xludf.DUMMYFUNCTION("""COMPUTED_VALUE"""),"property manager refrigeration services")</f>
        <v>property manager refrigeration services</v>
      </c>
      <c r="U2875" s="4"/>
      <c r="V2875" s="4"/>
      <c r="W2875" s="4"/>
      <c r="X2875" s="4"/>
      <c r="Y2875" s="4"/>
      <c r="Z2875" s="4"/>
    </row>
    <row r="2876" ht="15.75" customHeight="1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 t="str">
        <f>IFERROR(__xludf.DUMMYFUNCTION("""COMPUTED_VALUE"""),"qualified absolute plumbing cape town")</f>
        <v>qualified absolute plumbing cape town</v>
      </c>
      <c r="U2876" s="4"/>
      <c r="V2876" s="4"/>
      <c r="W2876" s="4"/>
      <c r="X2876" s="4"/>
      <c r="Y2876" s="4"/>
      <c r="Z2876" s="4"/>
    </row>
    <row r="2877" ht="15.75" customHeight="1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 t="str">
        <f>IFERROR(__xludf.DUMMYFUNCTION("""COMPUTED_VALUE"""),"qualified aircon repair cape town")</f>
        <v>qualified aircon repair cape town</v>
      </c>
      <c r="U2877" s="4"/>
      <c r="V2877" s="4"/>
      <c r="W2877" s="4"/>
      <c r="X2877" s="4"/>
      <c r="Y2877" s="4"/>
      <c r="Z2877" s="4"/>
    </row>
    <row r="2878" ht="15.75" customHeight="1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 t="str">
        <f>IFERROR(__xludf.DUMMYFUNCTION("""COMPUTED_VALUE"""),"qualified bosman plumbers")</f>
        <v>qualified bosman plumbers</v>
      </c>
      <c r="U2878" s="4"/>
      <c r="V2878" s="4"/>
      <c r="W2878" s="4"/>
      <c r="X2878" s="4"/>
      <c r="Y2878" s="4"/>
      <c r="Z2878" s="4"/>
    </row>
    <row r="2879" ht="15.75" customHeight="1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 t="str">
        <f>IFERROR(__xludf.DUMMYFUNCTION("""COMPUTED_VALUE"""),"qualified commercial electrician")</f>
        <v>qualified commercial electrician</v>
      </c>
      <c r="U2879" s="4"/>
      <c r="V2879" s="4"/>
      <c r="W2879" s="4"/>
      <c r="X2879" s="4"/>
      <c r="Y2879" s="4"/>
      <c r="Z2879" s="4"/>
    </row>
    <row r="2880" ht="15.75" customHeight="1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 t="str">
        <f>IFERROR(__xludf.DUMMYFUNCTION("""COMPUTED_VALUE"""),"qualified commercial plumber")</f>
        <v>qualified commercial plumber</v>
      </c>
      <c r="U2880" s="4"/>
      <c r="V2880" s="4"/>
      <c r="W2880" s="4"/>
      <c r="X2880" s="4"/>
      <c r="Y2880" s="4"/>
      <c r="Z2880" s="4"/>
    </row>
    <row r="2881" ht="15.75" customHeight="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 t="str">
        <f>IFERROR(__xludf.DUMMYFUNCTION("""COMPUTED_VALUE"""),"qualified drain surgeon cape town")</f>
        <v>qualified drain surgeon cape town</v>
      </c>
      <c r="U2881" s="4"/>
      <c r="V2881" s="4"/>
      <c r="W2881" s="4"/>
      <c r="X2881" s="4"/>
      <c r="Y2881" s="4"/>
      <c r="Z2881" s="4"/>
    </row>
    <row r="2882" ht="15.75" customHeight="1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 t="str">
        <f>IFERROR(__xludf.DUMMYFUNCTION("""COMPUTED_VALUE"""),"qualified electrical compliance certificate")</f>
        <v>qualified electrical compliance certificate</v>
      </c>
      <c r="U2882" s="4"/>
      <c r="V2882" s="4"/>
      <c r="W2882" s="4"/>
      <c r="X2882" s="4"/>
      <c r="Y2882" s="4"/>
      <c r="Z2882" s="4"/>
    </row>
    <row r="2883" ht="15.75" customHeight="1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 t="str">
        <f>IFERROR(__xludf.DUMMYFUNCTION("""COMPUTED_VALUE"""),"qualified electrical contractor")</f>
        <v>qualified electrical contractor</v>
      </c>
      <c r="U2883" s="4"/>
      <c r="V2883" s="4"/>
      <c r="W2883" s="4"/>
      <c r="X2883" s="4"/>
      <c r="Y2883" s="4"/>
      <c r="Z2883" s="4"/>
    </row>
    <row r="2884" ht="15.75" customHeight="1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 t="str">
        <f>IFERROR(__xludf.DUMMYFUNCTION("""COMPUTED_VALUE"""),"qualified electrical installation")</f>
        <v>qualified electrical installation</v>
      </c>
      <c r="U2884" s="4"/>
      <c r="V2884" s="4"/>
      <c r="W2884" s="4"/>
      <c r="X2884" s="4"/>
      <c r="Y2884" s="4"/>
      <c r="Z2884" s="4"/>
    </row>
    <row r="2885" ht="15.75" customHeight="1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 t="str">
        <f>IFERROR(__xludf.DUMMYFUNCTION("""COMPUTED_VALUE"""),"qualified electrical maintenance")</f>
        <v>qualified electrical maintenance</v>
      </c>
      <c r="U2885" s="4"/>
      <c r="V2885" s="4"/>
      <c r="W2885" s="4"/>
      <c r="X2885" s="4"/>
      <c r="Y2885" s="4"/>
      <c r="Z2885" s="4"/>
    </row>
    <row r="2886" ht="15.75" customHeight="1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 t="str">
        <f>IFERROR(__xludf.DUMMYFUNCTION("""COMPUTED_VALUE"""),"qualified electrical repairs")</f>
        <v>qualified electrical repairs</v>
      </c>
      <c r="U2886" s="4"/>
      <c r="V2886" s="4"/>
      <c r="W2886" s="4"/>
      <c r="X2886" s="4"/>
      <c r="Y2886" s="4"/>
      <c r="Z2886" s="4"/>
    </row>
    <row r="2887" ht="15.75" customHeight="1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 t="str">
        <f>IFERROR(__xludf.DUMMYFUNCTION("""COMPUTED_VALUE"""),"qualified electrical services")</f>
        <v>qualified electrical services</v>
      </c>
      <c r="U2887" s="4"/>
      <c r="V2887" s="4"/>
      <c r="W2887" s="4"/>
      <c r="X2887" s="4"/>
      <c r="Y2887" s="4"/>
      <c r="Z2887" s="4"/>
    </row>
    <row r="2888" ht="15.75" customHeight="1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 t="str">
        <f>IFERROR(__xludf.DUMMYFUNCTION("""COMPUTED_VALUE"""),"qualified electrician cape town")</f>
        <v>qualified electrician cape town</v>
      </c>
      <c r="U2888" s="4"/>
      <c r="V2888" s="4"/>
      <c r="W2888" s="4"/>
      <c r="X2888" s="4"/>
      <c r="Y2888" s="4"/>
      <c r="Z2888" s="4"/>
    </row>
    <row r="2889" ht="15.75" customHeight="1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 t="str">
        <f>IFERROR(__xludf.DUMMYFUNCTION("""COMPUTED_VALUE"""),"qualified emergency electrician")</f>
        <v>qualified emergency electrician</v>
      </c>
      <c r="U2889" s="4"/>
      <c r="V2889" s="4"/>
      <c r="W2889" s="4"/>
      <c r="X2889" s="4"/>
      <c r="Y2889" s="4"/>
      <c r="Z2889" s="4"/>
    </row>
    <row r="2890" ht="15.75" customHeight="1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 t="str">
        <f>IFERROR(__xludf.DUMMYFUNCTION("""COMPUTED_VALUE"""),"qualified emergency plumber cape town")</f>
        <v>qualified emergency plumber cape town</v>
      </c>
      <c r="U2890" s="4"/>
      <c r="V2890" s="4"/>
      <c r="W2890" s="4"/>
      <c r="X2890" s="4"/>
      <c r="Y2890" s="4"/>
      <c r="Z2890" s="4"/>
    </row>
    <row r="2891" ht="15.75" customHeight="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 t="str">
        <f>IFERROR(__xludf.DUMMYFUNCTION("""COMPUTED_VALUE"""),"qualified maintenance plumber")</f>
        <v>qualified maintenance plumber</v>
      </c>
      <c r="U2891" s="4"/>
      <c r="V2891" s="4"/>
      <c r="W2891" s="4"/>
      <c r="X2891" s="4"/>
      <c r="Y2891" s="4"/>
      <c r="Z2891" s="4"/>
    </row>
    <row r="2892" ht="15.75" customHeight="1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 t="str">
        <f>IFERROR(__xludf.DUMMYFUNCTION("""COMPUTED_VALUE"""),"qualified plumber cape town")</f>
        <v>qualified plumber cape town</v>
      </c>
      <c r="U2892" s="4"/>
      <c r="V2892" s="4"/>
      <c r="W2892" s="4"/>
      <c r="X2892" s="4"/>
      <c r="Y2892" s="4"/>
      <c r="Z2892" s="4"/>
    </row>
    <row r="2893" ht="15.75" customHeight="1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 t="str">
        <f>IFERROR(__xludf.DUMMYFUNCTION("""COMPUTED_VALUE"""),"qualified plumber near me")</f>
        <v>qualified plumber near me</v>
      </c>
      <c r="U2893" s="4"/>
      <c r="V2893" s="4"/>
      <c r="W2893" s="4"/>
      <c r="X2893" s="4"/>
      <c r="Y2893" s="4"/>
      <c r="Z2893" s="4"/>
    </row>
    <row r="2894" ht="15.75" customHeight="1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 t="str">
        <f>IFERROR(__xludf.DUMMYFUNCTION("""COMPUTED_VALUE"""),"qualified plumbers cape town")</f>
        <v>qualified plumbers cape town</v>
      </c>
      <c r="U2894" s="4"/>
      <c r="V2894" s="4"/>
      <c r="W2894" s="4"/>
      <c r="X2894" s="4"/>
      <c r="Y2894" s="4"/>
      <c r="Z2894" s="4"/>
    </row>
    <row r="2895" ht="15.75" customHeight="1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 t="str">
        <f>IFERROR(__xludf.DUMMYFUNCTION("""COMPUTED_VALUE"""),"qualified plumbing company")</f>
        <v>qualified plumbing company</v>
      </c>
      <c r="U2895" s="4"/>
      <c r="V2895" s="4"/>
      <c r="W2895" s="4"/>
      <c r="X2895" s="4"/>
      <c r="Y2895" s="4"/>
      <c r="Z2895" s="4"/>
    </row>
    <row r="2896" ht="15.75" customHeight="1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 t="str">
        <f>IFERROR(__xludf.DUMMYFUNCTION("""COMPUTED_VALUE"""),"qualified plumbing company cape town")</f>
        <v>qualified plumbing company cape town</v>
      </c>
      <c r="U2896" s="4"/>
      <c r="V2896" s="4"/>
      <c r="W2896" s="4"/>
      <c r="X2896" s="4"/>
      <c r="Y2896" s="4"/>
      <c r="Z2896" s="4"/>
    </row>
    <row r="2897" ht="15.75" customHeight="1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 t="str">
        <f>IFERROR(__xludf.DUMMYFUNCTION("""COMPUTED_VALUE"""),"qualified plumbing contractors")</f>
        <v>qualified plumbing contractors</v>
      </c>
      <c r="U2897" s="4"/>
      <c r="V2897" s="4"/>
      <c r="W2897" s="4"/>
      <c r="X2897" s="4"/>
      <c r="Y2897" s="4"/>
      <c r="Z2897" s="4"/>
    </row>
    <row r="2898" ht="15.75" customHeight="1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 t="str">
        <f>IFERROR(__xludf.DUMMYFUNCTION("""COMPUTED_VALUE"""),"qualified plumbing inspection")</f>
        <v>qualified plumbing inspection</v>
      </c>
      <c r="U2898" s="4"/>
      <c r="V2898" s="4"/>
      <c r="W2898" s="4"/>
      <c r="X2898" s="4"/>
      <c r="Y2898" s="4"/>
      <c r="Z2898" s="4"/>
    </row>
    <row r="2899" ht="15.75" customHeight="1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 t="str">
        <f>IFERROR(__xludf.DUMMYFUNCTION("""COMPUTED_VALUE"""),"qualified plumbing installation")</f>
        <v>qualified plumbing installation</v>
      </c>
      <c r="U2899" s="4"/>
      <c r="V2899" s="4"/>
      <c r="W2899" s="4"/>
      <c r="X2899" s="4"/>
      <c r="Y2899" s="4"/>
      <c r="Z2899" s="4"/>
    </row>
    <row r="2900" ht="15.75" customHeight="1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 t="str">
        <f>IFERROR(__xludf.DUMMYFUNCTION("""COMPUTED_VALUE"""),"qualified plumbing repairs")</f>
        <v>qualified plumbing repairs</v>
      </c>
      <c r="U2900" s="4"/>
      <c r="V2900" s="4"/>
      <c r="W2900" s="4"/>
      <c r="X2900" s="4"/>
      <c r="Y2900" s="4"/>
      <c r="Z2900" s="4"/>
    </row>
    <row r="2901" ht="15.75" customHeight="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 t="str">
        <f>IFERROR(__xludf.DUMMYFUNCTION("""COMPUTED_VALUE"""),"qualified plumbing services")</f>
        <v>qualified plumbing services</v>
      </c>
      <c r="U2901" s="4"/>
      <c r="V2901" s="4"/>
      <c r="W2901" s="4"/>
      <c r="X2901" s="4"/>
      <c r="Y2901" s="4"/>
      <c r="Z2901" s="4"/>
    </row>
    <row r="2902" ht="15.75" customHeight="1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 t="str">
        <f>IFERROR(__xludf.DUMMYFUNCTION("""COMPUTED_VALUE"""),"qualified residential electrician")</f>
        <v>qualified residential electrician</v>
      </c>
      <c r="U2902" s="4"/>
      <c r="V2902" s="4"/>
      <c r="W2902" s="4"/>
      <c r="X2902" s="4"/>
      <c r="Y2902" s="4"/>
      <c r="Z2902" s="4"/>
    </row>
    <row r="2903" ht="15.75" customHeight="1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 t="str">
        <f>IFERROR(__xludf.DUMMYFUNCTION("""COMPUTED_VALUE"""),"qualified residential plumber")</f>
        <v>qualified residential plumber</v>
      </c>
      <c r="U2903" s="4"/>
      <c r="V2903" s="4"/>
      <c r="W2903" s="4"/>
      <c r="X2903" s="4"/>
      <c r="Y2903" s="4"/>
      <c r="Z2903" s="4"/>
    </row>
    <row r="2904" ht="15.75" customHeight="1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 t="str">
        <f>IFERROR(__xludf.DUMMYFUNCTION("""COMPUTED_VALUE"""),"qualified schmidhauser plumbing")</f>
        <v>qualified schmidhauser plumbing</v>
      </c>
      <c r="U2904" s="4"/>
      <c r="V2904" s="4"/>
      <c r="W2904" s="4"/>
      <c r="X2904" s="4"/>
      <c r="Y2904" s="4"/>
      <c r="Z2904" s="4"/>
    </row>
    <row r="2905" ht="15.75" customHeight="1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 t="str">
        <f>IFERROR(__xludf.DUMMYFUNCTION("""COMPUTED_VALUE"""),"quote 24 hour plumber")</f>
        <v>quote 24 hour plumber</v>
      </c>
      <c r="U2905" s="4"/>
      <c r="V2905" s="4"/>
      <c r="W2905" s="4"/>
      <c r="X2905" s="4"/>
      <c r="Y2905" s="4"/>
      <c r="Z2905" s="4"/>
    </row>
    <row r="2906" ht="15.75" customHeight="1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 t="str">
        <f>IFERROR(__xludf.DUMMYFUNCTION("""COMPUTED_VALUE"""),"quote absolute plumbing cape town")</f>
        <v>quote absolute plumbing cape town</v>
      </c>
      <c r="U2906" s="4"/>
      <c r="V2906" s="4"/>
      <c r="W2906" s="4"/>
      <c r="X2906" s="4"/>
      <c r="Y2906" s="4"/>
      <c r="Z2906" s="4"/>
    </row>
    <row r="2907" ht="15.75" customHeight="1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 t="str">
        <f>IFERROR(__xludf.DUMMYFUNCTION("""COMPUTED_VALUE"""),"quote air conditioning")</f>
        <v>quote air conditioning</v>
      </c>
      <c r="U2907" s="4"/>
      <c r="V2907" s="4"/>
      <c r="W2907" s="4"/>
      <c r="X2907" s="4"/>
      <c r="Y2907" s="4"/>
      <c r="Z2907" s="4"/>
    </row>
    <row r="2908" ht="15.75" customHeight="1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 t="str">
        <f>IFERROR(__xludf.DUMMYFUNCTION("""COMPUTED_VALUE"""),"quote air conditioning repair")</f>
        <v>quote air conditioning repair</v>
      </c>
      <c r="U2908" s="4"/>
      <c r="V2908" s="4"/>
      <c r="W2908" s="4"/>
      <c r="X2908" s="4"/>
      <c r="Y2908" s="4"/>
      <c r="Z2908" s="4"/>
    </row>
    <row r="2909" ht="15.75" customHeight="1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 t="str">
        <f>IFERROR(__xludf.DUMMYFUNCTION("""COMPUTED_VALUE"""),"quote aircon installation")</f>
        <v>quote aircon installation</v>
      </c>
      <c r="U2909" s="4"/>
      <c r="V2909" s="4"/>
      <c r="W2909" s="4"/>
      <c r="X2909" s="4"/>
      <c r="Y2909" s="4"/>
      <c r="Z2909" s="4"/>
    </row>
    <row r="2910" ht="15.75" customHeight="1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 t="str">
        <f>IFERROR(__xludf.DUMMYFUNCTION("""COMPUTED_VALUE"""),"quote aircon repair")</f>
        <v>quote aircon repair</v>
      </c>
      <c r="U2910" s="4"/>
      <c r="V2910" s="4"/>
      <c r="W2910" s="4"/>
      <c r="X2910" s="4"/>
      <c r="Y2910" s="4"/>
      <c r="Z2910" s="4"/>
    </row>
    <row r="2911" ht="15.75" customHeight="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 t="str">
        <f>IFERROR(__xludf.DUMMYFUNCTION("""COMPUTED_VALUE"""),"quote aircon repair cape town")</f>
        <v>quote aircon repair cape town</v>
      </c>
      <c r="U2911" s="4"/>
      <c r="V2911" s="4"/>
      <c r="W2911" s="4"/>
      <c r="X2911" s="4"/>
      <c r="Y2911" s="4"/>
      <c r="Z2911" s="4"/>
    </row>
    <row r="2912" ht="15.75" customHeight="1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 t="str">
        <f>IFERROR(__xludf.DUMMYFUNCTION("""COMPUTED_VALUE"""),"quote aircon service")</f>
        <v>quote aircon service</v>
      </c>
      <c r="U2912" s="4"/>
      <c r="V2912" s="4"/>
      <c r="W2912" s="4"/>
      <c r="X2912" s="4"/>
      <c r="Y2912" s="4"/>
      <c r="Z2912" s="4"/>
    </row>
    <row r="2913" ht="15.75" customHeight="1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 t="str">
        <f>IFERROR(__xludf.DUMMYFUNCTION("""COMPUTED_VALUE"""),"quote bathroom plumbing repair")</f>
        <v>quote bathroom plumbing repair</v>
      </c>
      <c r="U2913" s="4"/>
      <c r="V2913" s="4"/>
      <c r="W2913" s="4"/>
      <c r="X2913" s="4"/>
      <c r="Y2913" s="4"/>
      <c r="Z2913" s="4"/>
    </row>
    <row r="2914" ht="15.75" customHeight="1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 t="str">
        <f>IFERROR(__xludf.DUMMYFUNCTION("""COMPUTED_VALUE"""),"quote blocked drain")</f>
        <v>quote blocked drain</v>
      </c>
      <c r="U2914" s="4"/>
      <c r="V2914" s="4"/>
      <c r="W2914" s="4"/>
      <c r="X2914" s="4"/>
      <c r="Y2914" s="4"/>
      <c r="Z2914" s="4"/>
    </row>
    <row r="2915" ht="15.75" customHeight="1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 t="str">
        <f>IFERROR(__xludf.DUMMYFUNCTION("""COMPUTED_VALUE"""),"quote blocked toilet plumber")</f>
        <v>quote blocked toilet plumber</v>
      </c>
      <c r="U2915" s="4"/>
      <c r="V2915" s="4"/>
      <c r="W2915" s="4"/>
      <c r="X2915" s="4"/>
      <c r="Y2915" s="4"/>
      <c r="Z2915" s="4"/>
    </row>
    <row r="2916" ht="15.75" customHeight="1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 t="str">
        <f>IFERROR(__xludf.DUMMYFUNCTION("""COMPUTED_VALUE"""),"quote bosman plumbers")</f>
        <v>quote bosman plumbers</v>
      </c>
      <c r="U2916" s="4"/>
      <c r="V2916" s="4"/>
      <c r="W2916" s="4"/>
      <c r="X2916" s="4"/>
      <c r="Y2916" s="4"/>
      <c r="Z2916" s="4"/>
    </row>
    <row r="2917" ht="15.75" customHeight="1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 t="str">
        <f>IFERROR(__xludf.DUMMYFUNCTION("""COMPUTED_VALUE"""),"quote burst geyser")</f>
        <v>quote burst geyser</v>
      </c>
      <c r="U2917" s="4"/>
      <c r="V2917" s="4"/>
      <c r="W2917" s="4"/>
      <c r="X2917" s="4"/>
      <c r="Y2917" s="4"/>
      <c r="Z2917" s="4"/>
    </row>
    <row r="2918" ht="15.75" customHeight="1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 t="str">
        <f>IFERROR(__xludf.DUMMYFUNCTION("""COMPUTED_VALUE"""),"quote burst pipe repair")</f>
        <v>quote burst pipe repair</v>
      </c>
      <c r="U2918" s="4"/>
      <c r="V2918" s="4"/>
      <c r="W2918" s="4"/>
      <c r="X2918" s="4"/>
      <c r="Y2918" s="4"/>
      <c r="Z2918" s="4"/>
    </row>
    <row r="2919" ht="15.75" customHeight="1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 t="str">
        <f>IFERROR(__xludf.DUMMYFUNCTION("""COMPUTED_VALUE"""),"quote cold room repair")</f>
        <v>quote cold room repair</v>
      </c>
      <c r="U2919" s="4"/>
      <c r="V2919" s="4"/>
      <c r="W2919" s="4"/>
      <c r="X2919" s="4"/>
      <c r="Y2919" s="4"/>
      <c r="Z2919" s="4"/>
    </row>
    <row r="2920" ht="15.75" customHeight="1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 t="str">
        <f>IFERROR(__xludf.DUMMYFUNCTION("""COMPUTED_VALUE"""),"quote commercial electrician")</f>
        <v>quote commercial electrician</v>
      </c>
      <c r="U2920" s="4"/>
      <c r="V2920" s="4"/>
      <c r="W2920" s="4"/>
      <c r="X2920" s="4"/>
      <c r="Y2920" s="4"/>
      <c r="Z2920" s="4"/>
    </row>
    <row r="2921" ht="15.75" customHeight="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 t="str">
        <f>IFERROR(__xludf.DUMMYFUNCTION("""COMPUTED_VALUE"""),"quote commercial plumber")</f>
        <v>quote commercial plumber</v>
      </c>
      <c r="U2921" s="4"/>
      <c r="V2921" s="4"/>
      <c r="W2921" s="4"/>
      <c r="X2921" s="4"/>
      <c r="Y2921" s="4"/>
      <c r="Z2921" s="4"/>
    </row>
    <row r="2922" ht="15.75" customHeight="1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 t="str">
        <f>IFERROR(__xludf.DUMMYFUNCTION("""COMPUTED_VALUE"""),"quote commercial refrigeration")</f>
        <v>quote commercial refrigeration</v>
      </c>
      <c r="U2922" s="4"/>
      <c r="V2922" s="4"/>
      <c r="W2922" s="4"/>
      <c r="X2922" s="4"/>
      <c r="Y2922" s="4"/>
      <c r="Z2922" s="4"/>
    </row>
    <row r="2923" ht="15.75" customHeight="1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 t="str">
        <f>IFERROR(__xludf.DUMMYFUNCTION("""COMPUTED_VALUE"""),"quote drain cleaning")</f>
        <v>quote drain cleaning</v>
      </c>
      <c r="U2923" s="4"/>
      <c r="V2923" s="4"/>
      <c r="W2923" s="4"/>
      <c r="X2923" s="4"/>
      <c r="Y2923" s="4"/>
      <c r="Z2923" s="4"/>
    </row>
    <row r="2924" ht="15.75" customHeight="1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 t="str">
        <f>IFERROR(__xludf.DUMMYFUNCTION("""COMPUTED_VALUE"""),"quote drain inspection")</f>
        <v>quote drain inspection</v>
      </c>
      <c r="U2924" s="4"/>
      <c r="V2924" s="4"/>
      <c r="W2924" s="4"/>
      <c r="X2924" s="4"/>
      <c r="Y2924" s="4"/>
      <c r="Z2924" s="4"/>
    </row>
    <row r="2925" ht="15.75" customHeight="1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 t="str">
        <f>IFERROR(__xludf.DUMMYFUNCTION("""COMPUTED_VALUE"""),"quote drain surgeon cape town")</f>
        <v>quote drain surgeon cape town</v>
      </c>
      <c r="U2925" s="4"/>
      <c r="V2925" s="4"/>
      <c r="W2925" s="4"/>
      <c r="X2925" s="4"/>
      <c r="Y2925" s="4"/>
      <c r="Z2925" s="4"/>
    </row>
    <row r="2926" ht="15.75" customHeight="1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 t="str">
        <f>IFERROR(__xludf.DUMMYFUNCTION("""COMPUTED_VALUE"""),"quote drain unblocking")</f>
        <v>quote drain unblocking</v>
      </c>
      <c r="U2926" s="4"/>
      <c r="V2926" s="4"/>
      <c r="W2926" s="4"/>
      <c r="X2926" s="4"/>
      <c r="Y2926" s="4"/>
      <c r="Z2926" s="4"/>
    </row>
    <row r="2927" ht="15.75" customHeight="1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 t="str">
        <f>IFERROR(__xludf.DUMMYFUNCTION("""COMPUTED_VALUE"""),"quote electrical compliance certificate")</f>
        <v>quote electrical compliance certificate</v>
      </c>
      <c r="U2927" s="4"/>
      <c r="V2927" s="4"/>
      <c r="W2927" s="4"/>
      <c r="X2927" s="4"/>
      <c r="Y2927" s="4"/>
      <c r="Z2927" s="4"/>
    </row>
    <row r="2928" ht="15.75" customHeight="1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 t="str">
        <f>IFERROR(__xludf.DUMMYFUNCTION("""COMPUTED_VALUE"""),"quote electrical contractor")</f>
        <v>quote electrical contractor</v>
      </c>
      <c r="U2928" s="4"/>
      <c r="V2928" s="4"/>
      <c r="W2928" s="4"/>
      <c r="X2928" s="4"/>
      <c r="Y2928" s="4"/>
      <c r="Z2928" s="4"/>
    </row>
    <row r="2929" ht="15.75" customHeight="1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 t="str">
        <f>IFERROR(__xludf.DUMMYFUNCTION("""COMPUTED_VALUE"""),"quote electrical installation")</f>
        <v>quote electrical installation</v>
      </c>
      <c r="U2929" s="4"/>
      <c r="V2929" s="4"/>
      <c r="W2929" s="4"/>
      <c r="X2929" s="4"/>
      <c r="Y2929" s="4"/>
      <c r="Z2929" s="4"/>
    </row>
    <row r="2930" ht="15.75" customHeight="1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 t="str">
        <f>IFERROR(__xludf.DUMMYFUNCTION("""COMPUTED_VALUE"""),"quote electrical maintenance")</f>
        <v>quote electrical maintenance</v>
      </c>
      <c r="U2930" s="4"/>
      <c r="V2930" s="4"/>
      <c r="W2930" s="4"/>
      <c r="X2930" s="4"/>
      <c r="Y2930" s="4"/>
      <c r="Z2930" s="4"/>
    </row>
    <row r="2931" ht="15.75" customHeight="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 t="str">
        <f>IFERROR(__xludf.DUMMYFUNCTION("""COMPUTED_VALUE"""),"quote electrical repairs")</f>
        <v>quote electrical repairs</v>
      </c>
      <c r="U2931" s="4"/>
      <c r="V2931" s="4"/>
      <c r="W2931" s="4"/>
      <c r="X2931" s="4"/>
      <c r="Y2931" s="4"/>
      <c r="Z2931" s="4"/>
    </row>
    <row r="2932" ht="15.75" customHeight="1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 t="str">
        <f>IFERROR(__xludf.DUMMYFUNCTION("""COMPUTED_VALUE"""),"quote electrical services")</f>
        <v>quote electrical services</v>
      </c>
      <c r="U2932" s="4"/>
      <c r="V2932" s="4"/>
      <c r="W2932" s="4"/>
      <c r="X2932" s="4"/>
      <c r="Y2932" s="4"/>
      <c r="Z2932" s="4"/>
    </row>
    <row r="2933" ht="15.75" customHeight="1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 t="str">
        <f>IFERROR(__xludf.DUMMYFUNCTION("""COMPUTED_VALUE"""),"quote electrician cape town")</f>
        <v>quote electrician cape town</v>
      </c>
      <c r="U2933" s="4"/>
      <c r="V2933" s="4"/>
      <c r="W2933" s="4"/>
      <c r="X2933" s="4"/>
      <c r="Y2933" s="4"/>
      <c r="Z2933" s="4"/>
    </row>
    <row r="2934" ht="15.75" customHeight="1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 t="str">
        <f>IFERROR(__xludf.DUMMYFUNCTION("""COMPUTED_VALUE"""),"quote emergency electrician")</f>
        <v>quote emergency electrician</v>
      </c>
      <c r="U2934" s="4"/>
      <c r="V2934" s="4"/>
      <c r="W2934" s="4"/>
      <c r="X2934" s="4"/>
      <c r="Y2934" s="4"/>
      <c r="Z2934" s="4"/>
    </row>
    <row r="2935" ht="15.75" customHeight="1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 t="str">
        <f>IFERROR(__xludf.DUMMYFUNCTION("""COMPUTED_VALUE"""),"quote emergency plumber")</f>
        <v>quote emergency plumber</v>
      </c>
      <c r="U2935" s="4"/>
      <c r="V2935" s="4"/>
      <c r="W2935" s="4"/>
      <c r="X2935" s="4"/>
      <c r="Y2935" s="4"/>
      <c r="Z2935" s="4"/>
    </row>
    <row r="2936" ht="15.75" customHeight="1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 t="str">
        <f>IFERROR(__xludf.DUMMYFUNCTION("""COMPUTED_VALUE"""),"quote emergency plumber cape town")</f>
        <v>quote emergency plumber cape town</v>
      </c>
      <c r="U2936" s="4"/>
      <c r="V2936" s="4"/>
      <c r="W2936" s="4"/>
      <c r="X2936" s="4"/>
      <c r="Y2936" s="4"/>
      <c r="Z2936" s="4"/>
    </row>
    <row r="2937" ht="15.75" customHeight="1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 t="str">
        <f>IFERROR(__xludf.DUMMYFUNCTION("""COMPUTED_VALUE"""),"quote fridge repair")</f>
        <v>quote fridge repair</v>
      </c>
      <c r="U2937" s="4"/>
      <c r="V2937" s="4"/>
      <c r="W2937" s="4"/>
      <c r="X2937" s="4"/>
      <c r="Y2937" s="4"/>
      <c r="Z2937" s="4"/>
    </row>
    <row r="2938" ht="15.75" customHeight="1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 t="str">
        <f>IFERROR(__xludf.DUMMYFUNCTION("""COMPUTED_VALUE"""),"quote geyser repair")</f>
        <v>quote geyser repair</v>
      </c>
      <c r="U2938" s="4"/>
      <c r="V2938" s="4"/>
      <c r="W2938" s="4"/>
      <c r="X2938" s="4"/>
      <c r="Y2938" s="4"/>
      <c r="Z2938" s="4"/>
    </row>
    <row r="2939" ht="15.75" customHeight="1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 t="str">
        <f>IFERROR(__xludf.DUMMYFUNCTION("""COMPUTED_VALUE"""),"quote geyser replacement")</f>
        <v>quote geyser replacement</v>
      </c>
      <c r="U2939" s="4"/>
      <c r="V2939" s="4"/>
      <c r="W2939" s="4"/>
      <c r="X2939" s="4"/>
      <c r="Y2939" s="4"/>
      <c r="Z2939" s="4"/>
    </row>
    <row r="2940" ht="15.75" customHeight="1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 t="str">
        <f>IFERROR(__xludf.DUMMYFUNCTION("""COMPUTED_VALUE"""),"quote HVAC services")</f>
        <v>quote HVAC services</v>
      </c>
      <c r="U2940" s="4"/>
      <c r="V2940" s="4"/>
      <c r="W2940" s="4"/>
      <c r="X2940" s="4"/>
      <c r="Y2940" s="4"/>
      <c r="Z2940" s="4"/>
    </row>
    <row r="2941" ht="15.75" customHeight="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 t="str">
        <f>IFERROR(__xludf.DUMMYFUNCTION("""COMPUTED_VALUE"""),"quote kitchen plumbing repair")</f>
        <v>quote kitchen plumbing repair</v>
      </c>
      <c r="U2941" s="4"/>
      <c r="V2941" s="4"/>
      <c r="W2941" s="4"/>
      <c r="X2941" s="4"/>
      <c r="Y2941" s="4"/>
      <c r="Z2941" s="4"/>
    </row>
    <row r="2942" ht="15.75" customHeight="1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 t="str">
        <f>IFERROR(__xludf.DUMMYFUNCTION("""COMPUTED_VALUE"""),"quote leak detection")</f>
        <v>quote leak detection</v>
      </c>
      <c r="U2942" s="4"/>
      <c r="V2942" s="4"/>
      <c r="W2942" s="4"/>
      <c r="X2942" s="4"/>
      <c r="Y2942" s="4"/>
      <c r="Z2942" s="4"/>
    </row>
    <row r="2943" ht="15.75" customHeight="1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 t="str">
        <f>IFERROR(__xludf.DUMMYFUNCTION("""COMPUTED_VALUE"""),"quote leaking pipe repair")</f>
        <v>quote leaking pipe repair</v>
      </c>
      <c r="U2943" s="4"/>
      <c r="V2943" s="4"/>
      <c r="W2943" s="4"/>
      <c r="X2943" s="4"/>
      <c r="Y2943" s="4"/>
      <c r="Z2943" s="4"/>
    </row>
    <row r="2944" ht="15.75" customHeight="1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 t="str">
        <f>IFERROR(__xludf.DUMMYFUNCTION("""COMPUTED_VALUE"""),"quote leaking tap repair")</f>
        <v>quote leaking tap repair</v>
      </c>
      <c r="U2944" s="4"/>
      <c r="V2944" s="4"/>
      <c r="W2944" s="4"/>
      <c r="X2944" s="4"/>
      <c r="Y2944" s="4"/>
      <c r="Z2944" s="4"/>
    </row>
    <row r="2945" ht="15.75" customHeight="1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 t="str">
        <f>IFERROR(__xludf.DUMMYFUNCTION("""COMPUTED_VALUE"""),"quote maintenance plumber")</f>
        <v>quote maintenance plumber</v>
      </c>
      <c r="U2945" s="4"/>
      <c r="V2945" s="4"/>
      <c r="W2945" s="4"/>
      <c r="X2945" s="4"/>
      <c r="Y2945" s="4"/>
      <c r="Z2945" s="4"/>
    </row>
    <row r="2946" ht="15.75" customHeight="1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 t="str">
        <f>IFERROR(__xludf.DUMMYFUNCTION("""COMPUTED_VALUE"""),"quote pipe repair")</f>
        <v>quote pipe repair</v>
      </c>
      <c r="U2946" s="4"/>
      <c r="V2946" s="4"/>
      <c r="W2946" s="4"/>
      <c r="X2946" s="4"/>
      <c r="Y2946" s="4"/>
      <c r="Z2946" s="4"/>
    </row>
    <row r="2947" ht="15.75" customHeight="1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 t="str">
        <f>IFERROR(__xludf.DUMMYFUNCTION("""COMPUTED_VALUE"""),"quote plumber cape town")</f>
        <v>quote plumber cape town</v>
      </c>
      <c r="U2947" s="4"/>
      <c r="V2947" s="4"/>
      <c r="W2947" s="4"/>
      <c r="X2947" s="4"/>
      <c r="Y2947" s="4"/>
      <c r="Z2947" s="4"/>
    </row>
    <row r="2948" ht="15.75" customHeight="1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 t="str">
        <f>IFERROR(__xludf.DUMMYFUNCTION("""COMPUTED_VALUE"""),"quote plumber near me")</f>
        <v>quote plumber near me</v>
      </c>
      <c r="U2948" s="4"/>
      <c r="V2948" s="4"/>
      <c r="W2948" s="4"/>
      <c r="X2948" s="4"/>
      <c r="Y2948" s="4"/>
      <c r="Z2948" s="4"/>
    </row>
    <row r="2949" ht="15.75" customHeight="1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 t="str">
        <f>IFERROR(__xludf.DUMMYFUNCTION("""COMPUTED_VALUE"""),"quote plumbers cape town")</f>
        <v>quote plumbers cape town</v>
      </c>
      <c r="U2949" s="4"/>
      <c r="V2949" s="4"/>
      <c r="W2949" s="4"/>
      <c r="X2949" s="4"/>
      <c r="Y2949" s="4"/>
      <c r="Z2949" s="4"/>
    </row>
    <row r="2950" ht="15.75" customHeight="1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 t="str">
        <f>IFERROR(__xludf.DUMMYFUNCTION("""COMPUTED_VALUE"""),"quote plumbing company")</f>
        <v>quote plumbing company</v>
      </c>
      <c r="U2950" s="4"/>
      <c r="V2950" s="4"/>
      <c r="W2950" s="4"/>
      <c r="X2950" s="4"/>
      <c r="Y2950" s="4"/>
      <c r="Z2950" s="4"/>
    </row>
    <row r="2951" ht="15.75" customHeight="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 t="str">
        <f>IFERROR(__xludf.DUMMYFUNCTION("""COMPUTED_VALUE"""),"quote plumbing company cape town")</f>
        <v>quote plumbing company cape town</v>
      </c>
      <c r="U2951" s="4"/>
      <c r="V2951" s="4"/>
      <c r="W2951" s="4"/>
      <c r="X2951" s="4"/>
      <c r="Y2951" s="4"/>
      <c r="Z2951" s="4"/>
    </row>
    <row r="2952" ht="15.75" customHeight="1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 t="str">
        <f>IFERROR(__xludf.DUMMYFUNCTION("""COMPUTED_VALUE"""),"quote plumbing contractors")</f>
        <v>quote plumbing contractors</v>
      </c>
      <c r="U2952" s="4"/>
      <c r="V2952" s="4"/>
      <c r="W2952" s="4"/>
      <c r="X2952" s="4"/>
      <c r="Y2952" s="4"/>
      <c r="Z2952" s="4"/>
    </row>
    <row r="2953" ht="15.75" customHeight="1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 t="str">
        <f>IFERROR(__xludf.DUMMYFUNCTION("""COMPUTED_VALUE"""),"quote plumbing inspection")</f>
        <v>quote plumbing inspection</v>
      </c>
      <c r="U2953" s="4"/>
      <c r="V2953" s="4"/>
      <c r="W2953" s="4"/>
      <c r="X2953" s="4"/>
      <c r="Y2953" s="4"/>
      <c r="Z2953" s="4"/>
    </row>
    <row r="2954" ht="15.75" customHeight="1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 t="str">
        <f>IFERROR(__xludf.DUMMYFUNCTION("""COMPUTED_VALUE"""),"quote plumbing installation")</f>
        <v>quote plumbing installation</v>
      </c>
      <c r="U2954" s="4"/>
      <c r="V2954" s="4"/>
      <c r="W2954" s="4"/>
      <c r="X2954" s="4"/>
      <c r="Y2954" s="4"/>
      <c r="Z2954" s="4"/>
    </row>
    <row r="2955" ht="15.75" customHeight="1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 t="str">
        <f>IFERROR(__xludf.DUMMYFUNCTION("""COMPUTED_VALUE"""),"quote plumbing repairs")</f>
        <v>quote plumbing repairs</v>
      </c>
      <c r="U2955" s="4"/>
      <c r="V2955" s="4"/>
      <c r="W2955" s="4"/>
      <c r="X2955" s="4"/>
      <c r="Y2955" s="4"/>
      <c r="Z2955" s="4"/>
    </row>
    <row r="2956" ht="15.75" customHeight="1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 t="str">
        <f>IFERROR(__xludf.DUMMYFUNCTION("""COMPUTED_VALUE"""),"quote plumbing services")</f>
        <v>quote plumbing services</v>
      </c>
      <c r="U2956" s="4"/>
      <c r="V2956" s="4"/>
      <c r="W2956" s="4"/>
      <c r="X2956" s="4"/>
      <c r="Y2956" s="4"/>
      <c r="Z2956" s="4"/>
    </row>
    <row r="2957" ht="15.75" customHeight="1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 t="str">
        <f>IFERROR(__xludf.DUMMYFUNCTION("""COMPUTED_VALUE"""),"quote refrigeration repair")</f>
        <v>quote refrigeration repair</v>
      </c>
      <c r="U2957" s="4"/>
      <c r="V2957" s="4"/>
      <c r="W2957" s="4"/>
      <c r="X2957" s="4"/>
      <c r="Y2957" s="4"/>
      <c r="Z2957" s="4"/>
    </row>
    <row r="2958" ht="15.75" customHeight="1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 t="str">
        <f>IFERROR(__xludf.DUMMYFUNCTION("""COMPUTED_VALUE"""),"quote residential electrician")</f>
        <v>quote residential electrician</v>
      </c>
      <c r="U2958" s="4"/>
      <c r="V2958" s="4"/>
      <c r="W2958" s="4"/>
      <c r="X2958" s="4"/>
      <c r="Y2958" s="4"/>
      <c r="Z2958" s="4"/>
    </row>
    <row r="2959" ht="15.75" customHeight="1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 t="str">
        <f>IFERROR(__xludf.DUMMYFUNCTION("""COMPUTED_VALUE"""),"quote residential plumber")</f>
        <v>quote residential plumber</v>
      </c>
      <c r="U2959" s="4"/>
      <c r="V2959" s="4"/>
      <c r="W2959" s="4"/>
      <c r="X2959" s="4"/>
      <c r="Y2959" s="4"/>
      <c r="Z2959" s="4"/>
    </row>
    <row r="2960" ht="15.75" customHeight="1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 t="str">
        <f>IFERROR(__xludf.DUMMYFUNCTION("""COMPUTED_VALUE"""),"quote schmidhauser plumbing")</f>
        <v>quote schmidhauser plumbing</v>
      </c>
      <c r="U2960" s="4"/>
      <c r="V2960" s="4"/>
      <c r="W2960" s="4"/>
      <c r="X2960" s="4"/>
      <c r="Y2960" s="4"/>
      <c r="Z2960" s="4"/>
    </row>
    <row r="2961" ht="15.75" customHeight="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 t="str">
        <f>IFERROR(__xludf.DUMMYFUNCTION("""COMPUTED_VALUE"""),"quote toilet repair")</f>
        <v>quote toilet repair</v>
      </c>
      <c r="U2961" s="4"/>
      <c r="V2961" s="4"/>
      <c r="W2961" s="4"/>
      <c r="X2961" s="4"/>
      <c r="Y2961" s="4"/>
      <c r="Z2961" s="4"/>
    </row>
    <row r="2962" ht="15.75" customHeight="1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 t="str">
        <f>IFERROR(__xludf.DUMMYFUNCTION("""COMPUTED_VALUE"""),"quote water leak detection")</f>
        <v>quote water leak detection</v>
      </c>
      <c r="U2962" s="4"/>
      <c r="V2962" s="4"/>
      <c r="W2962" s="4"/>
      <c r="X2962" s="4"/>
      <c r="Y2962" s="4"/>
      <c r="Z2962" s="4"/>
    </row>
    <row r="2963" ht="15.75" customHeight="1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 t="str">
        <f>IFERROR(__xludf.DUMMYFUNCTION("""COMPUTED_VALUE"""),"quote water leak repair")</f>
        <v>quote water leak repair</v>
      </c>
      <c r="U2963" s="4"/>
      <c r="V2963" s="4"/>
      <c r="W2963" s="4"/>
      <c r="X2963" s="4"/>
      <c r="Y2963" s="4"/>
      <c r="Z2963" s="4"/>
    </row>
    <row r="2964" ht="15.75" customHeight="1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 t="str">
        <f>IFERROR(__xludf.DUMMYFUNCTION("""COMPUTED_VALUE"""),"refrigeration repair")</f>
        <v>refrigeration repair</v>
      </c>
      <c r="U2964" s="4"/>
      <c r="V2964" s="4"/>
      <c r="W2964" s="4"/>
      <c r="X2964" s="4"/>
      <c r="Y2964" s="4"/>
      <c r="Z2964" s="4"/>
    </row>
    <row r="2965" ht="15.75" customHeight="1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 t="str">
        <f>IFERROR(__xludf.DUMMYFUNCTION("""COMPUTED_VALUE"""),"refrigeration repair affordable")</f>
        <v>refrigeration repair affordable</v>
      </c>
      <c r="U2965" s="4"/>
      <c r="V2965" s="4"/>
      <c r="W2965" s="4"/>
      <c r="X2965" s="4"/>
      <c r="Y2965" s="4"/>
      <c r="Z2965" s="4"/>
    </row>
    <row r="2966" ht="15.75" customHeight="1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 t="str">
        <f>IFERROR(__xludf.DUMMYFUNCTION("""COMPUTED_VALUE"""),"refrigeration repair best")</f>
        <v>refrigeration repair best</v>
      </c>
      <c r="U2966" s="4"/>
      <c r="V2966" s="4"/>
      <c r="W2966" s="4"/>
      <c r="X2966" s="4"/>
      <c r="Y2966" s="4"/>
      <c r="Z2966" s="4"/>
    </row>
    <row r="2967" ht="15.75" customHeight="1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 t="str">
        <f>IFERROR(__xludf.DUMMYFUNCTION("""COMPUTED_VALUE"""),"refrigeration repair best way to fix")</f>
        <v>refrigeration repair best way to fix</v>
      </c>
      <c r="U2967" s="4"/>
      <c r="V2967" s="4"/>
      <c r="W2967" s="4"/>
      <c r="X2967" s="4"/>
      <c r="Y2967" s="4"/>
      <c r="Z2967" s="4"/>
    </row>
    <row r="2968" ht="15.75" customHeight="1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 t="str">
        <f>IFERROR(__xludf.DUMMYFUNCTION("""COMPUTED_VALUE"""),"refrigeration repair can a plumber fix")</f>
        <v>refrigeration repair can a plumber fix</v>
      </c>
      <c r="U2968" s="4"/>
      <c r="V2968" s="4"/>
      <c r="W2968" s="4"/>
      <c r="X2968" s="4"/>
      <c r="Y2968" s="4"/>
      <c r="Z2968" s="4"/>
    </row>
    <row r="2969" ht="15.75" customHeight="1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 t="str">
        <f>IFERROR(__xludf.DUMMYFUNCTION("""COMPUTED_VALUE"""),"refrigeration repair cape town")</f>
        <v>refrigeration repair cape town</v>
      </c>
      <c r="U2969" s="4"/>
      <c r="V2969" s="4"/>
      <c r="W2969" s="4"/>
      <c r="X2969" s="4"/>
      <c r="Y2969" s="4"/>
      <c r="Z2969" s="4"/>
    </row>
    <row r="2970" ht="15.75" customHeight="1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 t="str">
        <f>IFERROR(__xludf.DUMMYFUNCTION("""COMPUTED_VALUE"""),"refrigeration repair commercial")</f>
        <v>refrigeration repair commercial</v>
      </c>
      <c r="U2970" s="4"/>
      <c r="V2970" s="4"/>
      <c r="W2970" s="4"/>
      <c r="X2970" s="4"/>
      <c r="Y2970" s="4"/>
      <c r="Z2970" s="4"/>
    </row>
    <row r="2971" ht="15.75" customHeight="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 t="str">
        <f>IFERROR(__xludf.DUMMYFUNCTION("""COMPUTED_VALUE"""),"refrigeration repair company")</f>
        <v>refrigeration repair company</v>
      </c>
      <c r="U2971" s="4"/>
      <c r="V2971" s="4"/>
      <c r="W2971" s="4"/>
      <c r="X2971" s="4"/>
      <c r="Y2971" s="4"/>
      <c r="Z2971" s="4"/>
    </row>
    <row r="2972" ht="15.75" customHeight="1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 t="str">
        <f>IFERROR(__xludf.DUMMYFUNCTION("""COMPUTED_VALUE"""),"refrigeration repair contractor")</f>
        <v>refrigeration repair contractor</v>
      </c>
      <c r="U2972" s="4"/>
      <c r="V2972" s="4"/>
      <c r="W2972" s="4"/>
      <c r="X2972" s="4"/>
      <c r="Y2972" s="4"/>
      <c r="Z2972" s="4"/>
    </row>
    <row r="2973" ht="15.75" customHeight="1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 t="str">
        <f>IFERROR(__xludf.DUMMYFUNCTION("""COMPUTED_VALUE"""),"refrigeration repair cost")</f>
        <v>refrigeration repair cost</v>
      </c>
      <c r="U2973" s="4"/>
      <c r="V2973" s="4"/>
      <c r="W2973" s="4"/>
      <c r="X2973" s="4"/>
      <c r="Y2973" s="4"/>
      <c r="Z2973" s="4"/>
    </row>
    <row r="2974" ht="15.75" customHeight="1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 t="str">
        <f>IFERROR(__xludf.DUMMYFUNCTION("""COMPUTED_VALUE"""),"refrigeration repair cost of")</f>
        <v>refrigeration repair cost of</v>
      </c>
      <c r="U2974" s="4"/>
      <c r="V2974" s="4"/>
      <c r="W2974" s="4"/>
      <c r="X2974" s="4"/>
      <c r="Y2974" s="4"/>
      <c r="Z2974" s="4"/>
    </row>
    <row r="2975" ht="15.75" customHeight="1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 t="str">
        <f>IFERROR(__xludf.DUMMYFUNCTION("""COMPUTED_VALUE"""),"refrigeration repair do I need")</f>
        <v>refrigeration repair do I need</v>
      </c>
      <c r="U2975" s="4"/>
      <c r="V2975" s="4"/>
      <c r="W2975" s="4"/>
      <c r="X2975" s="4"/>
      <c r="Y2975" s="4"/>
      <c r="Z2975" s="4"/>
    </row>
    <row r="2976" ht="15.75" customHeight="1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 t="str">
        <f>IFERROR(__xludf.DUMMYFUNCTION("""COMPUTED_VALUE"""),"refrigeration repair emergency")</f>
        <v>refrigeration repair emergency</v>
      </c>
      <c r="U2976" s="4"/>
      <c r="V2976" s="4"/>
      <c r="W2976" s="4"/>
      <c r="X2976" s="4"/>
      <c r="Y2976" s="4"/>
      <c r="Z2976" s="4"/>
    </row>
    <row r="2977" ht="15.75" customHeight="1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 t="str">
        <f>IFERROR(__xludf.DUMMYFUNCTION("""COMPUTED_VALUE"""),"refrigeration repair emergency help for")</f>
        <v>refrigeration repair emergency help for</v>
      </c>
      <c r="U2977" s="4"/>
      <c r="V2977" s="4"/>
      <c r="W2977" s="4"/>
      <c r="X2977" s="4"/>
      <c r="Y2977" s="4"/>
      <c r="Z2977" s="4"/>
    </row>
    <row r="2978" ht="15.75" customHeight="1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 t="str">
        <f>IFERROR(__xludf.DUMMYFUNCTION("""COMPUTED_VALUE"""),"refrigeration repair how long does")</f>
        <v>refrigeration repair how long does</v>
      </c>
      <c r="U2978" s="4"/>
      <c r="V2978" s="4"/>
      <c r="W2978" s="4"/>
      <c r="X2978" s="4"/>
      <c r="Y2978" s="4"/>
      <c r="Z2978" s="4"/>
    </row>
    <row r="2979" ht="15.75" customHeight="1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 t="str">
        <f>IFERROR(__xludf.DUMMYFUNCTION("""COMPUTED_VALUE"""),"refrigeration repair how much does")</f>
        <v>refrigeration repair how much does</v>
      </c>
      <c r="U2979" s="4"/>
      <c r="V2979" s="4"/>
      <c r="W2979" s="4"/>
      <c r="X2979" s="4"/>
      <c r="Y2979" s="4"/>
      <c r="Z2979" s="4"/>
    </row>
    <row r="2980" ht="15.75" customHeight="1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 t="str">
        <f>IFERROR(__xludf.DUMMYFUNCTION("""COMPUTED_VALUE"""),"refrigeration repair how to choose")</f>
        <v>refrigeration repair how to choose</v>
      </c>
      <c r="U2980" s="4"/>
      <c r="V2980" s="4"/>
      <c r="W2980" s="4"/>
      <c r="X2980" s="4"/>
      <c r="Y2980" s="4"/>
      <c r="Z2980" s="4"/>
    </row>
    <row r="2981" ht="15.75" customHeight="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 t="str">
        <f>IFERROR(__xludf.DUMMYFUNCTION("""COMPUTED_VALUE"""),"refrigeration repair how to prevent")</f>
        <v>refrigeration repair how to prevent</v>
      </c>
      <c r="U2981" s="4"/>
      <c r="V2981" s="4"/>
      <c r="W2981" s="4"/>
      <c r="X2981" s="4"/>
      <c r="Y2981" s="4"/>
      <c r="Z2981" s="4"/>
    </row>
    <row r="2982" ht="15.75" customHeight="1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 t="str">
        <f>IFERROR(__xludf.DUMMYFUNCTION("""COMPUTED_VALUE"""),"refrigeration repair installation")</f>
        <v>refrigeration repair installation</v>
      </c>
      <c r="U2982" s="4"/>
      <c r="V2982" s="4"/>
      <c r="W2982" s="4"/>
      <c r="X2982" s="4"/>
      <c r="Y2982" s="4"/>
      <c r="Z2982" s="4"/>
    </row>
    <row r="2983" ht="15.75" customHeight="1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 t="str">
        <f>IFERROR(__xludf.DUMMYFUNCTION("""COMPUTED_VALUE"""),"refrigeration repair is it safe to")</f>
        <v>refrigeration repair is it safe to</v>
      </c>
      <c r="U2983" s="4"/>
      <c r="V2983" s="4"/>
      <c r="W2983" s="4"/>
      <c r="X2983" s="4"/>
      <c r="Y2983" s="4"/>
      <c r="Z2983" s="4"/>
    </row>
    <row r="2984" ht="15.75" customHeight="1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 t="str">
        <f>IFERROR(__xludf.DUMMYFUNCTION("""COMPUTED_VALUE"""),"refrigeration repair local")</f>
        <v>refrigeration repair local</v>
      </c>
      <c r="U2984" s="4"/>
      <c r="V2984" s="4"/>
      <c r="W2984" s="4"/>
      <c r="X2984" s="4"/>
      <c r="Y2984" s="4"/>
      <c r="Z2984" s="4"/>
    </row>
    <row r="2985" ht="15.75" customHeight="1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 t="str">
        <f>IFERROR(__xludf.DUMMYFUNCTION("""COMPUTED_VALUE"""),"refrigeration repair maintenance")</f>
        <v>refrigeration repair maintenance</v>
      </c>
      <c r="U2985" s="4"/>
      <c r="V2985" s="4"/>
      <c r="W2985" s="4"/>
      <c r="X2985" s="4"/>
      <c r="Y2985" s="4"/>
      <c r="Z2985" s="4"/>
    </row>
    <row r="2986" ht="15.75" customHeight="1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 t="str">
        <f>IFERROR(__xludf.DUMMYFUNCTION("""COMPUTED_VALUE"""),"refrigeration repair near me")</f>
        <v>refrigeration repair near me</v>
      </c>
      <c r="U2986" s="4"/>
      <c r="V2986" s="4"/>
      <c r="W2986" s="4"/>
      <c r="X2986" s="4"/>
      <c r="Y2986" s="4"/>
      <c r="Z2986" s="4"/>
    </row>
    <row r="2987" ht="15.75" customHeight="1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 t="str">
        <f>IFERROR(__xludf.DUMMYFUNCTION("""COMPUTED_VALUE"""),"refrigeration repair near me for")</f>
        <v>refrigeration repair near me for</v>
      </c>
      <c r="U2987" s="4"/>
      <c r="V2987" s="4"/>
      <c r="W2987" s="4"/>
      <c r="X2987" s="4"/>
      <c r="Y2987" s="4"/>
      <c r="Z2987" s="4"/>
    </row>
    <row r="2988" ht="15.75" customHeight="1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 t="str">
        <f>IFERROR(__xludf.DUMMYFUNCTION("""COMPUTED_VALUE"""),"refrigeration repair professional")</f>
        <v>refrigeration repair professional</v>
      </c>
      <c r="U2988" s="4"/>
      <c r="V2988" s="4"/>
      <c r="W2988" s="4"/>
      <c r="X2988" s="4"/>
      <c r="Y2988" s="4"/>
      <c r="Z2988" s="4"/>
    </row>
    <row r="2989" ht="15.75" customHeight="1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 t="str">
        <f>IFERROR(__xludf.DUMMYFUNCTION("""COMPUTED_VALUE"""),"refrigeration repair quote")</f>
        <v>refrigeration repair quote</v>
      </c>
      <c r="U2989" s="4"/>
      <c r="V2989" s="4"/>
      <c r="W2989" s="4"/>
      <c r="X2989" s="4"/>
      <c r="Y2989" s="4"/>
      <c r="Z2989" s="4"/>
    </row>
    <row r="2990" ht="15.75" customHeight="1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 t="str">
        <f>IFERROR(__xludf.DUMMYFUNCTION("""COMPUTED_VALUE"""),"refrigeration repair reliable")</f>
        <v>refrigeration repair reliable</v>
      </c>
      <c r="U2990" s="4"/>
      <c r="V2990" s="4"/>
      <c r="W2990" s="4"/>
      <c r="X2990" s="4"/>
      <c r="Y2990" s="4"/>
      <c r="Z2990" s="4"/>
    </row>
    <row r="2991" ht="15.75" customHeight="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 t="str">
        <f>IFERROR(__xludf.DUMMYFUNCTION("""COMPUTED_VALUE"""),"refrigeration repair residential")</f>
        <v>refrigeration repair residential</v>
      </c>
      <c r="U2991" s="4"/>
      <c r="V2991" s="4"/>
      <c r="W2991" s="4"/>
      <c r="X2991" s="4"/>
      <c r="Y2991" s="4"/>
      <c r="Z2991" s="4"/>
    </row>
    <row r="2992" ht="15.75" customHeight="1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 t="str">
        <f>IFERROR(__xludf.DUMMYFUNCTION("""COMPUTED_VALUE"""),"refrigeration repair same day")</f>
        <v>refrigeration repair same day</v>
      </c>
      <c r="U2992" s="4"/>
      <c r="V2992" s="4"/>
      <c r="W2992" s="4"/>
      <c r="X2992" s="4"/>
      <c r="Y2992" s="4"/>
      <c r="Z2992" s="4"/>
    </row>
    <row r="2993" ht="15.75" customHeight="1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 t="str">
        <f>IFERROR(__xludf.DUMMYFUNCTION("""COMPUTED_VALUE"""),"refrigeration repair same day help for")</f>
        <v>refrigeration repair same day help for</v>
      </c>
      <c r="U2993" s="4"/>
      <c r="V2993" s="4"/>
      <c r="W2993" s="4"/>
      <c r="X2993" s="4"/>
      <c r="Y2993" s="4"/>
      <c r="Z2993" s="4"/>
    </row>
    <row r="2994" ht="15.75" customHeight="1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 t="str">
        <f>IFERROR(__xludf.DUMMYFUNCTION("""COMPUTED_VALUE"""),"refrigeration repair service")</f>
        <v>refrigeration repair service</v>
      </c>
      <c r="U2994" s="4"/>
      <c r="V2994" s="4"/>
      <c r="W2994" s="4"/>
      <c r="X2994" s="4"/>
      <c r="Y2994" s="4"/>
      <c r="Z2994" s="4"/>
    </row>
    <row r="2995" ht="15.75" customHeight="1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 t="str">
        <f>IFERROR(__xludf.DUMMYFUNCTION("""COMPUTED_VALUE"""),"refrigeration repair signs you need")</f>
        <v>refrigeration repair signs you need</v>
      </c>
      <c r="U2995" s="4"/>
      <c r="V2995" s="4"/>
      <c r="W2995" s="4"/>
      <c r="X2995" s="4"/>
      <c r="Y2995" s="4"/>
      <c r="Z2995" s="4"/>
    </row>
    <row r="2996" ht="15.75" customHeight="1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 t="str">
        <f>IFERROR(__xludf.DUMMYFUNCTION("""COMPUTED_VALUE"""),"refrigeration repair technician")</f>
        <v>refrigeration repair technician</v>
      </c>
      <c r="U2996" s="4"/>
      <c r="V2996" s="4"/>
      <c r="W2996" s="4"/>
      <c r="X2996" s="4"/>
      <c r="Y2996" s="4"/>
      <c r="Z2996" s="4"/>
    </row>
    <row r="2997" ht="15.75" customHeight="1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 t="str">
        <f>IFERROR(__xludf.DUMMYFUNCTION("""COMPUTED_VALUE"""),"refrigeration repair what causes")</f>
        <v>refrigeration repair what causes</v>
      </c>
      <c r="U2997" s="4"/>
      <c r="V2997" s="4"/>
      <c r="W2997" s="4"/>
      <c r="X2997" s="4"/>
      <c r="Y2997" s="4"/>
      <c r="Z2997" s="4"/>
    </row>
    <row r="2998" ht="15.75" customHeight="1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 t="str">
        <f>IFERROR(__xludf.DUMMYFUNCTION("""COMPUTED_VALUE"""),"refrigeration repair what is")</f>
        <v>refrigeration repair what is</v>
      </c>
      <c r="U2998" s="4"/>
      <c r="V2998" s="4"/>
      <c r="W2998" s="4"/>
      <c r="X2998" s="4"/>
      <c r="Y2998" s="4"/>
      <c r="Z2998" s="4"/>
    </row>
    <row r="2999" ht="15.75" customHeight="1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 t="str">
        <f>IFERROR(__xludf.DUMMYFUNCTION("""COMPUTED_VALUE"""),"refrigeration repair when to call a")</f>
        <v>refrigeration repair when to call a</v>
      </c>
      <c r="U2999" s="4"/>
      <c r="V2999" s="4"/>
      <c r="W2999" s="4"/>
      <c r="X2999" s="4"/>
      <c r="Y2999" s="4"/>
      <c r="Z2999" s="4"/>
    </row>
    <row r="3000" ht="15.75" customHeight="1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 t="str">
        <f>IFERROR(__xludf.DUMMYFUNCTION("""COMPUTED_VALUE"""),"refrigeration repair who fixes")</f>
        <v>refrigeration repair who fixes</v>
      </c>
      <c r="U3000" s="4"/>
      <c r="V3000" s="4"/>
      <c r="W3000" s="4"/>
      <c r="X3000" s="4"/>
      <c r="Y3000" s="4"/>
      <c r="Z3000" s="4"/>
    </row>
    <row r="3001" ht="15.75" customHeight="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 t="str">
        <f>IFERROR(__xludf.DUMMYFUNCTION("""COMPUTED_VALUE"""),"refrigeration repair why is my")</f>
        <v>refrigeration repair why is my</v>
      </c>
      <c r="U3001" s="4"/>
      <c r="V3001" s="4"/>
      <c r="W3001" s="4"/>
      <c r="X3001" s="4"/>
      <c r="Y3001" s="4"/>
      <c r="Z3001" s="4"/>
    </row>
    <row r="3002" ht="15.75" customHeight="1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 t="str">
        <f>IFERROR(__xludf.DUMMYFUNCTION("""COMPUTED_VALUE"""),"refrigeration services apartment")</f>
        <v>refrigeration services apartment</v>
      </c>
      <c r="U3002" s="4"/>
      <c r="V3002" s="4"/>
      <c r="W3002" s="4"/>
      <c r="X3002" s="4"/>
      <c r="Y3002" s="4"/>
      <c r="Z3002" s="4"/>
    </row>
    <row r="3003" ht="15.75" customHeight="1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 t="str">
        <f>IFERROR(__xludf.DUMMYFUNCTION("""COMPUTED_VALUE"""),"refrigeration services Atlantic Seaboard")</f>
        <v>refrigeration services Atlantic Seaboard</v>
      </c>
      <c r="U3003" s="4"/>
      <c r="V3003" s="4"/>
      <c r="W3003" s="4"/>
      <c r="X3003" s="4"/>
      <c r="Y3003" s="4"/>
      <c r="Z3003" s="4"/>
    </row>
    <row r="3004" ht="15.75" customHeight="1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 t="str">
        <f>IFERROR(__xludf.DUMMYFUNCTION("""COMPUTED_VALUE"""),"refrigeration services Bellville")</f>
        <v>refrigeration services Bellville</v>
      </c>
      <c r="U3004" s="4"/>
      <c r="V3004" s="4"/>
      <c r="W3004" s="4"/>
      <c r="X3004" s="4"/>
      <c r="Y3004" s="4"/>
      <c r="Z3004" s="4"/>
    </row>
    <row r="3005" ht="15.75" customHeight="1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 t="str">
        <f>IFERROR(__xludf.DUMMYFUNCTION("""COMPUTED_VALUE"""),"refrigeration services body corporate")</f>
        <v>refrigeration services body corporate</v>
      </c>
      <c r="U3005" s="4"/>
      <c r="V3005" s="4"/>
      <c r="W3005" s="4"/>
      <c r="X3005" s="4"/>
      <c r="Y3005" s="4"/>
      <c r="Z3005" s="4"/>
    </row>
    <row r="3006" ht="15.75" customHeight="1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 t="str">
        <f>IFERROR(__xludf.DUMMYFUNCTION("""COMPUTED_VALUE"""),"refrigeration services building")</f>
        <v>refrigeration services building</v>
      </c>
      <c r="U3006" s="4"/>
      <c r="V3006" s="4"/>
      <c r="W3006" s="4"/>
      <c r="X3006" s="4"/>
      <c r="Y3006" s="4"/>
      <c r="Z3006" s="4"/>
    </row>
    <row r="3007" ht="15.75" customHeight="1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 t="str">
        <f>IFERROR(__xludf.DUMMYFUNCTION("""COMPUTED_VALUE"""),"refrigeration services business")</f>
        <v>refrigeration services business</v>
      </c>
      <c r="U3007" s="4"/>
      <c r="V3007" s="4"/>
      <c r="W3007" s="4"/>
      <c r="X3007" s="4"/>
      <c r="Y3007" s="4"/>
      <c r="Z3007" s="4"/>
    </row>
    <row r="3008" ht="15.75" customHeight="1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 t="str">
        <f>IFERROR(__xludf.DUMMYFUNCTION("""COMPUTED_VALUE"""),"refrigeration services Camps Bay")</f>
        <v>refrigeration services Camps Bay</v>
      </c>
      <c r="U3008" s="4"/>
      <c r="V3008" s="4"/>
      <c r="W3008" s="4"/>
      <c r="X3008" s="4"/>
      <c r="Y3008" s="4"/>
      <c r="Z3008" s="4"/>
    </row>
    <row r="3009" ht="15.75" customHeight="1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 t="str">
        <f>IFERROR(__xludf.DUMMYFUNCTION("""COMPUTED_VALUE"""),"refrigeration services Cape Town")</f>
        <v>refrigeration services Cape Town</v>
      </c>
      <c r="U3009" s="4"/>
      <c r="V3009" s="4"/>
      <c r="W3009" s="4"/>
      <c r="X3009" s="4"/>
      <c r="Y3009" s="4"/>
      <c r="Z3009" s="4"/>
    </row>
    <row r="3010" ht="15.75" customHeight="1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 t="str">
        <f>IFERROR(__xludf.DUMMYFUNCTION("""COMPUTED_VALUE"""),"refrigeration services Cape Town CBD")</f>
        <v>refrigeration services Cape Town CBD</v>
      </c>
      <c r="U3010" s="4"/>
      <c r="V3010" s="4"/>
      <c r="W3010" s="4"/>
      <c r="X3010" s="4"/>
      <c r="Y3010" s="4"/>
      <c r="Z3010" s="4"/>
    </row>
    <row r="3011" ht="15.75" customHeight="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 t="str">
        <f>IFERROR(__xludf.DUMMYFUNCTION("""COMPUTED_VALUE"""),"refrigeration services Claremont")</f>
        <v>refrigeration services Claremont</v>
      </c>
      <c r="U3011" s="4"/>
      <c r="V3011" s="4"/>
      <c r="W3011" s="4"/>
      <c r="X3011" s="4"/>
      <c r="Y3011" s="4"/>
      <c r="Z3011" s="4"/>
    </row>
    <row r="3012" ht="15.75" customHeight="1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 t="str">
        <f>IFERROR(__xludf.DUMMYFUNCTION("""COMPUTED_VALUE"""),"refrigeration services commercial property")</f>
        <v>refrigeration services commercial property</v>
      </c>
      <c r="U3012" s="4"/>
      <c r="V3012" s="4"/>
      <c r="W3012" s="4"/>
      <c r="X3012" s="4"/>
      <c r="Y3012" s="4"/>
      <c r="Z3012" s="4"/>
    </row>
    <row r="3013" ht="15.75" customHeight="1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 t="str">
        <f>IFERROR(__xludf.DUMMYFUNCTION("""COMPUTED_VALUE"""),"refrigeration services Constantia")</f>
        <v>refrigeration services Constantia</v>
      </c>
      <c r="U3013" s="4"/>
      <c r="V3013" s="4"/>
      <c r="W3013" s="4"/>
      <c r="X3013" s="4"/>
      <c r="Y3013" s="4"/>
      <c r="Z3013" s="4"/>
    </row>
    <row r="3014" ht="15.75" customHeight="1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 t="str">
        <f>IFERROR(__xludf.DUMMYFUNCTION("""COMPUTED_VALUE"""),"refrigeration services Durbanville")</f>
        <v>refrigeration services Durbanville</v>
      </c>
      <c r="U3014" s="4"/>
      <c r="V3014" s="4"/>
      <c r="W3014" s="4"/>
      <c r="X3014" s="4"/>
      <c r="Y3014" s="4"/>
      <c r="Z3014" s="4"/>
    </row>
    <row r="3015" ht="15.75" customHeight="1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 t="str">
        <f>IFERROR(__xludf.DUMMYFUNCTION("""COMPUTED_VALUE"""),"refrigeration services estate agent")</f>
        <v>refrigeration services estate agent</v>
      </c>
      <c r="U3015" s="4"/>
      <c r="V3015" s="4"/>
      <c r="W3015" s="4"/>
      <c r="X3015" s="4"/>
      <c r="Y3015" s="4"/>
      <c r="Z3015" s="4"/>
    </row>
    <row r="3016" ht="15.75" customHeight="1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 t="str">
        <f>IFERROR(__xludf.DUMMYFUNCTION("""COMPUTED_VALUE"""),"refrigeration services Fish Hoek")</f>
        <v>refrigeration services Fish Hoek</v>
      </c>
      <c r="U3016" s="4"/>
      <c r="V3016" s="4"/>
      <c r="W3016" s="4"/>
      <c r="X3016" s="4"/>
      <c r="Y3016" s="4"/>
      <c r="Z3016" s="4"/>
    </row>
    <row r="3017" ht="15.75" customHeight="1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 t="str">
        <f>IFERROR(__xludf.DUMMYFUNCTION("""COMPUTED_VALUE"""),"refrigeration services flat")</f>
        <v>refrigeration services flat</v>
      </c>
      <c r="U3017" s="4"/>
      <c r="V3017" s="4"/>
      <c r="W3017" s="4"/>
      <c r="X3017" s="4"/>
      <c r="Y3017" s="4"/>
      <c r="Z3017" s="4"/>
    </row>
    <row r="3018" ht="15.75" customHeight="1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 t="str">
        <f>IFERROR(__xludf.DUMMYFUNCTION("""COMPUTED_VALUE"""),"refrigeration services Green Point")</f>
        <v>refrigeration services Green Point</v>
      </c>
      <c r="U3018" s="4"/>
      <c r="V3018" s="4"/>
      <c r="W3018" s="4"/>
      <c r="X3018" s="4"/>
      <c r="Y3018" s="4"/>
      <c r="Z3018" s="4"/>
    </row>
    <row r="3019" ht="15.75" customHeight="1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 t="str">
        <f>IFERROR(__xludf.DUMMYFUNCTION("""COMPUTED_VALUE"""),"refrigeration services guesthouse")</f>
        <v>refrigeration services guesthouse</v>
      </c>
      <c r="U3019" s="4"/>
      <c r="V3019" s="4"/>
      <c r="W3019" s="4"/>
      <c r="X3019" s="4"/>
      <c r="Y3019" s="4"/>
      <c r="Z3019" s="4"/>
    </row>
    <row r="3020" ht="15.75" customHeight="1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 t="str">
        <f>IFERROR(__xludf.DUMMYFUNCTION("""COMPUTED_VALUE"""),"refrigeration services home")</f>
        <v>refrigeration services home</v>
      </c>
      <c r="U3020" s="4"/>
      <c r="V3020" s="4"/>
      <c r="W3020" s="4"/>
      <c r="X3020" s="4"/>
      <c r="Y3020" s="4"/>
      <c r="Z3020" s="4"/>
    </row>
    <row r="3021" ht="15.75" customHeight="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 t="str">
        <f>IFERROR(__xludf.DUMMYFUNCTION("""COMPUTED_VALUE"""),"refrigeration services hotel")</f>
        <v>refrigeration services hotel</v>
      </c>
      <c r="U3021" s="4"/>
      <c r="V3021" s="4"/>
      <c r="W3021" s="4"/>
      <c r="X3021" s="4"/>
      <c r="Y3021" s="4"/>
      <c r="Z3021" s="4"/>
    </row>
    <row r="3022" ht="15.75" customHeight="1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 t="str">
        <f>IFERROR(__xludf.DUMMYFUNCTION("""COMPUTED_VALUE"""),"refrigeration services house")</f>
        <v>refrigeration services house</v>
      </c>
      <c r="U3022" s="4"/>
      <c r="V3022" s="4"/>
      <c r="W3022" s="4"/>
      <c r="X3022" s="4"/>
      <c r="Y3022" s="4"/>
      <c r="Z3022" s="4"/>
    </row>
    <row r="3023" ht="15.75" customHeight="1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 t="str">
        <f>IFERROR(__xludf.DUMMYFUNCTION("""COMPUTED_VALUE"""),"refrigeration services Hout Bay")</f>
        <v>refrigeration services Hout Bay</v>
      </c>
      <c r="U3023" s="4"/>
      <c r="V3023" s="4"/>
      <c r="W3023" s="4"/>
      <c r="X3023" s="4"/>
      <c r="Y3023" s="4"/>
      <c r="Z3023" s="4"/>
    </row>
    <row r="3024" ht="15.75" customHeight="1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 t="str">
        <f>IFERROR(__xludf.DUMMYFUNCTION("""COMPUTED_VALUE"""),"refrigeration services landlord")</f>
        <v>refrigeration services landlord</v>
      </c>
      <c r="U3024" s="4"/>
      <c r="V3024" s="4"/>
      <c r="W3024" s="4"/>
      <c r="X3024" s="4"/>
      <c r="Y3024" s="4"/>
      <c r="Z3024" s="4"/>
    </row>
    <row r="3025" ht="15.75" customHeight="1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 t="str">
        <f>IFERROR(__xludf.DUMMYFUNCTION("""COMPUTED_VALUE"""),"refrigeration services Maitland")</f>
        <v>refrigeration services Maitland</v>
      </c>
      <c r="U3025" s="4"/>
      <c r="V3025" s="4"/>
      <c r="W3025" s="4"/>
      <c r="X3025" s="4"/>
      <c r="Y3025" s="4"/>
      <c r="Z3025" s="4"/>
    </row>
    <row r="3026" ht="15.75" customHeight="1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 t="str">
        <f>IFERROR(__xludf.DUMMYFUNCTION("""COMPUTED_VALUE"""),"refrigeration services Milnerton")</f>
        <v>refrigeration services Milnerton</v>
      </c>
      <c r="U3026" s="4"/>
      <c r="V3026" s="4"/>
      <c r="W3026" s="4"/>
      <c r="X3026" s="4"/>
      <c r="Y3026" s="4"/>
      <c r="Z3026" s="4"/>
    </row>
    <row r="3027" ht="15.75" customHeight="1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 t="str">
        <f>IFERROR(__xludf.DUMMYFUNCTION("""COMPUTED_VALUE"""),"refrigeration services Muizenberg")</f>
        <v>refrigeration services Muizenberg</v>
      </c>
      <c r="U3027" s="4"/>
      <c r="V3027" s="4"/>
      <c r="W3027" s="4"/>
      <c r="X3027" s="4"/>
      <c r="Y3027" s="4"/>
      <c r="Z3027" s="4"/>
    </row>
    <row r="3028" ht="15.75" customHeight="1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 t="str">
        <f>IFERROR(__xludf.DUMMYFUNCTION("""COMPUTED_VALUE"""),"refrigeration services Newlands")</f>
        <v>refrigeration services Newlands</v>
      </c>
      <c r="U3028" s="4"/>
      <c r="V3028" s="4"/>
      <c r="W3028" s="4"/>
      <c r="X3028" s="4"/>
      <c r="Y3028" s="4"/>
      <c r="Z3028" s="4"/>
    </row>
    <row r="3029" ht="15.75" customHeight="1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 t="str">
        <f>IFERROR(__xludf.DUMMYFUNCTION("""COMPUTED_VALUE"""),"refrigeration services Northern Suburbs")</f>
        <v>refrigeration services Northern Suburbs</v>
      </c>
      <c r="U3029" s="4"/>
      <c r="V3029" s="4"/>
      <c r="W3029" s="4"/>
      <c r="X3029" s="4"/>
      <c r="Y3029" s="4"/>
      <c r="Z3029" s="4"/>
    </row>
    <row r="3030" ht="15.75" customHeight="1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 t="str">
        <f>IFERROR(__xludf.DUMMYFUNCTION("""COMPUTED_VALUE"""),"refrigeration services Observatory")</f>
        <v>refrigeration services Observatory</v>
      </c>
      <c r="U3030" s="4"/>
      <c r="V3030" s="4"/>
      <c r="W3030" s="4"/>
      <c r="X3030" s="4"/>
      <c r="Y3030" s="4"/>
      <c r="Z3030" s="4"/>
    </row>
    <row r="3031" ht="15.75" customHeight="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 t="str">
        <f>IFERROR(__xludf.DUMMYFUNCTION("""COMPUTED_VALUE"""),"refrigeration services office")</f>
        <v>refrigeration services office</v>
      </c>
      <c r="U3031" s="4"/>
      <c r="V3031" s="4"/>
      <c r="W3031" s="4"/>
      <c r="X3031" s="4"/>
      <c r="Y3031" s="4"/>
      <c r="Z3031" s="4"/>
    </row>
    <row r="3032" ht="15.75" customHeight="1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 t="str">
        <f>IFERROR(__xludf.DUMMYFUNCTION("""COMPUTED_VALUE"""),"refrigeration services Plumstead")</f>
        <v>refrigeration services Plumstead</v>
      </c>
      <c r="U3032" s="4"/>
      <c r="V3032" s="4"/>
      <c r="W3032" s="4"/>
      <c r="X3032" s="4"/>
      <c r="Y3032" s="4"/>
      <c r="Z3032" s="4"/>
    </row>
    <row r="3033" ht="15.75" customHeight="1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 t="str">
        <f>IFERROR(__xludf.DUMMYFUNCTION("""COMPUTED_VALUE"""),"refrigeration services property manager")</f>
        <v>refrigeration services property manager</v>
      </c>
      <c r="U3033" s="4"/>
      <c r="V3033" s="4"/>
      <c r="W3033" s="4"/>
      <c r="X3033" s="4"/>
      <c r="Y3033" s="4"/>
      <c r="Z3033" s="4"/>
    </row>
    <row r="3034" ht="15.75" customHeight="1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 t="str">
        <f>IFERROR(__xludf.DUMMYFUNCTION("""COMPUTED_VALUE"""),"refrigeration services residential property")</f>
        <v>refrigeration services residential property</v>
      </c>
      <c r="U3034" s="4"/>
      <c r="V3034" s="4"/>
      <c r="W3034" s="4"/>
      <c r="X3034" s="4"/>
      <c r="Y3034" s="4"/>
      <c r="Z3034" s="4"/>
    </row>
    <row r="3035" ht="15.75" customHeight="1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 t="str">
        <f>IFERROR(__xludf.DUMMYFUNCTION("""COMPUTED_VALUE"""),"refrigeration services restaurant")</f>
        <v>refrigeration services restaurant</v>
      </c>
      <c r="U3035" s="4"/>
      <c r="V3035" s="4"/>
      <c r="W3035" s="4"/>
      <c r="X3035" s="4"/>
      <c r="Y3035" s="4"/>
      <c r="Z3035" s="4"/>
    </row>
    <row r="3036" ht="15.75" customHeight="1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 t="str">
        <f>IFERROR(__xludf.DUMMYFUNCTION("""COMPUTED_VALUE"""),"refrigeration services Rondebosch")</f>
        <v>refrigeration services Rondebosch</v>
      </c>
      <c r="U3036" s="4"/>
      <c r="V3036" s="4"/>
      <c r="W3036" s="4"/>
      <c r="X3036" s="4"/>
      <c r="Y3036" s="4"/>
      <c r="Z3036" s="4"/>
    </row>
    <row r="3037" ht="15.75" customHeight="1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 t="str">
        <f>IFERROR(__xludf.DUMMYFUNCTION("""COMPUTED_VALUE"""),"refrigeration services school")</f>
        <v>refrigeration services school</v>
      </c>
      <c r="U3037" s="4"/>
      <c r="V3037" s="4"/>
      <c r="W3037" s="4"/>
      <c r="X3037" s="4"/>
      <c r="Y3037" s="4"/>
      <c r="Z3037" s="4"/>
    </row>
    <row r="3038" ht="15.75" customHeight="1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 t="str">
        <f>IFERROR(__xludf.DUMMYFUNCTION("""COMPUTED_VALUE"""),"refrigeration services Sea Point")</f>
        <v>refrigeration services Sea Point</v>
      </c>
      <c r="U3038" s="4"/>
      <c r="V3038" s="4"/>
      <c r="W3038" s="4"/>
      <c r="X3038" s="4"/>
      <c r="Y3038" s="4"/>
      <c r="Z3038" s="4"/>
    </row>
    <row r="3039" ht="15.75" customHeight="1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 t="str">
        <f>IFERROR(__xludf.DUMMYFUNCTION("""COMPUTED_VALUE"""),"refrigeration services shop")</f>
        <v>refrigeration services shop</v>
      </c>
      <c r="U3039" s="4"/>
      <c r="V3039" s="4"/>
      <c r="W3039" s="4"/>
      <c r="X3039" s="4"/>
      <c r="Y3039" s="4"/>
      <c r="Z3039" s="4"/>
    </row>
    <row r="3040" ht="15.75" customHeight="1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 t="str">
        <f>IFERROR(__xludf.DUMMYFUNCTION("""COMPUTED_VALUE"""),"refrigeration services South Africa")</f>
        <v>refrigeration services South Africa</v>
      </c>
      <c r="U3040" s="4"/>
      <c r="V3040" s="4"/>
      <c r="W3040" s="4"/>
      <c r="X3040" s="4"/>
      <c r="Y3040" s="4"/>
      <c r="Z3040" s="4"/>
    </row>
    <row r="3041" ht="15.75" customHeight="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 t="str">
        <f>IFERROR(__xludf.DUMMYFUNCTION("""COMPUTED_VALUE"""),"refrigeration services Southern Suburbs")</f>
        <v>refrigeration services Southern Suburbs</v>
      </c>
      <c r="U3041" s="4"/>
      <c r="V3041" s="4"/>
      <c r="W3041" s="4"/>
      <c r="X3041" s="4"/>
      <c r="Y3041" s="4"/>
      <c r="Z3041" s="4"/>
    </row>
    <row r="3042" ht="15.75" customHeight="1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 t="str">
        <f>IFERROR(__xludf.DUMMYFUNCTION("""COMPUTED_VALUE"""),"refrigeration services Table View")</f>
        <v>refrigeration services Table View</v>
      </c>
      <c r="U3042" s="4"/>
      <c r="V3042" s="4"/>
      <c r="W3042" s="4"/>
      <c r="X3042" s="4"/>
      <c r="Y3042" s="4"/>
      <c r="Z3042" s="4"/>
    </row>
    <row r="3043" ht="15.75" customHeight="1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 t="str">
        <f>IFERROR(__xludf.DUMMYFUNCTION("""COMPUTED_VALUE"""),"refrigeration services tenant")</f>
        <v>refrigeration services tenant</v>
      </c>
      <c r="U3043" s="4"/>
      <c r="V3043" s="4"/>
      <c r="W3043" s="4"/>
      <c r="X3043" s="4"/>
      <c r="Y3043" s="4"/>
      <c r="Z3043" s="4"/>
    </row>
    <row r="3044" ht="15.75" customHeight="1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 t="str">
        <f>IFERROR(__xludf.DUMMYFUNCTION("""COMPUTED_VALUE"""),"refrigeration services Tokai")</f>
        <v>refrigeration services Tokai</v>
      </c>
      <c r="U3044" s="4"/>
      <c r="V3044" s="4"/>
      <c r="W3044" s="4"/>
      <c r="X3044" s="4"/>
      <c r="Y3044" s="4"/>
      <c r="Z3044" s="4"/>
    </row>
    <row r="3045" ht="15.75" customHeight="1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 t="str">
        <f>IFERROR(__xludf.DUMMYFUNCTION("""COMPUTED_VALUE"""),"refrigeration services townhouse")</f>
        <v>refrigeration services townhouse</v>
      </c>
      <c r="U3045" s="4"/>
      <c r="V3045" s="4"/>
      <c r="W3045" s="4"/>
      <c r="X3045" s="4"/>
      <c r="Y3045" s="4"/>
      <c r="Z3045" s="4"/>
    </row>
    <row r="3046" ht="15.75" customHeight="1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 t="str">
        <f>IFERROR(__xludf.DUMMYFUNCTION("""COMPUTED_VALUE"""),"refrigeration services Woodstock")</f>
        <v>refrigeration services Woodstock</v>
      </c>
      <c r="U3046" s="4"/>
      <c r="V3046" s="4"/>
      <c r="W3046" s="4"/>
      <c r="X3046" s="4"/>
      <c r="Y3046" s="4"/>
      <c r="Z3046" s="4"/>
    </row>
    <row r="3047" ht="15.75" customHeight="1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 t="str">
        <f>IFERROR(__xludf.DUMMYFUNCTION("""COMPUTED_VALUE"""),"refrigeration services Wynberg")</f>
        <v>refrigeration services Wynberg</v>
      </c>
      <c r="U3047" s="4"/>
      <c r="V3047" s="4"/>
      <c r="W3047" s="4"/>
      <c r="X3047" s="4"/>
      <c r="Y3047" s="4"/>
      <c r="Z3047" s="4"/>
    </row>
    <row r="3048" ht="15.75" customHeight="1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 t="str">
        <f>IFERROR(__xludf.DUMMYFUNCTION("""COMPUTED_VALUE"""),"reliable 24 hour plumber")</f>
        <v>reliable 24 hour plumber</v>
      </c>
      <c r="U3048" s="4"/>
      <c r="V3048" s="4"/>
      <c r="W3048" s="4"/>
      <c r="X3048" s="4"/>
      <c r="Y3048" s="4"/>
      <c r="Z3048" s="4"/>
    </row>
    <row r="3049" ht="15.75" customHeight="1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 t="str">
        <f>IFERROR(__xludf.DUMMYFUNCTION("""COMPUTED_VALUE"""),"reliable absolute plumbing cape town")</f>
        <v>reliable absolute plumbing cape town</v>
      </c>
      <c r="U3049" s="4"/>
      <c r="V3049" s="4"/>
      <c r="W3049" s="4"/>
      <c r="X3049" s="4"/>
      <c r="Y3049" s="4"/>
      <c r="Z3049" s="4"/>
    </row>
    <row r="3050" ht="15.75" customHeight="1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 t="str">
        <f>IFERROR(__xludf.DUMMYFUNCTION("""COMPUTED_VALUE"""),"reliable air conditioning")</f>
        <v>reliable air conditioning</v>
      </c>
      <c r="U3050" s="4"/>
      <c r="V3050" s="4"/>
      <c r="W3050" s="4"/>
      <c r="X3050" s="4"/>
      <c r="Y3050" s="4"/>
      <c r="Z3050" s="4"/>
    </row>
    <row r="3051" ht="15.75" customHeight="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 t="str">
        <f>IFERROR(__xludf.DUMMYFUNCTION("""COMPUTED_VALUE"""),"reliable air conditioning repair")</f>
        <v>reliable air conditioning repair</v>
      </c>
      <c r="U3051" s="4"/>
      <c r="V3051" s="4"/>
      <c r="W3051" s="4"/>
      <c r="X3051" s="4"/>
      <c r="Y3051" s="4"/>
      <c r="Z3051" s="4"/>
    </row>
    <row r="3052" ht="15.75" customHeight="1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 t="str">
        <f>IFERROR(__xludf.DUMMYFUNCTION("""COMPUTED_VALUE"""),"reliable aircon installation")</f>
        <v>reliable aircon installation</v>
      </c>
      <c r="U3052" s="4"/>
      <c r="V3052" s="4"/>
      <c r="W3052" s="4"/>
      <c r="X3052" s="4"/>
      <c r="Y3052" s="4"/>
      <c r="Z3052" s="4"/>
    </row>
    <row r="3053" ht="15.75" customHeight="1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 t="str">
        <f>IFERROR(__xludf.DUMMYFUNCTION("""COMPUTED_VALUE"""),"reliable aircon repair")</f>
        <v>reliable aircon repair</v>
      </c>
      <c r="U3053" s="4"/>
      <c r="V3053" s="4"/>
      <c r="W3053" s="4"/>
      <c r="X3053" s="4"/>
      <c r="Y3053" s="4"/>
      <c r="Z3053" s="4"/>
    </row>
    <row r="3054" ht="15.75" customHeight="1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 t="str">
        <f>IFERROR(__xludf.DUMMYFUNCTION("""COMPUTED_VALUE"""),"reliable aircon repair cape town")</f>
        <v>reliable aircon repair cape town</v>
      </c>
      <c r="U3054" s="4"/>
      <c r="V3054" s="4"/>
      <c r="W3054" s="4"/>
      <c r="X3054" s="4"/>
      <c r="Y3054" s="4"/>
      <c r="Z3054" s="4"/>
    </row>
    <row r="3055" ht="15.75" customHeight="1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 t="str">
        <f>IFERROR(__xludf.DUMMYFUNCTION("""COMPUTED_VALUE"""),"reliable aircon service")</f>
        <v>reliable aircon service</v>
      </c>
      <c r="U3055" s="4"/>
      <c r="V3055" s="4"/>
      <c r="W3055" s="4"/>
      <c r="X3055" s="4"/>
      <c r="Y3055" s="4"/>
      <c r="Z3055" s="4"/>
    </row>
    <row r="3056" ht="15.75" customHeight="1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 t="str">
        <f>IFERROR(__xludf.DUMMYFUNCTION("""COMPUTED_VALUE"""),"reliable bathroom plumbing repair")</f>
        <v>reliable bathroom plumbing repair</v>
      </c>
      <c r="U3056" s="4"/>
      <c r="V3056" s="4"/>
      <c r="W3056" s="4"/>
      <c r="X3056" s="4"/>
      <c r="Y3056" s="4"/>
      <c r="Z3056" s="4"/>
    </row>
    <row r="3057" ht="15.75" customHeight="1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 t="str">
        <f>IFERROR(__xludf.DUMMYFUNCTION("""COMPUTED_VALUE"""),"reliable blocked drain")</f>
        <v>reliable blocked drain</v>
      </c>
      <c r="U3057" s="4"/>
      <c r="V3057" s="4"/>
      <c r="W3057" s="4"/>
      <c r="X3057" s="4"/>
      <c r="Y3057" s="4"/>
      <c r="Z3057" s="4"/>
    </row>
    <row r="3058" ht="15.75" customHeight="1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 t="str">
        <f>IFERROR(__xludf.DUMMYFUNCTION("""COMPUTED_VALUE"""),"reliable blocked toilet plumber")</f>
        <v>reliable blocked toilet plumber</v>
      </c>
      <c r="U3058" s="4"/>
      <c r="V3058" s="4"/>
      <c r="W3058" s="4"/>
      <c r="X3058" s="4"/>
      <c r="Y3058" s="4"/>
      <c r="Z3058" s="4"/>
    </row>
    <row r="3059" ht="15.75" customHeight="1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 t="str">
        <f>IFERROR(__xludf.DUMMYFUNCTION("""COMPUTED_VALUE"""),"reliable bosman plumbers")</f>
        <v>reliable bosman plumbers</v>
      </c>
      <c r="U3059" s="4"/>
      <c r="V3059" s="4"/>
      <c r="W3059" s="4"/>
      <c r="X3059" s="4"/>
      <c r="Y3059" s="4"/>
      <c r="Z3059" s="4"/>
    </row>
    <row r="3060" ht="15.75" customHeight="1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 t="str">
        <f>IFERROR(__xludf.DUMMYFUNCTION("""COMPUTED_VALUE"""),"reliable burst geyser")</f>
        <v>reliable burst geyser</v>
      </c>
      <c r="U3060" s="4"/>
      <c r="V3060" s="4"/>
      <c r="W3060" s="4"/>
      <c r="X3060" s="4"/>
      <c r="Y3060" s="4"/>
      <c r="Z3060" s="4"/>
    </row>
    <row r="3061" ht="15.75" customHeight="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 t="str">
        <f>IFERROR(__xludf.DUMMYFUNCTION("""COMPUTED_VALUE"""),"reliable burst pipe repair")</f>
        <v>reliable burst pipe repair</v>
      </c>
      <c r="U3061" s="4"/>
      <c r="V3061" s="4"/>
      <c r="W3061" s="4"/>
      <c r="X3061" s="4"/>
      <c r="Y3061" s="4"/>
      <c r="Z3061" s="4"/>
    </row>
    <row r="3062" ht="15.75" customHeight="1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 t="str">
        <f>IFERROR(__xludf.DUMMYFUNCTION("""COMPUTED_VALUE"""),"reliable cold room repair")</f>
        <v>reliable cold room repair</v>
      </c>
      <c r="U3062" s="4"/>
      <c r="V3062" s="4"/>
      <c r="W3062" s="4"/>
      <c r="X3062" s="4"/>
      <c r="Y3062" s="4"/>
      <c r="Z3062" s="4"/>
    </row>
    <row r="3063" ht="15.75" customHeight="1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 t="str">
        <f>IFERROR(__xludf.DUMMYFUNCTION("""COMPUTED_VALUE"""),"reliable commercial electrician")</f>
        <v>reliable commercial electrician</v>
      </c>
      <c r="U3063" s="4"/>
      <c r="V3063" s="4"/>
      <c r="W3063" s="4"/>
      <c r="X3063" s="4"/>
      <c r="Y3063" s="4"/>
      <c r="Z3063" s="4"/>
    </row>
    <row r="3064" ht="15.75" customHeight="1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 t="str">
        <f>IFERROR(__xludf.DUMMYFUNCTION("""COMPUTED_VALUE"""),"reliable commercial plumber")</f>
        <v>reliable commercial plumber</v>
      </c>
      <c r="U3064" s="4"/>
      <c r="V3064" s="4"/>
      <c r="W3064" s="4"/>
      <c r="X3064" s="4"/>
      <c r="Y3064" s="4"/>
      <c r="Z3064" s="4"/>
    </row>
    <row r="3065" ht="15.75" customHeight="1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 t="str">
        <f>IFERROR(__xludf.DUMMYFUNCTION("""COMPUTED_VALUE"""),"reliable commercial refrigeration")</f>
        <v>reliable commercial refrigeration</v>
      </c>
      <c r="U3065" s="4"/>
      <c r="V3065" s="4"/>
      <c r="W3065" s="4"/>
      <c r="X3065" s="4"/>
      <c r="Y3065" s="4"/>
      <c r="Z3065" s="4"/>
    </row>
    <row r="3066" ht="15.75" customHeight="1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 t="str">
        <f>IFERROR(__xludf.DUMMYFUNCTION("""COMPUTED_VALUE"""),"reliable drain cleaning")</f>
        <v>reliable drain cleaning</v>
      </c>
      <c r="U3066" s="4"/>
      <c r="V3066" s="4"/>
      <c r="W3066" s="4"/>
      <c r="X3066" s="4"/>
      <c r="Y3066" s="4"/>
      <c r="Z3066" s="4"/>
    </row>
    <row r="3067" ht="15.75" customHeight="1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 t="str">
        <f>IFERROR(__xludf.DUMMYFUNCTION("""COMPUTED_VALUE"""),"reliable drain inspection")</f>
        <v>reliable drain inspection</v>
      </c>
      <c r="U3067" s="4"/>
      <c r="V3067" s="4"/>
      <c r="W3067" s="4"/>
      <c r="X3067" s="4"/>
      <c r="Y3067" s="4"/>
      <c r="Z3067" s="4"/>
    </row>
    <row r="3068" ht="15.75" customHeight="1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 t="str">
        <f>IFERROR(__xludf.DUMMYFUNCTION("""COMPUTED_VALUE"""),"reliable drain surgeon cape town")</f>
        <v>reliable drain surgeon cape town</v>
      </c>
      <c r="U3068" s="4"/>
      <c r="V3068" s="4"/>
      <c r="W3068" s="4"/>
      <c r="X3068" s="4"/>
      <c r="Y3068" s="4"/>
      <c r="Z3068" s="4"/>
    </row>
    <row r="3069" ht="15.75" customHeight="1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 t="str">
        <f>IFERROR(__xludf.DUMMYFUNCTION("""COMPUTED_VALUE"""),"reliable drain unblocking")</f>
        <v>reliable drain unblocking</v>
      </c>
      <c r="U3069" s="4"/>
      <c r="V3069" s="4"/>
      <c r="W3069" s="4"/>
      <c r="X3069" s="4"/>
      <c r="Y3069" s="4"/>
      <c r="Z3069" s="4"/>
    </row>
    <row r="3070" ht="15.75" customHeight="1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 t="str">
        <f>IFERROR(__xludf.DUMMYFUNCTION("""COMPUTED_VALUE"""),"reliable electrical compliance certificate")</f>
        <v>reliable electrical compliance certificate</v>
      </c>
      <c r="U3070" s="4"/>
      <c r="V3070" s="4"/>
      <c r="W3070" s="4"/>
      <c r="X3070" s="4"/>
      <c r="Y3070" s="4"/>
      <c r="Z3070" s="4"/>
    </row>
    <row r="3071" ht="15.75" customHeight="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 t="str">
        <f>IFERROR(__xludf.DUMMYFUNCTION("""COMPUTED_VALUE"""),"reliable electrical contractor")</f>
        <v>reliable electrical contractor</v>
      </c>
      <c r="U3071" s="4"/>
      <c r="V3071" s="4"/>
      <c r="W3071" s="4"/>
      <c r="X3071" s="4"/>
      <c r="Y3071" s="4"/>
      <c r="Z3071" s="4"/>
    </row>
    <row r="3072" ht="15.75" customHeight="1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 t="str">
        <f>IFERROR(__xludf.DUMMYFUNCTION("""COMPUTED_VALUE"""),"reliable electrical installation")</f>
        <v>reliable electrical installation</v>
      </c>
      <c r="U3072" s="4"/>
      <c r="V3072" s="4"/>
      <c r="W3072" s="4"/>
      <c r="X3072" s="4"/>
      <c r="Y3072" s="4"/>
      <c r="Z3072" s="4"/>
    </row>
    <row r="3073" ht="15.75" customHeight="1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 t="str">
        <f>IFERROR(__xludf.DUMMYFUNCTION("""COMPUTED_VALUE"""),"reliable electrical maintenance")</f>
        <v>reliable electrical maintenance</v>
      </c>
      <c r="U3073" s="4"/>
      <c r="V3073" s="4"/>
      <c r="W3073" s="4"/>
      <c r="X3073" s="4"/>
      <c r="Y3073" s="4"/>
      <c r="Z3073" s="4"/>
    </row>
    <row r="3074" ht="15.75" customHeight="1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 t="str">
        <f>IFERROR(__xludf.DUMMYFUNCTION("""COMPUTED_VALUE"""),"reliable electrical repairs")</f>
        <v>reliable electrical repairs</v>
      </c>
      <c r="U3074" s="4"/>
      <c r="V3074" s="4"/>
      <c r="W3074" s="4"/>
      <c r="X3074" s="4"/>
      <c r="Y3074" s="4"/>
      <c r="Z3074" s="4"/>
    </row>
    <row r="3075" ht="15.75" customHeight="1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 t="str">
        <f>IFERROR(__xludf.DUMMYFUNCTION("""COMPUTED_VALUE"""),"reliable electrical services")</f>
        <v>reliable electrical services</v>
      </c>
      <c r="U3075" s="4"/>
      <c r="V3075" s="4"/>
      <c r="W3075" s="4"/>
      <c r="X3075" s="4"/>
      <c r="Y3075" s="4"/>
      <c r="Z3075" s="4"/>
    </row>
    <row r="3076" ht="15.75" customHeight="1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 t="str">
        <f>IFERROR(__xludf.DUMMYFUNCTION("""COMPUTED_VALUE"""),"reliable electrician cape town")</f>
        <v>reliable electrician cape town</v>
      </c>
      <c r="U3076" s="4"/>
      <c r="V3076" s="4"/>
      <c r="W3076" s="4"/>
      <c r="X3076" s="4"/>
      <c r="Y3076" s="4"/>
      <c r="Z3076" s="4"/>
    </row>
    <row r="3077" ht="15.75" customHeight="1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 t="str">
        <f>IFERROR(__xludf.DUMMYFUNCTION("""COMPUTED_VALUE"""),"reliable emergency electrician")</f>
        <v>reliable emergency electrician</v>
      </c>
      <c r="U3077" s="4"/>
      <c r="V3077" s="4"/>
      <c r="W3077" s="4"/>
      <c r="X3077" s="4"/>
      <c r="Y3077" s="4"/>
      <c r="Z3077" s="4"/>
    </row>
    <row r="3078" ht="15.75" customHeight="1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 t="str">
        <f>IFERROR(__xludf.DUMMYFUNCTION("""COMPUTED_VALUE"""),"reliable emergency plumber")</f>
        <v>reliable emergency plumber</v>
      </c>
      <c r="U3078" s="4"/>
      <c r="V3078" s="4"/>
      <c r="W3078" s="4"/>
      <c r="X3078" s="4"/>
      <c r="Y3078" s="4"/>
      <c r="Z3078" s="4"/>
    </row>
    <row r="3079" ht="15.75" customHeight="1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 t="str">
        <f>IFERROR(__xludf.DUMMYFUNCTION("""COMPUTED_VALUE"""),"reliable emergency plumber cape town")</f>
        <v>reliable emergency plumber cape town</v>
      </c>
      <c r="U3079" s="4"/>
      <c r="V3079" s="4"/>
      <c r="W3079" s="4"/>
      <c r="X3079" s="4"/>
      <c r="Y3079" s="4"/>
      <c r="Z3079" s="4"/>
    </row>
    <row r="3080" ht="15.75" customHeight="1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 t="str">
        <f>IFERROR(__xludf.DUMMYFUNCTION("""COMPUTED_VALUE"""),"reliable fridge repair")</f>
        <v>reliable fridge repair</v>
      </c>
      <c r="U3080" s="4"/>
      <c r="V3080" s="4"/>
      <c r="W3080" s="4"/>
      <c r="X3080" s="4"/>
      <c r="Y3080" s="4"/>
      <c r="Z3080" s="4"/>
    </row>
    <row r="3081" ht="15.75" customHeight="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 t="str">
        <f>IFERROR(__xludf.DUMMYFUNCTION("""COMPUTED_VALUE"""),"reliable geyser repair")</f>
        <v>reliable geyser repair</v>
      </c>
      <c r="U3081" s="4"/>
      <c r="V3081" s="4"/>
      <c r="W3081" s="4"/>
      <c r="X3081" s="4"/>
      <c r="Y3081" s="4"/>
      <c r="Z3081" s="4"/>
    </row>
    <row r="3082" ht="15.75" customHeight="1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 t="str">
        <f>IFERROR(__xludf.DUMMYFUNCTION("""COMPUTED_VALUE"""),"reliable geyser replacement")</f>
        <v>reliable geyser replacement</v>
      </c>
      <c r="U3082" s="4"/>
      <c r="V3082" s="4"/>
      <c r="W3082" s="4"/>
      <c r="X3082" s="4"/>
      <c r="Y3082" s="4"/>
      <c r="Z3082" s="4"/>
    </row>
    <row r="3083" ht="15.75" customHeight="1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 t="str">
        <f>IFERROR(__xludf.DUMMYFUNCTION("""COMPUTED_VALUE"""),"reliable HVAC services")</f>
        <v>reliable HVAC services</v>
      </c>
      <c r="U3083" s="4"/>
      <c r="V3083" s="4"/>
      <c r="W3083" s="4"/>
      <c r="X3083" s="4"/>
      <c r="Y3083" s="4"/>
      <c r="Z3083" s="4"/>
    </row>
    <row r="3084" ht="15.75" customHeight="1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 t="str">
        <f>IFERROR(__xludf.DUMMYFUNCTION("""COMPUTED_VALUE"""),"reliable kitchen plumbing repair")</f>
        <v>reliable kitchen plumbing repair</v>
      </c>
      <c r="U3084" s="4"/>
      <c r="V3084" s="4"/>
      <c r="W3084" s="4"/>
      <c r="X3084" s="4"/>
      <c r="Y3084" s="4"/>
      <c r="Z3084" s="4"/>
    </row>
    <row r="3085" ht="15.75" customHeight="1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 t="str">
        <f>IFERROR(__xludf.DUMMYFUNCTION("""COMPUTED_VALUE"""),"reliable leak detection")</f>
        <v>reliable leak detection</v>
      </c>
      <c r="U3085" s="4"/>
      <c r="V3085" s="4"/>
      <c r="W3085" s="4"/>
      <c r="X3085" s="4"/>
      <c r="Y3085" s="4"/>
      <c r="Z3085" s="4"/>
    </row>
    <row r="3086" ht="15.75" customHeight="1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 t="str">
        <f>IFERROR(__xludf.DUMMYFUNCTION("""COMPUTED_VALUE"""),"reliable leaking pipe repair")</f>
        <v>reliable leaking pipe repair</v>
      </c>
      <c r="U3086" s="4"/>
      <c r="V3086" s="4"/>
      <c r="W3086" s="4"/>
      <c r="X3086" s="4"/>
      <c r="Y3086" s="4"/>
      <c r="Z3086" s="4"/>
    </row>
    <row r="3087" ht="15.75" customHeight="1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 t="str">
        <f>IFERROR(__xludf.DUMMYFUNCTION("""COMPUTED_VALUE"""),"reliable leaking tap repair")</f>
        <v>reliable leaking tap repair</v>
      </c>
      <c r="U3087" s="4"/>
      <c r="V3087" s="4"/>
      <c r="W3087" s="4"/>
      <c r="X3087" s="4"/>
      <c r="Y3087" s="4"/>
      <c r="Z3087" s="4"/>
    </row>
    <row r="3088" ht="15.75" customHeight="1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 t="str">
        <f>IFERROR(__xludf.DUMMYFUNCTION("""COMPUTED_VALUE"""),"reliable maintenance plumber")</f>
        <v>reliable maintenance plumber</v>
      </c>
      <c r="U3088" s="4"/>
      <c r="V3088" s="4"/>
      <c r="W3088" s="4"/>
      <c r="X3088" s="4"/>
      <c r="Y3088" s="4"/>
      <c r="Z3088" s="4"/>
    </row>
    <row r="3089" ht="15.75" customHeight="1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 t="str">
        <f>IFERROR(__xludf.DUMMYFUNCTION("""COMPUTED_VALUE"""),"reliable pipe repair")</f>
        <v>reliable pipe repair</v>
      </c>
      <c r="U3089" s="4"/>
      <c r="V3089" s="4"/>
      <c r="W3089" s="4"/>
      <c r="X3089" s="4"/>
      <c r="Y3089" s="4"/>
      <c r="Z3089" s="4"/>
    </row>
    <row r="3090" ht="15.75" customHeight="1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 t="str">
        <f>IFERROR(__xludf.DUMMYFUNCTION("""COMPUTED_VALUE"""),"reliable plumber cape town")</f>
        <v>reliable plumber cape town</v>
      </c>
      <c r="U3090" s="4"/>
      <c r="V3090" s="4"/>
      <c r="W3090" s="4"/>
      <c r="X3090" s="4"/>
      <c r="Y3090" s="4"/>
      <c r="Z3090" s="4"/>
    </row>
    <row r="3091" ht="15.75" customHeight="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 t="str">
        <f>IFERROR(__xludf.DUMMYFUNCTION("""COMPUTED_VALUE"""),"reliable plumber near me")</f>
        <v>reliable plumber near me</v>
      </c>
      <c r="U3091" s="4"/>
      <c r="V3091" s="4"/>
      <c r="W3091" s="4"/>
      <c r="X3091" s="4"/>
      <c r="Y3091" s="4"/>
      <c r="Z3091" s="4"/>
    </row>
    <row r="3092" ht="15.75" customHeight="1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 t="str">
        <f>IFERROR(__xludf.DUMMYFUNCTION("""COMPUTED_VALUE"""),"reliable plumbers cape town")</f>
        <v>reliable plumbers cape town</v>
      </c>
      <c r="U3092" s="4"/>
      <c r="V3092" s="4"/>
      <c r="W3092" s="4"/>
      <c r="X3092" s="4"/>
      <c r="Y3092" s="4"/>
      <c r="Z3092" s="4"/>
    </row>
    <row r="3093" ht="15.75" customHeight="1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 t="str">
        <f>IFERROR(__xludf.DUMMYFUNCTION("""COMPUTED_VALUE"""),"reliable plumbing company")</f>
        <v>reliable plumbing company</v>
      </c>
      <c r="U3093" s="4"/>
      <c r="V3093" s="4"/>
      <c r="W3093" s="4"/>
      <c r="X3093" s="4"/>
      <c r="Y3093" s="4"/>
      <c r="Z3093" s="4"/>
    </row>
    <row r="3094" ht="15.75" customHeight="1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 t="str">
        <f>IFERROR(__xludf.DUMMYFUNCTION("""COMPUTED_VALUE"""),"reliable plumbing company cape town")</f>
        <v>reliable plumbing company cape town</v>
      </c>
      <c r="U3094" s="4"/>
      <c r="V3094" s="4"/>
      <c r="W3094" s="4"/>
      <c r="X3094" s="4"/>
      <c r="Y3094" s="4"/>
      <c r="Z3094" s="4"/>
    </row>
    <row r="3095" ht="15.75" customHeight="1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 t="str">
        <f>IFERROR(__xludf.DUMMYFUNCTION("""COMPUTED_VALUE"""),"reliable plumbing contractors")</f>
        <v>reliable plumbing contractors</v>
      </c>
      <c r="U3095" s="4"/>
      <c r="V3095" s="4"/>
      <c r="W3095" s="4"/>
      <c r="X3095" s="4"/>
      <c r="Y3095" s="4"/>
      <c r="Z3095" s="4"/>
    </row>
    <row r="3096" ht="15.75" customHeight="1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 t="str">
        <f>IFERROR(__xludf.DUMMYFUNCTION("""COMPUTED_VALUE"""),"reliable plumbing inspection")</f>
        <v>reliable plumbing inspection</v>
      </c>
      <c r="U3096" s="4"/>
      <c r="V3096" s="4"/>
      <c r="W3096" s="4"/>
      <c r="X3096" s="4"/>
      <c r="Y3096" s="4"/>
      <c r="Z3096" s="4"/>
    </row>
    <row r="3097" ht="15.75" customHeight="1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 t="str">
        <f>IFERROR(__xludf.DUMMYFUNCTION("""COMPUTED_VALUE"""),"reliable plumbing installation")</f>
        <v>reliable plumbing installation</v>
      </c>
      <c r="U3097" s="4"/>
      <c r="V3097" s="4"/>
      <c r="W3097" s="4"/>
      <c r="X3097" s="4"/>
      <c r="Y3097" s="4"/>
      <c r="Z3097" s="4"/>
    </row>
    <row r="3098" ht="15.75" customHeight="1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 t="str">
        <f>IFERROR(__xludf.DUMMYFUNCTION("""COMPUTED_VALUE"""),"reliable plumbing repairs")</f>
        <v>reliable plumbing repairs</v>
      </c>
      <c r="U3098" s="4"/>
      <c r="V3098" s="4"/>
      <c r="W3098" s="4"/>
      <c r="X3098" s="4"/>
      <c r="Y3098" s="4"/>
      <c r="Z3098" s="4"/>
    </row>
    <row r="3099" ht="15.75" customHeight="1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 t="str">
        <f>IFERROR(__xludf.DUMMYFUNCTION("""COMPUTED_VALUE"""),"reliable plumbing services")</f>
        <v>reliable plumbing services</v>
      </c>
      <c r="U3099" s="4"/>
      <c r="V3099" s="4"/>
      <c r="W3099" s="4"/>
      <c r="X3099" s="4"/>
      <c r="Y3099" s="4"/>
      <c r="Z3099" s="4"/>
    </row>
    <row r="3100" ht="15.75" customHeight="1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 t="str">
        <f>IFERROR(__xludf.DUMMYFUNCTION("""COMPUTED_VALUE"""),"reliable refrigeration repair")</f>
        <v>reliable refrigeration repair</v>
      </c>
      <c r="U3100" s="4"/>
      <c r="V3100" s="4"/>
      <c r="W3100" s="4"/>
      <c r="X3100" s="4"/>
      <c r="Y3100" s="4"/>
      <c r="Z3100" s="4"/>
    </row>
    <row r="3101" ht="15.75" customHeight="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 t="str">
        <f>IFERROR(__xludf.DUMMYFUNCTION("""COMPUTED_VALUE"""),"reliable residential electrician")</f>
        <v>reliable residential electrician</v>
      </c>
      <c r="U3101" s="4"/>
      <c r="V3101" s="4"/>
      <c r="W3101" s="4"/>
      <c r="X3101" s="4"/>
      <c r="Y3101" s="4"/>
      <c r="Z3101" s="4"/>
    </row>
    <row r="3102" ht="15.75" customHeight="1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 t="str">
        <f>IFERROR(__xludf.DUMMYFUNCTION("""COMPUTED_VALUE"""),"reliable residential plumber")</f>
        <v>reliable residential plumber</v>
      </c>
      <c r="U3102" s="4"/>
      <c r="V3102" s="4"/>
      <c r="W3102" s="4"/>
      <c r="X3102" s="4"/>
      <c r="Y3102" s="4"/>
      <c r="Z3102" s="4"/>
    </row>
    <row r="3103" ht="15.75" customHeight="1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 t="str">
        <f>IFERROR(__xludf.DUMMYFUNCTION("""COMPUTED_VALUE"""),"reliable schmidhauser plumbing")</f>
        <v>reliable schmidhauser plumbing</v>
      </c>
      <c r="U3103" s="4"/>
      <c r="V3103" s="4"/>
      <c r="W3103" s="4"/>
      <c r="X3103" s="4"/>
      <c r="Y3103" s="4"/>
      <c r="Z3103" s="4"/>
    </row>
    <row r="3104" ht="15.75" customHeight="1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 t="str">
        <f>IFERROR(__xludf.DUMMYFUNCTION("""COMPUTED_VALUE"""),"reliable toilet repair")</f>
        <v>reliable toilet repair</v>
      </c>
      <c r="U3104" s="4"/>
      <c r="V3104" s="4"/>
      <c r="W3104" s="4"/>
      <c r="X3104" s="4"/>
      <c r="Y3104" s="4"/>
      <c r="Z3104" s="4"/>
    </row>
    <row r="3105" ht="15.75" customHeight="1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 t="str">
        <f>IFERROR(__xludf.DUMMYFUNCTION("""COMPUTED_VALUE"""),"reliable water leak detection")</f>
        <v>reliable water leak detection</v>
      </c>
      <c r="U3105" s="4"/>
      <c r="V3105" s="4"/>
      <c r="W3105" s="4"/>
      <c r="X3105" s="4"/>
      <c r="Y3105" s="4"/>
      <c r="Z3105" s="4"/>
    </row>
    <row r="3106" ht="15.75" customHeight="1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 t="str">
        <f>IFERROR(__xludf.DUMMYFUNCTION("""COMPUTED_VALUE"""),"reliable water leak repair")</f>
        <v>reliable water leak repair</v>
      </c>
      <c r="U3106" s="4"/>
      <c r="V3106" s="4"/>
      <c r="W3106" s="4"/>
      <c r="X3106" s="4"/>
      <c r="Y3106" s="4"/>
      <c r="Z3106" s="4"/>
    </row>
    <row r="3107" ht="15.75" customHeight="1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 t="str">
        <f>IFERROR(__xludf.DUMMYFUNCTION("""COMPUTED_VALUE"""),"repair 24 hour plumber")</f>
        <v>repair 24 hour plumber</v>
      </c>
      <c r="U3107" s="4"/>
      <c r="V3107" s="4"/>
      <c r="W3107" s="4"/>
      <c r="X3107" s="4"/>
      <c r="Y3107" s="4"/>
      <c r="Z3107" s="4"/>
    </row>
    <row r="3108" ht="15.75" customHeight="1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 t="str">
        <f>IFERROR(__xludf.DUMMYFUNCTION("""COMPUTED_VALUE"""),"repair air conditioning")</f>
        <v>repair air conditioning</v>
      </c>
      <c r="U3108" s="4"/>
      <c r="V3108" s="4"/>
      <c r="W3108" s="4"/>
      <c r="X3108" s="4"/>
      <c r="Y3108" s="4"/>
      <c r="Z3108" s="4"/>
    </row>
    <row r="3109" ht="15.75" customHeight="1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 t="str">
        <f>IFERROR(__xludf.DUMMYFUNCTION("""COMPUTED_VALUE"""),"repair aircon installation")</f>
        <v>repair aircon installation</v>
      </c>
      <c r="U3109" s="4"/>
      <c r="V3109" s="4"/>
      <c r="W3109" s="4"/>
      <c r="X3109" s="4"/>
      <c r="Y3109" s="4"/>
      <c r="Z3109" s="4"/>
    </row>
    <row r="3110" ht="15.75" customHeight="1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 t="str">
        <f>IFERROR(__xludf.DUMMYFUNCTION("""COMPUTED_VALUE"""),"repair aircon service")</f>
        <v>repair aircon service</v>
      </c>
      <c r="U3110" s="4"/>
      <c r="V3110" s="4"/>
      <c r="W3110" s="4"/>
      <c r="X3110" s="4"/>
      <c r="Y3110" s="4"/>
      <c r="Z3110" s="4"/>
    </row>
    <row r="3111" ht="15.75" customHeight="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 t="str">
        <f>IFERROR(__xludf.DUMMYFUNCTION("""COMPUTED_VALUE"""),"repair blocked drain")</f>
        <v>repair blocked drain</v>
      </c>
      <c r="U3111" s="4"/>
      <c r="V3111" s="4"/>
      <c r="W3111" s="4"/>
      <c r="X3111" s="4"/>
      <c r="Y3111" s="4"/>
      <c r="Z3111" s="4"/>
    </row>
    <row r="3112" ht="15.75" customHeight="1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 t="str">
        <f>IFERROR(__xludf.DUMMYFUNCTION("""COMPUTED_VALUE"""),"repair blocked toilet plumber")</f>
        <v>repair blocked toilet plumber</v>
      </c>
      <c r="U3112" s="4"/>
      <c r="V3112" s="4"/>
      <c r="W3112" s="4"/>
      <c r="X3112" s="4"/>
      <c r="Y3112" s="4"/>
      <c r="Z3112" s="4"/>
    </row>
    <row r="3113" ht="15.75" customHeight="1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 t="str">
        <f>IFERROR(__xludf.DUMMYFUNCTION("""COMPUTED_VALUE"""),"repair burst geyser")</f>
        <v>repair burst geyser</v>
      </c>
      <c r="U3113" s="4"/>
      <c r="V3113" s="4"/>
      <c r="W3113" s="4"/>
      <c r="X3113" s="4"/>
      <c r="Y3113" s="4"/>
      <c r="Z3113" s="4"/>
    </row>
    <row r="3114" ht="15.75" customHeight="1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 t="str">
        <f>IFERROR(__xludf.DUMMYFUNCTION("""COMPUTED_VALUE"""),"repair commercial electrician")</f>
        <v>repair commercial electrician</v>
      </c>
      <c r="U3114" s="4"/>
      <c r="V3114" s="4"/>
      <c r="W3114" s="4"/>
      <c r="X3114" s="4"/>
      <c r="Y3114" s="4"/>
      <c r="Z3114" s="4"/>
    </row>
    <row r="3115" ht="15.75" customHeight="1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 t="str">
        <f>IFERROR(__xludf.DUMMYFUNCTION("""COMPUTED_VALUE"""),"repair commercial plumber")</f>
        <v>repair commercial plumber</v>
      </c>
      <c r="U3115" s="4"/>
      <c r="V3115" s="4"/>
      <c r="W3115" s="4"/>
      <c r="X3115" s="4"/>
      <c r="Y3115" s="4"/>
      <c r="Z3115" s="4"/>
    </row>
    <row r="3116" ht="15.75" customHeight="1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 t="str">
        <f>IFERROR(__xludf.DUMMYFUNCTION("""COMPUTED_VALUE"""),"repair commercial refrigeration")</f>
        <v>repair commercial refrigeration</v>
      </c>
      <c r="U3116" s="4"/>
      <c r="V3116" s="4"/>
      <c r="W3116" s="4"/>
      <c r="X3116" s="4"/>
      <c r="Y3116" s="4"/>
      <c r="Z3116" s="4"/>
    </row>
    <row r="3117" ht="15.75" customHeight="1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 t="str">
        <f>IFERROR(__xludf.DUMMYFUNCTION("""COMPUTED_VALUE"""),"repair drain cleaning")</f>
        <v>repair drain cleaning</v>
      </c>
      <c r="U3117" s="4"/>
      <c r="V3117" s="4"/>
      <c r="W3117" s="4"/>
      <c r="X3117" s="4"/>
      <c r="Y3117" s="4"/>
      <c r="Z3117" s="4"/>
    </row>
    <row r="3118" ht="15.75" customHeight="1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 t="str">
        <f>IFERROR(__xludf.DUMMYFUNCTION("""COMPUTED_VALUE"""),"repair drain inspection")</f>
        <v>repair drain inspection</v>
      </c>
      <c r="U3118" s="4"/>
      <c r="V3118" s="4"/>
      <c r="W3118" s="4"/>
      <c r="X3118" s="4"/>
      <c r="Y3118" s="4"/>
      <c r="Z3118" s="4"/>
    </row>
    <row r="3119" ht="15.75" customHeight="1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 t="str">
        <f>IFERROR(__xludf.DUMMYFUNCTION("""COMPUTED_VALUE"""),"repair drain unblocking")</f>
        <v>repair drain unblocking</v>
      </c>
      <c r="U3119" s="4"/>
      <c r="V3119" s="4"/>
      <c r="W3119" s="4"/>
      <c r="X3119" s="4"/>
      <c r="Y3119" s="4"/>
      <c r="Z3119" s="4"/>
    </row>
    <row r="3120" ht="15.75" customHeight="1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 t="str">
        <f>IFERROR(__xludf.DUMMYFUNCTION("""COMPUTED_VALUE"""),"repair electrical compliance certificate")</f>
        <v>repair electrical compliance certificate</v>
      </c>
      <c r="U3120" s="4"/>
      <c r="V3120" s="4"/>
      <c r="W3120" s="4"/>
      <c r="X3120" s="4"/>
      <c r="Y3120" s="4"/>
      <c r="Z3120" s="4"/>
    </row>
    <row r="3121" ht="15.75" customHeight="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 t="str">
        <f>IFERROR(__xludf.DUMMYFUNCTION("""COMPUTED_VALUE"""),"repair electrical contractor")</f>
        <v>repair electrical contractor</v>
      </c>
      <c r="U3121" s="4"/>
      <c r="V3121" s="4"/>
      <c r="W3121" s="4"/>
      <c r="X3121" s="4"/>
      <c r="Y3121" s="4"/>
      <c r="Z3121" s="4"/>
    </row>
    <row r="3122" ht="15.75" customHeight="1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 t="str">
        <f>IFERROR(__xludf.DUMMYFUNCTION("""COMPUTED_VALUE"""),"repair electrical installation")</f>
        <v>repair electrical installation</v>
      </c>
      <c r="U3122" s="4"/>
      <c r="V3122" s="4"/>
      <c r="W3122" s="4"/>
      <c r="X3122" s="4"/>
      <c r="Y3122" s="4"/>
      <c r="Z3122" s="4"/>
    </row>
    <row r="3123" ht="15.75" customHeight="1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 t="str">
        <f>IFERROR(__xludf.DUMMYFUNCTION("""COMPUTED_VALUE"""),"repair electrical maintenance")</f>
        <v>repair electrical maintenance</v>
      </c>
      <c r="U3123" s="4"/>
      <c r="V3123" s="4"/>
      <c r="W3123" s="4"/>
      <c r="X3123" s="4"/>
      <c r="Y3123" s="4"/>
      <c r="Z3123" s="4"/>
    </row>
    <row r="3124" ht="15.75" customHeight="1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 t="str">
        <f>IFERROR(__xludf.DUMMYFUNCTION("""COMPUTED_VALUE"""),"repair electrical services")</f>
        <v>repair electrical services</v>
      </c>
      <c r="U3124" s="4"/>
      <c r="V3124" s="4"/>
      <c r="W3124" s="4"/>
      <c r="X3124" s="4"/>
      <c r="Y3124" s="4"/>
      <c r="Z3124" s="4"/>
    </row>
    <row r="3125" ht="15.75" customHeight="1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 t="str">
        <f>IFERROR(__xludf.DUMMYFUNCTION("""COMPUTED_VALUE"""),"repair electrician cape town")</f>
        <v>repair electrician cape town</v>
      </c>
      <c r="U3125" s="4"/>
      <c r="V3125" s="4"/>
      <c r="W3125" s="4"/>
      <c r="X3125" s="4"/>
      <c r="Y3125" s="4"/>
      <c r="Z3125" s="4"/>
    </row>
    <row r="3126" ht="15.75" customHeight="1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 t="str">
        <f>IFERROR(__xludf.DUMMYFUNCTION("""COMPUTED_VALUE"""),"repair emergency electrician")</f>
        <v>repair emergency electrician</v>
      </c>
      <c r="U3126" s="4"/>
      <c r="V3126" s="4"/>
      <c r="W3126" s="4"/>
      <c r="X3126" s="4"/>
      <c r="Y3126" s="4"/>
      <c r="Z3126" s="4"/>
    </row>
    <row r="3127" ht="15.75" customHeight="1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 t="str">
        <f>IFERROR(__xludf.DUMMYFUNCTION("""COMPUTED_VALUE"""),"repair emergency plumber")</f>
        <v>repair emergency plumber</v>
      </c>
      <c r="U3127" s="4"/>
      <c r="V3127" s="4"/>
      <c r="W3127" s="4"/>
      <c r="X3127" s="4"/>
      <c r="Y3127" s="4"/>
      <c r="Z3127" s="4"/>
    </row>
    <row r="3128" ht="15.75" customHeight="1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 t="str">
        <f>IFERROR(__xludf.DUMMYFUNCTION("""COMPUTED_VALUE"""),"repair geyser replacement")</f>
        <v>repair geyser replacement</v>
      </c>
      <c r="U3128" s="4"/>
      <c r="V3128" s="4"/>
      <c r="W3128" s="4"/>
      <c r="X3128" s="4"/>
      <c r="Y3128" s="4"/>
      <c r="Z3128" s="4"/>
    </row>
    <row r="3129" ht="15.75" customHeight="1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 t="str">
        <f>IFERROR(__xludf.DUMMYFUNCTION("""COMPUTED_VALUE"""),"repair HVAC services")</f>
        <v>repair HVAC services</v>
      </c>
      <c r="U3129" s="4"/>
      <c r="V3129" s="4"/>
      <c r="W3129" s="4"/>
      <c r="X3129" s="4"/>
      <c r="Y3129" s="4"/>
      <c r="Z3129" s="4"/>
    </row>
    <row r="3130" ht="15.75" customHeight="1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 t="str">
        <f>IFERROR(__xludf.DUMMYFUNCTION("""COMPUTED_VALUE"""),"repair leak detection")</f>
        <v>repair leak detection</v>
      </c>
      <c r="U3130" s="4"/>
      <c r="V3130" s="4"/>
      <c r="W3130" s="4"/>
      <c r="X3130" s="4"/>
      <c r="Y3130" s="4"/>
      <c r="Z3130" s="4"/>
    </row>
    <row r="3131" ht="15.75" customHeight="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 t="str">
        <f>IFERROR(__xludf.DUMMYFUNCTION("""COMPUTED_VALUE"""),"repair maintenance plumber")</f>
        <v>repair maintenance plumber</v>
      </c>
      <c r="U3131" s="4"/>
      <c r="V3131" s="4"/>
      <c r="W3131" s="4"/>
      <c r="X3131" s="4"/>
      <c r="Y3131" s="4"/>
      <c r="Z3131" s="4"/>
    </row>
    <row r="3132" ht="15.75" customHeight="1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 t="str">
        <f>IFERROR(__xludf.DUMMYFUNCTION("""COMPUTED_VALUE"""),"repair plumber cape town")</f>
        <v>repair plumber cape town</v>
      </c>
      <c r="U3132" s="4"/>
      <c r="V3132" s="4"/>
      <c r="W3132" s="4"/>
      <c r="X3132" s="4"/>
      <c r="Y3132" s="4"/>
      <c r="Z3132" s="4"/>
    </row>
    <row r="3133" ht="15.75" customHeight="1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 t="str">
        <f>IFERROR(__xludf.DUMMYFUNCTION("""COMPUTED_VALUE"""),"repair plumbing company")</f>
        <v>repair plumbing company</v>
      </c>
      <c r="U3133" s="4"/>
      <c r="V3133" s="4"/>
      <c r="W3133" s="4"/>
      <c r="X3133" s="4"/>
      <c r="Y3133" s="4"/>
      <c r="Z3133" s="4"/>
    </row>
    <row r="3134" ht="15.75" customHeight="1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 t="str">
        <f>IFERROR(__xludf.DUMMYFUNCTION("""COMPUTED_VALUE"""),"repair plumbing contractors")</f>
        <v>repair plumbing contractors</v>
      </c>
      <c r="U3134" s="4"/>
      <c r="V3134" s="4"/>
      <c r="W3134" s="4"/>
      <c r="X3134" s="4"/>
      <c r="Y3134" s="4"/>
      <c r="Z3134" s="4"/>
    </row>
    <row r="3135" ht="15.75" customHeight="1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 t="str">
        <f>IFERROR(__xludf.DUMMYFUNCTION("""COMPUTED_VALUE"""),"repair plumbing inspection")</f>
        <v>repair plumbing inspection</v>
      </c>
      <c r="U3135" s="4"/>
      <c r="V3135" s="4"/>
      <c r="W3135" s="4"/>
      <c r="X3135" s="4"/>
      <c r="Y3135" s="4"/>
      <c r="Z3135" s="4"/>
    </row>
    <row r="3136" ht="15.75" customHeight="1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 t="str">
        <f>IFERROR(__xludf.DUMMYFUNCTION("""COMPUTED_VALUE"""),"repair plumbing installation")</f>
        <v>repair plumbing installation</v>
      </c>
      <c r="U3136" s="4"/>
      <c r="V3136" s="4"/>
      <c r="W3136" s="4"/>
      <c r="X3136" s="4"/>
      <c r="Y3136" s="4"/>
      <c r="Z3136" s="4"/>
    </row>
    <row r="3137" ht="15.75" customHeight="1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 t="str">
        <f>IFERROR(__xludf.DUMMYFUNCTION("""COMPUTED_VALUE"""),"repair plumbing services")</f>
        <v>repair plumbing services</v>
      </c>
      <c r="U3137" s="4"/>
      <c r="V3137" s="4"/>
      <c r="W3137" s="4"/>
      <c r="X3137" s="4"/>
      <c r="Y3137" s="4"/>
      <c r="Z3137" s="4"/>
    </row>
    <row r="3138" ht="15.75" customHeight="1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 t="str">
        <f>IFERROR(__xludf.DUMMYFUNCTION("""COMPUTED_VALUE"""),"repair residential electrician")</f>
        <v>repair residential electrician</v>
      </c>
      <c r="U3138" s="4"/>
      <c r="V3138" s="4"/>
      <c r="W3138" s="4"/>
      <c r="X3138" s="4"/>
      <c r="Y3138" s="4"/>
      <c r="Z3138" s="4"/>
    </row>
    <row r="3139" ht="15.75" customHeight="1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 t="str">
        <f>IFERROR(__xludf.DUMMYFUNCTION("""COMPUTED_VALUE"""),"repair residential plumber")</f>
        <v>repair residential plumber</v>
      </c>
      <c r="U3139" s="4"/>
      <c r="V3139" s="4"/>
      <c r="W3139" s="4"/>
      <c r="X3139" s="4"/>
      <c r="Y3139" s="4"/>
      <c r="Z3139" s="4"/>
    </row>
    <row r="3140" ht="15.75" customHeight="1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 t="str">
        <f>IFERROR(__xludf.DUMMYFUNCTION("""COMPUTED_VALUE"""),"repair water leak detection")</f>
        <v>repair water leak detection</v>
      </c>
      <c r="U3140" s="4"/>
      <c r="V3140" s="4"/>
      <c r="W3140" s="4"/>
      <c r="X3140" s="4"/>
      <c r="Y3140" s="4"/>
      <c r="Z3140" s="4"/>
    </row>
    <row r="3141" ht="15.75" customHeight="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 t="str">
        <f>IFERROR(__xludf.DUMMYFUNCTION("""COMPUTED_VALUE"""),"replacement blocked drain")</f>
        <v>replacement blocked drain</v>
      </c>
      <c r="U3141" s="4"/>
      <c r="V3141" s="4"/>
      <c r="W3141" s="4"/>
      <c r="X3141" s="4"/>
      <c r="Y3141" s="4"/>
      <c r="Z3141" s="4"/>
    </row>
    <row r="3142" ht="15.75" customHeight="1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 t="str">
        <f>IFERROR(__xludf.DUMMYFUNCTION("""COMPUTED_VALUE"""),"replacement burst geyser")</f>
        <v>replacement burst geyser</v>
      </c>
      <c r="U3142" s="4"/>
      <c r="V3142" s="4"/>
      <c r="W3142" s="4"/>
      <c r="X3142" s="4"/>
      <c r="Y3142" s="4"/>
      <c r="Z3142" s="4"/>
    </row>
    <row r="3143" ht="15.75" customHeight="1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 t="str">
        <f>IFERROR(__xludf.DUMMYFUNCTION("""COMPUTED_VALUE"""),"replacement drain cleaning")</f>
        <v>replacement drain cleaning</v>
      </c>
      <c r="U3143" s="4"/>
      <c r="V3143" s="4"/>
      <c r="W3143" s="4"/>
      <c r="X3143" s="4"/>
      <c r="Y3143" s="4"/>
      <c r="Z3143" s="4"/>
    </row>
    <row r="3144" ht="15.75" customHeight="1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 t="str">
        <f>IFERROR(__xludf.DUMMYFUNCTION("""COMPUTED_VALUE"""),"replacement drain inspection")</f>
        <v>replacement drain inspection</v>
      </c>
      <c r="U3144" s="4"/>
      <c r="V3144" s="4"/>
      <c r="W3144" s="4"/>
      <c r="X3144" s="4"/>
      <c r="Y3144" s="4"/>
      <c r="Z3144" s="4"/>
    </row>
    <row r="3145" ht="15.75" customHeight="1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 t="str">
        <f>IFERROR(__xludf.DUMMYFUNCTION("""COMPUTED_VALUE"""),"replacement drain unblocking")</f>
        <v>replacement drain unblocking</v>
      </c>
      <c r="U3145" s="4"/>
      <c r="V3145" s="4"/>
      <c r="W3145" s="4"/>
      <c r="X3145" s="4"/>
      <c r="Y3145" s="4"/>
      <c r="Z3145" s="4"/>
    </row>
    <row r="3146" ht="15.75" customHeight="1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 t="str">
        <f>IFERROR(__xludf.DUMMYFUNCTION("""COMPUTED_VALUE"""),"replacement geyser repair")</f>
        <v>replacement geyser repair</v>
      </c>
      <c r="U3146" s="4"/>
      <c r="V3146" s="4"/>
      <c r="W3146" s="4"/>
      <c r="X3146" s="4"/>
      <c r="Y3146" s="4"/>
      <c r="Z3146" s="4"/>
    </row>
    <row r="3147" ht="15.75" customHeight="1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 t="str">
        <f>IFERROR(__xludf.DUMMYFUNCTION("""COMPUTED_VALUE"""),"replacement leak detection")</f>
        <v>replacement leak detection</v>
      </c>
      <c r="U3147" s="4"/>
      <c r="V3147" s="4"/>
      <c r="W3147" s="4"/>
      <c r="X3147" s="4"/>
      <c r="Y3147" s="4"/>
      <c r="Z3147" s="4"/>
    </row>
    <row r="3148" ht="15.75" customHeight="1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 t="str">
        <f>IFERROR(__xludf.DUMMYFUNCTION("""COMPUTED_VALUE"""),"replacement pipe repair")</f>
        <v>replacement pipe repair</v>
      </c>
      <c r="U3148" s="4"/>
      <c r="V3148" s="4"/>
      <c r="W3148" s="4"/>
      <c r="X3148" s="4"/>
      <c r="Y3148" s="4"/>
      <c r="Z3148" s="4"/>
    </row>
    <row r="3149" ht="15.75" customHeight="1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 t="str">
        <f>IFERROR(__xludf.DUMMYFUNCTION("""COMPUTED_VALUE"""),"replacement water leak detection")</f>
        <v>replacement water leak detection</v>
      </c>
      <c r="U3149" s="4"/>
      <c r="V3149" s="4"/>
      <c r="W3149" s="4"/>
      <c r="X3149" s="4"/>
      <c r="Y3149" s="4"/>
      <c r="Z3149" s="4"/>
    </row>
    <row r="3150" ht="15.75" customHeight="1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 t="str">
        <f>IFERROR(__xludf.DUMMYFUNCTION("""COMPUTED_VALUE"""),"reputable absolute plumbing cape town")</f>
        <v>reputable absolute plumbing cape town</v>
      </c>
      <c r="U3150" s="4"/>
      <c r="V3150" s="4"/>
      <c r="W3150" s="4"/>
      <c r="X3150" s="4"/>
      <c r="Y3150" s="4"/>
      <c r="Z3150" s="4"/>
    </row>
    <row r="3151" ht="15.75" customHeight="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 t="str">
        <f>IFERROR(__xludf.DUMMYFUNCTION("""COMPUTED_VALUE"""),"reputable aircon repair cape town")</f>
        <v>reputable aircon repair cape town</v>
      </c>
      <c r="U3151" s="4"/>
      <c r="V3151" s="4"/>
      <c r="W3151" s="4"/>
      <c r="X3151" s="4"/>
      <c r="Y3151" s="4"/>
      <c r="Z3151" s="4"/>
    </row>
    <row r="3152" ht="15.75" customHeight="1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 t="str">
        <f>IFERROR(__xludf.DUMMYFUNCTION("""COMPUTED_VALUE"""),"reputable bosman plumbers")</f>
        <v>reputable bosman plumbers</v>
      </c>
      <c r="U3152" s="4"/>
      <c r="V3152" s="4"/>
      <c r="W3152" s="4"/>
      <c r="X3152" s="4"/>
      <c r="Y3152" s="4"/>
      <c r="Z3152" s="4"/>
    </row>
    <row r="3153" ht="15.75" customHeight="1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 t="str">
        <f>IFERROR(__xludf.DUMMYFUNCTION("""COMPUTED_VALUE"""),"reputable drain surgeon cape town")</f>
        <v>reputable drain surgeon cape town</v>
      </c>
      <c r="U3153" s="4"/>
      <c r="V3153" s="4"/>
      <c r="W3153" s="4"/>
      <c r="X3153" s="4"/>
      <c r="Y3153" s="4"/>
      <c r="Z3153" s="4"/>
    </row>
    <row r="3154" ht="15.75" customHeight="1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 t="str">
        <f>IFERROR(__xludf.DUMMYFUNCTION("""COMPUTED_VALUE"""),"reputable electrician cape town")</f>
        <v>reputable electrician cape town</v>
      </c>
      <c r="U3154" s="4"/>
      <c r="V3154" s="4"/>
      <c r="W3154" s="4"/>
      <c r="X3154" s="4"/>
      <c r="Y3154" s="4"/>
      <c r="Z3154" s="4"/>
    </row>
    <row r="3155" ht="15.75" customHeight="1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 t="str">
        <f>IFERROR(__xludf.DUMMYFUNCTION("""COMPUTED_VALUE"""),"reputable emergency plumber cape town")</f>
        <v>reputable emergency plumber cape town</v>
      </c>
      <c r="U3155" s="4"/>
      <c r="V3155" s="4"/>
      <c r="W3155" s="4"/>
      <c r="X3155" s="4"/>
      <c r="Y3155" s="4"/>
      <c r="Z3155" s="4"/>
    </row>
    <row r="3156" ht="15.75" customHeight="1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 t="str">
        <f>IFERROR(__xludf.DUMMYFUNCTION("""COMPUTED_VALUE"""),"reputable plumber near me")</f>
        <v>reputable plumber near me</v>
      </c>
      <c r="U3156" s="4"/>
      <c r="V3156" s="4"/>
      <c r="W3156" s="4"/>
      <c r="X3156" s="4"/>
      <c r="Y3156" s="4"/>
      <c r="Z3156" s="4"/>
    </row>
    <row r="3157" ht="15.75" customHeight="1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 t="str">
        <f>IFERROR(__xludf.DUMMYFUNCTION("""COMPUTED_VALUE"""),"reputable plumbers cape town")</f>
        <v>reputable plumbers cape town</v>
      </c>
      <c r="U3157" s="4"/>
      <c r="V3157" s="4"/>
      <c r="W3157" s="4"/>
      <c r="X3157" s="4"/>
      <c r="Y3157" s="4"/>
      <c r="Z3157" s="4"/>
    </row>
    <row r="3158" ht="15.75" customHeight="1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 t="str">
        <f>IFERROR(__xludf.DUMMYFUNCTION("""COMPUTED_VALUE"""),"reputable plumbing company cape town")</f>
        <v>reputable plumbing company cape town</v>
      </c>
      <c r="U3158" s="4"/>
      <c r="V3158" s="4"/>
      <c r="W3158" s="4"/>
      <c r="X3158" s="4"/>
      <c r="Y3158" s="4"/>
      <c r="Z3158" s="4"/>
    </row>
    <row r="3159" ht="15.75" customHeight="1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 t="str">
        <f>IFERROR(__xludf.DUMMYFUNCTION("""COMPUTED_VALUE"""),"reputable schmidhauser plumbing")</f>
        <v>reputable schmidhauser plumbing</v>
      </c>
      <c r="U3159" s="4"/>
      <c r="V3159" s="4"/>
      <c r="W3159" s="4"/>
      <c r="X3159" s="4"/>
      <c r="Y3159" s="4"/>
      <c r="Z3159" s="4"/>
    </row>
    <row r="3160" ht="15.75" customHeight="1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 t="str">
        <f>IFERROR(__xludf.DUMMYFUNCTION("""COMPUTED_VALUE"""),"residential 24 hour plumber")</f>
        <v>residential 24 hour plumber</v>
      </c>
      <c r="U3160" s="4"/>
      <c r="V3160" s="4"/>
      <c r="W3160" s="4"/>
      <c r="X3160" s="4"/>
      <c r="Y3160" s="4"/>
      <c r="Z3160" s="4"/>
    </row>
    <row r="3161" ht="15.75" customHeight="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 t="str">
        <f>IFERROR(__xludf.DUMMYFUNCTION("""COMPUTED_VALUE"""),"residential air conditioning")</f>
        <v>residential air conditioning</v>
      </c>
      <c r="U3161" s="4"/>
      <c r="V3161" s="4"/>
      <c r="W3161" s="4"/>
      <c r="X3161" s="4"/>
      <c r="Y3161" s="4"/>
      <c r="Z3161" s="4"/>
    </row>
    <row r="3162" ht="15.75" customHeight="1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 t="str">
        <f>IFERROR(__xludf.DUMMYFUNCTION("""COMPUTED_VALUE"""),"residential air conditioning repair")</f>
        <v>residential air conditioning repair</v>
      </c>
      <c r="U3162" s="4"/>
      <c r="V3162" s="4"/>
      <c r="W3162" s="4"/>
      <c r="X3162" s="4"/>
      <c r="Y3162" s="4"/>
      <c r="Z3162" s="4"/>
    </row>
    <row r="3163" ht="15.75" customHeight="1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 t="str">
        <f>IFERROR(__xludf.DUMMYFUNCTION("""COMPUTED_VALUE"""),"residential aircon installation")</f>
        <v>residential aircon installation</v>
      </c>
      <c r="U3163" s="4"/>
      <c r="V3163" s="4"/>
      <c r="W3163" s="4"/>
      <c r="X3163" s="4"/>
      <c r="Y3163" s="4"/>
      <c r="Z3163" s="4"/>
    </row>
    <row r="3164" ht="15.75" customHeight="1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 t="str">
        <f>IFERROR(__xludf.DUMMYFUNCTION("""COMPUTED_VALUE"""),"residential aircon repair")</f>
        <v>residential aircon repair</v>
      </c>
      <c r="U3164" s="4"/>
      <c r="V3164" s="4"/>
      <c r="W3164" s="4"/>
      <c r="X3164" s="4"/>
      <c r="Y3164" s="4"/>
      <c r="Z3164" s="4"/>
    </row>
    <row r="3165" ht="15.75" customHeight="1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 t="str">
        <f>IFERROR(__xludf.DUMMYFUNCTION("""COMPUTED_VALUE"""),"residential aircon service")</f>
        <v>residential aircon service</v>
      </c>
      <c r="U3165" s="4"/>
      <c r="V3165" s="4"/>
      <c r="W3165" s="4"/>
      <c r="X3165" s="4"/>
      <c r="Y3165" s="4"/>
      <c r="Z3165" s="4"/>
    </row>
    <row r="3166" ht="15.75" customHeight="1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 t="str">
        <f>IFERROR(__xludf.DUMMYFUNCTION("""COMPUTED_VALUE"""),"residential bathroom plumbing repair")</f>
        <v>residential bathroom plumbing repair</v>
      </c>
      <c r="U3166" s="4"/>
      <c r="V3166" s="4"/>
      <c r="W3166" s="4"/>
      <c r="X3166" s="4"/>
      <c r="Y3166" s="4"/>
      <c r="Z3166" s="4"/>
    </row>
    <row r="3167" ht="15.75" customHeight="1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 t="str">
        <f>IFERROR(__xludf.DUMMYFUNCTION("""COMPUTED_VALUE"""),"residential blocked drain")</f>
        <v>residential blocked drain</v>
      </c>
      <c r="U3167" s="4"/>
      <c r="V3167" s="4"/>
      <c r="W3167" s="4"/>
      <c r="X3167" s="4"/>
      <c r="Y3167" s="4"/>
      <c r="Z3167" s="4"/>
    </row>
    <row r="3168" ht="15.75" customHeight="1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 t="str">
        <f>IFERROR(__xludf.DUMMYFUNCTION("""COMPUTED_VALUE"""),"residential blocked toilet plumber")</f>
        <v>residential blocked toilet plumber</v>
      </c>
      <c r="U3168" s="4"/>
      <c r="V3168" s="4"/>
      <c r="W3168" s="4"/>
      <c r="X3168" s="4"/>
      <c r="Y3168" s="4"/>
      <c r="Z3168" s="4"/>
    </row>
    <row r="3169" ht="15.75" customHeight="1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 t="str">
        <f>IFERROR(__xludf.DUMMYFUNCTION("""COMPUTED_VALUE"""),"residential burst geyser")</f>
        <v>residential burst geyser</v>
      </c>
      <c r="U3169" s="4"/>
      <c r="V3169" s="4"/>
      <c r="W3169" s="4"/>
      <c r="X3169" s="4"/>
      <c r="Y3169" s="4"/>
      <c r="Z3169" s="4"/>
    </row>
    <row r="3170" ht="15.75" customHeight="1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 t="str">
        <f>IFERROR(__xludf.DUMMYFUNCTION("""COMPUTED_VALUE"""),"residential burst pipe repair")</f>
        <v>residential burst pipe repair</v>
      </c>
      <c r="U3170" s="4"/>
      <c r="V3170" s="4"/>
      <c r="W3170" s="4"/>
      <c r="X3170" s="4"/>
      <c r="Y3170" s="4"/>
      <c r="Z3170" s="4"/>
    </row>
    <row r="3171" ht="15.75" customHeight="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 t="str">
        <f>IFERROR(__xludf.DUMMYFUNCTION("""COMPUTED_VALUE"""),"residential cold room repair")</f>
        <v>residential cold room repair</v>
      </c>
      <c r="U3171" s="4"/>
      <c r="V3171" s="4"/>
      <c r="W3171" s="4"/>
      <c r="X3171" s="4"/>
      <c r="Y3171" s="4"/>
      <c r="Z3171" s="4"/>
    </row>
    <row r="3172" ht="15.75" customHeight="1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 t="str">
        <f>IFERROR(__xludf.DUMMYFUNCTION("""COMPUTED_VALUE"""),"residential commercial refrigeration")</f>
        <v>residential commercial refrigeration</v>
      </c>
      <c r="U3172" s="4"/>
      <c r="V3172" s="4"/>
      <c r="W3172" s="4"/>
      <c r="X3172" s="4"/>
      <c r="Y3172" s="4"/>
      <c r="Z3172" s="4"/>
    </row>
    <row r="3173" ht="15.75" customHeight="1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 t="str">
        <f>IFERROR(__xludf.DUMMYFUNCTION("""COMPUTED_VALUE"""),"residential drain cleaning")</f>
        <v>residential drain cleaning</v>
      </c>
      <c r="U3173" s="4"/>
      <c r="V3173" s="4"/>
      <c r="W3173" s="4"/>
      <c r="X3173" s="4"/>
      <c r="Y3173" s="4"/>
      <c r="Z3173" s="4"/>
    </row>
    <row r="3174" ht="15.75" customHeight="1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 t="str">
        <f>IFERROR(__xludf.DUMMYFUNCTION("""COMPUTED_VALUE"""),"residential drain inspection")</f>
        <v>residential drain inspection</v>
      </c>
      <c r="U3174" s="4"/>
      <c r="V3174" s="4"/>
      <c r="W3174" s="4"/>
      <c r="X3174" s="4"/>
      <c r="Y3174" s="4"/>
      <c r="Z3174" s="4"/>
    </row>
    <row r="3175" ht="15.75" customHeight="1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 t="str">
        <f>IFERROR(__xludf.DUMMYFUNCTION("""COMPUTED_VALUE"""),"residential drain unblocking")</f>
        <v>residential drain unblocking</v>
      </c>
      <c r="U3175" s="4"/>
      <c r="V3175" s="4"/>
      <c r="W3175" s="4"/>
      <c r="X3175" s="4"/>
      <c r="Y3175" s="4"/>
      <c r="Z3175" s="4"/>
    </row>
    <row r="3176" ht="15.75" customHeight="1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 t="str">
        <f>IFERROR(__xludf.DUMMYFUNCTION("""COMPUTED_VALUE"""),"residential electrician affordable")</f>
        <v>residential electrician affordable</v>
      </c>
      <c r="U3176" s="4"/>
      <c r="V3176" s="4"/>
      <c r="W3176" s="4"/>
      <c r="X3176" s="4"/>
      <c r="Y3176" s="4"/>
      <c r="Z3176" s="4"/>
    </row>
    <row r="3177" ht="15.75" customHeight="1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 t="str">
        <f>IFERROR(__xludf.DUMMYFUNCTION("""COMPUTED_VALUE"""),"residential electrician call out")</f>
        <v>residential electrician call out</v>
      </c>
      <c r="U3177" s="4"/>
      <c r="V3177" s="4"/>
      <c r="W3177" s="4"/>
      <c r="X3177" s="4"/>
      <c r="Y3177" s="4"/>
      <c r="Z3177" s="4"/>
    </row>
    <row r="3178" ht="15.75" customHeight="1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 t="str">
        <f>IFERROR(__xludf.DUMMYFUNCTION("""COMPUTED_VALUE"""),"residential electrician cape town")</f>
        <v>residential electrician cape town</v>
      </c>
      <c r="U3178" s="4"/>
      <c r="V3178" s="4"/>
      <c r="W3178" s="4"/>
      <c r="X3178" s="4"/>
      <c r="Y3178" s="4"/>
      <c r="Z3178" s="4"/>
    </row>
    <row r="3179" ht="15.75" customHeight="1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 t="str">
        <f>IFERROR(__xludf.DUMMYFUNCTION("""COMPUTED_VALUE"""),"residential electrician COC")</f>
        <v>residential electrician COC</v>
      </c>
      <c r="U3179" s="4"/>
      <c r="V3179" s="4"/>
      <c r="W3179" s="4"/>
      <c r="X3179" s="4"/>
      <c r="Y3179" s="4"/>
      <c r="Z3179" s="4"/>
    </row>
    <row r="3180" ht="15.75" customHeight="1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 t="str">
        <f>IFERROR(__xludf.DUMMYFUNCTION("""COMPUTED_VALUE"""),"residential electrician company")</f>
        <v>residential electrician company</v>
      </c>
      <c r="U3180" s="4"/>
      <c r="V3180" s="4"/>
      <c r="W3180" s="4"/>
      <c r="X3180" s="4"/>
      <c r="Y3180" s="4"/>
      <c r="Z3180" s="4"/>
    </row>
    <row r="3181" ht="15.75" customHeight="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 t="str">
        <f>IFERROR(__xludf.DUMMYFUNCTION("""COMPUTED_VALUE"""),"residential electrician contractor")</f>
        <v>residential electrician contractor</v>
      </c>
      <c r="U3181" s="4"/>
      <c r="V3181" s="4"/>
      <c r="W3181" s="4"/>
      <c r="X3181" s="4"/>
      <c r="Y3181" s="4"/>
      <c r="Z3181" s="4"/>
    </row>
    <row r="3182" ht="15.75" customHeight="1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 t="str">
        <f>IFERROR(__xludf.DUMMYFUNCTION("""COMPUTED_VALUE"""),"residential electrician cost")</f>
        <v>residential electrician cost</v>
      </c>
      <c r="U3182" s="4"/>
      <c r="V3182" s="4"/>
      <c r="W3182" s="4"/>
      <c r="X3182" s="4"/>
      <c r="Y3182" s="4"/>
      <c r="Z3182" s="4"/>
    </row>
    <row r="3183" ht="15.75" customHeight="1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 t="str">
        <f>IFERROR(__xludf.DUMMYFUNCTION("""COMPUTED_VALUE"""),"residential electrician emergency")</f>
        <v>residential electrician emergency</v>
      </c>
      <c r="U3183" s="4"/>
      <c r="V3183" s="4"/>
      <c r="W3183" s="4"/>
      <c r="X3183" s="4"/>
      <c r="Y3183" s="4"/>
      <c r="Z3183" s="4"/>
    </row>
    <row r="3184" ht="15.75" customHeight="1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 t="str">
        <f>IFERROR(__xludf.DUMMYFUNCTION("""COMPUTED_VALUE"""),"residential electrician inspection")</f>
        <v>residential electrician inspection</v>
      </c>
      <c r="U3184" s="4"/>
      <c r="V3184" s="4"/>
      <c r="W3184" s="4"/>
      <c r="X3184" s="4"/>
      <c r="Y3184" s="4"/>
      <c r="Z3184" s="4"/>
    </row>
    <row r="3185" ht="15.75" customHeight="1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 t="str">
        <f>IFERROR(__xludf.DUMMYFUNCTION("""COMPUTED_VALUE"""),"residential electrician installation")</f>
        <v>residential electrician installation</v>
      </c>
      <c r="U3185" s="4"/>
      <c r="V3185" s="4"/>
      <c r="W3185" s="4"/>
      <c r="X3185" s="4"/>
      <c r="Y3185" s="4"/>
      <c r="Z3185" s="4"/>
    </row>
    <row r="3186" ht="15.75" customHeight="1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 t="str">
        <f>IFERROR(__xludf.DUMMYFUNCTION("""COMPUTED_VALUE"""),"residential electrician licensed")</f>
        <v>residential electrician licensed</v>
      </c>
      <c r="U3186" s="4"/>
      <c r="V3186" s="4"/>
      <c r="W3186" s="4"/>
      <c r="X3186" s="4"/>
      <c r="Y3186" s="4"/>
      <c r="Z3186" s="4"/>
    </row>
    <row r="3187" ht="15.75" customHeight="1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 t="str">
        <f>IFERROR(__xludf.DUMMYFUNCTION("""COMPUTED_VALUE"""),"residential electrician local")</f>
        <v>residential electrician local</v>
      </c>
      <c r="U3187" s="4"/>
      <c r="V3187" s="4"/>
      <c r="W3187" s="4"/>
      <c r="X3187" s="4"/>
      <c r="Y3187" s="4"/>
      <c r="Z3187" s="4"/>
    </row>
    <row r="3188" ht="15.75" customHeight="1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 t="str">
        <f>IFERROR(__xludf.DUMMYFUNCTION("""COMPUTED_VALUE"""),"residential electrician near me")</f>
        <v>residential electrician near me</v>
      </c>
      <c r="U3188" s="4"/>
      <c r="V3188" s="4"/>
      <c r="W3188" s="4"/>
      <c r="X3188" s="4"/>
      <c r="Y3188" s="4"/>
      <c r="Z3188" s="4"/>
    </row>
    <row r="3189" ht="15.75" customHeight="1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 t="str">
        <f>IFERROR(__xludf.DUMMYFUNCTION("""COMPUTED_VALUE"""),"residential electrician professional")</f>
        <v>residential electrician professional</v>
      </c>
      <c r="U3189" s="4"/>
      <c r="V3189" s="4"/>
      <c r="W3189" s="4"/>
      <c r="X3189" s="4"/>
      <c r="Y3189" s="4"/>
      <c r="Z3189" s="4"/>
    </row>
    <row r="3190" ht="15.75" customHeight="1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 t="str">
        <f>IFERROR(__xludf.DUMMYFUNCTION("""COMPUTED_VALUE"""),"residential electrician qualified")</f>
        <v>residential electrician qualified</v>
      </c>
      <c r="U3190" s="4"/>
      <c r="V3190" s="4"/>
      <c r="W3190" s="4"/>
      <c r="X3190" s="4"/>
      <c r="Y3190" s="4"/>
      <c r="Z3190" s="4"/>
    </row>
    <row r="3191" ht="15.75" customHeight="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 t="str">
        <f>IFERROR(__xludf.DUMMYFUNCTION("""COMPUTED_VALUE"""),"residential electrician quote")</f>
        <v>residential electrician quote</v>
      </c>
      <c r="U3191" s="4"/>
      <c r="V3191" s="4"/>
      <c r="W3191" s="4"/>
      <c r="X3191" s="4"/>
      <c r="Y3191" s="4"/>
      <c r="Z3191" s="4"/>
    </row>
    <row r="3192" ht="15.75" customHeight="1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 t="str">
        <f>IFERROR(__xludf.DUMMYFUNCTION("""COMPUTED_VALUE"""),"residential electrician reliable")</f>
        <v>residential electrician reliable</v>
      </c>
      <c r="U3192" s="4"/>
      <c r="V3192" s="4"/>
      <c r="W3192" s="4"/>
      <c r="X3192" s="4"/>
      <c r="Y3192" s="4"/>
      <c r="Z3192" s="4"/>
    </row>
    <row r="3193" ht="15.75" customHeight="1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 t="str">
        <f>IFERROR(__xludf.DUMMYFUNCTION("""COMPUTED_VALUE"""),"residential electrician repair")</f>
        <v>residential electrician repair</v>
      </c>
      <c r="U3193" s="4"/>
      <c r="V3193" s="4"/>
      <c r="W3193" s="4"/>
      <c r="X3193" s="4"/>
      <c r="Y3193" s="4"/>
      <c r="Z3193" s="4"/>
    </row>
    <row r="3194" ht="15.75" customHeight="1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 t="str">
        <f>IFERROR(__xludf.DUMMYFUNCTION("""COMPUTED_VALUE"""),"residential electrician same day")</f>
        <v>residential electrician same day</v>
      </c>
      <c r="U3194" s="4"/>
      <c r="V3194" s="4"/>
      <c r="W3194" s="4"/>
      <c r="X3194" s="4"/>
      <c r="Y3194" s="4"/>
      <c r="Z3194" s="4"/>
    </row>
    <row r="3195" ht="15.75" customHeight="1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 t="str">
        <f>IFERROR(__xludf.DUMMYFUNCTION("""COMPUTED_VALUE"""),"residential electrician service")</f>
        <v>residential electrician service</v>
      </c>
      <c r="U3195" s="4"/>
      <c r="V3195" s="4"/>
      <c r="W3195" s="4"/>
      <c r="X3195" s="4"/>
      <c r="Y3195" s="4"/>
      <c r="Z3195" s="4"/>
    </row>
    <row r="3196" ht="15.75" customHeight="1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 t="str">
        <f>IFERROR(__xludf.DUMMYFUNCTION("""COMPUTED_VALUE"""),"residential emergency plumber")</f>
        <v>residential emergency plumber</v>
      </c>
      <c r="U3196" s="4"/>
      <c r="V3196" s="4"/>
      <c r="W3196" s="4"/>
      <c r="X3196" s="4"/>
      <c r="Y3196" s="4"/>
      <c r="Z3196" s="4"/>
    </row>
    <row r="3197" ht="15.75" customHeight="1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 t="str">
        <f>IFERROR(__xludf.DUMMYFUNCTION("""COMPUTED_VALUE"""),"residential fridge repair")</f>
        <v>residential fridge repair</v>
      </c>
      <c r="U3197" s="4"/>
      <c r="V3197" s="4"/>
      <c r="W3197" s="4"/>
      <c r="X3197" s="4"/>
      <c r="Y3197" s="4"/>
      <c r="Z3197" s="4"/>
    </row>
    <row r="3198" ht="15.75" customHeight="1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 t="str">
        <f>IFERROR(__xludf.DUMMYFUNCTION("""COMPUTED_VALUE"""),"residential geyser repair")</f>
        <v>residential geyser repair</v>
      </c>
      <c r="U3198" s="4"/>
      <c r="V3198" s="4"/>
      <c r="W3198" s="4"/>
      <c r="X3198" s="4"/>
      <c r="Y3198" s="4"/>
      <c r="Z3198" s="4"/>
    </row>
    <row r="3199" ht="15.75" customHeight="1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 t="str">
        <f>IFERROR(__xludf.DUMMYFUNCTION("""COMPUTED_VALUE"""),"residential geyser replacement")</f>
        <v>residential geyser replacement</v>
      </c>
      <c r="U3199" s="4"/>
      <c r="V3199" s="4"/>
      <c r="W3199" s="4"/>
      <c r="X3199" s="4"/>
      <c r="Y3199" s="4"/>
      <c r="Z3199" s="4"/>
    </row>
    <row r="3200" ht="15.75" customHeight="1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 t="str">
        <f>IFERROR(__xludf.DUMMYFUNCTION("""COMPUTED_VALUE"""),"residential HVAC services")</f>
        <v>residential HVAC services</v>
      </c>
      <c r="U3200" s="4"/>
      <c r="V3200" s="4"/>
      <c r="W3200" s="4"/>
      <c r="X3200" s="4"/>
      <c r="Y3200" s="4"/>
      <c r="Z3200" s="4"/>
    </row>
    <row r="3201" ht="15.75" customHeight="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 t="str">
        <f>IFERROR(__xludf.DUMMYFUNCTION("""COMPUTED_VALUE"""),"residential kitchen plumbing repair")</f>
        <v>residential kitchen plumbing repair</v>
      </c>
      <c r="U3201" s="4"/>
      <c r="V3201" s="4"/>
      <c r="W3201" s="4"/>
      <c r="X3201" s="4"/>
      <c r="Y3201" s="4"/>
      <c r="Z3201" s="4"/>
    </row>
    <row r="3202" ht="15.75" customHeight="1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 t="str">
        <f>IFERROR(__xludf.DUMMYFUNCTION("""COMPUTED_VALUE"""),"residential leak detection")</f>
        <v>residential leak detection</v>
      </c>
      <c r="U3202" s="4"/>
      <c r="V3202" s="4"/>
      <c r="W3202" s="4"/>
      <c r="X3202" s="4"/>
      <c r="Y3202" s="4"/>
      <c r="Z3202" s="4"/>
    </row>
    <row r="3203" ht="15.75" customHeight="1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 t="str">
        <f>IFERROR(__xludf.DUMMYFUNCTION("""COMPUTED_VALUE"""),"residential leaking pipe repair")</f>
        <v>residential leaking pipe repair</v>
      </c>
      <c r="U3203" s="4"/>
      <c r="V3203" s="4"/>
      <c r="W3203" s="4"/>
      <c r="X3203" s="4"/>
      <c r="Y3203" s="4"/>
      <c r="Z3203" s="4"/>
    </row>
    <row r="3204" ht="15.75" customHeight="1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 t="str">
        <f>IFERROR(__xludf.DUMMYFUNCTION("""COMPUTED_VALUE"""),"residential leaking tap repair")</f>
        <v>residential leaking tap repair</v>
      </c>
      <c r="U3204" s="4"/>
      <c r="V3204" s="4"/>
      <c r="W3204" s="4"/>
      <c r="X3204" s="4"/>
      <c r="Y3204" s="4"/>
      <c r="Z3204" s="4"/>
    </row>
    <row r="3205" ht="15.75" customHeight="1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 t="str">
        <f>IFERROR(__xludf.DUMMYFUNCTION("""COMPUTED_VALUE"""),"residential pipe repair")</f>
        <v>residential pipe repair</v>
      </c>
      <c r="U3205" s="4"/>
      <c r="V3205" s="4"/>
      <c r="W3205" s="4"/>
      <c r="X3205" s="4"/>
      <c r="Y3205" s="4"/>
      <c r="Z3205" s="4"/>
    </row>
    <row r="3206" ht="15.75" customHeight="1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 t="str">
        <f>IFERROR(__xludf.DUMMYFUNCTION("""COMPUTED_VALUE"""),"residential plumber 24 hour")</f>
        <v>residential plumber 24 hour</v>
      </c>
      <c r="U3206" s="4"/>
      <c r="V3206" s="4"/>
      <c r="W3206" s="4"/>
      <c r="X3206" s="4"/>
      <c r="Y3206" s="4"/>
      <c r="Z3206" s="4"/>
    </row>
    <row r="3207" ht="15.75" customHeight="1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 t="str">
        <f>IFERROR(__xludf.DUMMYFUNCTION("""COMPUTED_VALUE"""),"residential plumber affordable")</f>
        <v>residential plumber affordable</v>
      </c>
      <c r="U3207" s="4"/>
      <c r="V3207" s="4"/>
      <c r="W3207" s="4"/>
      <c r="X3207" s="4"/>
      <c r="Y3207" s="4"/>
      <c r="Z3207" s="4"/>
    </row>
    <row r="3208" ht="15.75" customHeight="1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 t="str">
        <f>IFERROR(__xludf.DUMMYFUNCTION("""COMPUTED_VALUE"""),"residential plumber after hours")</f>
        <v>residential plumber after hours</v>
      </c>
      <c r="U3208" s="4"/>
      <c r="V3208" s="4"/>
      <c r="W3208" s="4"/>
      <c r="X3208" s="4"/>
      <c r="Y3208" s="4"/>
      <c r="Z3208" s="4"/>
    </row>
    <row r="3209" ht="15.75" customHeight="1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 t="str">
        <f>IFERROR(__xludf.DUMMYFUNCTION("""COMPUTED_VALUE"""),"residential plumber best")</f>
        <v>residential plumber best</v>
      </c>
      <c r="U3209" s="4"/>
      <c r="V3209" s="4"/>
      <c r="W3209" s="4"/>
      <c r="X3209" s="4"/>
      <c r="Y3209" s="4"/>
      <c r="Z3209" s="4"/>
    </row>
    <row r="3210" ht="15.75" customHeight="1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 t="str">
        <f>IFERROR(__xludf.DUMMYFUNCTION("""COMPUTED_VALUE"""),"residential plumber call out")</f>
        <v>residential plumber call out</v>
      </c>
      <c r="U3210" s="4"/>
      <c r="V3210" s="4"/>
      <c r="W3210" s="4"/>
      <c r="X3210" s="4"/>
      <c r="Y3210" s="4"/>
      <c r="Z3210" s="4"/>
    </row>
    <row r="3211" ht="15.75" customHeight="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 t="str">
        <f>IFERROR(__xludf.DUMMYFUNCTION("""COMPUTED_VALUE"""),"residential plumber company")</f>
        <v>residential plumber company</v>
      </c>
      <c r="U3211" s="4"/>
      <c r="V3211" s="4"/>
      <c r="W3211" s="4"/>
      <c r="X3211" s="4"/>
      <c r="Y3211" s="4"/>
      <c r="Z3211" s="4"/>
    </row>
    <row r="3212" ht="15.75" customHeight="1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 t="str">
        <f>IFERROR(__xludf.DUMMYFUNCTION("""COMPUTED_VALUE"""),"residential plumber contractor")</f>
        <v>residential plumber contractor</v>
      </c>
      <c r="U3212" s="4"/>
      <c r="V3212" s="4"/>
      <c r="W3212" s="4"/>
      <c r="X3212" s="4"/>
      <c r="Y3212" s="4"/>
      <c r="Z3212" s="4"/>
    </row>
    <row r="3213" ht="15.75" customHeight="1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 t="str">
        <f>IFERROR(__xludf.DUMMYFUNCTION("""COMPUTED_VALUE"""),"residential plumber cost")</f>
        <v>residential plumber cost</v>
      </c>
      <c r="U3213" s="4"/>
      <c r="V3213" s="4"/>
      <c r="W3213" s="4"/>
      <c r="X3213" s="4"/>
      <c r="Y3213" s="4"/>
      <c r="Z3213" s="4"/>
    </row>
    <row r="3214" ht="15.75" customHeight="1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 t="str">
        <f>IFERROR(__xludf.DUMMYFUNCTION("""COMPUTED_VALUE"""),"residential plumber emergency")</f>
        <v>residential plumber emergency</v>
      </c>
      <c r="U3214" s="4"/>
      <c r="V3214" s="4"/>
      <c r="W3214" s="4"/>
      <c r="X3214" s="4"/>
      <c r="Y3214" s="4"/>
      <c r="Z3214" s="4"/>
    </row>
    <row r="3215" ht="15.75" customHeight="1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 t="str">
        <f>IFERROR(__xludf.DUMMYFUNCTION("""COMPUTED_VALUE"""),"residential plumber installation")</f>
        <v>residential plumber installation</v>
      </c>
      <c r="U3215" s="4"/>
      <c r="V3215" s="4"/>
      <c r="W3215" s="4"/>
      <c r="X3215" s="4"/>
      <c r="Y3215" s="4"/>
      <c r="Z3215" s="4"/>
    </row>
    <row r="3216" ht="15.75" customHeight="1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 t="str">
        <f>IFERROR(__xludf.DUMMYFUNCTION("""COMPUTED_VALUE"""),"residential plumber licensed")</f>
        <v>residential plumber licensed</v>
      </c>
      <c r="U3216" s="4"/>
      <c r="V3216" s="4"/>
      <c r="W3216" s="4"/>
      <c r="X3216" s="4"/>
      <c r="Y3216" s="4"/>
      <c r="Z3216" s="4"/>
    </row>
    <row r="3217" ht="15.75" customHeight="1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 t="str">
        <f>IFERROR(__xludf.DUMMYFUNCTION("""COMPUTED_VALUE"""),"residential plumber local")</f>
        <v>residential plumber local</v>
      </c>
      <c r="U3217" s="4"/>
      <c r="V3217" s="4"/>
      <c r="W3217" s="4"/>
      <c r="X3217" s="4"/>
      <c r="Y3217" s="4"/>
      <c r="Z3217" s="4"/>
    </row>
    <row r="3218" ht="15.75" customHeight="1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 t="str">
        <f>IFERROR(__xludf.DUMMYFUNCTION("""COMPUTED_VALUE"""),"residential plumber maintenance")</f>
        <v>residential plumber maintenance</v>
      </c>
      <c r="U3218" s="4"/>
      <c r="V3218" s="4"/>
      <c r="W3218" s="4"/>
      <c r="X3218" s="4"/>
      <c r="Y3218" s="4"/>
      <c r="Z3218" s="4"/>
    </row>
    <row r="3219" ht="15.75" customHeight="1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 t="str">
        <f>IFERROR(__xludf.DUMMYFUNCTION("""COMPUTED_VALUE"""),"residential plumber near me")</f>
        <v>residential plumber near me</v>
      </c>
      <c r="U3219" s="4"/>
      <c r="V3219" s="4"/>
      <c r="W3219" s="4"/>
      <c r="X3219" s="4"/>
      <c r="Y3219" s="4"/>
      <c r="Z3219" s="4"/>
    </row>
    <row r="3220" ht="15.75" customHeight="1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 t="str">
        <f>IFERROR(__xludf.DUMMYFUNCTION("""COMPUTED_VALUE"""),"residential plumber professional")</f>
        <v>residential plumber professional</v>
      </c>
      <c r="U3220" s="4"/>
      <c r="V3220" s="4"/>
      <c r="W3220" s="4"/>
      <c r="X3220" s="4"/>
      <c r="Y3220" s="4"/>
      <c r="Z3220" s="4"/>
    </row>
    <row r="3221" ht="15.75" customHeight="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 t="str">
        <f>IFERROR(__xludf.DUMMYFUNCTION("""COMPUTED_VALUE"""),"residential plumber qualified")</f>
        <v>residential plumber qualified</v>
      </c>
      <c r="U3221" s="4"/>
      <c r="V3221" s="4"/>
      <c r="W3221" s="4"/>
      <c r="X3221" s="4"/>
      <c r="Y3221" s="4"/>
      <c r="Z3221" s="4"/>
    </row>
    <row r="3222" ht="15.75" customHeight="1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 t="str">
        <f>IFERROR(__xludf.DUMMYFUNCTION("""COMPUTED_VALUE"""),"residential plumber quote")</f>
        <v>residential plumber quote</v>
      </c>
      <c r="U3222" s="4"/>
      <c r="V3222" s="4"/>
      <c r="W3222" s="4"/>
      <c r="X3222" s="4"/>
      <c r="Y3222" s="4"/>
      <c r="Z3222" s="4"/>
    </row>
    <row r="3223" ht="15.75" customHeight="1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 t="str">
        <f>IFERROR(__xludf.DUMMYFUNCTION("""COMPUTED_VALUE"""),"residential plumber reliable")</f>
        <v>residential plumber reliable</v>
      </c>
      <c r="U3223" s="4"/>
      <c r="V3223" s="4"/>
      <c r="W3223" s="4"/>
      <c r="X3223" s="4"/>
      <c r="Y3223" s="4"/>
      <c r="Z3223" s="4"/>
    </row>
    <row r="3224" ht="15.75" customHeight="1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 t="str">
        <f>IFERROR(__xludf.DUMMYFUNCTION("""COMPUTED_VALUE"""),"residential plumber repair")</f>
        <v>residential plumber repair</v>
      </c>
      <c r="U3224" s="4"/>
      <c r="V3224" s="4"/>
      <c r="W3224" s="4"/>
      <c r="X3224" s="4"/>
      <c r="Y3224" s="4"/>
      <c r="Z3224" s="4"/>
    </row>
    <row r="3225" ht="15.75" customHeight="1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 t="str">
        <f>IFERROR(__xludf.DUMMYFUNCTION("""COMPUTED_VALUE"""),"residential plumber same day")</f>
        <v>residential plumber same day</v>
      </c>
      <c r="U3225" s="4"/>
      <c r="V3225" s="4"/>
      <c r="W3225" s="4"/>
      <c r="X3225" s="4"/>
      <c r="Y3225" s="4"/>
      <c r="Z3225" s="4"/>
    </row>
    <row r="3226" ht="15.75" customHeight="1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 t="str">
        <f>IFERROR(__xludf.DUMMYFUNCTION("""COMPUTED_VALUE"""),"residential plumber service")</f>
        <v>residential plumber service</v>
      </c>
      <c r="U3226" s="4"/>
      <c r="V3226" s="4"/>
      <c r="W3226" s="4"/>
      <c r="X3226" s="4"/>
      <c r="Y3226" s="4"/>
      <c r="Z3226" s="4"/>
    </row>
    <row r="3227" ht="15.75" customHeight="1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 t="str">
        <f>IFERROR(__xludf.DUMMYFUNCTION("""COMPUTED_VALUE"""),"residential plumber top rated")</f>
        <v>residential plumber top rated</v>
      </c>
      <c r="U3227" s="4"/>
      <c r="V3227" s="4"/>
      <c r="W3227" s="4"/>
      <c r="X3227" s="4"/>
      <c r="Y3227" s="4"/>
      <c r="Z3227" s="4"/>
    </row>
    <row r="3228" ht="15.75" customHeight="1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 t="str">
        <f>IFERROR(__xludf.DUMMYFUNCTION("""COMPUTED_VALUE"""),"residential plumber trusted")</f>
        <v>residential plumber trusted</v>
      </c>
      <c r="U3228" s="4"/>
      <c r="V3228" s="4"/>
      <c r="W3228" s="4"/>
      <c r="X3228" s="4"/>
      <c r="Y3228" s="4"/>
      <c r="Z3228" s="4"/>
    </row>
    <row r="3229" ht="15.75" customHeight="1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 t="str">
        <f>IFERROR(__xludf.DUMMYFUNCTION("""COMPUTED_VALUE"""),"residential property air conditioning services")</f>
        <v>residential property air conditioning services</v>
      </c>
      <c r="U3229" s="4"/>
      <c r="V3229" s="4"/>
      <c r="W3229" s="4"/>
      <c r="X3229" s="4"/>
      <c r="Y3229" s="4"/>
      <c r="Z3229" s="4"/>
    </row>
    <row r="3230" ht="15.75" customHeight="1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 t="str">
        <f>IFERROR(__xludf.DUMMYFUNCTION("""COMPUTED_VALUE"""),"residential property drain cleaning")</f>
        <v>residential property drain cleaning</v>
      </c>
      <c r="U3230" s="4"/>
      <c r="V3230" s="4"/>
      <c r="W3230" s="4"/>
      <c r="X3230" s="4"/>
      <c r="Y3230" s="4"/>
      <c r="Z3230" s="4"/>
    </row>
    <row r="3231" ht="15.75" customHeight="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 t="str">
        <f>IFERROR(__xludf.DUMMYFUNCTION("""COMPUTED_VALUE"""),"residential property electrical repairs")</f>
        <v>residential property electrical repairs</v>
      </c>
      <c r="U3231" s="4"/>
      <c r="V3231" s="4"/>
      <c r="W3231" s="4"/>
      <c r="X3231" s="4"/>
      <c r="Y3231" s="4"/>
      <c r="Z3231" s="4"/>
    </row>
    <row r="3232" ht="15.75" customHeight="1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 t="str">
        <f>IFERROR(__xludf.DUMMYFUNCTION("""COMPUTED_VALUE"""),"residential property emergency plumbing")</f>
        <v>residential property emergency plumbing</v>
      </c>
      <c r="U3232" s="4"/>
      <c r="V3232" s="4"/>
      <c r="W3232" s="4"/>
      <c r="X3232" s="4"/>
      <c r="Y3232" s="4"/>
      <c r="Z3232" s="4"/>
    </row>
    <row r="3233" ht="15.75" customHeight="1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 t="str">
        <f>IFERROR(__xludf.DUMMYFUNCTION("""COMPUTED_VALUE"""),"residential property geyser repairs")</f>
        <v>residential property geyser repairs</v>
      </c>
      <c r="U3233" s="4"/>
      <c r="V3233" s="4"/>
      <c r="W3233" s="4"/>
      <c r="X3233" s="4"/>
      <c r="Y3233" s="4"/>
      <c r="Z3233" s="4"/>
    </row>
    <row r="3234" ht="15.75" customHeight="1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 t="str">
        <f>IFERROR(__xludf.DUMMYFUNCTION("""COMPUTED_VALUE"""),"residential property leak detection")</f>
        <v>residential property leak detection</v>
      </c>
      <c r="U3234" s="4"/>
      <c r="V3234" s="4"/>
      <c r="W3234" s="4"/>
      <c r="X3234" s="4"/>
      <c r="Y3234" s="4"/>
      <c r="Z3234" s="4"/>
    </row>
    <row r="3235" ht="15.75" customHeight="1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 t="str">
        <f>IFERROR(__xludf.DUMMYFUNCTION("""COMPUTED_VALUE"""),"residential property maintenance plumber")</f>
        <v>residential property maintenance plumber</v>
      </c>
      <c r="U3235" s="4"/>
      <c r="V3235" s="4"/>
      <c r="W3235" s="4"/>
      <c r="X3235" s="4"/>
      <c r="Y3235" s="4"/>
      <c r="Z3235" s="4"/>
    </row>
    <row r="3236" ht="15.75" customHeight="1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 t="str">
        <f>IFERROR(__xludf.DUMMYFUNCTION("""COMPUTED_VALUE"""),"residential property plumbing company")</f>
        <v>residential property plumbing company</v>
      </c>
      <c r="U3236" s="4"/>
      <c r="V3236" s="4"/>
      <c r="W3236" s="4"/>
      <c r="X3236" s="4"/>
      <c r="Y3236" s="4"/>
      <c r="Z3236" s="4"/>
    </row>
    <row r="3237" ht="15.75" customHeight="1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 t="str">
        <f>IFERROR(__xludf.DUMMYFUNCTION("""COMPUTED_VALUE"""),"residential property plumbing services")</f>
        <v>residential property plumbing services</v>
      </c>
      <c r="U3237" s="4"/>
      <c r="V3237" s="4"/>
      <c r="W3237" s="4"/>
      <c r="X3237" s="4"/>
      <c r="Y3237" s="4"/>
      <c r="Z3237" s="4"/>
    </row>
    <row r="3238" ht="15.75" customHeight="1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 t="str">
        <f>IFERROR(__xludf.DUMMYFUNCTION("""COMPUTED_VALUE"""),"residential property refrigeration services")</f>
        <v>residential property refrigeration services</v>
      </c>
      <c r="U3238" s="4"/>
      <c r="V3238" s="4"/>
      <c r="W3238" s="4"/>
      <c r="X3238" s="4"/>
      <c r="Y3238" s="4"/>
      <c r="Z3238" s="4"/>
    </row>
    <row r="3239" ht="15.75" customHeight="1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 t="str">
        <f>IFERROR(__xludf.DUMMYFUNCTION("""COMPUTED_VALUE"""),"residential refrigeration repair")</f>
        <v>residential refrigeration repair</v>
      </c>
      <c r="U3239" s="4"/>
      <c r="V3239" s="4"/>
      <c r="W3239" s="4"/>
      <c r="X3239" s="4"/>
      <c r="Y3239" s="4"/>
      <c r="Z3239" s="4"/>
    </row>
    <row r="3240" ht="15.75" customHeight="1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 t="str">
        <f>IFERROR(__xludf.DUMMYFUNCTION("""COMPUTED_VALUE"""),"residential toilet repair")</f>
        <v>residential toilet repair</v>
      </c>
      <c r="U3240" s="4"/>
      <c r="V3240" s="4"/>
      <c r="W3240" s="4"/>
      <c r="X3240" s="4"/>
      <c r="Y3240" s="4"/>
      <c r="Z3240" s="4"/>
    </row>
    <row r="3241" ht="15.75" customHeight="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 t="str">
        <f>IFERROR(__xludf.DUMMYFUNCTION("""COMPUTED_VALUE"""),"residential water leak detection")</f>
        <v>residential water leak detection</v>
      </c>
      <c r="U3241" s="4"/>
      <c r="V3241" s="4"/>
      <c r="W3241" s="4"/>
      <c r="X3241" s="4"/>
      <c r="Y3241" s="4"/>
      <c r="Z3241" s="4"/>
    </row>
    <row r="3242" ht="15.75" customHeight="1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 t="str">
        <f>IFERROR(__xludf.DUMMYFUNCTION("""COMPUTED_VALUE"""),"residential water leak repair")</f>
        <v>residential water leak repair</v>
      </c>
      <c r="U3242" s="4"/>
      <c r="V3242" s="4"/>
      <c r="W3242" s="4"/>
      <c r="X3242" s="4"/>
      <c r="Y3242" s="4"/>
      <c r="Z3242" s="4"/>
    </row>
    <row r="3243" ht="15.75" customHeight="1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 t="str">
        <f>IFERROR(__xludf.DUMMYFUNCTION("""COMPUTED_VALUE"""),"restaurant air conditioning services")</f>
        <v>restaurant air conditioning services</v>
      </c>
      <c r="U3243" s="4"/>
      <c r="V3243" s="4"/>
      <c r="W3243" s="4"/>
      <c r="X3243" s="4"/>
      <c r="Y3243" s="4"/>
      <c r="Z3243" s="4"/>
    </row>
    <row r="3244" ht="15.75" customHeight="1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 t="str">
        <f>IFERROR(__xludf.DUMMYFUNCTION("""COMPUTED_VALUE"""),"restaurant drain cleaning")</f>
        <v>restaurant drain cleaning</v>
      </c>
      <c r="U3244" s="4"/>
      <c r="V3244" s="4"/>
      <c r="W3244" s="4"/>
      <c r="X3244" s="4"/>
      <c r="Y3244" s="4"/>
      <c r="Z3244" s="4"/>
    </row>
    <row r="3245" ht="15.75" customHeight="1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 t="str">
        <f>IFERROR(__xludf.DUMMYFUNCTION("""COMPUTED_VALUE"""),"restaurant electrical repairs")</f>
        <v>restaurant electrical repairs</v>
      </c>
      <c r="U3245" s="4"/>
      <c r="V3245" s="4"/>
      <c r="W3245" s="4"/>
      <c r="X3245" s="4"/>
      <c r="Y3245" s="4"/>
      <c r="Z3245" s="4"/>
    </row>
    <row r="3246" ht="15.75" customHeight="1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 t="str">
        <f>IFERROR(__xludf.DUMMYFUNCTION("""COMPUTED_VALUE"""),"restaurant emergency plumbing")</f>
        <v>restaurant emergency plumbing</v>
      </c>
      <c r="U3246" s="4"/>
      <c r="V3246" s="4"/>
      <c r="W3246" s="4"/>
      <c r="X3246" s="4"/>
      <c r="Y3246" s="4"/>
      <c r="Z3246" s="4"/>
    </row>
    <row r="3247" ht="15.75" customHeight="1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 t="str">
        <f>IFERROR(__xludf.DUMMYFUNCTION("""COMPUTED_VALUE"""),"restaurant geyser repairs")</f>
        <v>restaurant geyser repairs</v>
      </c>
      <c r="U3247" s="4"/>
      <c r="V3247" s="4"/>
      <c r="W3247" s="4"/>
      <c r="X3247" s="4"/>
      <c r="Y3247" s="4"/>
      <c r="Z3247" s="4"/>
    </row>
    <row r="3248" ht="15.75" customHeight="1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 t="str">
        <f>IFERROR(__xludf.DUMMYFUNCTION("""COMPUTED_VALUE"""),"restaurant leak detection")</f>
        <v>restaurant leak detection</v>
      </c>
      <c r="U3248" s="4"/>
      <c r="V3248" s="4"/>
      <c r="W3248" s="4"/>
      <c r="X3248" s="4"/>
      <c r="Y3248" s="4"/>
      <c r="Z3248" s="4"/>
    </row>
    <row r="3249" ht="15.75" customHeight="1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 t="str">
        <f>IFERROR(__xludf.DUMMYFUNCTION("""COMPUTED_VALUE"""),"restaurant maintenance plumber")</f>
        <v>restaurant maintenance plumber</v>
      </c>
      <c r="U3249" s="4"/>
      <c r="V3249" s="4"/>
      <c r="W3249" s="4"/>
      <c r="X3249" s="4"/>
      <c r="Y3249" s="4"/>
      <c r="Z3249" s="4"/>
    </row>
    <row r="3250" ht="15.75" customHeight="1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 t="str">
        <f>IFERROR(__xludf.DUMMYFUNCTION("""COMPUTED_VALUE"""),"restaurant plumbing company")</f>
        <v>restaurant plumbing company</v>
      </c>
      <c r="U3250" s="4"/>
      <c r="V3250" s="4"/>
      <c r="W3250" s="4"/>
      <c r="X3250" s="4"/>
      <c r="Y3250" s="4"/>
      <c r="Z3250" s="4"/>
    </row>
    <row r="3251" ht="15.75" customHeight="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 t="str">
        <f>IFERROR(__xludf.DUMMYFUNCTION("""COMPUTED_VALUE"""),"restaurant plumbing services")</f>
        <v>restaurant plumbing services</v>
      </c>
      <c r="U3251" s="4"/>
      <c r="V3251" s="4"/>
      <c r="W3251" s="4"/>
      <c r="X3251" s="4"/>
      <c r="Y3251" s="4"/>
      <c r="Z3251" s="4"/>
    </row>
    <row r="3252" ht="15.75" customHeight="1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 t="str">
        <f>IFERROR(__xludf.DUMMYFUNCTION("""COMPUTED_VALUE"""),"restaurant refrigeration services")</f>
        <v>restaurant refrigeration services</v>
      </c>
      <c r="U3252" s="4"/>
      <c r="V3252" s="4"/>
      <c r="W3252" s="4"/>
      <c r="X3252" s="4"/>
      <c r="Y3252" s="4"/>
      <c r="Z3252" s="4"/>
    </row>
    <row r="3253" ht="15.75" customHeight="1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 t="str">
        <f>IFERROR(__xludf.DUMMYFUNCTION("""COMPUTED_VALUE"""),"review absolute plumbing cape town")</f>
        <v>review absolute plumbing cape town</v>
      </c>
      <c r="U3253" s="4"/>
      <c r="V3253" s="4"/>
      <c r="W3253" s="4"/>
      <c r="X3253" s="4"/>
      <c r="Y3253" s="4"/>
      <c r="Z3253" s="4"/>
    </row>
    <row r="3254" ht="15.75" customHeight="1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 t="str">
        <f>IFERROR(__xludf.DUMMYFUNCTION("""COMPUTED_VALUE"""),"review aircon repair cape town")</f>
        <v>review aircon repair cape town</v>
      </c>
      <c r="U3254" s="4"/>
      <c r="V3254" s="4"/>
      <c r="W3254" s="4"/>
      <c r="X3254" s="4"/>
      <c r="Y3254" s="4"/>
      <c r="Z3254" s="4"/>
    </row>
    <row r="3255" ht="15.75" customHeight="1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 t="str">
        <f>IFERROR(__xludf.DUMMYFUNCTION("""COMPUTED_VALUE"""),"review bosman plumbers")</f>
        <v>review bosman plumbers</v>
      </c>
      <c r="U3255" s="4"/>
      <c r="V3255" s="4"/>
      <c r="W3255" s="4"/>
      <c r="X3255" s="4"/>
      <c r="Y3255" s="4"/>
      <c r="Z3255" s="4"/>
    </row>
    <row r="3256" ht="15.75" customHeight="1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 t="str">
        <f>IFERROR(__xludf.DUMMYFUNCTION("""COMPUTED_VALUE"""),"review drain surgeon cape town")</f>
        <v>review drain surgeon cape town</v>
      </c>
      <c r="U3256" s="4"/>
      <c r="V3256" s="4"/>
      <c r="W3256" s="4"/>
      <c r="X3256" s="4"/>
      <c r="Y3256" s="4"/>
      <c r="Z3256" s="4"/>
    </row>
    <row r="3257" ht="15.75" customHeight="1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 t="str">
        <f>IFERROR(__xludf.DUMMYFUNCTION("""COMPUTED_VALUE"""),"review electrician cape town")</f>
        <v>review electrician cape town</v>
      </c>
      <c r="U3257" s="4"/>
      <c r="V3257" s="4"/>
      <c r="W3257" s="4"/>
      <c r="X3257" s="4"/>
      <c r="Y3257" s="4"/>
      <c r="Z3257" s="4"/>
    </row>
    <row r="3258" ht="15.75" customHeight="1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 t="str">
        <f>IFERROR(__xludf.DUMMYFUNCTION("""COMPUTED_VALUE"""),"review emergency plumber cape town")</f>
        <v>review emergency plumber cape town</v>
      </c>
      <c r="U3258" s="4"/>
      <c r="V3258" s="4"/>
      <c r="W3258" s="4"/>
      <c r="X3258" s="4"/>
      <c r="Y3258" s="4"/>
      <c r="Z3258" s="4"/>
    </row>
    <row r="3259" ht="15.75" customHeight="1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 t="str">
        <f>IFERROR(__xludf.DUMMYFUNCTION("""COMPUTED_VALUE"""),"review plumber near me")</f>
        <v>review plumber near me</v>
      </c>
      <c r="U3259" s="4"/>
      <c r="V3259" s="4"/>
      <c r="W3259" s="4"/>
      <c r="X3259" s="4"/>
      <c r="Y3259" s="4"/>
      <c r="Z3259" s="4"/>
    </row>
    <row r="3260" ht="15.75" customHeight="1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 t="str">
        <f>IFERROR(__xludf.DUMMYFUNCTION("""COMPUTED_VALUE"""),"review plumbers cape town")</f>
        <v>review plumbers cape town</v>
      </c>
      <c r="U3260" s="4"/>
      <c r="V3260" s="4"/>
      <c r="W3260" s="4"/>
      <c r="X3260" s="4"/>
      <c r="Y3260" s="4"/>
      <c r="Z3260" s="4"/>
    </row>
    <row r="3261" ht="15.75" customHeight="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 t="str">
        <f>IFERROR(__xludf.DUMMYFUNCTION("""COMPUTED_VALUE"""),"review plumbing company cape town")</f>
        <v>review plumbing company cape town</v>
      </c>
      <c r="U3261" s="4"/>
      <c r="V3261" s="4"/>
      <c r="W3261" s="4"/>
      <c r="X3261" s="4"/>
      <c r="Y3261" s="4"/>
      <c r="Z3261" s="4"/>
    </row>
    <row r="3262" ht="15.75" customHeight="1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 t="str">
        <f>IFERROR(__xludf.DUMMYFUNCTION("""COMPUTED_VALUE"""),"review schmidhauser plumbing")</f>
        <v>review schmidhauser plumbing</v>
      </c>
      <c r="U3262" s="4"/>
      <c r="V3262" s="4"/>
      <c r="W3262" s="4"/>
      <c r="X3262" s="4"/>
      <c r="Y3262" s="4"/>
      <c r="Z3262" s="4"/>
    </row>
    <row r="3263" ht="15.75" customHeight="1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 t="str">
        <f>IFERROR(__xludf.DUMMYFUNCTION("""COMPUTED_VALUE"""),"reviews absolute plumbing cape town")</f>
        <v>reviews absolute plumbing cape town</v>
      </c>
      <c r="U3263" s="4"/>
      <c r="V3263" s="4"/>
      <c r="W3263" s="4"/>
      <c r="X3263" s="4"/>
      <c r="Y3263" s="4"/>
      <c r="Z3263" s="4"/>
    </row>
    <row r="3264" ht="15.75" customHeight="1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 t="str">
        <f>IFERROR(__xludf.DUMMYFUNCTION("""COMPUTED_VALUE"""),"reviews aircon repair cape town")</f>
        <v>reviews aircon repair cape town</v>
      </c>
      <c r="U3264" s="4"/>
      <c r="V3264" s="4"/>
      <c r="W3264" s="4"/>
      <c r="X3264" s="4"/>
      <c r="Y3264" s="4"/>
      <c r="Z3264" s="4"/>
    </row>
    <row r="3265" ht="15.75" customHeight="1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 t="str">
        <f>IFERROR(__xludf.DUMMYFUNCTION("""COMPUTED_VALUE"""),"reviews bosman plumbers")</f>
        <v>reviews bosman plumbers</v>
      </c>
      <c r="U3265" s="4"/>
      <c r="V3265" s="4"/>
      <c r="W3265" s="4"/>
      <c r="X3265" s="4"/>
      <c r="Y3265" s="4"/>
      <c r="Z3265" s="4"/>
    </row>
    <row r="3266" ht="15.75" customHeight="1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 t="str">
        <f>IFERROR(__xludf.DUMMYFUNCTION("""COMPUTED_VALUE"""),"reviews drain surgeon cape town")</f>
        <v>reviews drain surgeon cape town</v>
      </c>
      <c r="U3266" s="4"/>
      <c r="V3266" s="4"/>
      <c r="W3266" s="4"/>
      <c r="X3266" s="4"/>
      <c r="Y3266" s="4"/>
      <c r="Z3266" s="4"/>
    </row>
    <row r="3267" ht="15.75" customHeight="1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 t="str">
        <f>IFERROR(__xludf.DUMMYFUNCTION("""COMPUTED_VALUE"""),"reviews electrician cape town")</f>
        <v>reviews electrician cape town</v>
      </c>
      <c r="U3267" s="4"/>
      <c r="V3267" s="4"/>
      <c r="W3267" s="4"/>
      <c r="X3267" s="4"/>
      <c r="Y3267" s="4"/>
      <c r="Z3267" s="4"/>
    </row>
    <row r="3268" ht="15.75" customHeight="1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 t="str">
        <f>IFERROR(__xludf.DUMMYFUNCTION("""COMPUTED_VALUE"""),"reviews emergency plumber cape town")</f>
        <v>reviews emergency plumber cape town</v>
      </c>
      <c r="U3268" s="4"/>
      <c r="V3268" s="4"/>
      <c r="W3268" s="4"/>
      <c r="X3268" s="4"/>
      <c r="Y3268" s="4"/>
      <c r="Z3268" s="4"/>
    </row>
    <row r="3269" ht="15.75" customHeight="1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 t="str">
        <f>IFERROR(__xludf.DUMMYFUNCTION("""COMPUTED_VALUE"""),"reviews plumber near me")</f>
        <v>reviews plumber near me</v>
      </c>
      <c r="U3269" s="4"/>
      <c r="V3269" s="4"/>
      <c r="W3269" s="4"/>
      <c r="X3269" s="4"/>
      <c r="Y3269" s="4"/>
      <c r="Z3269" s="4"/>
    </row>
    <row r="3270" ht="15.75" customHeight="1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 t="str">
        <f>IFERROR(__xludf.DUMMYFUNCTION("""COMPUTED_VALUE"""),"reviews plumbers cape town")</f>
        <v>reviews plumbers cape town</v>
      </c>
      <c r="U3270" s="4"/>
      <c r="V3270" s="4"/>
      <c r="W3270" s="4"/>
      <c r="X3270" s="4"/>
      <c r="Y3270" s="4"/>
      <c r="Z3270" s="4"/>
    </row>
    <row r="3271" ht="15.75" customHeight="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 t="str">
        <f>IFERROR(__xludf.DUMMYFUNCTION("""COMPUTED_VALUE"""),"reviews plumbing company cape town")</f>
        <v>reviews plumbing company cape town</v>
      </c>
      <c r="U3271" s="4"/>
      <c r="V3271" s="4"/>
      <c r="W3271" s="4"/>
      <c r="X3271" s="4"/>
      <c r="Y3271" s="4"/>
      <c r="Z3271" s="4"/>
    </row>
    <row r="3272" ht="15.75" customHeight="1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 t="str">
        <f>IFERROR(__xludf.DUMMYFUNCTION("""COMPUTED_VALUE"""),"reviews schmidhauser plumbing")</f>
        <v>reviews schmidhauser plumbing</v>
      </c>
      <c r="U3272" s="4"/>
      <c r="V3272" s="4"/>
      <c r="W3272" s="4"/>
      <c r="X3272" s="4"/>
      <c r="Y3272" s="4"/>
      <c r="Z3272" s="4"/>
    </row>
    <row r="3273" ht="15.75" customHeight="1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 t="str">
        <f>IFERROR(__xludf.DUMMYFUNCTION("""COMPUTED_VALUE"""),"Rondebosch aircon repairs")</f>
        <v>Rondebosch aircon repairs</v>
      </c>
      <c r="U3273" s="4"/>
      <c r="V3273" s="4"/>
      <c r="W3273" s="4"/>
      <c r="X3273" s="4"/>
      <c r="Y3273" s="4"/>
      <c r="Z3273" s="4"/>
    </row>
    <row r="3274" ht="15.75" customHeight="1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 t="str">
        <f>IFERROR(__xludf.DUMMYFUNCTION("""COMPUTED_VALUE"""),"Rondebosch blocked drain plumber")</f>
        <v>Rondebosch blocked drain plumber</v>
      </c>
      <c r="U3274" s="4"/>
      <c r="V3274" s="4"/>
      <c r="W3274" s="4"/>
      <c r="X3274" s="4"/>
      <c r="Y3274" s="4"/>
      <c r="Z3274" s="4"/>
    </row>
    <row r="3275" ht="15.75" customHeight="1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 t="str">
        <f>IFERROR(__xludf.DUMMYFUNCTION("""COMPUTED_VALUE"""),"Rondebosch electrician")</f>
        <v>Rondebosch electrician</v>
      </c>
      <c r="U3275" s="4"/>
      <c r="V3275" s="4"/>
      <c r="W3275" s="4"/>
      <c r="X3275" s="4"/>
      <c r="Y3275" s="4"/>
      <c r="Z3275" s="4"/>
    </row>
    <row r="3276" ht="15.75" customHeight="1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 t="str">
        <f>IFERROR(__xludf.DUMMYFUNCTION("""COMPUTED_VALUE"""),"Rondebosch emergency plumber")</f>
        <v>Rondebosch emergency plumber</v>
      </c>
      <c r="U3276" s="4"/>
      <c r="V3276" s="4"/>
      <c r="W3276" s="4"/>
      <c r="X3276" s="4"/>
      <c r="Y3276" s="4"/>
      <c r="Z3276" s="4"/>
    </row>
    <row r="3277" ht="15.75" customHeight="1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 t="str">
        <f>IFERROR(__xludf.DUMMYFUNCTION("""COMPUTED_VALUE"""),"Rondebosch geyser repair")</f>
        <v>Rondebosch geyser repair</v>
      </c>
      <c r="U3277" s="4"/>
      <c r="V3277" s="4"/>
      <c r="W3277" s="4"/>
      <c r="X3277" s="4"/>
      <c r="Y3277" s="4"/>
      <c r="Z3277" s="4"/>
    </row>
    <row r="3278" ht="15.75" customHeight="1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 t="str">
        <f>IFERROR(__xludf.DUMMYFUNCTION("""COMPUTED_VALUE"""),"Rondebosch leak detection plumber")</f>
        <v>Rondebosch leak detection plumber</v>
      </c>
      <c r="U3278" s="4"/>
      <c r="V3278" s="4"/>
      <c r="W3278" s="4"/>
      <c r="X3278" s="4"/>
      <c r="Y3278" s="4"/>
      <c r="Z3278" s="4"/>
    </row>
    <row r="3279" ht="15.75" customHeight="1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 t="str">
        <f>IFERROR(__xludf.DUMMYFUNCTION("""COMPUTED_VALUE"""),"Rondebosch plumber")</f>
        <v>Rondebosch plumber</v>
      </c>
      <c r="U3279" s="4"/>
      <c r="V3279" s="4"/>
      <c r="W3279" s="4"/>
      <c r="X3279" s="4"/>
      <c r="Y3279" s="4"/>
      <c r="Z3279" s="4"/>
    </row>
    <row r="3280" ht="15.75" customHeight="1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 t="str">
        <f>IFERROR(__xludf.DUMMYFUNCTION("""COMPUTED_VALUE"""),"Rondebosch plumbers")</f>
        <v>Rondebosch plumbers</v>
      </c>
      <c r="U3280" s="4"/>
      <c r="V3280" s="4"/>
      <c r="W3280" s="4"/>
      <c r="X3280" s="4"/>
      <c r="Y3280" s="4"/>
      <c r="Z3280" s="4"/>
    </row>
    <row r="3281" ht="15.75" customHeight="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 t="str">
        <f>IFERROR(__xludf.DUMMYFUNCTION("""COMPUTED_VALUE"""),"Rondebosch plumbing company")</f>
        <v>Rondebosch plumbing company</v>
      </c>
      <c r="U3281" s="4"/>
      <c r="V3281" s="4"/>
      <c r="W3281" s="4"/>
      <c r="X3281" s="4"/>
      <c r="Y3281" s="4"/>
      <c r="Z3281" s="4"/>
    </row>
    <row r="3282" ht="15.75" customHeight="1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 t="str">
        <f>IFERROR(__xludf.DUMMYFUNCTION("""COMPUTED_VALUE"""),"Rondebosch refrigeration services")</f>
        <v>Rondebosch refrigeration services</v>
      </c>
      <c r="U3282" s="4"/>
      <c r="V3282" s="4"/>
      <c r="W3282" s="4"/>
      <c r="X3282" s="4"/>
      <c r="Y3282" s="4"/>
      <c r="Z3282" s="4"/>
    </row>
    <row r="3283" ht="15.75" customHeight="1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 t="str">
        <f>IFERROR(__xludf.DUMMYFUNCTION("""COMPUTED_VALUE"""),"same day 24 hour plumber")</f>
        <v>same day 24 hour plumber</v>
      </c>
      <c r="U3283" s="4"/>
      <c r="V3283" s="4"/>
      <c r="W3283" s="4"/>
      <c r="X3283" s="4"/>
      <c r="Y3283" s="4"/>
      <c r="Z3283" s="4"/>
    </row>
    <row r="3284" ht="15.75" customHeight="1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 t="str">
        <f>IFERROR(__xludf.DUMMYFUNCTION("""COMPUTED_VALUE"""),"same day absolute plumbing cape town")</f>
        <v>same day absolute plumbing cape town</v>
      </c>
      <c r="U3284" s="4"/>
      <c r="V3284" s="4"/>
      <c r="W3284" s="4"/>
      <c r="X3284" s="4"/>
      <c r="Y3284" s="4"/>
      <c r="Z3284" s="4"/>
    </row>
    <row r="3285" ht="15.75" customHeight="1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 t="str">
        <f>IFERROR(__xludf.DUMMYFUNCTION("""COMPUTED_VALUE"""),"same day air conditioning")</f>
        <v>same day air conditioning</v>
      </c>
      <c r="U3285" s="4"/>
      <c r="V3285" s="4"/>
      <c r="W3285" s="4"/>
      <c r="X3285" s="4"/>
      <c r="Y3285" s="4"/>
      <c r="Z3285" s="4"/>
    </row>
    <row r="3286" ht="15.75" customHeight="1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 t="str">
        <f>IFERROR(__xludf.DUMMYFUNCTION("""COMPUTED_VALUE"""),"same day air conditioning repair")</f>
        <v>same day air conditioning repair</v>
      </c>
      <c r="U3286" s="4"/>
      <c r="V3286" s="4"/>
      <c r="W3286" s="4"/>
      <c r="X3286" s="4"/>
      <c r="Y3286" s="4"/>
      <c r="Z3286" s="4"/>
    </row>
    <row r="3287" ht="15.75" customHeight="1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 t="str">
        <f>IFERROR(__xludf.DUMMYFUNCTION("""COMPUTED_VALUE"""),"same day aircon installation")</f>
        <v>same day aircon installation</v>
      </c>
      <c r="U3287" s="4"/>
      <c r="V3287" s="4"/>
      <c r="W3287" s="4"/>
      <c r="X3287" s="4"/>
      <c r="Y3287" s="4"/>
      <c r="Z3287" s="4"/>
    </row>
    <row r="3288" ht="15.75" customHeight="1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 t="str">
        <f>IFERROR(__xludf.DUMMYFUNCTION("""COMPUTED_VALUE"""),"same day aircon repair")</f>
        <v>same day aircon repair</v>
      </c>
      <c r="U3288" s="4"/>
      <c r="V3288" s="4"/>
      <c r="W3288" s="4"/>
      <c r="X3288" s="4"/>
      <c r="Y3288" s="4"/>
      <c r="Z3288" s="4"/>
    </row>
    <row r="3289" ht="15.75" customHeight="1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 t="str">
        <f>IFERROR(__xludf.DUMMYFUNCTION("""COMPUTED_VALUE"""),"same day aircon repair cape town")</f>
        <v>same day aircon repair cape town</v>
      </c>
      <c r="U3289" s="4"/>
      <c r="V3289" s="4"/>
      <c r="W3289" s="4"/>
      <c r="X3289" s="4"/>
      <c r="Y3289" s="4"/>
      <c r="Z3289" s="4"/>
    </row>
    <row r="3290" ht="15.75" customHeight="1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 t="str">
        <f>IFERROR(__xludf.DUMMYFUNCTION("""COMPUTED_VALUE"""),"same day aircon service")</f>
        <v>same day aircon service</v>
      </c>
      <c r="U3290" s="4"/>
      <c r="V3290" s="4"/>
      <c r="W3290" s="4"/>
      <c r="X3290" s="4"/>
      <c r="Y3290" s="4"/>
      <c r="Z3290" s="4"/>
    </row>
    <row r="3291" ht="15.75" customHeight="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 t="str">
        <f>IFERROR(__xludf.DUMMYFUNCTION("""COMPUTED_VALUE"""),"same day bathroom plumbing repair")</f>
        <v>same day bathroom plumbing repair</v>
      </c>
      <c r="U3291" s="4"/>
      <c r="V3291" s="4"/>
      <c r="W3291" s="4"/>
      <c r="X3291" s="4"/>
      <c r="Y3291" s="4"/>
      <c r="Z3291" s="4"/>
    </row>
    <row r="3292" ht="15.75" customHeight="1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 t="str">
        <f>IFERROR(__xludf.DUMMYFUNCTION("""COMPUTED_VALUE"""),"same day blocked drain")</f>
        <v>same day blocked drain</v>
      </c>
      <c r="U3292" s="4"/>
      <c r="V3292" s="4"/>
      <c r="W3292" s="4"/>
      <c r="X3292" s="4"/>
      <c r="Y3292" s="4"/>
      <c r="Z3292" s="4"/>
    </row>
    <row r="3293" ht="15.75" customHeight="1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 t="str">
        <f>IFERROR(__xludf.DUMMYFUNCTION("""COMPUTED_VALUE"""),"same day blocked toilet plumber")</f>
        <v>same day blocked toilet plumber</v>
      </c>
      <c r="U3293" s="4"/>
      <c r="V3293" s="4"/>
      <c r="W3293" s="4"/>
      <c r="X3293" s="4"/>
      <c r="Y3293" s="4"/>
      <c r="Z3293" s="4"/>
    </row>
    <row r="3294" ht="15.75" customHeight="1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 t="str">
        <f>IFERROR(__xludf.DUMMYFUNCTION("""COMPUTED_VALUE"""),"same day bosman plumbers")</f>
        <v>same day bosman plumbers</v>
      </c>
      <c r="U3294" s="4"/>
      <c r="V3294" s="4"/>
      <c r="W3294" s="4"/>
      <c r="X3294" s="4"/>
      <c r="Y3294" s="4"/>
      <c r="Z3294" s="4"/>
    </row>
    <row r="3295" ht="15.75" customHeight="1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 t="str">
        <f>IFERROR(__xludf.DUMMYFUNCTION("""COMPUTED_VALUE"""),"same day burst geyser")</f>
        <v>same day burst geyser</v>
      </c>
      <c r="U3295" s="4"/>
      <c r="V3295" s="4"/>
      <c r="W3295" s="4"/>
      <c r="X3295" s="4"/>
      <c r="Y3295" s="4"/>
      <c r="Z3295" s="4"/>
    </row>
    <row r="3296" ht="15.75" customHeight="1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 t="str">
        <f>IFERROR(__xludf.DUMMYFUNCTION("""COMPUTED_VALUE"""),"same day burst pipe repair")</f>
        <v>same day burst pipe repair</v>
      </c>
      <c r="U3296" s="4"/>
      <c r="V3296" s="4"/>
      <c r="W3296" s="4"/>
      <c r="X3296" s="4"/>
      <c r="Y3296" s="4"/>
      <c r="Z3296" s="4"/>
    </row>
    <row r="3297" ht="15.75" customHeight="1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 t="str">
        <f>IFERROR(__xludf.DUMMYFUNCTION("""COMPUTED_VALUE"""),"same day cold room repair")</f>
        <v>same day cold room repair</v>
      </c>
      <c r="U3297" s="4"/>
      <c r="V3297" s="4"/>
      <c r="W3297" s="4"/>
      <c r="X3297" s="4"/>
      <c r="Y3297" s="4"/>
      <c r="Z3297" s="4"/>
    </row>
    <row r="3298" ht="15.75" customHeight="1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 t="str">
        <f>IFERROR(__xludf.DUMMYFUNCTION("""COMPUTED_VALUE"""),"same day commercial electrician")</f>
        <v>same day commercial electrician</v>
      </c>
      <c r="U3298" s="4"/>
      <c r="V3298" s="4"/>
      <c r="W3298" s="4"/>
      <c r="X3298" s="4"/>
      <c r="Y3298" s="4"/>
      <c r="Z3298" s="4"/>
    </row>
    <row r="3299" ht="15.75" customHeight="1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 t="str">
        <f>IFERROR(__xludf.DUMMYFUNCTION("""COMPUTED_VALUE"""),"same day commercial plumber")</f>
        <v>same day commercial plumber</v>
      </c>
      <c r="U3299" s="4"/>
      <c r="V3299" s="4"/>
      <c r="W3299" s="4"/>
      <c r="X3299" s="4"/>
      <c r="Y3299" s="4"/>
      <c r="Z3299" s="4"/>
    </row>
    <row r="3300" ht="15.75" customHeight="1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 t="str">
        <f>IFERROR(__xludf.DUMMYFUNCTION("""COMPUTED_VALUE"""),"same day commercial refrigeration")</f>
        <v>same day commercial refrigeration</v>
      </c>
      <c r="U3300" s="4"/>
      <c r="V3300" s="4"/>
      <c r="W3300" s="4"/>
      <c r="X3300" s="4"/>
      <c r="Y3300" s="4"/>
      <c r="Z3300" s="4"/>
    </row>
    <row r="3301" ht="15.75" customHeight="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 t="str">
        <f>IFERROR(__xludf.DUMMYFUNCTION("""COMPUTED_VALUE"""),"same day drain cleaning")</f>
        <v>same day drain cleaning</v>
      </c>
      <c r="U3301" s="4"/>
      <c r="V3301" s="4"/>
      <c r="W3301" s="4"/>
      <c r="X3301" s="4"/>
      <c r="Y3301" s="4"/>
      <c r="Z3301" s="4"/>
    </row>
    <row r="3302" ht="15.75" customHeight="1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 t="str">
        <f>IFERROR(__xludf.DUMMYFUNCTION("""COMPUTED_VALUE"""),"same day drain inspection")</f>
        <v>same day drain inspection</v>
      </c>
      <c r="U3302" s="4"/>
      <c r="V3302" s="4"/>
      <c r="W3302" s="4"/>
      <c r="X3302" s="4"/>
      <c r="Y3302" s="4"/>
      <c r="Z3302" s="4"/>
    </row>
    <row r="3303" ht="15.75" customHeight="1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 t="str">
        <f>IFERROR(__xludf.DUMMYFUNCTION("""COMPUTED_VALUE"""),"same day drain surgeon cape town")</f>
        <v>same day drain surgeon cape town</v>
      </c>
      <c r="U3303" s="4"/>
      <c r="V3303" s="4"/>
      <c r="W3303" s="4"/>
      <c r="X3303" s="4"/>
      <c r="Y3303" s="4"/>
      <c r="Z3303" s="4"/>
    </row>
    <row r="3304" ht="15.75" customHeight="1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 t="str">
        <f>IFERROR(__xludf.DUMMYFUNCTION("""COMPUTED_VALUE"""),"same day drain unblocking")</f>
        <v>same day drain unblocking</v>
      </c>
      <c r="U3304" s="4"/>
      <c r="V3304" s="4"/>
      <c r="W3304" s="4"/>
      <c r="X3304" s="4"/>
      <c r="Y3304" s="4"/>
      <c r="Z3304" s="4"/>
    </row>
    <row r="3305" ht="15.75" customHeight="1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 t="str">
        <f>IFERROR(__xludf.DUMMYFUNCTION("""COMPUTED_VALUE"""),"same day electrical compliance certificate")</f>
        <v>same day electrical compliance certificate</v>
      </c>
      <c r="U3305" s="4"/>
      <c r="V3305" s="4"/>
      <c r="W3305" s="4"/>
      <c r="X3305" s="4"/>
      <c r="Y3305" s="4"/>
      <c r="Z3305" s="4"/>
    </row>
    <row r="3306" ht="15.75" customHeight="1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 t="str">
        <f>IFERROR(__xludf.DUMMYFUNCTION("""COMPUTED_VALUE"""),"same day electrical contractor")</f>
        <v>same day electrical contractor</v>
      </c>
      <c r="U3306" s="4"/>
      <c r="V3306" s="4"/>
      <c r="W3306" s="4"/>
      <c r="X3306" s="4"/>
      <c r="Y3306" s="4"/>
      <c r="Z3306" s="4"/>
    </row>
    <row r="3307" ht="15.75" customHeight="1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 t="str">
        <f>IFERROR(__xludf.DUMMYFUNCTION("""COMPUTED_VALUE"""),"same day electrical installation")</f>
        <v>same day electrical installation</v>
      </c>
      <c r="U3307" s="4"/>
      <c r="V3307" s="4"/>
      <c r="W3307" s="4"/>
      <c r="X3307" s="4"/>
      <c r="Y3307" s="4"/>
      <c r="Z3307" s="4"/>
    </row>
    <row r="3308" ht="15.75" customHeight="1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 t="str">
        <f>IFERROR(__xludf.DUMMYFUNCTION("""COMPUTED_VALUE"""),"same day electrical maintenance")</f>
        <v>same day electrical maintenance</v>
      </c>
      <c r="U3308" s="4"/>
      <c r="V3308" s="4"/>
      <c r="W3308" s="4"/>
      <c r="X3308" s="4"/>
      <c r="Y3308" s="4"/>
      <c r="Z3308" s="4"/>
    </row>
    <row r="3309" ht="15.75" customHeight="1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 t="str">
        <f>IFERROR(__xludf.DUMMYFUNCTION("""COMPUTED_VALUE"""),"same day electrical repairs")</f>
        <v>same day electrical repairs</v>
      </c>
      <c r="U3309" s="4"/>
      <c r="V3309" s="4"/>
      <c r="W3309" s="4"/>
      <c r="X3309" s="4"/>
      <c r="Y3309" s="4"/>
      <c r="Z3309" s="4"/>
    </row>
    <row r="3310" ht="15.75" customHeight="1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 t="str">
        <f>IFERROR(__xludf.DUMMYFUNCTION("""COMPUTED_VALUE"""),"same day electrical services")</f>
        <v>same day electrical services</v>
      </c>
      <c r="U3310" s="4"/>
      <c r="V3310" s="4"/>
      <c r="W3310" s="4"/>
      <c r="X3310" s="4"/>
      <c r="Y3310" s="4"/>
      <c r="Z3310" s="4"/>
    </row>
    <row r="3311" ht="15.75" customHeight="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 t="str">
        <f>IFERROR(__xludf.DUMMYFUNCTION("""COMPUTED_VALUE"""),"same day electrician cape town")</f>
        <v>same day electrician cape town</v>
      </c>
      <c r="U3311" s="4"/>
      <c r="V3311" s="4"/>
      <c r="W3311" s="4"/>
      <c r="X3311" s="4"/>
      <c r="Y3311" s="4"/>
      <c r="Z3311" s="4"/>
    </row>
    <row r="3312" ht="15.75" customHeight="1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 t="str">
        <f>IFERROR(__xludf.DUMMYFUNCTION("""COMPUTED_VALUE"""),"same day emergency electrician")</f>
        <v>same day emergency electrician</v>
      </c>
      <c r="U3312" s="4"/>
      <c r="V3312" s="4"/>
      <c r="W3312" s="4"/>
      <c r="X3312" s="4"/>
      <c r="Y3312" s="4"/>
      <c r="Z3312" s="4"/>
    </row>
    <row r="3313" ht="15.75" customHeight="1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 t="str">
        <f>IFERROR(__xludf.DUMMYFUNCTION("""COMPUTED_VALUE"""),"same day emergency plumber")</f>
        <v>same day emergency plumber</v>
      </c>
      <c r="U3313" s="4"/>
      <c r="V3313" s="4"/>
      <c r="W3313" s="4"/>
      <c r="X3313" s="4"/>
      <c r="Y3313" s="4"/>
      <c r="Z3313" s="4"/>
    </row>
    <row r="3314" ht="15.75" customHeight="1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 t="str">
        <f>IFERROR(__xludf.DUMMYFUNCTION("""COMPUTED_VALUE"""),"same day emergency plumber cape town")</f>
        <v>same day emergency plumber cape town</v>
      </c>
      <c r="U3314" s="4"/>
      <c r="V3314" s="4"/>
      <c r="W3314" s="4"/>
      <c r="X3314" s="4"/>
      <c r="Y3314" s="4"/>
      <c r="Z3314" s="4"/>
    </row>
    <row r="3315" ht="15.75" customHeight="1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 t="str">
        <f>IFERROR(__xludf.DUMMYFUNCTION("""COMPUTED_VALUE"""),"same day fridge repair")</f>
        <v>same day fridge repair</v>
      </c>
      <c r="U3315" s="4"/>
      <c r="V3315" s="4"/>
      <c r="W3315" s="4"/>
      <c r="X3315" s="4"/>
      <c r="Y3315" s="4"/>
      <c r="Z3315" s="4"/>
    </row>
    <row r="3316" ht="15.75" customHeight="1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 t="str">
        <f>IFERROR(__xludf.DUMMYFUNCTION("""COMPUTED_VALUE"""),"same day geyser repair")</f>
        <v>same day geyser repair</v>
      </c>
      <c r="U3316" s="4"/>
      <c r="V3316" s="4"/>
      <c r="W3316" s="4"/>
      <c r="X3316" s="4"/>
      <c r="Y3316" s="4"/>
      <c r="Z3316" s="4"/>
    </row>
    <row r="3317" ht="15.75" customHeight="1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 t="str">
        <f>IFERROR(__xludf.DUMMYFUNCTION("""COMPUTED_VALUE"""),"same day geyser replacement")</f>
        <v>same day geyser replacement</v>
      </c>
      <c r="U3317" s="4"/>
      <c r="V3317" s="4"/>
      <c r="W3317" s="4"/>
      <c r="X3317" s="4"/>
      <c r="Y3317" s="4"/>
      <c r="Z3317" s="4"/>
    </row>
    <row r="3318" ht="15.75" customHeight="1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 t="str">
        <f>IFERROR(__xludf.DUMMYFUNCTION("""COMPUTED_VALUE"""),"same day help for aircon service")</f>
        <v>same day help for aircon service</v>
      </c>
      <c r="U3318" s="4"/>
      <c r="V3318" s="4"/>
      <c r="W3318" s="4"/>
      <c r="X3318" s="4"/>
      <c r="Y3318" s="4"/>
      <c r="Z3318" s="4"/>
    </row>
    <row r="3319" ht="15.75" customHeight="1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 t="str">
        <f>IFERROR(__xludf.DUMMYFUNCTION("""COMPUTED_VALUE"""),"same day help for blocked drain")</f>
        <v>same day help for blocked drain</v>
      </c>
      <c r="U3319" s="4"/>
      <c r="V3319" s="4"/>
      <c r="W3319" s="4"/>
      <c r="X3319" s="4"/>
      <c r="Y3319" s="4"/>
      <c r="Z3319" s="4"/>
    </row>
    <row r="3320" ht="15.75" customHeight="1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 t="str">
        <f>IFERROR(__xludf.DUMMYFUNCTION("""COMPUTED_VALUE"""),"same day help for burst pipe")</f>
        <v>same day help for burst pipe</v>
      </c>
      <c r="U3320" s="4"/>
      <c r="V3320" s="4"/>
      <c r="W3320" s="4"/>
      <c r="X3320" s="4"/>
      <c r="Y3320" s="4"/>
      <c r="Z3320" s="4"/>
    </row>
    <row r="3321" ht="15.75" customHeight="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 t="str">
        <f>IFERROR(__xludf.DUMMYFUNCTION("""COMPUTED_VALUE"""),"same day help for electrical COC")</f>
        <v>same day help for electrical COC</v>
      </c>
      <c r="U3321" s="4"/>
      <c r="V3321" s="4"/>
      <c r="W3321" s="4"/>
      <c r="X3321" s="4"/>
      <c r="Y3321" s="4"/>
      <c r="Z3321" s="4"/>
    </row>
    <row r="3322" ht="15.75" customHeight="1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 t="str">
        <f>IFERROR(__xludf.DUMMYFUNCTION("""COMPUTED_VALUE"""),"same day help for emergency plumber")</f>
        <v>same day help for emergency plumber</v>
      </c>
      <c r="U3322" s="4"/>
      <c r="V3322" s="4"/>
      <c r="W3322" s="4"/>
      <c r="X3322" s="4"/>
      <c r="Y3322" s="4"/>
      <c r="Z3322" s="4"/>
    </row>
    <row r="3323" ht="15.75" customHeight="1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 t="str">
        <f>IFERROR(__xludf.DUMMYFUNCTION("""COMPUTED_VALUE"""),"same day help for geyser repair")</f>
        <v>same day help for geyser repair</v>
      </c>
      <c r="U3323" s="4"/>
      <c r="V3323" s="4"/>
      <c r="W3323" s="4"/>
      <c r="X3323" s="4"/>
      <c r="Y3323" s="4"/>
      <c r="Z3323" s="4"/>
    </row>
    <row r="3324" ht="15.75" customHeight="1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 t="str">
        <f>IFERROR(__xludf.DUMMYFUNCTION("""COMPUTED_VALUE"""),"same day help for leak detection")</f>
        <v>same day help for leak detection</v>
      </c>
      <c r="U3324" s="4"/>
      <c r="V3324" s="4"/>
      <c r="W3324" s="4"/>
      <c r="X3324" s="4"/>
      <c r="Y3324" s="4"/>
      <c r="Z3324" s="4"/>
    </row>
    <row r="3325" ht="15.75" customHeight="1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 t="str">
        <f>IFERROR(__xludf.DUMMYFUNCTION("""COMPUTED_VALUE"""),"same day help for plumber cost")</f>
        <v>same day help for plumber cost</v>
      </c>
      <c r="U3325" s="4"/>
      <c r="V3325" s="4"/>
      <c r="W3325" s="4"/>
      <c r="X3325" s="4"/>
      <c r="Y3325" s="4"/>
      <c r="Z3325" s="4"/>
    </row>
    <row r="3326" ht="15.75" customHeight="1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 t="str">
        <f>IFERROR(__xludf.DUMMYFUNCTION("""COMPUTED_VALUE"""),"same day help for plumbing maintenance")</f>
        <v>same day help for plumbing maintenance</v>
      </c>
      <c r="U3326" s="4"/>
      <c r="V3326" s="4"/>
      <c r="W3326" s="4"/>
      <c r="X3326" s="4"/>
      <c r="Y3326" s="4"/>
      <c r="Z3326" s="4"/>
    </row>
    <row r="3327" ht="15.75" customHeight="1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 t="str">
        <f>IFERROR(__xludf.DUMMYFUNCTION("""COMPUTED_VALUE"""),"same day help for refrigeration repair")</f>
        <v>same day help for refrigeration repair</v>
      </c>
      <c r="U3327" s="4"/>
      <c r="V3327" s="4"/>
      <c r="W3327" s="4"/>
      <c r="X3327" s="4"/>
      <c r="Y3327" s="4"/>
      <c r="Z3327" s="4"/>
    </row>
    <row r="3328" ht="15.75" customHeight="1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 t="str">
        <f>IFERROR(__xludf.DUMMYFUNCTION("""COMPUTED_VALUE"""),"same day HVAC services")</f>
        <v>same day HVAC services</v>
      </c>
      <c r="U3328" s="4"/>
      <c r="V3328" s="4"/>
      <c r="W3328" s="4"/>
      <c r="X3328" s="4"/>
      <c r="Y3328" s="4"/>
      <c r="Z3328" s="4"/>
    </row>
    <row r="3329" ht="15.75" customHeight="1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 t="str">
        <f>IFERROR(__xludf.DUMMYFUNCTION("""COMPUTED_VALUE"""),"same day kitchen plumbing repair")</f>
        <v>same day kitchen plumbing repair</v>
      </c>
      <c r="U3329" s="4"/>
      <c r="V3329" s="4"/>
      <c r="W3329" s="4"/>
      <c r="X3329" s="4"/>
      <c r="Y3329" s="4"/>
      <c r="Z3329" s="4"/>
    </row>
    <row r="3330" ht="15.75" customHeight="1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 t="str">
        <f>IFERROR(__xludf.DUMMYFUNCTION("""COMPUTED_VALUE"""),"same day leak detection")</f>
        <v>same day leak detection</v>
      </c>
      <c r="U3330" s="4"/>
      <c r="V3330" s="4"/>
      <c r="W3330" s="4"/>
      <c r="X3330" s="4"/>
      <c r="Y3330" s="4"/>
      <c r="Z3330" s="4"/>
    </row>
    <row r="3331" ht="15.75" customHeight="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 t="str">
        <f>IFERROR(__xludf.DUMMYFUNCTION("""COMPUTED_VALUE"""),"same day leaking pipe repair")</f>
        <v>same day leaking pipe repair</v>
      </c>
      <c r="U3331" s="4"/>
      <c r="V3331" s="4"/>
      <c r="W3331" s="4"/>
      <c r="X3331" s="4"/>
      <c r="Y3331" s="4"/>
      <c r="Z3331" s="4"/>
    </row>
    <row r="3332" ht="15.75" customHeight="1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 t="str">
        <f>IFERROR(__xludf.DUMMYFUNCTION("""COMPUTED_VALUE"""),"same day leaking tap repair")</f>
        <v>same day leaking tap repair</v>
      </c>
      <c r="U3332" s="4"/>
      <c r="V3332" s="4"/>
      <c r="W3332" s="4"/>
      <c r="X3332" s="4"/>
      <c r="Y3332" s="4"/>
      <c r="Z3332" s="4"/>
    </row>
    <row r="3333" ht="15.75" customHeight="1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 t="str">
        <f>IFERROR(__xludf.DUMMYFUNCTION("""COMPUTED_VALUE"""),"same day maintenance plumber")</f>
        <v>same day maintenance plumber</v>
      </c>
      <c r="U3333" s="4"/>
      <c r="V3333" s="4"/>
      <c r="W3333" s="4"/>
      <c r="X3333" s="4"/>
      <c r="Y3333" s="4"/>
      <c r="Z3333" s="4"/>
    </row>
    <row r="3334" ht="15.75" customHeight="1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 t="str">
        <f>IFERROR(__xludf.DUMMYFUNCTION("""COMPUTED_VALUE"""),"same day pipe repair")</f>
        <v>same day pipe repair</v>
      </c>
      <c r="U3334" s="4"/>
      <c r="V3334" s="4"/>
      <c r="W3334" s="4"/>
      <c r="X3334" s="4"/>
      <c r="Y3334" s="4"/>
      <c r="Z3334" s="4"/>
    </row>
    <row r="3335" ht="15.75" customHeight="1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 t="str">
        <f>IFERROR(__xludf.DUMMYFUNCTION("""COMPUTED_VALUE"""),"same day plumber cape town")</f>
        <v>same day plumber cape town</v>
      </c>
      <c r="U3335" s="4"/>
      <c r="V3335" s="4"/>
      <c r="W3335" s="4"/>
      <c r="X3335" s="4"/>
      <c r="Y3335" s="4"/>
      <c r="Z3335" s="4"/>
    </row>
    <row r="3336" ht="15.75" customHeight="1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 t="str">
        <f>IFERROR(__xludf.DUMMYFUNCTION("""COMPUTED_VALUE"""),"same day plumber near me")</f>
        <v>same day plumber near me</v>
      </c>
      <c r="U3336" s="4"/>
      <c r="V3336" s="4"/>
      <c r="W3336" s="4"/>
      <c r="X3336" s="4"/>
      <c r="Y3336" s="4"/>
      <c r="Z3336" s="4"/>
    </row>
    <row r="3337" ht="15.75" customHeight="1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 t="str">
        <f>IFERROR(__xludf.DUMMYFUNCTION("""COMPUTED_VALUE"""),"same day plumbers cape town")</f>
        <v>same day plumbers cape town</v>
      </c>
      <c r="U3337" s="4"/>
      <c r="V3337" s="4"/>
      <c r="W3337" s="4"/>
      <c r="X3337" s="4"/>
      <c r="Y3337" s="4"/>
      <c r="Z3337" s="4"/>
    </row>
    <row r="3338" ht="15.75" customHeight="1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 t="str">
        <f>IFERROR(__xludf.DUMMYFUNCTION("""COMPUTED_VALUE"""),"same day plumbing company")</f>
        <v>same day plumbing company</v>
      </c>
      <c r="U3338" s="4"/>
      <c r="V3338" s="4"/>
      <c r="W3338" s="4"/>
      <c r="X3338" s="4"/>
      <c r="Y3338" s="4"/>
      <c r="Z3338" s="4"/>
    </row>
    <row r="3339" ht="15.75" customHeight="1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 t="str">
        <f>IFERROR(__xludf.DUMMYFUNCTION("""COMPUTED_VALUE"""),"same day plumbing company cape town")</f>
        <v>same day plumbing company cape town</v>
      </c>
      <c r="U3339" s="4"/>
      <c r="V3339" s="4"/>
      <c r="W3339" s="4"/>
      <c r="X3339" s="4"/>
      <c r="Y3339" s="4"/>
      <c r="Z3339" s="4"/>
    </row>
    <row r="3340" ht="15.75" customHeight="1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 t="str">
        <f>IFERROR(__xludf.DUMMYFUNCTION("""COMPUTED_VALUE"""),"same day plumbing contractors")</f>
        <v>same day plumbing contractors</v>
      </c>
      <c r="U3340" s="4"/>
      <c r="V3340" s="4"/>
      <c r="W3340" s="4"/>
      <c r="X3340" s="4"/>
      <c r="Y3340" s="4"/>
      <c r="Z3340" s="4"/>
    </row>
    <row r="3341" ht="15.75" customHeight="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 t="str">
        <f>IFERROR(__xludf.DUMMYFUNCTION("""COMPUTED_VALUE"""),"same day plumbing inspection")</f>
        <v>same day plumbing inspection</v>
      </c>
      <c r="U3341" s="4"/>
      <c r="V3341" s="4"/>
      <c r="W3341" s="4"/>
      <c r="X3341" s="4"/>
      <c r="Y3341" s="4"/>
      <c r="Z3341" s="4"/>
    </row>
    <row r="3342" ht="15.75" customHeight="1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 t="str">
        <f>IFERROR(__xludf.DUMMYFUNCTION("""COMPUTED_VALUE"""),"same day plumbing installation")</f>
        <v>same day plumbing installation</v>
      </c>
      <c r="U3342" s="4"/>
      <c r="V3342" s="4"/>
      <c r="W3342" s="4"/>
      <c r="X3342" s="4"/>
      <c r="Y3342" s="4"/>
      <c r="Z3342" s="4"/>
    </row>
    <row r="3343" ht="15.75" customHeight="1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 t="str">
        <f>IFERROR(__xludf.DUMMYFUNCTION("""COMPUTED_VALUE"""),"same day plumbing repairs")</f>
        <v>same day plumbing repairs</v>
      </c>
      <c r="U3343" s="4"/>
      <c r="V3343" s="4"/>
      <c r="W3343" s="4"/>
      <c r="X3343" s="4"/>
      <c r="Y3343" s="4"/>
      <c r="Z3343" s="4"/>
    </row>
    <row r="3344" ht="15.75" customHeight="1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 t="str">
        <f>IFERROR(__xludf.DUMMYFUNCTION("""COMPUTED_VALUE"""),"same day plumbing services")</f>
        <v>same day plumbing services</v>
      </c>
      <c r="U3344" s="4"/>
      <c r="V3344" s="4"/>
      <c r="W3344" s="4"/>
      <c r="X3344" s="4"/>
      <c r="Y3344" s="4"/>
      <c r="Z3344" s="4"/>
    </row>
    <row r="3345" ht="15.75" customHeight="1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 t="str">
        <f>IFERROR(__xludf.DUMMYFUNCTION("""COMPUTED_VALUE"""),"same day refrigeration repair")</f>
        <v>same day refrigeration repair</v>
      </c>
      <c r="U3345" s="4"/>
      <c r="V3345" s="4"/>
      <c r="W3345" s="4"/>
      <c r="X3345" s="4"/>
      <c r="Y3345" s="4"/>
      <c r="Z3345" s="4"/>
    </row>
    <row r="3346" ht="15.75" customHeight="1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 t="str">
        <f>IFERROR(__xludf.DUMMYFUNCTION("""COMPUTED_VALUE"""),"same day residential electrician")</f>
        <v>same day residential electrician</v>
      </c>
      <c r="U3346" s="4"/>
      <c r="V3346" s="4"/>
      <c r="W3346" s="4"/>
      <c r="X3346" s="4"/>
      <c r="Y3346" s="4"/>
      <c r="Z3346" s="4"/>
    </row>
    <row r="3347" ht="15.75" customHeight="1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 t="str">
        <f>IFERROR(__xludf.DUMMYFUNCTION("""COMPUTED_VALUE"""),"same day residential plumber")</f>
        <v>same day residential plumber</v>
      </c>
      <c r="U3347" s="4"/>
      <c r="V3347" s="4"/>
      <c r="W3347" s="4"/>
      <c r="X3347" s="4"/>
      <c r="Y3347" s="4"/>
      <c r="Z3347" s="4"/>
    </row>
    <row r="3348" ht="15.75" customHeight="1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 t="str">
        <f>IFERROR(__xludf.DUMMYFUNCTION("""COMPUTED_VALUE"""),"same day schmidhauser plumbing")</f>
        <v>same day schmidhauser plumbing</v>
      </c>
      <c r="U3348" s="4"/>
      <c r="V3348" s="4"/>
      <c r="W3348" s="4"/>
      <c r="X3348" s="4"/>
      <c r="Y3348" s="4"/>
      <c r="Z3348" s="4"/>
    </row>
    <row r="3349" ht="15.75" customHeight="1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 t="str">
        <f>IFERROR(__xludf.DUMMYFUNCTION("""COMPUTED_VALUE"""),"same day toilet repair")</f>
        <v>same day toilet repair</v>
      </c>
      <c r="U3349" s="4"/>
      <c r="V3349" s="4"/>
      <c r="W3349" s="4"/>
      <c r="X3349" s="4"/>
      <c r="Y3349" s="4"/>
      <c r="Z3349" s="4"/>
    </row>
    <row r="3350" ht="15.75" customHeight="1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 t="str">
        <f>IFERROR(__xludf.DUMMYFUNCTION("""COMPUTED_VALUE"""),"same day water leak detection")</f>
        <v>same day water leak detection</v>
      </c>
      <c r="U3350" s="4"/>
      <c r="V3350" s="4"/>
      <c r="W3350" s="4"/>
      <c r="X3350" s="4"/>
      <c r="Y3350" s="4"/>
      <c r="Z3350" s="4"/>
    </row>
    <row r="3351" ht="15.75" customHeight="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 t="str">
        <f>IFERROR(__xludf.DUMMYFUNCTION("""COMPUTED_VALUE"""),"same day water leak repair")</f>
        <v>same day water leak repair</v>
      </c>
      <c r="U3351" s="4"/>
      <c r="V3351" s="4"/>
      <c r="W3351" s="4"/>
      <c r="X3351" s="4"/>
      <c r="Y3351" s="4"/>
      <c r="Z3351" s="4"/>
    </row>
    <row r="3352" ht="15.75" customHeight="1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 t="str">
        <f>IFERROR(__xludf.DUMMYFUNCTION("""COMPUTED_VALUE"""),"schmidhauser plumbing 24 hour")</f>
        <v>schmidhauser plumbing 24 hour</v>
      </c>
      <c r="U3352" s="4"/>
      <c r="V3352" s="4"/>
      <c r="W3352" s="4"/>
      <c r="X3352" s="4"/>
      <c r="Y3352" s="4"/>
      <c r="Z3352" s="4"/>
    </row>
    <row r="3353" ht="15.75" customHeight="1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 t="str">
        <f>IFERROR(__xludf.DUMMYFUNCTION("""COMPUTED_VALUE"""),"schmidhauser plumbing affordable")</f>
        <v>schmidhauser plumbing affordable</v>
      </c>
      <c r="U3353" s="4"/>
      <c r="V3353" s="4"/>
      <c r="W3353" s="4"/>
      <c r="X3353" s="4"/>
      <c r="Y3353" s="4"/>
      <c r="Z3353" s="4"/>
    </row>
    <row r="3354" ht="15.75" customHeight="1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 t="str">
        <f>IFERROR(__xludf.DUMMYFUNCTION("""COMPUTED_VALUE"""),"schmidhauser plumbing alternatives")</f>
        <v>schmidhauser plumbing alternatives</v>
      </c>
      <c r="U3354" s="4"/>
      <c r="V3354" s="4"/>
      <c r="W3354" s="4"/>
      <c r="X3354" s="4"/>
      <c r="Y3354" s="4"/>
      <c r="Z3354" s="4"/>
    </row>
    <row r="3355" ht="15.75" customHeight="1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 t="str">
        <f>IFERROR(__xludf.DUMMYFUNCTION("""COMPUTED_VALUE"""),"schmidhauser plumbing best")</f>
        <v>schmidhauser plumbing best</v>
      </c>
      <c r="U3355" s="4"/>
      <c r="V3355" s="4"/>
      <c r="W3355" s="4"/>
      <c r="X3355" s="4"/>
      <c r="Y3355" s="4"/>
      <c r="Z3355" s="4"/>
    </row>
    <row r="3356" ht="15.75" customHeight="1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 t="str">
        <f>IFERROR(__xludf.DUMMYFUNCTION("""COMPUTED_VALUE"""),"schmidhauser plumbing certified")</f>
        <v>schmidhauser plumbing certified</v>
      </c>
      <c r="U3356" s="4"/>
      <c r="V3356" s="4"/>
      <c r="W3356" s="4"/>
      <c r="X3356" s="4"/>
      <c r="Y3356" s="4"/>
      <c r="Z3356" s="4"/>
    </row>
    <row r="3357" ht="15.75" customHeight="1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 t="str">
        <f>IFERROR(__xludf.DUMMYFUNCTION("""COMPUTED_VALUE"""),"schmidhauser plumbing compare")</f>
        <v>schmidhauser plumbing compare</v>
      </c>
      <c r="U3357" s="4"/>
      <c r="V3357" s="4"/>
      <c r="W3357" s="4"/>
      <c r="X3357" s="4"/>
      <c r="Y3357" s="4"/>
      <c r="Z3357" s="4"/>
    </row>
    <row r="3358" ht="15.75" customHeight="1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 t="str">
        <f>IFERROR(__xludf.DUMMYFUNCTION("""COMPUTED_VALUE"""),"schmidhauser plumbing complaints")</f>
        <v>schmidhauser plumbing complaints</v>
      </c>
      <c r="U3358" s="4"/>
      <c r="V3358" s="4"/>
      <c r="W3358" s="4"/>
      <c r="X3358" s="4"/>
      <c r="Y3358" s="4"/>
      <c r="Z3358" s="4"/>
    </row>
    <row r="3359" ht="15.75" customHeight="1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 t="str">
        <f>IFERROR(__xludf.DUMMYFUNCTION("""COMPUTED_VALUE"""),"schmidhauser plumbing cost")</f>
        <v>schmidhauser plumbing cost</v>
      </c>
      <c r="U3359" s="4"/>
      <c r="V3359" s="4"/>
      <c r="W3359" s="4"/>
      <c r="X3359" s="4"/>
      <c r="Y3359" s="4"/>
      <c r="Z3359" s="4"/>
    </row>
    <row r="3360" ht="15.75" customHeight="1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 t="str">
        <f>IFERROR(__xludf.DUMMYFUNCTION("""COMPUTED_VALUE"""),"schmidhauser plumbing insured")</f>
        <v>schmidhauser plumbing insured</v>
      </c>
      <c r="U3360" s="4"/>
      <c r="V3360" s="4"/>
      <c r="W3360" s="4"/>
      <c r="X3360" s="4"/>
      <c r="Y3360" s="4"/>
      <c r="Z3360" s="4"/>
    </row>
    <row r="3361" ht="15.75" customHeight="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 t="str">
        <f>IFERROR(__xludf.DUMMYFUNCTION("""COMPUTED_VALUE"""),"schmidhauser plumbing licensed")</f>
        <v>schmidhauser plumbing licensed</v>
      </c>
      <c r="U3361" s="4"/>
      <c r="V3361" s="4"/>
      <c r="W3361" s="4"/>
      <c r="X3361" s="4"/>
      <c r="Y3361" s="4"/>
      <c r="Z3361" s="4"/>
    </row>
    <row r="3362" ht="15.75" customHeight="1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 t="str">
        <f>IFERROR(__xludf.DUMMYFUNCTION("""COMPUTED_VALUE"""),"schmidhauser plumbing local")</f>
        <v>schmidhauser plumbing local</v>
      </c>
      <c r="U3362" s="4"/>
      <c r="V3362" s="4"/>
      <c r="W3362" s="4"/>
      <c r="X3362" s="4"/>
      <c r="Y3362" s="4"/>
      <c r="Z3362" s="4"/>
    </row>
    <row r="3363" ht="15.75" customHeight="1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 t="str">
        <f>IFERROR(__xludf.DUMMYFUNCTION("""COMPUTED_VALUE"""),"schmidhauser plumbing near me")</f>
        <v>schmidhauser plumbing near me</v>
      </c>
      <c r="U3363" s="4"/>
      <c r="V3363" s="4"/>
      <c r="W3363" s="4"/>
      <c r="X3363" s="4"/>
      <c r="Y3363" s="4"/>
      <c r="Z3363" s="4"/>
    </row>
    <row r="3364" ht="15.75" customHeight="1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 t="str">
        <f>IFERROR(__xludf.DUMMYFUNCTION("""COMPUTED_VALUE"""),"schmidhauser plumbing prices")</f>
        <v>schmidhauser plumbing prices</v>
      </c>
      <c r="U3364" s="4"/>
      <c r="V3364" s="4"/>
      <c r="W3364" s="4"/>
      <c r="X3364" s="4"/>
      <c r="Y3364" s="4"/>
      <c r="Z3364" s="4"/>
    </row>
    <row r="3365" ht="15.75" customHeight="1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 t="str">
        <f>IFERROR(__xludf.DUMMYFUNCTION("""COMPUTED_VALUE"""),"schmidhauser plumbing qualified")</f>
        <v>schmidhauser plumbing qualified</v>
      </c>
      <c r="U3365" s="4"/>
      <c r="V3365" s="4"/>
      <c r="W3365" s="4"/>
      <c r="X3365" s="4"/>
      <c r="Y3365" s="4"/>
      <c r="Z3365" s="4"/>
    </row>
    <row r="3366" ht="15.75" customHeight="1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 t="str">
        <f>IFERROR(__xludf.DUMMYFUNCTION("""COMPUTED_VALUE"""),"schmidhauser plumbing quote")</f>
        <v>schmidhauser plumbing quote</v>
      </c>
      <c r="U3366" s="4"/>
      <c r="V3366" s="4"/>
      <c r="W3366" s="4"/>
      <c r="X3366" s="4"/>
      <c r="Y3366" s="4"/>
      <c r="Z3366" s="4"/>
    </row>
    <row r="3367" ht="15.75" customHeight="1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 t="str">
        <f>IFERROR(__xludf.DUMMYFUNCTION("""COMPUTED_VALUE"""),"schmidhauser plumbing reliable")</f>
        <v>schmidhauser plumbing reliable</v>
      </c>
      <c r="U3367" s="4"/>
      <c r="V3367" s="4"/>
      <c r="W3367" s="4"/>
      <c r="X3367" s="4"/>
      <c r="Y3367" s="4"/>
      <c r="Z3367" s="4"/>
    </row>
    <row r="3368" ht="15.75" customHeight="1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 t="str">
        <f>IFERROR(__xludf.DUMMYFUNCTION("""COMPUTED_VALUE"""),"schmidhauser plumbing reputable")</f>
        <v>schmidhauser plumbing reputable</v>
      </c>
      <c r="U3368" s="4"/>
      <c r="V3368" s="4"/>
      <c r="W3368" s="4"/>
      <c r="X3368" s="4"/>
      <c r="Y3368" s="4"/>
      <c r="Z3368" s="4"/>
    </row>
    <row r="3369" ht="15.75" customHeight="1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 t="str">
        <f>IFERROR(__xludf.DUMMYFUNCTION("""COMPUTED_VALUE"""),"schmidhauser plumbing review")</f>
        <v>schmidhauser plumbing review</v>
      </c>
      <c r="U3369" s="4"/>
      <c r="V3369" s="4"/>
      <c r="W3369" s="4"/>
      <c r="X3369" s="4"/>
      <c r="Y3369" s="4"/>
      <c r="Z3369" s="4"/>
    </row>
    <row r="3370" ht="15.75" customHeight="1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 t="str">
        <f>IFERROR(__xludf.DUMMYFUNCTION("""COMPUTED_VALUE"""),"schmidhauser plumbing reviews")</f>
        <v>schmidhauser plumbing reviews</v>
      </c>
      <c r="U3370" s="4"/>
      <c r="V3370" s="4"/>
      <c r="W3370" s="4"/>
      <c r="X3370" s="4"/>
      <c r="Y3370" s="4"/>
      <c r="Z3370" s="4"/>
    </row>
    <row r="3371" ht="15.75" customHeight="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 t="str">
        <f>IFERROR(__xludf.DUMMYFUNCTION("""COMPUTED_VALUE"""),"schmidhauser plumbing same day")</f>
        <v>schmidhauser plumbing same day</v>
      </c>
      <c r="U3371" s="4"/>
      <c r="V3371" s="4"/>
      <c r="W3371" s="4"/>
      <c r="X3371" s="4"/>
      <c r="Y3371" s="4"/>
      <c r="Z3371" s="4"/>
    </row>
    <row r="3372" ht="15.75" customHeight="1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 t="str">
        <f>IFERROR(__xludf.DUMMYFUNCTION("""COMPUTED_VALUE"""),"schmidhauser plumbing top rated")</f>
        <v>schmidhauser plumbing top rated</v>
      </c>
      <c r="U3372" s="4"/>
      <c r="V3372" s="4"/>
      <c r="W3372" s="4"/>
      <c r="X3372" s="4"/>
      <c r="Y3372" s="4"/>
      <c r="Z3372" s="4"/>
    </row>
    <row r="3373" ht="15.75" customHeight="1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 t="str">
        <f>IFERROR(__xludf.DUMMYFUNCTION("""COMPUTED_VALUE"""),"schmidhauser plumbing trusted")</f>
        <v>schmidhauser plumbing trusted</v>
      </c>
      <c r="U3373" s="4"/>
      <c r="V3373" s="4"/>
      <c r="W3373" s="4"/>
      <c r="X3373" s="4"/>
      <c r="Y3373" s="4"/>
      <c r="Z3373" s="4"/>
    </row>
    <row r="3374" ht="15.75" customHeight="1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 t="str">
        <f>IFERROR(__xludf.DUMMYFUNCTION("""COMPUTED_VALUE"""),"schmidhauser plumbing vs")</f>
        <v>schmidhauser plumbing vs</v>
      </c>
      <c r="U3374" s="4"/>
      <c r="V3374" s="4"/>
      <c r="W3374" s="4"/>
      <c r="X3374" s="4"/>
      <c r="Y3374" s="4"/>
      <c r="Z3374" s="4"/>
    </row>
    <row r="3375" ht="15.75" customHeight="1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 t="str">
        <f>IFERROR(__xludf.DUMMYFUNCTION("""COMPUTED_VALUE"""),"school air conditioning services")</f>
        <v>school air conditioning services</v>
      </c>
      <c r="U3375" s="4"/>
      <c r="V3375" s="4"/>
      <c r="W3375" s="4"/>
      <c r="X3375" s="4"/>
      <c r="Y3375" s="4"/>
      <c r="Z3375" s="4"/>
    </row>
    <row r="3376" ht="15.75" customHeight="1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 t="str">
        <f>IFERROR(__xludf.DUMMYFUNCTION("""COMPUTED_VALUE"""),"school drain cleaning")</f>
        <v>school drain cleaning</v>
      </c>
      <c r="U3376" s="4"/>
      <c r="V3376" s="4"/>
      <c r="W3376" s="4"/>
      <c r="X3376" s="4"/>
      <c r="Y3376" s="4"/>
      <c r="Z3376" s="4"/>
    </row>
    <row r="3377" ht="15.75" customHeight="1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 t="str">
        <f>IFERROR(__xludf.DUMMYFUNCTION("""COMPUTED_VALUE"""),"school electrical repairs")</f>
        <v>school electrical repairs</v>
      </c>
      <c r="U3377" s="4"/>
      <c r="V3377" s="4"/>
      <c r="W3377" s="4"/>
      <c r="X3377" s="4"/>
      <c r="Y3377" s="4"/>
      <c r="Z3377" s="4"/>
    </row>
    <row r="3378" ht="15.75" customHeight="1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 t="str">
        <f>IFERROR(__xludf.DUMMYFUNCTION("""COMPUTED_VALUE"""),"school emergency plumbing")</f>
        <v>school emergency plumbing</v>
      </c>
      <c r="U3378" s="4"/>
      <c r="V3378" s="4"/>
      <c r="W3378" s="4"/>
      <c r="X3378" s="4"/>
      <c r="Y3378" s="4"/>
      <c r="Z3378" s="4"/>
    </row>
    <row r="3379" ht="15.75" customHeight="1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 t="str">
        <f>IFERROR(__xludf.DUMMYFUNCTION("""COMPUTED_VALUE"""),"school geyser repairs")</f>
        <v>school geyser repairs</v>
      </c>
      <c r="U3379" s="4"/>
      <c r="V3379" s="4"/>
      <c r="W3379" s="4"/>
      <c r="X3379" s="4"/>
      <c r="Y3379" s="4"/>
      <c r="Z3379" s="4"/>
    </row>
    <row r="3380" ht="15.75" customHeight="1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 t="str">
        <f>IFERROR(__xludf.DUMMYFUNCTION("""COMPUTED_VALUE"""),"school leak detection")</f>
        <v>school leak detection</v>
      </c>
      <c r="U3380" s="4"/>
      <c r="V3380" s="4"/>
      <c r="W3380" s="4"/>
      <c r="X3380" s="4"/>
      <c r="Y3380" s="4"/>
      <c r="Z3380" s="4"/>
    </row>
    <row r="3381" ht="15.75" customHeight="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 t="str">
        <f>IFERROR(__xludf.DUMMYFUNCTION("""COMPUTED_VALUE"""),"school maintenance plumber")</f>
        <v>school maintenance plumber</v>
      </c>
      <c r="U3381" s="4"/>
      <c r="V3381" s="4"/>
      <c r="W3381" s="4"/>
      <c r="X3381" s="4"/>
      <c r="Y3381" s="4"/>
      <c r="Z3381" s="4"/>
    </row>
    <row r="3382" ht="15.75" customHeight="1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 t="str">
        <f>IFERROR(__xludf.DUMMYFUNCTION("""COMPUTED_VALUE"""),"school plumbing company")</f>
        <v>school plumbing company</v>
      </c>
      <c r="U3382" s="4"/>
      <c r="V3382" s="4"/>
      <c r="W3382" s="4"/>
      <c r="X3382" s="4"/>
      <c r="Y3382" s="4"/>
      <c r="Z3382" s="4"/>
    </row>
    <row r="3383" ht="15.75" customHeight="1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 t="str">
        <f>IFERROR(__xludf.DUMMYFUNCTION("""COMPUTED_VALUE"""),"school plumbing services")</f>
        <v>school plumbing services</v>
      </c>
      <c r="U3383" s="4"/>
      <c r="V3383" s="4"/>
      <c r="W3383" s="4"/>
      <c r="X3383" s="4"/>
      <c r="Y3383" s="4"/>
      <c r="Z3383" s="4"/>
    </row>
    <row r="3384" ht="15.75" customHeight="1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 t="str">
        <f>IFERROR(__xludf.DUMMYFUNCTION("""COMPUTED_VALUE"""),"school refrigeration services")</f>
        <v>school refrigeration services</v>
      </c>
      <c r="U3384" s="4"/>
      <c r="V3384" s="4"/>
      <c r="W3384" s="4"/>
      <c r="X3384" s="4"/>
      <c r="Y3384" s="4"/>
      <c r="Z3384" s="4"/>
    </row>
    <row r="3385" ht="15.75" customHeight="1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 t="str">
        <f>IFERROR(__xludf.DUMMYFUNCTION("""COMPUTED_VALUE"""),"Sea Point aircon repairs")</f>
        <v>Sea Point aircon repairs</v>
      </c>
      <c r="U3385" s="4"/>
      <c r="V3385" s="4"/>
      <c r="W3385" s="4"/>
      <c r="X3385" s="4"/>
      <c r="Y3385" s="4"/>
      <c r="Z3385" s="4"/>
    </row>
    <row r="3386" ht="15.75" customHeight="1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 t="str">
        <f>IFERROR(__xludf.DUMMYFUNCTION("""COMPUTED_VALUE"""),"Sea Point blocked drain plumber")</f>
        <v>Sea Point blocked drain plumber</v>
      </c>
      <c r="U3386" s="4"/>
      <c r="V3386" s="4"/>
      <c r="W3386" s="4"/>
      <c r="X3386" s="4"/>
      <c r="Y3386" s="4"/>
      <c r="Z3386" s="4"/>
    </row>
    <row r="3387" ht="15.75" customHeight="1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 t="str">
        <f>IFERROR(__xludf.DUMMYFUNCTION("""COMPUTED_VALUE"""),"Sea Point electrician")</f>
        <v>Sea Point electrician</v>
      </c>
      <c r="U3387" s="4"/>
      <c r="V3387" s="4"/>
      <c r="W3387" s="4"/>
      <c r="X3387" s="4"/>
      <c r="Y3387" s="4"/>
      <c r="Z3387" s="4"/>
    </row>
    <row r="3388" ht="15.75" customHeight="1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 t="str">
        <f>IFERROR(__xludf.DUMMYFUNCTION("""COMPUTED_VALUE"""),"Sea Point emergency plumber")</f>
        <v>Sea Point emergency plumber</v>
      </c>
      <c r="U3388" s="4"/>
      <c r="V3388" s="4"/>
      <c r="W3388" s="4"/>
      <c r="X3388" s="4"/>
      <c r="Y3388" s="4"/>
      <c r="Z3388" s="4"/>
    </row>
    <row r="3389" ht="15.75" customHeight="1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 t="str">
        <f>IFERROR(__xludf.DUMMYFUNCTION("""COMPUTED_VALUE"""),"Sea Point geyser repair")</f>
        <v>Sea Point geyser repair</v>
      </c>
      <c r="U3389" s="4"/>
      <c r="V3389" s="4"/>
      <c r="W3389" s="4"/>
      <c r="X3389" s="4"/>
      <c r="Y3389" s="4"/>
      <c r="Z3389" s="4"/>
    </row>
    <row r="3390" ht="15.75" customHeight="1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 t="str">
        <f>IFERROR(__xludf.DUMMYFUNCTION("""COMPUTED_VALUE"""),"Sea Point leak detection plumber")</f>
        <v>Sea Point leak detection plumber</v>
      </c>
      <c r="U3390" s="4"/>
      <c r="V3390" s="4"/>
      <c r="W3390" s="4"/>
      <c r="X3390" s="4"/>
      <c r="Y3390" s="4"/>
      <c r="Z3390" s="4"/>
    </row>
    <row r="3391" ht="15.75" customHeight="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 t="str">
        <f>IFERROR(__xludf.DUMMYFUNCTION("""COMPUTED_VALUE"""),"Sea Point plumber")</f>
        <v>Sea Point plumber</v>
      </c>
      <c r="U3391" s="4"/>
      <c r="V3391" s="4"/>
      <c r="W3391" s="4"/>
      <c r="X3391" s="4"/>
      <c r="Y3391" s="4"/>
      <c r="Z3391" s="4"/>
    </row>
    <row r="3392" ht="15.75" customHeight="1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 t="str">
        <f>IFERROR(__xludf.DUMMYFUNCTION("""COMPUTED_VALUE"""),"Sea Point plumbers")</f>
        <v>Sea Point plumbers</v>
      </c>
      <c r="U3392" s="4"/>
      <c r="V3392" s="4"/>
      <c r="W3392" s="4"/>
      <c r="X3392" s="4"/>
      <c r="Y3392" s="4"/>
      <c r="Z3392" s="4"/>
    </row>
    <row r="3393" ht="15.75" customHeight="1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 t="str">
        <f>IFERROR(__xludf.DUMMYFUNCTION("""COMPUTED_VALUE"""),"Sea Point plumbing company")</f>
        <v>Sea Point plumbing company</v>
      </c>
      <c r="U3393" s="4"/>
      <c r="V3393" s="4"/>
      <c r="W3393" s="4"/>
      <c r="X3393" s="4"/>
      <c r="Y3393" s="4"/>
      <c r="Z3393" s="4"/>
    </row>
    <row r="3394" ht="15.75" customHeight="1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 t="str">
        <f>IFERROR(__xludf.DUMMYFUNCTION("""COMPUTED_VALUE"""),"Sea Point refrigeration services")</f>
        <v>Sea Point refrigeration services</v>
      </c>
      <c r="U3394" s="4"/>
      <c r="V3394" s="4"/>
      <c r="W3394" s="4"/>
      <c r="X3394" s="4"/>
      <c r="Y3394" s="4"/>
      <c r="Z3394" s="4"/>
    </row>
    <row r="3395" ht="15.75" customHeight="1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 t="str">
        <f>IFERROR(__xludf.DUMMYFUNCTION("""COMPUTED_VALUE"""),"service 24 hour plumber")</f>
        <v>service 24 hour plumber</v>
      </c>
      <c r="U3395" s="4"/>
      <c r="V3395" s="4"/>
      <c r="W3395" s="4"/>
      <c r="X3395" s="4"/>
      <c r="Y3395" s="4"/>
      <c r="Z3395" s="4"/>
    </row>
    <row r="3396" ht="15.75" customHeight="1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 t="str">
        <f>IFERROR(__xludf.DUMMYFUNCTION("""COMPUTED_VALUE"""),"service air conditioning")</f>
        <v>service air conditioning</v>
      </c>
      <c r="U3396" s="4"/>
      <c r="V3396" s="4"/>
      <c r="W3396" s="4"/>
      <c r="X3396" s="4"/>
      <c r="Y3396" s="4"/>
      <c r="Z3396" s="4"/>
    </row>
    <row r="3397" ht="15.75" customHeight="1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 t="str">
        <f>IFERROR(__xludf.DUMMYFUNCTION("""COMPUTED_VALUE"""),"service air conditioning repair")</f>
        <v>service air conditioning repair</v>
      </c>
      <c r="U3397" s="4"/>
      <c r="V3397" s="4"/>
      <c r="W3397" s="4"/>
      <c r="X3397" s="4"/>
      <c r="Y3397" s="4"/>
      <c r="Z3397" s="4"/>
    </row>
    <row r="3398" ht="15.75" customHeight="1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 t="str">
        <f>IFERROR(__xludf.DUMMYFUNCTION("""COMPUTED_VALUE"""),"service aircon installation")</f>
        <v>service aircon installation</v>
      </c>
      <c r="U3398" s="4"/>
      <c r="V3398" s="4"/>
      <c r="W3398" s="4"/>
      <c r="X3398" s="4"/>
      <c r="Y3398" s="4"/>
      <c r="Z3398" s="4"/>
    </row>
    <row r="3399" ht="15.75" customHeight="1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 t="str">
        <f>IFERROR(__xludf.DUMMYFUNCTION("""COMPUTED_VALUE"""),"service aircon repair")</f>
        <v>service aircon repair</v>
      </c>
      <c r="U3399" s="4"/>
      <c r="V3399" s="4"/>
      <c r="W3399" s="4"/>
      <c r="X3399" s="4"/>
      <c r="Y3399" s="4"/>
      <c r="Z3399" s="4"/>
    </row>
    <row r="3400" ht="15.75" customHeight="1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 t="str">
        <f>IFERROR(__xludf.DUMMYFUNCTION("""COMPUTED_VALUE"""),"service bathroom plumbing repair")</f>
        <v>service bathroom plumbing repair</v>
      </c>
      <c r="U3400" s="4"/>
      <c r="V3400" s="4"/>
      <c r="W3400" s="4"/>
      <c r="X3400" s="4"/>
      <c r="Y3400" s="4"/>
      <c r="Z3400" s="4"/>
    </row>
    <row r="3401" ht="15.75" customHeight="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 t="str">
        <f>IFERROR(__xludf.DUMMYFUNCTION("""COMPUTED_VALUE"""),"service blocked drain")</f>
        <v>service blocked drain</v>
      </c>
      <c r="U3401" s="4"/>
      <c r="V3401" s="4"/>
      <c r="W3401" s="4"/>
      <c r="X3401" s="4"/>
      <c r="Y3401" s="4"/>
      <c r="Z3401" s="4"/>
    </row>
    <row r="3402" ht="15.75" customHeight="1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 t="str">
        <f>IFERROR(__xludf.DUMMYFUNCTION("""COMPUTED_VALUE"""),"service blocked toilet plumber")</f>
        <v>service blocked toilet plumber</v>
      </c>
      <c r="U3402" s="4"/>
      <c r="V3402" s="4"/>
      <c r="W3402" s="4"/>
      <c r="X3402" s="4"/>
      <c r="Y3402" s="4"/>
      <c r="Z3402" s="4"/>
    </row>
    <row r="3403" ht="15.75" customHeight="1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 t="str">
        <f>IFERROR(__xludf.DUMMYFUNCTION("""COMPUTED_VALUE"""),"service burst geyser")</f>
        <v>service burst geyser</v>
      </c>
      <c r="U3403" s="4"/>
      <c r="V3403" s="4"/>
      <c r="W3403" s="4"/>
      <c r="X3403" s="4"/>
      <c r="Y3403" s="4"/>
      <c r="Z3403" s="4"/>
    </row>
    <row r="3404" ht="15.75" customHeight="1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 t="str">
        <f>IFERROR(__xludf.DUMMYFUNCTION("""COMPUTED_VALUE"""),"service burst pipe repair")</f>
        <v>service burst pipe repair</v>
      </c>
      <c r="U3404" s="4"/>
      <c r="V3404" s="4"/>
      <c r="W3404" s="4"/>
      <c r="X3404" s="4"/>
      <c r="Y3404" s="4"/>
      <c r="Z3404" s="4"/>
    </row>
    <row r="3405" ht="15.75" customHeight="1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 t="str">
        <f>IFERROR(__xludf.DUMMYFUNCTION("""COMPUTED_VALUE"""),"service cold room repair")</f>
        <v>service cold room repair</v>
      </c>
      <c r="U3405" s="4"/>
      <c r="V3405" s="4"/>
      <c r="W3405" s="4"/>
      <c r="X3405" s="4"/>
      <c r="Y3405" s="4"/>
      <c r="Z3405" s="4"/>
    </row>
    <row r="3406" ht="15.75" customHeight="1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 t="str">
        <f>IFERROR(__xludf.DUMMYFUNCTION("""COMPUTED_VALUE"""),"service commercial electrician")</f>
        <v>service commercial electrician</v>
      </c>
      <c r="U3406" s="4"/>
      <c r="V3406" s="4"/>
      <c r="W3406" s="4"/>
      <c r="X3406" s="4"/>
      <c r="Y3406" s="4"/>
      <c r="Z3406" s="4"/>
    </row>
    <row r="3407" ht="15.75" customHeight="1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 t="str">
        <f>IFERROR(__xludf.DUMMYFUNCTION("""COMPUTED_VALUE"""),"service commercial plumber")</f>
        <v>service commercial plumber</v>
      </c>
      <c r="U3407" s="4"/>
      <c r="V3407" s="4"/>
      <c r="W3407" s="4"/>
      <c r="X3407" s="4"/>
      <c r="Y3407" s="4"/>
      <c r="Z3407" s="4"/>
    </row>
    <row r="3408" ht="15.75" customHeight="1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 t="str">
        <f>IFERROR(__xludf.DUMMYFUNCTION("""COMPUTED_VALUE"""),"service commercial refrigeration")</f>
        <v>service commercial refrigeration</v>
      </c>
      <c r="U3408" s="4"/>
      <c r="V3408" s="4"/>
      <c r="W3408" s="4"/>
      <c r="X3408" s="4"/>
      <c r="Y3408" s="4"/>
      <c r="Z3408" s="4"/>
    </row>
    <row r="3409" ht="15.75" customHeight="1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 t="str">
        <f>IFERROR(__xludf.DUMMYFUNCTION("""COMPUTED_VALUE"""),"service drain cleaning")</f>
        <v>service drain cleaning</v>
      </c>
      <c r="U3409" s="4"/>
      <c r="V3409" s="4"/>
      <c r="W3409" s="4"/>
      <c r="X3409" s="4"/>
      <c r="Y3409" s="4"/>
      <c r="Z3409" s="4"/>
    </row>
    <row r="3410" ht="15.75" customHeight="1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 t="str">
        <f>IFERROR(__xludf.DUMMYFUNCTION("""COMPUTED_VALUE"""),"service drain inspection")</f>
        <v>service drain inspection</v>
      </c>
      <c r="U3410" s="4"/>
      <c r="V3410" s="4"/>
      <c r="W3410" s="4"/>
      <c r="X3410" s="4"/>
      <c r="Y3410" s="4"/>
      <c r="Z3410" s="4"/>
    </row>
    <row r="3411" ht="15.75" customHeight="1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 t="str">
        <f>IFERROR(__xludf.DUMMYFUNCTION("""COMPUTED_VALUE"""),"service drain unblocking")</f>
        <v>service drain unblocking</v>
      </c>
      <c r="U3411" s="4"/>
      <c r="V3411" s="4"/>
      <c r="W3411" s="4"/>
      <c r="X3411" s="4"/>
      <c r="Y3411" s="4"/>
      <c r="Z3411" s="4"/>
    </row>
    <row r="3412" ht="15.75" customHeight="1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 t="str">
        <f>IFERROR(__xludf.DUMMYFUNCTION("""COMPUTED_VALUE"""),"service electrical compliance certificate")</f>
        <v>service electrical compliance certificate</v>
      </c>
      <c r="U3412" s="4"/>
      <c r="V3412" s="4"/>
      <c r="W3412" s="4"/>
      <c r="X3412" s="4"/>
      <c r="Y3412" s="4"/>
      <c r="Z3412" s="4"/>
    </row>
    <row r="3413" ht="15.75" customHeight="1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 t="str">
        <f>IFERROR(__xludf.DUMMYFUNCTION("""COMPUTED_VALUE"""),"service electrical contractor")</f>
        <v>service electrical contractor</v>
      </c>
      <c r="U3413" s="4"/>
      <c r="V3413" s="4"/>
      <c r="W3413" s="4"/>
      <c r="X3413" s="4"/>
      <c r="Y3413" s="4"/>
      <c r="Z3413" s="4"/>
    </row>
    <row r="3414" ht="15.75" customHeight="1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 t="str">
        <f>IFERROR(__xludf.DUMMYFUNCTION("""COMPUTED_VALUE"""),"service electrical installation")</f>
        <v>service electrical installation</v>
      </c>
      <c r="U3414" s="4"/>
      <c r="V3414" s="4"/>
      <c r="W3414" s="4"/>
      <c r="X3414" s="4"/>
      <c r="Y3414" s="4"/>
      <c r="Z3414" s="4"/>
    </row>
    <row r="3415" ht="15.75" customHeight="1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 t="str">
        <f>IFERROR(__xludf.DUMMYFUNCTION("""COMPUTED_VALUE"""),"service electrical maintenance")</f>
        <v>service electrical maintenance</v>
      </c>
      <c r="U3415" s="4"/>
      <c r="V3415" s="4"/>
      <c r="W3415" s="4"/>
      <c r="X3415" s="4"/>
      <c r="Y3415" s="4"/>
      <c r="Z3415" s="4"/>
    </row>
    <row r="3416" ht="15.75" customHeight="1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 t="str">
        <f>IFERROR(__xludf.DUMMYFUNCTION("""COMPUTED_VALUE"""),"service electrical repairs")</f>
        <v>service electrical repairs</v>
      </c>
      <c r="U3416" s="4"/>
      <c r="V3416" s="4"/>
      <c r="W3416" s="4"/>
      <c r="X3416" s="4"/>
      <c r="Y3416" s="4"/>
      <c r="Z3416" s="4"/>
    </row>
    <row r="3417" ht="15.75" customHeight="1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 t="str">
        <f>IFERROR(__xludf.DUMMYFUNCTION("""COMPUTED_VALUE"""),"service electrician cape town")</f>
        <v>service electrician cape town</v>
      </c>
      <c r="U3417" s="4"/>
      <c r="V3417" s="4"/>
      <c r="W3417" s="4"/>
      <c r="X3417" s="4"/>
      <c r="Y3417" s="4"/>
      <c r="Z3417" s="4"/>
    </row>
    <row r="3418" ht="15.75" customHeight="1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 t="str">
        <f>IFERROR(__xludf.DUMMYFUNCTION("""COMPUTED_VALUE"""),"service emergency electrician")</f>
        <v>service emergency electrician</v>
      </c>
      <c r="U3418" s="4"/>
      <c r="V3418" s="4"/>
      <c r="W3418" s="4"/>
      <c r="X3418" s="4"/>
      <c r="Y3418" s="4"/>
      <c r="Z3418" s="4"/>
    </row>
    <row r="3419" ht="15.75" customHeight="1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 t="str">
        <f>IFERROR(__xludf.DUMMYFUNCTION("""COMPUTED_VALUE"""),"service emergency plumber")</f>
        <v>service emergency plumber</v>
      </c>
      <c r="U3419" s="4"/>
      <c r="V3419" s="4"/>
      <c r="W3419" s="4"/>
      <c r="X3419" s="4"/>
      <c r="Y3419" s="4"/>
      <c r="Z3419" s="4"/>
    </row>
    <row r="3420" ht="15.75" customHeight="1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 t="str">
        <f>IFERROR(__xludf.DUMMYFUNCTION("""COMPUTED_VALUE"""),"service fridge repair")</f>
        <v>service fridge repair</v>
      </c>
      <c r="U3420" s="4"/>
      <c r="V3420" s="4"/>
      <c r="W3420" s="4"/>
      <c r="X3420" s="4"/>
      <c r="Y3420" s="4"/>
      <c r="Z3420" s="4"/>
    </row>
    <row r="3421" ht="15.75" customHeight="1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 t="str">
        <f>IFERROR(__xludf.DUMMYFUNCTION("""COMPUTED_VALUE"""),"service geyser repair")</f>
        <v>service geyser repair</v>
      </c>
      <c r="U3421" s="4"/>
      <c r="V3421" s="4"/>
      <c r="W3421" s="4"/>
      <c r="X3421" s="4"/>
      <c r="Y3421" s="4"/>
      <c r="Z3421" s="4"/>
    </row>
    <row r="3422" ht="15.75" customHeight="1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 t="str">
        <f>IFERROR(__xludf.DUMMYFUNCTION("""COMPUTED_VALUE"""),"service geyser replacement")</f>
        <v>service geyser replacement</v>
      </c>
      <c r="U3422" s="4"/>
      <c r="V3422" s="4"/>
      <c r="W3422" s="4"/>
      <c r="X3422" s="4"/>
      <c r="Y3422" s="4"/>
      <c r="Z3422" s="4"/>
    </row>
    <row r="3423" ht="15.75" customHeight="1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 t="str">
        <f>IFERROR(__xludf.DUMMYFUNCTION("""COMPUTED_VALUE"""),"service kitchen plumbing repair")</f>
        <v>service kitchen plumbing repair</v>
      </c>
      <c r="U3423" s="4"/>
      <c r="V3423" s="4"/>
      <c r="W3423" s="4"/>
      <c r="X3423" s="4"/>
      <c r="Y3423" s="4"/>
      <c r="Z3423" s="4"/>
    </row>
    <row r="3424" ht="15.75" customHeight="1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 t="str">
        <f>IFERROR(__xludf.DUMMYFUNCTION("""COMPUTED_VALUE"""),"service leak detection")</f>
        <v>service leak detection</v>
      </c>
      <c r="U3424" s="4"/>
      <c r="V3424" s="4"/>
      <c r="W3424" s="4"/>
      <c r="X3424" s="4"/>
      <c r="Y3424" s="4"/>
      <c r="Z3424" s="4"/>
    </row>
    <row r="3425" ht="15.75" customHeight="1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 t="str">
        <f>IFERROR(__xludf.DUMMYFUNCTION("""COMPUTED_VALUE"""),"service leaking pipe repair")</f>
        <v>service leaking pipe repair</v>
      </c>
      <c r="U3425" s="4"/>
      <c r="V3425" s="4"/>
      <c r="W3425" s="4"/>
      <c r="X3425" s="4"/>
      <c r="Y3425" s="4"/>
      <c r="Z3425" s="4"/>
    </row>
    <row r="3426" ht="15.75" customHeight="1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 t="str">
        <f>IFERROR(__xludf.DUMMYFUNCTION("""COMPUTED_VALUE"""),"service leaking tap repair")</f>
        <v>service leaking tap repair</v>
      </c>
      <c r="U3426" s="4"/>
      <c r="V3426" s="4"/>
      <c r="W3426" s="4"/>
      <c r="X3426" s="4"/>
      <c r="Y3426" s="4"/>
      <c r="Z3426" s="4"/>
    </row>
    <row r="3427" ht="15.75" customHeight="1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 t="str">
        <f>IFERROR(__xludf.DUMMYFUNCTION("""COMPUTED_VALUE"""),"service maintenance plumber")</f>
        <v>service maintenance plumber</v>
      </c>
      <c r="U3427" s="4"/>
      <c r="V3427" s="4"/>
      <c r="W3427" s="4"/>
      <c r="X3427" s="4"/>
      <c r="Y3427" s="4"/>
      <c r="Z3427" s="4"/>
    </row>
    <row r="3428" ht="15.75" customHeight="1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 t="str">
        <f>IFERROR(__xludf.DUMMYFUNCTION("""COMPUTED_VALUE"""),"service pipe repair")</f>
        <v>service pipe repair</v>
      </c>
      <c r="U3428" s="4"/>
      <c r="V3428" s="4"/>
      <c r="W3428" s="4"/>
      <c r="X3428" s="4"/>
      <c r="Y3428" s="4"/>
      <c r="Z3428" s="4"/>
    </row>
    <row r="3429" ht="15.75" customHeight="1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 t="str">
        <f>IFERROR(__xludf.DUMMYFUNCTION("""COMPUTED_VALUE"""),"service plumber cape town")</f>
        <v>service plumber cape town</v>
      </c>
      <c r="U3429" s="4"/>
      <c r="V3429" s="4"/>
      <c r="W3429" s="4"/>
      <c r="X3429" s="4"/>
      <c r="Y3429" s="4"/>
      <c r="Z3429" s="4"/>
    </row>
    <row r="3430" ht="15.75" customHeight="1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 t="str">
        <f>IFERROR(__xludf.DUMMYFUNCTION("""COMPUTED_VALUE"""),"service plumbing company")</f>
        <v>service plumbing company</v>
      </c>
      <c r="U3430" s="4"/>
      <c r="V3430" s="4"/>
      <c r="W3430" s="4"/>
      <c r="X3430" s="4"/>
      <c r="Y3430" s="4"/>
      <c r="Z3430" s="4"/>
    </row>
    <row r="3431" ht="15.75" customHeight="1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 t="str">
        <f>IFERROR(__xludf.DUMMYFUNCTION("""COMPUTED_VALUE"""),"service plumbing contractors")</f>
        <v>service plumbing contractors</v>
      </c>
      <c r="U3431" s="4"/>
      <c r="V3431" s="4"/>
      <c r="W3431" s="4"/>
      <c r="X3431" s="4"/>
      <c r="Y3431" s="4"/>
      <c r="Z3431" s="4"/>
    </row>
    <row r="3432" ht="15.75" customHeight="1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 t="str">
        <f>IFERROR(__xludf.DUMMYFUNCTION("""COMPUTED_VALUE"""),"service plumbing inspection")</f>
        <v>service plumbing inspection</v>
      </c>
      <c r="U3432" s="4"/>
      <c r="V3432" s="4"/>
      <c r="W3432" s="4"/>
      <c r="X3432" s="4"/>
      <c r="Y3432" s="4"/>
      <c r="Z3432" s="4"/>
    </row>
    <row r="3433" ht="15.75" customHeight="1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 t="str">
        <f>IFERROR(__xludf.DUMMYFUNCTION("""COMPUTED_VALUE"""),"service plumbing installation")</f>
        <v>service plumbing installation</v>
      </c>
      <c r="U3433" s="4"/>
      <c r="V3433" s="4"/>
      <c r="W3433" s="4"/>
      <c r="X3433" s="4"/>
      <c r="Y3433" s="4"/>
      <c r="Z3433" s="4"/>
    </row>
    <row r="3434" ht="15.75" customHeight="1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 t="str">
        <f>IFERROR(__xludf.DUMMYFUNCTION("""COMPUTED_VALUE"""),"service plumbing repairs")</f>
        <v>service plumbing repairs</v>
      </c>
      <c r="U3434" s="4"/>
      <c r="V3434" s="4"/>
      <c r="W3434" s="4"/>
      <c r="X3434" s="4"/>
      <c r="Y3434" s="4"/>
      <c r="Z3434" s="4"/>
    </row>
    <row r="3435" ht="15.75" customHeight="1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 t="str">
        <f>IFERROR(__xludf.DUMMYFUNCTION("""COMPUTED_VALUE"""),"service refrigeration repair")</f>
        <v>service refrigeration repair</v>
      </c>
      <c r="U3435" s="4"/>
      <c r="V3435" s="4"/>
      <c r="W3435" s="4"/>
      <c r="X3435" s="4"/>
      <c r="Y3435" s="4"/>
      <c r="Z3435" s="4"/>
    </row>
    <row r="3436" ht="15.75" customHeight="1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 t="str">
        <f>IFERROR(__xludf.DUMMYFUNCTION("""COMPUTED_VALUE"""),"service residential electrician")</f>
        <v>service residential electrician</v>
      </c>
      <c r="U3436" s="4"/>
      <c r="V3436" s="4"/>
      <c r="W3436" s="4"/>
      <c r="X3436" s="4"/>
      <c r="Y3436" s="4"/>
      <c r="Z3436" s="4"/>
    </row>
    <row r="3437" ht="15.75" customHeight="1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 t="str">
        <f>IFERROR(__xludf.DUMMYFUNCTION("""COMPUTED_VALUE"""),"service residential plumber")</f>
        <v>service residential plumber</v>
      </c>
      <c r="U3437" s="4"/>
      <c r="V3437" s="4"/>
      <c r="W3437" s="4"/>
      <c r="X3437" s="4"/>
      <c r="Y3437" s="4"/>
      <c r="Z3437" s="4"/>
    </row>
    <row r="3438" ht="15.75" customHeight="1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 t="str">
        <f>IFERROR(__xludf.DUMMYFUNCTION("""COMPUTED_VALUE"""),"service toilet repair")</f>
        <v>service toilet repair</v>
      </c>
      <c r="U3438" s="4"/>
      <c r="V3438" s="4"/>
      <c r="W3438" s="4"/>
      <c r="X3438" s="4"/>
      <c r="Y3438" s="4"/>
      <c r="Z3438" s="4"/>
    </row>
    <row r="3439" ht="15.75" customHeight="1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 t="str">
        <f>IFERROR(__xludf.DUMMYFUNCTION("""COMPUTED_VALUE"""),"service water leak detection")</f>
        <v>service water leak detection</v>
      </c>
      <c r="U3439" s="4"/>
      <c r="V3439" s="4"/>
      <c r="W3439" s="4"/>
      <c r="X3439" s="4"/>
      <c r="Y3439" s="4"/>
      <c r="Z3439" s="4"/>
    </row>
    <row r="3440" ht="15.75" customHeight="1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 t="str">
        <f>IFERROR(__xludf.DUMMYFUNCTION("""COMPUTED_VALUE"""),"service water leak repair")</f>
        <v>service water leak repair</v>
      </c>
      <c r="U3440" s="4"/>
      <c r="V3440" s="4"/>
      <c r="W3440" s="4"/>
      <c r="X3440" s="4"/>
      <c r="Y3440" s="4"/>
      <c r="Z3440" s="4"/>
    </row>
    <row r="3441" ht="15.75" customHeight="1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 t="str">
        <f>IFERROR(__xludf.DUMMYFUNCTION("""COMPUTED_VALUE"""),"shop air conditioning services")</f>
        <v>shop air conditioning services</v>
      </c>
      <c r="U3441" s="4"/>
      <c r="V3441" s="4"/>
      <c r="W3441" s="4"/>
      <c r="X3441" s="4"/>
      <c r="Y3441" s="4"/>
      <c r="Z3441" s="4"/>
    </row>
    <row r="3442" ht="15.75" customHeight="1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 t="str">
        <f>IFERROR(__xludf.DUMMYFUNCTION("""COMPUTED_VALUE"""),"shop drain cleaning")</f>
        <v>shop drain cleaning</v>
      </c>
      <c r="U3442" s="4"/>
      <c r="V3442" s="4"/>
      <c r="W3442" s="4"/>
      <c r="X3442" s="4"/>
      <c r="Y3442" s="4"/>
      <c r="Z3442" s="4"/>
    </row>
    <row r="3443" ht="15.75" customHeight="1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 t="str">
        <f>IFERROR(__xludf.DUMMYFUNCTION("""COMPUTED_VALUE"""),"shop electrical repairs")</f>
        <v>shop electrical repairs</v>
      </c>
      <c r="U3443" s="4"/>
      <c r="V3443" s="4"/>
      <c r="W3443" s="4"/>
      <c r="X3443" s="4"/>
      <c r="Y3443" s="4"/>
      <c r="Z3443" s="4"/>
    </row>
    <row r="3444" ht="15.75" customHeight="1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 t="str">
        <f>IFERROR(__xludf.DUMMYFUNCTION("""COMPUTED_VALUE"""),"shop emergency plumbing")</f>
        <v>shop emergency plumbing</v>
      </c>
      <c r="U3444" s="4"/>
      <c r="V3444" s="4"/>
      <c r="W3444" s="4"/>
      <c r="X3444" s="4"/>
      <c r="Y3444" s="4"/>
      <c r="Z3444" s="4"/>
    </row>
    <row r="3445" ht="15.75" customHeight="1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 t="str">
        <f>IFERROR(__xludf.DUMMYFUNCTION("""COMPUTED_VALUE"""),"shop geyser repairs")</f>
        <v>shop geyser repairs</v>
      </c>
      <c r="U3445" s="4"/>
      <c r="V3445" s="4"/>
      <c r="W3445" s="4"/>
      <c r="X3445" s="4"/>
      <c r="Y3445" s="4"/>
      <c r="Z3445" s="4"/>
    </row>
    <row r="3446" ht="15.75" customHeight="1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 t="str">
        <f>IFERROR(__xludf.DUMMYFUNCTION("""COMPUTED_VALUE"""),"shop leak detection")</f>
        <v>shop leak detection</v>
      </c>
      <c r="U3446" s="4"/>
      <c r="V3446" s="4"/>
      <c r="W3446" s="4"/>
      <c r="X3446" s="4"/>
      <c r="Y3446" s="4"/>
      <c r="Z3446" s="4"/>
    </row>
    <row r="3447" ht="15.75" customHeight="1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 t="str">
        <f>IFERROR(__xludf.DUMMYFUNCTION("""COMPUTED_VALUE"""),"shop maintenance plumber")</f>
        <v>shop maintenance plumber</v>
      </c>
      <c r="U3447" s="4"/>
      <c r="V3447" s="4"/>
      <c r="W3447" s="4"/>
      <c r="X3447" s="4"/>
      <c r="Y3447" s="4"/>
      <c r="Z3447" s="4"/>
    </row>
    <row r="3448" ht="15.75" customHeight="1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 t="str">
        <f>IFERROR(__xludf.DUMMYFUNCTION("""COMPUTED_VALUE"""),"shop plumbing company")</f>
        <v>shop plumbing company</v>
      </c>
      <c r="U3448" s="4"/>
      <c r="V3448" s="4"/>
      <c r="W3448" s="4"/>
      <c r="X3448" s="4"/>
      <c r="Y3448" s="4"/>
      <c r="Z3448" s="4"/>
    </row>
    <row r="3449" ht="15.75" customHeight="1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 t="str">
        <f>IFERROR(__xludf.DUMMYFUNCTION("""COMPUTED_VALUE"""),"shop plumbing services")</f>
        <v>shop plumbing services</v>
      </c>
      <c r="U3449" s="4"/>
      <c r="V3449" s="4"/>
      <c r="W3449" s="4"/>
      <c r="X3449" s="4"/>
      <c r="Y3449" s="4"/>
      <c r="Z3449" s="4"/>
    </row>
    <row r="3450" ht="15.75" customHeight="1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 t="str">
        <f>IFERROR(__xludf.DUMMYFUNCTION("""COMPUTED_VALUE"""),"shop refrigeration services")</f>
        <v>shop refrigeration services</v>
      </c>
      <c r="U3450" s="4"/>
      <c r="V3450" s="4"/>
      <c r="W3450" s="4"/>
      <c r="X3450" s="4"/>
      <c r="Y3450" s="4"/>
      <c r="Z3450" s="4"/>
    </row>
    <row r="3451" ht="15.75" customHeight="1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 t="str">
        <f>IFERROR(__xludf.DUMMYFUNCTION("""COMPUTED_VALUE"""),"signs you need aircon service")</f>
        <v>signs you need aircon service</v>
      </c>
      <c r="U3451" s="4"/>
      <c r="V3451" s="4"/>
      <c r="W3451" s="4"/>
      <c r="X3451" s="4"/>
      <c r="Y3451" s="4"/>
      <c r="Z3451" s="4"/>
    </row>
    <row r="3452" ht="15.75" customHeight="1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 t="str">
        <f>IFERROR(__xludf.DUMMYFUNCTION("""COMPUTED_VALUE"""),"signs you need blocked drain")</f>
        <v>signs you need blocked drain</v>
      </c>
      <c r="U3452" s="4"/>
      <c r="V3452" s="4"/>
      <c r="W3452" s="4"/>
      <c r="X3452" s="4"/>
      <c r="Y3452" s="4"/>
      <c r="Z3452" s="4"/>
    </row>
    <row r="3453" ht="15.75" customHeight="1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 t="str">
        <f>IFERROR(__xludf.DUMMYFUNCTION("""COMPUTED_VALUE"""),"signs you need burst pipe")</f>
        <v>signs you need burst pipe</v>
      </c>
      <c r="U3453" s="4"/>
      <c r="V3453" s="4"/>
      <c r="W3453" s="4"/>
      <c r="X3453" s="4"/>
      <c r="Y3453" s="4"/>
      <c r="Z3453" s="4"/>
    </row>
    <row r="3454" ht="15.75" customHeight="1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 t="str">
        <f>IFERROR(__xludf.DUMMYFUNCTION("""COMPUTED_VALUE"""),"signs you need electrical COC")</f>
        <v>signs you need electrical COC</v>
      </c>
      <c r="U3454" s="4"/>
      <c r="V3454" s="4"/>
      <c r="W3454" s="4"/>
      <c r="X3454" s="4"/>
      <c r="Y3454" s="4"/>
      <c r="Z3454" s="4"/>
    </row>
    <row r="3455" ht="15.75" customHeight="1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 t="str">
        <f>IFERROR(__xludf.DUMMYFUNCTION("""COMPUTED_VALUE"""),"signs you need emergency plumber")</f>
        <v>signs you need emergency plumber</v>
      </c>
      <c r="U3455" s="4"/>
      <c r="V3455" s="4"/>
      <c r="W3455" s="4"/>
      <c r="X3455" s="4"/>
      <c r="Y3455" s="4"/>
      <c r="Z3455" s="4"/>
    </row>
    <row r="3456" ht="15.75" customHeight="1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 t="str">
        <f>IFERROR(__xludf.DUMMYFUNCTION("""COMPUTED_VALUE"""),"signs you need geyser repair")</f>
        <v>signs you need geyser repair</v>
      </c>
      <c r="U3456" s="4"/>
      <c r="V3456" s="4"/>
      <c r="W3456" s="4"/>
      <c r="X3456" s="4"/>
      <c r="Y3456" s="4"/>
      <c r="Z3456" s="4"/>
    </row>
    <row r="3457" ht="15.75" customHeight="1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 t="str">
        <f>IFERROR(__xludf.DUMMYFUNCTION("""COMPUTED_VALUE"""),"signs you need leak detection")</f>
        <v>signs you need leak detection</v>
      </c>
      <c r="U3457" s="4"/>
      <c r="V3457" s="4"/>
      <c r="W3457" s="4"/>
      <c r="X3457" s="4"/>
      <c r="Y3457" s="4"/>
      <c r="Z3457" s="4"/>
    </row>
    <row r="3458" ht="15.75" customHeight="1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 t="str">
        <f>IFERROR(__xludf.DUMMYFUNCTION("""COMPUTED_VALUE"""),"signs you need plumber cost")</f>
        <v>signs you need plumber cost</v>
      </c>
      <c r="U3458" s="4"/>
      <c r="V3458" s="4"/>
      <c r="W3458" s="4"/>
      <c r="X3458" s="4"/>
      <c r="Y3458" s="4"/>
      <c r="Z3458" s="4"/>
    </row>
    <row r="3459" ht="15.75" customHeight="1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 t="str">
        <f>IFERROR(__xludf.DUMMYFUNCTION("""COMPUTED_VALUE"""),"signs you need plumbing maintenance")</f>
        <v>signs you need plumbing maintenance</v>
      </c>
      <c r="U3459" s="4"/>
      <c r="V3459" s="4"/>
      <c r="W3459" s="4"/>
      <c r="X3459" s="4"/>
      <c r="Y3459" s="4"/>
      <c r="Z3459" s="4"/>
    </row>
    <row r="3460" ht="15.75" customHeight="1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 t="str">
        <f>IFERROR(__xludf.DUMMYFUNCTION("""COMPUTED_VALUE"""),"signs you need refrigeration repair")</f>
        <v>signs you need refrigeration repair</v>
      </c>
      <c r="U3460" s="4"/>
      <c r="V3460" s="4"/>
      <c r="W3460" s="4"/>
      <c r="X3460" s="4"/>
      <c r="Y3460" s="4"/>
      <c r="Z3460" s="4"/>
    </row>
    <row r="3461" ht="15.75" customHeight="1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 t="str">
        <f>IFERROR(__xludf.DUMMYFUNCTION("""COMPUTED_VALUE"""),"South Africa aircon repairs")</f>
        <v>South Africa aircon repairs</v>
      </c>
      <c r="U3461" s="4"/>
      <c r="V3461" s="4"/>
      <c r="W3461" s="4"/>
      <c r="X3461" s="4"/>
      <c r="Y3461" s="4"/>
      <c r="Z3461" s="4"/>
    </row>
    <row r="3462" ht="15.75" customHeight="1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 t="str">
        <f>IFERROR(__xludf.DUMMYFUNCTION("""COMPUTED_VALUE"""),"South Africa blocked drain plumber")</f>
        <v>South Africa blocked drain plumber</v>
      </c>
      <c r="U3462" s="4"/>
      <c r="V3462" s="4"/>
      <c r="W3462" s="4"/>
      <c r="X3462" s="4"/>
      <c r="Y3462" s="4"/>
      <c r="Z3462" s="4"/>
    </row>
    <row r="3463" ht="15.75" customHeight="1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 t="str">
        <f>IFERROR(__xludf.DUMMYFUNCTION("""COMPUTED_VALUE"""),"South Africa electrician")</f>
        <v>South Africa electrician</v>
      </c>
      <c r="U3463" s="4"/>
      <c r="V3463" s="4"/>
      <c r="W3463" s="4"/>
      <c r="X3463" s="4"/>
      <c r="Y3463" s="4"/>
      <c r="Z3463" s="4"/>
    </row>
    <row r="3464" ht="15.75" customHeight="1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 t="str">
        <f>IFERROR(__xludf.DUMMYFUNCTION("""COMPUTED_VALUE"""),"South Africa emergency plumber")</f>
        <v>South Africa emergency plumber</v>
      </c>
      <c r="U3464" s="4"/>
      <c r="V3464" s="4"/>
      <c r="W3464" s="4"/>
      <c r="X3464" s="4"/>
      <c r="Y3464" s="4"/>
      <c r="Z3464" s="4"/>
    </row>
    <row r="3465" ht="15.75" customHeight="1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 t="str">
        <f>IFERROR(__xludf.DUMMYFUNCTION("""COMPUTED_VALUE"""),"South Africa geyser repair")</f>
        <v>South Africa geyser repair</v>
      </c>
      <c r="U3465" s="4"/>
      <c r="V3465" s="4"/>
      <c r="W3465" s="4"/>
      <c r="X3465" s="4"/>
      <c r="Y3465" s="4"/>
      <c r="Z3465" s="4"/>
    </row>
    <row r="3466" ht="15.75" customHeight="1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 t="str">
        <f>IFERROR(__xludf.DUMMYFUNCTION("""COMPUTED_VALUE"""),"South Africa leak detection plumber")</f>
        <v>South Africa leak detection plumber</v>
      </c>
      <c r="U3466" s="4"/>
      <c r="V3466" s="4"/>
      <c r="W3466" s="4"/>
      <c r="X3466" s="4"/>
      <c r="Y3466" s="4"/>
      <c r="Z3466" s="4"/>
    </row>
    <row r="3467" ht="15.75" customHeight="1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 t="str">
        <f>IFERROR(__xludf.DUMMYFUNCTION("""COMPUTED_VALUE"""),"South Africa plumber")</f>
        <v>South Africa plumber</v>
      </c>
      <c r="U3467" s="4"/>
      <c r="V3467" s="4"/>
      <c r="W3467" s="4"/>
      <c r="X3467" s="4"/>
      <c r="Y3467" s="4"/>
      <c r="Z3467" s="4"/>
    </row>
    <row r="3468" ht="15.75" customHeight="1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 t="str">
        <f>IFERROR(__xludf.DUMMYFUNCTION("""COMPUTED_VALUE"""),"South Africa plumbers")</f>
        <v>South Africa plumbers</v>
      </c>
      <c r="U3468" s="4"/>
      <c r="V3468" s="4"/>
      <c r="W3468" s="4"/>
      <c r="X3468" s="4"/>
      <c r="Y3468" s="4"/>
      <c r="Z3468" s="4"/>
    </row>
    <row r="3469" ht="15.75" customHeight="1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 t="str">
        <f>IFERROR(__xludf.DUMMYFUNCTION("""COMPUTED_VALUE"""),"South Africa plumbing company")</f>
        <v>South Africa plumbing company</v>
      </c>
      <c r="U3469" s="4"/>
      <c r="V3469" s="4"/>
      <c r="W3469" s="4"/>
      <c r="X3469" s="4"/>
      <c r="Y3469" s="4"/>
      <c r="Z3469" s="4"/>
    </row>
    <row r="3470" ht="15.75" customHeight="1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 t="str">
        <f>IFERROR(__xludf.DUMMYFUNCTION("""COMPUTED_VALUE"""),"South Africa refrigeration services")</f>
        <v>South Africa refrigeration services</v>
      </c>
      <c r="U3470" s="4"/>
      <c r="V3470" s="4"/>
      <c r="W3470" s="4"/>
      <c r="X3470" s="4"/>
      <c r="Y3470" s="4"/>
      <c r="Z3470" s="4"/>
    </row>
    <row r="3471" ht="15.75" customHeight="1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 t="str">
        <f>IFERROR(__xludf.DUMMYFUNCTION("""COMPUTED_VALUE"""),"Southern Suburbs aircon repairs")</f>
        <v>Southern Suburbs aircon repairs</v>
      </c>
      <c r="U3471" s="4"/>
      <c r="V3471" s="4"/>
      <c r="W3471" s="4"/>
      <c r="X3471" s="4"/>
      <c r="Y3471" s="4"/>
      <c r="Z3471" s="4"/>
    </row>
    <row r="3472" ht="15.75" customHeight="1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 t="str">
        <f>IFERROR(__xludf.DUMMYFUNCTION("""COMPUTED_VALUE"""),"Southern Suburbs blocked drain plumber")</f>
        <v>Southern Suburbs blocked drain plumber</v>
      </c>
      <c r="U3472" s="4"/>
      <c r="V3472" s="4"/>
      <c r="W3472" s="4"/>
      <c r="X3472" s="4"/>
      <c r="Y3472" s="4"/>
      <c r="Z3472" s="4"/>
    </row>
    <row r="3473" ht="15.75" customHeight="1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 t="str">
        <f>IFERROR(__xludf.DUMMYFUNCTION("""COMPUTED_VALUE"""),"Southern Suburbs electrician")</f>
        <v>Southern Suburbs electrician</v>
      </c>
      <c r="U3473" s="4"/>
      <c r="V3473" s="4"/>
      <c r="W3473" s="4"/>
      <c r="X3473" s="4"/>
      <c r="Y3473" s="4"/>
      <c r="Z3473" s="4"/>
    </row>
    <row r="3474" ht="15.75" customHeight="1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 t="str">
        <f>IFERROR(__xludf.DUMMYFUNCTION("""COMPUTED_VALUE"""),"Southern Suburbs emergency plumber")</f>
        <v>Southern Suburbs emergency plumber</v>
      </c>
      <c r="U3474" s="4"/>
      <c r="V3474" s="4"/>
      <c r="W3474" s="4"/>
      <c r="X3474" s="4"/>
      <c r="Y3474" s="4"/>
      <c r="Z3474" s="4"/>
    </row>
    <row r="3475" ht="15.75" customHeight="1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 t="str">
        <f>IFERROR(__xludf.DUMMYFUNCTION("""COMPUTED_VALUE"""),"Southern Suburbs geyser repair")</f>
        <v>Southern Suburbs geyser repair</v>
      </c>
      <c r="U3475" s="4"/>
      <c r="V3475" s="4"/>
      <c r="W3475" s="4"/>
      <c r="X3475" s="4"/>
      <c r="Y3475" s="4"/>
      <c r="Z3475" s="4"/>
    </row>
    <row r="3476" ht="15.75" customHeight="1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 t="str">
        <f>IFERROR(__xludf.DUMMYFUNCTION("""COMPUTED_VALUE"""),"Southern Suburbs leak detection plumber")</f>
        <v>Southern Suburbs leak detection plumber</v>
      </c>
      <c r="U3476" s="4"/>
      <c r="V3476" s="4"/>
      <c r="W3476" s="4"/>
      <c r="X3476" s="4"/>
      <c r="Y3476" s="4"/>
      <c r="Z3476" s="4"/>
    </row>
    <row r="3477" ht="15.75" customHeight="1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 t="str">
        <f>IFERROR(__xludf.DUMMYFUNCTION("""COMPUTED_VALUE"""),"Southern Suburbs plumber")</f>
        <v>Southern Suburbs plumber</v>
      </c>
      <c r="U3477" s="4"/>
      <c r="V3477" s="4"/>
      <c r="W3477" s="4"/>
      <c r="X3477" s="4"/>
      <c r="Y3477" s="4"/>
      <c r="Z3477" s="4"/>
    </row>
    <row r="3478" ht="15.75" customHeight="1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 t="str">
        <f>IFERROR(__xludf.DUMMYFUNCTION("""COMPUTED_VALUE"""),"Southern Suburbs plumbers")</f>
        <v>Southern Suburbs plumbers</v>
      </c>
      <c r="U3478" s="4"/>
      <c r="V3478" s="4"/>
      <c r="W3478" s="4"/>
      <c r="X3478" s="4"/>
      <c r="Y3478" s="4"/>
      <c r="Z3478" s="4"/>
    </row>
    <row r="3479" ht="15.75" customHeight="1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 t="str">
        <f>IFERROR(__xludf.DUMMYFUNCTION("""COMPUTED_VALUE"""),"Southern Suburbs plumbing company")</f>
        <v>Southern Suburbs plumbing company</v>
      </c>
      <c r="U3479" s="4"/>
      <c r="V3479" s="4"/>
      <c r="W3479" s="4"/>
      <c r="X3479" s="4"/>
      <c r="Y3479" s="4"/>
      <c r="Z3479" s="4"/>
    </row>
    <row r="3480" ht="15.75" customHeight="1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 t="str">
        <f>IFERROR(__xludf.DUMMYFUNCTION("""COMPUTED_VALUE"""),"Southern Suburbs refrigeration services")</f>
        <v>Southern Suburbs refrigeration services</v>
      </c>
      <c r="U3480" s="4"/>
      <c r="V3480" s="4"/>
      <c r="W3480" s="4"/>
      <c r="X3480" s="4"/>
      <c r="Y3480" s="4"/>
      <c r="Z3480" s="4"/>
    </row>
    <row r="3481" ht="15.75" customHeight="1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 t="str">
        <f>IFERROR(__xludf.DUMMYFUNCTION("""COMPUTED_VALUE"""),"specialist blocked drain")</f>
        <v>specialist blocked drain</v>
      </c>
      <c r="U3481" s="4"/>
      <c r="V3481" s="4"/>
      <c r="W3481" s="4"/>
      <c r="X3481" s="4"/>
      <c r="Y3481" s="4"/>
      <c r="Z3481" s="4"/>
    </row>
    <row r="3482" ht="15.75" customHeight="1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 t="str">
        <f>IFERROR(__xludf.DUMMYFUNCTION("""COMPUTED_VALUE"""),"specialist burst geyser")</f>
        <v>specialist burst geyser</v>
      </c>
      <c r="U3482" s="4"/>
      <c r="V3482" s="4"/>
      <c r="W3482" s="4"/>
      <c r="X3482" s="4"/>
      <c r="Y3482" s="4"/>
      <c r="Z3482" s="4"/>
    </row>
    <row r="3483" ht="15.75" customHeight="1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 t="str">
        <f>IFERROR(__xludf.DUMMYFUNCTION("""COMPUTED_VALUE"""),"specialist drain cleaning")</f>
        <v>specialist drain cleaning</v>
      </c>
      <c r="U3483" s="4"/>
      <c r="V3483" s="4"/>
      <c r="W3483" s="4"/>
      <c r="X3483" s="4"/>
      <c r="Y3483" s="4"/>
      <c r="Z3483" s="4"/>
    </row>
    <row r="3484" ht="15.75" customHeight="1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 t="str">
        <f>IFERROR(__xludf.DUMMYFUNCTION("""COMPUTED_VALUE"""),"specialist drain inspection")</f>
        <v>specialist drain inspection</v>
      </c>
      <c r="U3484" s="4"/>
      <c r="V3484" s="4"/>
      <c r="W3484" s="4"/>
      <c r="X3484" s="4"/>
      <c r="Y3484" s="4"/>
      <c r="Z3484" s="4"/>
    </row>
    <row r="3485" ht="15.75" customHeight="1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 t="str">
        <f>IFERROR(__xludf.DUMMYFUNCTION("""COMPUTED_VALUE"""),"specialist drain unblocking")</f>
        <v>specialist drain unblocking</v>
      </c>
      <c r="U3485" s="4"/>
      <c r="V3485" s="4"/>
      <c r="W3485" s="4"/>
      <c r="X3485" s="4"/>
      <c r="Y3485" s="4"/>
      <c r="Z3485" s="4"/>
    </row>
    <row r="3486" ht="15.75" customHeight="1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 t="str">
        <f>IFERROR(__xludf.DUMMYFUNCTION("""COMPUTED_VALUE"""),"specialist geyser repair")</f>
        <v>specialist geyser repair</v>
      </c>
      <c r="U3486" s="4"/>
      <c r="V3486" s="4"/>
      <c r="W3486" s="4"/>
      <c r="X3486" s="4"/>
      <c r="Y3486" s="4"/>
      <c r="Z3486" s="4"/>
    </row>
    <row r="3487" ht="15.75" customHeight="1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 t="str">
        <f>IFERROR(__xludf.DUMMYFUNCTION("""COMPUTED_VALUE"""),"specialist geyser replacement")</f>
        <v>specialist geyser replacement</v>
      </c>
      <c r="U3487" s="4"/>
      <c r="V3487" s="4"/>
      <c r="W3487" s="4"/>
      <c r="X3487" s="4"/>
      <c r="Y3487" s="4"/>
      <c r="Z3487" s="4"/>
    </row>
    <row r="3488" ht="15.75" customHeight="1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 t="str">
        <f>IFERROR(__xludf.DUMMYFUNCTION("""COMPUTED_VALUE"""),"specialist leak detection")</f>
        <v>specialist leak detection</v>
      </c>
      <c r="U3488" s="4"/>
      <c r="V3488" s="4"/>
      <c r="W3488" s="4"/>
      <c r="X3488" s="4"/>
      <c r="Y3488" s="4"/>
      <c r="Z3488" s="4"/>
    </row>
    <row r="3489" ht="15.75" customHeight="1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 t="str">
        <f>IFERROR(__xludf.DUMMYFUNCTION("""COMPUTED_VALUE"""),"specialist pipe repair")</f>
        <v>specialist pipe repair</v>
      </c>
      <c r="U3489" s="4"/>
      <c r="V3489" s="4"/>
      <c r="W3489" s="4"/>
      <c r="X3489" s="4"/>
      <c r="Y3489" s="4"/>
      <c r="Z3489" s="4"/>
    </row>
    <row r="3490" ht="15.75" customHeight="1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 t="str">
        <f>IFERROR(__xludf.DUMMYFUNCTION("""COMPUTED_VALUE"""),"specialist water leak detection")</f>
        <v>specialist water leak detection</v>
      </c>
      <c r="U3490" s="4"/>
      <c r="V3490" s="4"/>
      <c r="W3490" s="4"/>
      <c r="X3490" s="4"/>
      <c r="Y3490" s="4"/>
      <c r="Z3490" s="4"/>
    </row>
    <row r="3491" ht="15.75" customHeight="1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 t="str">
        <f>IFERROR(__xludf.DUMMYFUNCTION("""COMPUTED_VALUE"""),"Table View aircon repairs")</f>
        <v>Table View aircon repairs</v>
      </c>
      <c r="U3491" s="4"/>
      <c r="V3491" s="4"/>
      <c r="W3491" s="4"/>
      <c r="X3491" s="4"/>
      <c r="Y3491" s="4"/>
      <c r="Z3491" s="4"/>
    </row>
    <row r="3492" ht="15.75" customHeight="1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 t="str">
        <f>IFERROR(__xludf.DUMMYFUNCTION("""COMPUTED_VALUE"""),"Table View blocked drain plumber")</f>
        <v>Table View blocked drain plumber</v>
      </c>
      <c r="U3492" s="4"/>
      <c r="V3492" s="4"/>
      <c r="W3492" s="4"/>
      <c r="X3492" s="4"/>
      <c r="Y3492" s="4"/>
      <c r="Z3492" s="4"/>
    </row>
    <row r="3493" ht="15.75" customHeight="1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 t="str">
        <f>IFERROR(__xludf.DUMMYFUNCTION("""COMPUTED_VALUE"""),"Table View electrician")</f>
        <v>Table View electrician</v>
      </c>
      <c r="U3493" s="4"/>
      <c r="V3493" s="4"/>
      <c r="W3493" s="4"/>
      <c r="X3493" s="4"/>
      <c r="Y3493" s="4"/>
      <c r="Z3493" s="4"/>
    </row>
    <row r="3494" ht="15.75" customHeight="1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 t="str">
        <f>IFERROR(__xludf.DUMMYFUNCTION("""COMPUTED_VALUE"""),"Table View emergency plumber")</f>
        <v>Table View emergency plumber</v>
      </c>
      <c r="U3494" s="4"/>
      <c r="V3494" s="4"/>
      <c r="W3494" s="4"/>
      <c r="X3494" s="4"/>
      <c r="Y3494" s="4"/>
      <c r="Z3494" s="4"/>
    </row>
    <row r="3495" ht="15.75" customHeight="1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 t="str">
        <f>IFERROR(__xludf.DUMMYFUNCTION("""COMPUTED_VALUE"""),"Table View geyser repair")</f>
        <v>Table View geyser repair</v>
      </c>
      <c r="U3495" s="4"/>
      <c r="V3495" s="4"/>
      <c r="W3495" s="4"/>
      <c r="X3495" s="4"/>
      <c r="Y3495" s="4"/>
      <c r="Z3495" s="4"/>
    </row>
    <row r="3496" ht="15.75" customHeight="1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 t="str">
        <f>IFERROR(__xludf.DUMMYFUNCTION("""COMPUTED_VALUE"""),"Table View leak detection plumber")</f>
        <v>Table View leak detection plumber</v>
      </c>
      <c r="U3496" s="4"/>
      <c r="V3496" s="4"/>
      <c r="W3496" s="4"/>
      <c r="X3496" s="4"/>
      <c r="Y3496" s="4"/>
      <c r="Z3496" s="4"/>
    </row>
    <row r="3497" ht="15.75" customHeight="1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 t="str">
        <f>IFERROR(__xludf.DUMMYFUNCTION("""COMPUTED_VALUE"""),"Table View plumber")</f>
        <v>Table View plumber</v>
      </c>
      <c r="U3497" s="4"/>
      <c r="V3497" s="4"/>
      <c r="W3497" s="4"/>
      <c r="X3497" s="4"/>
      <c r="Y3497" s="4"/>
      <c r="Z3497" s="4"/>
    </row>
    <row r="3498" ht="15.75" customHeight="1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 t="str">
        <f>IFERROR(__xludf.DUMMYFUNCTION("""COMPUTED_VALUE"""),"Table View plumbers")</f>
        <v>Table View plumbers</v>
      </c>
      <c r="U3498" s="4"/>
      <c r="V3498" s="4"/>
      <c r="W3498" s="4"/>
      <c r="X3498" s="4"/>
      <c r="Y3498" s="4"/>
      <c r="Z3498" s="4"/>
    </row>
    <row r="3499" ht="15.75" customHeight="1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 t="str">
        <f>IFERROR(__xludf.DUMMYFUNCTION("""COMPUTED_VALUE"""),"Table View plumbing company")</f>
        <v>Table View plumbing company</v>
      </c>
      <c r="U3499" s="4"/>
      <c r="V3499" s="4"/>
      <c r="W3499" s="4"/>
      <c r="X3499" s="4"/>
      <c r="Y3499" s="4"/>
      <c r="Z3499" s="4"/>
    </row>
    <row r="3500" ht="15.75" customHeight="1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 t="str">
        <f>IFERROR(__xludf.DUMMYFUNCTION("""COMPUTED_VALUE"""),"Table View refrigeration services")</f>
        <v>Table View refrigeration services</v>
      </c>
      <c r="U3500" s="4"/>
      <c r="V3500" s="4"/>
      <c r="W3500" s="4"/>
      <c r="X3500" s="4"/>
      <c r="Y3500" s="4"/>
      <c r="Z3500" s="4"/>
    </row>
    <row r="3501" ht="15.75" customHeight="1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 t="str">
        <f>IFERROR(__xludf.DUMMYFUNCTION("""COMPUTED_VALUE"""),"technician air conditioning")</f>
        <v>technician air conditioning</v>
      </c>
      <c r="U3501" s="4"/>
      <c r="V3501" s="4"/>
      <c r="W3501" s="4"/>
      <c r="X3501" s="4"/>
      <c r="Y3501" s="4"/>
      <c r="Z3501" s="4"/>
    </row>
    <row r="3502" ht="15.75" customHeight="1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 t="str">
        <f>IFERROR(__xludf.DUMMYFUNCTION("""COMPUTED_VALUE"""),"technician air conditioning repair")</f>
        <v>technician air conditioning repair</v>
      </c>
      <c r="U3502" s="4"/>
      <c r="V3502" s="4"/>
      <c r="W3502" s="4"/>
      <c r="X3502" s="4"/>
      <c r="Y3502" s="4"/>
      <c r="Z3502" s="4"/>
    </row>
    <row r="3503" ht="15.75" customHeight="1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 t="str">
        <f>IFERROR(__xludf.DUMMYFUNCTION("""COMPUTED_VALUE"""),"technician aircon installation")</f>
        <v>technician aircon installation</v>
      </c>
      <c r="U3503" s="4"/>
      <c r="V3503" s="4"/>
      <c r="W3503" s="4"/>
      <c r="X3503" s="4"/>
      <c r="Y3503" s="4"/>
      <c r="Z3503" s="4"/>
    </row>
    <row r="3504" ht="15.75" customHeight="1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 t="str">
        <f>IFERROR(__xludf.DUMMYFUNCTION("""COMPUTED_VALUE"""),"technician aircon repair")</f>
        <v>technician aircon repair</v>
      </c>
      <c r="U3504" s="4"/>
      <c r="V3504" s="4"/>
      <c r="W3504" s="4"/>
      <c r="X3504" s="4"/>
      <c r="Y3504" s="4"/>
      <c r="Z3504" s="4"/>
    </row>
    <row r="3505" ht="15.75" customHeight="1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 t="str">
        <f>IFERROR(__xludf.DUMMYFUNCTION("""COMPUTED_VALUE"""),"technician aircon service")</f>
        <v>technician aircon service</v>
      </c>
      <c r="U3505" s="4"/>
      <c r="V3505" s="4"/>
      <c r="W3505" s="4"/>
      <c r="X3505" s="4"/>
      <c r="Y3505" s="4"/>
      <c r="Z3505" s="4"/>
    </row>
    <row r="3506" ht="15.75" customHeight="1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 t="str">
        <f>IFERROR(__xludf.DUMMYFUNCTION("""COMPUTED_VALUE"""),"technician cold room repair")</f>
        <v>technician cold room repair</v>
      </c>
      <c r="U3506" s="4"/>
      <c r="V3506" s="4"/>
      <c r="W3506" s="4"/>
      <c r="X3506" s="4"/>
      <c r="Y3506" s="4"/>
      <c r="Z3506" s="4"/>
    </row>
    <row r="3507" ht="15.75" customHeight="1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 t="str">
        <f>IFERROR(__xludf.DUMMYFUNCTION("""COMPUTED_VALUE"""),"technician commercial refrigeration")</f>
        <v>technician commercial refrigeration</v>
      </c>
      <c r="U3507" s="4"/>
      <c r="V3507" s="4"/>
      <c r="W3507" s="4"/>
      <c r="X3507" s="4"/>
      <c r="Y3507" s="4"/>
      <c r="Z3507" s="4"/>
    </row>
    <row r="3508" ht="15.75" customHeight="1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 t="str">
        <f>IFERROR(__xludf.DUMMYFUNCTION("""COMPUTED_VALUE"""),"technician fridge repair")</f>
        <v>technician fridge repair</v>
      </c>
      <c r="U3508" s="4"/>
      <c r="V3508" s="4"/>
      <c r="W3508" s="4"/>
      <c r="X3508" s="4"/>
      <c r="Y3508" s="4"/>
      <c r="Z3508" s="4"/>
    </row>
    <row r="3509" ht="15.75" customHeight="1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 t="str">
        <f>IFERROR(__xludf.DUMMYFUNCTION("""COMPUTED_VALUE"""),"technician HVAC services")</f>
        <v>technician HVAC services</v>
      </c>
      <c r="U3509" s="4"/>
      <c r="V3509" s="4"/>
      <c r="W3509" s="4"/>
      <c r="X3509" s="4"/>
      <c r="Y3509" s="4"/>
      <c r="Z3509" s="4"/>
    </row>
    <row r="3510" ht="15.75" customHeight="1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 t="str">
        <f>IFERROR(__xludf.DUMMYFUNCTION("""COMPUTED_VALUE"""),"technician refrigeration repair")</f>
        <v>technician refrigeration repair</v>
      </c>
      <c r="U3510" s="4"/>
      <c r="V3510" s="4"/>
      <c r="W3510" s="4"/>
      <c r="X3510" s="4"/>
      <c r="Y3510" s="4"/>
      <c r="Z3510" s="4"/>
    </row>
    <row r="3511" ht="15.75" customHeight="1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 t="str">
        <f>IFERROR(__xludf.DUMMYFUNCTION("""COMPUTED_VALUE"""),"tenant air conditioning services")</f>
        <v>tenant air conditioning services</v>
      </c>
      <c r="U3511" s="4"/>
      <c r="V3511" s="4"/>
      <c r="W3511" s="4"/>
      <c r="X3511" s="4"/>
      <c r="Y3511" s="4"/>
      <c r="Z3511" s="4"/>
    </row>
    <row r="3512" ht="15.75" customHeight="1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 t="str">
        <f>IFERROR(__xludf.DUMMYFUNCTION("""COMPUTED_VALUE"""),"tenant drain cleaning")</f>
        <v>tenant drain cleaning</v>
      </c>
      <c r="U3512" s="4"/>
      <c r="V3512" s="4"/>
      <c r="W3512" s="4"/>
      <c r="X3512" s="4"/>
      <c r="Y3512" s="4"/>
      <c r="Z3512" s="4"/>
    </row>
    <row r="3513" ht="15.75" customHeight="1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 t="str">
        <f>IFERROR(__xludf.DUMMYFUNCTION("""COMPUTED_VALUE"""),"tenant electrical repairs")</f>
        <v>tenant electrical repairs</v>
      </c>
      <c r="U3513" s="4"/>
      <c r="V3513" s="4"/>
      <c r="W3513" s="4"/>
      <c r="X3513" s="4"/>
      <c r="Y3513" s="4"/>
      <c r="Z3513" s="4"/>
    </row>
    <row r="3514" ht="15.75" customHeight="1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 t="str">
        <f>IFERROR(__xludf.DUMMYFUNCTION("""COMPUTED_VALUE"""),"tenant emergency plumbing")</f>
        <v>tenant emergency plumbing</v>
      </c>
      <c r="U3514" s="4"/>
      <c r="V3514" s="4"/>
      <c r="W3514" s="4"/>
      <c r="X3514" s="4"/>
      <c r="Y3514" s="4"/>
      <c r="Z3514" s="4"/>
    </row>
    <row r="3515" ht="15.75" customHeight="1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 t="str">
        <f>IFERROR(__xludf.DUMMYFUNCTION("""COMPUTED_VALUE"""),"tenant geyser repairs")</f>
        <v>tenant geyser repairs</v>
      </c>
      <c r="U3515" s="4"/>
      <c r="V3515" s="4"/>
      <c r="W3515" s="4"/>
      <c r="X3515" s="4"/>
      <c r="Y3515" s="4"/>
      <c r="Z3515" s="4"/>
    </row>
    <row r="3516" ht="15.75" customHeight="1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 t="str">
        <f>IFERROR(__xludf.DUMMYFUNCTION("""COMPUTED_VALUE"""),"tenant leak detection")</f>
        <v>tenant leak detection</v>
      </c>
      <c r="U3516" s="4"/>
      <c r="V3516" s="4"/>
      <c r="W3516" s="4"/>
      <c r="X3516" s="4"/>
      <c r="Y3516" s="4"/>
      <c r="Z3516" s="4"/>
    </row>
    <row r="3517" ht="15.75" customHeight="1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 t="str">
        <f>IFERROR(__xludf.DUMMYFUNCTION("""COMPUTED_VALUE"""),"tenant maintenance plumber")</f>
        <v>tenant maintenance plumber</v>
      </c>
      <c r="U3517" s="4"/>
      <c r="V3517" s="4"/>
      <c r="W3517" s="4"/>
      <c r="X3517" s="4"/>
      <c r="Y3517" s="4"/>
      <c r="Z3517" s="4"/>
    </row>
    <row r="3518" ht="15.75" customHeight="1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 t="str">
        <f>IFERROR(__xludf.DUMMYFUNCTION("""COMPUTED_VALUE"""),"tenant plumbing company")</f>
        <v>tenant plumbing company</v>
      </c>
      <c r="U3518" s="4"/>
      <c r="V3518" s="4"/>
      <c r="W3518" s="4"/>
      <c r="X3518" s="4"/>
      <c r="Y3518" s="4"/>
      <c r="Z3518" s="4"/>
    </row>
    <row r="3519" ht="15.75" customHeight="1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 t="str">
        <f>IFERROR(__xludf.DUMMYFUNCTION("""COMPUTED_VALUE"""),"tenant plumbing services")</f>
        <v>tenant plumbing services</v>
      </c>
      <c r="U3519" s="4"/>
      <c r="V3519" s="4"/>
      <c r="W3519" s="4"/>
      <c r="X3519" s="4"/>
      <c r="Y3519" s="4"/>
      <c r="Z3519" s="4"/>
    </row>
    <row r="3520" ht="15.75" customHeight="1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 t="str">
        <f>IFERROR(__xludf.DUMMYFUNCTION("""COMPUTED_VALUE"""),"tenant refrigeration services")</f>
        <v>tenant refrigeration services</v>
      </c>
      <c r="U3520" s="4"/>
      <c r="V3520" s="4"/>
      <c r="W3520" s="4"/>
      <c r="X3520" s="4"/>
      <c r="Y3520" s="4"/>
      <c r="Z3520" s="4"/>
    </row>
    <row r="3521" ht="15.75" customHeight="1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 t="str">
        <f>IFERROR(__xludf.DUMMYFUNCTION("""COMPUTED_VALUE"""),"toilet repair")</f>
        <v>toilet repair</v>
      </c>
      <c r="U3521" s="4"/>
      <c r="V3521" s="4"/>
      <c r="W3521" s="4"/>
      <c r="X3521" s="4"/>
      <c r="Y3521" s="4"/>
      <c r="Z3521" s="4"/>
    </row>
    <row r="3522" ht="15.75" customHeight="1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 t="str">
        <f>IFERROR(__xludf.DUMMYFUNCTION("""COMPUTED_VALUE"""),"toilet repair after hours")</f>
        <v>toilet repair after hours</v>
      </c>
      <c r="U3522" s="4"/>
      <c r="V3522" s="4"/>
      <c r="W3522" s="4"/>
      <c r="X3522" s="4"/>
      <c r="Y3522" s="4"/>
      <c r="Z3522" s="4"/>
    </row>
    <row r="3523" ht="15.75" customHeight="1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 t="str">
        <f>IFERROR(__xludf.DUMMYFUNCTION("""COMPUTED_VALUE"""),"toilet repair call out")</f>
        <v>toilet repair call out</v>
      </c>
      <c r="U3523" s="4"/>
      <c r="V3523" s="4"/>
      <c r="W3523" s="4"/>
      <c r="X3523" s="4"/>
      <c r="Y3523" s="4"/>
      <c r="Z3523" s="4"/>
    </row>
    <row r="3524" ht="15.75" customHeight="1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 t="str">
        <f>IFERROR(__xludf.DUMMYFUNCTION("""COMPUTED_VALUE"""),"toilet repair cape town")</f>
        <v>toilet repair cape town</v>
      </c>
      <c r="U3524" s="4"/>
      <c r="V3524" s="4"/>
      <c r="W3524" s="4"/>
      <c r="X3524" s="4"/>
      <c r="Y3524" s="4"/>
      <c r="Z3524" s="4"/>
    </row>
    <row r="3525" ht="15.75" customHeight="1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 t="str">
        <f>IFERROR(__xludf.DUMMYFUNCTION("""COMPUTED_VALUE"""),"toilet repair commercial")</f>
        <v>toilet repair commercial</v>
      </c>
      <c r="U3525" s="4"/>
      <c r="V3525" s="4"/>
      <c r="W3525" s="4"/>
      <c r="X3525" s="4"/>
      <c r="Y3525" s="4"/>
      <c r="Z3525" s="4"/>
    </row>
    <row r="3526" ht="15.75" customHeight="1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 t="str">
        <f>IFERROR(__xludf.DUMMYFUNCTION("""COMPUTED_VALUE"""),"toilet repair company")</f>
        <v>toilet repair company</v>
      </c>
      <c r="U3526" s="4"/>
      <c r="V3526" s="4"/>
      <c r="W3526" s="4"/>
      <c r="X3526" s="4"/>
      <c r="Y3526" s="4"/>
      <c r="Z3526" s="4"/>
    </row>
    <row r="3527" ht="15.75" customHeight="1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 t="str">
        <f>IFERROR(__xludf.DUMMYFUNCTION("""COMPUTED_VALUE"""),"toilet repair cost")</f>
        <v>toilet repair cost</v>
      </c>
      <c r="U3527" s="4"/>
      <c r="V3527" s="4"/>
      <c r="W3527" s="4"/>
      <c r="X3527" s="4"/>
      <c r="Y3527" s="4"/>
      <c r="Z3527" s="4"/>
    </row>
    <row r="3528" ht="15.75" customHeight="1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 t="str">
        <f>IFERROR(__xludf.DUMMYFUNCTION("""COMPUTED_VALUE"""),"toilet repair emergency")</f>
        <v>toilet repair emergency</v>
      </c>
      <c r="U3528" s="4"/>
      <c r="V3528" s="4"/>
      <c r="W3528" s="4"/>
      <c r="X3528" s="4"/>
      <c r="Y3528" s="4"/>
      <c r="Z3528" s="4"/>
    </row>
    <row r="3529" ht="15.75" customHeight="1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 t="str">
        <f>IFERROR(__xludf.DUMMYFUNCTION("""COMPUTED_VALUE"""),"toilet repair fast")</f>
        <v>toilet repair fast</v>
      </c>
      <c r="U3529" s="4"/>
      <c r="V3529" s="4"/>
      <c r="W3529" s="4"/>
      <c r="X3529" s="4"/>
      <c r="Y3529" s="4"/>
      <c r="Z3529" s="4"/>
    </row>
    <row r="3530" ht="15.75" customHeight="1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 t="str">
        <f>IFERROR(__xludf.DUMMYFUNCTION("""COMPUTED_VALUE"""),"toilet repair local")</f>
        <v>toilet repair local</v>
      </c>
      <c r="U3530" s="4"/>
      <c r="V3530" s="4"/>
      <c r="W3530" s="4"/>
      <c r="X3530" s="4"/>
      <c r="Y3530" s="4"/>
      <c r="Z3530" s="4"/>
    </row>
    <row r="3531" ht="15.75" customHeight="1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 t="str">
        <f>IFERROR(__xludf.DUMMYFUNCTION("""COMPUTED_VALUE"""),"toilet repair near me")</f>
        <v>toilet repair near me</v>
      </c>
      <c r="U3531" s="4"/>
      <c r="V3531" s="4"/>
      <c r="W3531" s="4"/>
      <c r="X3531" s="4"/>
      <c r="Y3531" s="4"/>
      <c r="Z3531" s="4"/>
    </row>
    <row r="3532" ht="15.75" customHeight="1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 t="str">
        <f>IFERROR(__xludf.DUMMYFUNCTION("""COMPUTED_VALUE"""),"toilet repair plumber")</f>
        <v>toilet repair plumber</v>
      </c>
      <c r="U3532" s="4"/>
      <c r="V3532" s="4"/>
      <c r="W3532" s="4"/>
      <c r="X3532" s="4"/>
      <c r="Y3532" s="4"/>
      <c r="Z3532" s="4"/>
    </row>
    <row r="3533" ht="15.75" customHeight="1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 t="str">
        <f>IFERROR(__xludf.DUMMYFUNCTION("""COMPUTED_VALUE"""),"toilet repair professional")</f>
        <v>toilet repair professional</v>
      </c>
      <c r="U3533" s="4"/>
      <c r="V3533" s="4"/>
      <c r="W3533" s="4"/>
      <c r="X3533" s="4"/>
      <c r="Y3533" s="4"/>
      <c r="Z3533" s="4"/>
    </row>
    <row r="3534" ht="15.75" customHeight="1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 t="str">
        <f>IFERROR(__xludf.DUMMYFUNCTION("""COMPUTED_VALUE"""),"toilet repair quote")</f>
        <v>toilet repair quote</v>
      </c>
      <c r="U3534" s="4"/>
      <c r="V3534" s="4"/>
      <c r="W3534" s="4"/>
      <c r="X3534" s="4"/>
      <c r="Y3534" s="4"/>
      <c r="Z3534" s="4"/>
    </row>
    <row r="3535" ht="15.75" customHeight="1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 t="str">
        <f>IFERROR(__xludf.DUMMYFUNCTION("""COMPUTED_VALUE"""),"toilet repair reliable")</f>
        <v>toilet repair reliable</v>
      </c>
      <c r="U3535" s="4"/>
      <c r="V3535" s="4"/>
      <c r="W3535" s="4"/>
      <c r="X3535" s="4"/>
      <c r="Y3535" s="4"/>
      <c r="Z3535" s="4"/>
    </row>
    <row r="3536" ht="15.75" customHeight="1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 t="str">
        <f>IFERROR(__xludf.DUMMYFUNCTION("""COMPUTED_VALUE"""),"toilet repair residential")</f>
        <v>toilet repair residential</v>
      </c>
      <c r="U3536" s="4"/>
      <c r="V3536" s="4"/>
      <c r="W3536" s="4"/>
      <c r="X3536" s="4"/>
      <c r="Y3536" s="4"/>
      <c r="Z3536" s="4"/>
    </row>
    <row r="3537" ht="15.75" customHeight="1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 t="str">
        <f>IFERROR(__xludf.DUMMYFUNCTION("""COMPUTED_VALUE"""),"toilet repair same day")</f>
        <v>toilet repair same day</v>
      </c>
      <c r="U3537" s="4"/>
      <c r="V3537" s="4"/>
      <c r="W3537" s="4"/>
      <c r="X3537" s="4"/>
      <c r="Y3537" s="4"/>
      <c r="Z3537" s="4"/>
    </row>
    <row r="3538" ht="15.75" customHeight="1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 t="str">
        <f>IFERROR(__xludf.DUMMYFUNCTION("""COMPUTED_VALUE"""),"toilet repair service")</f>
        <v>toilet repair service</v>
      </c>
      <c r="U3538" s="4"/>
      <c r="V3538" s="4"/>
      <c r="W3538" s="4"/>
      <c r="X3538" s="4"/>
      <c r="Y3538" s="4"/>
      <c r="Z3538" s="4"/>
    </row>
    <row r="3539" ht="15.75" customHeight="1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 t="str">
        <f>IFERROR(__xludf.DUMMYFUNCTION("""COMPUTED_VALUE"""),"toilet repair urgent")</f>
        <v>toilet repair urgent</v>
      </c>
      <c r="U3539" s="4"/>
      <c r="V3539" s="4"/>
      <c r="W3539" s="4"/>
      <c r="X3539" s="4"/>
      <c r="Y3539" s="4"/>
      <c r="Z3539" s="4"/>
    </row>
    <row r="3540" ht="15.75" customHeight="1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 t="str">
        <f>IFERROR(__xludf.DUMMYFUNCTION("""COMPUTED_VALUE"""),"toilet repair weekend")</f>
        <v>toilet repair weekend</v>
      </c>
      <c r="U3540" s="4"/>
      <c r="V3540" s="4"/>
      <c r="W3540" s="4"/>
      <c r="X3540" s="4"/>
      <c r="Y3540" s="4"/>
      <c r="Z3540" s="4"/>
    </row>
    <row r="3541" ht="15.75" customHeight="1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 t="str">
        <f>IFERROR(__xludf.DUMMYFUNCTION("""COMPUTED_VALUE"""),"Tokai aircon repairs")</f>
        <v>Tokai aircon repairs</v>
      </c>
      <c r="U3541" s="4"/>
      <c r="V3541" s="4"/>
      <c r="W3541" s="4"/>
      <c r="X3541" s="4"/>
      <c r="Y3541" s="4"/>
      <c r="Z3541" s="4"/>
    </row>
    <row r="3542" ht="15.75" customHeight="1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 t="str">
        <f>IFERROR(__xludf.DUMMYFUNCTION("""COMPUTED_VALUE"""),"Tokai blocked drain plumber")</f>
        <v>Tokai blocked drain plumber</v>
      </c>
      <c r="U3542" s="4"/>
      <c r="V3542" s="4"/>
      <c r="W3542" s="4"/>
      <c r="X3542" s="4"/>
      <c r="Y3542" s="4"/>
      <c r="Z3542" s="4"/>
    </row>
    <row r="3543" ht="15.75" customHeight="1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 t="str">
        <f>IFERROR(__xludf.DUMMYFUNCTION("""COMPUTED_VALUE"""),"Tokai electrician")</f>
        <v>Tokai electrician</v>
      </c>
      <c r="U3543" s="4"/>
      <c r="V3543" s="4"/>
      <c r="W3543" s="4"/>
      <c r="X3543" s="4"/>
      <c r="Y3543" s="4"/>
      <c r="Z3543" s="4"/>
    </row>
    <row r="3544" ht="15.75" customHeight="1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 t="str">
        <f>IFERROR(__xludf.DUMMYFUNCTION("""COMPUTED_VALUE"""),"Tokai emergency plumber")</f>
        <v>Tokai emergency plumber</v>
      </c>
      <c r="U3544" s="4"/>
      <c r="V3544" s="4"/>
      <c r="W3544" s="4"/>
      <c r="X3544" s="4"/>
      <c r="Y3544" s="4"/>
      <c r="Z3544" s="4"/>
    </row>
    <row r="3545" ht="15.75" customHeight="1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 t="str">
        <f>IFERROR(__xludf.DUMMYFUNCTION("""COMPUTED_VALUE"""),"Tokai geyser repair")</f>
        <v>Tokai geyser repair</v>
      </c>
      <c r="U3545" s="4"/>
      <c r="V3545" s="4"/>
      <c r="W3545" s="4"/>
      <c r="X3545" s="4"/>
      <c r="Y3545" s="4"/>
      <c r="Z3545" s="4"/>
    </row>
    <row r="3546" ht="15.75" customHeight="1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 t="str">
        <f>IFERROR(__xludf.DUMMYFUNCTION("""COMPUTED_VALUE"""),"Tokai leak detection plumber")</f>
        <v>Tokai leak detection plumber</v>
      </c>
      <c r="U3546" s="4"/>
      <c r="V3546" s="4"/>
      <c r="W3546" s="4"/>
      <c r="X3546" s="4"/>
      <c r="Y3546" s="4"/>
      <c r="Z3546" s="4"/>
    </row>
    <row r="3547" ht="15.75" customHeight="1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 t="str">
        <f>IFERROR(__xludf.DUMMYFUNCTION("""COMPUTED_VALUE"""),"Tokai plumber")</f>
        <v>Tokai plumber</v>
      </c>
      <c r="U3547" s="4"/>
      <c r="V3547" s="4"/>
      <c r="W3547" s="4"/>
      <c r="X3547" s="4"/>
      <c r="Y3547" s="4"/>
      <c r="Z3547" s="4"/>
    </row>
    <row r="3548" ht="15.75" customHeight="1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 t="str">
        <f>IFERROR(__xludf.DUMMYFUNCTION("""COMPUTED_VALUE"""),"Tokai plumbers")</f>
        <v>Tokai plumbers</v>
      </c>
      <c r="U3548" s="4"/>
      <c r="V3548" s="4"/>
      <c r="W3548" s="4"/>
      <c r="X3548" s="4"/>
      <c r="Y3548" s="4"/>
      <c r="Z3548" s="4"/>
    </row>
    <row r="3549" ht="15.75" customHeight="1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 t="str">
        <f>IFERROR(__xludf.DUMMYFUNCTION("""COMPUTED_VALUE"""),"Tokai plumbing company")</f>
        <v>Tokai plumbing company</v>
      </c>
      <c r="U3549" s="4"/>
      <c r="V3549" s="4"/>
      <c r="W3549" s="4"/>
      <c r="X3549" s="4"/>
      <c r="Y3549" s="4"/>
      <c r="Z3549" s="4"/>
    </row>
    <row r="3550" ht="15.75" customHeight="1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 t="str">
        <f>IFERROR(__xludf.DUMMYFUNCTION("""COMPUTED_VALUE"""),"Tokai refrigeration services")</f>
        <v>Tokai refrigeration services</v>
      </c>
      <c r="U3550" s="4"/>
      <c r="V3550" s="4"/>
      <c r="W3550" s="4"/>
      <c r="X3550" s="4"/>
      <c r="Y3550" s="4"/>
      <c r="Z3550" s="4"/>
    </row>
    <row r="3551" ht="15.75" customHeight="1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 t="str">
        <f>IFERROR(__xludf.DUMMYFUNCTION("""COMPUTED_VALUE"""),"top rated absolute plumbing cape town")</f>
        <v>top rated absolute plumbing cape town</v>
      </c>
      <c r="U3551" s="4"/>
      <c r="V3551" s="4"/>
      <c r="W3551" s="4"/>
      <c r="X3551" s="4"/>
      <c r="Y3551" s="4"/>
      <c r="Z3551" s="4"/>
    </row>
    <row r="3552" ht="15.75" customHeight="1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 t="str">
        <f>IFERROR(__xludf.DUMMYFUNCTION("""COMPUTED_VALUE"""),"top rated aircon repair cape town")</f>
        <v>top rated aircon repair cape town</v>
      </c>
      <c r="U3552" s="4"/>
      <c r="V3552" s="4"/>
      <c r="W3552" s="4"/>
      <c r="X3552" s="4"/>
      <c r="Y3552" s="4"/>
      <c r="Z3552" s="4"/>
    </row>
    <row r="3553" ht="15.75" customHeight="1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 t="str">
        <f>IFERROR(__xludf.DUMMYFUNCTION("""COMPUTED_VALUE"""),"top rated bosman plumbers")</f>
        <v>top rated bosman plumbers</v>
      </c>
      <c r="U3553" s="4"/>
      <c r="V3553" s="4"/>
      <c r="W3553" s="4"/>
      <c r="X3553" s="4"/>
      <c r="Y3553" s="4"/>
      <c r="Z3553" s="4"/>
    </row>
    <row r="3554" ht="15.75" customHeight="1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 t="str">
        <f>IFERROR(__xludf.DUMMYFUNCTION("""COMPUTED_VALUE"""),"top rated commercial plumber")</f>
        <v>top rated commercial plumber</v>
      </c>
      <c r="U3554" s="4"/>
      <c r="V3554" s="4"/>
      <c r="W3554" s="4"/>
      <c r="X3554" s="4"/>
      <c r="Y3554" s="4"/>
      <c r="Z3554" s="4"/>
    </row>
    <row r="3555" ht="15.75" customHeight="1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 t="str">
        <f>IFERROR(__xludf.DUMMYFUNCTION("""COMPUTED_VALUE"""),"top rated drain surgeon cape town")</f>
        <v>top rated drain surgeon cape town</v>
      </c>
      <c r="U3555" s="4"/>
      <c r="V3555" s="4"/>
      <c r="W3555" s="4"/>
      <c r="X3555" s="4"/>
      <c r="Y3555" s="4"/>
      <c r="Z3555" s="4"/>
    </row>
    <row r="3556" ht="15.75" customHeight="1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 t="str">
        <f>IFERROR(__xludf.DUMMYFUNCTION("""COMPUTED_VALUE"""),"top rated electrician cape town")</f>
        <v>top rated electrician cape town</v>
      </c>
      <c r="U3556" s="4"/>
      <c r="V3556" s="4"/>
      <c r="W3556" s="4"/>
      <c r="X3556" s="4"/>
      <c r="Y3556" s="4"/>
      <c r="Z3556" s="4"/>
    </row>
    <row r="3557" ht="15.75" customHeight="1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 t="str">
        <f>IFERROR(__xludf.DUMMYFUNCTION("""COMPUTED_VALUE"""),"top rated emergency plumber cape town")</f>
        <v>top rated emergency plumber cape town</v>
      </c>
      <c r="U3557" s="4"/>
      <c r="V3557" s="4"/>
      <c r="W3557" s="4"/>
      <c r="X3557" s="4"/>
      <c r="Y3557" s="4"/>
      <c r="Z3557" s="4"/>
    </row>
    <row r="3558" ht="15.75" customHeight="1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 t="str">
        <f>IFERROR(__xludf.DUMMYFUNCTION("""COMPUTED_VALUE"""),"top rated maintenance plumber")</f>
        <v>top rated maintenance plumber</v>
      </c>
      <c r="U3558" s="4"/>
      <c r="V3558" s="4"/>
      <c r="W3558" s="4"/>
      <c r="X3558" s="4"/>
      <c r="Y3558" s="4"/>
      <c r="Z3558" s="4"/>
    </row>
    <row r="3559" ht="15.75" customHeight="1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 t="str">
        <f>IFERROR(__xludf.DUMMYFUNCTION("""COMPUTED_VALUE"""),"top rated plumber cape town")</f>
        <v>top rated plumber cape town</v>
      </c>
      <c r="U3559" s="4"/>
      <c r="V3559" s="4"/>
      <c r="W3559" s="4"/>
      <c r="X3559" s="4"/>
      <c r="Y3559" s="4"/>
      <c r="Z3559" s="4"/>
    </row>
    <row r="3560" ht="15.75" customHeight="1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 t="str">
        <f>IFERROR(__xludf.DUMMYFUNCTION("""COMPUTED_VALUE"""),"top rated plumber near me")</f>
        <v>top rated plumber near me</v>
      </c>
      <c r="U3560" s="4"/>
      <c r="V3560" s="4"/>
      <c r="W3560" s="4"/>
      <c r="X3560" s="4"/>
      <c r="Y3560" s="4"/>
      <c r="Z3560" s="4"/>
    </row>
    <row r="3561" ht="15.75" customHeight="1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 t="str">
        <f>IFERROR(__xludf.DUMMYFUNCTION("""COMPUTED_VALUE"""),"top rated plumbers cape town")</f>
        <v>top rated plumbers cape town</v>
      </c>
      <c r="U3561" s="4"/>
      <c r="V3561" s="4"/>
      <c r="W3561" s="4"/>
      <c r="X3561" s="4"/>
      <c r="Y3561" s="4"/>
      <c r="Z3561" s="4"/>
    </row>
    <row r="3562" ht="15.75" customHeight="1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 t="str">
        <f>IFERROR(__xludf.DUMMYFUNCTION("""COMPUTED_VALUE"""),"top rated plumbing company")</f>
        <v>top rated plumbing company</v>
      </c>
      <c r="U3562" s="4"/>
      <c r="V3562" s="4"/>
      <c r="W3562" s="4"/>
      <c r="X3562" s="4"/>
      <c r="Y3562" s="4"/>
      <c r="Z3562" s="4"/>
    </row>
    <row r="3563" ht="15.75" customHeight="1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 t="str">
        <f>IFERROR(__xludf.DUMMYFUNCTION("""COMPUTED_VALUE"""),"top rated plumbing company cape town")</f>
        <v>top rated plumbing company cape town</v>
      </c>
      <c r="U3563" s="4"/>
      <c r="V3563" s="4"/>
      <c r="W3563" s="4"/>
      <c r="X3563" s="4"/>
      <c r="Y3563" s="4"/>
      <c r="Z3563" s="4"/>
    </row>
    <row r="3564" ht="15.75" customHeight="1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 t="str">
        <f>IFERROR(__xludf.DUMMYFUNCTION("""COMPUTED_VALUE"""),"top rated plumbing contractors")</f>
        <v>top rated plumbing contractors</v>
      </c>
      <c r="U3564" s="4"/>
      <c r="V3564" s="4"/>
      <c r="W3564" s="4"/>
      <c r="X3564" s="4"/>
      <c r="Y3564" s="4"/>
      <c r="Z3564" s="4"/>
    </row>
    <row r="3565" ht="15.75" customHeight="1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 t="str">
        <f>IFERROR(__xludf.DUMMYFUNCTION("""COMPUTED_VALUE"""),"top rated plumbing inspection")</f>
        <v>top rated plumbing inspection</v>
      </c>
      <c r="U3565" s="4"/>
      <c r="V3565" s="4"/>
      <c r="W3565" s="4"/>
      <c r="X3565" s="4"/>
      <c r="Y3565" s="4"/>
      <c r="Z3565" s="4"/>
    </row>
    <row r="3566" ht="15.75" customHeight="1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 t="str">
        <f>IFERROR(__xludf.DUMMYFUNCTION("""COMPUTED_VALUE"""),"top rated plumbing installation")</f>
        <v>top rated plumbing installation</v>
      </c>
      <c r="U3566" s="4"/>
      <c r="V3566" s="4"/>
      <c r="W3566" s="4"/>
      <c r="X3566" s="4"/>
      <c r="Y3566" s="4"/>
      <c r="Z3566" s="4"/>
    </row>
    <row r="3567" ht="15.75" customHeight="1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 t="str">
        <f>IFERROR(__xludf.DUMMYFUNCTION("""COMPUTED_VALUE"""),"top rated plumbing repairs")</f>
        <v>top rated plumbing repairs</v>
      </c>
      <c r="U3567" s="4"/>
      <c r="V3567" s="4"/>
      <c r="W3567" s="4"/>
      <c r="X3567" s="4"/>
      <c r="Y3567" s="4"/>
      <c r="Z3567" s="4"/>
    </row>
    <row r="3568" ht="15.75" customHeight="1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 t="str">
        <f>IFERROR(__xludf.DUMMYFUNCTION("""COMPUTED_VALUE"""),"top rated plumbing services")</f>
        <v>top rated plumbing services</v>
      </c>
      <c r="U3568" s="4"/>
      <c r="V3568" s="4"/>
      <c r="W3568" s="4"/>
      <c r="X3568" s="4"/>
      <c r="Y3568" s="4"/>
      <c r="Z3568" s="4"/>
    </row>
    <row r="3569" ht="15.75" customHeight="1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 t="str">
        <f>IFERROR(__xludf.DUMMYFUNCTION("""COMPUTED_VALUE"""),"top rated residential plumber")</f>
        <v>top rated residential plumber</v>
      </c>
      <c r="U3569" s="4"/>
      <c r="V3569" s="4"/>
      <c r="W3569" s="4"/>
      <c r="X3569" s="4"/>
      <c r="Y3569" s="4"/>
      <c r="Z3569" s="4"/>
    </row>
    <row r="3570" ht="15.75" customHeight="1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 t="str">
        <f>IFERROR(__xludf.DUMMYFUNCTION("""COMPUTED_VALUE"""),"top rated schmidhauser plumbing")</f>
        <v>top rated schmidhauser plumbing</v>
      </c>
      <c r="U3570" s="4"/>
      <c r="V3570" s="4"/>
      <c r="W3570" s="4"/>
      <c r="X3570" s="4"/>
      <c r="Y3570" s="4"/>
      <c r="Z3570" s="4"/>
    </row>
    <row r="3571" ht="15.75" customHeight="1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 t="str">
        <f>IFERROR(__xludf.DUMMYFUNCTION("""COMPUTED_VALUE"""),"townhouse air conditioning services")</f>
        <v>townhouse air conditioning services</v>
      </c>
      <c r="U3571" s="4"/>
      <c r="V3571" s="4"/>
      <c r="W3571" s="4"/>
      <c r="X3571" s="4"/>
      <c r="Y3571" s="4"/>
      <c r="Z3571" s="4"/>
    </row>
    <row r="3572" ht="15.75" customHeight="1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 t="str">
        <f>IFERROR(__xludf.DUMMYFUNCTION("""COMPUTED_VALUE"""),"townhouse drain cleaning")</f>
        <v>townhouse drain cleaning</v>
      </c>
      <c r="U3572" s="4"/>
      <c r="V3572" s="4"/>
      <c r="W3572" s="4"/>
      <c r="X3572" s="4"/>
      <c r="Y3572" s="4"/>
      <c r="Z3572" s="4"/>
    </row>
    <row r="3573" ht="15.75" customHeight="1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 t="str">
        <f>IFERROR(__xludf.DUMMYFUNCTION("""COMPUTED_VALUE"""),"townhouse electrical repairs")</f>
        <v>townhouse electrical repairs</v>
      </c>
      <c r="U3573" s="4"/>
      <c r="V3573" s="4"/>
      <c r="W3573" s="4"/>
      <c r="X3573" s="4"/>
      <c r="Y3573" s="4"/>
      <c r="Z3573" s="4"/>
    </row>
    <row r="3574" ht="15.75" customHeight="1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 t="str">
        <f>IFERROR(__xludf.DUMMYFUNCTION("""COMPUTED_VALUE"""),"townhouse emergency plumbing")</f>
        <v>townhouse emergency plumbing</v>
      </c>
      <c r="U3574" s="4"/>
      <c r="V3574" s="4"/>
      <c r="W3574" s="4"/>
      <c r="X3574" s="4"/>
      <c r="Y3574" s="4"/>
      <c r="Z3574" s="4"/>
    </row>
    <row r="3575" ht="15.75" customHeight="1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 t="str">
        <f>IFERROR(__xludf.DUMMYFUNCTION("""COMPUTED_VALUE"""),"townhouse geyser repairs")</f>
        <v>townhouse geyser repairs</v>
      </c>
      <c r="U3575" s="4"/>
      <c r="V3575" s="4"/>
      <c r="W3575" s="4"/>
      <c r="X3575" s="4"/>
      <c r="Y3575" s="4"/>
      <c r="Z3575" s="4"/>
    </row>
    <row r="3576" ht="15.75" customHeight="1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 t="str">
        <f>IFERROR(__xludf.DUMMYFUNCTION("""COMPUTED_VALUE"""),"townhouse leak detection")</f>
        <v>townhouse leak detection</v>
      </c>
      <c r="U3576" s="4"/>
      <c r="V3576" s="4"/>
      <c r="W3576" s="4"/>
      <c r="X3576" s="4"/>
      <c r="Y3576" s="4"/>
      <c r="Z3576" s="4"/>
    </row>
    <row r="3577" ht="15.75" customHeight="1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 t="str">
        <f>IFERROR(__xludf.DUMMYFUNCTION("""COMPUTED_VALUE"""),"townhouse maintenance plumber")</f>
        <v>townhouse maintenance plumber</v>
      </c>
      <c r="U3577" s="4"/>
      <c r="V3577" s="4"/>
      <c r="W3577" s="4"/>
      <c r="X3577" s="4"/>
      <c r="Y3577" s="4"/>
      <c r="Z3577" s="4"/>
    </row>
    <row r="3578" ht="15.75" customHeight="1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 t="str">
        <f>IFERROR(__xludf.DUMMYFUNCTION("""COMPUTED_VALUE"""),"townhouse plumbing company")</f>
        <v>townhouse plumbing company</v>
      </c>
      <c r="U3578" s="4"/>
      <c r="V3578" s="4"/>
      <c r="W3578" s="4"/>
      <c r="X3578" s="4"/>
      <c r="Y3578" s="4"/>
      <c r="Z3578" s="4"/>
    </row>
    <row r="3579" ht="15.75" customHeight="1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 t="str">
        <f>IFERROR(__xludf.DUMMYFUNCTION("""COMPUTED_VALUE"""),"townhouse plumbing services")</f>
        <v>townhouse plumbing services</v>
      </c>
      <c r="U3579" s="4"/>
      <c r="V3579" s="4"/>
      <c r="W3579" s="4"/>
      <c r="X3579" s="4"/>
      <c r="Y3579" s="4"/>
      <c r="Z3579" s="4"/>
    </row>
    <row r="3580" ht="15.75" customHeight="1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 t="str">
        <f>IFERROR(__xludf.DUMMYFUNCTION("""COMPUTED_VALUE"""),"townhouse refrigeration services")</f>
        <v>townhouse refrigeration services</v>
      </c>
      <c r="U3580" s="4"/>
      <c r="V3580" s="4"/>
      <c r="W3580" s="4"/>
      <c r="X3580" s="4"/>
      <c r="Y3580" s="4"/>
      <c r="Z3580" s="4"/>
    </row>
    <row r="3581" ht="15.75" customHeight="1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 t="str">
        <f>IFERROR(__xludf.DUMMYFUNCTION("""COMPUTED_VALUE"""),"trusted absolute plumbing cape town")</f>
        <v>trusted absolute plumbing cape town</v>
      </c>
      <c r="U3581" s="4"/>
      <c r="V3581" s="4"/>
      <c r="W3581" s="4"/>
      <c r="X3581" s="4"/>
      <c r="Y3581" s="4"/>
      <c r="Z3581" s="4"/>
    </row>
    <row r="3582" ht="15.75" customHeight="1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 t="str">
        <f>IFERROR(__xludf.DUMMYFUNCTION("""COMPUTED_VALUE"""),"trusted aircon repair cape town")</f>
        <v>trusted aircon repair cape town</v>
      </c>
      <c r="U3582" s="4"/>
      <c r="V3582" s="4"/>
      <c r="W3582" s="4"/>
      <c r="X3582" s="4"/>
      <c r="Y3582" s="4"/>
      <c r="Z3582" s="4"/>
    </row>
    <row r="3583" ht="15.75" customHeight="1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 t="str">
        <f>IFERROR(__xludf.DUMMYFUNCTION("""COMPUTED_VALUE"""),"trusted bosman plumbers")</f>
        <v>trusted bosman plumbers</v>
      </c>
      <c r="U3583" s="4"/>
      <c r="V3583" s="4"/>
      <c r="W3583" s="4"/>
      <c r="X3583" s="4"/>
      <c r="Y3583" s="4"/>
      <c r="Z3583" s="4"/>
    </row>
    <row r="3584" ht="15.75" customHeight="1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 t="str">
        <f>IFERROR(__xludf.DUMMYFUNCTION("""COMPUTED_VALUE"""),"trusted commercial plumber")</f>
        <v>trusted commercial plumber</v>
      </c>
      <c r="U3584" s="4"/>
      <c r="V3584" s="4"/>
      <c r="W3584" s="4"/>
      <c r="X3584" s="4"/>
      <c r="Y3584" s="4"/>
      <c r="Z3584" s="4"/>
    </row>
    <row r="3585" ht="15.75" customHeight="1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 t="str">
        <f>IFERROR(__xludf.DUMMYFUNCTION("""COMPUTED_VALUE"""),"trusted drain surgeon cape town")</f>
        <v>trusted drain surgeon cape town</v>
      </c>
      <c r="U3585" s="4"/>
      <c r="V3585" s="4"/>
      <c r="W3585" s="4"/>
      <c r="X3585" s="4"/>
      <c r="Y3585" s="4"/>
      <c r="Z3585" s="4"/>
    </row>
    <row r="3586" ht="15.75" customHeight="1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 t="str">
        <f>IFERROR(__xludf.DUMMYFUNCTION("""COMPUTED_VALUE"""),"trusted electrician cape town")</f>
        <v>trusted electrician cape town</v>
      </c>
      <c r="U3586" s="4"/>
      <c r="V3586" s="4"/>
      <c r="W3586" s="4"/>
      <c r="X3586" s="4"/>
      <c r="Y3586" s="4"/>
      <c r="Z3586" s="4"/>
    </row>
    <row r="3587" ht="15.75" customHeight="1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 t="str">
        <f>IFERROR(__xludf.DUMMYFUNCTION("""COMPUTED_VALUE"""),"trusted emergency plumber cape town")</f>
        <v>trusted emergency plumber cape town</v>
      </c>
      <c r="U3587" s="4"/>
      <c r="V3587" s="4"/>
      <c r="W3587" s="4"/>
      <c r="X3587" s="4"/>
      <c r="Y3587" s="4"/>
      <c r="Z3587" s="4"/>
    </row>
    <row r="3588" ht="15.75" customHeight="1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 t="str">
        <f>IFERROR(__xludf.DUMMYFUNCTION("""COMPUTED_VALUE"""),"trusted maintenance plumber")</f>
        <v>trusted maintenance plumber</v>
      </c>
      <c r="U3588" s="4"/>
      <c r="V3588" s="4"/>
      <c r="W3588" s="4"/>
      <c r="X3588" s="4"/>
      <c r="Y3588" s="4"/>
      <c r="Z3588" s="4"/>
    </row>
    <row r="3589" ht="15.75" customHeight="1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 t="str">
        <f>IFERROR(__xludf.DUMMYFUNCTION("""COMPUTED_VALUE"""),"trusted plumber cape town")</f>
        <v>trusted plumber cape town</v>
      </c>
      <c r="U3589" s="4"/>
      <c r="V3589" s="4"/>
      <c r="W3589" s="4"/>
      <c r="X3589" s="4"/>
      <c r="Y3589" s="4"/>
      <c r="Z3589" s="4"/>
    </row>
    <row r="3590" ht="15.75" customHeight="1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 t="str">
        <f>IFERROR(__xludf.DUMMYFUNCTION("""COMPUTED_VALUE"""),"trusted plumber near me")</f>
        <v>trusted plumber near me</v>
      </c>
      <c r="U3590" s="4"/>
      <c r="V3590" s="4"/>
      <c r="W3590" s="4"/>
      <c r="X3590" s="4"/>
      <c r="Y3590" s="4"/>
      <c r="Z3590" s="4"/>
    </row>
    <row r="3591" ht="15.75" customHeight="1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 t="str">
        <f>IFERROR(__xludf.DUMMYFUNCTION("""COMPUTED_VALUE"""),"trusted plumbers cape town")</f>
        <v>trusted plumbers cape town</v>
      </c>
      <c r="U3591" s="4"/>
      <c r="V3591" s="4"/>
      <c r="W3591" s="4"/>
      <c r="X3591" s="4"/>
      <c r="Y3591" s="4"/>
      <c r="Z3591" s="4"/>
    </row>
    <row r="3592" ht="15.75" customHeight="1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 t="str">
        <f>IFERROR(__xludf.DUMMYFUNCTION("""COMPUTED_VALUE"""),"trusted plumbing company")</f>
        <v>trusted plumbing company</v>
      </c>
      <c r="U3592" s="4"/>
      <c r="V3592" s="4"/>
      <c r="W3592" s="4"/>
      <c r="X3592" s="4"/>
      <c r="Y3592" s="4"/>
      <c r="Z3592" s="4"/>
    </row>
    <row r="3593" ht="15.75" customHeight="1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 t="str">
        <f>IFERROR(__xludf.DUMMYFUNCTION("""COMPUTED_VALUE"""),"trusted plumbing company cape town")</f>
        <v>trusted plumbing company cape town</v>
      </c>
      <c r="U3593" s="4"/>
      <c r="V3593" s="4"/>
      <c r="W3593" s="4"/>
      <c r="X3593" s="4"/>
      <c r="Y3593" s="4"/>
      <c r="Z3593" s="4"/>
    </row>
    <row r="3594" ht="15.75" customHeight="1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 t="str">
        <f>IFERROR(__xludf.DUMMYFUNCTION("""COMPUTED_VALUE"""),"trusted plumbing contractors")</f>
        <v>trusted plumbing contractors</v>
      </c>
      <c r="U3594" s="4"/>
      <c r="V3594" s="4"/>
      <c r="W3594" s="4"/>
      <c r="X3594" s="4"/>
      <c r="Y3594" s="4"/>
      <c r="Z3594" s="4"/>
    </row>
    <row r="3595" ht="15.75" customHeight="1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 t="str">
        <f>IFERROR(__xludf.DUMMYFUNCTION("""COMPUTED_VALUE"""),"trusted plumbing inspection")</f>
        <v>trusted plumbing inspection</v>
      </c>
      <c r="U3595" s="4"/>
      <c r="V3595" s="4"/>
      <c r="W3595" s="4"/>
      <c r="X3595" s="4"/>
      <c r="Y3595" s="4"/>
      <c r="Z3595" s="4"/>
    </row>
    <row r="3596" ht="15.75" customHeight="1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 t="str">
        <f>IFERROR(__xludf.DUMMYFUNCTION("""COMPUTED_VALUE"""),"trusted plumbing installation")</f>
        <v>trusted plumbing installation</v>
      </c>
      <c r="U3596" s="4"/>
      <c r="V3596" s="4"/>
      <c r="W3596" s="4"/>
      <c r="X3596" s="4"/>
      <c r="Y3596" s="4"/>
      <c r="Z3596" s="4"/>
    </row>
    <row r="3597" ht="15.75" customHeight="1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 t="str">
        <f>IFERROR(__xludf.DUMMYFUNCTION("""COMPUTED_VALUE"""),"trusted plumbing repairs")</f>
        <v>trusted plumbing repairs</v>
      </c>
      <c r="U3597" s="4"/>
      <c r="V3597" s="4"/>
      <c r="W3597" s="4"/>
      <c r="X3597" s="4"/>
      <c r="Y3597" s="4"/>
      <c r="Z3597" s="4"/>
    </row>
    <row r="3598" ht="15.75" customHeight="1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 t="str">
        <f>IFERROR(__xludf.DUMMYFUNCTION("""COMPUTED_VALUE"""),"trusted plumbing services")</f>
        <v>trusted plumbing services</v>
      </c>
      <c r="U3598" s="4"/>
      <c r="V3598" s="4"/>
      <c r="W3598" s="4"/>
      <c r="X3598" s="4"/>
      <c r="Y3598" s="4"/>
      <c r="Z3598" s="4"/>
    </row>
    <row r="3599" ht="15.75" customHeight="1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 t="str">
        <f>IFERROR(__xludf.DUMMYFUNCTION("""COMPUTED_VALUE"""),"trusted residential plumber")</f>
        <v>trusted residential plumber</v>
      </c>
      <c r="U3599" s="4"/>
      <c r="V3599" s="4"/>
      <c r="W3599" s="4"/>
      <c r="X3599" s="4"/>
      <c r="Y3599" s="4"/>
      <c r="Z3599" s="4"/>
    </row>
    <row r="3600" ht="15.75" customHeight="1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 t="str">
        <f>IFERROR(__xludf.DUMMYFUNCTION("""COMPUTED_VALUE"""),"trusted schmidhauser plumbing")</f>
        <v>trusted schmidhauser plumbing</v>
      </c>
      <c r="U3600" s="4"/>
      <c r="V3600" s="4"/>
      <c r="W3600" s="4"/>
      <c r="X3600" s="4"/>
      <c r="Y3600" s="4"/>
      <c r="Z3600" s="4"/>
    </row>
    <row r="3601" ht="15.75" customHeight="1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 t="str">
        <f>IFERROR(__xludf.DUMMYFUNCTION("""COMPUTED_VALUE"""),"urgent 24 hour plumber")</f>
        <v>urgent 24 hour plumber</v>
      </c>
      <c r="U3601" s="4"/>
      <c r="V3601" s="4"/>
      <c r="W3601" s="4"/>
      <c r="X3601" s="4"/>
      <c r="Y3601" s="4"/>
      <c r="Z3601" s="4"/>
    </row>
    <row r="3602" ht="15.75" customHeight="1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 t="str">
        <f>IFERROR(__xludf.DUMMYFUNCTION("""COMPUTED_VALUE"""),"urgent bathroom plumbing repair")</f>
        <v>urgent bathroom plumbing repair</v>
      </c>
      <c r="U3602" s="4"/>
      <c r="V3602" s="4"/>
      <c r="W3602" s="4"/>
      <c r="X3602" s="4"/>
      <c r="Y3602" s="4"/>
      <c r="Z3602" s="4"/>
    </row>
    <row r="3603" ht="15.75" customHeight="1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 t="str">
        <f>IFERROR(__xludf.DUMMYFUNCTION("""COMPUTED_VALUE"""),"urgent blocked toilet plumber")</f>
        <v>urgent blocked toilet plumber</v>
      </c>
      <c r="U3603" s="4"/>
      <c r="V3603" s="4"/>
      <c r="W3603" s="4"/>
      <c r="X3603" s="4"/>
      <c r="Y3603" s="4"/>
      <c r="Z3603" s="4"/>
    </row>
    <row r="3604" ht="15.75" customHeight="1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 t="str">
        <f>IFERROR(__xludf.DUMMYFUNCTION("""COMPUTED_VALUE"""),"urgent burst pipe repair")</f>
        <v>urgent burst pipe repair</v>
      </c>
      <c r="U3604" s="4"/>
      <c r="V3604" s="4"/>
      <c r="W3604" s="4"/>
      <c r="X3604" s="4"/>
      <c r="Y3604" s="4"/>
      <c r="Z3604" s="4"/>
    </row>
    <row r="3605" ht="15.75" customHeight="1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 t="str">
        <f>IFERROR(__xludf.DUMMYFUNCTION("""COMPUTED_VALUE"""),"urgent emergency plumber")</f>
        <v>urgent emergency plumber</v>
      </c>
      <c r="U3605" s="4"/>
      <c r="V3605" s="4"/>
      <c r="W3605" s="4"/>
      <c r="X3605" s="4"/>
      <c r="Y3605" s="4"/>
      <c r="Z3605" s="4"/>
    </row>
    <row r="3606" ht="15.75" customHeight="1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 t="str">
        <f>IFERROR(__xludf.DUMMYFUNCTION("""COMPUTED_VALUE"""),"urgent kitchen plumbing repair")</f>
        <v>urgent kitchen plumbing repair</v>
      </c>
      <c r="U3606" s="4"/>
      <c r="V3606" s="4"/>
      <c r="W3606" s="4"/>
      <c r="X3606" s="4"/>
      <c r="Y3606" s="4"/>
      <c r="Z3606" s="4"/>
    </row>
    <row r="3607" ht="15.75" customHeight="1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 t="str">
        <f>IFERROR(__xludf.DUMMYFUNCTION("""COMPUTED_VALUE"""),"urgent leaking pipe repair")</f>
        <v>urgent leaking pipe repair</v>
      </c>
      <c r="U3607" s="4"/>
      <c r="V3607" s="4"/>
      <c r="W3607" s="4"/>
      <c r="X3607" s="4"/>
      <c r="Y3607" s="4"/>
      <c r="Z3607" s="4"/>
    </row>
    <row r="3608" ht="15.75" customHeight="1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 t="str">
        <f>IFERROR(__xludf.DUMMYFUNCTION("""COMPUTED_VALUE"""),"urgent leaking tap repair")</f>
        <v>urgent leaking tap repair</v>
      </c>
      <c r="U3608" s="4"/>
      <c r="V3608" s="4"/>
      <c r="W3608" s="4"/>
      <c r="X3608" s="4"/>
      <c r="Y3608" s="4"/>
      <c r="Z3608" s="4"/>
    </row>
    <row r="3609" ht="15.75" customHeight="1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 t="str">
        <f>IFERROR(__xludf.DUMMYFUNCTION("""COMPUTED_VALUE"""),"urgent toilet repair")</f>
        <v>urgent toilet repair</v>
      </c>
      <c r="U3609" s="4"/>
      <c r="V3609" s="4"/>
      <c r="W3609" s="4"/>
      <c r="X3609" s="4"/>
      <c r="Y3609" s="4"/>
      <c r="Z3609" s="4"/>
    </row>
    <row r="3610" ht="15.75" customHeight="1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 t="str">
        <f>IFERROR(__xludf.DUMMYFUNCTION("""COMPUTED_VALUE"""),"urgent water leak repair")</f>
        <v>urgent water leak repair</v>
      </c>
      <c r="U3610" s="4"/>
      <c r="V3610" s="4"/>
      <c r="W3610" s="4"/>
      <c r="X3610" s="4"/>
      <c r="Y3610" s="4"/>
      <c r="Z3610" s="4"/>
    </row>
    <row r="3611" ht="15.75" customHeight="1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 t="str">
        <f>IFERROR(__xludf.DUMMYFUNCTION("""COMPUTED_VALUE"""),"vs absolute plumbing cape town")</f>
        <v>vs absolute plumbing cape town</v>
      </c>
      <c r="U3611" s="4"/>
      <c r="V3611" s="4"/>
      <c r="W3611" s="4"/>
      <c r="X3611" s="4"/>
      <c r="Y3611" s="4"/>
      <c r="Z3611" s="4"/>
    </row>
    <row r="3612" ht="15.75" customHeight="1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 t="str">
        <f>IFERROR(__xludf.DUMMYFUNCTION("""COMPUTED_VALUE"""),"vs aircon repair cape town")</f>
        <v>vs aircon repair cape town</v>
      </c>
      <c r="U3612" s="4"/>
      <c r="V3612" s="4"/>
      <c r="W3612" s="4"/>
      <c r="X3612" s="4"/>
      <c r="Y3612" s="4"/>
      <c r="Z3612" s="4"/>
    </row>
    <row r="3613" ht="15.75" customHeight="1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 t="str">
        <f>IFERROR(__xludf.DUMMYFUNCTION("""COMPUTED_VALUE"""),"vs bosman plumbers")</f>
        <v>vs bosman plumbers</v>
      </c>
      <c r="U3613" s="4"/>
      <c r="V3613" s="4"/>
      <c r="W3613" s="4"/>
      <c r="X3613" s="4"/>
      <c r="Y3613" s="4"/>
      <c r="Z3613" s="4"/>
    </row>
    <row r="3614" ht="15.75" customHeight="1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 t="str">
        <f>IFERROR(__xludf.DUMMYFUNCTION("""COMPUTED_VALUE"""),"vs drain surgeon cape town")</f>
        <v>vs drain surgeon cape town</v>
      </c>
      <c r="U3614" s="4"/>
      <c r="V3614" s="4"/>
      <c r="W3614" s="4"/>
      <c r="X3614" s="4"/>
      <c r="Y3614" s="4"/>
      <c r="Z3614" s="4"/>
    </row>
    <row r="3615" ht="15.75" customHeight="1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 t="str">
        <f>IFERROR(__xludf.DUMMYFUNCTION("""COMPUTED_VALUE"""),"vs electrician cape town")</f>
        <v>vs electrician cape town</v>
      </c>
      <c r="U3615" s="4"/>
      <c r="V3615" s="4"/>
      <c r="W3615" s="4"/>
      <c r="X3615" s="4"/>
      <c r="Y3615" s="4"/>
      <c r="Z3615" s="4"/>
    </row>
    <row r="3616" ht="15.75" customHeight="1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 t="str">
        <f>IFERROR(__xludf.DUMMYFUNCTION("""COMPUTED_VALUE"""),"vs emergency plumber cape town")</f>
        <v>vs emergency plumber cape town</v>
      </c>
      <c r="U3616" s="4"/>
      <c r="V3616" s="4"/>
      <c r="W3616" s="4"/>
      <c r="X3616" s="4"/>
      <c r="Y3616" s="4"/>
      <c r="Z3616" s="4"/>
    </row>
    <row r="3617" ht="15.75" customHeight="1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 t="str">
        <f>IFERROR(__xludf.DUMMYFUNCTION("""COMPUTED_VALUE"""),"vs plumber near me")</f>
        <v>vs plumber near me</v>
      </c>
      <c r="U3617" s="4"/>
      <c r="V3617" s="4"/>
      <c r="W3617" s="4"/>
      <c r="X3617" s="4"/>
      <c r="Y3617" s="4"/>
      <c r="Z3617" s="4"/>
    </row>
    <row r="3618" ht="15.75" customHeight="1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 t="str">
        <f>IFERROR(__xludf.DUMMYFUNCTION("""COMPUTED_VALUE"""),"vs plumbers cape town")</f>
        <v>vs plumbers cape town</v>
      </c>
      <c r="U3618" s="4"/>
      <c r="V3618" s="4"/>
      <c r="W3618" s="4"/>
      <c r="X3618" s="4"/>
      <c r="Y3618" s="4"/>
      <c r="Z3618" s="4"/>
    </row>
    <row r="3619" ht="15.75" customHeight="1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 t="str">
        <f>IFERROR(__xludf.DUMMYFUNCTION("""COMPUTED_VALUE"""),"vs plumbing company cape town")</f>
        <v>vs plumbing company cape town</v>
      </c>
      <c r="U3619" s="4"/>
      <c r="V3619" s="4"/>
      <c r="W3619" s="4"/>
      <c r="X3619" s="4"/>
      <c r="Y3619" s="4"/>
      <c r="Z3619" s="4"/>
    </row>
    <row r="3620" ht="15.75" customHeight="1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 t="str">
        <f>IFERROR(__xludf.DUMMYFUNCTION("""COMPUTED_VALUE"""),"vs schmidhauser plumbing")</f>
        <v>vs schmidhauser plumbing</v>
      </c>
      <c r="U3620" s="4"/>
      <c r="V3620" s="4"/>
      <c r="W3620" s="4"/>
      <c r="X3620" s="4"/>
      <c r="Y3620" s="4"/>
      <c r="Z3620" s="4"/>
    </row>
    <row r="3621" ht="15.75" customHeight="1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 t="str">
        <f>IFERROR(__xludf.DUMMYFUNCTION("""COMPUTED_VALUE"""),"water leak detection affordable")</f>
        <v>water leak detection affordable</v>
      </c>
      <c r="U3621" s="4"/>
      <c r="V3621" s="4"/>
      <c r="W3621" s="4"/>
      <c r="X3621" s="4"/>
      <c r="Y3621" s="4"/>
      <c r="Z3621" s="4"/>
    </row>
    <row r="3622" ht="15.75" customHeight="1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 t="str">
        <f>IFERROR(__xludf.DUMMYFUNCTION("""COMPUTED_VALUE"""),"water leak detection best")</f>
        <v>water leak detection best</v>
      </c>
      <c r="U3622" s="4"/>
      <c r="V3622" s="4"/>
      <c r="W3622" s="4"/>
      <c r="X3622" s="4"/>
      <c r="Y3622" s="4"/>
      <c r="Z3622" s="4"/>
    </row>
    <row r="3623" ht="15.75" customHeight="1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 t="str">
        <f>IFERROR(__xludf.DUMMYFUNCTION("""COMPUTED_VALUE"""),"water leak detection cape town")</f>
        <v>water leak detection cape town</v>
      </c>
      <c r="U3623" s="4"/>
      <c r="V3623" s="4"/>
      <c r="W3623" s="4"/>
      <c r="X3623" s="4"/>
      <c r="Y3623" s="4"/>
      <c r="Z3623" s="4"/>
    </row>
    <row r="3624" ht="15.75" customHeight="1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 t="str">
        <f>IFERROR(__xludf.DUMMYFUNCTION("""COMPUTED_VALUE"""),"water leak detection CCTV")</f>
        <v>water leak detection CCTV</v>
      </c>
      <c r="U3624" s="4"/>
      <c r="V3624" s="4"/>
      <c r="W3624" s="4"/>
      <c r="X3624" s="4"/>
      <c r="Y3624" s="4"/>
      <c r="Z3624" s="4"/>
    </row>
    <row r="3625" ht="15.75" customHeight="1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 t="str">
        <f>IFERROR(__xludf.DUMMYFUNCTION("""COMPUTED_VALUE"""),"water leak detection commercial")</f>
        <v>water leak detection commercial</v>
      </c>
      <c r="U3625" s="4"/>
      <c r="V3625" s="4"/>
      <c r="W3625" s="4"/>
      <c r="X3625" s="4"/>
      <c r="Y3625" s="4"/>
      <c r="Z3625" s="4"/>
    </row>
    <row r="3626" ht="15.75" customHeight="1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 t="str">
        <f>IFERROR(__xludf.DUMMYFUNCTION("""COMPUTED_VALUE"""),"water leak detection cost")</f>
        <v>water leak detection cost</v>
      </c>
      <c r="U3626" s="4"/>
      <c r="V3626" s="4"/>
      <c r="W3626" s="4"/>
      <c r="X3626" s="4"/>
      <c r="Y3626" s="4"/>
      <c r="Z3626" s="4"/>
    </row>
    <row r="3627" ht="15.75" customHeight="1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 t="str">
        <f>IFERROR(__xludf.DUMMYFUNCTION("""COMPUTED_VALUE"""),"water leak detection emergency")</f>
        <v>water leak detection emergency</v>
      </c>
      <c r="U3627" s="4"/>
      <c r="V3627" s="4"/>
      <c r="W3627" s="4"/>
      <c r="X3627" s="4"/>
      <c r="Y3627" s="4"/>
      <c r="Z3627" s="4"/>
    </row>
    <row r="3628" ht="15.75" customHeight="1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 t="str">
        <f>IFERROR(__xludf.DUMMYFUNCTION("""COMPUTED_VALUE"""),"water leak detection high pressure jetting")</f>
        <v>water leak detection high pressure jetting</v>
      </c>
      <c r="U3628" s="4"/>
      <c r="V3628" s="4"/>
      <c r="W3628" s="4"/>
      <c r="X3628" s="4"/>
      <c r="Y3628" s="4"/>
      <c r="Z3628" s="4"/>
    </row>
    <row r="3629" ht="15.75" customHeight="1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 t="str">
        <f>IFERROR(__xludf.DUMMYFUNCTION("""COMPUTED_VALUE"""),"water leak detection installation")</f>
        <v>water leak detection installation</v>
      </c>
      <c r="U3629" s="4"/>
      <c r="V3629" s="4"/>
      <c r="W3629" s="4"/>
      <c r="X3629" s="4"/>
      <c r="Y3629" s="4"/>
      <c r="Z3629" s="4"/>
    </row>
    <row r="3630" ht="15.75" customHeight="1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 t="str">
        <f>IFERROR(__xludf.DUMMYFUNCTION("""COMPUTED_VALUE"""),"water leak detection near me")</f>
        <v>water leak detection near me</v>
      </c>
      <c r="U3630" s="4"/>
      <c r="V3630" s="4"/>
      <c r="W3630" s="4"/>
      <c r="X3630" s="4"/>
      <c r="Y3630" s="4"/>
      <c r="Z3630" s="4"/>
    </row>
    <row r="3631" ht="15.75" customHeight="1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 t="str">
        <f>IFERROR(__xludf.DUMMYFUNCTION("""COMPUTED_VALUE"""),"water leak detection plumber")</f>
        <v>water leak detection plumber</v>
      </c>
      <c r="U3631" s="4"/>
      <c r="V3631" s="4"/>
      <c r="W3631" s="4"/>
      <c r="X3631" s="4"/>
      <c r="Y3631" s="4"/>
      <c r="Z3631" s="4"/>
    </row>
    <row r="3632" ht="15.75" customHeight="1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 t="str">
        <f>IFERROR(__xludf.DUMMYFUNCTION("""COMPUTED_VALUE"""),"water leak detection plumbing company")</f>
        <v>water leak detection plumbing company</v>
      </c>
      <c r="U3632" s="4"/>
      <c r="V3632" s="4"/>
      <c r="W3632" s="4"/>
      <c r="X3632" s="4"/>
      <c r="Y3632" s="4"/>
      <c r="Z3632" s="4"/>
    </row>
    <row r="3633" ht="15.75" customHeight="1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 t="str">
        <f>IFERROR(__xludf.DUMMYFUNCTION("""COMPUTED_VALUE"""),"water leak detection quote")</f>
        <v>water leak detection quote</v>
      </c>
      <c r="U3633" s="4"/>
      <c r="V3633" s="4"/>
      <c r="W3633" s="4"/>
      <c r="X3633" s="4"/>
      <c r="Y3633" s="4"/>
      <c r="Z3633" s="4"/>
    </row>
    <row r="3634" ht="15.75" customHeight="1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 t="str">
        <f>IFERROR(__xludf.DUMMYFUNCTION("""COMPUTED_VALUE"""),"water leak detection reliable")</f>
        <v>water leak detection reliable</v>
      </c>
      <c r="U3634" s="4"/>
      <c r="V3634" s="4"/>
      <c r="W3634" s="4"/>
      <c r="X3634" s="4"/>
      <c r="Y3634" s="4"/>
      <c r="Z3634" s="4"/>
    </row>
    <row r="3635" ht="15.75" customHeight="1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 t="str">
        <f>IFERROR(__xludf.DUMMYFUNCTION("""COMPUTED_VALUE"""),"water leak detection repair")</f>
        <v>water leak detection repair</v>
      </c>
      <c r="U3635" s="4"/>
      <c r="V3635" s="4"/>
      <c r="W3635" s="4"/>
      <c r="X3635" s="4"/>
      <c r="Y3635" s="4"/>
      <c r="Z3635" s="4"/>
    </row>
    <row r="3636" ht="15.75" customHeight="1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 t="str">
        <f>IFERROR(__xludf.DUMMYFUNCTION("""COMPUTED_VALUE"""),"water leak detection replacement")</f>
        <v>water leak detection replacement</v>
      </c>
      <c r="U3636" s="4"/>
      <c r="V3636" s="4"/>
      <c r="W3636" s="4"/>
      <c r="X3636" s="4"/>
      <c r="Y3636" s="4"/>
      <c r="Z3636" s="4"/>
    </row>
    <row r="3637" ht="15.75" customHeight="1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 t="str">
        <f>IFERROR(__xludf.DUMMYFUNCTION("""COMPUTED_VALUE"""),"water leak detection residential")</f>
        <v>water leak detection residential</v>
      </c>
      <c r="U3637" s="4"/>
      <c r="V3637" s="4"/>
      <c r="W3637" s="4"/>
      <c r="X3637" s="4"/>
      <c r="Y3637" s="4"/>
      <c r="Z3637" s="4"/>
    </row>
    <row r="3638" ht="15.75" customHeight="1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 t="str">
        <f>IFERROR(__xludf.DUMMYFUNCTION("""COMPUTED_VALUE"""),"water leak detection same day")</f>
        <v>water leak detection same day</v>
      </c>
      <c r="U3638" s="4"/>
      <c r="V3638" s="4"/>
      <c r="W3638" s="4"/>
      <c r="X3638" s="4"/>
      <c r="Y3638" s="4"/>
      <c r="Z3638" s="4"/>
    </row>
    <row r="3639" ht="15.75" customHeight="1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 t="str">
        <f>IFERROR(__xludf.DUMMYFUNCTION("""COMPUTED_VALUE"""),"water leak detection service")</f>
        <v>water leak detection service</v>
      </c>
      <c r="U3639" s="4"/>
      <c r="V3639" s="4"/>
      <c r="W3639" s="4"/>
      <c r="X3639" s="4"/>
      <c r="Y3639" s="4"/>
      <c r="Z3639" s="4"/>
    </row>
    <row r="3640" ht="15.75" customHeight="1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 t="str">
        <f>IFERROR(__xludf.DUMMYFUNCTION("""COMPUTED_VALUE"""),"water leak detection specialist")</f>
        <v>water leak detection specialist</v>
      </c>
      <c r="U3640" s="4"/>
      <c r="V3640" s="4"/>
      <c r="W3640" s="4"/>
      <c r="X3640" s="4"/>
      <c r="Y3640" s="4"/>
      <c r="Z3640" s="4"/>
    </row>
    <row r="3641" ht="15.75" customHeight="1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 t="str">
        <f>IFERROR(__xludf.DUMMYFUNCTION("""COMPUTED_VALUE"""),"water leak repair")</f>
        <v>water leak repair</v>
      </c>
      <c r="U3641" s="4"/>
      <c r="V3641" s="4"/>
      <c r="W3641" s="4"/>
      <c r="X3641" s="4"/>
      <c r="Y3641" s="4"/>
      <c r="Z3641" s="4"/>
    </row>
    <row r="3642" ht="15.75" customHeight="1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 t="str">
        <f>IFERROR(__xludf.DUMMYFUNCTION("""COMPUTED_VALUE"""),"water leak repair after hours")</f>
        <v>water leak repair after hours</v>
      </c>
      <c r="U3642" s="4"/>
      <c r="V3642" s="4"/>
      <c r="W3642" s="4"/>
      <c r="X3642" s="4"/>
      <c r="Y3642" s="4"/>
      <c r="Z3642" s="4"/>
    </row>
    <row r="3643" ht="15.75" customHeight="1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 t="str">
        <f>IFERROR(__xludf.DUMMYFUNCTION("""COMPUTED_VALUE"""),"water leak repair call out")</f>
        <v>water leak repair call out</v>
      </c>
      <c r="U3643" s="4"/>
      <c r="V3643" s="4"/>
      <c r="W3643" s="4"/>
      <c r="X3643" s="4"/>
      <c r="Y3643" s="4"/>
      <c r="Z3643" s="4"/>
    </row>
    <row r="3644" ht="15.75" customHeight="1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 t="str">
        <f>IFERROR(__xludf.DUMMYFUNCTION("""COMPUTED_VALUE"""),"water leak repair cape town")</f>
        <v>water leak repair cape town</v>
      </c>
      <c r="U3644" s="4"/>
      <c r="V3644" s="4"/>
      <c r="W3644" s="4"/>
      <c r="X3644" s="4"/>
      <c r="Y3644" s="4"/>
      <c r="Z3644" s="4"/>
    </row>
    <row r="3645" ht="15.75" customHeight="1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 t="str">
        <f>IFERROR(__xludf.DUMMYFUNCTION("""COMPUTED_VALUE"""),"water leak repair commercial")</f>
        <v>water leak repair commercial</v>
      </c>
      <c r="U3645" s="4"/>
      <c r="V3645" s="4"/>
      <c r="W3645" s="4"/>
      <c r="X3645" s="4"/>
      <c r="Y3645" s="4"/>
      <c r="Z3645" s="4"/>
    </row>
    <row r="3646" ht="15.75" customHeight="1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 t="str">
        <f>IFERROR(__xludf.DUMMYFUNCTION("""COMPUTED_VALUE"""),"water leak repair company")</f>
        <v>water leak repair company</v>
      </c>
      <c r="U3646" s="4"/>
      <c r="V3646" s="4"/>
      <c r="W3646" s="4"/>
      <c r="X3646" s="4"/>
      <c r="Y3646" s="4"/>
      <c r="Z3646" s="4"/>
    </row>
    <row r="3647" ht="15.75" customHeight="1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 t="str">
        <f>IFERROR(__xludf.DUMMYFUNCTION("""COMPUTED_VALUE"""),"water leak repair cost")</f>
        <v>water leak repair cost</v>
      </c>
      <c r="U3647" s="4"/>
      <c r="V3647" s="4"/>
      <c r="W3647" s="4"/>
      <c r="X3647" s="4"/>
      <c r="Y3647" s="4"/>
      <c r="Z3647" s="4"/>
    </row>
    <row r="3648" ht="15.75" customHeight="1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 t="str">
        <f>IFERROR(__xludf.DUMMYFUNCTION("""COMPUTED_VALUE"""),"water leak repair emergency")</f>
        <v>water leak repair emergency</v>
      </c>
      <c r="U3648" s="4"/>
      <c r="V3648" s="4"/>
      <c r="W3648" s="4"/>
      <c r="X3648" s="4"/>
      <c r="Y3648" s="4"/>
      <c r="Z3648" s="4"/>
    </row>
    <row r="3649" ht="15.75" customHeight="1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 t="str">
        <f>IFERROR(__xludf.DUMMYFUNCTION("""COMPUTED_VALUE"""),"water leak repair fast")</f>
        <v>water leak repair fast</v>
      </c>
      <c r="U3649" s="4"/>
      <c r="V3649" s="4"/>
      <c r="W3649" s="4"/>
      <c r="X3649" s="4"/>
      <c r="Y3649" s="4"/>
      <c r="Z3649" s="4"/>
    </row>
    <row r="3650" ht="15.75" customHeight="1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 t="str">
        <f>IFERROR(__xludf.DUMMYFUNCTION("""COMPUTED_VALUE"""),"water leak repair local")</f>
        <v>water leak repair local</v>
      </c>
      <c r="U3650" s="4"/>
      <c r="V3650" s="4"/>
      <c r="W3650" s="4"/>
      <c r="X3650" s="4"/>
      <c r="Y3650" s="4"/>
      <c r="Z3650" s="4"/>
    </row>
    <row r="3651" ht="15.75" customHeight="1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 t="str">
        <f>IFERROR(__xludf.DUMMYFUNCTION("""COMPUTED_VALUE"""),"water leak repair near me")</f>
        <v>water leak repair near me</v>
      </c>
      <c r="U3651" s="4"/>
      <c r="V3651" s="4"/>
      <c r="W3651" s="4"/>
      <c r="X3651" s="4"/>
      <c r="Y3651" s="4"/>
      <c r="Z3651" s="4"/>
    </row>
    <row r="3652" ht="15.75" customHeight="1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 t="str">
        <f>IFERROR(__xludf.DUMMYFUNCTION("""COMPUTED_VALUE"""),"water leak repair plumber")</f>
        <v>water leak repair plumber</v>
      </c>
      <c r="U3652" s="4"/>
      <c r="V3652" s="4"/>
      <c r="W3652" s="4"/>
      <c r="X3652" s="4"/>
      <c r="Y3652" s="4"/>
      <c r="Z3652" s="4"/>
    </row>
    <row r="3653" ht="15.75" customHeight="1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 t="str">
        <f>IFERROR(__xludf.DUMMYFUNCTION("""COMPUTED_VALUE"""),"water leak repair professional")</f>
        <v>water leak repair professional</v>
      </c>
      <c r="U3653" s="4"/>
      <c r="V3653" s="4"/>
      <c r="W3653" s="4"/>
      <c r="X3653" s="4"/>
      <c r="Y3653" s="4"/>
      <c r="Z3653" s="4"/>
    </row>
    <row r="3654" ht="15.75" customHeight="1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 t="str">
        <f>IFERROR(__xludf.DUMMYFUNCTION("""COMPUTED_VALUE"""),"water leak repair quote")</f>
        <v>water leak repair quote</v>
      </c>
      <c r="U3654" s="4"/>
      <c r="V3654" s="4"/>
      <c r="W3654" s="4"/>
      <c r="X3654" s="4"/>
      <c r="Y3654" s="4"/>
      <c r="Z3654" s="4"/>
    </row>
    <row r="3655" ht="15.75" customHeight="1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 t="str">
        <f>IFERROR(__xludf.DUMMYFUNCTION("""COMPUTED_VALUE"""),"water leak repair reliable")</f>
        <v>water leak repair reliable</v>
      </c>
      <c r="U3655" s="4"/>
      <c r="V3655" s="4"/>
      <c r="W3655" s="4"/>
      <c r="X3655" s="4"/>
      <c r="Y3655" s="4"/>
      <c r="Z3655" s="4"/>
    </row>
    <row r="3656" ht="15.75" customHeight="1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 t="str">
        <f>IFERROR(__xludf.DUMMYFUNCTION("""COMPUTED_VALUE"""),"water leak repair residential")</f>
        <v>water leak repair residential</v>
      </c>
      <c r="U3656" s="4"/>
      <c r="V3656" s="4"/>
      <c r="W3656" s="4"/>
      <c r="X3656" s="4"/>
      <c r="Y3656" s="4"/>
      <c r="Z3656" s="4"/>
    </row>
    <row r="3657" ht="15.75" customHeight="1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 t="str">
        <f>IFERROR(__xludf.DUMMYFUNCTION("""COMPUTED_VALUE"""),"water leak repair same day")</f>
        <v>water leak repair same day</v>
      </c>
      <c r="U3657" s="4"/>
      <c r="V3657" s="4"/>
      <c r="W3657" s="4"/>
      <c r="X3657" s="4"/>
      <c r="Y3657" s="4"/>
      <c r="Z3657" s="4"/>
    </row>
    <row r="3658" ht="15.75" customHeight="1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 t="str">
        <f>IFERROR(__xludf.DUMMYFUNCTION("""COMPUTED_VALUE"""),"water leak repair service")</f>
        <v>water leak repair service</v>
      </c>
      <c r="U3658" s="4"/>
      <c r="V3658" s="4"/>
      <c r="W3658" s="4"/>
      <c r="X3658" s="4"/>
      <c r="Y3658" s="4"/>
      <c r="Z3658" s="4"/>
    </row>
    <row r="3659" ht="15.75" customHeight="1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 t="str">
        <f>IFERROR(__xludf.DUMMYFUNCTION("""COMPUTED_VALUE"""),"water leak repair urgent")</f>
        <v>water leak repair urgent</v>
      </c>
      <c r="U3659" s="4"/>
      <c r="V3659" s="4"/>
      <c r="W3659" s="4"/>
      <c r="X3659" s="4"/>
      <c r="Y3659" s="4"/>
      <c r="Z3659" s="4"/>
    </row>
    <row r="3660" ht="15.75" customHeight="1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 t="str">
        <f>IFERROR(__xludf.DUMMYFUNCTION("""COMPUTED_VALUE"""),"water leak repair weekend")</f>
        <v>water leak repair weekend</v>
      </c>
      <c r="U3660" s="4"/>
      <c r="V3660" s="4"/>
      <c r="W3660" s="4"/>
      <c r="X3660" s="4"/>
      <c r="Y3660" s="4"/>
      <c r="Z3660" s="4"/>
    </row>
    <row r="3661" ht="15.75" customHeight="1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 t="str">
        <f>IFERROR(__xludf.DUMMYFUNCTION("""COMPUTED_VALUE"""),"weekend 24 hour plumber")</f>
        <v>weekend 24 hour plumber</v>
      </c>
      <c r="U3661" s="4"/>
      <c r="V3661" s="4"/>
      <c r="W3661" s="4"/>
      <c r="X3661" s="4"/>
      <c r="Y3661" s="4"/>
      <c r="Z3661" s="4"/>
    </row>
    <row r="3662" ht="15.75" customHeight="1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 t="str">
        <f>IFERROR(__xludf.DUMMYFUNCTION("""COMPUTED_VALUE"""),"weekend bathroom plumbing repair")</f>
        <v>weekend bathroom plumbing repair</v>
      </c>
      <c r="U3662" s="4"/>
      <c r="V3662" s="4"/>
      <c r="W3662" s="4"/>
      <c r="X3662" s="4"/>
      <c r="Y3662" s="4"/>
      <c r="Z3662" s="4"/>
    </row>
    <row r="3663" ht="15.75" customHeight="1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 t="str">
        <f>IFERROR(__xludf.DUMMYFUNCTION("""COMPUTED_VALUE"""),"weekend blocked toilet plumber")</f>
        <v>weekend blocked toilet plumber</v>
      </c>
      <c r="U3663" s="4"/>
      <c r="V3663" s="4"/>
      <c r="W3663" s="4"/>
      <c r="X3663" s="4"/>
      <c r="Y3663" s="4"/>
      <c r="Z3663" s="4"/>
    </row>
    <row r="3664" ht="15.75" customHeight="1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 t="str">
        <f>IFERROR(__xludf.DUMMYFUNCTION("""COMPUTED_VALUE"""),"weekend burst pipe repair")</f>
        <v>weekend burst pipe repair</v>
      </c>
      <c r="U3664" s="4"/>
      <c r="V3664" s="4"/>
      <c r="W3664" s="4"/>
      <c r="X3664" s="4"/>
      <c r="Y3664" s="4"/>
      <c r="Z3664" s="4"/>
    </row>
    <row r="3665" ht="15.75" customHeight="1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 t="str">
        <f>IFERROR(__xludf.DUMMYFUNCTION("""COMPUTED_VALUE"""),"weekend emergency plumber")</f>
        <v>weekend emergency plumber</v>
      </c>
      <c r="U3665" s="4"/>
      <c r="V3665" s="4"/>
      <c r="W3665" s="4"/>
      <c r="X3665" s="4"/>
      <c r="Y3665" s="4"/>
      <c r="Z3665" s="4"/>
    </row>
    <row r="3666" ht="15.75" customHeight="1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 t="str">
        <f>IFERROR(__xludf.DUMMYFUNCTION("""COMPUTED_VALUE"""),"weekend kitchen plumbing repair")</f>
        <v>weekend kitchen plumbing repair</v>
      </c>
      <c r="U3666" s="4"/>
      <c r="V3666" s="4"/>
      <c r="W3666" s="4"/>
      <c r="X3666" s="4"/>
      <c r="Y3666" s="4"/>
      <c r="Z3666" s="4"/>
    </row>
    <row r="3667" ht="15.75" customHeight="1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 t="str">
        <f>IFERROR(__xludf.DUMMYFUNCTION("""COMPUTED_VALUE"""),"weekend leaking pipe repair")</f>
        <v>weekend leaking pipe repair</v>
      </c>
      <c r="U3667" s="4"/>
      <c r="V3667" s="4"/>
      <c r="W3667" s="4"/>
      <c r="X3667" s="4"/>
      <c r="Y3667" s="4"/>
      <c r="Z3667" s="4"/>
    </row>
    <row r="3668" ht="15.75" customHeight="1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 t="str">
        <f>IFERROR(__xludf.DUMMYFUNCTION("""COMPUTED_VALUE"""),"weekend leaking tap repair")</f>
        <v>weekend leaking tap repair</v>
      </c>
      <c r="U3668" s="4"/>
      <c r="V3668" s="4"/>
      <c r="W3668" s="4"/>
      <c r="X3668" s="4"/>
      <c r="Y3668" s="4"/>
      <c r="Z3668" s="4"/>
    </row>
    <row r="3669" ht="15.75" customHeight="1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 t="str">
        <f>IFERROR(__xludf.DUMMYFUNCTION("""COMPUTED_VALUE"""),"weekend toilet repair")</f>
        <v>weekend toilet repair</v>
      </c>
      <c r="U3669" s="4"/>
      <c r="V3669" s="4"/>
      <c r="W3669" s="4"/>
      <c r="X3669" s="4"/>
      <c r="Y3669" s="4"/>
      <c r="Z3669" s="4"/>
    </row>
    <row r="3670" ht="15.75" customHeight="1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 t="str">
        <f>IFERROR(__xludf.DUMMYFUNCTION("""COMPUTED_VALUE"""),"weekend water leak repair")</f>
        <v>weekend water leak repair</v>
      </c>
      <c r="U3670" s="4"/>
      <c r="V3670" s="4"/>
      <c r="W3670" s="4"/>
      <c r="X3670" s="4"/>
      <c r="Y3670" s="4"/>
      <c r="Z3670" s="4"/>
    </row>
    <row r="3671" ht="15.75" customHeight="1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 t="str">
        <f>IFERROR(__xludf.DUMMYFUNCTION("""COMPUTED_VALUE"""),"what causes aircon service")</f>
        <v>what causes aircon service</v>
      </c>
      <c r="U3671" s="4"/>
      <c r="V3671" s="4"/>
      <c r="W3671" s="4"/>
      <c r="X3671" s="4"/>
      <c r="Y3671" s="4"/>
      <c r="Z3671" s="4"/>
    </row>
    <row r="3672" ht="15.75" customHeight="1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 t="str">
        <f>IFERROR(__xludf.DUMMYFUNCTION("""COMPUTED_VALUE"""),"what causes blocked drain")</f>
        <v>what causes blocked drain</v>
      </c>
      <c r="U3672" s="4"/>
      <c r="V3672" s="4"/>
      <c r="W3672" s="4"/>
      <c r="X3672" s="4"/>
      <c r="Y3672" s="4"/>
      <c r="Z3672" s="4"/>
    </row>
    <row r="3673" ht="15.75" customHeight="1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 t="str">
        <f>IFERROR(__xludf.DUMMYFUNCTION("""COMPUTED_VALUE"""),"what causes burst pipe")</f>
        <v>what causes burst pipe</v>
      </c>
      <c r="U3673" s="4"/>
      <c r="V3673" s="4"/>
      <c r="W3673" s="4"/>
      <c r="X3673" s="4"/>
      <c r="Y3673" s="4"/>
      <c r="Z3673" s="4"/>
    </row>
    <row r="3674" ht="15.75" customHeight="1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 t="str">
        <f>IFERROR(__xludf.DUMMYFUNCTION("""COMPUTED_VALUE"""),"what causes electrical COC")</f>
        <v>what causes electrical COC</v>
      </c>
      <c r="U3674" s="4"/>
      <c r="V3674" s="4"/>
      <c r="W3674" s="4"/>
      <c r="X3674" s="4"/>
      <c r="Y3674" s="4"/>
      <c r="Z3674" s="4"/>
    </row>
    <row r="3675" ht="15.75" customHeight="1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 t="str">
        <f>IFERROR(__xludf.DUMMYFUNCTION("""COMPUTED_VALUE"""),"what causes emergency plumber")</f>
        <v>what causes emergency plumber</v>
      </c>
      <c r="U3675" s="4"/>
      <c r="V3675" s="4"/>
      <c r="W3675" s="4"/>
      <c r="X3675" s="4"/>
      <c r="Y3675" s="4"/>
      <c r="Z3675" s="4"/>
    </row>
    <row r="3676" ht="15.75" customHeight="1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 t="str">
        <f>IFERROR(__xludf.DUMMYFUNCTION("""COMPUTED_VALUE"""),"what causes geyser repair")</f>
        <v>what causes geyser repair</v>
      </c>
      <c r="U3676" s="4"/>
      <c r="V3676" s="4"/>
      <c r="W3676" s="4"/>
      <c r="X3676" s="4"/>
      <c r="Y3676" s="4"/>
      <c r="Z3676" s="4"/>
    </row>
    <row r="3677" ht="15.75" customHeight="1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 t="str">
        <f>IFERROR(__xludf.DUMMYFUNCTION("""COMPUTED_VALUE"""),"what causes leak detection")</f>
        <v>what causes leak detection</v>
      </c>
      <c r="U3677" s="4"/>
      <c r="V3677" s="4"/>
      <c r="W3677" s="4"/>
      <c r="X3677" s="4"/>
      <c r="Y3677" s="4"/>
      <c r="Z3677" s="4"/>
    </row>
    <row r="3678" ht="15.75" customHeight="1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 t="str">
        <f>IFERROR(__xludf.DUMMYFUNCTION("""COMPUTED_VALUE"""),"what causes plumber cost")</f>
        <v>what causes plumber cost</v>
      </c>
      <c r="U3678" s="4"/>
      <c r="V3678" s="4"/>
      <c r="W3678" s="4"/>
      <c r="X3678" s="4"/>
      <c r="Y3678" s="4"/>
      <c r="Z3678" s="4"/>
    </row>
    <row r="3679" ht="15.75" customHeight="1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 t="str">
        <f>IFERROR(__xludf.DUMMYFUNCTION("""COMPUTED_VALUE"""),"what causes plumbing maintenance")</f>
        <v>what causes plumbing maintenance</v>
      </c>
      <c r="U3679" s="4"/>
      <c r="V3679" s="4"/>
      <c r="W3679" s="4"/>
      <c r="X3679" s="4"/>
      <c r="Y3679" s="4"/>
      <c r="Z3679" s="4"/>
    </row>
    <row r="3680" ht="15.75" customHeight="1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 t="str">
        <f>IFERROR(__xludf.DUMMYFUNCTION("""COMPUTED_VALUE"""),"what causes refrigeration repair")</f>
        <v>what causes refrigeration repair</v>
      </c>
      <c r="U3680" s="4"/>
      <c r="V3680" s="4"/>
      <c r="W3680" s="4"/>
      <c r="X3680" s="4"/>
      <c r="Y3680" s="4"/>
      <c r="Z3680" s="4"/>
    </row>
    <row r="3681" ht="15.75" customHeight="1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 t="str">
        <f>IFERROR(__xludf.DUMMYFUNCTION("""COMPUTED_VALUE"""),"what is aircon service")</f>
        <v>what is aircon service</v>
      </c>
      <c r="U3681" s="4"/>
      <c r="V3681" s="4"/>
      <c r="W3681" s="4"/>
      <c r="X3681" s="4"/>
      <c r="Y3681" s="4"/>
      <c r="Z3681" s="4"/>
    </row>
    <row r="3682" ht="15.75" customHeight="1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 t="str">
        <f>IFERROR(__xludf.DUMMYFUNCTION("""COMPUTED_VALUE"""),"what is blocked drain")</f>
        <v>what is blocked drain</v>
      </c>
      <c r="U3682" s="4"/>
      <c r="V3682" s="4"/>
      <c r="W3682" s="4"/>
      <c r="X3682" s="4"/>
      <c r="Y3682" s="4"/>
      <c r="Z3682" s="4"/>
    </row>
    <row r="3683" ht="15.75" customHeight="1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 t="str">
        <f>IFERROR(__xludf.DUMMYFUNCTION("""COMPUTED_VALUE"""),"what is burst pipe")</f>
        <v>what is burst pipe</v>
      </c>
      <c r="U3683" s="4"/>
      <c r="V3683" s="4"/>
      <c r="W3683" s="4"/>
      <c r="X3683" s="4"/>
      <c r="Y3683" s="4"/>
      <c r="Z3683" s="4"/>
    </row>
    <row r="3684" ht="15.75" customHeight="1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 t="str">
        <f>IFERROR(__xludf.DUMMYFUNCTION("""COMPUTED_VALUE"""),"what is electrical COC")</f>
        <v>what is electrical COC</v>
      </c>
      <c r="U3684" s="4"/>
      <c r="V3684" s="4"/>
      <c r="W3684" s="4"/>
      <c r="X3684" s="4"/>
      <c r="Y3684" s="4"/>
      <c r="Z3684" s="4"/>
    </row>
    <row r="3685" ht="15.75" customHeight="1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 t="str">
        <f>IFERROR(__xludf.DUMMYFUNCTION("""COMPUTED_VALUE"""),"what is emergency plumber")</f>
        <v>what is emergency plumber</v>
      </c>
      <c r="U3685" s="4"/>
      <c r="V3685" s="4"/>
      <c r="W3685" s="4"/>
      <c r="X3685" s="4"/>
      <c r="Y3685" s="4"/>
      <c r="Z3685" s="4"/>
    </row>
    <row r="3686" ht="15.75" customHeight="1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 t="str">
        <f>IFERROR(__xludf.DUMMYFUNCTION("""COMPUTED_VALUE"""),"what is geyser repair")</f>
        <v>what is geyser repair</v>
      </c>
      <c r="U3686" s="4"/>
      <c r="V3686" s="4"/>
      <c r="W3686" s="4"/>
      <c r="X3686" s="4"/>
      <c r="Y3686" s="4"/>
      <c r="Z3686" s="4"/>
    </row>
    <row r="3687" ht="15.75" customHeight="1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 t="str">
        <f>IFERROR(__xludf.DUMMYFUNCTION("""COMPUTED_VALUE"""),"what is leak detection")</f>
        <v>what is leak detection</v>
      </c>
      <c r="U3687" s="4"/>
      <c r="V3687" s="4"/>
      <c r="W3687" s="4"/>
      <c r="X3687" s="4"/>
      <c r="Y3687" s="4"/>
      <c r="Z3687" s="4"/>
    </row>
    <row r="3688" ht="15.75" customHeight="1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 t="str">
        <f>IFERROR(__xludf.DUMMYFUNCTION("""COMPUTED_VALUE"""),"what is plumber cost")</f>
        <v>what is plumber cost</v>
      </c>
      <c r="U3688" s="4"/>
      <c r="V3688" s="4"/>
      <c r="W3688" s="4"/>
      <c r="X3688" s="4"/>
      <c r="Y3688" s="4"/>
      <c r="Z3688" s="4"/>
    </row>
    <row r="3689" ht="15.75" customHeight="1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 t="str">
        <f>IFERROR(__xludf.DUMMYFUNCTION("""COMPUTED_VALUE"""),"what is plumbing maintenance")</f>
        <v>what is plumbing maintenance</v>
      </c>
      <c r="U3689" s="4"/>
      <c r="V3689" s="4"/>
      <c r="W3689" s="4"/>
      <c r="X3689" s="4"/>
      <c r="Y3689" s="4"/>
      <c r="Z3689" s="4"/>
    </row>
    <row r="3690" ht="15.75" customHeight="1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 t="str">
        <f>IFERROR(__xludf.DUMMYFUNCTION("""COMPUTED_VALUE"""),"what is refrigeration repair")</f>
        <v>what is refrigeration repair</v>
      </c>
      <c r="U3690" s="4"/>
      <c r="V3690" s="4"/>
      <c r="W3690" s="4"/>
      <c r="X3690" s="4"/>
      <c r="Y3690" s="4"/>
      <c r="Z3690" s="4"/>
    </row>
    <row r="3691" ht="15.75" customHeight="1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 t="str">
        <f>IFERROR(__xludf.DUMMYFUNCTION("""COMPUTED_VALUE"""),"when to call a aircon service")</f>
        <v>when to call a aircon service</v>
      </c>
      <c r="U3691" s="4"/>
      <c r="V3691" s="4"/>
      <c r="W3691" s="4"/>
      <c r="X3691" s="4"/>
      <c r="Y3691" s="4"/>
      <c r="Z3691" s="4"/>
    </row>
    <row r="3692" ht="15.75" customHeight="1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 t="str">
        <f>IFERROR(__xludf.DUMMYFUNCTION("""COMPUTED_VALUE"""),"when to call a blocked drain")</f>
        <v>when to call a blocked drain</v>
      </c>
      <c r="U3692" s="4"/>
      <c r="V3692" s="4"/>
      <c r="W3692" s="4"/>
      <c r="X3692" s="4"/>
      <c r="Y3692" s="4"/>
      <c r="Z3692" s="4"/>
    </row>
    <row r="3693" ht="15.75" customHeight="1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 t="str">
        <f>IFERROR(__xludf.DUMMYFUNCTION("""COMPUTED_VALUE"""),"when to call a burst pipe")</f>
        <v>when to call a burst pipe</v>
      </c>
      <c r="U3693" s="4"/>
      <c r="V3693" s="4"/>
      <c r="W3693" s="4"/>
      <c r="X3693" s="4"/>
      <c r="Y3693" s="4"/>
      <c r="Z3693" s="4"/>
    </row>
    <row r="3694" ht="15.75" customHeight="1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 t="str">
        <f>IFERROR(__xludf.DUMMYFUNCTION("""COMPUTED_VALUE"""),"when to call a electrical COC")</f>
        <v>when to call a electrical COC</v>
      </c>
      <c r="U3694" s="4"/>
      <c r="V3694" s="4"/>
      <c r="W3694" s="4"/>
      <c r="X3694" s="4"/>
      <c r="Y3694" s="4"/>
      <c r="Z3694" s="4"/>
    </row>
    <row r="3695" ht="15.75" customHeight="1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 t="str">
        <f>IFERROR(__xludf.DUMMYFUNCTION("""COMPUTED_VALUE"""),"when to call a emergency plumber")</f>
        <v>when to call a emergency plumber</v>
      </c>
      <c r="U3695" s="4"/>
      <c r="V3695" s="4"/>
      <c r="W3695" s="4"/>
      <c r="X3695" s="4"/>
      <c r="Y3695" s="4"/>
      <c r="Z3695" s="4"/>
    </row>
    <row r="3696" ht="15.75" customHeight="1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 t="str">
        <f>IFERROR(__xludf.DUMMYFUNCTION("""COMPUTED_VALUE"""),"when to call a geyser repair")</f>
        <v>when to call a geyser repair</v>
      </c>
      <c r="U3696" s="4"/>
      <c r="V3696" s="4"/>
      <c r="W3696" s="4"/>
      <c r="X3696" s="4"/>
      <c r="Y3696" s="4"/>
      <c r="Z3696" s="4"/>
    </row>
    <row r="3697" ht="15.75" customHeight="1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 t="str">
        <f>IFERROR(__xludf.DUMMYFUNCTION("""COMPUTED_VALUE"""),"when to call a leak detection")</f>
        <v>when to call a leak detection</v>
      </c>
      <c r="U3697" s="4"/>
      <c r="V3697" s="4"/>
      <c r="W3697" s="4"/>
      <c r="X3697" s="4"/>
      <c r="Y3697" s="4"/>
      <c r="Z3697" s="4"/>
    </row>
    <row r="3698" ht="15.75" customHeight="1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 t="str">
        <f>IFERROR(__xludf.DUMMYFUNCTION("""COMPUTED_VALUE"""),"when to call a plumber cost")</f>
        <v>when to call a plumber cost</v>
      </c>
      <c r="U3698" s="4"/>
      <c r="V3698" s="4"/>
      <c r="W3698" s="4"/>
      <c r="X3698" s="4"/>
      <c r="Y3698" s="4"/>
      <c r="Z3698" s="4"/>
    </row>
    <row r="3699" ht="15.75" customHeight="1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 t="str">
        <f>IFERROR(__xludf.DUMMYFUNCTION("""COMPUTED_VALUE"""),"when to call a plumbing maintenance")</f>
        <v>when to call a plumbing maintenance</v>
      </c>
      <c r="U3699" s="4"/>
      <c r="V3699" s="4"/>
      <c r="W3699" s="4"/>
      <c r="X3699" s="4"/>
      <c r="Y3699" s="4"/>
      <c r="Z3699" s="4"/>
    </row>
    <row r="3700" ht="15.75" customHeight="1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 t="str">
        <f>IFERROR(__xludf.DUMMYFUNCTION("""COMPUTED_VALUE"""),"when to call a refrigeration repair")</f>
        <v>when to call a refrigeration repair</v>
      </c>
      <c r="U3700" s="4"/>
      <c r="V3700" s="4"/>
      <c r="W3700" s="4"/>
      <c r="X3700" s="4"/>
      <c r="Y3700" s="4"/>
      <c r="Z3700" s="4"/>
    </row>
    <row r="3701" ht="15.75" customHeight="1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 t="str">
        <f>IFERROR(__xludf.DUMMYFUNCTION("""COMPUTED_VALUE"""),"who fixes aircon service")</f>
        <v>who fixes aircon service</v>
      </c>
      <c r="U3701" s="4"/>
      <c r="V3701" s="4"/>
      <c r="W3701" s="4"/>
      <c r="X3701" s="4"/>
      <c r="Y3701" s="4"/>
      <c r="Z3701" s="4"/>
    </row>
    <row r="3702" ht="15.75" customHeight="1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 t="str">
        <f>IFERROR(__xludf.DUMMYFUNCTION("""COMPUTED_VALUE"""),"who fixes blocked drain")</f>
        <v>who fixes blocked drain</v>
      </c>
      <c r="U3702" s="4"/>
      <c r="V3702" s="4"/>
      <c r="W3702" s="4"/>
      <c r="X3702" s="4"/>
      <c r="Y3702" s="4"/>
      <c r="Z3702" s="4"/>
    </row>
    <row r="3703" ht="15.75" customHeight="1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 t="str">
        <f>IFERROR(__xludf.DUMMYFUNCTION("""COMPUTED_VALUE"""),"who fixes burst pipe")</f>
        <v>who fixes burst pipe</v>
      </c>
      <c r="U3703" s="4"/>
      <c r="V3703" s="4"/>
      <c r="W3703" s="4"/>
      <c r="X3703" s="4"/>
      <c r="Y3703" s="4"/>
      <c r="Z3703" s="4"/>
    </row>
    <row r="3704" ht="15.75" customHeight="1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 t="str">
        <f>IFERROR(__xludf.DUMMYFUNCTION("""COMPUTED_VALUE"""),"who fixes electrical COC")</f>
        <v>who fixes electrical COC</v>
      </c>
      <c r="U3704" s="4"/>
      <c r="V3704" s="4"/>
      <c r="W3704" s="4"/>
      <c r="X3704" s="4"/>
      <c r="Y3704" s="4"/>
      <c r="Z3704" s="4"/>
    </row>
    <row r="3705" ht="15.75" customHeight="1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 t="str">
        <f>IFERROR(__xludf.DUMMYFUNCTION("""COMPUTED_VALUE"""),"who fixes emergency plumber")</f>
        <v>who fixes emergency plumber</v>
      </c>
      <c r="U3705" s="4"/>
      <c r="V3705" s="4"/>
      <c r="W3705" s="4"/>
      <c r="X3705" s="4"/>
      <c r="Y3705" s="4"/>
      <c r="Z3705" s="4"/>
    </row>
    <row r="3706" ht="15.75" customHeight="1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 t="str">
        <f>IFERROR(__xludf.DUMMYFUNCTION("""COMPUTED_VALUE"""),"who fixes geyser repair")</f>
        <v>who fixes geyser repair</v>
      </c>
      <c r="U3706" s="4"/>
      <c r="V3706" s="4"/>
      <c r="W3706" s="4"/>
      <c r="X3706" s="4"/>
      <c r="Y3706" s="4"/>
      <c r="Z3706" s="4"/>
    </row>
    <row r="3707" ht="15.75" customHeight="1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 t="str">
        <f>IFERROR(__xludf.DUMMYFUNCTION("""COMPUTED_VALUE"""),"who fixes leak detection")</f>
        <v>who fixes leak detection</v>
      </c>
      <c r="U3707" s="4"/>
      <c r="V3707" s="4"/>
      <c r="W3707" s="4"/>
      <c r="X3707" s="4"/>
      <c r="Y3707" s="4"/>
      <c r="Z3707" s="4"/>
    </row>
    <row r="3708" ht="15.75" customHeight="1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 t="str">
        <f>IFERROR(__xludf.DUMMYFUNCTION("""COMPUTED_VALUE"""),"who fixes plumber cost")</f>
        <v>who fixes plumber cost</v>
      </c>
      <c r="U3708" s="4"/>
      <c r="V3708" s="4"/>
      <c r="W3708" s="4"/>
      <c r="X3708" s="4"/>
      <c r="Y3708" s="4"/>
      <c r="Z3708" s="4"/>
    </row>
    <row r="3709" ht="15.75" customHeight="1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 t="str">
        <f>IFERROR(__xludf.DUMMYFUNCTION("""COMPUTED_VALUE"""),"who fixes plumbing maintenance")</f>
        <v>who fixes plumbing maintenance</v>
      </c>
      <c r="U3709" s="4"/>
      <c r="V3709" s="4"/>
      <c r="W3709" s="4"/>
      <c r="X3709" s="4"/>
      <c r="Y3709" s="4"/>
      <c r="Z3709" s="4"/>
    </row>
    <row r="3710" ht="15.75" customHeight="1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 t="str">
        <f>IFERROR(__xludf.DUMMYFUNCTION("""COMPUTED_VALUE"""),"who fixes refrigeration repair")</f>
        <v>who fixes refrigeration repair</v>
      </c>
      <c r="U3710" s="4"/>
      <c r="V3710" s="4"/>
      <c r="W3710" s="4"/>
      <c r="X3710" s="4"/>
      <c r="Y3710" s="4"/>
      <c r="Z3710" s="4"/>
    </row>
    <row r="3711" ht="15.75" customHeight="1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 t="str">
        <f>IFERROR(__xludf.DUMMYFUNCTION("""COMPUTED_VALUE"""),"why is my aircon service")</f>
        <v>why is my aircon service</v>
      </c>
      <c r="U3711" s="4"/>
      <c r="V3711" s="4"/>
      <c r="W3711" s="4"/>
      <c r="X3711" s="4"/>
      <c r="Y3711" s="4"/>
      <c r="Z3711" s="4"/>
    </row>
    <row r="3712" ht="15.75" customHeight="1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 t="str">
        <f>IFERROR(__xludf.DUMMYFUNCTION("""COMPUTED_VALUE"""),"why is my blocked drain")</f>
        <v>why is my blocked drain</v>
      </c>
      <c r="U3712" s="4"/>
      <c r="V3712" s="4"/>
      <c r="W3712" s="4"/>
      <c r="X3712" s="4"/>
      <c r="Y3712" s="4"/>
      <c r="Z3712" s="4"/>
    </row>
    <row r="3713" ht="15.75" customHeight="1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 t="str">
        <f>IFERROR(__xludf.DUMMYFUNCTION("""COMPUTED_VALUE"""),"why is my burst pipe")</f>
        <v>why is my burst pipe</v>
      </c>
      <c r="U3713" s="4"/>
      <c r="V3713" s="4"/>
      <c r="W3713" s="4"/>
      <c r="X3713" s="4"/>
      <c r="Y3713" s="4"/>
      <c r="Z3713" s="4"/>
    </row>
    <row r="3714" ht="15.75" customHeight="1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 t="str">
        <f>IFERROR(__xludf.DUMMYFUNCTION("""COMPUTED_VALUE"""),"why is my electrical COC")</f>
        <v>why is my electrical COC</v>
      </c>
      <c r="U3714" s="4"/>
      <c r="V3714" s="4"/>
      <c r="W3714" s="4"/>
      <c r="X3714" s="4"/>
      <c r="Y3714" s="4"/>
      <c r="Z3714" s="4"/>
    </row>
    <row r="3715" ht="15.75" customHeight="1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 t="str">
        <f>IFERROR(__xludf.DUMMYFUNCTION("""COMPUTED_VALUE"""),"why is my emergency plumber")</f>
        <v>why is my emergency plumber</v>
      </c>
      <c r="U3715" s="4"/>
      <c r="V3715" s="4"/>
      <c r="W3715" s="4"/>
      <c r="X3715" s="4"/>
      <c r="Y3715" s="4"/>
      <c r="Z3715" s="4"/>
    </row>
    <row r="3716" ht="15.75" customHeight="1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 t="str">
        <f>IFERROR(__xludf.DUMMYFUNCTION("""COMPUTED_VALUE"""),"why is my geyser repair")</f>
        <v>why is my geyser repair</v>
      </c>
      <c r="U3716" s="4"/>
      <c r="V3716" s="4"/>
      <c r="W3716" s="4"/>
      <c r="X3716" s="4"/>
      <c r="Y3716" s="4"/>
      <c r="Z3716" s="4"/>
    </row>
    <row r="3717" ht="15.75" customHeight="1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 t="str">
        <f>IFERROR(__xludf.DUMMYFUNCTION("""COMPUTED_VALUE"""),"why is my leak detection")</f>
        <v>why is my leak detection</v>
      </c>
      <c r="U3717" s="4"/>
      <c r="V3717" s="4"/>
      <c r="W3717" s="4"/>
      <c r="X3717" s="4"/>
      <c r="Y3717" s="4"/>
      <c r="Z3717" s="4"/>
    </row>
    <row r="3718" ht="15.75" customHeight="1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 t="str">
        <f>IFERROR(__xludf.DUMMYFUNCTION("""COMPUTED_VALUE"""),"why is my plumber cost")</f>
        <v>why is my plumber cost</v>
      </c>
      <c r="U3718" s="4"/>
      <c r="V3718" s="4"/>
      <c r="W3718" s="4"/>
      <c r="X3718" s="4"/>
      <c r="Y3718" s="4"/>
      <c r="Z3718" s="4"/>
    </row>
    <row r="3719" ht="15.75" customHeight="1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 t="str">
        <f>IFERROR(__xludf.DUMMYFUNCTION("""COMPUTED_VALUE"""),"why is my plumbing maintenance")</f>
        <v>why is my plumbing maintenance</v>
      </c>
      <c r="U3719" s="4"/>
      <c r="V3719" s="4"/>
      <c r="W3719" s="4"/>
      <c r="X3719" s="4"/>
      <c r="Y3719" s="4"/>
      <c r="Z3719" s="4"/>
    </row>
    <row r="3720" ht="15.75" customHeight="1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 t="str">
        <f>IFERROR(__xludf.DUMMYFUNCTION("""COMPUTED_VALUE"""),"why is my refrigeration repair")</f>
        <v>why is my refrigeration repair</v>
      </c>
      <c r="U3720" s="4"/>
      <c r="V3720" s="4"/>
      <c r="W3720" s="4"/>
      <c r="X3720" s="4"/>
      <c r="Y3720" s="4"/>
      <c r="Z3720" s="4"/>
    </row>
    <row r="3721" ht="15.75" customHeight="1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 t="str">
        <f>IFERROR(__xludf.DUMMYFUNCTION("""COMPUTED_VALUE"""),"Woodstock aircon repairs")</f>
        <v>Woodstock aircon repairs</v>
      </c>
      <c r="U3721" s="4"/>
      <c r="V3721" s="4"/>
      <c r="W3721" s="4"/>
      <c r="X3721" s="4"/>
      <c r="Y3721" s="4"/>
      <c r="Z3721" s="4"/>
    </row>
    <row r="3722" ht="15.75" customHeight="1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 t="str">
        <f>IFERROR(__xludf.DUMMYFUNCTION("""COMPUTED_VALUE"""),"Woodstock blocked drain plumber")</f>
        <v>Woodstock blocked drain plumber</v>
      </c>
      <c r="U3722" s="4"/>
      <c r="V3722" s="4"/>
      <c r="W3722" s="4"/>
      <c r="X3722" s="4"/>
      <c r="Y3722" s="4"/>
      <c r="Z3722" s="4"/>
    </row>
    <row r="3723" ht="15.75" customHeight="1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 t="str">
        <f>IFERROR(__xludf.DUMMYFUNCTION("""COMPUTED_VALUE"""),"Woodstock electrician")</f>
        <v>Woodstock electrician</v>
      </c>
      <c r="U3723" s="4"/>
      <c r="V3723" s="4"/>
      <c r="W3723" s="4"/>
      <c r="X3723" s="4"/>
      <c r="Y3723" s="4"/>
      <c r="Z3723" s="4"/>
    </row>
    <row r="3724" ht="15.75" customHeight="1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 t="str">
        <f>IFERROR(__xludf.DUMMYFUNCTION("""COMPUTED_VALUE"""),"Woodstock emergency plumber")</f>
        <v>Woodstock emergency plumber</v>
      </c>
      <c r="U3724" s="4"/>
      <c r="V3724" s="4"/>
      <c r="W3724" s="4"/>
      <c r="X3724" s="4"/>
      <c r="Y3724" s="4"/>
      <c r="Z3724" s="4"/>
    </row>
    <row r="3725" ht="15.75" customHeight="1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 t="str">
        <f>IFERROR(__xludf.DUMMYFUNCTION("""COMPUTED_VALUE"""),"Woodstock geyser repair")</f>
        <v>Woodstock geyser repair</v>
      </c>
      <c r="U3725" s="4"/>
      <c r="V3725" s="4"/>
      <c r="W3725" s="4"/>
      <c r="X3725" s="4"/>
      <c r="Y3725" s="4"/>
      <c r="Z3725" s="4"/>
    </row>
    <row r="3726" ht="15.75" customHeight="1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 t="str">
        <f>IFERROR(__xludf.DUMMYFUNCTION("""COMPUTED_VALUE"""),"Woodstock leak detection plumber")</f>
        <v>Woodstock leak detection plumber</v>
      </c>
      <c r="U3726" s="4"/>
      <c r="V3726" s="4"/>
      <c r="W3726" s="4"/>
      <c r="X3726" s="4"/>
      <c r="Y3726" s="4"/>
      <c r="Z3726" s="4"/>
    </row>
    <row r="3727" ht="15.75" customHeight="1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 t="str">
        <f>IFERROR(__xludf.DUMMYFUNCTION("""COMPUTED_VALUE"""),"Woodstock plumber")</f>
        <v>Woodstock plumber</v>
      </c>
      <c r="U3727" s="4"/>
      <c r="V3727" s="4"/>
      <c r="W3727" s="4"/>
      <c r="X3727" s="4"/>
      <c r="Y3727" s="4"/>
      <c r="Z3727" s="4"/>
    </row>
    <row r="3728" ht="15.75" customHeight="1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 t="str">
        <f>IFERROR(__xludf.DUMMYFUNCTION("""COMPUTED_VALUE"""),"Woodstock plumbers")</f>
        <v>Woodstock plumbers</v>
      </c>
      <c r="U3728" s="4"/>
      <c r="V3728" s="4"/>
      <c r="W3728" s="4"/>
      <c r="X3728" s="4"/>
      <c r="Y3728" s="4"/>
      <c r="Z3728" s="4"/>
    </row>
    <row r="3729" ht="15.75" customHeight="1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 t="str">
        <f>IFERROR(__xludf.DUMMYFUNCTION("""COMPUTED_VALUE"""),"Woodstock plumbing company")</f>
        <v>Woodstock plumbing company</v>
      </c>
      <c r="U3729" s="4"/>
      <c r="V3729" s="4"/>
      <c r="W3729" s="4"/>
      <c r="X3729" s="4"/>
      <c r="Y3729" s="4"/>
      <c r="Z3729" s="4"/>
    </row>
    <row r="3730" ht="15.75" customHeight="1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 t="str">
        <f>IFERROR(__xludf.DUMMYFUNCTION("""COMPUTED_VALUE"""),"Woodstock refrigeration services")</f>
        <v>Woodstock refrigeration services</v>
      </c>
      <c r="U3730" s="4"/>
      <c r="V3730" s="4"/>
      <c r="W3730" s="4"/>
      <c r="X3730" s="4"/>
      <c r="Y3730" s="4"/>
      <c r="Z3730" s="4"/>
    </row>
    <row r="3731" ht="15.75" customHeight="1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 t="str">
        <f>IFERROR(__xludf.DUMMYFUNCTION("""COMPUTED_VALUE"""),"Wynberg aircon repairs")</f>
        <v>Wynberg aircon repairs</v>
      </c>
      <c r="U3731" s="4"/>
      <c r="V3731" s="4"/>
      <c r="W3731" s="4"/>
      <c r="X3731" s="4"/>
      <c r="Y3731" s="4"/>
      <c r="Z3731" s="4"/>
    </row>
    <row r="3732" ht="15.75" customHeight="1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 t="str">
        <f>IFERROR(__xludf.DUMMYFUNCTION("""COMPUTED_VALUE"""),"Wynberg blocked drain plumber")</f>
        <v>Wynberg blocked drain plumber</v>
      </c>
      <c r="U3732" s="4"/>
      <c r="V3732" s="4"/>
      <c r="W3732" s="4"/>
      <c r="X3732" s="4"/>
      <c r="Y3732" s="4"/>
      <c r="Z3732" s="4"/>
    </row>
    <row r="3733" ht="15.75" customHeight="1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 t="str">
        <f>IFERROR(__xludf.DUMMYFUNCTION("""COMPUTED_VALUE"""),"Wynberg electrician")</f>
        <v>Wynberg electrician</v>
      </c>
      <c r="U3733" s="4"/>
      <c r="V3733" s="4"/>
      <c r="W3733" s="4"/>
      <c r="X3733" s="4"/>
      <c r="Y3733" s="4"/>
      <c r="Z3733" s="4"/>
    </row>
    <row r="3734" ht="15.75" customHeight="1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 t="str">
        <f>IFERROR(__xludf.DUMMYFUNCTION("""COMPUTED_VALUE"""),"Wynberg emergency plumber")</f>
        <v>Wynberg emergency plumber</v>
      </c>
      <c r="U3734" s="4"/>
      <c r="V3734" s="4"/>
      <c r="W3734" s="4"/>
      <c r="X3734" s="4"/>
      <c r="Y3734" s="4"/>
      <c r="Z3734" s="4"/>
    </row>
    <row r="3735" ht="15.75" customHeight="1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 t="str">
        <f>IFERROR(__xludf.DUMMYFUNCTION("""COMPUTED_VALUE"""),"Wynberg geyser repair")</f>
        <v>Wynberg geyser repair</v>
      </c>
      <c r="U3735" s="4"/>
      <c r="V3735" s="4"/>
      <c r="W3735" s="4"/>
      <c r="X3735" s="4"/>
      <c r="Y3735" s="4"/>
      <c r="Z3735" s="4"/>
    </row>
    <row r="3736" ht="15.75" customHeight="1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 t="str">
        <f>IFERROR(__xludf.DUMMYFUNCTION("""COMPUTED_VALUE"""),"Wynberg leak detection plumber")</f>
        <v>Wynberg leak detection plumber</v>
      </c>
      <c r="U3736" s="4"/>
      <c r="V3736" s="4"/>
      <c r="W3736" s="4"/>
      <c r="X3736" s="4"/>
      <c r="Y3736" s="4"/>
      <c r="Z3736" s="4"/>
    </row>
    <row r="3737" ht="15.75" customHeight="1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 t="str">
        <f>IFERROR(__xludf.DUMMYFUNCTION("""COMPUTED_VALUE"""),"Wynberg plumber")</f>
        <v>Wynberg plumber</v>
      </c>
      <c r="U3737" s="4"/>
      <c r="V3737" s="4"/>
      <c r="W3737" s="4"/>
      <c r="X3737" s="4"/>
      <c r="Y3737" s="4"/>
      <c r="Z3737" s="4"/>
    </row>
    <row r="3738" ht="15.75" customHeight="1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 t="str">
        <f>IFERROR(__xludf.DUMMYFUNCTION("""COMPUTED_VALUE"""),"Wynberg plumbers")</f>
        <v>Wynberg plumbers</v>
      </c>
      <c r="U3738" s="4"/>
      <c r="V3738" s="4"/>
      <c r="W3738" s="4"/>
      <c r="X3738" s="4"/>
      <c r="Y3738" s="4"/>
      <c r="Z3738" s="4"/>
    </row>
    <row r="3739" ht="15.75" customHeight="1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 t="str">
        <f>IFERROR(__xludf.DUMMYFUNCTION("""COMPUTED_VALUE"""),"Wynberg plumbing company")</f>
        <v>Wynberg plumbing company</v>
      </c>
      <c r="U3739" s="4"/>
      <c r="V3739" s="4"/>
      <c r="W3739" s="4"/>
      <c r="X3739" s="4"/>
      <c r="Y3739" s="4"/>
      <c r="Z3739" s="4"/>
    </row>
    <row r="3740" ht="15.75" customHeight="1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 t="str">
        <f>IFERROR(__xludf.DUMMYFUNCTION("""COMPUTED_VALUE"""),"Wynberg refrigeration services")</f>
        <v>Wynberg refrigeration services</v>
      </c>
      <c r="U3740" s="4"/>
      <c r="V3740" s="4"/>
      <c r="W3740" s="4"/>
      <c r="X3740" s="4"/>
      <c r="Y3740" s="4"/>
      <c r="Z3740" s="4"/>
    </row>
    <row r="3741" ht="15.75" customHeight="1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</row>
    <row r="3742" ht="15.75" customHeight="1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</row>
    <row r="3743" ht="15.75" customHeight="1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</row>
    <row r="3744" ht="15.75" customHeight="1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</row>
    <row r="3745" ht="15.75" customHeight="1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</row>
    <row r="3746" ht="15.75" customHeight="1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</row>
    <row r="3747" ht="15.75" customHeight="1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</row>
    <row r="3748" ht="15.75" customHeight="1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</row>
    <row r="3749" ht="15.75" customHeight="1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</row>
    <row r="3750" ht="15.75" customHeight="1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</row>
    <row r="3751" ht="15.75" customHeight="1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</row>
    <row r="3752" ht="15.75" customHeight="1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</row>
    <row r="3753" ht="15.75" customHeight="1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</row>
    <row r="3754" ht="15.75" customHeight="1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</row>
    <row r="3755" ht="15.75" customHeight="1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</row>
    <row r="3756" ht="15.75" customHeight="1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</row>
    <row r="3757" ht="15.75" customHeight="1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</row>
    <row r="3758" ht="15.75" customHeight="1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</row>
    <row r="3759" ht="15.75" customHeight="1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</row>
    <row r="3760" ht="15.75" customHeight="1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</row>
    <row r="3761" ht="15.75" customHeight="1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</row>
    <row r="3762" ht="15.75" customHeight="1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</row>
    <row r="3763" ht="15.75" customHeight="1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</row>
    <row r="3764" ht="15.75" customHeight="1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</row>
    <row r="3765" ht="15.75" customHeight="1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</row>
    <row r="3766" ht="15.75" customHeight="1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</row>
    <row r="3767" ht="15.75" customHeight="1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</row>
    <row r="3768" ht="15.75" customHeight="1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</row>
    <row r="3769" ht="15.75" customHeight="1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</row>
    <row r="3770" ht="15.75" customHeight="1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</row>
    <row r="3771" ht="15.75" customHeight="1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</row>
    <row r="3772" ht="15.75" customHeight="1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</row>
    <row r="3773" ht="15.75" customHeight="1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</row>
    <row r="3774" ht="15.75" customHeight="1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</row>
    <row r="3775" ht="15.75" customHeight="1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</row>
    <row r="3776" ht="15.75" customHeight="1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</row>
    <row r="3777" ht="15.75" customHeight="1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</row>
    <row r="3778" ht="15.75" customHeight="1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</row>
    <row r="3779" ht="15.75" customHeight="1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</row>
    <row r="3780" ht="15.75" customHeight="1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</row>
    <row r="3781" ht="15.75" customHeight="1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</row>
    <row r="3782" ht="15.75" customHeight="1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</row>
    <row r="3783" ht="15.75" customHeight="1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</row>
    <row r="3784" ht="15.75" customHeight="1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</row>
    <row r="3785" ht="15.75" customHeight="1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</row>
    <row r="3786" ht="15.75" customHeight="1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</row>
    <row r="3787" ht="15.75" customHeight="1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</row>
    <row r="3788" ht="15.75" customHeight="1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</row>
    <row r="3789" ht="15.75" customHeight="1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</row>
    <row r="3790" ht="15.75" customHeight="1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</row>
    <row r="3791" ht="15.75" customHeight="1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</row>
    <row r="3792" ht="15.75" customHeight="1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</row>
    <row r="3793" ht="15.75" customHeight="1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</row>
    <row r="3794" ht="15.75" customHeight="1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</row>
    <row r="3795" ht="15.75" customHeight="1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</row>
    <row r="3796" ht="15.75" customHeight="1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</row>
    <row r="3797" ht="15.75" customHeight="1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</row>
    <row r="3798" ht="15.75" customHeight="1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</row>
    <row r="3799" ht="15.75" customHeight="1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</row>
    <row r="3800" ht="15.75" customHeight="1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</row>
    <row r="3801" ht="15.75" customHeight="1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</row>
    <row r="3802" ht="15.75" customHeight="1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</row>
    <row r="3803" ht="15.75" customHeight="1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</row>
    <row r="3804" ht="15.75" customHeight="1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 ht="15.75" customHeight="1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 ht="15.75" customHeight="1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 ht="15.75" customHeight="1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 ht="15.75" customHeight="1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 ht="15.75" customHeight="1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 ht="15.75" customHeight="1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 ht="15.75" customHeight="1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 ht="15.75" customHeight="1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 ht="15.75" customHeight="1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 ht="15.75" customHeight="1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 ht="15.75" customHeight="1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 ht="15.75" customHeight="1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 ht="15.75" customHeight="1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 ht="15.75" customHeight="1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 ht="15.75" customHeight="1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 ht="15.75" customHeight="1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 ht="15.75" customHeight="1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 ht="15.75" customHeight="1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 ht="15.75" customHeight="1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 ht="15.75" customHeight="1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 ht="15.75" customHeight="1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 ht="15.75" customHeight="1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 ht="15.75" customHeight="1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 ht="15.75" customHeight="1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 ht="15.75" customHeight="1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 ht="15.75" customHeight="1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 ht="15.75" customHeight="1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 ht="15.75" customHeight="1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 ht="15.75" customHeight="1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 ht="15.75" customHeight="1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 ht="15.75" customHeight="1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 ht="15.75" customHeight="1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 ht="15.75" customHeight="1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 ht="15.75" customHeight="1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 ht="15.75" customHeight="1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 ht="15.75" customHeight="1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 ht="15.75" customHeight="1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 ht="15.75" customHeight="1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 ht="15.75" customHeight="1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 ht="15.75" customHeight="1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 ht="15.75" customHeight="1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 ht="15.75" customHeight="1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 ht="15.75" customHeight="1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 ht="15.75" customHeight="1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 ht="15.75" customHeight="1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 ht="15.75" customHeight="1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 ht="15.75" customHeight="1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 ht="15.75" customHeight="1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 ht="15.75" customHeight="1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 ht="15.75" customHeight="1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 ht="15.75" customHeight="1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 ht="15.75" customHeight="1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 ht="15.75" customHeight="1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 ht="15.75" customHeight="1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 ht="15.75" customHeight="1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 ht="15.75" customHeight="1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 ht="15.75" customHeight="1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 ht="15.75" customHeight="1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 ht="15.75" customHeight="1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 ht="15.75" customHeight="1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 ht="15.75" customHeight="1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 ht="15.75" customHeight="1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 ht="15.75" customHeight="1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 ht="15.75" customHeight="1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 ht="15.75" customHeight="1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 ht="15.75" customHeight="1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 ht="15.75" customHeight="1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 ht="15.75" customHeight="1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 ht="15.75" customHeight="1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 ht="15.75" customHeight="1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 ht="15.75" customHeight="1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 ht="15.75" customHeight="1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 ht="15.75" customHeight="1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 ht="15.75" customHeight="1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 ht="15.75" customHeight="1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 ht="15.75" customHeight="1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 ht="15.75" customHeight="1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 ht="15.75" customHeight="1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 ht="15.75" customHeight="1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 ht="15.75" customHeight="1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 ht="15.75" customHeight="1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 ht="15.75" customHeight="1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 ht="15.75" customHeight="1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 ht="15.75" customHeight="1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 ht="15.75" customHeight="1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 ht="15.75" customHeight="1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 ht="15.75" customHeight="1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 ht="15.75" customHeight="1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 ht="15.75" customHeight="1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 ht="15.75" customHeight="1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 ht="15.75" customHeight="1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 ht="15.75" customHeight="1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 ht="15.75" customHeight="1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 ht="15.75" customHeight="1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 ht="15.75" customHeight="1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 ht="15.75" customHeight="1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 ht="15.75" customHeight="1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 ht="15.75" customHeight="1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 ht="15.75" customHeight="1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 ht="15.75" customHeight="1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 ht="15.75" customHeight="1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 ht="15.75" customHeight="1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 ht="15.75" customHeight="1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 ht="15.75" customHeight="1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 ht="15.75" customHeight="1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 ht="15.75" customHeight="1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 ht="15.75" customHeight="1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 ht="15.75" customHeight="1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 ht="15.75" customHeight="1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 ht="15.75" customHeight="1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 ht="15.75" customHeight="1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 ht="15.75" customHeight="1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 ht="15.75" customHeight="1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 ht="15.75" customHeight="1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 ht="15.75" customHeight="1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 ht="15.75" customHeight="1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 ht="15.75" customHeight="1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 ht="15.75" customHeight="1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 ht="15.75" customHeight="1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 ht="15.75" customHeight="1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 ht="15.75" customHeight="1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 ht="15.75" customHeight="1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 ht="15.75" customHeight="1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 ht="15.75" customHeight="1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 ht="15.75" customHeight="1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 ht="15.75" customHeight="1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 ht="15.75" customHeight="1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 ht="15.75" customHeight="1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 ht="15.75" customHeight="1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 ht="15.75" customHeight="1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 ht="15.75" customHeight="1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 ht="15.75" customHeight="1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 ht="15.75" customHeight="1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 ht="15.75" customHeight="1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 ht="15.75" customHeight="1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 ht="15.75" customHeight="1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 ht="15.75" customHeight="1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 ht="15.75" customHeight="1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 ht="15.75" customHeight="1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 ht="15.75" customHeight="1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 ht="15.75" customHeight="1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 ht="15.75" customHeight="1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 ht="15.75" customHeight="1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 ht="15.75" customHeight="1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 ht="15.75" customHeight="1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 ht="15.75" customHeight="1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 ht="15.75" customHeight="1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 ht="15.75" customHeight="1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 ht="15.75" customHeight="1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 ht="15.75" customHeight="1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 ht="15.75" customHeight="1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 ht="15.75" customHeight="1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 ht="15.75" customHeight="1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 ht="15.75" customHeight="1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 ht="15.75" customHeight="1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 ht="15.75" customHeight="1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 ht="15.75" customHeight="1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 ht="15.75" customHeight="1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 ht="15.75" customHeight="1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 ht="15.75" customHeight="1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 ht="15.75" customHeight="1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 ht="15.75" customHeight="1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 ht="15.75" customHeight="1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 ht="15.75" customHeight="1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 ht="15.75" customHeight="1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 ht="15.75" customHeight="1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 ht="15.75" customHeight="1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 ht="15.75" customHeight="1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 ht="15.75" customHeight="1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 ht="15.75" customHeight="1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 ht="15.75" customHeight="1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 ht="15.75" customHeight="1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 ht="15.75" customHeight="1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 ht="15.75" customHeight="1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 ht="15.75" customHeight="1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 ht="15.75" customHeight="1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 ht="15.75" customHeight="1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 ht="15.75" customHeight="1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 ht="15.75" customHeight="1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 ht="15.75" customHeight="1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 ht="15.75" customHeight="1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 ht="15.75" customHeight="1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 ht="15.75" customHeight="1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 ht="15.75" customHeight="1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 ht="15.75" customHeight="1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 ht="15.75" customHeight="1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 ht="15.75" customHeight="1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 ht="15.75" customHeight="1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 ht="15.75" customHeight="1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 ht="15.75" customHeight="1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 ht="15.75" customHeight="1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 ht="15.75" customHeight="1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 ht="15.75" customHeight="1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 ht="15.75" customHeight="1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 ht="15.75" customHeight="1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 ht="15.75" customHeight="1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 ht="15.75" customHeight="1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 ht="15.75" customHeight="1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  <row r="4003" ht="15.75" customHeight="1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</row>
    <row r="4004" ht="15.75" customHeight="1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</row>
    <row r="4005" ht="15.75" customHeight="1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</row>
    <row r="4006" ht="15.75" customHeight="1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</row>
    <row r="4007" ht="15.75" customHeight="1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</row>
    <row r="4008" ht="15.75" customHeight="1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</row>
    <row r="4009" ht="15.75" customHeight="1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</row>
    <row r="4010" ht="15.75" customHeight="1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</row>
    <row r="4011" ht="15.75" customHeight="1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</row>
    <row r="4012" ht="15.75" customHeight="1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</row>
    <row r="4013" ht="15.75" customHeight="1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</row>
    <row r="4014" ht="15.75" customHeight="1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</row>
    <row r="4015" ht="15.75" customHeight="1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</row>
    <row r="4016" ht="15.75" customHeight="1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</row>
    <row r="4017" ht="15.75" customHeight="1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</row>
    <row r="4018" ht="15.75" customHeight="1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</row>
    <row r="4019" ht="15.75" customHeight="1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</row>
    <row r="4020" ht="15.75" customHeight="1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</row>
    <row r="4021" ht="15.75" customHeight="1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</row>
    <row r="4022" ht="15.75" customHeight="1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</row>
    <row r="4023" ht="15.75" customHeight="1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</row>
    <row r="4024" ht="15.75" customHeight="1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</row>
    <row r="4025" ht="15.75" customHeight="1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</row>
    <row r="4026" ht="15.75" customHeight="1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</row>
    <row r="4027" ht="15.75" customHeight="1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</row>
    <row r="4028" ht="15.75" customHeight="1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</row>
    <row r="4029" ht="15.75" customHeight="1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</row>
    <row r="4030" ht="15.75" customHeight="1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</row>
    <row r="4031" ht="15.75" customHeight="1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</row>
    <row r="4032" ht="15.75" customHeight="1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</row>
    <row r="4033" ht="15.75" customHeight="1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</row>
    <row r="4034" ht="15.75" customHeight="1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</row>
    <row r="4035" ht="15.75" customHeight="1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</row>
    <row r="4036" ht="15.75" customHeight="1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</row>
    <row r="4037" ht="15.75" customHeight="1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</row>
    <row r="4038" ht="15.75" customHeight="1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</row>
    <row r="4039" ht="15.75" customHeight="1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</row>
    <row r="4040" ht="15.75" customHeight="1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</row>
    <row r="4041" ht="15.75" customHeight="1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</row>
    <row r="4042" ht="15.75" customHeight="1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</row>
    <row r="4043" ht="15.75" customHeight="1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</row>
    <row r="4044" ht="15.75" customHeight="1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</row>
    <row r="4045" ht="15.75" customHeight="1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</row>
    <row r="4046" ht="15.75" customHeight="1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</row>
    <row r="4047" ht="15.75" customHeight="1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</row>
    <row r="4048" ht="15.75" customHeight="1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</row>
    <row r="4049" ht="15.75" customHeight="1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</row>
    <row r="4050" ht="15.75" customHeight="1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</row>
    <row r="4051" ht="15.75" customHeight="1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</row>
    <row r="4052" ht="15.75" customHeight="1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</row>
    <row r="4053" ht="15.75" customHeight="1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</row>
    <row r="4054" ht="15.75" customHeight="1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</row>
    <row r="4055" ht="15.75" customHeight="1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</row>
    <row r="4056" ht="15.75" customHeight="1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</row>
    <row r="4057" ht="15.75" customHeight="1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</row>
    <row r="4058" ht="15.75" customHeight="1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</row>
    <row r="4059" ht="15.75" customHeight="1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</row>
    <row r="4060" ht="15.75" customHeight="1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</row>
    <row r="4061" ht="15.75" customHeight="1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</row>
    <row r="4062" ht="15.75" customHeight="1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</row>
    <row r="4063" ht="15.75" customHeight="1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</row>
    <row r="4064" ht="15.75" customHeight="1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</row>
    <row r="4065" ht="15.75" customHeight="1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</row>
    <row r="4066" ht="15.75" customHeight="1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</row>
    <row r="4067" ht="15.75" customHeight="1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</row>
    <row r="4068" ht="15.75" customHeight="1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</row>
    <row r="4069" ht="15.75" customHeight="1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</row>
    <row r="4070" ht="15.75" customHeight="1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</row>
    <row r="4071" ht="15.75" customHeight="1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</row>
    <row r="4072" ht="15.75" customHeight="1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</row>
    <row r="4073" ht="15.75" customHeight="1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</row>
    <row r="4074" ht="15.75" customHeight="1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</row>
    <row r="4075" ht="15.75" customHeight="1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</row>
    <row r="4076" ht="15.75" customHeight="1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</row>
    <row r="4077" ht="15.75" customHeight="1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</row>
    <row r="4078" ht="15.75" customHeight="1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</row>
    <row r="4079" ht="15.75" customHeight="1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</row>
    <row r="4080" ht="15.75" customHeight="1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</row>
    <row r="4081" ht="15.75" customHeight="1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</row>
    <row r="4082" ht="15.75" customHeight="1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</row>
    <row r="4083" ht="15.75" customHeight="1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</row>
    <row r="4084" ht="15.75" customHeight="1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</row>
    <row r="4085" ht="15.75" customHeight="1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</row>
    <row r="4086" ht="15.75" customHeight="1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</row>
    <row r="4087" ht="15.75" customHeight="1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</row>
    <row r="4088" ht="15.75" customHeight="1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</row>
    <row r="4089" ht="15.75" customHeight="1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</row>
    <row r="4090" ht="15.75" customHeight="1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</row>
    <row r="4091" ht="15.75" customHeight="1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</row>
    <row r="4092" ht="15.75" customHeight="1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</row>
    <row r="4093" ht="15.75" customHeight="1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</row>
    <row r="4094" ht="15.75" customHeight="1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</row>
    <row r="4095" ht="15.75" customHeight="1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</row>
    <row r="4096" ht="15.75" customHeight="1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</row>
    <row r="4097" ht="15.75" customHeight="1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</row>
    <row r="4098" ht="15.75" customHeight="1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</row>
    <row r="4099" ht="15.75" customHeight="1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</row>
    <row r="4100" ht="15.75" customHeight="1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</row>
    <row r="4101" ht="15.75" customHeight="1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</row>
    <row r="4102" ht="15.75" customHeight="1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</row>
    <row r="4103" ht="15.75" customHeight="1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</row>
    <row r="4104" ht="15.75" customHeight="1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</row>
    <row r="4105" ht="15.75" customHeight="1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</row>
    <row r="4106" ht="15.75" customHeight="1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</row>
    <row r="4107" ht="15.75" customHeight="1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</row>
    <row r="4108" ht="15.75" customHeight="1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</row>
    <row r="4109" ht="15.75" customHeight="1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</row>
    <row r="4110" ht="15.75" customHeight="1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</row>
    <row r="4111" ht="15.75" customHeight="1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</row>
    <row r="4112" ht="15.75" customHeight="1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</row>
    <row r="4113" ht="15.75" customHeight="1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</row>
    <row r="4114" ht="15.75" customHeight="1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</row>
    <row r="4115" ht="15.75" customHeight="1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</row>
    <row r="4116" ht="15.75" customHeight="1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</row>
    <row r="4117" ht="15.75" customHeight="1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</row>
    <row r="4118" ht="15.75" customHeight="1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</row>
    <row r="4119" ht="15.75" customHeight="1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</row>
    <row r="4120" ht="15.75" customHeight="1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</row>
    <row r="4121" ht="15.75" customHeight="1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</row>
    <row r="4122" ht="15.75" customHeight="1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</row>
    <row r="4123" ht="15.75" customHeight="1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</row>
    <row r="4124" ht="15.75" customHeight="1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</row>
    <row r="4125" ht="15.75" customHeight="1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</row>
    <row r="4126" ht="15.75" customHeight="1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</row>
    <row r="4127" ht="15.75" customHeight="1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</row>
    <row r="4128" ht="15.75" customHeight="1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</row>
    <row r="4129" ht="15.75" customHeight="1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</row>
    <row r="4130" ht="15.75" customHeight="1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</row>
    <row r="4131" ht="15.75" customHeight="1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</row>
    <row r="4132" ht="15.75" customHeight="1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</row>
    <row r="4133" ht="15.75" customHeight="1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</row>
    <row r="4134" ht="15.75" customHeight="1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</row>
    <row r="4135" ht="15.75" customHeight="1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</row>
    <row r="4136" ht="15.75" customHeight="1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</row>
    <row r="4137" ht="15.75" customHeight="1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</row>
    <row r="4138" ht="15.75" customHeight="1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</row>
    <row r="4139" ht="15.75" customHeight="1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</row>
    <row r="4140" ht="15.75" customHeight="1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</row>
    <row r="4141" ht="15.75" customHeight="1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</row>
    <row r="4142" ht="15.75" customHeight="1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</row>
    <row r="4143" ht="15.75" customHeight="1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</row>
    <row r="4144" ht="15.75" customHeight="1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</row>
    <row r="4145" ht="15.75" customHeight="1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</row>
    <row r="4146" ht="15.75" customHeight="1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</row>
    <row r="4147" ht="15.75" customHeight="1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</row>
    <row r="4148" ht="15.75" customHeight="1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</row>
    <row r="4149" ht="15.75" customHeight="1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</row>
    <row r="4150" ht="15.75" customHeight="1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</row>
    <row r="4151" ht="15.75" customHeight="1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</row>
    <row r="4152" ht="15.75" customHeight="1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</row>
    <row r="4153" ht="15.75" customHeight="1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</row>
    <row r="4154" ht="15.75" customHeight="1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</row>
    <row r="4155" ht="15.75" customHeight="1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</row>
    <row r="4156" ht="15.75" customHeight="1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</row>
    <row r="4157" ht="15.75" customHeight="1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</row>
    <row r="4158" ht="15.75" customHeight="1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</row>
    <row r="4159" ht="15.75" customHeight="1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</row>
    <row r="4160" ht="15.75" customHeight="1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</row>
    <row r="4161" ht="15.75" customHeight="1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</row>
    <row r="4162" ht="15.75" customHeight="1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</row>
    <row r="4163" ht="15.75" customHeight="1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</row>
    <row r="4164" ht="15.75" customHeight="1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</row>
    <row r="4165" ht="15.75" customHeight="1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</row>
    <row r="4166" ht="15.75" customHeight="1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</row>
    <row r="4167" ht="15.75" customHeight="1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</row>
    <row r="4168" ht="15.75" customHeight="1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</row>
    <row r="4169" ht="15.75" customHeight="1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</row>
    <row r="4170" ht="15.75" customHeight="1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</row>
    <row r="4171" ht="15.75" customHeight="1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</row>
    <row r="4172" ht="15.75" customHeight="1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</row>
    <row r="4173" ht="15.75" customHeight="1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</row>
    <row r="4174" ht="15.75" customHeight="1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</row>
    <row r="4175" ht="15.75" customHeight="1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</row>
    <row r="4176" ht="15.75" customHeight="1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</row>
    <row r="4177" ht="15.75" customHeight="1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</row>
    <row r="4178" ht="15.75" customHeight="1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</row>
    <row r="4179" ht="15.75" customHeight="1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</row>
    <row r="4180" ht="15.75" customHeight="1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</row>
    <row r="4181" ht="15.75" customHeight="1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</row>
    <row r="4182" ht="15.75" customHeight="1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</row>
    <row r="4183" ht="15.75" customHeight="1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</row>
    <row r="4184" ht="15.75" customHeight="1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</row>
    <row r="4185" ht="15.75" customHeight="1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</row>
    <row r="4186" ht="15.75" customHeight="1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</row>
    <row r="4187" ht="15.75" customHeight="1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</row>
    <row r="4188" ht="15.75" customHeight="1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</row>
    <row r="4189" ht="15.75" customHeight="1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</row>
    <row r="4190" ht="15.75" customHeight="1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</row>
    <row r="4191" ht="15.75" customHeight="1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</row>
    <row r="4192" ht="15.75" customHeight="1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</row>
    <row r="4193" ht="15.75" customHeight="1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</row>
    <row r="4194" ht="15.75" customHeight="1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</row>
    <row r="4195" ht="15.75" customHeight="1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</row>
    <row r="4196" ht="15.75" customHeight="1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</row>
    <row r="4197" ht="15.75" customHeight="1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</row>
    <row r="4198" ht="15.75" customHeight="1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</row>
    <row r="4199" ht="15.75" customHeight="1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</row>
    <row r="4200" ht="15.75" customHeight="1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</row>
    <row r="4201" ht="15.75" customHeight="1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</row>
    <row r="4202" ht="15.75" customHeight="1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</row>
    <row r="4203" ht="15.75" customHeight="1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</row>
    <row r="4204" ht="15.75" customHeight="1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</row>
    <row r="4205" ht="15.75" customHeight="1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</row>
    <row r="4206" ht="15.75" customHeight="1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</row>
    <row r="4207" ht="15.75" customHeight="1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</row>
    <row r="4208" ht="15.75" customHeight="1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</row>
    <row r="4209" ht="15.75" customHeight="1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</row>
    <row r="4210" ht="15.75" customHeight="1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</row>
    <row r="4211" ht="15.75" customHeight="1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</row>
    <row r="4212" ht="15.75" customHeight="1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</row>
    <row r="4213" ht="15.75" customHeight="1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</row>
    <row r="4214" ht="15.75" customHeight="1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</row>
    <row r="4215" ht="15.75" customHeight="1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</row>
    <row r="4216" ht="15.75" customHeight="1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</row>
    <row r="4217" ht="15.75" customHeight="1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</row>
    <row r="4218" ht="15.75" customHeight="1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</row>
    <row r="4219" ht="15.75" customHeight="1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</row>
    <row r="4220" ht="15.75" customHeight="1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</row>
    <row r="4221" ht="15.75" customHeight="1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</row>
    <row r="4222" ht="15.75" customHeight="1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</row>
    <row r="4223" ht="15.75" customHeight="1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</row>
    <row r="4224" ht="15.75" customHeight="1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</row>
    <row r="4225" ht="15.75" customHeight="1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</row>
    <row r="4226" ht="15.75" customHeight="1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</row>
    <row r="4227" ht="15.75" customHeight="1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</row>
    <row r="4228" ht="15.75" customHeight="1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</row>
    <row r="4229" ht="15.75" customHeight="1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</row>
    <row r="4230" ht="15.75" customHeight="1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</row>
    <row r="4231" ht="15.75" customHeight="1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</row>
    <row r="4232" ht="15.75" customHeight="1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</row>
    <row r="4233" ht="15.75" customHeight="1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</row>
    <row r="4234" ht="15.75" customHeight="1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</row>
    <row r="4235" ht="15.75" customHeight="1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</row>
    <row r="4236" ht="15.75" customHeight="1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</row>
    <row r="4237" ht="15.75" customHeight="1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</row>
    <row r="4238" ht="15.75" customHeight="1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</row>
    <row r="4239" ht="15.75" customHeight="1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</row>
    <row r="4240" ht="15.75" customHeight="1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</row>
  </sheetData>
  <printOptions/>
  <pageMargins bottom="0.75" footer="0.0" header="0.0" left="0.7" right="0.7" top="0.75"/>
  <pageSetup orientation="landscape"/>
  <drawing r:id="rId1"/>
</worksheet>
</file>