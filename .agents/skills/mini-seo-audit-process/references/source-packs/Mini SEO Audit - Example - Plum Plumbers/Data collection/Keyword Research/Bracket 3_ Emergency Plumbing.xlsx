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Overview!$A$1:$Z$1000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<sst xmlns="http://schemas.openxmlformats.org/spreadsheetml/2006/main" count="17137" uniqueCount="8196">
  <si>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</si>
  <si>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</si>
  <si>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</si>
  <si>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</si>
  <si>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</si>
  <si>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</si>
  <si>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</si>
  <si>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</si>
  <si>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</si>
  <si>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</si>
  <si>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emergency plumber</t>
  </si>
  <si>
    <t>Global volume</t>
  </si>
  <si>
    <t>Traffic potential</t>
  </si>
  <si>
    <t>Global traffic potential</t>
  </si>
  <si>
    <t>First seen</t>
  </si>
  <si>
    <t>Intents</t>
  </si>
  <si>
    <t>24 hour plumber</t>
  </si>
  <si>
    <t>Languages</t>
  </si>
  <si>
    <t>SV trend (08-2024 - 07-2026)</t>
  </si>
  <si>
    <t>burst pipe repair</t>
  </si>
  <si>
    <t>SV Forecasting trend (08-2026 - 08-2027)</t>
  </si>
  <si>
    <t>Category</t>
  </si>
  <si>
    <t>leaking pipe repair</t>
  </si>
  <si>
    <t>how to repair a leaking tap</t>
  </si>
  <si>
    <t>leaking tap repair</t>
  </si>
  <si>
    <t>za</t>
  </si>
  <si>
    <t>blocked toilet plumber</t>
  </si>
  <si>
    <t>toilet repair</t>
  </si>
  <si>
    <t>plumbing services</t>
  </si>
  <si>
    <t>bathroom plumbing repair</t>
  </si>
  <si>
    <t>kitchen plumbing repair</t>
  </si>
  <si>
    <t>AI Overview,Thumbnail,People also ask,Knowledge panel</t>
  </si>
  <si>
    <t>9, 6, 9, 12, 7, 14, 6, 10, 13, 10, 5, 8, 7, 7, 7, 2, 7, 2, 5, 5, 9, 10, 3, 8</t>
  </si>
  <si>
    <t>water leak repair</t>
  </si>
  <si>
    <t>how to repair washing machine water leak</t>
  </si>
  <si>
    <t>Informational,Commercial,Transactional,Non-branded,Local</t>
  </si>
  <si>
    <t>English</t>
  </si>
  <si>
    <t>Combined - base phrase + modifier</t>
  </si>
  <si>
    <t>199, 252, 251, 212, 364, 495, 357, 239, 352, 279, 248, 229, 219, 225, 257, 202, 245, 242, 225, 220, 251, 234, 234, 208</t>
  </si>
  <si>
    <t>218, 233, 231, 235, 267, 246, 229, 225, 256, 239, 238, 213</t>
  </si>
  <si>
    <t>Plumbing</t>
  </si>
  <si>
    <t>24 hour plumber near me</t>
  </si>
  <si>
    <t>0, 0, 0, 0, 0, 0, 0, 0, 2, 0, 0, 0, 0, 5, 0, 0, 0, 0, 0, 0, 0, 0, 0, 1</t>
  </si>
  <si>
    <t>24 hour plumbers near me</t>
  </si>
  <si>
    <t>how much does emergency plumber cost</t>
  </si>
  <si>
    <t>Local pack,People also ask</t>
  </si>
  <si>
    <t>0, 0, 0, 0, 1, 0, 0, 0, 0, 0, 0, 0, 0, 0, 0, 0, 0, 0, 0, 0, 0, 0, 0, 1</t>
  </si>
  <si>
    <t>Commercial,Transactional,Non-branded,Local</t>
  </si>
  <si>
    <t>how to repair a water pipe leak</t>
  </si>
  <si>
    <t>54, 61, 67, 59, 79, 86, 78, 108, 97, 111, 102, 123, 100, 111, 134, 109, 181, 157, 141, 169, 137, 113, 92, 115</t>
  </si>
  <si>
    <t>emergency plumber near me</t>
  </si>
  <si>
    <t>1, 0, 0, 0, 0, 3, 1, 0, 0, 1, 1, 0, 1, 1, 0, 0, 0, 0, 0, 3, 0, 1, 0, 2</t>
  </si>
  <si>
    <t>how to repair a leaking stop tap</t>
  </si>
  <si>
    <t>plumber near me</t>
  </si>
  <si>
    <t>People also ask,Knowledge panel</t>
  </si>
  <si>
    <t>0, 0, 0, 0, 0, 0, 0, 0, 0, 0, 0, 0, 0, 0, 0, 0, 0, 0, 0, 0, 0, 0, 0, 1</t>
  </si>
  <si>
    <t>how to repair a tap leaking</t>
  </si>
  <si>
    <t>72, 92, 94, 96, 153, 171, 126, 230, 185, 215, 191, 191, 103, 121, 165, 125, 166, 220, 112, 172, 151, 153, 117, 118</t>
  </si>
  <si>
    <t>0, 0, 0, 0, 0, 0, 0, 0, 0, 0, 0, 0, 0, 0, 0, 0, 0, 0, 0, 2, 0, 0, 0, 1</t>
  </si>
  <si>
    <t>emergency plumber cape town</t>
  </si>
  <si>
    <t>how much for an emergency plumber</t>
  </si>
  <si>
    <t>24 hour plumber cape town</t>
  </si>
  <si>
    <t>0, 0, 0, 0, 1, 0, 0, 0, 0, 0, 2, 0, 0, 0, 0, 0, 0, 0, 0, 0, 0, 0, 0, 1</t>
  </si>
  <si>
    <t>23, 19, 13, 16, 36, 29, 8, 17, 23, 22, 19, 190, 186, 152, 67, 57, 71, 78, 53, 89, 121, 105, 103, 111</t>
  </si>
  <si>
    <t>when to call an emergency plumber</t>
  </si>
  <si>
    <t>Combined - modifier + base phrase</t>
  </si>
  <si>
    <t>1, 1, 1, 0, 0, 0, 0, 0, 0, 1, 0, 1, 1, 0, 0, 0, 0, 0, 0, 0, 0, 0, 0, 1</t>
  </si>
  <si>
    <t>how to repair leaking tap in bathroom</t>
  </si>
  <si>
    <t>People also ask</t>
  </si>
  <si>
    <t>0, 0, 0, 0, 0, 0, 0, 0, 0, 0, 0, 0, 0, 0, 0, 1, 1, 0, 1, 3, 0, 2, 0, 2</t>
  </si>
  <si>
    <t>modifier</t>
  </si>
  <si>
    <t>how to repair a water leak in the wall</t>
  </si>
  <si>
    <t>51, 41, 43, 28, 42, 47, 44, 32, 39, 33, 30, 21, 194, 212, 156, 84, 80, 97, 83, 73, 150, 122, 67, 83</t>
  </si>
  <si>
    <t>base phrase + modifier</t>
  </si>
  <si>
    <t>emergency plumber johannesburg</t>
  </si>
  <si>
    <t>when to call emergency plumber</t>
  </si>
  <si>
    <t>2, 3, 2, 4, 5, 0, 5, 3, 4, 4, 2, 105, 102, 107, 72, 100, 94, 86, 74, 118, 132, 120, 141, 132</t>
  </si>
  <si>
    <t>0, 0, 0, 0, 1, 0, 0, 0, 0, 1, 0, 0, 0, 0, 0, 0, 0, 0, 0, 0, 0, 0, 0, 1</t>
  </si>
  <si>
    <t>emergency plumber randburg</t>
  </si>
  <si>
    <t>how to repair leaking tap spindle</t>
  </si>
  <si>
    <t>0, 1, 0, 0, 0, 0, 0, 0, 0, 0, 0, 0, 0, 0, 0, 0, 0, 0, 0, 0, 0, 0, 0, 1</t>
  </si>
  <si>
    <t>how to repair water heater leak</t>
  </si>
  <si>
    <t>8, 16, 35, 46, 43, 23, 9, 6, 25, 23, 10, 214, 224, 166, 53, 74, 60, 89, 66, 35, 33, 36, 21, 30</t>
  </si>
  <si>
    <t>0, 0, 0, 0, 0, 0, 0, 0, 0, 0, 2, 0, 0, 0, 0, 1, 0, 0, 0, 0, 0, 0, 0, 1</t>
  </si>
  <si>
    <t>how much does it cost to repair a burst pipe</t>
  </si>
  <si>
    <t>24 hour emergency plumber near me</t>
  </si>
  <si>
    <t>plumbers johannesburg</t>
  </si>
  <si>
    <t>0, 0, 0, 0, 1, 1, 0, 1, 0, 0, 0, 0, 0, 0, 0, 0, 0, 0, 0, 0, 0, 0, 0, 1</t>
  </si>
  <si>
    <t>12, 16, 24, 22, 18, 19, 22, 48, 58, 60, 57, 56, 64, 55, 59, 113, 92, 70, 63, 72, 68, 57, 50, 59</t>
  </si>
  <si>
    <t>how much to repair a burst pipe</t>
  </si>
  <si>
    <t>modifier + base phrase</t>
  </si>
  <si>
    <t>4, 5, 8, 8, 12, 5, 6, 9, 10, 4, 6, 1, 2, 4, 1, 0, 4, 3, 3, 5, 1, 762, 3, 247</t>
  </si>
  <si>
    <t>how much is an emergency plumber uk</t>
  </si>
  <si>
    <t>0, 0, 0, 0, 0, 0, 0, 0, 1, 0, 0, 0, 0, 0, 0, 0, 0, 0, 0, 0, 0, 0, 0, 1</t>
  </si>
  <si>
    <t>92, 45, 80, 83, 172, 69, 70, 105, 105, 94, 79, 92, 85, 79, 75, 54, 90, 56, 52, 62, 76, 65, 54, 59</t>
  </si>
  <si>
    <t>57, 52, 68, 81, 89, 56, 51, 62, 75, 65, 54, 58</t>
  </si>
  <si>
    <t>how much is a emergency plumber</t>
  </si>
  <si>
    <t>0, 0, 0, 1, 0, 0, 0, 0, 0, 1, 0, 0, 0, 0, 0, 0, 0, 0, 0, 0, 0, 0, 0, 1</t>
  </si>
  <si>
    <t>how to find emergency plumber</t>
  </si>
  <si>
    <t>44, 39, 32, 53, 45, 38, 32, 53, 70, 68, 69, 46, 64, 50, 47, 60, 85, 80, 65, 73, 74, 53, 40, 57</t>
  </si>
  <si>
    <t>0, 0, 0, 0, 0, 0, 0, 1, 0, 0, 1, 1, 0, 0, 0, 0, 0, 0, 0, 0, 0, 0, 0, 1</t>
  </si>
  <si>
    <t>cape town</t>
  </si>
  <si>
    <t>how to repair water tap leaking</t>
  </si>
  <si>
    <t>7, 10, 8, 16, 27, 58, 43, 46, 60, 58, 57, 42, 59, 57, 39, 56, 48, 52, 50, 42, 51, 38, 27, 39</t>
  </si>
  <si>
    <t>water leak detection</t>
  </si>
  <si>
    <t>1, 1, 0, 1, 0, 0, 0, 0, 0, 0, 0, 0, 0, 0, 0, 0, 0, 0, 0, 0, 0, 0, 0, 1</t>
  </si>
  <si>
    <t>how to pick an emergency plumber</t>
  </si>
  <si>
    <t>0, 0, 0, 0, 0, 0, 0, 0, 2, 0, 1, 0, 0, 0, 0, 0, 0, 0, 0, 0, 0, 0, 0, 1</t>
  </si>
  <si>
    <t>why call an emergency plumber</t>
  </si>
  <si>
    <t>40, 13, 42, 26, 29, 41, 24, 38, 32, 38, 45, 37, 39, 28, 23, 29, 22, 27, 21, 38, 23, 21, 30, 25</t>
  </si>
  <si>
    <t>blocked toilet plumber cost</t>
  </si>
  <si>
    <t>what is an emergency plumber</t>
  </si>
  <si>
    <t>0, 0, 1, 1, 0, 0, 0, 1, 0, 1, 0, 2, 30, 36, 29, 31, 31, 33, 28, 24, 27, 10, 10, 11</t>
  </si>
  <si>
    <t>0, 1, 0, 0, 0, 1, 0, 0, 0, 1, 0, 0, 1, 0, 0, 0, 0, 0, 0, 0, 0, 1, 0, 1</t>
  </si>
  <si>
    <t>how to repair a leaking mixer tap</t>
  </si>
  <si>
    <t>leaking taps</t>
  </si>
  <si>
    <t>9, 18, 14, 10, 11, 19, 9, 34, 24, 21, 25, 49, 39, 43, 23, 13, 20, 38, 39, 42, 23, 36, 36, 33</t>
  </si>
  <si>
    <t>2, 12, 1, 1, 2, 1, 0, 0, 0, 3, 1, 2, 0, 1, 1, 0, 0, 2, 1, 0, 1, 2, 0, 2</t>
  </si>
  <si>
    <t>how to repair main water line leak</t>
  </si>
  <si>
    <t>emergency plumber in witbank</t>
  </si>
  <si>
    <t>how to fix toilet</t>
  </si>
  <si>
    <t>how much does an emergency plumber charge</t>
  </si>
  <si>
    <t>People also ask,Local pack,Video preview,Image pack</t>
  </si>
  <si>
    <t>0, 0, 0, 0, 0, 0, 0, 0, 0, 0, 0, 61, 62, 60, 65, 60, 63, 64, 77, 46, 0, 1, 0, 1</t>
  </si>
  <si>
    <t>emergency plumber durban</t>
  </si>
  <si>
    <t>0, 0, 0, 0, 0, 0, 0, 0, 0, 1, 0, 0, 0, 0, 0, 0, 0, 0, 0, 0, 0, 0, 0, 1</t>
  </si>
  <si>
    <t>Informational,Commercial,Non-branded,Non-local</t>
  </si>
  <si>
    <t>when do you need an emergency plumber</t>
  </si>
  <si>
    <t>32, 64, 71, 69, 69, 69, 58, 133, 107, 96, 152, 31, 28, 22, 15, 22, 11, 15, 15, 24, 37, 29, 38, 35</t>
  </si>
  <si>
    <t>blocked toilet plumber near me</t>
  </si>
  <si>
    <t>3, 2, 3, 0, 6, 1, 4, 9, 4, 0, 1, 59, 33, 35, 24, 22, 46, 61, 22, 35, 42, 31, 34, 35</t>
  </si>
  <si>
    <t>0, 0, 1, 1, 0, 0, 0, 0, 0, 0, 0, 0, 0, 0, 0, 0, 0, 0, 0, 0, 0, 0, 0, 1</t>
  </si>
  <si>
    <t>24 hour plumber gardens</t>
  </si>
  <si>
    <t>how much does it cost to repair a water leak</t>
  </si>
  <si>
    <t>0, 0, 1, 0, 0, 0, 0, 0, 1, 0, 0, 0, 0, 0, 0, 1, 0, 0, 0, 0, 0, 0, 0, 1</t>
  </si>
  <si>
    <t>2, 1, 1, 3, 2, 0, 5, 7, 1, 2, 1, 33, 30, 31, 25, 18, 31, 27, 15, 22, 14, 19, 22, 19</t>
  </si>
  <si>
    <t>how to repair water leak in ceiling</t>
  </si>
  <si>
    <t>burst pipe repair cape town</t>
  </si>
  <si>
    <t>0, 0, 0, 0, 0, 0, 0, 0, 0, 0, 0, 2, 33, 32, 78, 33, 31, 62, 32, 30, 48, 34, 26, 30</t>
  </si>
  <si>
    <t>24 hour plumber freysnaye</t>
  </si>
  <si>
    <t>1, 0, 2, 1, 1, 0, 3, 0, 2, 0, 0, 0, 0, 0, 0, 0, 0, 0, 1, 0, 1, 0, 0, 1</t>
  </si>
  <si>
    <t>0, 0, 0, 0, 0, 0, 0, 0, 0, 0, 0, 0, 0, 0, 0, 0, 24, 5, 0, 37, 28, 12, 3, 15</t>
  </si>
  <si>
    <t>how much is a burst pipe repair</t>
  </si>
  <si>
    <t>burst pipe repair near me</t>
  </si>
  <si>
    <t>0, 0, 0, 1, 0, 0, 0, 0, 0, 0, 0, 1, 46, 32, 33, 61, 57, 58, 52, 40, 33, 31, 30, 46</t>
  </si>
  <si>
    <t>emergency plumber plumstead</t>
  </si>
  <si>
    <t>0, 0, 0, 0, 0, 0, 1, 0, 0, 0, 1, 0, 0, 0, 0, 0, 0, 0, 0, 0, 0, 2, 0, 2</t>
  </si>
  <si>
    <t>5, 7, 11, 3, 6, 13, 7, 21, 18, 22, 19, 19, 12, 10, 13, 20, 13, 8, 3, 0, 5, 3, 0, 4</t>
  </si>
  <si>
    <t>how to repair water leak</t>
  </si>
  <si>
    <t>toilet repair near me</t>
  </si>
  <si>
    <t>0, 0, 0, 0, 1, 0, 0, 0, 0, 0, 0, 1, 30, 32, 70, 52, 48, 55, 35, 28, 41, 33, 27, 3</t>
  </si>
  <si>
    <t>1, 0, 0, 1, 2, 0, 0, 0, 0, 0, 0, 1, 0, 0, 0, 0, 0, 0, 0, 0, 0, 0, 0, 1</t>
  </si>
  <si>
    <t>emergency plumber fresnaye</t>
  </si>
  <si>
    <t>how to repair tap leaking</t>
  </si>
  <si>
    <t>11, 18, 27, 27, 28, 31, 22, 29, 32, 35, 36, 11, 5, 2, 3, 4, 6, 14, 7, 10, 4, 9, 59, 24</t>
  </si>
  <si>
    <t>water leak repair cost</t>
  </si>
  <si>
    <t>0, 0, 0, 1, 0, 0, 0, 0, 0, 0, 1, 1, 1, 0, 0, 0, 0, 0, 0, 0, 0, 0, 1, 1</t>
  </si>
  <si>
    <t>0, 0, 0, 0, 0, 0, 0, 0, 0, 0, 0, 0, 0, 0, 14, 71, 66, 82, 63, 83, 50, 3, 0, 2</t>
  </si>
  <si>
    <t>how long does it take to repair a burst pipe</t>
  </si>
  <si>
    <t>emergency plumber freysnaye</t>
  </si>
  <si>
    <t>2, 2, 1, 1, 1, 0, 4, 1, 0, 1, 3, 0, 1, 0, 0, 0, 0, 1, 0, 1, 0, 0, 0, 1</t>
  </si>
  <si>
    <t>water leak repair near me</t>
  </si>
  <si>
    <t>how to find an emergency plumber</t>
  </si>
  <si>
    <t>0, 0, 0, 0, 0, 0, 0, 0, 0, 0, 0, 2, 30, 31, 48, 61, 62, 57, 60, 56, 69, 32, 2, 26</t>
  </si>
  <si>
    <t>12, 11, 16, 16, 13, 14, 18, 14, 26, 15, 11, 23, 0, 2, 2, 3, 1, 3, 2, 1, 1, 2, 1, 1</t>
  </si>
  <si>
    <t>24 hour plumber plumstead</t>
  </si>
  <si>
    <t>water leak repair company</t>
  </si>
  <si>
    <t>0, 1, 0, 0, 1, 0, 0, 0, 0, 1, 0, 0, 0, 0, 0, 0, 0, 0, 0, 0, 0, 0, 0, 1</t>
  </si>
  <si>
    <t>how to repair a water leak</t>
  </si>
  <si>
    <t>0, 0, 0, 0, 0, 2, 0, 2, 1, 1, 2, 0, 0, 0, 0, 0, 0, 0, 0, 0, 0, 0, 0, 1</t>
  </si>
  <si>
    <t>0, 0, 0, 1, 0, 0, 0, 0, 0, 0, 1, 0, 32, 30, 40, 46, 25, 32, 37, 28, 36, 32, 26, 32</t>
  </si>
  <si>
    <t>leaking pipe repair near me</t>
  </si>
  <si>
    <t>0, 0, 0, 0, 0, 1, 0, 0, 0, 0, 0, 0, 0, 0, 0, 0, 0, 0, 0, 0, 0, 0, 0, 1</t>
  </si>
  <si>
    <t>24 hour plumber muizenberg</t>
  </si>
  <si>
    <t>how to repair refrigerator water line leak</t>
  </si>
  <si>
    <t>2, 1, 3, 2, 1, 3, 4, 11, 3, 4, 17, 3, 2, 1, 0, 0, 0, 0, 0, 0, 1, 0, 0, 1</t>
  </si>
  <si>
    <t>0, 0, 0, 0, 0, 1, 0, 0, 0, 2, 0, 32, 32, 30, 31, 28, 34, 31, 29, 37, 33, 31, 33, 33</t>
  </si>
  <si>
    <t>toilet repair company</t>
  </si>
  <si>
    <t>emergency plumber camps bay</t>
  </si>
  <si>
    <t>how to repair a pinhole leak in a water pipe</t>
  </si>
  <si>
    <t>1, 0, 3, 0, 1, 1, 2, 1, 1, 2, 2, 0, 0, 0, 2, 0, 0, 0, 0, 0, 1, 0, 0, 1</t>
  </si>
  <si>
    <t>leaking tap repair cost</t>
  </si>
  <si>
    <t>0, 0, 0, 0, 1, 2, 0, 0, 0, 3, 0, 33, 35, 33, 31, 27, 32, 32, 31, 48, 33, 44, 26, 34</t>
  </si>
  <si>
    <t>how to repair leak in plastic water pipe</t>
  </si>
  <si>
    <t>24 hour plumber durban</t>
  </si>
  <si>
    <t>0, 0, 1, 2, 1, 1, 1, 0, 3, 1, 3, 6, 0, 1, 0, 0, 2, 1, 2, 3, 0, 1, 0, 1</t>
  </si>
  <si>
    <t>0, 0, 0, 0, 1, 1, 0, 0, 1, 1, 1, 1, 0, 0, 0, 0, 0, 0, 0, 0, 0, 0, 0, 1</t>
  </si>
  <si>
    <t>emergency plumber cost</t>
  </si>
  <si>
    <t>how to repair water leak in concrete slab</t>
  </si>
  <si>
    <t>0, 0, 0, 0, 0, 0, 0, 6, 3, 6, 6, 13, 25, 29, 35, 21, 32, 28, 21, 26, 28, 23, 22, 28</t>
  </si>
  <si>
    <t>emergency plumber muizenberg</t>
  </si>
  <si>
    <t>1, 3, 3, 3, 6, 5, 3, 10, 10, 11, 19, 1, 1, 0, 0, 1, 1, 2, 0, 0, 0, 0, 0, 1</t>
  </si>
  <si>
    <t>leaking tap repair near me</t>
  </si>
  <si>
    <t>0, 0, 0, 2, 0, 0, 0, 0, 0, 0, 2, 31, 34, 36, 31, 24, 35, 31, 28, 42, 31, 31, 20, 27</t>
  </si>
  <si>
    <t>how to repair burst copper pipe</t>
  </si>
  <si>
    <t>emergency plumber tokai</t>
  </si>
  <si>
    <t>0, 0, 1, 0, 3, 1, 6, 2, 1, 1, 2, 1, 0, 0, 0, 0, 0, 0, 0, 0, 0, 1, 0, 1</t>
  </si>
  <si>
    <t>0, 0, 0, 0, 2, 0, 0, 0, 1, 2, 0, 0, 0, 3, 0, 0, 0, 0, 0, 0, 0, 0, 0, 1</t>
  </si>
  <si>
    <t>24 hour plumber service</t>
  </si>
  <si>
    <t>how much for emergency plumber</t>
  </si>
  <si>
    <t>0, 0, 0, 0, 0, 0, 0, 0, 0, 2, 0, 32, 30, 41, 33, 22, 33, 32, 28, 31, 32, 31, 12, 25</t>
  </si>
  <si>
    <t>emergency plumber gardens</t>
  </si>
  <si>
    <t>2, 1, 1, 2, 2, 3, 1, 0, 1, 3, 4, 2, 1, 0, 1, 0, 0, 0, 0, 0, 0, 0, 1, 1</t>
  </si>
  <si>
    <t>0, 0, 0, 0, 0, 0, 0, 0, 0, 2, 0, 0, 0, 0, 0, 0, 0, 0, 0, 0, 0, 0, 0, 1</t>
  </si>
  <si>
    <t>24 hour plumber emergency</t>
  </si>
  <si>
    <t>where to find a 24/7 emergency plumber</t>
  </si>
  <si>
    <t>0, 0, 0, 0, 0, 0, 0, 0, 0, 1, 0, 32, 30, 37, 0, 0, 34, 31, 31, 35, 34, 31, 19, 28</t>
  </si>
  <si>
    <t>0, 0, 0, 0, 0, 0, 0, 0, 0, 0, 0, 0, 0, 0, 0, 0, 0, 0, 0, 0, 0, 7, 0, 1</t>
  </si>
  <si>
    <t>24 hour emergency plumber</t>
  </si>
  <si>
    <t>how to repair leaking tap at home</t>
  </si>
  <si>
    <t>1, 2, 0, 2, 0, 0, 0, 1, 3, 0, 3, 0, 0, 0, 0, 0, 0, 1, 1, 0, 1, 1, 0, 2</t>
  </si>
  <si>
    <t>leaking pipe repair cape town</t>
  </si>
  <si>
    <t>0, 0, 0, 0, 0, 0, 0, 0, 0, 0, 0, 1, 0, 0, 0, 0, 1, 0, 0, 0, 0, 0, 0, 1</t>
  </si>
  <si>
    <t>5, 2, 5, 4, 7, 7, 11, 49, 33, 50, 52, 50, 68, 11, 20, 25, 24, 73, 36, 24, 0, 5, 4, 4</t>
  </si>
  <si>
    <t>how to repair concrete ceiling water leak</t>
  </si>
  <si>
    <t>0, 0, 0, 0, 0, 0, 0, 0, 0, 0, 0, 0, 0, 0, 0, 0, 0, 0, 0, 0, 0, 3, 1, 1</t>
  </si>
  <si>
    <t>toilet repair plumber</t>
  </si>
  <si>
    <t>0, 0, 1, 2, 1, 0, 0, 0, 1, 0, 0, 0, 0, 1, 0, 1, 0, 0, 0, 0, 0, 0, 0, 1</t>
  </si>
  <si>
    <t>how to repair leaking water tap</t>
  </si>
  <si>
    <t>1, 2, 4, 3, 2, 4, 3, 4, 5, 3, 4, 0, 0, 0, 0, 0, 0, 1, 2, 0, 1, 2, 1, 2</t>
  </si>
  <si>
    <t>24 hour plumber rondebosch</t>
  </si>
  <si>
    <t>24 hour plumber cost</t>
  </si>
  <si>
    <t>0, 0, 0, 0, 0, 0, 1, 0, 0, 0, 0, 0, 0, 0, 0, 0, 0, 0, 1, 0, 0, 0, 0, 1</t>
  </si>
  <si>
    <t>how to get an emergency plumber</t>
  </si>
  <si>
    <t>0, 1, 0, 0, 0, 0, 0, 0, 1, 1, 0, 0, 0, 1, 0, 1, 1, 0, 0, 0, 0, 0, 0, 1</t>
  </si>
  <si>
    <t>burst pipe repair service</t>
  </si>
  <si>
    <t>0, 0, 0, 0, 1, 1, 0, 0, 0, 0, 0, 31, 32, 41, 32, 26, 32, 31, 31, 46, 34, 31, 16, 27</t>
  </si>
  <si>
    <t>1, 0, 0, 0, 1, 0, 0, 0, 0, 0, 0, 0, 0, 0, 0, 0, 0, 0, 0, 0, 0, 0, 0, 1</t>
  </si>
  <si>
    <t>24 hour plumber tokai</t>
  </si>
  <si>
    <t>how to repair burst water pipe</t>
  </si>
  <si>
    <t>0, 0, 2, 1, 0, 0, 1, 0, 1, 0, 3, 1, 0, 0, 1, 0, 0, 0, 4, 0, 0, 0, 0, 1</t>
  </si>
  <si>
    <t>kitchen plumbing repair near me</t>
  </si>
  <si>
    <t>0, 0, 0, 0, 0, 1, 1, 0, 0, 1, 0, 1, 0, 0, 2, 0, 0, 0, 0, 0, 2, 0, 2, 1</t>
  </si>
  <si>
    <t>0, 0, 0, 0, 0, 0, 0, 0, 0, 0, 1, 33, 31, 35, 33, 24, 31, 31, 28, 33, 30, 32, 14, 25</t>
  </si>
  <si>
    <t>how to repair water dispenser leak</t>
  </si>
  <si>
    <t>0, 0, 1, 0, 0, 0, 0, 0, 0, 1, 1, 2, 0, 0, 0, 0, 0, 0, 0, 0, 0, 0, 0, 1</t>
  </si>
  <si>
    <t>24 hour plumber camps bay</t>
  </si>
  <si>
    <t>emergency plumber service</t>
  </si>
  <si>
    <t>0, 0, 0, 0, 0, 0, 2, 1, 0, 0, 1, 0, 0, 0, 1, 0, 0, 0, 0, 0, 0, 0, 0, 1</t>
  </si>
  <si>
    <t>how to repair a water tank leak</t>
  </si>
  <si>
    <t>0, 0, 0, 0, 0, 1, 1, 0, 0, 0, 1, 28, 42, 34, 34, 30, 32, 31, 29, 38, 32, 43, 29, 36</t>
  </si>
  <si>
    <t>5, 5, 2, 7, 7, 13, 9, 20, 15, 16, 23, 1, 0, 1, 0, 0, 0, 0, 0, 0, 0, 1, 0, 1</t>
  </si>
  <si>
    <t>toilet repair service</t>
  </si>
  <si>
    <t>0, 0, 0, 0, 0, 0, 0, 0, 0, 0, 0, 0, 0, 0, 0, 0, 0, 0, 0, 0, 0, 2, 3, 1</t>
  </si>
  <si>
    <t>how to repair leaking tap</t>
  </si>
  <si>
    <t>3, 2, 8, 8, 5, 8, 5, 13, 17, 9, 9, 15, 3, 4, 4, 2, 0, 2, 1, 0, 3, 1, 4, 4</t>
  </si>
  <si>
    <t>24 hour plumber pretoria east</t>
  </si>
  <si>
    <t>water leak repair plumber</t>
  </si>
  <si>
    <t>3, 0, 3, 2, 3, 3, 6, 6, 8, 4, 3, 2, 4, 4, 7, 1, 1, 4, 0, 2, 4, 1, 1, 3</t>
  </si>
  <si>
    <t>how to repair copper water pipe leak</t>
  </si>
  <si>
    <t>0, 0, 0, 0, 0, 0, 0, 0, 0, 0, 0, 0, 0, 0, 0, 0, 0, 0, 0, 0, 1, 3, 1, 1</t>
  </si>
  <si>
    <t>16, 12, 0, 0, 27, 11, 24, 52, 37, 23, 44, 93, 105, 85, 25, 8, 0, 0, 0, 0, 0, 0, 0, 1</t>
  </si>
  <si>
    <t>emergency plumber rondebosch</t>
  </si>
  <si>
    <t>toilet repair cost</t>
  </si>
  <si>
    <t>how to repair hot water pipe leak</t>
  </si>
  <si>
    <t>0, 0, 0, 0, 0, 0, 0, 0, 0, 0, 0, 0, 0, 1, 0, 0, 0, 0, 0, 0, 1, 0, 0, 1</t>
  </si>
  <si>
    <t>1, 3, 1, 0, 3, 2, 3, 4, 0, 1, 10, 1, 1, 1, 0, 0, 1, 2, 1, 0, 1, 0, 2, 2</t>
  </si>
  <si>
    <t>0, 0, 0, 0, 0, 0, 0, 0, 0, 4, 0, 30, 31, 38, 32, 26, 32, 32, 28, 57, 34, 31, 23, 29</t>
  </si>
  <si>
    <t>how much to repair burst pipe</t>
  </si>
  <si>
    <t>toilet repair cape town</t>
  </si>
  <si>
    <t>water leak detection and repair kalk bay</t>
  </si>
  <si>
    <t>0, 0, 0, 0, 0, 0, 0, 0, 0, 0, 0, 0, 0, 0, 0, 0, 24, 5, 0, 0, 0, 0, 0, 1</t>
  </si>
  <si>
    <t>0, 0, 0, 0, 0, 0, 2, 0, 0, 0, 0, 0, 0, 0, 0, 0, 0, 0, 2, 0, 0, 0, 0, 1</t>
  </si>
  <si>
    <t>0, 0, 0, 0, 0, 0, 0, 0, 0, 0, 0, 0, 0, 0, 0, 47, 52, 30, 25, 12, 30, 19, 10, 2</t>
  </si>
  <si>
    <t>emergency plumber repair</t>
  </si>
  <si>
    <t>how to repair leaking mixer tap</t>
  </si>
  <si>
    <t>burst pipe repair stellenbosch</t>
  </si>
  <si>
    <t>near me</t>
  </si>
  <si>
    <t>2, 0, 2, 0, 0, 2, 0, 1, 0, 0, 1, 1, 2, 0, 0, 0, 1, 1, 0, 0, 0, 0, 0, 1</t>
  </si>
  <si>
    <t>0, 0, 0, 1, 0, 0, 0, 1, 1, 0, 0, 1, 0, 0, 0, 0, 0, 0, 0, 0, 0, 0, 0, 2</t>
  </si>
  <si>
    <t>how to repair leaking shower tap</t>
  </si>
  <si>
    <t>0, 0, 0, 0, 0, 0, 0, 0, 0, 0, 0, 0, 0, 0, 0, 11, 19, 21, 23, 29, 23, 32, 17, 24</t>
  </si>
  <si>
    <t>emergency drainage plumber</t>
  </si>
  <si>
    <t>0, 0, 0, 0, 0, 0, 0, 1, 2, 1, 2, 0, 0, 0, 0, 0, 0, 0, 0, 0, 0, 0, 0, 1</t>
  </si>
  <si>
    <t>6, 5, 3, 6, 7, 7, 7, 6, 7, 10, 12, 2, 2, 0, 0, 0, 1, 0, 1, 2, 8, 2, 0, 4</t>
  </si>
  <si>
    <t>how much is a an emergency plumber?</t>
  </si>
  <si>
    <t>0, 0, 1, 1, 0, 0, 0, 1, 1, 0, 3, 29, 29, 26, 27, 30, 31, 24, 20, 27, 7, 10, 11, 10</t>
  </si>
  <si>
    <t>burst pipe repair cost</t>
  </si>
  <si>
    <t>0, 0, 0, 0, 0, 0, 0, 1, 1, 0, 0, 0, 0, 0, 0, 0, 0, 0, 0, 0, 0, 0, 0, 1</t>
  </si>
  <si>
    <t>plumber blocked toilet cost</t>
  </si>
  <si>
    <t>how much is emergency plumber</t>
  </si>
  <si>
    <t>3, 4, 3, 2, 2, 3, 3, 2, 5, 5, 5, 4, 6, 1, 4, 2, 1, 1, 2, 3, 2, 6, 0, 4</t>
  </si>
  <si>
    <t>kitchen plumbing repair service</t>
  </si>
  <si>
    <t>0, 1, 0, 0, 0, 0, 0, 0, 2, 1, 0, 1, 0, 0, 0, 0, 0, 0, 0, 0, 0, 0, 0, 1</t>
  </si>
  <si>
    <t>0, 0, 0, 0, 0, 0, 0, 0, 0, 2, 1, 29, 32, 27, 34, 31, 34, 30, 25, 23, 8, 8, 6, 8</t>
  </si>
  <si>
    <t>how to repair burst pipe</t>
  </si>
  <si>
    <t>water pipe leak repair products</t>
  </si>
  <si>
    <t>1, 0, 0, 0, 0, 1, 0, 0, 0, 0, 0, 0, 0, 0, 0, 0, 0, 0, 0, 0, 0, 0, 0, 1</t>
  </si>
  <si>
    <t>1, 1, 2, 0, 0, 0, 3, 1, 2, 1, 1, 0, 1, 0, 0, 0, 2, 0, 0, 0, 2, 0, 0, 2</t>
  </si>
  <si>
    <t>leaking pipe repair cost</t>
  </si>
  <si>
    <t>31, 14, 22, 6, 9, 12, 8, 16, 14, 10, 15, 15, 12, 11, 17, 16, 23, 23, 21, 8, 16, 8, 13, 10</t>
  </si>
  <si>
    <t>how to repair water pipe leak</t>
  </si>
  <si>
    <t>plumber emergency</t>
  </si>
  <si>
    <t>0, 0, 0, 0, 2, 1, 0, 3, 0, 1, 1, 0, 1, 0, 0, 0, 0, 0, 0, 0, 0, 1, 0, 1</t>
  </si>
  <si>
    <t>3, 0, 0, 0, 0, 0, 0, 0, 2, 1, 1, 1, 1, 2, 4, 0, 3, 1, 4, 0, 2, 2, 3, 1</t>
  </si>
  <si>
    <t>toilet repair quote</t>
  </si>
  <si>
    <t>how much for an emergency plumber call out</t>
  </si>
  <si>
    <t>18, 9, 16, 8, 15, 9, 9, 11, 14, 12, 18, 66, 6, 7, 10, 9, 47, 52, 25, 8, 10, 6, 7, 9</t>
  </si>
  <si>
    <t>2, 0, 0, 0, 0, 0, 0, 0, 0, 1, 0, 0, 0, 0, 0, 0, 0, 0, 0, 0, 0, 0, 0, 1</t>
  </si>
  <si>
    <t>emergency plumber blocked toilet</t>
  </si>
  <si>
    <t>water leak repair cape town</t>
  </si>
  <si>
    <t>how to repair a burst water pipe</t>
  </si>
  <si>
    <t>0, 0, 0, 0, 0, 1, 1, 0, 1, 0, 6, 27, 32, 30, 13, 8, 12, 12, 13, 17, 10, 12, 8, 11</t>
  </si>
  <si>
    <t>0, 0, 0, 0, 0, 0, 0, 0, 0, 0, 0, 0, 0, 0, 0, 0, 0, 0, 0, 5, 6, 2, 0, 4</t>
  </si>
  <si>
    <t>emergency plumber stellenbosch</t>
  </si>
  <si>
    <t>0, 0, 0, 0, 0, 1, 0, 0, 0, 0, 0, 0, 0, 0, 0, 0, 0, 1, 2, 0, 1, 1, 0, 2</t>
  </si>
  <si>
    <t>burst pipe repair plumber</t>
  </si>
  <si>
    <t>how to repair leaking kitchen tap</t>
  </si>
  <si>
    <t>0, 0, 0, 0, 0, 0, 0, 0, 0, 0, 0, 0, 0, 0, 0, 0, 24, 23, 22, 21, 23, 24, 30, 23</t>
  </si>
  <si>
    <t>0, 0, 0, 1, 1, 0, 0, 0, 0, 0, 1, 0, 0, 0, 0, 0, 0, 0, 0, 0, 1, 1, 0, 1</t>
  </si>
  <si>
    <t>0, 0, 2, 1, 0, 1, 0, 0, 0, 1, 0, 0, 0, 0, 0, 0, 0, 0, 0, 0, 0, 0, 0, 1</t>
  </si>
  <si>
    <t>24 hour plumber stellenbosch</t>
  </si>
  <si>
    <t>water leak repair service</t>
  </si>
  <si>
    <t>how much does a water leak repair cost</t>
  </si>
  <si>
    <t>0, 0, 0, 0, 0, 0, 0, 0, 0, 0, 0, 0, 0, 0, 0, 22, 29, 27, 19, 23, 19, 34, 19, 24</t>
  </si>
  <si>
    <t>2, 0, 2, 0, 0, 1, 0, 0, 2, 0, 2, 0, 0, 0, 1, 1, 0, 0, 0, 0, 0, 0, 1, 1</t>
  </si>
  <si>
    <t>0, 0, 0, 0, 0, 0, 1, 1, 0, 0, 0, 0, 0, 0, 0, 0, 0, 0, 0, 0, 0, 0, 0, 1</t>
  </si>
  <si>
    <t>emergency plumber franschhoek</t>
  </si>
  <si>
    <t>emergency plumber dee why</t>
  </si>
  <si>
    <t>emergency plumber company</t>
  </si>
  <si>
    <t>0, 0, 0, 0, 0, 0, 0, 0, 0, 0, 0, 0, 0, 0, 0, 19, 22, 29, 24, 31, 22, 32, 7, 20</t>
  </si>
  <si>
    <t>0, 0, 1, 0, 0, 0, 0, 0, 0, 0, 0, 0, 0, 0, 0, 0, 1, 0, 0, 0, 0, 0, 0, 1</t>
  </si>
  <si>
    <t>1, 0, 0, 0, 0, 0, 0, 0, 0, 0, 1, 0, 0, 0, 0, 0, 0, 0, 0, 0, 0, 0, 0, 1</t>
  </si>
  <si>
    <t>how much is a water leak repair</t>
  </si>
  <si>
    <t>kitchen plumbing repair cape town</t>
  </si>
  <si>
    <t>0, 0, 0, 1, 0, 0, 0, 0, 0, 1, 0, 1, 1, 0, 0, 0, 0, 0, 0, 0, 0, 0, 0, 1</t>
  </si>
  <si>
    <t>0, 0, 0, 0, 0, 0, 0, 0, 0, 0, 0, 0, 0, 0, 0, 0, 0, 0, 0, 9, 20, 6, 0, 9</t>
  </si>
  <si>
    <t>plumber for blocked toilet near me</t>
  </si>
  <si>
    <t>how to repair hole in ceiling from water leak</t>
  </si>
  <si>
    <t>emergency plumber local</t>
  </si>
  <si>
    <t>1, 1, 1, 0, 0, 4, 0, 0, 2, 0, 3, 28, 30, 25, 24, 20, 30, 23, 17, 21, 11, 16, 20, 16</t>
  </si>
  <si>
    <t>1, 0, 0, 0, 0, 1, 0, 0, 0, 1, 0, 2, 0, 0, 0, 0, 0, 0, 0, 1, 0, 0, 0, 1</t>
  </si>
  <si>
    <t>how to repair a burst copper pipe</t>
  </si>
  <si>
    <t>emergency plumber pretoria</t>
  </si>
  <si>
    <t>0, 0, 0, 0, 0, 0, 0, 0, 0, 0, 1, 0, 0, 0, 0, 0, 0, 0, 0, 0, 0, 1, 0, 1</t>
  </si>
  <si>
    <t>how much does an emergency plumber cost</t>
  </si>
  <si>
    <t>0, 0, 0, 1, 7, 0, 1, 0, 0, 4, 10, 28, 21, 24, 14, 9, 15, 15, 18, 16, 26, 14, 12, 18</t>
  </si>
  <si>
    <t>5, 5, 3, 4, 6, 1, 7, 5, 8, 3, 8, 0, 0, 0, 0, 0, 0, 1, 1, 1, 3, 5, 1, 4</t>
  </si>
  <si>
    <t>emergency plumber call out</t>
  </si>
  <si>
    <t>0, 1, 0, 0, 2, 2, 2, 0, 2, 2, 1, 0, 0, 0, 0, 0, 0, 0, 0, 0, 0, 1, 0, 1</t>
  </si>
  <si>
    <t>24 hour plumber randburg</t>
  </si>
  <si>
    <t>when should i call an emergency plumber</t>
  </si>
  <si>
    <t>0, 0, 0, 4, 1, 3, 0, 0, 3, 0, 2, 44, 16, 22, 14, 15, 19, 13, 22, 29, 19, 24, 16, 20</t>
  </si>
  <si>
    <t>how to repair water line leak</t>
  </si>
  <si>
    <t>water leak detection and repair va waterfront</t>
  </si>
  <si>
    <t>0, 0, 0, 0, 0, 0, 0, 1, 0, 0, 1, 0, 0, 0, 0, 0, 0, 0, 0, 0, 0, 0, 0, 1</t>
  </si>
  <si>
    <t>24 hour plumber after hours</t>
  </si>
  <si>
    <t>0, 0, 0, 0, 0, 0, 0, 0, 0, 0, 0, 0, 0, 0, 0, 0, 0, 0, 18, 10, 27, 17, 10, 3</t>
  </si>
  <si>
    <t>how much is an emergency call out for a plumber</t>
  </si>
  <si>
    <t>24 hour plumber call out</t>
  </si>
  <si>
    <t>reliable emergency plumber cape town</t>
  </si>
  <si>
    <t>1, 0, 0, 0, 0, 1, 0, 1, 2, 0, 0, 0, 0, 0, 0, 0, 0, 0, 0, 0, 0, 0, 0, 1</t>
  </si>
  <si>
    <t>24 hour plumber commercial</t>
  </si>
  <si>
    <t>how do most people find an emergency plumber</t>
  </si>
  <si>
    <t>0, 0, 0, 0, 0, 0, 0, 0, 0, 0, 0, 0, 0, 0, 0, 0, 0, 0, 0, 14, 28, 13, 0, 14</t>
  </si>
  <si>
    <t>24 hour plumber company</t>
  </si>
  <si>
    <t>0, 1, 0, 0, 0, 0, 0, 0, 1, 0, 0, 0, 0, 0, 0, 0, 0, 0, 0, 0, 0, 0, 0, 1</t>
  </si>
  <si>
    <t>emergency plumber benoni</t>
  </si>
  <si>
    <t>how to repair pvc water pipe leak</t>
  </si>
  <si>
    <t>24 hour plumber fast</t>
  </si>
  <si>
    <t>0, 0, 0, 0, 0, 2, 0, 0, 0, 0, 0, 0, 0, 0, 0, 0, 0, 0, 0, 0, 0, 0, 0, 1</t>
  </si>
  <si>
    <t>1, 3, 2, 0, 0, 0, 0, 1, 1, 0, 1, 34, 35, 24, 6, 5, 0, 0, 0, 0, 0, 0, 0, 1</t>
  </si>
  <si>
    <t>how much is an emergency plumber cost</t>
  </si>
  <si>
    <t>water pipe leak repair tape</t>
  </si>
  <si>
    <t>24 hour plumber local</t>
  </si>
  <si>
    <t>0, 0, 0, 0, 0, 0, 0, 0, 0, 1, 3, 1, 2, 1, 0, 0, 0, 0, 0, 0, 0, 0, 0, 1</t>
  </si>
  <si>
    <t>2, 1, 3, 1, 10, 4, 3, 6, 7, 5, 5, 7, 4, 7, 9, 2, 6, 1, 5, 11, 7, 6, 2, 6</t>
  </si>
  <si>
    <t>24 hour plumber professional</t>
  </si>
  <si>
    <t>how much is an emergency plumber</t>
  </si>
  <si>
    <t>water jacket leak repair</t>
  </si>
  <si>
    <t>1, 0, 1, 1, 0, 1, 1, 1, 1, 4, 1, 0, 0, 0, 0, 0, 0, 0, 0, 0, 0, 0, 0, 1</t>
  </si>
  <si>
    <t>how to repair water leak in wall</t>
  </si>
  <si>
    <t>3, 13, 6, 7, 3, 17, 9, 10, 11, 8, 5, 4, 7, 7, 12, 6, 9, 6, 9, 6, 2, 9, 6, 10</t>
  </si>
  <si>
    <t>24 hour plumber quote</t>
  </si>
  <si>
    <t>24 hour plumber midrand</t>
  </si>
  <si>
    <t>0, 0, 0, 1, 2, 0, 0, 0, 2, 0, 0, 0, 1, 0, 0, 0, 0, 0, 0, 0, 0, 0, 0, 1</t>
  </si>
  <si>
    <t>how to repair a leaking tap at home</t>
  </si>
  <si>
    <t>24 hour plumber reliable</t>
  </si>
  <si>
    <t>3, 2, 1, 0, 5, 2, 0, 0, 2, 0, 1, 42, 36, 26, 4, 8, 1, 0, 0, 0, 0, 0, 0, 1</t>
  </si>
  <si>
    <t>0, 0, 0, 0, 0, 0, 0, 0, 0, 0, 0, 0, 0, 0, 0, 0, 0, 0, 0, 0, 1, 1, 1, 1</t>
  </si>
  <si>
    <t>how much is an emergency plumber call out charge</t>
  </si>
  <si>
    <t>24 hour plumber repair</t>
  </si>
  <si>
    <t>0, 0, 0, 1, 0, 0, 0, 0, 0, 0, 0, 0, 0, 0, 0, 0, 0, 0, 1, 0, 0, 0, 0, 1</t>
  </si>
  <si>
    <t>24 hour plumber residential</t>
  </si>
  <si>
    <t>plumber emergency near me</t>
  </si>
  <si>
    <t>how do i repair a leaking tap</t>
  </si>
  <si>
    <t>2, 0, 0, 0, 0, 0, 0, 0, 0, 0, 0, 0, 0, 0, 0, 0, 0, 0, 0, 0, 1, 0, 1, 2</t>
  </si>
  <si>
    <t>24 hour plumber same day</t>
  </si>
  <si>
    <t>how to repair a burst pipe</t>
  </si>
  <si>
    <t>7, 7, 17, 8, 18, 17, 6, 19, 17, 21, 12, 70, 2, 4, 2, 1, 10, 3, 10, 2, 7, 10, 9, 10</t>
  </si>
  <si>
    <t>5, 0, 1, 1, 7, 0, 2, 1, 1, 1, 6, 0, 3, 2, 1, 0, 0, 0, 0, 0, 2, 0, 4, 1</t>
  </si>
  <si>
    <t>24 hour plumber urgent</t>
  </si>
  <si>
    <t>24 hour plumber weekend</t>
  </si>
  <si>
    <t>emergency plumber no call out fee stellenbosch</t>
  </si>
  <si>
    <t>urgent</t>
  </si>
  <si>
    <t>bathroom plumbing repair after hours</t>
  </si>
  <si>
    <t>0, 0, 0, 0, 0, 0, 0, 0, 0, 0, 0, 0, 0, 0, 0, 14, 16, 17, 19, 23, 16, 32, 16, 22</t>
  </si>
  <si>
    <t>water pipe leak repair</t>
  </si>
  <si>
    <t>bathroom plumbing repair call out</t>
  </si>
  <si>
    <t>bathroom plumbing repair cape town</t>
  </si>
  <si>
    <t>4, 12, 9, 12, 10, 15, 11, 19, 12, 22, 10, 3, 5, 7, 4, 8, 7, 16, 9, 7, 7, 11, 5, 9</t>
  </si>
  <si>
    <t>bathroom plumbing repair commercial</t>
  </si>
  <si>
    <t>24-hour plumber cape town</t>
  </si>
  <si>
    <t>bathroom plumbing repair company</t>
  </si>
  <si>
    <t>bathroom plumbing repair cost</t>
  </si>
  <si>
    <t>0, 0, 0, 0, 0, 0, 0, 0, 0, 0, 0, 0, 0, 0, 0, 0, 0, 0, 0, 16, 31, 14, 0, 15</t>
  </si>
  <si>
    <t>water leak detection and repair fresnaye</t>
  </si>
  <si>
    <t>bathroom plumbing repair emergency</t>
  </si>
  <si>
    <t>0, 0, 0, 0, 0, 0, 0, 0, 0, 0, 0, 0, 0, 0, 0, 0, 12, 30, 25, 12, 21, 15, 10, 2</t>
  </si>
  <si>
    <t>bathroom plumbing repair fast</t>
  </si>
  <si>
    <t>car water leak repair</t>
  </si>
  <si>
    <t>bathroom plumbing repair local</t>
  </si>
  <si>
    <t>6, 11, 6, 12, 8, 10, 8, 5, 5, 8, 6, 5, 10, 18, 14, 11, 3, 5, 4, 2, 3, 4, 0, 1</t>
  </si>
  <si>
    <t>24 hour plumber benoni</t>
  </si>
  <si>
    <t>bathroom plumbing repair near me</t>
  </si>
  <si>
    <t>0, 1, 0, 0, 1, 3, 1, 0, 1, 4, 1, 41, 34, 20, 8, 7, 0, 0, 0, 0, 0, 0, 0, 1</t>
  </si>
  <si>
    <t>bathroom plumbing repair plumber</t>
  </si>
  <si>
    <t>emergency plumber port elizabeth</t>
  </si>
  <si>
    <t>bathroom plumbing repair professional</t>
  </si>
  <si>
    <t>0, 0, 0, 0, 0, 0, 0, 5, 3, 5, 7, 19, 20, 13, 8, 8, 8, 7, 6, 14, 8, 11, 10, 10</t>
  </si>
  <si>
    <t>emergency burst pipe repair</t>
  </si>
  <si>
    <t>bathroom plumbing repair quote</t>
  </si>
  <si>
    <t>2, 0, 0, 0, 1, 1, 2, 3, 3, 4, 0, 10, 8, 10, 8, 13, 13, 13, 5, 2, 0, 2, 0, 3</t>
  </si>
  <si>
    <t>emergency plumber midrand</t>
  </si>
  <si>
    <t>bathroom plumbing repair reliable</t>
  </si>
  <si>
    <t>0, 0, 0, 1, 4, 3, 2, 1, 5, 1, 3, 40, 36, 20, 6, 5, 0, 0, 0, 0, 3, 0, 0, 2</t>
  </si>
  <si>
    <t>bathroom plumbing repair residential</t>
  </si>
  <si>
    <t>24hr emergency plumber</t>
  </si>
  <si>
    <t>bathroom plumbing repair same day</t>
  </si>
  <si>
    <t>5, 9, 7, 10, 7, 2, 0, 1, 4, 10, 8, 9, 28, 5, 5, 4, 13, 8, 5, 5, 12, 9, 8, 9</t>
  </si>
  <si>
    <t>24 hour plumber boksburg</t>
  </si>
  <si>
    <t>bathroom plumbing repair service</t>
  </si>
  <si>
    <t>bathroom plumbing repair urgent</t>
  </si>
  <si>
    <t>0, 2, 0, 1, 5, 4, 1, 0, 4, 0, 0, 42, 34, 25, 4, 5, 0, 0, 0, 0, 0, 0, 0, 1</t>
  </si>
  <si>
    <t>24 hour plumber port elizabeth</t>
  </si>
  <si>
    <t>bathroom plumbing repair weekend</t>
  </si>
  <si>
    <t>0, 0, 0, 0, 0, 0, 0, 0, 1, 1, 1, 25, 17, 18, 8, 8, 8, 8, 8, 12, 12, 9, 12, 12</t>
  </si>
  <si>
    <t>blocked toilet plumber after hours</t>
  </si>
  <si>
    <t>emergency plumber fourways</t>
  </si>
  <si>
    <t>blocked toilet plumber call out</t>
  </si>
  <si>
    <t>1, 0, 1, 2, 2, 2, 1, 0, 0, 1, 0, 1, 33, 39, 24, 4, 5, 0, 0, 0, 0, 16, 8, 7</t>
  </si>
  <si>
    <t>reliable plumber emergency johannesburg</t>
  </si>
  <si>
    <t>blocked toilet plumber cape town</t>
  </si>
  <si>
    <t>0, 0, 0, 0, 0, 0, 0, 0, 0, 0, 0, 0, 0, 0, 0, 0, 0, 0, 0, 14, 37, 9, 0, 16</t>
  </si>
  <si>
    <t>affordable plumber emergency johannesburg</t>
  </si>
  <si>
    <t>blocked toilet plumber commercial</t>
  </si>
  <si>
    <t>0, 0, 0, 0, 0, 0, 0, 0, 0, 0, 0, 0, 0, 0, 0, 0, 0, 0, 0, 0, 18, 34, 10, 2</t>
  </si>
  <si>
    <t>blocked toilet plumber company</t>
  </si>
  <si>
    <t>water pipe leak repair clamp</t>
  </si>
  <si>
    <t>blocked toilet plumber emergency</t>
  </si>
  <si>
    <t>9, 9, 8, 14, 12, 8, 16, 14, 19, 22, 10, 21, 24, 22, 15, 15, 6, 17, 13, 7, 4, 12, 6, 8</t>
  </si>
  <si>
    <t>24 hour plumber fresnaye</t>
  </si>
  <si>
    <t>blocked toilet plumber fast</t>
  </si>
  <si>
    <t>0, 0, 0, 0, 0, 0, 0, 0, 0, 0, 0, 0, 0, 0, 0, 29, 29, 20, 27, 12, 1, 0, 0, 2</t>
  </si>
  <si>
    <t>blocked toilet plumber local</t>
  </si>
  <si>
    <t>blocked toilet plumber professional</t>
  </si>
  <si>
    <t>24 hour plumber fourways</t>
  </si>
  <si>
    <t>same day</t>
  </si>
  <si>
    <t>blocked toilet plumber quote</t>
  </si>
  <si>
    <t>1, 0, 0, 0, 3, 0, 0, 1, 1, 1, 2, 47, 36, 27, 7, 5, 4, 0, 0, 0, 0, 0, 0, 1</t>
  </si>
  <si>
    <t>plastic water tank leak repair kit</t>
  </si>
  <si>
    <t>blocked toilet plumber reliable</t>
  </si>
  <si>
    <t>blocked toilet plumber repair</t>
  </si>
  <si>
    <t>0, 0, 0, 0, 0, 0, 0, 5, 3, 1, 3, 7, 9, 0, 1, 7, 19, 4, 5, 4, 0, 1, 0, 1</t>
  </si>
  <si>
    <t>water tap leaking repair</t>
  </si>
  <si>
    <t>blocked toilet plumber residential</t>
  </si>
  <si>
    <t>5, 2, 8, 0, 3, 6, 1, 5, 3, 13, 2, 10, 5, 4, 7, 6, 2, 7, 4, 4, 6, 2, 3, 5</t>
  </si>
  <si>
    <t>blocked toilet plumber same day</t>
  </si>
  <si>
    <t>24 hour plumber johannesburg</t>
  </si>
  <si>
    <t>blocked toilet plumber service</t>
  </si>
  <si>
    <t>0, 0, 0, 0, 0, 0, 0, 0, 0, 0, 0, 0, 0, 0, 0, 0, 0, 0, 0, 0, 23, 26, 6, 12</t>
  </si>
  <si>
    <t>water leak detection and repair bishopscourt</t>
  </si>
  <si>
    <t>blocked toilet plumber urgent</t>
  </si>
  <si>
    <t>0, 0, 0, 0, 0, 0, 0, 0, 0, 0, 0, 0, 0, 0, 0, 0, 10, 23, 21, 8, 30, 19, 9, 2</t>
  </si>
  <si>
    <t>blocked toilet plumber weekend</t>
  </si>
  <si>
    <t>water pump leak repair cost</t>
  </si>
  <si>
    <t>burst pipe repair after hours</t>
  </si>
  <si>
    <t>1, 1, 6, 10, 10, 4, 0, 4, 5, 7, 5, 5, 6, 6, 3, 8, 13, 14, 11, 6, 10, 15, 8, 12</t>
  </si>
  <si>
    <t>24 hour emergency plumber fourways</t>
  </si>
  <si>
    <t>burst pipe repair call out</t>
  </si>
  <si>
    <t>burst pipe repair commercial</t>
  </si>
  <si>
    <t>0, 0, 0, 0, 0, 0, 0, 1, 0, 0, 0, 41, 38, 21, 4, 6, 0, 0, 0, 0, 0, 0, 0, 1</t>
  </si>
  <si>
    <t>hornsby emergency plumber</t>
  </si>
  <si>
    <t>burst pipe repair company</t>
  </si>
  <si>
    <t>0, 0, 1, 1, 1, 0, 1, 1, 0, 0, 0, 0, 0, 0, 0, 0, 0, 0, 0, 0, 0, 0, 0, 1</t>
  </si>
  <si>
    <t>burst pipe repair emergency</t>
  </si>
  <si>
    <t>emergency plumber in orem</t>
  </si>
  <si>
    <t>burst pipe repair fast</t>
  </si>
  <si>
    <t>mains water leak repair</t>
  </si>
  <si>
    <t>burst pipe repair local</t>
  </si>
  <si>
    <t>0, 1, 0, 0, 0, 0, 0, 1, 0, 3, 3, 0, 0, 0, 0, 0, 0, 0, 0, 0, 0, 1, 0, 1</t>
  </si>
  <si>
    <t>burst pipe repair professional</t>
  </si>
  <si>
    <t>emergency plumber jefferson county</t>
  </si>
  <si>
    <t>burst pipe repair quote</t>
  </si>
  <si>
    <t>emergency plumber penrith</t>
  </si>
  <si>
    <t>burst pipe repair reliable</t>
  </si>
  <si>
    <t>burst pipe repair residential</t>
  </si>
  <si>
    <t>burst pipe repair same day</t>
  </si>
  <si>
    <t>0, 2, 1, 0, 0, 0, 0, 3, 0, 0, 2, 0, 1, 0, 0, 0, 0, 0, 0, 0, 0, 0, 0, 1</t>
  </si>
  <si>
    <t>burst pipe repair urgent</t>
  </si>
  <si>
    <t>emergency plumber hollywood</t>
  </si>
  <si>
    <t>burst pipe repair weekend</t>
  </si>
  <si>
    <t>0, 1, 0, 1, 0, 0, 0, 0, 1, 0, 0, 0, 0, 0, 0, 0, 0, 0, 0, 0, 0, 0, 0, 1</t>
  </si>
  <si>
    <t>denver emergency plumber</t>
  </si>
  <si>
    <t>emergency plumber after hours</t>
  </si>
  <si>
    <t>1, 0, 1, 1, 0, 2, 0, 2, 2, 1, 1, 0, 0, 0, 0, 0, 0, 0, 0, 0, 0, 0, 0, 1</t>
  </si>
  <si>
    <t>emergency plumber commercial</t>
  </si>
  <si>
    <t>emergency plumber dagenham</t>
  </si>
  <si>
    <t>emergency plumber fast</t>
  </si>
  <si>
    <t>0, 0, 0, 0, 0, 0, 0, 0, 2, 0, 2, 0, 0, 0, 0, 0, 0, 0, 0, 0, 0, 0, 0, 1</t>
  </si>
  <si>
    <t>local emergency plumber near halls head</t>
  </si>
  <si>
    <t>emergency plumber professional</t>
  </si>
  <si>
    <t>emergency plumber quote</t>
  </si>
  <si>
    <t>emergency plumber in islington</t>
  </si>
  <si>
    <t>emergency plumber reliable</t>
  </si>
  <si>
    <t>emergency plumber ocala fl</t>
  </si>
  <si>
    <t>emergency plumber residential</t>
  </si>
  <si>
    <t>1, 1, 0, 0, 0, 0, 0, 0, 0, 0, 1, 0, 0, 0, 0, 0, 0, 0, 0, 0, 0, 0, 0, 1</t>
  </si>
  <si>
    <t>emergency plumber same day</t>
  </si>
  <si>
    <t>emergency plumber tannum sands</t>
  </si>
  <si>
    <t>emergency plumber urgent</t>
  </si>
  <si>
    <t>0, 0, 0, 0, 0, 0, 0, 2, 2, 1, 0, 0, 0, 0, 0, 0, 0, 0, 0, 0, 0, 0, 0, 1</t>
  </si>
  <si>
    <t>emergency plumber sherborne</t>
  </si>
  <si>
    <t>emergency plumber weekend</t>
  </si>
  <si>
    <t>0, 0, 0, 0, 0, 0, 0, 0, 1, 0, 0, 1, 0, 1, 0, 0, 0, 0, 0, 0, 0, 0, 0, 1</t>
  </si>
  <si>
    <t>kitchen plumbing repair after hours</t>
  </si>
  <si>
    <t>emergency plumber north shore sydney</t>
  </si>
  <si>
    <t>kitchen plumbing repair call out</t>
  </si>
  <si>
    <t>after hours</t>
  </si>
  <si>
    <t>0, 0, 1, 3, 0, 0, 1, 0, 0, 0, 1, 0, 0, 0, 0, 0, 0, 0, 0, 0, 0, 0, 0, 1</t>
  </si>
  <si>
    <t>24 hour plumber rockwall</t>
  </si>
  <si>
    <t>kitchen plumbing repair commercial</t>
  </si>
  <si>
    <t>0, 0, 0, 2, 0, 2, 0, 0, 1, 0, 0, 0, 0, 0, 0, 0, 0, 0, 0, 0, 0, 0, 0, 1</t>
  </si>
  <si>
    <t>kitchen plumbing repair company</t>
  </si>
  <si>
    <t>ac water leak repair cost</t>
  </si>
  <si>
    <t>kitchen plumbing repair cost</t>
  </si>
  <si>
    <t>0, 0, 0, 0, 0, 2, 1, 0, 0, 1, 1, 0, 0, 0, 0, 0, 0, 0, 0, 0, 0, 0, 0, 1</t>
  </si>
  <si>
    <t>kitchen plumbing repair emergency</t>
  </si>
  <si>
    <t>kitchen plumbing repair fast</t>
  </si>
  <si>
    <t>emergency plumber yulee</t>
  </si>
  <si>
    <t>kitchen plumbing repair local</t>
  </si>
  <si>
    <t>0, 0, 0, 1, 0, 0, 1, 0, 0, 0, 2, 0, 0, 0, 0, 0, 0, 0, 0, 0, 0, 0, 0, 1</t>
  </si>
  <si>
    <t>kitchen plumbing repair plumber</t>
  </si>
  <si>
    <t>emergency plumber denver</t>
  </si>
  <si>
    <t>kitchen plumbing repair professional</t>
  </si>
  <si>
    <t>2, 0, 0, 1, 2, 0, 1, 3, 4, 1, 3, 4, 1, 1, 0, 0, 1, 0, 0, 0, 0, 0, 0, 1</t>
  </si>
  <si>
    <t>24 hour plumber bridges</t>
  </si>
  <si>
    <t>kitchen plumbing repair quote</t>
  </si>
  <si>
    <t>0, 0, 0, 1, 1, 0, 0, 0, 0, 0, 0, 0, 0, 0, 0, 0, 0, 0, 0, 0, 0, 0, 0, 1</t>
  </si>
  <si>
    <t>kitchen plumbing repair reliable</t>
  </si>
  <si>
    <t>emergency plumber manhattan</t>
  </si>
  <si>
    <t>0, 0, 0, 0, 0, 0, 2, 0, 2, 0, 0, 0, 0, 0, 0, 0, 0, 0, 0, 0, 0, 0, 0, 1</t>
  </si>
  <si>
    <t>keller slab water leak repair</t>
  </si>
  <si>
    <t>kitchen plumbing repair residential</t>
  </si>
  <si>
    <t>24-hour plumber in mcdonough</t>
  </si>
  <si>
    <t>kitchen plumbing repair same day</t>
  </si>
  <si>
    <t>0, 0, 0, 0, 0, 0, 0, 0, 0, 2, 1, 0, 0, 0, 0, 0, 0, 0, 0, 0, 0, 0, 0, 1</t>
  </si>
  <si>
    <t>kitchen plumbing repair urgent</t>
  </si>
  <si>
    <t>emergency plumber naperville</t>
  </si>
  <si>
    <t>kitchen plumbing repair weekend</t>
  </si>
  <si>
    <t>1, 0, 1, 0, 0, 0, 0, 3, 2, 1, 2, 0, 0, 0, 0, 0, 0, 0, 0, 0, 0, 0, 0, 1</t>
  </si>
  <si>
    <t>emergency plumber near burr ridge</t>
  </si>
  <si>
    <t>leaking pipe repair after hours</t>
  </si>
  <si>
    <t>leaking pipe repair call out</t>
  </si>
  <si>
    <t>emergency plumber rouse hill</t>
  </si>
  <si>
    <t>leaking pipe repair commercial</t>
  </si>
  <si>
    <t>0, 0, 0, 0, 0, 1, 0, 1, 1, 1, 0, 0, 0, 0, 0, 0, 0, 0, 0, 0, 0, 0, 0, 1</t>
  </si>
  <si>
    <t>emergency plumber indianapolis in</t>
  </si>
  <si>
    <t>leaking pipe repair company</t>
  </si>
  <si>
    <t>0, 0, 0, 0, 0, 0, 0, 0, 0, 0, 1, 0, 0, 0, 0, 0, 0, 0, 0, 0, 0, 0, 0, 1</t>
  </si>
  <si>
    <t>leaking pipe repair emergency</t>
  </si>
  <si>
    <t>toledo emergency plumber</t>
  </si>
  <si>
    <t>leaking pipe repair fast</t>
  </si>
  <si>
    <t>emergency water plumber</t>
  </si>
  <si>
    <t>leaking pipe repair local</t>
  </si>
  <si>
    <t>0, 3, 0, 4, 1, 2, 1, 0, 1, 6, 1, 0, 0, 0, 0, 0, 0, 0, 0, 0, 0, 0, 0, 1</t>
  </si>
  <si>
    <t>leaking pipe repair plumber</t>
  </si>
  <si>
    <t>emergency plumber leeds</t>
  </si>
  <si>
    <t>leaking pipe repair professional</t>
  </si>
  <si>
    <t>7, 3, 1, 7, 8, 0, 3, 7, 3, 3, 3, 0, 0, 0, 0, 0, 1, 0, 0, 0, 0, 0, 0, 1</t>
  </si>
  <si>
    <t>repair water leak in wall</t>
  </si>
  <si>
    <t>leaking pipe repair quote</t>
  </si>
  <si>
    <t>0, 0, 0, 0, 0, 0, 0, 0, 0, 2, 0, 0, 0, 1, 0, 0, 0, 0, 0, 0, 0, 1, 0, 1</t>
  </si>
  <si>
    <t>leaking pipe repair reliable</t>
  </si>
  <si>
    <t>emergency plumber jacksonville fl</t>
  </si>
  <si>
    <t>leaking pipe repair residential</t>
  </si>
  <si>
    <t>1, 0, 1, 0, 1, 1, 0, 0, 1, 1, 4, 4, 0, 0, 0, 0, 0, 1, 0, 0, 0, 0, 1, 1</t>
  </si>
  <si>
    <t>leaking pipe repair same day</t>
  </si>
  <si>
    <t>fast emergency plumber</t>
  </si>
  <si>
    <t>0, 0, 0, 2, 0, 1, 1, 0, 1, 2, 0, 0, 0, 0, 0, 0, 0, 0, 0, 0, 0, 0, 0, 1</t>
  </si>
  <si>
    <t>leaking pipe repair service</t>
  </si>
  <si>
    <t>main water pipe leak repair</t>
  </si>
  <si>
    <t>leaking pipe repair urgent</t>
  </si>
  <si>
    <t>0, 0, 0, 0, 0, 0, 0, 0, 0, 0, 1, 2, 1, 0, 0, 0, 0, 0, 0, 0, 0, 0, 0, 1</t>
  </si>
  <si>
    <t>emergency plumber little elm tx</t>
  </si>
  <si>
    <t>leaking pipe repair weekend</t>
  </si>
  <si>
    <t>0, 0, 0, 0, 0, 0, 0, 0, 0, 1, 4, 2, 0, 0, 0, 0, 0, 0, 0, 0, 0, 0, 0, 1</t>
  </si>
  <si>
    <t>leaking tap repair after hours</t>
  </si>
  <si>
    <t>emergency plumber service lytton</t>
  </si>
  <si>
    <t>weekend</t>
  </si>
  <si>
    <t>leaking tap repair call out</t>
  </si>
  <si>
    <t>emergency plumber sw18</t>
  </si>
  <si>
    <t>leaking tap repair cape town</t>
  </si>
  <si>
    <t>leaking tap repair commercial</t>
  </si>
  <si>
    <t>emergency plumber hurst</t>
  </si>
  <si>
    <t>leaking tap repair company</t>
  </si>
  <si>
    <t>0, 0, 0, 1, 0, 0, 0, 0, 0, 0, 0, 0, 0, 0, 0, 0, 0, 0, 0, 0, 0, 0, 0, 1</t>
  </si>
  <si>
    <t>emergency plumber coburg</t>
  </si>
  <si>
    <t>leaking tap repair emergency</t>
  </si>
  <si>
    <t>0, 0, 0, 0, 0, 0, 1, 0, 1, 2, 1, 0, 0, 0, 0, 0, 0, 0, 0, 0, 0, 0, 0, 1</t>
  </si>
  <si>
    <t>leaking tap repair fast</t>
  </si>
  <si>
    <t>emergency plumber coquitlam bc</t>
  </si>
  <si>
    <t>leaking tap repair local</t>
  </si>
  <si>
    <t>0, 0, 0, 0, 0, 0, 1, 2, 1, 1, 0, 0, 0, 0, 0, 0, 0, 0, 0, 0, 0, 0, 0, 1</t>
  </si>
  <si>
    <t>emergency plumber ashbourne</t>
  </si>
  <si>
    <t>leaking tap repair plumber</t>
  </si>
  <si>
    <t>0, 1, 0, 0, 1, 0, 1, 1, 0, 1, 1, 0, 0, 0, 0, 0, 0, 0, 0, 0, 0, 0, 0, 1</t>
  </si>
  <si>
    <t>leaking tap repair professional</t>
  </si>
  <si>
    <t>emergency plumber enmore</t>
  </si>
  <si>
    <t>leaking tap repair quote</t>
  </si>
  <si>
    <t>emergency plumber little elm</t>
  </si>
  <si>
    <t>leaking tap repair reliable</t>
  </si>
  <si>
    <t>0, 0, 0, 0, 0, 0, 0, 0, 2, 3, 1, 0, 0, 0, 2, 0, 0, 0, 0, 0, 1, 1, 0, 2</t>
  </si>
  <si>
    <t>leaking tap repair residential</t>
  </si>
  <si>
    <t>emergency plumber wetherby</t>
  </si>
  <si>
    <t>leaking tap repair same day</t>
  </si>
  <si>
    <t>0, 0, 0, 0, 0, 0, 0, 1, 0, 0, 1, 1, 1, 0, 0, 0, 0, 0, 0, 0, 0, 0, 0, 1</t>
  </si>
  <si>
    <t>24 hour plumber sutherland shire</t>
  </si>
  <si>
    <t>leaking tap repair service</t>
  </si>
  <si>
    <t>leaking tap repair urgent</t>
  </si>
  <si>
    <t>2, 3, 1, 0, 0, 3, 0, 1, 0, 0, 0, 1, 0, 1, 0, 0, 0, 2, 0, 0, 0, 2, 0, 1</t>
  </si>
  <si>
    <t>fortville emergency plumber</t>
  </si>
  <si>
    <t>leaking tap repair weekend</t>
  </si>
  <si>
    <t>0, 0, 0, 0, 0, 1, 1, 0, 0, 0, 0, 0, 0, 0, 0, 0, 0, 0, 0, 0, 0, 0, 0, 1</t>
  </si>
  <si>
    <t>toilet repair after hours</t>
  </si>
  <si>
    <t>emergency plumber blythe</t>
  </si>
  <si>
    <t>toilet repair call out</t>
  </si>
  <si>
    <t>0, 0, 0, 0, 0, 0, 0, 0, 1, 0, 3, 0, 0, 0, 0, 0, 0, 0, 0, 0, 0, 0, 0, 1</t>
  </si>
  <si>
    <t>emergency plumber des moines</t>
  </si>
  <si>
    <t>toilet repair commercial</t>
  </si>
  <si>
    <t>toilet repair emergency</t>
  </si>
  <si>
    <t>0, 0, 0, 1, 0, 0, 0, 0, 1, 0, 0, 0, 0, 0, 0, 0, 0, 0, 0, 0, 0, 0, 0, 1</t>
  </si>
  <si>
    <t>emergency plumber western sydney</t>
  </si>
  <si>
    <t>toilet repair fast</t>
  </si>
  <si>
    <t>0, 0, 0, 0, 0, 0, 0, 0, 0, 0, 0, 0, 0, 0, 0, 0, 0, 0, 0, 1, 0, 0, 0, 1</t>
  </si>
  <si>
    <t>toilet repair local</t>
  </si>
  <si>
    <t>emergency plumber doncaster</t>
  </si>
  <si>
    <t>toilet repair professional</t>
  </si>
  <si>
    <t>0, 0, 0, 1, 3, 1, 3, 2, 3, 6, 4, 2, 0, 0, 0, 0, 0, 0, 1, 0, 0, 0, 0, 1</t>
  </si>
  <si>
    <t>24 hour plumber katy</t>
  </si>
  <si>
    <t>toilet repair reliable</t>
  </si>
  <si>
    <t>1, 1, 0, 1, 0, 1, 1, 0, 0, 0, 0, 1, 0, 0, 0, 0, 0, 0, 0, 0, 0, 0, 0, 1</t>
  </si>
  <si>
    <t>toilet repair residential</t>
  </si>
  <si>
    <t>emergency plumber in westchester</t>
  </si>
  <si>
    <t>toilet repair same day</t>
  </si>
  <si>
    <t>emergency plumber belmont</t>
  </si>
  <si>
    <t>toilet repair urgent</t>
  </si>
  <si>
    <t>0, 2, 1, 0, 2, 1, 0, 1, 2, 1, 0, 0, 2, 0, 0, 0, 0, 0, 0, 0, 0, 0, 0, 1</t>
  </si>
  <si>
    <t>toilet repair weekend</t>
  </si>
  <si>
    <t>pompton lakes emergency plumber</t>
  </si>
  <si>
    <t>water leak repair after hours</t>
  </si>
  <si>
    <t>24 hour plumber merriam</t>
  </si>
  <si>
    <t>water leak repair call out</t>
  </si>
  <si>
    <t>emergency plumber sidmouth</t>
  </si>
  <si>
    <t>water leak repair commercial</t>
  </si>
  <si>
    <t>call out</t>
  </si>
  <si>
    <t>0, 0, 0, 0, 0, 0, 0, 0, 0, 0, 1, 0, 1, 0, 0, 0, 0, 0, 0, 0, 0, 0, 0, 1</t>
  </si>
  <si>
    <t>water leak repair emergency</t>
  </si>
  <si>
    <t>24 hour plumber carshalton</t>
  </si>
  <si>
    <t>water leak repair fast</t>
  </si>
  <si>
    <t>1, 0, 1, 0, 0, 0, 0, 0, 1, 0, 0, 0, 0, 0, 0, 0, 0, 0, 0, 0, 0, 0, 0, 1</t>
  </si>
  <si>
    <t>emergency plumber brampton</t>
  </si>
  <si>
    <t>water leak repair local</t>
  </si>
  <si>
    <t>water leak repair professional</t>
  </si>
  <si>
    <t>barrie plumber emergency</t>
  </si>
  <si>
    <t>water leak repair quote</t>
  </si>
  <si>
    <t>emergency plumber pewsey</t>
  </si>
  <si>
    <t>water leak repair reliable</t>
  </si>
  <si>
    <t>emergency plumber tyne and wear</t>
  </si>
  <si>
    <t>water leak repair residential</t>
  </si>
  <si>
    <t>0, 0, 1, 0, 0, 0, 0, 0, 0, 0, 0, 1, 0, 0, 0, 0, 0, 0, 0, 0, 0, 0, 0, 1</t>
  </si>
  <si>
    <t>water leak repair same day</t>
  </si>
  <si>
    <t>emergency plumber eastwood</t>
  </si>
  <si>
    <t>water leak repair urgent</t>
  </si>
  <si>
    <t>0, 0, 0, 0, 0, 0, 0, 0, 0, 0, 0, 0, 0, 1, 0, 0, 0, 0, 0, 0, 0, 0, 0, 1</t>
  </si>
  <si>
    <t>scottsdale water leak repair</t>
  </si>
  <si>
    <t>water leak repair weekend</t>
  </si>
  <si>
    <t>24 hour emergency plumber houston</t>
  </si>
  <si>
    <t>24 hour plumber modesto</t>
  </si>
  <si>
    <t>0, 0, 0, 0, 1, 0, 0, 0, 0, 0, 0, 1, 0, 0, 0, 0, 0, 0, 0, 0, 0, 0, 0, 1</t>
  </si>
  <si>
    <t>mesa emergency plumber</t>
  </si>
  <si>
    <t>water leak on ceiling repair</t>
  </si>
  <si>
    <t>0, 0, 0, 0, 1, 0, 0, 1, 0, 0, 0, 0, 0, 0, 0, 0, 0, 0, 0, 0, 0, 0, 0, 1</t>
  </si>
  <si>
    <t>24 hour plumber overland park ks</t>
  </si>
  <si>
    <t>1, 1, 0, 0, 0, 0, 0, 0, 0, 0, 0, 0, 0, 0, 0, 0, 0, 0, 0, 0, 0, 0, 0, 1</t>
  </si>
  <si>
    <t>emergency plumber enfield</t>
  </si>
  <si>
    <t>1, 0, 2, 0, 0, 1, 0, 3, 0, 4, 3, 1, 0, 0, 0, 1, 0, 0, 1, 0, 0, 0, 0, 1</t>
  </si>
  <si>
    <t>emergency plumber irving</t>
  </si>
  <si>
    <t>0, 0, 1, 1, 1, 3, 1, 0, 0, 1, 1, 3, 0, 0, 0, 0, 0, 0, 0, 0, 0, 0, 0, 1</t>
  </si>
  <si>
    <t>emergency plumber bondi beach</t>
  </si>
  <si>
    <t>emergency plumber north hills</t>
  </si>
  <si>
    <t>0, 0, 0, 0, 0, 0, 0, 2, 2, 0, 0, 0, 0, 0, 0, 0, 0, 0, 0, 0, 0, 0, 0, 1</t>
  </si>
  <si>
    <t>south jordan utah 24 hour plumber</t>
  </si>
  <si>
    <t>emergency plumber walkerton</t>
  </si>
  <si>
    <t>0, 0, 0, 6, 1, 1, 1, 1, 1, 1, 3, 1, 0, 0, 0, 0, 0, 0, 0, 0, 0, 0, 0, 1</t>
  </si>
  <si>
    <t>wimbledon emergency plumber</t>
  </si>
  <si>
    <t>cost</t>
  </si>
  <si>
    <t>24 hour plumber kansas city</t>
  </si>
  <si>
    <t>0, 0, 0, 0, 0, 1, 0, 0, 0, 0, 2, 0, 0, 0, 0, 0, 0, 0, 0, 0, 0, 0, 0, 1</t>
  </si>
  <si>
    <t>emergency plumber augustine heights</t>
  </si>
  <si>
    <t>24 hour plumber narrabeen</t>
  </si>
  <si>
    <t>ashtead emergency plumber</t>
  </si>
  <si>
    <t>emergency plumber harrogate</t>
  </si>
  <si>
    <t>0, 0, 0, 0, 0, 0, 0, 1, 0, 0, 0, 0, 3, 0, 0, 0, 0, 0, 0, 0, 0, 0, 0, 1</t>
  </si>
  <si>
    <t>emergency plumber roachdale south</t>
  </si>
  <si>
    <t>1, 1, 0, 0, 1, 0, 0, 0, 0, 0, 2, 1, 0, 0, 0, 0, 0, 0, 0, 0, 0, 0, 0, 1</t>
  </si>
  <si>
    <t>water leak repair port macquarie</t>
  </si>
  <si>
    <t>repair water heater leak</t>
  </si>
  <si>
    <t>0, 0, 0, 0, 0, 0, 0, 1, 0, 0, 0, 1, 0, 0, 0, 0, 0, 0, 0, 0, 0, 0, 0, 1</t>
  </si>
  <si>
    <t>local emergency plumber near cooloongup</t>
  </si>
  <si>
    <t>emergency plumber company raleigh</t>
  </si>
  <si>
    <t>parker emergency plumber</t>
  </si>
  <si>
    <t>24 hour plumber wigan</t>
  </si>
  <si>
    <t>emergency plumber canterbury</t>
  </si>
  <si>
    <t>0, 0, 0, 0, 0, 1, 0, 1, 0, 2, 3, 0, 0, 0, 0, 0, 0, 0, 0, 0, 0, 0, 0, 1</t>
  </si>
  <si>
    <t>emergency plumber muskego</t>
  </si>
  <si>
    <t>3, 0, 1, 0, 0, 0, 0, 1, 0, 0, 0, 0, 0, 0, 0, 0, 0, 0, 0, 0, 0, 0, 0, 1</t>
  </si>
  <si>
    <t>24 hour plumber maroochy river</t>
  </si>
  <si>
    <t>0, 0, 1, 1, 0, 0, 0, 1, 1, 0, 0, 0, 0, 0, 0, 0, 0, 0, 0, 0, 0, 0, 0, 1</t>
  </si>
  <si>
    <t>emergency plumber schertz</t>
  </si>
  <si>
    <t>0, 0, 0, 0, 0, 0, 0, 0, 3, 2, 1, 0, 0, 0, 0, 0, 0, 0, 0, 0, 0, 0, 0, 1</t>
  </si>
  <si>
    <t>emergency plumber seguin tx</t>
  </si>
  <si>
    <t>emergency plumber near warrenville</t>
  </si>
  <si>
    <t>brooklyn emergency plumber</t>
  </si>
  <si>
    <t>0, 2, 0, 1, 0, 2, 1, 0, 0, 1, 0, 0, 0, 0, 0, 0, 1, 0, 0, 0, 0, 0, 0, 1</t>
  </si>
  <si>
    <t>emergency plumber in indian river</t>
  </si>
  <si>
    <t>0, 0, 0, 0, 0, 0, 2, 1, 0, 0, 2, 0, 0, 0, 0, 0, 0, 0, 0, 0, 0, 0, 0, 1</t>
  </si>
  <si>
    <t>emergency plumber chapel hill nc</t>
  </si>
  <si>
    <t>0, 0, 0, 1, 0, 1, 1, 0, 0, 0, 0, 0, 0, 0, 0, 0, 0, 0, 0, 0, 0, 0, 0, 1</t>
  </si>
  <si>
    <t>emergency plumber glenrothes</t>
  </si>
  <si>
    <t>0, 0, 0, 0, 0, 0, 0, 0, 0, 0, 3, 0, 0, 0, 0, 0, 0, 0, 0, 0, 0, 0, 0, 1</t>
  </si>
  <si>
    <t>water leak repair roodepoort</t>
  </si>
  <si>
    <t>0, 0, 0, 0, 0, 0, 0, 0, 0, 0, 1, 0, 38, 0, 0, 0, 0, 0, 0, 0, 0, 0, 0, 1</t>
  </si>
  <si>
    <t>euless tx emergency plumber</t>
  </si>
  <si>
    <t>emergency plumber galveston, in</t>
  </si>
  <si>
    <t>0, 0, 0, 0, 0, 0, 0, 0, 0, 0, 0, 0, 0, 0, 0, 0, 0, 1, 0, 0, 0, 3, 0, 2</t>
  </si>
  <si>
    <t>emergency plumber castiac ca</t>
  </si>
  <si>
    <t>underground water pipe leak repair cost</t>
  </si>
  <si>
    <t>1, 2, 2, 1, 1, 2, 3, 1, 2, 2, 2, 2, 0, 0, 1, 0, 1, 0, 1, 1, 0, 0, 0, 1</t>
  </si>
  <si>
    <t>plumbers near me</t>
  </si>
  <si>
    <t>emergency plumber hounslow</t>
  </si>
  <si>
    <t>0, 0, 0, 0, 1, 0, 0, 2, 1, 0, 0, 1, 0, 0, 0, 0, 0, 0, 0, 0, 0, 0, 0, 1</t>
  </si>
  <si>
    <t>quote</t>
  </si>
  <si>
    <t>24 hour plumber worcester</t>
  </si>
  <si>
    <t>AI Overview,Thumbnail,People also ask,Knowledge panel,Video preview</t>
  </si>
  <si>
    <t>emergency plumber south melbourne</t>
  </si>
  <si>
    <t>3426, 3480, 3405, 3171, 4017, 3698, 3124, 3488, 3399, 3449, 3689, 3436, 3447, 3496, 3425, 3161, 4046, 3715, 3146, 3529, 3412, 3454, 3692, 3441</t>
  </si>
  <si>
    <t>3453, 3502, 3431, 3170, 4044, 3717, 3156, 3535, 3419, 3460, 3694</t>
  </si>
  <si>
    <t>0, 0, 0, 1, 1, 0, 0, 0, 2, 1, 0, 3, 0, 0, 1, 0, 0, 0, 0, 0, 0, 0, 0, 1</t>
  </si>
  <si>
    <t>Plumbing; Business</t>
  </si>
  <si>
    <t>water leak repair tape screwfix</t>
  </si>
  <si>
    <t>how to repair leaky pipe</t>
  </si>
  <si>
    <t>0, 1, 0, 0, 0, 0, 0, 0, 0, 0, 0, 0, 1, 0, 0, 0, 0, 0, 0, 0, 0, 0, 0, 1</t>
  </si>
  <si>
    <t>emergency plumber fayetteville, nc</t>
  </si>
  <si>
    <t>AI Overview,Thumbnail,Video preview,People also ask,Discussions</t>
  </si>
  <si>
    <t>872, 1307, 1619, 1307, 1619, 1619, 1307, 1619, 1307, 1307, 1307, 1307, 1307, 1311, 1058, 1365, 2206, 1642, 4112, 4922, 4940, 3377, 4972, 5044</t>
  </si>
  <si>
    <t>emergency plumber frisco</t>
  </si>
  <si>
    <t>4941, 5049, 5026, 5028, 5152, 5061, 5325, 5316, 5198, 5276, 5261</t>
  </si>
  <si>
    <t>0, 0, 0, 0, 2, 0, 0, 1, 4, 1, 7, 0, 0, 1, 0, 0, 0, 1, 0, 0, 0, 0, 0, 1</t>
  </si>
  <si>
    <t>emergency plumber lowell ma</t>
  </si>
  <si>
    <t>2415, 1774, 2123, 1707, 2031, 2438, 2159, 3134, 2585, 2704, 2233, 2584, 2610, 1936, 2065, 1747, 2139, 2067, 2003, 2156, 2099, 2028, 2152, 2311</t>
  </si>
  <si>
    <t>2218, 2078, 2157, 2114, 2158, 2211, 2067, 2213, 2155, 2125, 2220, 2378</t>
  </si>
  <si>
    <t>plumber</t>
  </si>
  <si>
    <t>water leak repair orange county</t>
  </si>
  <si>
    <t>0, 0, 2, 0, 1, 1, 1, 1, 0, 0, 0, 0, 0, 0, 0, 0, 0, 0, 0, 0, 0, 0, 0, 1</t>
  </si>
  <si>
    <t>plumbing centurion</t>
  </si>
  <si>
    <t>emergency plumber southern sydney</t>
  </si>
  <si>
    <t>emergency plumber howick</t>
  </si>
  <si>
    <t>Informational,Commercial,Non-branded,Local</t>
  </si>
  <si>
    <t>1214, 1205, 1210, 1181, 1206, 1179, 1219, 1187, 1183, 1265, 1258, 1291, 1233, 1224, 1229, 1199, 1224, 1198, 1238, 1205, 1201, 1283, 1277, 1310</t>
  </si>
  <si>
    <t>1251, 1242, 1247, 1218, 1243, 1216, 1257, 1224, 1220, 1302, 1296, 1329</t>
  </si>
  <si>
    <t>Plumbing; Planning</t>
  </si>
  <si>
    <t>24 hour plumber lewisham</t>
  </si>
  <si>
    <t>emergency plumber bath</t>
  </si>
  <si>
    <t>AI Overview,Thumbnail,People also ask,Video preview,Knowledge panel</t>
  </si>
  <si>
    <t>0, 0, 0, 0, 1, 0, 0, 0, 3, 0, 1, 0, 0, 0, 0, 1, 2, 0, 0, 0, 0, 0, 0, 1</t>
  </si>
  <si>
    <t>emergency plumber service near me</t>
  </si>
  <si>
    <t>532, 354, 547, 321, 446, 371, 377, 398, 470, 257, 299, 394, 372, 378, 712, 354, 273, 399, 395, 403, 405, 436, 408, 417</t>
  </si>
  <si>
    <t>448, 381, 415, 420, 355, 407, 402, 411, 413, 444, 416, 424</t>
  </si>
  <si>
    <t>1, 2, 4, 2, 2, 2, 2, 7, 0, 1, 1, 2, 0, 1, 0, 1, 0, 1, 0, 0, 0, 0, 0, 1</t>
  </si>
  <si>
    <t>vehicle water leak repair</t>
  </si>
  <si>
    <t>plumber cape town</t>
  </si>
  <si>
    <t>1, 0, 0, 0, 0, 1, 2, 2, 2, 2, 5, 0, 0, 0, 0, 1, 1, 0, 0, 2, 1, 0, 0, 1</t>
  </si>
  <si>
    <t>st. cloud burst pipe repair</t>
  </si>
  <si>
    <t>emergency plumber easley</t>
  </si>
  <si>
    <t>416, 437, 397, 433, 294, 481, 383, 466, 387, 454, 313, 422, 433, 355, 304, 359, 271, 343, 303, 318, 314, 323, 329, 326</t>
  </si>
  <si>
    <t>0, 0, 0, 1, 1, 0, 0, 1, 1, 0, 0, 0, 0, 0, 0, 0, 0, 0, 0, 0, 0, 0, 0, 1</t>
  </si>
  <si>
    <t>313, 321, 349, 334, 305, 344, 307, 320, 317, 326, 334, 329</t>
  </si>
  <si>
    <t>emergency plumber park city utah</t>
  </si>
  <si>
    <t>plumber randburg</t>
  </si>
  <si>
    <t>emergency plumber elkins park</t>
  </si>
  <si>
    <t>0, 1, 0, 3, 0, 2, 2, 0, 1, 0, 0, 2, 0, 0, 0, 0, 0, 0, 0, 0, 0, 0, 0, 1</t>
  </si>
  <si>
    <t>emergency plumber banks pocket</t>
  </si>
  <si>
    <t>0, 0, 0, 0, 1, 0, 1, 0, 0, 2, 1, 0, 0, 0, 0, 0, 0, 0, 0, 0, 0, 0, 0, 1</t>
  </si>
  <si>
    <t>255, 218, 262, 154, 185, 263, 179, 176, 174, 188, 209, 308, 234, 226, 222, 273, 223, 218, 243, 216, 230, 222, 232, 237</t>
  </si>
  <si>
    <t>241, 232, 260, 232, 220, 238, 233, 233, 218, 226, 236, 241</t>
  </si>
  <si>
    <t>florence sc emergency plumber</t>
  </si>
  <si>
    <t>plumbers pretoria</t>
  </si>
  <si>
    <t>0, 0, 0, 0, 0, 0, 3, 0, 1, 1, 1, 0, 0, 0, 0, 0, 0, 0, 0, 0, 0, 0, 0, 1</t>
  </si>
  <si>
    <t>emergency plumber manchester</t>
  </si>
  <si>
    <t>0, 2, 0, 1, 0, 0, 2, 3, 0, 5, 2, 0, 1, 0, 0, 0, 0, 0, 0, 0, 0, 0, 0, 1</t>
  </si>
  <si>
    <t>emergency plumber gold coast</t>
  </si>
  <si>
    <t>281, 271, 279, 226, 181, 276, 279, 280, 272, 277, 237, 380, 313, 297, 287, 233, 199, 245, 209, 219, 216, 236, 234, 256</t>
  </si>
  <si>
    <t>1, 0, 4, 0, 1, 0, 2, 3, 3, 1, 1, 1, 0, 0, 0, 0, 0, 1, 0, 0, 0, 0, 0, 1</t>
  </si>
  <si>
    <t>244, 240, 253, 233, 219, 248, 212, 222, 219, 239, 237, 259</t>
  </si>
  <si>
    <t>emergency plumber wahroonga</t>
  </si>
  <si>
    <t>plumbing services near me</t>
  </si>
  <si>
    <t>1, 0, 0, 2, 1, 2, 3, 0, 3, 4, 1, 4, 2, 2, 1, 0, 0, 0, 0, 0, 0, 0, 0, 1</t>
  </si>
  <si>
    <t>emergency plumber horsham pa</t>
  </si>
  <si>
    <t>AI Overview,Thumbnail,People also ask,Discussions,Knowledge panel</t>
  </si>
  <si>
    <t>main water line leak repair</t>
  </si>
  <si>
    <t>288, 239, 239, 280, 286, 207, 244, 304, 200, 184, 214, 292, 193, 221, 149, 230, 168, 204, 219, 247, 324, 220, 237, 249</t>
  </si>
  <si>
    <t>234, 231, 221, 228, 231, 238, 226, 267, 247, 225, 241, 253</t>
  </si>
  <si>
    <t>0, 0, 2, 1, 1, 3, 4, 0, 0, 3, 5, 3, 0, 1, 0, 0, 0, 4, 0, 0, 0, 0, 4, 1</t>
  </si>
  <si>
    <t>emergency plumber noosaville</t>
  </si>
  <si>
    <t>fast</t>
  </si>
  <si>
    <t>0, 0, 0, 0, 0, 0, 1, 0, 1, 0, 0, 0, 0, 0, 0, 0, 0, 0, 0, 0, 0, 0, 0, 1</t>
  </si>
  <si>
    <t>emergency plumber petersfield</t>
  </si>
  <si>
    <t>AI Overview,Thumbnail,Local pack,People also ask</t>
  </si>
  <si>
    <t>midlothian emergency plumber</t>
  </si>
  <si>
    <t>240, 239, 334, 339, 352, 241, 225, 240, 216, 246, 224, 294, 276, 293, 264, 277, 290, 286, 264, 264, 270, 267, 271, 287</t>
  </si>
  <si>
    <t>273, 267, 271, 281, 291, 288, 265, 265, 272, 269, 272</t>
  </si>
  <si>
    <t>burst pipe repair san diego</t>
  </si>
  <si>
    <t>drain surgeon</t>
  </si>
  <si>
    <t>emergency plumber plaistow nh</t>
  </si>
  <si>
    <t>1, 1, 0, 0, 0, 1, 0, 0, 0, 0, 1, 0, 0, 0, 0, 0, 0, 0, 0, 0, 0, 0, 0, 1</t>
  </si>
  <si>
    <t>emergency plumber blandford</t>
  </si>
  <si>
    <t>AI Overview,Thumbnail,Sitelinks,People also ask,Video preview</t>
  </si>
  <si>
    <t>0, 1, 0, 2, 0, 0, 0, 0, 0, 0, 0, 0, 0, 0, 0, 0, 0, 0, 0, 0, 0, 0, 0, 1</t>
  </si>
  <si>
    <t>Informational,Commercial,Transactional,Branded,Local</t>
  </si>
  <si>
    <t>215, 260, 249, 277, 292, 230, 253, 225, 227, 237, 274, 292, 203, 248, 237, 265, 280, 218, 241, 213, 215, 225, 262, 280</t>
  </si>
  <si>
    <t>191, 236, 225, 253, 268, 206, 229, 202, 203, 214, 251, 269</t>
  </si>
  <si>
    <t>emergency plumber in milton keynes</t>
  </si>
  <si>
    <t>emergency plumber stafford</t>
  </si>
  <si>
    <t>0, 1, 0, 0, 0, 2, 1, 3, 0, 1, 0, 0, 0, 0, 0, 0, 0, 0, 0, 1, 0, 0, 0, 1</t>
  </si>
  <si>
    <t>emergency plumber in langwarrin</t>
  </si>
  <si>
    <t>0, 0, 0, 0, 0, 0, 0, 0, 0, 0, 2, 0, 0, 0, 0, 0, 0, 0, 0, 0, 0, 0, 0, 2</t>
  </si>
  <si>
    <t>plumbing near me</t>
  </si>
  <si>
    <t>emergency plumber in bartlett</t>
  </si>
  <si>
    <t>0, 0, 0, 0, 0, 0, 0, 0, 0, 0, 1, 0, 0, 0, 0, 0, 0, 0, 0, 1, 0, 0, 0, 1</t>
  </si>
  <si>
    <t>emergency plumber tarragindi</t>
  </si>
  <si>
    <t>1, 0, 0, 0, 0, 0, 0, 0, 0, 0, 0, 0, 0, 0, 0, 0, 0, 0, 0, 0, 0, 0, 0, 1</t>
  </si>
  <si>
    <t>272, 190, 230, 196, 226, 286, 238, 293, 246, 238, 208, 232, 235, 207, 239, 212, 258, 249, 229, 242, 235, 242, 240, 282</t>
  </si>
  <si>
    <t>emergency plumber mornington</t>
  </si>
  <si>
    <t>253, 241, 247, 244, 255, 264, 243, 257, 250, 256, 254</t>
  </si>
  <si>
    <t>plumbers cape town</t>
  </si>
  <si>
    <t>0, 0, 0, 0, 0, 0, 1, 1, 1, 1, 2, 0, 0, 0, 0, 0, 0, 0, 0, 0, 0, 0, 0, 1</t>
  </si>
  <si>
    <t>emergency plumber cranbrook</t>
  </si>
  <si>
    <t>emergency plumber mission viejo</t>
  </si>
  <si>
    <t>0, 0, 0, 0, 1, 1, 0, 1, 0, 2, 0, 0, 0, 0, 0, 0, 0, 0, 0, 0, 0, 0, 0, 1</t>
  </si>
  <si>
    <t>24 hour plumber rockville md</t>
  </si>
  <si>
    <t>282, 276, 247, 272, 210, 342, 267, 318, 264, 288, 191, 291, 295, 243, 201, 246, 167, 208, 203, 205, 202, 209, 220, 232</t>
  </si>
  <si>
    <t>213, 210, 214, 207, 182, 208, 203, 205, 202, 209, 220</t>
  </si>
  <si>
    <t>leaking pipe</t>
  </si>
  <si>
    <t>same-day plumber emergency cape town</t>
  </si>
  <si>
    <t>0, 0, 0, 0, 0, 0, 0, 0, 0, 0, 0, 0, 0, 0, 0, 0, 0, 0, 0, 18, 24, 8, 0, 11</t>
  </si>
  <si>
    <t>emergency plumber provo</t>
  </si>
  <si>
    <t>0, 0, 0, 0, 1, 1, 3, 0, 0, 1, 0, 1, 0, 0, 0, 0, 0, 0, 0, 0, 0, 0, 0, 1</t>
  </si>
  <si>
    <t>People also ask,Discussions,Image pack</t>
  </si>
  <si>
    <t>metal water tank leak repair</t>
  </si>
  <si>
    <t>emergency plumber the range</t>
  </si>
  <si>
    <t>183, 124, 139, 148, 112, 137, 128, 174, 150, 207, 164, 174, 224, 174, 153, 135, 230, 221, 171, 183, 219, 265, 70, 186</t>
  </si>
  <si>
    <t>Plumbing; Expert content</t>
  </si>
  <si>
    <t>0, 0, 0, 0, 0, 0, 0, 0, 1, 1, 0, 3, 0, 0, 0, 0, 0, 0, 0, 0, 0, 0, 0, 1</t>
  </si>
  <si>
    <t>water leak</t>
  </si>
  <si>
    <t>24 hour plumber finchley</t>
  </si>
  <si>
    <t>emergency plumber clarksburg</t>
  </si>
  <si>
    <t>AI Overview,Thumbnail,People also ask,Discussions,Video preview</t>
  </si>
  <si>
    <t>1, 1, 0, 0, 1, 0, 0, 1, 0, 4, 3, 0, 0, 0, 0, 0, 0, 0, 0, 0, 0, 0, 0, 1</t>
  </si>
  <si>
    <t>emergency plumber near itasca</t>
  </si>
  <si>
    <t>194, 163, 198, 168, 168, 201, 241, 246, 195, 183, 200, 177, 213, 247, 250, 213, 166, 215, 214, 218, 216, 217, 217, 214</t>
  </si>
  <si>
    <t>220, 222, 227, 221, 205, 226, 224, 229, 227, 227, 228, 225</t>
  </si>
  <si>
    <t>alpha plumbing</t>
  </si>
  <si>
    <t>windshield water leak repair</t>
  </si>
  <si>
    <t>1, 0, 0, 0, 0, 0, 0, 0, 3, 1, 1, 0, 3, 0, 0, 0, 0, 0, 0, 1, 0, 0, 0, 1</t>
  </si>
  <si>
    <t>water leak repair shrewsbury</t>
  </si>
  <si>
    <t>Sitelinks</t>
  </si>
  <si>
    <t>rockville emergency plumber</t>
  </si>
  <si>
    <t>143, 97, 115, 117, 93, 120, 106, 189, 143, 240, 243, 292, 188, 233, 159, 192, 188, 190, 141, 140, 158, 164, 168, 177</t>
  </si>
  <si>
    <t>163, 151, 132, 141, 130, 132, 159, 141, 140, 151, 155, 165</t>
  </si>
  <si>
    <t>0, 0, 0, 1, 0, 0, 1, 0, 0, 2, 3, 3, 0, 0, 0, 0, 0, 0, 0, 0, 0, 0, 0, 1</t>
  </si>
  <si>
    <t>emergency plumbers near me</t>
  </si>
  <si>
    <t>emergency plumber fairbury</t>
  </si>
  <si>
    <t>emergency plumber service detroit</t>
  </si>
  <si>
    <t>0, 0, 0, 0, 0, 2, 0, 1, 0, 0, 0, 0, 0, 0, 0, 0, 0, 0, 0, 0, 0, 0, 0, 1</t>
  </si>
  <si>
    <t>emergency gas plumber near me</t>
  </si>
  <si>
    <t>local</t>
  </si>
  <si>
    <t>246, 212, 173, 152, 238, 150, 148, 179, 183, 125, 129, 148, 168, 194, 232, 158, 282, 188, 152, 253, 325, 184, 190, 213</t>
  </si>
  <si>
    <t>237, 239, 247, 207, 313, 217, 202, 246, 228, 204, 210</t>
  </si>
  <si>
    <t>2, 0, 0, 1, 1, 1, 0, 2, 1, 3, 4, 1, 0, 0, 0, 0, 0, 0, 0, 0, 0, 0, 0, 1</t>
  </si>
  <si>
    <t>emergency plumber chessington</t>
  </si>
  <si>
    <t>plumbers in sandton</t>
  </si>
  <si>
    <t>plumbers in sandton area</t>
  </si>
  <si>
    <t>colorado springs emergency plumber</t>
  </si>
  <si>
    <t>0, 1, 0, 0, 0, 0, 0, 0, 0, 0, 1, 0, 0, 0, 0, 0, 0, 0, 0, 0, 0, 0, 0, 1</t>
  </si>
  <si>
    <t>emergency plumber in wellingborough</t>
  </si>
  <si>
    <t>211, 191, 214, 191, 213, 255, 260, 192, 187, 153, 151, 220, 224, 208, 190, 196, 171, 206, 194, 193, 219, 212, 202, 226</t>
  </si>
  <si>
    <t>199, 203, 197, 189, 186, 212, 199, 198, 224, 218, 207, 231</t>
  </si>
  <si>
    <t>plumber sandton</t>
  </si>
  <si>
    <t>emergency plumber service holland park west</t>
  </si>
  <si>
    <t>plumbers sandton</t>
  </si>
  <si>
    <t>emergency plumber service hemmant</t>
  </si>
  <si>
    <t>Local pack</t>
  </si>
  <si>
    <t>emergency plumber claremont</t>
  </si>
  <si>
    <t>166, 160, 184, 154, 180, 238, 228, 164, 161, 134, 124, 234, 220, 205, 201, 203, 166, 189, 174, 171, 179, 176, 167, 215</t>
  </si>
  <si>
    <t>183, 186, 171, 173, 167, 193, 178, 174, 182, 180, 171</t>
  </si>
  <si>
    <t>1, 0, 0, 0, 0, 0, 1, 1, 1, 1, 2, 7, 5, 0, 4, 1, 1, 0, 2, 1, 1, 0, 0, 2</t>
  </si>
  <si>
    <t>emergency plumber meridian</t>
  </si>
  <si>
    <t>0, 0, 1, 0, 0, 0, 0, 2, 0, 2, 0, 0, 0, 0, 0, 0, 0, 0, 0, 0, 0, 0, 0, 1</t>
  </si>
  <si>
    <t>24 hour emergency plumber auckland</t>
  </si>
  <si>
    <t>0, 0, 0, 0, 2, 1, 0, 0, 2, 0, 0, 0, 0, 0, 0, 0, 0, 0, 0, 0, 0, 0, 0, 1</t>
  </si>
  <si>
    <t>adelaide emergency plumber</t>
  </si>
  <si>
    <t>94, 76, 81, 78, 92, 94, 97, 101, 98, 121, 106, 119, 342, 340, 229, 129, 121, 117, 118, 113, 149, 160, 135, 137</t>
  </si>
  <si>
    <t>plumbers in randburg</t>
  </si>
  <si>
    <t>0, 0, 0, 1, 0, 1, 1, 2, 1, 2, 2, 0, 0, 0, 0, 0, 0, 0, 0, 0, 0, 0, 0, 1</t>
  </si>
  <si>
    <t>water leak detection/repair</t>
  </si>
  <si>
    <t>emergency plumber swindon</t>
  </si>
  <si>
    <t>0, 0, 1, 0, 0, 0, 1, 1, 0, 1, 0, 0, 0, 0, 0, 0, 0, 0, 0, 0, 0, 0, 0, 1</t>
  </si>
  <si>
    <t>149, 145, 146, 143, 152, 143, 139, 152, 157, 149, 148, 387, 316, 264, 175, 177, 172, 171, 176, 193, 201, 128, 41, 124</t>
  </si>
  <si>
    <t>emergency plumber little rock</t>
  </si>
  <si>
    <t>leak detection near me</t>
  </si>
  <si>
    <t>0, 0, 1, 0, 0, 0, 2, 0, 1, 0, 0, 0, 0, 0, 0, 0, 0, 0, 0, 0, 0, 0, 0, 1</t>
  </si>
  <si>
    <t>emergency plumber selby</t>
  </si>
  <si>
    <t>leak detection cape town</t>
  </si>
  <si>
    <t>0, 0, 0, 0, 1, 0, 2, 0, 0, 2, 1, 0, 0, 0, 0, 0, 0, 0, 0, 0, 0, 0, 0, 1</t>
  </si>
  <si>
    <t>24 hour plumber utah</t>
  </si>
  <si>
    <t>128, 129, 142, 115, 105, 111, 133, 187, 154, 117, 98, 144, 116, 161, 171, 149, 141, 153, 153, 154, 150, 152, 164, 166</t>
  </si>
  <si>
    <t>156, 157, 154, 144, 133, 146, 146, 147, 143, 145, 157</t>
  </si>
  <si>
    <t>plumbers in benoni</t>
  </si>
  <si>
    <t>emergency plumber lake mary</t>
  </si>
  <si>
    <t>burst pipe repair fort wayne in</t>
  </si>
  <si>
    <t>149, 140, 161, 153, 157, 133, 150, 131, 145, 130, 146, 136, 160, 156, 137, 156, 146, 147, 146, 143, 139, 143, 59, 72</t>
  </si>
  <si>
    <t>emergency plumber greenwood village</t>
  </si>
  <si>
    <t>24 hour plumber bonita</t>
  </si>
  <si>
    <t>local emergency plumber near girrawheen</t>
  </si>
  <si>
    <t>plumbers in cape town</t>
  </si>
  <si>
    <t>emergency water plumber salt lake city</t>
  </si>
  <si>
    <t>24 hr emergency plumber</t>
  </si>
  <si>
    <t>0, 3, 8, 4, 12, 3, 4, 1, 6, 7, 11, 1, 0, 1, 1, 0, 1, 1, 0, 1, 1, 1, 1, 2</t>
  </si>
  <si>
    <t>emergency plumber contractor salt lake county</t>
  </si>
  <si>
    <t>8, 15, 14, 29, 45, 93, 18, 46, 18, 39, 38, 238, 153, 115, 99, 156, 127, 94, 126, 158, 150, 180, 91, 141</t>
  </si>
  <si>
    <t>sealant for water leaks</t>
  </si>
  <si>
    <t>emergency plumber steinbach</t>
  </si>
  <si>
    <t>AI Overview,Thumbnail,People also ask,Video preview,Image pack</t>
  </si>
  <si>
    <t>24 hour plumber pickering</t>
  </si>
  <si>
    <t>Informational,Commercial,Transactional,Non-branded,Non-local</t>
  </si>
  <si>
    <t>0, 0, 0, 1, 0, 0, 0, 0, 2, 0, 0, 0, 0, 0, 0, 0, 0, 0, 0, 0, 0, 0, 0, 1</t>
  </si>
  <si>
    <t>77, 130, 163, 210, 71, 97, 94, 145, 154, 114, 69, 74, 96, 130, 154, 215, 268, 208, 155, 165, 200, 219, 117, 180</t>
  </si>
  <si>
    <t>emergency plumber hovea</t>
  </si>
  <si>
    <t>0, 0, 0, 0, 0, 0, 1, 3, 0, 0, 0, 0, 0, 0, 0, 0, 0, 0, 0, 0, 0, 0, 0, 1</t>
  </si>
  <si>
    <t>emergency plumber tarzana</t>
  </si>
  <si>
    <t>emergency plumber euless</t>
  </si>
  <si>
    <t>emergency plumber dublin 7</t>
  </si>
  <si>
    <t>plumbers near me prices</t>
  </si>
  <si>
    <t>reliable</t>
  </si>
  <si>
    <t>1, 0, 0, 0, 0, 0, 0, 1, 0, 1, 0, 0, 0, 0, 0, 0, 0, 0, 0, 0, 0, 0, 0, 1</t>
  </si>
  <si>
    <t>emergency plumber newtownabbey</t>
  </si>
  <si>
    <t>emergency plumber morningside</t>
  </si>
  <si>
    <t>115, 85, 104, 88, 95, 78, 80, 68, 85, 66, 64, 43, 134, 77, 94, 130, 111, 153, 165, 131, 244, 107, 86, 103</t>
  </si>
  <si>
    <t>water leaks</t>
  </si>
  <si>
    <t>0, 0, 0, 1, 0, 0, 0, 2, 0, 0, 2, 0, 1, 1, 2, 0, 0, 0, 0, 0, 2, 3, 0, 1</t>
  </si>
  <si>
    <t>ephrata emergency plumber</t>
  </si>
  <si>
    <t>grover beach 24 hour plumber</t>
  </si>
  <si>
    <t>AI Overview,Thumbnail,Image pack,People also ask</t>
  </si>
  <si>
    <t>0, 0, 0, 0, 0, 0, 0, 1, 0, 0, 2, 0, 0, 0, 0, 0, 0, 0, 0, 0, 0, 0, 0, 1</t>
  </si>
  <si>
    <t>emergency plumber mordialloc</t>
  </si>
  <si>
    <t>Informational,Non-branded,Non-local</t>
  </si>
  <si>
    <t>88, 54, 77, 49, 27, 41, 50, 86, 65, 80, 40, 176, 121, 125, 165, 146, 164, 134, 255, 120, 130, 180, 90, 134</t>
  </si>
  <si>
    <t>0, 2, 1, 0, 0, 0, 0, 0, 0, 0, 0, 0, 0, 0, 0, 0, 0, 0, 0, 0, 0, 0, 0, 1</t>
  </si>
  <si>
    <t>plumbing companies</t>
  </si>
  <si>
    <t>new orleans la emergency plumber</t>
  </si>
  <si>
    <t>water leak repair spray</t>
  </si>
  <si>
    <t>4, 0, 0, 0, 0, 1, 0, 0, 1, 0, 0, 0, 0, 0, 0, 0, 0, 0, 2, 0, 0, 0, 0, 1</t>
  </si>
  <si>
    <t>emergency plumber near wheaton</t>
  </si>
  <si>
    <t>175, 181, 181, 106, 205, 225, 214, 231, 386, 201, 130, 198, 215, 165, 144, 136, 114, 171, 159, 173, 193, 174, 160, 158</t>
  </si>
  <si>
    <t>171, 159, 158, 147, 142, 175, 163, 177, 197, 178, 164, 162</t>
  </si>
  <si>
    <t>plumbers randburg</t>
  </si>
  <si>
    <t>emergency plumber stoke on trent</t>
  </si>
  <si>
    <t>0, 0, 0, 0, 0, 0, 0, 0, 0, 1, 0, 2, 0, 0, 0, 0, 0, 0, 1, 0, 0, 0, 0, 1</t>
  </si>
  <si>
    <t>24/7 emergency plumber liverpool</t>
  </si>
  <si>
    <t>emergency plumber in london</t>
  </si>
  <si>
    <t>80, 72, 80, 84, 70, 101, 78, 85, 87, 82, 94, 199, 176, 134, 90, 101, 132, 127, 104, 166, 156, 183, 44, 124</t>
  </si>
  <si>
    <t>0, 4, 1, 1, 1, 3, 0, 1, 2, 3, 3, 0, 1, 1, 2, 3, 1, 1, 0, 0, 0, 2, 0, 2</t>
  </si>
  <si>
    <t>plumber pretoria</t>
  </si>
  <si>
    <t>24 hour plumber coquitlam</t>
  </si>
  <si>
    <t>laurel emergency plumber</t>
  </si>
  <si>
    <t>emergency plumber miranda</t>
  </si>
  <si>
    <t>138, 141, 144, 118, 98, 135, 135, 138, 134, 156, 120, 203, 172, 166, 169, 127, 94, 141, 125, 118, 114, 118, 113, 134</t>
  </si>
  <si>
    <t>129, 127, 130, 119, 113, 141, 124, 118, 114, 118, 113, 134</t>
  </si>
  <si>
    <t>0, 0, 0, 0, 0, 0, 1, 0, 1, 0, 1, 0, 0, 0, 0, 0, 0, 0, 0, 0, 0, 0, 0, 1</t>
  </si>
  <si>
    <t>emergency plumber tracy ca</t>
  </si>
  <si>
    <t>emergency plumber rockwell</t>
  </si>
  <si>
    <t>ez plumbing usa - 24 hour emergency plumber</t>
  </si>
  <si>
    <t>114, 105, 105, 124, 158, 110, 97, 127, 115, 147, 128, 262, 142, 113, 167, 174, 196, 157, 139, 171, 162, 150, 110, 141</t>
  </si>
  <si>
    <t>how to fix a leaking tap</t>
  </si>
  <si>
    <t>0, 0, 0, 0, 0, 0, 0, 1, 1, 2, 0, 0, 0, 0, 0, 0, 0, 0, 0, 0, 0, 0, 1, 1</t>
  </si>
  <si>
    <t>AI Overview,Thumbnail,Video preview,People also ask</t>
  </si>
  <si>
    <t>emergency plumber sw8</t>
  </si>
  <si>
    <t>emergency plumber blocked toilet canberra</t>
  </si>
  <si>
    <t>27, 79, 37, 34, 25, 5, 17, 31, 28, 51, 49, 25, 55, 113, 84, 74, 83, 86, 114, 103, 107, 167, 169, 100</t>
  </si>
  <si>
    <t>water coolant leak repair cost</t>
  </si>
  <si>
    <t>0, 0, 0, 0, 0, 0, 0, 0, 0, 0, 0, 0, 0, 0, 1, 1, 1, 1, 0, 0, 0, 0, 3, 2</t>
  </si>
  <si>
    <t>247 emergency plumber</t>
  </si>
  <si>
    <t>4, 0, 1, 3, 0, 4, 1, 1, 1, 1, 2, 4, 0, 0, 0, 0, 1, 0, 1, 1, 1, 0, 0, 1</t>
  </si>
  <si>
    <t>emergency plumber minnesota</t>
  </si>
  <si>
    <t>plumbers benoni</t>
  </si>
  <si>
    <t>emergency plumber service belmont</t>
  </si>
  <si>
    <t>24 hour plumber hove</t>
  </si>
  <si>
    <t>84, 66, 62, 110, 70, 74, 76, 51, 94, 68, 85, 78, 184, 212, 137, 89, 74, 70, 96, 67, 83, 62, 90, 82</t>
  </si>
  <si>
    <t>0, 0, 0, 0, 2, 0, 0, 0, 0, 0, 1, 0, 0, 0, 0, 0, 0, 0, 0, 0, 0, 0, 0, 1</t>
  </si>
  <si>
    <t>plumbing work</t>
  </si>
  <si>
    <t>emergency plumber glen waverley</t>
  </si>
  <si>
    <t>0, 0, 0, 0, 0, 0, 0, 0, 0, 1, 1, 2, 0, 0, 0, 0, 1, 0, 0, 0, 0, 0, 0, 1</t>
  </si>
  <si>
    <t>plumbing jobs cape town</t>
  </si>
  <si>
    <t>emergency plumber marbella</t>
  </si>
  <si>
    <t>Local pack,People also ask,Image pack</t>
  </si>
  <si>
    <t>professional</t>
  </si>
  <si>
    <t>birmingham emergency plumber</t>
  </si>
  <si>
    <t>85, 70, 187, 75, 47, 384, 136, 166, 184, 80, 72, 108, 185, 85, 103, 121, 81, 169, 137, 136, 139, 128, 127, 134</t>
  </si>
  <si>
    <t>143, 133, 145, 128, 120, 183, 152, 151, 154, 143, 143</t>
  </si>
  <si>
    <t>Plumbing; Continuing education; Technical reference</t>
  </si>
  <si>
    <t>0, 1, 0, 0, 0, 0, 2, 0, 1, 0, 2, 0, 0, 0, 0, 0, 1, 0, 0, 0, 0, 0, 0, 1</t>
  </si>
  <si>
    <t>leaking tap</t>
  </si>
  <si>
    <t>emergency plumber kawungan</t>
  </si>
  <si>
    <t>0, 0, 0, 0, 0, 0, 2, 2, 0, 2, 1, 0, 0, 0, 0, 0, 0, 0, 0, 0, 0, 0, 0, 1</t>
  </si>
  <si>
    <t>fix leaking tap</t>
  </si>
  <si>
    <t>emergency plumber pascoe vale</t>
  </si>
  <si>
    <t>AI Overview,Thumbnail,Video preview,People also ask,Image pack</t>
  </si>
  <si>
    <t>0, 0, 0, 0, 1, 0, 1, 0, 2, 0, 1, 0, 0, 0, 0, 0, 0, 0, 0, 0, 0, 0, 0, 1</t>
  </si>
  <si>
    <t>218, 145, 145, 117, 74, 96, 113, 137, 139, 147, 110, 90, 177, 205, 91, 79, 67, 116, 122, 131, 128, 129, 112, 114</t>
  </si>
  <si>
    <t>156, 141, 126, 114, 98, 117, 122, 131, 129, 130, 112, 115</t>
  </si>
  <si>
    <t>Plumbing; General reference</t>
  </si>
  <si>
    <t>emergency plumber dianella</t>
  </si>
  <si>
    <t>drain surgeon pretoria</t>
  </si>
  <si>
    <t>0, 0, 0, 0, 0, 0, 0, 1, 3, 1, 3, 0, 0, 1, 0, 0, 0, 0, 0, 0, 0, 0, 0, 1</t>
  </si>
  <si>
    <t>emergency plumber bromsgrove</t>
  </si>
  <si>
    <t>Sitelinks,People also ask</t>
  </si>
  <si>
    <t>0, 0, 0, 1, 0, 0, 0, 0, 1, 1, 0, 0, 0, 0, 0, 0, 0, 0, 0, 0, 0, 0, 0, 1</t>
  </si>
  <si>
    <t>emergency plumber service parkinson</t>
  </si>
  <si>
    <t>81, 87, 93, 134, 116, 96, 50, 78, 62, 47, 52, 84, 96, 111, 96, 116, 145, 99, 89, 101, 99, 109, 107, 155</t>
  </si>
  <si>
    <t>100, 93, 111, 117, 93, 85, 77, 89, 87, 97, 95, 143</t>
  </si>
  <si>
    <t>Medical procedures</t>
  </si>
  <si>
    <t>24 hour plumber el cajon</t>
  </si>
  <si>
    <t>plumbing contractors</t>
  </si>
  <si>
    <t>emergency plumber piscataway</t>
  </si>
  <si>
    <t>0, 0, 0, 0, 1, 2, 1, 2, 0, 0, 0, 0, 0, 0, 0, 0, 0, 0, 0, 0, 0, 0, 0, 1</t>
  </si>
  <si>
    <t>colorado springs 24 hour plumber</t>
  </si>
  <si>
    <t>28, 35, 32, 29, 31, 30, 47, 42, 61, 62, 55, 57, 149, 116, 109, 101, 92, 156, 137, 220, 153, 63, 55, 74</t>
  </si>
  <si>
    <t>emergency plumber franklin indiana</t>
  </si>
  <si>
    <t>emergency plumber mortdale</t>
  </si>
  <si>
    <t>emergency plumber near me lawrenceville</t>
  </si>
  <si>
    <t>164, 141, 161, 159, 165, 164, 133, 142, 136, 165, 111, 132, 128, 127, 130, 108, 117, 115, 109, 117, 119, 117, 119, 115</t>
  </si>
  <si>
    <t>0, 0, 0, 0, 0, 1, 0, 2, 0, 0, 1, 0, 0, 0, 0, 0, 0, 0, 0, 0, 0, 0, 0, 1</t>
  </si>
  <si>
    <t>117, 112, 121, 116, 122, 115, 109, 117, 119, 117, 119, 115</t>
  </si>
  <si>
    <t>emergency plumber kingsgrove</t>
  </si>
  <si>
    <t>plumbers near me small jobs</t>
  </si>
  <si>
    <t>0, 0, 0, 0, 0, 0, 1, 0, 0, 0, 0, 0, 0, 0, 0, 0, 0, 0, 0, 0, 0, 0, 0, 1</t>
  </si>
  <si>
    <t>el paso emergency plumber</t>
  </si>
  <si>
    <t>People also ask,Discussions</t>
  </si>
  <si>
    <t>0, 0, 1, 0, 1, 0, 0, 0, 0, 0, 0, 0, 0, 0, 0, 0, 0, 0, 0, 0, 0, 0, 0, 1</t>
  </si>
  <si>
    <t>24 hour plumber plano tx</t>
  </si>
  <si>
    <t>135, 111, 103, 90, 51, 52, 73, 72, 93, 97, 82, 91, 103, 140, 116, 100, 80, 90, 92, 82, 94, 82, 137, 100</t>
  </si>
  <si>
    <t>0, 0, 0, 1, 0, 2, 1, 1, 1, 0, 1, 1, 0, 0, 0, 0, 0, 0, 0, 0, 0, 0, 0, 1</t>
  </si>
  <si>
    <t>plumbing leak detection</t>
  </si>
  <si>
    <t>emergency plumber toowoomba</t>
  </si>
  <si>
    <t>0, 0, 0, 0, 0, 1, 0, 1, 0, 0, 0, 0, 0, 0, 0, 0, 1, 0, 0, 0, 0, 0, 0, 1</t>
  </si>
  <si>
    <t>AI Overview,Thumbnail,Local pack,People also ask,Video preview</t>
  </si>
  <si>
    <t>water leak pipe repair</t>
  </si>
  <si>
    <t>0, 1, 2, 0, 0, 2, 1, 1, 2, 4, 1, 3, 0, 1, 1, 0, 1, 0, 2, 1, 1, 2, 1, 1</t>
  </si>
  <si>
    <t>24 hour plumber new braunfels</t>
  </si>
  <si>
    <t>32, 44, 30, 56, 46, 54, 74, 87, 58, 71, 65, 188, 93, 77, 109, 129, 122, 119, 109, 114, 116, 106, 76, 100</t>
  </si>
  <si>
    <t>plumbing repair</t>
  </si>
  <si>
    <t>emergency plumber two rocks</t>
  </si>
  <si>
    <t>0, 0, 0, 0, 0, 0, 2, 2, 1, 1, 0, 0, 0, 0, 0, 0, 0, 0, 0, 0, 0, 0, 0, 1</t>
  </si>
  <si>
    <t>75, 72, 100, 109, 112, 120, 193, 94, 235, 274, 278, 235, 73, 76, 40, 85, 71, 138, 175, 105, 37, 47, 46, 48</t>
  </si>
  <si>
    <t>emergency plumber reservoir</t>
  </si>
  <si>
    <t>plumbing companies in cape town</t>
  </si>
  <si>
    <t>0, 0, 1, 0, 3, 1, 2, 2, 1, 2, 1, 0, 0, 0, 0, 1, 0, 0, 0, 0, 0, 0, 0, 1</t>
  </si>
  <si>
    <t>24 hour plumber wurtulla</t>
  </si>
  <si>
    <t>0, 0, 0, 0, 1, 1, 1, 1, 0, 0, 0, 0, 0, 0, 0, 0, 0, 0, 0, 0, 0, 0, 0, 1</t>
  </si>
  <si>
    <t>24 hour plumber grand prairie tx</t>
  </si>
  <si>
    <t>15, 4, 6, 10, 20, 52, 18, 26, 18, 14, 9, 141, 123, 97, 77, 68, 113, 128, 126, 125, 126, 128, 77, 111</t>
  </si>
  <si>
    <t>1, 0, 0, 1, 0, 1, 0, 0, 0, 0, 0, 0, 0, 0, 0, 0, 0, 0, 0, 0, 0, 0, 0, 1</t>
  </si>
  <si>
    <t>plumbing company near me</t>
  </si>
  <si>
    <t>24 hour plumber fairfield</t>
  </si>
  <si>
    <t>0, 0, 0, 0, 0, 0, 0, 1, 0, 0, 0, 0, 0, 0, 0, 0, 0, 1, 0, 0, 0, 0, 1, 1</t>
  </si>
  <si>
    <t>plumber durban</t>
  </si>
  <si>
    <t>emergency plumber north brunswick</t>
  </si>
  <si>
    <t>residential</t>
  </si>
  <si>
    <t>mountain brook emergency plumber</t>
  </si>
  <si>
    <t>85, 99, 92, 97, 106, 141, 104, 158, 127, 151, 148, 81, 78, 56, 129, 95, 235, 256, 108, 90, 66, 73, 46, 63</t>
  </si>
  <si>
    <t>drain unblocker near me</t>
  </si>
  <si>
    <t>0, 0, 1, 0, 1, 1, 0, 0, 0, 0, 0, 0, 0, 0, 0, 0, 0, 0, 0, 0, 0, 0, 0, 1</t>
  </si>
  <si>
    <t>24 hour plumber sioux falls</t>
  </si>
  <si>
    <t>unblock drain</t>
  </si>
  <si>
    <t>120, 122, 109, 78, 91, 99, 100, 119, 88, 99, 84, 100, 137, 197, 166, 104, 70, 111, 63, 72, 99, 93, 42, 68</t>
  </si>
  <si>
    <t>emergency plumber bexhill</t>
  </si>
  <si>
    <t>sandton plumber</t>
  </si>
  <si>
    <t>emergency plumber norfolk</t>
  </si>
  <si>
    <t>0, 1, 0, 0, 0, 1, 0, 0, 0, 0, 0, 0, 0, 0, 0, 1, 0, 0, 0, 0, 0, 0, 0, 1</t>
  </si>
  <si>
    <t>emergency plumber the palms</t>
  </si>
  <si>
    <t>43, 40, 49, 42, 47, 43, 41, 54, 43, 48, 50, 239, 231, 170, 39, 37, 24, 35, 26, 40, 66, 74, 40, 59</t>
  </si>
  <si>
    <t>0, 0, 0, 0, 0, 0, 1, 1, 0, 0, 0, 3, 0, 0, 0, 0, 0, 0, 0, 0, 0, 0, 0, 1</t>
  </si>
  <si>
    <t>drain surgeon near me</t>
  </si>
  <si>
    <t>24 hour emergency plumber overland park ks</t>
  </si>
  <si>
    <t>the drain surgeon</t>
  </si>
  <si>
    <t>emergency plumber pennant hills</t>
  </si>
  <si>
    <t>1, 0, 0, 1, 1, 0, 0, 0, 0, 1, 0, 0, 0, 0, 0, 0, 0, 0, 0, 0, 0, 0, 0, 1</t>
  </si>
  <si>
    <t>24 hour plumber colorado springs</t>
  </si>
  <si>
    <t>4, 5, 13, 0, 4, 3, 2, 3, 6, 3, 70, 152, 263, 145, 136, 91, 38, 6, 19, 20, 29, 35, 50, 85</t>
  </si>
  <si>
    <t>0, 0, 2, 2, 0, 0, 0, 2, 1, 2, 0, 1, 0, 0, 1, 0, 0, 0, 0, 0, 0, 0, 1, 1</t>
  </si>
  <si>
    <t>plumber in sandton</t>
  </si>
  <si>
    <t>emergency plumber north tyneside</t>
  </si>
  <si>
    <t>cost to repair water damage from roof leak</t>
  </si>
  <si>
    <t>70, 48, 51, 93, 53, 57, 95, 68, 65, 62, 61, 90, 146, 136, 94, 58, 91, 55, 52, 45, 62, 75, 85, 91</t>
  </si>
  <si>
    <t>0, 0, 0, 0, 0, 0, 0, 0, 0, 0, 0, 0, 0, 0, 0, 0, 0, 1, 0, 0, 0, 0, 0, 1</t>
  </si>
  <si>
    <t>albuquerque emergency plumber</t>
  </si>
  <si>
    <t>1, 0, 0, 1, 0, 1, 0, 1, 0, 0, 1, 0, 0, 0, 0, 0, 0, 0, 0, 0, 0, 0, 0, 1</t>
  </si>
  <si>
    <t>emergency plumber san bernardino ca</t>
  </si>
  <si>
    <t>emergency plumber durbanville</t>
  </si>
  <si>
    <t>plumbers pretoria north</t>
  </si>
  <si>
    <t>emergency plumber deer park</t>
  </si>
  <si>
    <t>plumber pretoria north</t>
  </si>
  <si>
    <t>emergency plumber bolton</t>
  </si>
  <si>
    <t>0, 1, 0, 2, 1, 0, 0, 0, 0, 0, 0, 0, 0, 0, 1, 0, 0, 0, 0, 0, 0, 0, 0, 1</t>
  </si>
  <si>
    <t>110, 78, 66, 59, 57, 71, 63, 76, 76, 66, 89, 128, 142, 102, 59, 93, 71, 74, 51, 80, 65, 51, 4, 39</t>
  </si>
  <si>
    <t>24 hour plumber houston</t>
  </si>
  <si>
    <t>emergency plumbers</t>
  </si>
  <si>
    <t>0, 0, 1, 0, 0, 0, 2, 1, 1, 2, 1, 0, 0, 0, 0, 0, 0, 0, 0, 0, 2, 0, 0, 2</t>
  </si>
  <si>
    <t>emergency plumber highgate</t>
  </si>
  <si>
    <t>commercial</t>
  </si>
  <si>
    <t>0, 0, 0, 0, 0, 0, 0, 1, 0, 3, 1, 0, 0, 0, 0, 0, 0, 0, 0, 0, 0, 0, 0, 1</t>
  </si>
  <si>
    <t>local emergency plumber near redcliffe</t>
  </si>
  <si>
    <t>54, 48, 54, 70, 57, 76, 61, 49, 53, 99, 169, 169, 129, 38, 44, 65, 54, 117, 126, 46, 36, 51, 36, 36</t>
  </si>
  <si>
    <t>best plumber near me</t>
  </si>
  <si>
    <t>emergency plumber san luis obispo</t>
  </si>
  <si>
    <t>24 hour plumber greenville sc</t>
  </si>
  <si>
    <t>15, 24, 25, 17, 31, 31, 21, 44, 45, 47, 31, 140, 78, 71, 73, 58, 71, 68, 72, 101, 63, 54, 50, 57</t>
  </si>
  <si>
    <t>24 hour plumber birmingham al</t>
  </si>
  <si>
    <t>Local pack,Discussions</t>
  </si>
  <si>
    <t>emergency plumber in niles</t>
  </si>
  <si>
    <t>48, 22, 38, 32, 32, 33, 34, 24, 36, 34, 30, 45, 82, 51, 58, 60, 56, 75, 81, 177, 60, 107, 75, 60</t>
  </si>
  <si>
    <t>belgrade emergency plumber</t>
  </si>
  <si>
    <t>leaking water</t>
  </si>
  <si>
    <t>Image pack,People also ask,Discussions</t>
  </si>
  <si>
    <t>24-hour emergency plumber in dubai</t>
  </si>
  <si>
    <t>0, 0, 0, 0, 0, 1, 3, 0, 2, 1, 0, 0, 0, 0, 0, 0, 0, 0, 0, 0, 0, 0, 0, 1</t>
  </si>
  <si>
    <t>emergency plumber near me prices</t>
  </si>
  <si>
    <t>90, 79, 76, 53, 61, 41, 84, 96, 70, 70, 136, 80, 89, 68, 57, 67, 68, 95, 108, 98, 83, 62, 86, 62</t>
  </si>
  <si>
    <t>emergency plumbing near me</t>
  </si>
  <si>
    <t>1, 0, 0, 0, 3, 1, 0, 1, 0, 0, 0, 0, 3, 0, 0, 2, 0, 0, 0, 2, 0, 0, 0, 1</t>
  </si>
  <si>
    <t>24 hour plumber peoria il</t>
  </si>
  <si>
    <t>0, 0, 0, 0, 0, 3, 1, 3, 1, 0, 0, 0, 0, 0, 0, 0, 0, 0, 0, 0, 0, 0, 0, 1</t>
  </si>
  <si>
    <t>port st. lucie emergency plumber</t>
  </si>
  <si>
    <t>31, 23, 35, 26, 46, 41, 44, 39, 57, 59, 84, 83, 52, 49, 38, 153, 58, 103, 115, 94, 89, 29, 68, 47</t>
  </si>
  <si>
    <t>chimney water leak repair newport</t>
  </si>
  <si>
    <t>plumber bellville</t>
  </si>
  <si>
    <t>0, 0, 0, 0, 0, 0, 0, 0, 0, 2, 2, 0, 0, 0, 0, 0, 0, 0, 0, 0, 0, 0, 0, 1</t>
  </si>
  <si>
    <t>weekend emergency plumber cape town</t>
  </si>
  <si>
    <t>0, 0, 0, 0, 0, 0, 0, 0, 0, 0, 0, 0, 0, 0, 0, 0, 0, 0, 0, 10, 25, 9, 0, 12</t>
  </si>
  <si>
    <t>24 hour plumber anaheim</t>
  </si>
  <si>
    <t>30, 33, 25, 33, 61, 68, 38, 50, 127, 37, 188, 139, 71, 69, 52, 63, 93, 92, 92, 88, 103, 52, 41, 53</t>
  </si>
  <si>
    <t>drain cleaning near me</t>
  </si>
  <si>
    <t>emergency plumber morningside-lenox park</t>
  </si>
  <si>
    <t>blocked drain near me</t>
  </si>
  <si>
    <t>emergency plumber milton</t>
  </si>
  <si>
    <t>57, 66, 82, 96, 124, 143, 138, 201, 177, 222, 215, 68, 65, 62, 61, 46, 60, 127, 41, 66, 51, 82, 61, 66</t>
  </si>
  <si>
    <t>0, 0, 0, 0, 1, 0, 0, 2, 3, 1, 1, 2, 0, 0, 0, 0, 0, 0, 0, 0, 0, 0, 0, 1</t>
  </si>
  <si>
    <t>plumbers in pretoria</t>
  </si>
  <si>
    <t>foundation water leak repair</t>
  </si>
  <si>
    <t>0, 1, 0, 0, 1, 1, 0, 0, 1, 0, 0, 1, 0, 0, 0, 0, 0, 0, 0, 0, 0, 0, 0, 1</t>
  </si>
  <si>
    <t>emergency plumber greene county</t>
  </si>
  <si>
    <t>no hot water emergency plumber cape town</t>
  </si>
  <si>
    <t>63, 67, 70, 55, 41, 64, 63, 67, 69, 66, 52, 106, 86, 81, 77, 62, 43, 64, 56, 60, 55, 60, 53, 60</t>
  </si>
  <si>
    <t>58, 60, 69, 61, 55, 64, 56, 59, 55, 60, 53, 60</t>
  </si>
  <si>
    <t>0, 0, 0, 0, 0, 0, 0, 0, 0, 0, 0, 0, 0, 0, 0, 0, 0, 0, 0, 8, 21, 6, 0, 10</t>
  </si>
  <si>
    <t>24 hour plumber fontana</t>
  </si>
  <si>
    <t>0, 1, 0, 0, 0, 0, 0, 1, 0, 0, 0, 0, 0, 0, 0, 0, 0, 0, 0, 0, 0, 0, 0, 1</t>
  </si>
  <si>
    <t>emergency plumber price</t>
  </si>
  <si>
    <t>Local pack,Sitelinks,People also ask</t>
  </si>
  <si>
    <t>1, 1, 0, 1, 1, 0, 1, 0, 1, 1, 0, 1, 0, 0, 0, 0, 1, 1, 0, 0, 0, 0, 0, 1</t>
  </si>
  <si>
    <t>Informational,Branded,Non-local</t>
  </si>
  <si>
    <t>24 hour plumber north dallas</t>
  </si>
  <si>
    <t>72, 88, 92, 57, 56, 69, 68, 68, 69, 92, 95, 87, 74, 67, 70, 87, 58, 62, 57, 55, 52, 54, 63, 66</t>
  </si>
  <si>
    <t>67, 58, 58, 62, 52, 53, 46, 45, 42, 44, 54</t>
  </si>
  <si>
    <t>0, 0, 1, 1, 1, 1, 0, 0, 1, 0, 0, 0, 0, 0, 0, 0, 0, 0, 0, 0, 0, 0, 0, 1</t>
  </si>
  <si>
    <t>how to seal a leaking water pipe</t>
  </si>
  <si>
    <t>dana point emergency plumber</t>
  </si>
  <si>
    <t>0, 0, 0, 0, 0, 1, 0, 0, 0, 0, 0, 1, 0, 0, 0, 0, 0, 0, 0, 0, 0, 0, 0, 1</t>
  </si>
  <si>
    <t>emergency plumber smithville tx</t>
  </si>
  <si>
    <t>0, 1, 1, 0, 0, 1, 1, 0, 0, 0, 0, 0, 0, 0, 0, 0, 0, 0, 0, 0, 1, 1, 0, 2</t>
  </si>
  <si>
    <t>water leak repair essex</t>
  </si>
  <si>
    <t>53, 69, 74, 91, 87, 91, 82, 61, 57, 69, 48, 60, 65, 64, 67, 72, 85, 98, 53, 70, 75, 68, 33, 58</t>
  </si>
  <si>
    <t>geyser plumbers near me</t>
  </si>
  <si>
    <t>emergency plumber in burr ridge</t>
  </si>
  <si>
    <t>emergency plumber broadstairs</t>
  </si>
  <si>
    <t>96, 90, 143, 109, 89, 87, 96, 116, 100, 89, 75, 97, 55, 74, 68, 55, 102, 100, 35, 60, 43, 56, 59, 54</t>
  </si>
  <si>
    <t>emergency plumber west lafayette</t>
  </si>
  <si>
    <t>best plumbers pretoria</t>
  </si>
  <si>
    <t>0, 0, 0, 0, 0, 0, 0, 0, 0, 0, 0, 0, 2, 0, 0, 0, 1, 0, 0, 0, 0, 0, 1, 1</t>
  </si>
  <si>
    <t>best plumbing</t>
  </si>
  <si>
    <t>emergency plumber arlington heights</t>
  </si>
  <si>
    <t>0, 0, 0, 0, 0, 0, 0, 0, 4, 1, 1, 1, 0, 0, 0, 0, 0, 0, 0, 0, 0, 0, 0, 1</t>
  </si>
  <si>
    <t>80, 40, 51, 57, 73, 76, 85, 65, 55, 71, 70, 41, 159, 100, 70, 56, 62, 41, 64, 60, 47, 21, 5, 66</t>
  </si>
  <si>
    <t>emergency plumber near me brookhaven</t>
  </si>
  <si>
    <t>24 hour plumber in el monte</t>
  </si>
  <si>
    <t>emergency plumber macclesfield</t>
  </si>
  <si>
    <t>blocked sewer</t>
  </si>
  <si>
    <t>0, 0, 0, 0, 0, 0, 0, 1, 0, 0, 0, 0, 0, 0, 0, 0, 0, 0, 0, 0, 0, 0, 0, 1</t>
  </si>
  <si>
    <t>emergency plumber sherwood park</t>
  </si>
  <si>
    <t>sewerage blockage</t>
  </si>
  <si>
    <t>Local pack,People also ask,Video preview,Image pack</t>
  </si>
  <si>
    <t>emergency plumber hinesville ga</t>
  </si>
  <si>
    <t>13, 12, 23, 23, 28, 26, 11, 19, 14, 20, 17, 52, 52, 56, 74, 77, 122, 106, 73, 65, 54, 49, 47, 51</t>
  </si>
  <si>
    <t>find my leak</t>
  </si>
  <si>
    <t>24 hour plumber midtown atlanta</t>
  </si>
  <si>
    <t>0, 0, 1, 0, 0, 1, 0, 0, 0, 0, 0, 0, 0, 0, 0, 0, 0, 0, 0, 0, 0, 0, 0, 1</t>
  </si>
  <si>
    <t>emergency plumber bringelly</t>
  </si>
  <si>
    <t>People also ask,Video preview</t>
  </si>
  <si>
    <t>0, 0, 0, 0, 0, 0, 1, 0, 0, 1, 1, 1, 0, 0, 0, 0, 0, 0, 0, 0, 0, 0, 0, 1</t>
  </si>
  <si>
    <t>emergency plumber covington</t>
  </si>
  <si>
    <t>52, 89, 637, 694, 776, 2296, 2168, 3174, 1317, 880, 285, 119, 99, 68, 105, 73, 88, 75, 66, 84, 44, 35, 30, 37</t>
  </si>
  <si>
    <t>plumbers near me open now</t>
  </si>
  <si>
    <t>24 hour plumber st louis</t>
  </si>
  <si>
    <t>burst pipe repair klerksdorp</t>
  </si>
  <si>
    <t>0, 0, 0, 0, 0, 0, 0, 0, 0, 0, 0, 0, 0, 0, 0, 0, 0, 0, 0, 0, 0, 1, 6, 3</t>
  </si>
  <si>
    <t>59, 67, 67, 64, 55, 79, 70, 60, 63, 78, 70, 52, 55, 63, 63, 47, 45, 93, 41, 42, 59, 73, 70, 64</t>
  </si>
  <si>
    <t>emergency plumber pasadena ca</t>
  </si>
  <si>
    <t>plumbers in pretoria east</t>
  </si>
  <si>
    <t>emergency plumber witta</t>
  </si>
  <si>
    <t>plumbers pretoria east</t>
  </si>
  <si>
    <t>0, 0, 0, 1, 0, 0, 0, 1, 1, 1, 0, 0, 0, 1, 0, 0, 0, 0, 0, 0, 0, 0, 0, 1</t>
  </si>
  <si>
    <t>emergency plumber potts point</t>
  </si>
  <si>
    <t>20, 17, 18, 21, 15, 18, 19, 24, 45, 41, 27, 25, 123, 101, 91, 68, 79, 49, 43, 37, 52, 28, 37, 40</t>
  </si>
  <si>
    <t>emergency plumbing</t>
  </si>
  <si>
    <t>milton emergency plumber</t>
  </si>
  <si>
    <t>0, 0, 0, 1, 1, 2, 0, 0, 0, 0, 0, 0, 0, 0, 0, 0, 0, 0, 0, 0, 0, 0, 0, 1</t>
  </si>
  <si>
    <t>plumbing emergency</t>
  </si>
  <si>
    <t>emergency plumber sydney inner west</t>
  </si>
  <si>
    <t>Local pack,People also ask,Video preview</t>
  </si>
  <si>
    <t>1, 1, 1, 0, 1, 0, 3, 3, 1, 2, 1, 1, 0, 1, 2, 2, 0, 0, 0, 0, 0, 0, 0, 1</t>
  </si>
  <si>
    <t>emergency plumber seven hills</t>
  </si>
  <si>
    <t>66, 84, 96, 105, 121, 125, 94, 178, 219, 320, 261, 63, 46, 47, 82, 41, 90, 103, 61, 31, 37, 39, 30, 36</t>
  </si>
  <si>
    <t>best plumbers near me</t>
  </si>
  <si>
    <t>emergency plumber hinckley</t>
  </si>
  <si>
    <t>plumbers pinetown</t>
  </si>
  <si>
    <t>0, 1, 1, 0, 1, 0, 0, 1, 2, 3, 0, 0, 0, 0, 0, 0, 0, 0, 0, 0, 0, 0, 0, 1</t>
  </si>
  <si>
    <t>24 hour emergency plumber melbourne</t>
  </si>
  <si>
    <t>service</t>
  </si>
  <si>
    <t>94, 82, 92, 113, 99, 106, 81, 105, 96, 118, 117, 65, 63, 56, 54, 48, 58, 47, 57, 70, 51, 54, 36, 48</t>
  </si>
  <si>
    <t>0, 0, 0, 1, 0, 0, 2, 0, 1, 0, 2, 3, 0, 0, 0, 0, 0, 0, 0, 0, 0, 0, 0, 1</t>
  </si>
  <si>
    <t>emergency plumber portsmouth</t>
  </si>
  <si>
    <t>pretoria plumbers</t>
  </si>
  <si>
    <t>0, 1, 0, 1, 1, 0, 0, 3, 0, 0, 1, 0, 0, 0, 0, 0, 1, 0, 0, 0, 0, 2, 0, 2</t>
  </si>
  <si>
    <t>fort worth 24 hour plumber</t>
  </si>
  <si>
    <t>ellicott city emergency plumber</t>
  </si>
  <si>
    <t>79, 90, 156, 45, 58, 67, 101, 65, 45, 47, 86, 160, 139, 105, 54, 50, 50, 51, 36, 25, 32, 56, 14, 33</t>
  </si>
  <si>
    <t>plumbing repairs</t>
  </si>
  <si>
    <t>burst pipe repair ottawa</t>
  </si>
  <si>
    <t>plumber johannesburg</t>
  </si>
  <si>
    <t>emergency plumber ruthin</t>
  </si>
  <si>
    <t>0, 0, 0, 0, 0, 2, 0, 0, 2, 2, 0, 0, 0, 0, 0, 0, 0, 0, 0, 0, 0, 0, 0, 1</t>
  </si>
  <si>
    <t>emergency plumber mentone</t>
  </si>
  <si>
    <t>40, 24, 33, 32, 36, 38, 43, 55, 52, 66, 53, 130, 144, 85, 47, 44, 43, 33, 26, 75, 49, 31, 16, 32</t>
  </si>
  <si>
    <t>how to fix a leaking pipe</t>
  </si>
  <si>
    <t>1, 0, 0, 2, 0, 0, 0, 0, 1, 0, 0, 0, 0, 0, 0, 0, 0, 0, 0, 0, 0, 0, 0, 1</t>
  </si>
  <si>
    <t>24 hour plumber sugar land tx</t>
  </si>
  <si>
    <t>AI Overview,Thumbnail,People also ask,Videos,Discussions</t>
  </si>
  <si>
    <t>0, 0, 1, 0, 0, 1, 0, 0, 1, 0, 1, 0, 0, 0, 0, 0, 0, 0, 0, 0, 0, 0, 0, 1</t>
  </si>
  <si>
    <t>basement water leak repair near me</t>
  </si>
  <si>
    <t>40, 31, 45, 49, 48, 47, 36, 45, 69, 39, 38, 44, 55, 59, 55, 57, 68, 76, 57, 60, 83, 49, 45, 48</t>
  </si>
  <si>
    <t>0, 0, 0, 0, 2, 0, 3, 4, 1, 3, 1, 0, 0, 0, 0, 0, 0, 0, 0, 0, 1, 0, 0, 1</t>
  </si>
  <si>
    <t>24 hour plumber mount coolum</t>
  </si>
  <si>
    <t>dripping tap</t>
  </si>
  <si>
    <t>0, 0, 1, 0, 0, 2, 0, 1, 0, 0, 0, 0, 0, 0, 0, 0, 0, 0, 0, 0, 0, 0, 0, 1</t>
  </si>
  <si>
    <t>how to fix a dripping tap</t>
  </si>
  <si>
    <t>emergency plumber in augusta ga</t>
  </si>
  <si>
    <t>0, 0, 0, 0, 0, 0, 0, 0, 0, 1, 1, 1, 2, 0, 1, 0, 0, 0, 0, 0, 0, 0, 0, 1</t>
  </si>
  <si>
    <t>emergency plumber burpengary</t>
  </si>
  <si>
    <t>143, 89, 74, 73, 62, 63, 75, 61, 49, 73, 50, 65, 127, 105, 58, 57, 35, 45, 58, 54, 52, 40, 25, 40</t>
  </si>
  <si>
    <t>pipe leaking</t>
  </si>
  <si>
    <t>0, 0, 0, 0, 0, 0, 0, 0, 1, 0, 0, 3, 0, 0, 0, 0, 0, 0, 0, 0, 0, 0, 0, 1</t>
  </si>
  <si>
    <t>emergency plumber hp1</t>
  </si>
  <si>
    <t>AI Overview,Image pack,People also ask,Video preview</t>
  </si>
  <si>
    <t>emergency plumber lismore</t>
  </si>
  <si>
    <t>0, 0, 1, 0, 0, 0, 0, 0, 0, 1, 2, 0, 0, 0, 0, 0, 0, 0, 0, 0, 0, 1, 0, 2</t>
  </si>
  <si>
    <t>28, 40, 40, 52, 28, 58, 43, 56, 54, 44, 53, 44, 55, 43, 58, 41, 98, 95, 62, 51, 58, 54, 34, 48</t>
  </si>
  <si>
    <t>emergency plumber chipping ongar</t>
  </si>
  <si>
    <t>busted pipe</t>
  </si>
  <si>
    <t>lompoc emergency plumber</t>
  </si>
  <si>
    <t>AI Overview,Thumbnail,People also ask,Video preview</t>
  </si>
  <si>
    <t>0, 1, 0, 0, 0, 1, 0, 0, 0, 1, 0, 0, 0, 0, 0, 0, 0, 0, 0, 0, 0, 0, 0, 1</t>
  </si>
  <si>
    <t>keller slab water pipe leak repair in keller tx</t>
  </si>
  <si>
    <t>9, 24, 25, 21, 21, 22, 15, 23, 29, 52, 19, 34, 21, 48, 30, 43, 131, 144, 68, 29, 49, 50, 24, 42</t>
  </si>
  <si>
    <t>emergency plumber launceston</t>
  </si>
  <si>
    <t>registered plumbers near me</t>
  </si>
  <si>
    <t>0, 2, 0, 0, 1, 0, 2, 0, 0, 0, 0, 0, 0, 0, 1, 0, 0, 0, 0, 0, 0, 0, 0, 1</t>
  </si>
  <si>
    <t>emergency plumber sutherland</t>
  </si>
  <si>
    <t>0, 0, 0, 0, 0, 1, 0, 0, 0, 0, 2, 0, 0, 0, 0, 1, 0, 0, 0, 0, 0, 0, 0, 1</t>
  </si>
  <si>
    <t>emergency plumber kings langley</t>
  </si>
  <si>
    <t>67, 58, 92, 61, 66, 94, 75, 109, 66, 55, 73, 63, 82, 51, 67, 50, 43, 83, 43, 72, 48, 71, 37, 53</t>
  </si>
  <si>
    <t>local plumber</t>
  </si>
  <si>
    <t>0, 0, 0, 0, 0, 0, 0, 0, 1, 1, 0, 0, 0, 0, 0, 0, 0, 0, 0, 0, 0, 0, 0, 1</t>
  </si>
  <si>
    <t>emergency plumber franklin</t>
  </si>
  <si>
    <t>emergency plumber yucaipa ca</t>
  </si>
  <si>
    <t>34, 41, 52, 66, 59, 241, 388, 72, 130, 123, 118, 108, 28, 41, 14, 18, 31, 53, 80, 44, 50, 41, 21, 26</t>
  </si>
  <si>
    <t>0, 0, 0, 0, 0, 0, 2, 0, 0, 0, 1, 0, 0, 0, 0, 0, 0, 0, 0, 0, 0, 0, 0, 1</t>
  </si>
  <si>
    <t>company</t>
  </si>
  <si>
    <t>plumb guarantee</t>
  </si>
  <si>
    <t>emergency plumber cheshunt</t>
  </si>
  <si>
    <t>emergency plumber in prospect heights</t>
  </si>
  <si>
    <t>Informational,Commercial,Branded,Local</t>
  </si>
  <si>
    <t>boca raton emergency plumber</t>
  </si>
  <si>
    <t>99, 89, 108, 78, 61, 81, 100, 132, 94, 73, 15, 27, 40, 44, 49, 53, 20, 58, 79, 65, 25, 28, 61, 38</t>
  </si>
  <si>
    <t>leak detection plumbers</t>
  </si>
  <si>
    <t>24 hour plumber frisco</t>
  </si>
  <si>
    <t>0, 0, 0, 1, 0, 1, 0, 0, 1, 0, 0, 0, 0, 0, 0, 0, 0, 0, 0, 0, 0, 0, 0, 1</t>
  </si>
  <si>
    <t>emergency plumber kallangur</t>
  </si>
  <si>
    <t>21, 20, 16, 29, 14, 5, 18, 11, 16, 16, 13, 13, 16, 20, 16, 13, 51, 118, 191, 87, 11, 17, 17, 14</t>
  </si>
  <si>
    <t>0, 0, 0, 0, 0, 0, 0, 0, 0, 0, 0, 1, 0, 1, 0, 0, 0, 0, 0, 0, 0, 0, 0, 1</t>
  </si>
  <si>
    <t>emergency plumber coffs</t>
  </si>
  <si>
    <t>cheap plumbers near me</t>
  </si>
  <si>
    <t>emergency plumber murrumbeena</t>
  </si>
  <si>
    <t>People also ask,Discussions,Knowledge panel,Video preview,Sitelinks</t>
  </si>
  <si>
    <t>charleston emergency plumber</t>
  </si>
  <si>
    <t>54, 47, 45, 45, 48, 45, 46, 47, 45, 46, 47, 49, 51, 49, 47, 47, 50, 47, 48, 49, 48, 48, 49, 51</t>
  </si>
  <si>
    <t>53, 51, 49, 49, 52, 49, 50, 51, 50, 50, 51, 53</t>
  </si>
  <si>
    <t>emergency plumber earls court</t>
  </si>
  <si>
    <t>underground water pipe</t>
  </si>
  <si>
    <t>pvc pipe</t>
  </si>
  <si>
    <t>emergency commercial plumber near me</t>
  </si>
  <si>
    <t>AI Overview,Thumbnail,People also ask</t>
  </si>
  <si>
    <t>0, 1, 0, 2, 3, 4, 0, 3, 2, 0, 1, 0, 0, 0, 0, 0, 0, 0, 0, 0, 0, 0, 0, 1</t>
  </si>
  <si>
    <t>emergency plumber aberfeldie</t>
  </si>
  <si>
    <t>46, 69, 60, 66, 70, 43, 81, 52, 69, 75, 54, 47, 55, 46, 52, 54, 40, 54, 45, 47, 54, 42, 66, 52</t>
  </si>
  <si>
    <t>Plumbing; Technical reference</t>
  </si>
  <si>
    <t>cheap plumber near me</t>
  </si>
  <si>
    <t>emergency plumber service calamvale</t>
  </si>
  <si>
    <t>plumber emergency doncaster</t>
  </si>
  <si>
    <t>emergency plumber islamorada</t>
  </si>
  <si>
    <t>36, 40, 45, 34, 60, 49, 36, 62, 60, 50, 56, 75, 51, 47, 39, 52, 36, 56, 32, 39, 52, 55, 80, 63</t>
  </si>
  <si>
    <t>water meter leaking</t>
  </si>
  <si>
    <t>emergency plumber turbeville sc</t>
  </si>
  <si>
    <t>0, 0, 0, 0, 0, 0, 0, 0, 0, 1, 0, 3, 0, 0, 0, 0, 1, 0, 0, 0, 0, 0, 0, 1</t>
  </si>
  <si>
    <t>64, 68, 86, 93, 77, 89, 75, 56, 77, 65, 73, 73, 48, 43, 56, 56, 38, 67, 40, 41, 20, 30, 1, 17</t>
  </si>
  <si>
    <t>burst pipe repair ann arbor mi</t>
  </si>
  <si>
    <t>plumbers in port elizabeth</t>
  </si>
  <si>
    <t>cedar park emergency plumber</t>
  </si>
  <si>
    <t>plumbers port elizabeth</t>
  </si>
  <si>
    <t>0, 0, 0, 0, 0, 0, 0, 0, 0, 1, 0, 1, 0, 0, 0, 0, 0, 0, 0, 0, 0, 0, 0, 1</t>
  </si>
  <si>
    <t>water leak car repair</t>
  </si>
  <si>
    <t>50, 53, 68, 52, 54, 63, 47, 46, 56, 44, 46, 51, 57, 39, 41, 34, 39, 38, 44, 45, 45, 43, 46, 45</t>
  </si>
  <si>
    <t>0, 0, 0, 0, 0, 1, 0, 0, 0, 0, 0, 2, 2, 1, 0, 0, 0, 0, 4, 0, 0, 0, 0, 1</t>
  </si>
  <si>
    <t>45, 42, 41, 38, 38, 47, 41, 40, 43, 42, 45, 44</t>
  </si>
  <si>
    <t>spring emergency plumber</t>
  </si>
  <si>
    <t>1, 0, 0, 0, 1, 0, 0, 1, 2, 2, 0, 1, 0, 0, 0, 0, 0, 0, 0, 0, 0, 0, 0, 1</t>
  </si>
  <si>
    <t>schertz tx emergency plumber</t>
  </si>
  <si>
    <t>0, 0, 0, 0, 0, 1, 0, 0, 0, 0, 1, 2, 0, 0, 0, 0, 0, 0, 0, 0, 0, 0, 0, 1</t>
  </si>
  <si>
    <t>emergency plumber victoria</t>
  </si>
  <si>
    <t>26, 32, 51, 46, 48, 50, 44, 82, 61, 71, 65, 75, 35, 18, 29, 28, 69, 63, 33, 18, 26, 28, 12, 22</t>
  </si>
  <si>
    <t>plumber benoni</t>
  </si>
  <si>
    <t>0, 0, 0, 1, 1, 1, 1, 1, 0, 1, 0, 0, 0, 0, 0, 0, 0, 0, 0, 0, 0, 0, 0, 1</t>
  </si>
  <si>
    <t>24 hour plumber richmond hill ga</t>
  </si>
  <si>
    <t>emergency plumber dural</t>
  </si>
  <si>
    <t>0, 0, 0, 1, 0, 1, 2, 1, 1, 1, 0, 0, 0, 0, 0, 0, 0, 0, 0, 0, 0, 0, 0, 1</t>
  </si>
  <si>
    <t>41, 41, 40, 40, 40, 40, 40, 40, 39, 39, 39, 39, 39, 39, 38, 38, 38, 38, 38, 38, 37, 37, 37, 37</t>
  </si>
  <si>
    <t>plumber near me emergency</t>
  </si>
  <si>
    <t>37, 37, 36, 36, 36, 36, 36, 36, 35, 35, 35, 35</t>
  </si>
  <si>
    <t>plumbers woodstock</t>
  </si>
  <si>
    <t>1, 5, 2, 2, 4, 1, 1, 2, 5, 5, 4, 2, 1, 2, 1, 1, 2, 3, 1, 7, 1, 7, 15, 10</t>
  </si>
  <si>
    <t>tustin emergency plumber</t>
  </si>
  <si>
    <t>0, 0, 0, 0, 0, 0, 1, 0, 0, 0, 0, 1, 0, 0, 0, 0, 0, 0, 0, 0, 0, 0, 0, 1</t>
  </si>
  <si>
    <t>emergency plumber ypsilanti mi</t>
  </si>
  <si>
    <t>emergency plumber rainham</t>
  </si>
  <si>
    <t>3, 4, 1, 5, 4, 2, 0, 6, 2, 2, 14, 125, 144, 95, 32, 5, 2, 6, 10, 6, 4, 6, 0, 4</t>
  </si>
  <si>
    <t>fix a leak</t>
  </si>
  <si>
    <t>emergency plumber sarnia</t>
  </si>
  <si>
    <t>0, 0, 0, 0, 0, 0, 0, 0, 0, 0, 0, 1, 0, 0, 0, 0, 0, 0, 0, 0, 0, 0, 0, 1</t>
  </si>
  <si>
    <t>water leak repair charlottesville</t>
  </si>
  <si>
    <t>emergency</t>
  </si>
  <si>
    <t>0, 0, 0, 0, 0, 1, 1, 0, 0, 1, 1, 0, 0, 0, 0, 0, 0, 0, 0, 0, 0, 0, 0, 1</t>
  </si>
  <si>
    <t>46, 47, 49, 45, 39, 39, 36, 35, 30, 30, 30, 30, 46, 47, 49, 44, 39, 39, 36, 35, 30, 30, 30, 30</t>
  </si>
  <si>
    <t>45, 47, 49, 44, 39, 38, 36, 34, 30, 30, 30</t>
  </si>
  <si>
    <t>emergency plumber hobart</t>
  </si>
  <si>
    <t>24 hour plumbers</t>
  </si>
  <si>
    <t>main water leak repair</t>
  </si>
  <si>
    <t>0, 0, 0, 0, 0, 0, 0, 0, 0, 0, 0, 0, 0, 0, 0, 0, 0, 0, 0, 0, 1, 0, 0, 1</t>
  </si>
  <si>
    <t>emergency plumber sutton surrey</t>
  </si>
  <si>
    <t>12, 13, 13, 21, 25, 17, 31, 49, 34, 58, 61, 43, 54, 23, 64, 64, 52, 85, 28, 33, 14, 7, 8, 11</t>
  </si>
  <si>
    <t>0, 0, 0, 0, 0, 0, 0, 2, 0, 0, 1, 0, 1, 0, 0, 0, 0, 0, 0, 0, 0, 0, 0, 1</t>
  </si>
  <si>
    <t>emergency plumber oshawa</t>
  </si>
  <si>
    <t>tap seals</t>
  </si>
  <si>
    <t>tap washers</t>
  </si>
  <si>
    <t>0, 0, 0, 1, 0, 0, 3, 0, 2, 1, 2, 0, 0, 0, 0, 0, 0, 0, 0, 0, 0, 1, 1, 3</t>
  </si>
  <si>
    <t>Image pack,People also ask,AI Overview,Thumbnail</t>
  </si>
  <si>
    <t>elkridge emergency plumber</t>
  </si>
  <si>
    <t>Commercial,Transactional,Non-branded,Non-local</t>
  </si>
  <si>
    <t>emergency plumber jordan springs</t>
  </si>
  <si>
    <t>38, 46, 44, 46, 37, 45, 37, 35, 36, 46, 32, 47, 41, 39, 29, 50, 26, 51, 27, 37, 41, 46, 17, 34</t>
  </si>
  <si>
    <t>plumbers on call</t>
  </si>
  <si>
    <t>0, 0, 0, 0, 1, 2, 2, 0, 1, 0, 0, 0, 0, 0, 0, 0, 0, 0, 0, 0, 0, 0, 0, 1</t>
  </si>
  <si>
    <t>emergency plumber service inala</t>
  </si>
  <si>
    <t>Sitelinks,People also ask,Knowledge panel,Bottom ads</t>
  </si>
  <si>
    <t>24 hour emergency plumber toronto</t>
  </si>
  <si>
    <t>0, 0, 2, 0, 1, 1, 1, 0, 0, 0, 1, 1, 0, 0, 0, 0, 0, 2, 0, 0, 0, 0, 0, 1</t>
  </si>
  <si>
    <t>63, 23, 21, 24, 34, 30, 16, 34, 58, 35, 43, 41, 55, 51, 44, 39, 35, 28, 54, 37, 37, 36, 35, 35</t>
  </si>
  <si>
    <t>emergency plumber lawrence hill</t>
  </si>
  <si>
    <t>plumbing service</t>
  </si>
  <si>
    <t>emergency plumber brooklin</t>
  </si>
  <si>
    <t>0, 0, 0, 0, 1, 1, 1, 1, 1, 0, 1, 0, 0, 0, 0, 0, 0, 0, 0, 0, 0, 0, 0, 1</t>
  </si>
  <si>
    <t>24 hour emergency plumber adelaide</t>
  </si>
  <si>
    <t>87, 83, 75, 140, 193, 211, 115, 186, 219, 351, 297, 71, 53, 30, 25, 38, 35, 37, 22, 57, 91, 48, 26, 54</t>
  </si>
  <si>
    <t>emergency plumber kelowna</t>
  </si>
  <si>
    <t>plumbing companies in pretoria</t>
  </si>
  <si>
    <t>0, 1, 0, 0, 0, 1, 0, 4, 0, 0, 0, 0, 0, 0, 0, 0, 0, 0, 0, 0, 0, 0, 0, 1</t>
  </si>
  <si>
    <t>emergency residential plumber</t>
  </si>
  <si>
    <t>0, 0, 0, 0, 0, 0, 0, 2, 0, 0, 1, 0, 0, 0, 0, 0, 0, 0, 0, 0, 0, 0, 0, 1</t>
  </si>
  <si>
    <t>east cobb emergency plumber</t>
  </si>
  <si>
    <t>12, 18, 13, 13, 9, 34, 29, 38, 26, 30, 8, 51, 41, 13, 18, 19, 14, 22, 25, 30, 27, 32, 22, 27</t>
  </si>
  <si>
    <t>24 7 plumbing</t>
  </si>
  <si>
    <t>1, 0, 0, 0, 0, 0, 1, 0, 0, 0, 2, 0, 0, 0, 0, 0, 0, 0, 0, 0, 0, 0, 0, 1</t>
  </si>
  <si>
    <t>emergency plumber weybridge</t>
  </si>
  <si>
    <t>24/7 plumbing somerset west</t>
  </si>
  <si>
    <t>0, 0, 0, 0, 0, 0, 0, 0, 2, 1, 1, 0, 0, 0, 0, 0, 0, 0, 0, 0, 0, 0, 0, 1</t>
  </si>
  <si>
    <t>emergency plumber brockley</t>
  </si>
  <si>
    <t>10, 18, 12, 20, 21, 13, 20, 37, 16, 22, 26, 41, 44, 36, 40, 23, 37, 31, 25, 32, 21, 28, 18, 23</t>
  </si>
  <si>
    <t>0, 0, 0, 1, 0, 1, 0, 0, 0, 0, 0, 0, 0, 0, 0, 0, 0, 0, 0, 0, 0, 0, 0, 1</t>
  </si>
  <si>
    <t>emergency plumber amarillo</t>
  </si>
  <si>
    <t>0, 0, 0, 0, 0, 0, 1, 1, 0, 1, 2, 0, 0, 0, 0, 0, 0, 0, 0, 0, 0, 0, 0, 1</t>
  </si>
  <si>
    <t>AI Overview,Thumbnail,People also ask,Discussions</t>
  </si>
  <si>
    <t>emergency plumber spring valley</t>
  </si>
  <si>
    <t>46, 36, 46, 32, 33, 38, 49, 35, 41, 27, 31, 36, 35, 28, 18, 24, 19, 28, 23, 10, 28, 21, 13, 20</t>
  </si>
  <si>
    <t>24 hour emergency plumber frankston</t>
  </si>
  <si>
    <t>how to fix leaking tap</t>
  </si>
  <si>
    <t>emergency plumber saffron walden</t>
  </si>
  <si>
    <t>0, 0, 0, 0, 0, 1, 2, 2, 1, 0, 0, 1, 0, 0, 0, 0, 0, 0, 0, 0, 0, 0, 0, 1</t>
  </si>
  <si>
    <t>emergency plumber ilkeston</t>
  </si>
  <si>
    <t>43, 52, 52, 47, 59, 61, 53, 39, 32, 45, 38, 37, 33, 32, 31, 30, 24, 40, 27, 38, 24, 32, 38, 32</t>
  </si>
  <si>
    <t>0, 0, 0, 0, 0, 0, 0, 0, 1, 1, 1, 0, 0, 0, 0, 0, 0, 0, 0, 0, 0, 0, 0, 1</t>
  </si>
  <si>
    <t>emergency plumber ashford</t>
  </si>
  <si>
    <t>pretoria north plumbers</t>
  </si>
  <si>
    <t>0, 0, 0, 0, 0, 0, 0, 4, 3, 2, 0, 0, 0, 0, 0, 0, 0, 0, 0, 0, 0, 0, 0, 1</t>
  </si>
  <si>
    <t>emergency plumber werribee</t>
  </si>
  <si>
    <t>0, 0, 0, 0, 2, 0, 0, 4, 2, 0, 2, 0, 0, 0, 0, 0, 0, 0, 0, 0, 0, 0, 0, 1</t>
  </si>
  <si>
    <t>repair</t>
  </si>
  <si>
    <t>20, 22, 30, 8, 9, 13, 7, 13, 10, 21, 102, 91, 80, 62, 17, 15, 2, 0, 21, 23, 10, 12, 0, 8</t>
  </si>
  <si>
    <t>emergency plumber service stretton</t>
  </si>
  <si>
    <t>leaking water pipe</t>
  </si>
  <si>
    <t>emergency plumber greensboro nc</t>
  </si>
  <si>
    <t>0, 1, 0, 0, 0, 0, 0, 1, 0, 1, 2, 0, 0, 0, 0, 0, 0, 0, 0, 0, 0, 0, 0, 1</t>
  </si>
  <si>
    <t>24 hour plumber rancho cucamonga ca</t>
  </si>
  <si>
    <t>40, 31, 25, 19, 26, 16, 18, 22, 24, 21, 24, 19, 27, 35, 27, 26, 22, 19, 17, 32, 22, 60, 56, 30</t>
  </si>
  <si>
    <t>0, 0, 1, 0, 0, 0, 1, 1, 0, 0, 0, 0, 0, 0, 0, 0, 0, 0, 0, 0, 0, 0, 0, 1</t>
  </si>
  <si>
    <t>emergency plumber avenell heights</t>
  </si>
  <si>
    <t>water seepage</t>
  </si>
  <si>
    <t>0, 0, 0, 0, 0, 0, 1, 0, 1, 1, 1, 2, 0, 0, 0, 0, 0, 0, 0, 0, 0, 0, 0, 1</t>
  </si>
  <si>
    <t>AI Overview,Thumbnail,People also ask,Image pack,Discussions</t>
  </si>
  <si>
    <t>20, 33, 48, 33, 24, 23, 34, 40, 33, 28, 27, 25, 25, 20, 16, 16, 11, 22, 26, 32, 42, 50, 24, 38</t>
  </si>
  <si>
    <t>emergency plumber newquay</t>
  </si>
  <si>
    <t>Home improvement</t>
  </si>
  <si>
    <t>good plumbers near me</t>
  </si>
  <si>
    <t>0, 0, 0, 0, 0, 0, 0, 0, 0, 0, 0, 0, 1, 0, 0, 0, 0, 0, 0, 0, 0, 0, 0, 1</t>
  </si>
  <si>
    <t>24 hour plumber horsham</t>
  </si>
  <si>
    <t>Local pack,People also ask,Discussions,Video preview</t>
  </si>
  <si>
    <t>0, 1, 0, 0, 0, 1, 1, 1, 0, 0, 1, 0, 0, 0, 0, 0, 0, 0, 0, 0, 0, 0, 0, 1</t>
  </si>
  <si>
    <t>emergency plumber glencoe</t>
  </si>
  <si>
    <t>18, 10, 15, 22, 11, 20, 18, 33, 24, 27, 26, 34, 18, 14, 13, 9, 52, 68, 26, 20, 15, 15, 12, 15</t>
  </si>
  <si>
    <t>0, 0, 0, 0, 0, 0, 0, 3, 2, 0, 0, 0, 0, 0, 0, 0, 0, 0, 0, 0, 0, 0, 0, 1</t>
  </si>
  <si>
    <t>emergency plumber esher</t>
  </si>
  <si>
    <t>plumber southern suburbs</t>
  </si>
  <si>
    <t>emergency plumber lake havasu city</t>
  </si>
  <si>
    <t>0, 0, 0, 0, 0, 0, 0, 0, 0, 1, 4, 0, 0, 0, 0, 0, 1, 0, 0, 0, 0, 0, 0, 1</t>
  </si>
  <si>
    <t>5, 1, 1, 5, 8, 8, 17, 13, 8, 3, 5, 12, 13, 20, 19, 17, 10, 53, 64, 51, 33, 26, 35, 27</t>
  </si>
  <si>
    <t>emergency plumber yukon</t>
  </si>
  <si>
    <t>24/7 plumbers near me</t>
  </si>
  <si>
    <t>salt lake city utah emergency plumber</t>
  </si>
  <si>
    <t>Local pack,People also ask,Bottom ads</t>
  </si>
  <si>
    <t>emergency plumber tinana</t>
  </si>
  <si>
    <t>0, 0, 0, 0, 0, 0, 0, 1, 1, 1, 0, 1, 0, 0, 0, 0, 0, 0, 0, 0, 0, 0, 0, 1</t>
  </si>
  <si>
    <t>41, 34, 40, 30, 39, 36, 35, 14, 21, 22, 33, 30, 44, 21, 27, 26, 22, 36, 32, 39, 26, 30, 28, 23</t>
  </si>
  <si>
    <t>emergency plumber stirling</t>
  </si>
  <si>
    <t>tap leaking</t>
  </si>
  <si>
    <t>0, 0, 0, 0, 0, 0, 0, 1, 1, 4, 0, 0, 0, 0, 0, 0, 0, 0, 0, 0, 0, 0, 0, 1</t>
  </si>
  <si>
    <t>emergency plumber roseville mi</t>
  </si>
  <si>
    <t>emergency plumber yucaipa</t>
  </si>
  <si>
    <t>52, 43, 38, 35, 30, 29, 42, 39, 45, 52, 28, 42, 52, 42, 24, 23, 31, 30, 26, 28, 33, 24, 19, 26</t>
  </si>
  <si>
    <t>how to stop a leaking tap</t>
  </si>
  <si>
    <t>emergency plumber hardin county</t>
  </si>
  <si>
    <t>AI Overview,Thumbnail,People also ask,Video preview,Discussions</t>
  </si>
  <si>
    <t>burst pipe emergency repair</t>
  </si>
  <si>
    <t>0, 0, 1, 3, 2, 1, 0, 1, 0, 1, 1, 2, 0, 1, 0, 1, 1, 0, 0, 1, 0, 3, 0, 1</t>
  </si>
  <si>
    <t>32, 28, 18, 28, 18, 25, 42, 18, 13, 31, 30, 19, 24, 26, 17, 18, 23, 26, 28, 17, 16, 10, 15, 15</t>
  </si>
  <si>
    <t>emergency plumber montgomery</t>
  </si>
  <si>
    <t>stop leak water</t>
  </si>
  <si>
    <t>0, 1, 1, 0, 1, 0, 0, 0, 0, 4, 2, 3, 0, 0, 0, 0, 0, 0, 1, 0, 0, 0, 0, 1</t>
  </si>
  <si>
    <t>water leak repair smyrna</t>
  </si>
  <si>
    <t>People also ask,Image pack</t>
  </si>
  <si>
    <t>0, 0, 0, 0, 0, 0, 1, 1, 0, 1, 0, 1, 0, 0, 0, 0, 0, 0, 0, 0, 0, 0, 0, 1</t>
  </si>
  <si>
    <t>emergency plumber cleveland tn</t>
  </si>
  <si>
    <t>35, 52, 32, 32, 38, 25, 22, 33, 23, 23, 15, 26, 58, 17, 12, 11, 8, 3, 7, 8, 9, 13, 11, 12</t>
  </si>
  <si>
    <t>parts of a tap</t>
  </si>
  <si>
    <t>emergency plumber in claremont</t>
  </si>
  <si>
    <t>tap handle</t>
  </si>
  <si>
    <t>0, 0, 0, 0, 0, 0, 0, 0, 0, 1, 0, 0, 0, 0, 2, 0, 0, 0, 0, 0, 2, 0, 0, 2</t>
  </si>
  <si>
    <t>24 hour plumber wichita ks</t>
  </si>
  <si>
    <t>0, 0, 0, 1, 0, 0, 1, 0, 0, 0, 0, 0, 0, 0, 0, 0, 0, 0, 0, 0, 0, 0, 0, 1</t>
  </si>
  <si>
    <t>37, 37, 42, 32, 26, 39, 35, 32, 20, 28, 26, 24, 24, 18, 33, 26, 34, 25, 24, 13, 14, 15, 23, 18</t>
  </si>
  <si>
    <t>cost to repair water leak under driveway</t>
  </si>
  <si>
    <t>0, 1, 1, 1, 0, 3, 0, 0, 0, 1, 2, 0, 0, 0, 2, 0, 0, 0, 0, 3, 0, 0, 0, 1</t>
  </si>
  <si>
    <t>emergency plumber saskatoon</t>
  </si>
  <si>
    <t>2, 0, 2, 0, 0, 0, 0, 0, 0, 0, 1, 0, 0, 0, 0, 0, 0, 0, 0, 0, 0, 0, 0, 1</t>
  </si>
  <si>
    <t>water main leak repair salt lake city</t>
  </si>
  <si>
    <t>42, 23, 15, 30, 20, 18, 28, 17, 21, 20, 18, 12, 32, 27, 9, 22, 16, 11, 10, 18, 29, 32, 12, 25</t>
  </si>
  <si>
    <t>plumber near me prices</t>
  </si>
  <si>
    <t>emergency plumber narangba</t>
  </si>
  <si>
    <t>0, 0, 0, 0, 0, 0, 1, 1, 0, 2, 3, 0, 0, 0, 0, 0, 0, 0, 0, 0, 0, 0, 0, 1</t>
  </si>
  <si>
    <t>emergency plumber suffolk county</t>
  </si>
  <si>
    <t>0, 0, 0, 0, 0, 0, 0, 4, 1, 0, 0, 2, 0, 0, 0, 0, 0, 0, 0, 0, 0, 0, 0, 1</t>
  </si>
  <si>
    <t>emergency commercial plumber moreno valley</t>
  </si>
  <si>
    <t>24, 15, 20, 18, 23, 15, 34, 26, 21, 16, 11, 20, 13, 15, 16, 8, 11, 21, 16, 23, 17, 9, 26, 18</t>
  </si>
  <si>
    <t>emergency plumber waukegan il</t>
  </si>
  <si>
    <t>toilet waste pipe sealant repair</t>
  </si>
  <si>
    <t>emergency plumber st. louis</t>
  </si>
  <si>
    <t>toilet pipe leaking when i flush</t>
  </si>
  <si>
    <t>AI Overview,Thumbnail,People also ask,Discussions,Image pack</t>
  </si>
  <si>
    <t>emergency plumber caversham</t>
  </si>
  <si>
    <t>3, 2, 15, 20, 19, 14, 7, 19, 8, 19, 15, 9, 9, 29, 28, 23, 31, 40, 22, 21, 16, 10, 21, 16</t>
  </si>
  <si>
    <t>0, 0, 0, 0, 0, 0, 2, 0, 1, 0, 0, 0, 0, 0, 0, 0, 0, 0, 0, 0, 0, 0, 1, 1</t>
  </si>
  <si>
    <t>24/7 plumbing</t>
  </si>
  <si>
    <t>roy utah 24 hour plumber</t>
  </si>
  <si>
    <t>20, 22, 17, 25, 17, 20, 11, 24, 22, 20, 33, 28, 28, 23, 25, 11, 15, 11, 9, 15, 9, 10, 15, 12</t>
  </si>
  <si>
    <t>plumbing geyser</t>
  </si>
  <si>
    <t>geyser prices</t>
  </si>
  <si>
    <t>People also ask,Image pack,Local pack</t>
  </si>
  <si>
    <t>water leak in wall repair</t>
  </si>
  <si>
    <t>62, 55, 38, 27, 19, 18, 19, 15, 18, 17, 23, 16, 22, 22, 17, 25, 24, 15, 17, 19, 16, 21, 13, 17</t>
  </si>
  <si>
    <t>plumbing companies pretoria</t>
  </si>
  <si>
    <t>0, 0, 1, 2, 2, 1, 1, 3, 6, 0, 0, 3, 0, 0, 0, 0, 1, 0, 0, 0, 0, 0, 0, 1</t>
  </si>
  <si>
    <t>burst pipe repair corona</t>
  </si>
  <si>
    <t>22, 40, 34, 20, 8, 27, 38, 27, 32, 25, 17, 39, 19, 6, 13, 5, 5, 6, 11, 19, 20, 13, 7, 14</t>
  </si>
  <si>
    <t>0, 0, 0, 0, 0, 0, 0, 1, 0, 0, 4, 0, 0, 0, 0, 0, 0, 0, 0, 0, 0, 0, 0, 1</t>
  </si>
  <si>
    <t>drain surgeon prices</t>
  </si>
  <si>
    <t>emergency plumber pittsgrove</t>
  </si>
  <si>
    <t>Top ads,Paid sitelinks,People also ask,Bottom ads</t>
  </si>
  <si>
    <t>18, 8, 19, 4, 4, 3, 4, 13, 6, 10, 5, 29, 24, 13, 23, 22, 18, 15, 3, 0, 0, 0, 0, 1</t>
  </si>
  <si>
    <t>havre de grace emergency plumber</t>
  </si>
  <si>
    <t>schmidhauser electrical</t>
  </si>
  <si>
    <t>electrical companies cape town</t>
  </si>
  <si>
    <t>Sitelinks,People also ask,Image pack</t>
  </si>
  <si>
    <t>weston emergency plumber</t>
  </si>
  <si>
    <t>Informational,Navigational,Commercial,Branded,Local</t>
  </si>
  <si>
    <t>1, 4, 5, 7, 2, 0, 2, 4, 7, 7, 5, 3, 18, 3, 30, 22, 77, 11, 2, 0, 2, 1, 1, 3</t>
  </si>
  <si>
    <t>fixing a leaking tap</t>
  </si>
  <si>
    <t>emergency plumber in wichita</t>
  </si>
  <si>
    <t>AI Overview,Thumbnail,Videos,People also ask,Video preview,Discussions</t>
  </si>
  <si>
    <t>emergency plumber waterloo</t>
  </si>
  <si>
    <t>14, 15, 13, 19, 9, 15, 16, 12, 12, 13, 15, 29, 16, 15, 19, 14, 10, 8, 17, 18, 13, 3, 4, 8</t>
  </si>
  <si>
    <t>tap dripping</t>
  </si>
  <si>
    <t>0, 0, 1, 0, 0, 0, 1, 0, 0, 0, 0, 0, 0, 0, 0, 0, 0, 0, 0, 0, 0, 0, 0, 1</t>
  </si>
  <si>
    <t>emergency plumber san diego</t>
  </si>
  <si>
    <t>2, 5, 4, 4, 5, 9, 1, 8, 6, 6, 1, 3, 0, 1, 1, 0, 0, 0, 0, 0, 0, 0, 0, 1</t>
  </si>
  <si>
    <t>28, 25, 15, 22, 9, 11, 11, 13, 13, 15, 23, 10, 27, 23, 11, 5, 7, 7, 8, 12, 15, 10, 10, 13</t>
  </si>
  <si>
    <t>emergency plumber open now</t>
  </si>
  <si>
    <t>plumber near me cheap</t>
  </si>
  <si>
    <t>0, 0, 0, 0, 0, 0, 0, 1, 0, 1, 1, 0, 0, 0, 0, 0, 3, 1, 0, 1, 0, 0, 0, 1</t>
  </si>
  <si>
    <t>emergency plumber sterling va</t>
  </si>
  <si>
    <t>7, 3, 6, 8, 1, 2, 7, 18, 9, 8, 17, 4, 7, 7, 5, 5, 9, 13, 11, 3, 8, 8, 7, 9</t>
  </si>
  <si>
    <t>24 hour plumbing</t>
  </si>
  <si>
    <t>0, 0, 0, 0, 0, 0, 0, 0, 0, 1, 1, 1, 0, 0, 0, 0, 0, 0, 0, 0, 0, 0, 0, 1</t>
  </si>
  <si>
    <t>emergency plumber sydney wetherill park</t>
  </si>
  <si>
    <t>29, 37, 41, 33, 47, 49, 38, 57, 52, 64, 62, 15, 9, 19, 26, 9, 9, 8, 9, 7, 13, 11, 7, 11</t>
  </si>
  <si>
    <t>schmidhauser electri</t>
  </si>
  <si>
    <t>Sitelinks,People also ask,Video preview</t>
  </si>
  <si>
    <t>burst pipe repair toronto</t>
  </si>
  <si>
    <t>plumbers southern suburbs</t>
  </si>
  <si>
    <t>0, 0, 0, 0, 0, 0, 0, 0, 0, 0, 0, 0, 0, 0, 0, 0, 0, 0, 6, 15, 8, 7, 0, 2</t>
  </si>
  <si>
    <t>emergency plumber woodford</t>
  </si>
  <si>
    <t>"plumber cape town"</t>
  </si>
  <si>
    <t>Local pack,Thumbnail,Image pack,Bottom ads,Paid sitelinks</t>
  </si>
  <si>
    <t>emergency plumber daw park</t>
  </si>
  <si>
    <t>drain surgeon durban</t>
  </si>
  <si>
    <t>0, 1, 0, 0, 0, 0, 0, 0, 0, 0, 0, 1, 0, 0, 0, 0, 0, 0, 0, 0, 0, 0, 0, 1</t>
  </si>
  <si>
    <t>3, 0, 0, 0, 0, 0, 0, 0, 0, 0, 0, 0, 0, 0, 0, 0, 1, 0, 0, 0, 0, 0, 0, 1</t>
  </si>
  <si>
    <t>tshwane water leaks</t>
  </si>
  <si>
    <t>report potholes</t>
  </si>
  <si>
    <t>emergency plumber mitcham</t>
  </si>
  <si>
    <t>Informational,Transactional,Non-branded,Local</t>
  </si>
  <si>
    <t>0, 0, 1, 0, 0, 1, 2, 1, 0, 3, 0, 1, 0, 0, 0, 0, 0, 0, 0, 0, 0, 0, 0, 1</t>
  </si>
  <si>
    <t>25, 20, 21, 27, 26, 20, 14, 8, 7, 4, 5, 5, 5, 3, 3, 4, 2, 4, 5, 5, 5, 5, 5, 1</t>
  </si>
  <si>
    <t>Utilities; Government; Templates</t>
  </si>
  <si>
    <t>24 hour plumber &amp; leak detection la</t>
  </si>
  <si>
    <t>2, 0, 0, 0, 0, 0, 0, 0, 0, 0, 2, 0, 0, 0, 0, 0, 0, 0, 0, 0, 0, 0, 0, 1</t>
  </si>
  <si>
    <t>emergency plumber greenfield</t>
  </si>
  <si>
    <t>0, 0, 0, 0, 1, 0, 1, 0, 0, 2, 0, 0, 0, 0, 0, 0, 0, 0, 0, 0, 0, 0, 0, 1</t>
  </si>
  <si>
    <t>clear lake water leak repair</t>
  </si>
  <si>
    <t>emergency plumber pecan grove</t>
  </si>
  <si>
    <t>emergency plumber chelsea</t>
  </si>
  <si>
    <t>1, 1, 1, 0, 1, 1, 3, 1, 0, 3, 2, 4, 0, 0, 0, 0, 0, 0, 0, 1, 0, 0, 0, 1</t>
  </si>
  <si>
    <t>emergency plumber sunbury</t>
  </si>
  <si>
    <t>0, 0, 0, 0, 0, 0, 0, 0, 0, 1, 1, 4, 1, 0, 0, 0, 0, 0, 0, 0, 0, 0, 0, 1</t>
  </si>
  <si>
    <t>emergency plumber duluth ga</t>
  </si>
  <si>
    <t>0, 0, 0, 0, 0, 0, 0, 0, 0, 1, 1, 0, 0, 0, 0, 0, 0, 0, 0, 0, 0, 0, 0, 1</t>
  </si>
  <si>
    <t>roof water leak repair</t>
  </si>
  <si>
    <t>5, 2, 2, 3, 7, 0, 9, 4, 9, 6, 5, 10, 2, 2, 3, 0, 2, 1, 3, 2, 3, 0, 6, 1</t>
  </si>
  <si>
    <t>emergency plumber victorville ca</t>
  </si>
  <si>
    <t>emergency plumber piedmont</t>
  </si>
  <si>
    <t>0, 0, 0, 0, 0, 1, 0, 0, 1, 0, 0, 0, 0, 0, 0, 0, 0, 0, 0, 0, 0, 0, 0, 1</t>
  </si>
  <si>
    <t>emergency plumber greenville</t>
  </si>
  <si>
    <t>emergency plumber diamond valley</t>
  </si>
  <si>
    <t>kingston emergency plumber</t>
  </si>
  <si>
    <t>0, 0, 0, 0, 1, 0, 0, 0, 1, 0, 1, 0, 0, 0, 0, 0, 0, 0, 0, 0, 0, 0, 0, 1</t>
  </si>
  <si>
    <t>plumber 24 hour service</t>
  </si>
  <si>
    <t>2, 3, 2, 5, 3, 2, 0, 2, 2, 3, 3, 1, 0, 0, 0, 1, 2, 0, 1, 0, 0, 0, 0, 1</t>
  </si>
  <si>
    <t>24 hour plumber little mountain</t>
  </si>
  <si>
    <t>0, 0, 0, 0, 3, 0, 0, 0, 1, 0, 1, 0, 0, 0, 0, 0, 0, 0, 0, 0, 0, 0, 0, 1</t>
  </si>
  <si>
    <t>emergency plumber crawley</t>
  </si>
  <si>
    <t>0, 0, 1, 1, 2, 3, 1, 2, 2, 1, 3, 1, 0, 0, 0, 0, 0, 0, 0, 0, 0, 0, 0, 1</t>
  </si>
  <si>
    <t>seattle emergency plumber</t>
  </si>
  <si>
    <t>0, 1, 0, 0, 0, 1, 1, 1, 1, 0, 0, 0, 0, 0, 0, 0, 0, 0, 0, 0, 0, 0, 0, 1</t>
  </si>
  <si>
    <t>emergency plumber in springfield</t>
  </si>
  <si>
    <t>emergency plumber tucson</t>
  </si>
  <si>
    <t>1, 0, 1, 1, 3, 2, 0, 2, 1, 0, 3, 0, 0, 0, 0, 0, 0, 0, 0, 0, 0, 1, 0, 1</t>
  </si>
  <si>
    <t>emergency plumber fullerton</t>
  </si>
  <si>
    <t>jessup emergency plumber</t>
  </si>
  <si>
    <t>emergency plumber wamuran</t>
  </si>
  <si>
    <t>emergency commercial plumber puyallup wa</t>
  </si>
  <si>
    <t>0, 0, 0, 1, 0, 0, 0, 0, 1, 2, 1, 0, 0, 0, 0, 0, 0, 0, 0, 0, 0, 0, 0, 1</t>
  </si>
  <si>
    <t>emergency plumber haslet tx</t>
  </si>
  <si>
    <t>0, 1, 1, 0, 0, 0, 0, 0, 0, 0, 0, 0, 0, 0, 0, 0, 0, 0, 0, 0, 0, 0, 0, 1</t>
  </si>
  <si>
    <t>emergency plumber loughton</t>
  </si>
  <si>
    <t>0, 0, 0, 0, 0, 0, 0, 0, 0, 0, 0, 2, 0, 1, 0, 0, 0, 0, 0, 0, 0, 0, 0, 1</t>
  </si>
  <si>
    <t>emergency plumber new orleans</t>
  </si>
  <si>
    <t>burst pipe repair tucson</t>
  </si>
  <si>
    <t>emergency plumber morayfield</t>
  </si>
  <si>
    <t>pittsburgh emergency plumber</t>
  </si>
  <si>
    <t>0, 1, 0, 0, 0, 0, 0, 1, 0, 0, 1, 0, 0, 0, 0, 0, 0, 0, 0, 0, 0, 0, 0, 1</t>
  </si>
  <si>
    <t>emergency plumber merriam</t>
  </si>
  <si>
    <t>burst pipe repair greenwood in</t>
  </si>
  <si>
    <t>emergency plumber woodstock ga</t>
  </si>
  <si>
    <t>emergency plumber lakewood co</t>
  </si>
  <si>
    <t>0, 0, 0, 1, 1, 0, 0, 0, 0, 0, 0, 0, 0, 1, 0, 0, 0, 0, 0, 0, 0, 0, 0, 1</t>
  </si>
  <si>
    <t>emergency plumber auckland</t>
  </si>
  <si>
    <t>1, 1, 2, 5, 1, 4, 2, 4, 3, 5, 3, 2, 1, 0, 0, 0, 0, 0, 0, 1, 0, 0, 0, 1</t>
  </si>
  <si>
    <t>garden grove emergency plumber</t>
  </si>
  <si>
    <t>emergency plumber gilbert</t>
  </si>
  <si>
    <t>0, 0, 0, 0, 1, 4, 1, 2, 5, 3, 3, 0, 0, 0, 0, 0, 0, 0, 0, 0, 1, 0, 0, 1</t>
  </si>
  <si>
    <t>best 24 hour plumber near me</t>
  </si>
  <si>
    <t>3, 2, 0, 0, 5, 2, 1, 7, 1, 3, 3, 3, 0, 0, 0, 0, 0, 0, 0, 0, 1, 2, 0, 2</t>
  </si>
  <si>
    <t>upland ca emergency plumber</t>
  </si>
  <si>
    <t>kelseyville emergency plumber</t>
  </si>
  <si>
    <t>emergency plumber rio madina tx</t>
  </si>
  <si>
    <t>emergency plumber overland park ks</t>
  </si>
  <si>
    <t>0, 0, 0, 0, 0, 0, 0, 0, 1, 0, 1, 2, 0, 0, 0, 0, 0, 0, 0, 0, 0, 0, 0, 1</t>
  </si>
  <si>
    <t>palm bay emergency plumber</t>
  </si>
  <si>
    <t>davie emergency plumber</t>
  </si>
  <si>
    <t>emergency plumber dorset</t>
  </si>
  <si>
    <t>1, 0, 0, 1, 0, 0, 0, 0, 0, 0, 0, 0, 0, 0, 0, 0, 0, 0, 0, 0, 0, 0, 0, 1</t>
  </si>
  <si>
    <t>emergency plumber regina</t>
  </si>
  <si>
    <t>0, 0, 0, 2, 0, 0, 0, 0, 0, 0, 0, 0, 0, 0, 0, 0, 0, 0, 0, 0, 0, 0, 0, 1</t>
  </si>
  <si>
    <t>emergency plumber near oak brook</t>
  </si>
  <si>
    <t>0, 0, 0, 0, 0, 0, 0, 0, 0, 0, 0, 0, 0, 0, 0, 0, 0, 0, 0, 0, 0, 1, 0, 1</t>
  </si>
  <si>
    <t>emergency plumber gillingham</t>
  </si>
  <si>
    <t>0, 0, 3, 0, 0, 0, 2, 1, 0, 1, 1, 0, 0, 0, 0, 0, 0, 0, 0, 0, 0, 0, 0, 1</t>
  </si>
  <si>
    <t>emergency plumber london ontario</t>
  </si>
  <si>
    <t>0, 0, 0, 0, 0, 0, 0, 0, 1, 0, 0, 0, 1, 0, 0, 0, 0, 0, 0, 0, 1, 0, 0, 1</t>
  </si>
  <si>
    <t>emergency plumber gosford</t>
  </si>
  <si>
    <t>0, 0, 0, 1, 1, 0, 0, 0, 0, 1, 0, 0, 0, 0, 0, 0, 0, 0, 0, 0, 0, 0, 0, 1</t>
  </si>
  <si>
    <t>24 hour plumber chicago il</t>
  </si>
  <si>
    <t>0, 0, 0, 0, 0, 0, 0, 0, 0, 0, 2, 0, 0, 0, 0, 0, 0, 0, 0, 0, 0, 0, 0, 1</t>
  </si>
  <si>
    <t>cedar city utah emergency plumber</t>
  </si>
  <si>
    <t>emergency plumber matawan nj</t>
  </si>
  <si>
    <t>emergency plumber acton canberra act</t>
  </si>
  <si>
    <t>emergency plumber harwich</t>
  </si>
  <si>
    <t>plumber emergency call out fee</t>
  </si>
  <si>
    <t>0, 0, 2, 1, 1, 1, 1, 3, 2, 2, 1, 0, 0, 1, 0, 0, 1, 0, 0, 1, 1, 1, 0, 2</t>
  </si>
  <si>
    <t>emergency plumber winchester ca</t>
  </si>
  <si>
    <t>emergency plumber lewes</t>
  </si>
  <si>
    <t>emergency plumber laguna beach ca</t>
  </si>
  <si>
    <t>emergency plumber in bala cynwyd</t>
  </si>
  <si>
    <t>24-hour plumber in midtown-atlanta</t>
  </si>
  <si>
    <t>0, 0, 1, 0, 0, 1, 0, 0, 0, 2, 0, 0, 0, 0, 0, 0, 0, 0, 0, 0, 0, 0, 0, 1</t>
  </si>
  <si>
    <t>emergency plumber boulder</t>
  </si>
  <si>
    <t>1, 1, 1, 0, 0, 0, 0, 2, 1, 0, 2, 0, 0, 0, 0, 0, 0, 0, 0, 0, 0, 0, 0, 1</t>
  </si>
  <si>
    <t>emergency plumber coon rapids</t>
  </si>
  <si>
    <t>okc emergency plumber</t>
  </si>
  <si>
    <t>0, 0, 0, 0, 0, 0, 0, 0, 0, 4, 2, 0, 0, 0, 0, 0, 0, 0, 0, 0, 0, 0, 0, 1</t>
  </si>
  <si>
    <t>emergency plumber allentown pa</t>
  </si>
  <si>
    <t>emergency plumber charlottesville va</t>
  </si>
  <si>
    <t>0, 0, 0, 0, 0, 0, 0, 0, 0, 0, 0, 0, 0, 0, 0, 0, 0, 0, 0, 0, 0, 1, 2, 1</t>
  </si>
  <si>
    <t>24 hour plumber huntington beach</t>
  </si>
  <si>
    <t>0, 1, 0, 0, 0, 0, 0, 1, 1, 0, 1, 0, 0, 0, 0, 0, 0, 1, 0, 0, 0, 0, 0, 1</t>
  </si>
  <si>
    <t>emergency plumber addison</t>
  </si>
  <si>
    <t>0, 0, 0, 0, 0, 0, 0, 1, 0, 2, 2, 0, 0, 0, 0, 0, 0, 0, 0, 0, 0, 0, 0, 1</t>
  </si>
  <si>
    <t>emergency plumber atlantique</t>
  </si>
  <si>
    <t>0, 0, 0, 0, 0, 0, 1, 3, 1, 0, 0, 0, 0, 0, 0, 0, 0, 0, 0, 0, 0, 0, 0, 1</t>
  </si>
  <si>
    <t>emergency plumber sherwood oh</t>
  </si>
  <si>
    <t>lakewood emergency plumber</t>
  </si>
  <si>
    <t>local emergency plumber near nollamara</t>
  </si>
  <si>
    <t>bullhead city emergency plumber</t>
  </si>
  <si>
    <t>0, 0, 1, 2, 0, 3, 0, 0, 0, 0, 2, 2, 2, 0, 0, 0, 0, 0, 0, 0, 0, 0, 0, 1</t>
  </si>
  <si>
    <t>emergency plumber hampstead</t>
  </si>
  <si>
    <t>0, 0, 0, 0, 0, 0, 0, 1, 1, 2, 0, 0, 0, 0, 0, 0, 0, 0, 0, 0, 0, 0, 0, 1</t>
  </si>
  <si>
    <t>fort worth emergency plumber</t>
  </si>
  <si>
    <t>1, 0, 1, 0, 1, 0, 2, 2, 2, 0, 1, 0, 0, 0, 0, 0, 0, 0, 0, 0, 0, 0, 0, 1</t>
  </si>
  <si>
    <t>emergency plumber formby</t>
  </si>
  <si>
    <t>plastic water pipe leak repair</t>
  </si>
  <si>
    <t>0, 0, 1, 2, 0, 0, 1, 1, 0, 0, 2, 3, 1, 0, 1, 2, 0, 0, 1, 0, 0, 2, 1, 2</t>
  </si>
  <si>
    <t>emergency plumber herne bay</t>
  </si>
  <si>
    <t>0, 0, 0, 0, 0, 0, 0, 0, 1, 0, 0, 4, 0, 0, 1, 0, 0, 0, 0, 0, 0, 0, 0, 1</t>
  </si>
  <si>
    <t>emergency plumber candiac</t>
  </si>
  <si>
    <t>0, 0, 1, 1, 0, 0, 0, 1, 2, 2, 2, 0, 0, 0, 0, 0, 0, 0, 0, 0, 0, 0, 0, 1</t>
  </si>
  <si>
    <t>emergency plumber poway ca</t>
  </si>
  <si>
    <t>emergency plumber harrison county</t>
  </si>
  <si>
    <t>emergency plumber tulse hill</t>
  </si>
  <si>
    <t>0, 0, 0, 1, 0, 0, 0, 1, 0, 0, 0, 0, 0, 0, 0, 0, 0, 0, 0, 0, 0, 0, 0, 1</t>
  </si>
  <si>
    <t>emergency plumber mt juliet tn</t>
  </si>
  <si>
    <t>0, 0, 1, 0, 0, 0, 0, 0, 0, 0, 0, 0, 0, 0, 0, 0, 0, 0, 0, 0, 0, 0, 0, 1</t>
  </si>
  <si>
    <t>emergency plumber rayleigh</t>
  </si>
  <si>
    <t>grover beach emergency plumber</t>
  </si>
  <si>
    <t>0, 0, 0, 0, 0, 0, 0, 0, 0, 0, 1, 1, 0, 0, 0, 0, 0, 0, 0, 0, 0, 0, 0, 1</t>
  </si>
  <si>
    <t>vehicle water leak repair near me</t>
  </si>
  <si>
    <t>0, 0, 0, 0, 0, 0, 1, 0, 0, 0, 0, 0, 0, 0, 0, 1, 0, 1, 0, 0, 0, 0, 0, 1</t>
  </si>
  <si>
    <t>emergency plumber columbus ga</t>
  </si>
  <si>
    <t>0, 0, 0, 0, 0, 1, 1, 0, 1, 1, 0, 0, 0, 0, 0, 0, 0, 0, 0, 0, 0, 0, 0, 1</t>
  </si>
  <si>
    <t>rapid city 24 hour plumber</t>
  </si>
  <si>
    <t>emergency plumber middlesbrough</t>
  </si>
  <si>
    <t>0, 1, 0, 1, 0, 0, 0, 0, 0, 0, 1, 0, 0, 0, 0, 0, 0, 0, 0, 0, 0, 0, 0, 1</t>
  </si>
  <si>
    <t>emergency plumber smithtown</t>
  </si>
  <si>
    <t>0, 0, 0, 0, 0, 1, 0, 1, 0, 0, 0, 0, 0, 0, 0, 0, 0, 0, 0, 0, 0, 0, 0, 1</t>
  </si>
  <si>
    <t>emergency plumber toowong</t>
  </si>
  <si>
    <t>0, 0, 3, 1, 1, 1, 1, 1, 3, 3, 0, 0, 0, 0, 0, 0, 0, 0, 0, 0, 0, 0, 0, 1</t>
  </si>
  <si>
    <t>emergency plumber in manchester</t>
  </si>
  <si>
    <t>emergency plumber southmead</t>
  </si>
  <si>
    <t>brendale emergency plumber</t>
  </si>
  <si>
    <t>emergency plumber longmont</t>
  </si>
  <si>
    <t>0, 1, 1, 0, 0, 0, 0, 0, 0, 1, 1, 0, 0, 0, 0, 0, 0, 0, 0, 0, 0, 0, 0, 1</t>
  </si>
  <si>
    <t>emergency plumber now</t>
  </si>
  <si>
    <t>0, 0, 0, 0, 1, 0, 0, 1, 4, 0, 0, 0, 0, 0, 0, 0, 0, 0, 0, 0, 0, 0, 0, 1</t>
  </si>
  <si>
    <t>emergency plumber new york city</t>
  </si>
  <si>
    <t>0, 0, 0, 1, 0, 1, 0, 1, 0, 2, 0, 1, 0, 0, 0, 0, 0, 0, 0, 0, 0, 0, 0, 1</t>
  </si>
  <si>
    <t>granbury emergency plumber</t>
  </si>
  <si>
    <t>emergency plumber lake city</t>
  </si>
  <si>
    <t>0, 0, 0, 0, 0, 0, 0, 0, 0, 0, 2, 1, 0, 0, 0, 0, 0, 0, 0, 0, 1, 0, 0, 1</t>
  </si>
  <si>
    <t>emergency plumber kettering</t>
  </si>
  <si>
    <t>0, 2, 1, 1, 0, 2, 0, 0, 2, 0, 0, 0, 0, 0, 0, 0, 0, 0, 0, 0, 0, 0, 3, 2</t>
  </si>
  <si>
    <t>emergency plumber townsville</t>
  </si>
  <si>
    <t>0, 0, 4, 3, 2, 1, 0, 1, 1, 0, 3, 0, 0, 0, 0, 0, 0, 0, 0, 0, 0, 0, 0, 1</t>
  </si>
  <si>
    <t>emergency plumber west hills</t>
  </si>
  <si>
    <t>0, 0, 0, 0, 0, 0, 3, 2, 0, 0, 0, 0, 0, 0, 0, 0, 0, 0, 0, 0, 0, 0, 0, 1</t>
  </si>
  <si>
    <t>emergency plumber west bendigo</t>
  </si>
  <si>
    <t>0, 0, 0, 0, 1, 0, 0, 0, 0, 0, 3, 0, 0, 0, 0, 0, 0, 0, 0, 0, 0, 0, 0, 1</t>
  </si>
  <si>
    <t>24 hour plumber louisville ky</t>
  </si>
  <si>
    <t>emergency plumber fife</t>
  </si>
  <si>
    <t>0, 0, 0, 1, 0, 0, 1, 1, 0, 1, 3, 0, 0, 0, 0, 0, 0, 0, 0, 0, 0, 0, 0, 1</t>
  </si>
  <si>
    <t>emergency plumber fort lee</t>
  </si>
  <si>
    <t>emergency plumber longboat key fl</t>
  </si>
  <si>
    <t>ames emergency plumber</t>
  </si>
  <si>
    <t>emergency plumber somerset</t>
  </si>
  <si>
    <t>0, 0, 0, 0, 0, 0, 0, 2, 0, 1, 0, 1, 0, 0, 0, 0, 0, 0, 0, 0, 0, 0, 0, 1</t>
  </si>
  <si>
    <t>emergency plumber cerritos ca</t>
  </si>
  <si>
    <t>emergency plumber tampa fl</t>
  </si>
  <si>
    <t>1, 0, 0, 1, 0, 0, 0, 0, 1, 1, 0, 1, 0, 0, 0, 0, 0, 0, 0, 0, 0, 0, 0, 1</t>
  </si>
  <si>
    <t>emergency plumber maryland</t>
  </si>
  <si>
    <t>local emergency plumber near gosnells</t>
  </si>
  <si>
    <t>emergency plumber near me castle rock</t>
  </si>
  <si>
    <t>emergency plumber ontario ca</t>
  </si>
  <si>
    <t>24 hour plumber maumelle</t>
  </si>
  <si>
    <t>cost of burst pipe repair</t>
  </si>
  <si>
    <t>0, 0, 0, 2, 0, 0, 0, 0, 2, 0, 0, 0, 0, 0, 0, 1, 0, 0, 0, 0, 1, 0, 0, 1</t>
  </si>
  <si>
    <t>local emergency plumber near forrestfield</t>
  </si>
  <si>
    <t>emergency plumber hadleigh</t>
  </si>
  <si>
    <t>emergency plumber southall</t>
  </si>
  <si>
    <t>emergency plumber bellevue</t>
  </si>
  <si>
    <t>0, 0, 0, 0, 1, 1, 1, 1, 0, 1, 1, 0, 0, 0, 0, 0, 0, 0, 0, 0, 0, 0, 0, 1</t>
  </si>
  <si>
    <t>ottawa on emergency plumber near me</t>
  </si>
  <si>
    <t>emergency plumber benfleet</t>
  </si>
  <si>
    <t>lake macquarie emergency plumber</t>
  </si>
  <si>
    <t>0, 0, 0, 0, 0, 0, 0, 1, 1, 0, 2, 1, 0, 0, 0, 0, 0, 0, 0, 0, 0, 0, 0, 1</t>
  </si>
  <si>
    <t>emergency plumber balcatta</t>
  </si>
  <si>
    <t>0, 0, 0, 0, 0, 0, 1, 0, 0, 3, 2, 0, 0, 0, 0, 0, 0, 0, 0, 0, 0, 0, 0, 1</t>
  </si>
  <si>
    <t>emergency plumber motherwell</t>
  </si>
  <si>
    <t>0, 0, 0, 0, 0, 1, 0, 0, 0, 1, 0, 0, 0, 0, 0, 0, 0, 0, 0, 0, 0, 0, 0, 1</t>
  </si>
  <si>
    <t>emergency plumber saddle rock</t>
  </si>
  <si>
    <t>0, 0, 0, 0, 0, 0, 0, 2, 1, 2, 0, 0, 0, 0, 0, 0, 0, 0, 0, 0, 0, 0, 0, 1</t>
  </si>
  <si>
    <t>underground water leak repair cape town</t>
  </si>
  <si>
    <t>0, 0, 0, 0, 0, 0, 0, 0, 0, 0, 0, 0, 0, 0, 0, 0, 0, 0, 0, 0, 9, 28, 8, 3</t>
  </si>
  <si>
    <t>24-hour plumber arlington</t>
  </si>
  <si>
    <t>0, 0, 0, 0, 0, 0, 1, 0, 1, 1, 3, 0, 0, 0, 0, 0, 0, 0, 0, 0, 0, 0, 0, 1</t>
  </si>
  <si>
    <t>peachtree corners emergency plumber</t>
  </si>
  <si>
    <t>nyc emergency plumber</t>
  </si>
  <si>
    <t>0, 0, 1, 1, 0, 0, 0, 2, 1, 1, 2, 1, 0, 0, 0, 0, 0, 0, 0, 0, 0, 0, 0, 1</t>
  </si>
  <si>
    <t>plumber gold coast 24 hour</t>
  </si>
  <si>
    <t>emergency plumber kingswood</t>
  </si>
  <si>
    <t>24 hour plumber parklands</t>
  </si>
  <si>
    <t>0, 0, 0, 0, 2, 0, 0, 1, 0, 0, 0, 0, 0, 0, 1, 1, 0, 0, 1, 0, 1, 1, 0, 2</t>
  </si>
  <si>
    <t>emergency plumber corby</t>
  </si>
  <si>
    <t>24 hour plumber port coquitlam</t>
  </si>
  <si>
    <t>effingham sc emergency plumber</t>
  </si>
  <si>
    <t>0, 0, 0, 0, 0, 0, 0, 0, 1, 4, 2, 1, 0, 0, 0, 0, 0, 0, 0, 0, 0, 0, 0, 1</t>
  </si>
  <si>
    <t>emergency plumber palm springs</t>
  </si>
  <si>
    <t>0, 0, 0, 1, 0, 0, 1, 0, 2, 0, 0, 0, 0, 0, 0, 0, 0, 0, 0, 0, 0, 0, 0, 1</t>
  </si>
  <si>
    <t>emergency plumber ampthill</t>
  </si>
  <si>
    <t>emergency plumber forestdale</t>
  </si>
  <si>
    <t>0, 0, 0, 1, 1, 1, 0, 0, 0, 0, 0, 0, 0, 0, 0, 0, 0, 0, 0, 0, 0, 0, 0, 1</t>
  </si>
  <si>
    <t>24h emergency plumber</t>
  </si>
  <si>
    <t>0, 0, 0, 0, 0, 1, 1, 0, 0, 0, 0, 0, 0, 0, 0, 0, 0, 1, 0, 0, 0, 1, 1, 1</t>
  </si>
  <si>
    <t>emergency plumber in inverness</t>
  </si>
  <si>
    <t>emergency plumber battersea</t>
  </si>
  <si>
    <t>0, 1, 3, 2, 1, 0, 1, 0, 2, 1, 2, 0, 0, 0, 1, 0, 0, 0, 0, 0, 0, 0, 0, 1</t>
  </si>
  <si>
    <t>epoxy water leak repair</t>
  </si>
  <si>
    <t>0, 0, 0, 0, 0, 0, 0, 2, 0, 0, 0, 1, 0, 0, 0, 1, 1, 0, 0, 0, 0, 0, 0, 1</t>
  </si>
  <si>
    <t>emergency plumber courtenay</t>
  </si>
  <si>
    <t>2, 1, 2, 1, 1, 0, 1, 0, 0, 0, 0, 0, 0, 0, 0, 0, 0, 0, 0, 0, 0, 0, 0, 1</t>
  </si>
  <si>
    <t>rockville md emergency plumber</t>
  </si>
  <si>
    <t>0, 1, 0, 0, 1, 0, 1, 0, 0, 6, 1, 0, 0, 0, 0, 0, 1, 0, 0, 0, 0, 0, 0, 1</t>
  </si>
  <si>
    <t>water leak wall repair</t>
  </si>
  <si>
    <t>3, 0, 0, 0, 0, 0, 1, 0, 2, 0, 0, 1, 2, 0, 0, 1, 4, 0, 0, 0, 0, 1, 1, 1</t>
  </si>
  <si>
    <t>emergency plumber dayton ohio</t>
  </si>
  <si>
    <t>emergency plumber ormskirk</t>
  </si>
  <si>
    <t>0, 0, 0, 1, 1, 0, 1, 0, 0, 0, 0, 0, 0, 0, 0, 0, 0, 0, 0, 0, 0, 0, 0, 1</t>
  </si>
  <si>
    <t>emergency plumber lacey wa</t>
  </si>
  <si>
    <t>0, 0, 0, 1, 0, 1, 0, 2, 0, 0, 1, 0, 0, 0, 0, 0, 0, 0, 0, 0, 0, 0, 0, 1</t>
  </si>
  <si>
    <t>emergency plumber temecula</t>
  </si>
  <si>
    <t>0, 0, 0, 0, 2, 3, 2, 1, 2, 4, 5, 6, 0, 0, 0, 0, 0, 0, 0, 0, 0, 0, 0, 1</t>
  </si>
  <si>
    <t>emergency plumber service tarragindi</t>
  </si>
  <si>
    <t>plumber cost to repair burst pipe</t>
  </si>
  <si>
    <t>0, 0, 0, 0, 0, 1, 0, 0, 0, 0, 1, 1, 0, 0, 0, 0, 0, 1, 0, 0, 0, 0, 0, 1</t>
  </si>
  <si>
    <t>emergency plumber campbell</t>
  </si>
  <si>
    <t>0, 0, 0, 0, 0, 0, 0, 1, 1, 3, 1, 1, 0, 0, 0, 0, 0, 0, 0, 0, 0, 0, 0, 1</t>
  </si>
  <si>
    <t>emergency plumber dublin 12</t>
  </si>
  <si>
    <t>emergency plumber west pennant hills</t>
  </si>
  <si>
    <t>1, 0, 0, 0, 0, 1, 0, 0, 1, 0, 0, 0, 0, 0, 0, 0, 0, 0, 0, 0, 0, 0, 0, 1</t>
  </si>
  <si>
    <t>sedona emergency plumber</t>
  </si>
  <si>
    <t>0, 1, 0, 0, 1, 0, 0, 0, 1, 0, 0, 0, 0, 0, 0, 0, 0, 0, 0, 0, 0, 0, 0, 1</t>
  </si>
  <si>
    <t>emergency plumber highland park nj</t>
  </si>
  <si>
    <t>emergency plumber plymouth</t>
  </si>
  <si>
    <t>1, 0, 0, 0, 0, 0, 0, 0, 3, 2, 3, 0, 0, 0, 0, 0, 0, 0, 0, 1, 0, 0, 0, 1</t>
  </si>
  <si>
    <t>cincinnati emergency plumber</t>
  </si>
  <si>
    <t>0, 0, 1, 0, 2, 1, 3, 5, 2, 0, 2, 0, 0, 0, 0, 0, 0, 0, 0, 0, 0, 0, 0, 1</t>
  </si>
  <si>
    <t>emergency plumber lagoon pocket</t>
  </si>
  <si>
    <t>0, 0, 0, 0, 1, 1, 0, 2, 0, 0, 1, 0, 0, 0, 0, 0, 0, 0, 0, 0, 0, 0, 0, 1</t>
  </si>
  <si>
    <t>same-day plumber emergency johannesburg</t>
  </si>
  <si>
    <t>0, 0, 0, 0, 0, 0, 0, 0, 0, 0, 0, 0, 0, 0, 0, 0, 0, 0, 0, 0, 12, 23, 9, 2</t>
  </si>
  <si>
    <t>emergency plumber pevensey</t>
  </si>
  <si>
    <t>0, 0, 0, 0, 0, 0, 0, 1, 0, 0, 0, 0, 1, 0, 0, 0, 0, 0, 0, 0, 0, 0, 0, 1</t>
  </si>
  <si>
    <t>24 hour plumber mckinney</t>
  </si>
  <si>
    <t>0, 0, 0, 1, 1, 0, 0, 0, 1, 0, 0, 0, 0, 0, 0, 0, 0, 0, 0, 0, 0, 0, 0, 1</t>
  </si>
  <si>
    <t>henderson 24 hour plumber</t>
  </si>
  <si>
    <t>1, 0, 0, 0, 0, 0, 2, 1, 0, 0, 0, 0, 0, 0, 0, 0, 0, 0, 0, 0, 0, 0, 0, 1</t>
  </si>
  <si>
    <t>plumber emergency number</t>
  </si>
  <si>
    <t>0, 0, 0, 0, 0, 0, 0, 0, 0, 1, 0, 2, 2, 0, 0, 3, 0, 0, 0, 0, 0, 0, 0, 1</t>
  </si>
  <si>
    <t>emergency plumber kingman</t>
  </si>
  <si>
    <t>1, 0, 1, 0, 1, 0, 0, 0, 1, 3, 2, 0, 0, 0, 0, 0, 0, 0, 0, 0, 0, 0, 0, 1</t>
  </si>
  <si>
    <t>emergency plumber ogden utah</t>
  </si>
  <si>
    <t>24 hour plumber greensboro nc</t>
  </si>
  <si>
    <t>emergency plumber elimbah</t>
  </si>
  <si>
    <t>emergency plumber reculver</t>
  </si>
  <si>
    <t>emergency plumber weaverville nc</t>
  </si>
  <si>
    <t>0, 0, 1, 0, 1, 0, 1, 0, 0, 1, 2, 0, 0, 0, 0, 0, 0, 0, 0, 0, 0, 0, 0, 1</t>
  </si>
  <si>
    <t>water leak repair melbourne</t>
  </si>
  <si>
    <t>0, 0, 0, 0, 0, 0, 0, 1, 0, 1, 1, 0, 0, 0, 0, 0, 0, 0, 0, 0, 0, 1, 0, 1</t>
  </si>
  <si>
    <t>local emergency plumber near middle swan</t>
  </si>
  <si>
    <t>water leak repair sacramento ca</t>
  </si>
  <si>
    <t>chino valley az emergency plumber</t>
  </si>
  <si>
    <t>1, 0, 0, 1, 0, 0, 0, 0, 0, 2, 1, 0, 0, 0, 0, 0, 0, 0, 0, 0, 0, 0, 0, 1</t>
  </si>
  <si>
    <t>emergency plumber hunstanton</t>
  </si>
  <si>
    <t>0, 0, 0, 0, 0, 0, 0, 0, 0, 3, 0, 0, 0, 0, 0, 0, 0, 0, 0, 0, 0, 0, 0, 1</t>
  </si>
  <si>
    <t>emergency plumber cammeray</t>
  </si>
  <si>
    <t>emergency plumber near maywood</t>
  </si>
  <si>
    <t>24 hour plumber virginia beach</t>
  </si>
  <si>
    <t>emergency plumber plumpton</t>
  </si>
  <si>
    <t>0, 0, 0, 1, 0, 2, 0, 1, 1, 0, 0, 0, 0, 0, 0, 0, 0, 0, 0, 0, 0, 0, 0, 1</t>
  </si>
  <si>
    <t>24 hour emergency plumber denver co</t>
  </si>
  <si>
    <t>niceville emergency plumber</t>
  </si>
  <si>
    <t>emergency plumber oxfordshire</t>
  </si>
  <si>
    <t>0, 0, 0, 0, 0, 0, 0, 0, 0, 0, 1, 0, 0, 0, 1, 0, 0, 0, 0, 0, 0, 0, 0, 1</t>
  </si>
  <si>
    <t>24 hour plumber fishers</t>
  </si>
  <si>
    <t>emergency plumber high point nc</t>
  </si>
  <si>
    <t>emergency plumber springfield va</t>
  </si>
  <si>
    <t>water leak in car repair near me</t>
  </si>
  <si>
    <t>0, 0, 0, 0, 0, 0, 1, 2, 1, 1, 0, 0, 0, 0, 0, 0, 0, 0, 0, 0, 0, 0, 1, 1</t>
  </si>
  <si>
    <t>emergency plumber san jose</t>
  </si>
  <si>
    <t>0, 1, 0, 0, 0, 1, 1, 2, 2, 0, 2, 0, 0, 0, 0, 0, 0, 0, 0, 0, 0, 0, 0, 1</t>
  </si>
  <si>
    <t>expert emergency plumber</t>
  </si>
  <si>
    <t>emergency plumber sugar land</t>
  </si>
  <si>
    <t>0, 3, 2, 0, 1, 1, 0, 0, 0, 0, 2, 0, 0, 0, 0, 0, 0, 0, 0, 0, 0, 0, 0, 1</t>
  </si>
  <si>
    <t>24 hour plumber richmond hill</t>
  </si>
  <si>
    <t>0, 0, 0, 0, 0, 1, 0, 0, 0, 3, 1, 0, 0, 0, 0, 0, 0, 0, 0, 0, 0, 0, 0, 1</t>
  </si>
  <si>
    <t>emergency plumber service new farm</t>
  </si>
  <si>
    <t>athens emergency plumber</t>
  </si>
  <si>
    <t>emergency plumber in leicester</t>
  </si>
  <si>
    <t>0, 0, 0, 0, 0, 0, 0, 0, 0, 1, 1, 0, 0, 0, 0, 0, 0, 0, 0, 1, 0, 0, 0, 1</t>
  </si>
  <si>
    <t>emergency plumber richmond hill ga</t>
  </si>
  <si>
    <t>emergency plumber sydney cbd</t>
  </si>
  <si>
    <t>emergency plumber graceville</t>
  </si>
  <si>
    <t>emergency water leak repair near me</t>
  </si>
  <si>
    <t>0, 0, 0, 0, 0, 0, 1, 0, 0, 0, 0, 0, 0, 0, 0, 0, 0, 1, 1, 0, 1, 0, 0, 1</t>
  </si>
  <si>
    <t>emergency plumber abbey wood</t>
  </si>
  <si>
    <t>basement water leak repair suwanee ga</t>
  </si>
  <si>
    <t>reliable plumber emergency cape town</t>
  </si>
  <si>
    <t>0, 0, 0, 0, 0, 0, 0, 0, 0, 0, 0, 0, 0, 0, 0, 0, 0, 0, 0, 0, 18, 25, 7, 3</t>
  </si>
  <si>
    <t>new york emergency plumber</t>
  </si>
  <si>
    <t>0, 0, 0, 1, 0, 0, 0, 0, 0, 1, 1, 0, 1, 0, 0, 0, 0, 0, 0, 0, 0, 0, 0, 1</t>
  </si>
  <si>
    <t>24-hour plumber ogden ut</t>
  </si>
  <si>
    <t>0, 0, 0, 1, 1, 0, 2, 0, 2, 0, 0, 0, 0, 0, 0, 0, 0, 0, 0, 0, 0, 0, 0, 1</t>
  </si>
  <si>
    <t>emergency plumber corona ca</t>
  </si>
  <si>
    <t>24 hour plumber battersea</t>
  </si>
  <si>
    <t>emergency plumber tustin</t>
  </si>
  <si>
    <t>emergency plumber aspendale gardens</t>
  </si>
  <si>
    <t>guildford emergency plumber</t>
  </si>
  <si>
    <t>emergency plumber sunshine coast</t>
  </si>
  <si>
    <t>1, 0, 1, 0, 1, 2, 1, 1, 0, 0, 0, 6, 0, 0, 0, 0, 0, 0, 0, 0, 0, 0, 0, 1</t>
  </si>
  <si>
    <t>emergency plumber crediton</t>
  </si>
  <si>
    <t>0, 0, 0, 0, 0, 1, 0, 0, 2, 0, 0, 0, 0, 0, 0, 0, 0, 0, 0, 0, 0, 0, 0, 1</t>
  </si>
  <si>
    <t>emergency plumber nashville</t>
  </si>
  <si>
    <t>0, 1, 2, 2, 0, 1, 0, 0, 1, 1, 5, 0, 0, 0, 0, 0, 0, 1, 0, 0, 1, 1, 1, 2</t>
  </si>
  <si>
    <t>tomball emergency plumber</t>
  </si>
  <si>
    <t>leaking shower mixer tap repair</t>
  </si>
  <si>
    <t>burst pipe in wall repair</t>
  </si>
  <si>
    <t>0, 0, 0, 0, 0, 1, 0, 2, 0, 0, 0, 0, 0, 0, 0, 0, 0, 0, 0, 0, 0, 1, 0, 1</t>
  </si>
  <si>
    <t>emergency plumber dunfermline</t>
  </si>
  <si>
    <t>0, 0, 0, 0, 0, 0, 0, 2, 1, 0, 0, 0, 0, 0, 0, 0, 0, 0, 0, 0, 0, 0, 0, 1</t>
  </si>
  <si>
    <t>emergency plumber westmead</t>
  </si>
  <si>
    <t>emergency plumber frome</t>
  </si>
  <si>
    <t>0, 0, 0, 0, 0, 0, 0, 2, 2, 0, 1, 0, 0, 0, 0, 0, 0, 0, 0, 0, 0, 0, 0, 1</t>
  </si>
  <si>
    <t>emergency plumber richmond bc</t>
  </si>
  <si>
    <t>0, 0, 0, 0, 0, 0, 2, 1, 1, 0, 0, 0, 0, 0, 0, 0, 0, 0, 0, 0, 0, 0, 0, 1</t>
  </si>
  <si>
    <t>emergency plumber bowmanville</t>
  </si>
  <si>
    <t>4, 1, 11, 5, 6, 1, 2, 4, 5, 2, 2, 4, 0, 0, 0, 0, 0, 0, 0, 0, 0, 0, 0, 1</t>
  </si>
  <si>
    <t>emergency blocked toilet plumber brisbane</t>
  </si>
  <si>
    <t>1, 1, 0, 0, 0, 0, 0, 1, 0, 0, 0, 0, 0, 0, 0, 0, 0, 0, 0, 0, 0, 0, 0, 1</t>
  </si>
  <si>
    <t>emergency plumber newport beach</t>
  </si>
  <si>
    <t>0, 0, 0, 0, 1, 0, 0, 1, 0, 1, 1, 2, 0, 0, 0, 0, 0, 0, 0, 0, 0, 0, 0, 1</t>
  </si>
  <si>
    <t>cedar city utah 24 hour plumber</t>
  </si>
  <si>
    <t>richmond va emergency plumber</t>
  </si>
  <si>
    <t>emergency plumber chislehurst</t>
  </si>
  <si>
    <t>0, 2, 0, 0, 0, 1, 0, 1, 0, 0, 2, 0, 0, 0, 0, 0, 1, 0, 0, 0, 0, 0, 0, 1</t>
  </si>
  <si>
    <t>emergency plumber tulsa ok</t>
  </si>
  <si>
    <t>0, 0, 0, 0, 1, 0, 0, 0, 0, 0, 1, 0, 0, 0, 0, 0, 0, 0, 0, 0, 0, 0, 0, 1</t>
  </si>
  <si>
    <t>emergency plumber lawrence</t>
  </si>
  <si>
    <t>0, 0, 2, 0, 0, 0, 1, 0, 0, 1, 0, 0, 0, 0, 0, 0, 0, 0, 0, 0, 0, 0, 0, 1</t>
  </si>
  <si>
    <t>emergency plumber schofields</t>
  </si>
  <si>
    <t>0, 0, 0, 0, 3, 0, 0, 0, 0, 0, 2, 0, 0, 0, 0, 0, 0, 0, 0, 0, 0, 0, 0, 1</t>
  </si>
  <si>
    <t>emergency plumber in thornhill</t>
  </si>
  <si>
    <t>burst pipe repair wexford</t>
  </si>
  <si>
    <t>0, 1, 1, 0, 0, 0, 2, 1, 0, 1, 0, 0, 0, 0, 0, 0, 0, 0, 0, 0, 0, 0, 0, 1</t>
  </si>
  <si>
    <t>water pipe joint leak repair</t>
  </si>
  <si>
    <t>0, 0, 0, 0, 1, 0, 0, 1, 1, 0, 0, 7, 3, 0, 1, 0, 0, 2, 0, 0, 0, 0, 0, 1</t>
  </si>
  <si>
    <t>emergency plumber service chandler</t>
  </si>
  <si>
    <t>emergency plumber brisbane west</t>
  </si>
  <si>
    <t>2, 3, 1, 2, 0, 0, 0, 0, 1, 0, 0, 0, 0, 0, 0, 0, 0, 0, 0, 0, 0, 0, 0, 1</t>
  </si>
  <si>
    <t>emergency plumber flower mound tx</t>
  </si>
  <si>
    <t>1, 2, 1, 0, 1, 0, 0, 0, 0, 0, 0, 0, 0, 0, 0, 0, 0, 0, 0, 0, 0, 0, 0, 1</t>
  </si>
  <si>
    <t>water tank leak repair near me</t>
  </si>
  <si>
    <t>0, 0, 0, 0, 1, 0, 0, 0, 0, 0, 4, 0, 0, 0, 0, 1, 1, 1, 0, 0, 1, 1, 0, 1</t>
  </si>
  <si>
    <t>emergency plumber leatherhead</t>
  </si>
  <si>
    <t>emergency plumber elliott heads</t>
  </si>
  <si>
    <t>spanish fork utah 24 hour plumber</t>
  </si>
  <si>
    <t>emergency plumber tyler tx</t>
  </si>
  <si>
    <t>0, 1, 1, 0, 1, 1, 0, 1, 1, 1, 0, 1, 0, 0, 0, 0, 0, 0, 0, 0, 0, 0, 0, 1</t>
  </si>
  <si>
    <t>metal roof water leak repair</t>
  </si>
  <si>
    <t>0, 0, 2, 0, 0, 0, 0, 0, 0, 1, 1, 1, 0, 0, 0, 0, 0, 0, 0, 0, 0, 1, 0, 1</t>
  </si>
  <si>
    <t>emergency plumber guelph</t>
  </si>
  <si>
    <t>0, 0, 1, 0, 0, 0, 1, 0, 1, 0, 0, 1, 0, 0, 0, 0, 0, 0, 0, 0, 0, 0, 0, 1</t>
  </si>
  <si>
    <t>emergency plumber leederville</t>
  </si>
  <si>
    <t>0, 0, 0, 0, 0, 0, 0, 0, 2, 2, 0, 0, 0, 0, 0, 0, 0, 0, 0, 0, 0, 0, 0, 1</t>
  </si>
  <si>
    <t>emergency plumber austin</t>
  </si>
  <si>
    <t>0, 2, 0, 0, 1, 1, 1, 1, 2, 0, 2, 3, 2, 3, 1, 0, 0, 1, 1, 0, 1, 4, 0, 1</t>
  </si>
  <si>
    <t>local emergency plumber near me</t>
  </si>
  <si>
    <t>0, 1, 0, 0, 2, 1, 0, 1, 0, 2, 1, 0, 0, 0, 0, 0, 0, 0, 0, 0, 0, 2, 0, 2</t>
  </si>
  <si>
    <t>emergency plumber service greenslopes</t>
  </si>
  <si>
    <t>emergency plumber poole</t>
  </si>
  <si>
    <t>0, 0, 0, 1, 3, 2, 1, 3, 1, 0, 1, 0, 0, 0, 0, 0, 0, 0, 0, 0, 0, 0, 0, 1</t>
  </si>
  <si>
    <t>murrieta water leak repair</t>
  </si>
  <si>
    <t>24 hour plumber rockhampton</t>
  </si>
  <si>
    <t>antioch emergency plumber</t>
  </si>
  <si>
    <t>0, 0, 0, 0, 1, 0, 2, 0, 1, 0, 0, 0, 0, 0, 0, 0, 0, 0, 0, 0, 0, 0, 0, 1</t>
  </si>
  <si>
    <t>south jordan utah emergency plumber</t>
  </si>
  <si>
    <t>emergency plumber hunchy</t>
  </si>
  <si>
    <t>0, 0, 0, 0, 0, 1, 1, 0, 0, 0, 1, 0, 0, 0, 1, 0, 0, 0, 0, 0, 0, 0, 0, 1</t>
  </si>
  <si>
    <t>local 24 hour plumber northolt</t>
  </si>
  <si>
    <t>0, 0, 0, 0, 0, 0, 0, 0, 1, 1, 1, 1, 0, 0, 0, 0, 0, 0, 0, 0, 0, 0, 0, 1</t>
  </si>
  <si>
    <t>24 hour plumber dallas tx</t>
  </si>
  <si>
    <t>0, 0, 2, 1, 0, 0, 2, 0, 3, 1, 1, 1, 0, 0, 0, 0, 0, 0, 0, 0, 0, 0, 0, 1</t>
  </si>
  <si>
    <t>emergency plumber tweed heads</t>
  </si>
  <si>
    <t>0, 0, 0, 1, 0, 1, 0, 0, 2, 0, 1, 0, 0, 0, 0, 0, 0, 0, 0, 0, 0, 0, 0, 1</t>
  </si>
  <si>
    <t>24 hour plumber bakersfield ca</t>
  </si>
  <si>
    <t>emergency plumber dubai</t>
  </si>
  <si>
    <t>0, 1, 1, 0, 2, 4, 4, 3, 0, 4, 1, 0, 0, 0, 0, 0, 2, 0, 0, 1, 0, 0, 0, 1</t>
  </si>
  <si>
    <t>24 hour plumber near me lawrenceville</t>
  </si>
  <si>
    <t>1, 0, 0, 0, 0, 0, 1, 0, 0, 0, 0, 0, 0, 0, 0, 0, 0, 0, 0, 0, 0, 0, 0, 1</t>
  </si>
  <si>
    <t>emergency plumber oatly</t>
  </si>
  <si>
    <t>0, 0, 0, 0, 0, 0, 0, 1, 0, 1, 0, 0, 2, 0, 0, 1, 5, 0, 0, 0, 0, 0, 0, 1</t>
  </si>
  <si>
    <t>emergency plumber paarl</t>
  </si>
  <si>
    <t>emergency plumber glenhaven</t>
  </si>
  <si>
    <t>0, 0, 0, 0, 2, 1, 2, 1, 3, 2, 0, 0, 0, 0, 0, 0, 0, 0, 0, 0, 0, 0, 0, 1</t>
  </si>
  <si>
    <t>24 hour plumber huntersville nc</t>
  </si>
  <si>
    <t>longwood emergency plumber</t>
  </si>
  <si>
    <t>24 hour plumber north richland hills</t>
  </si>
  <si>
    <t>emergency plumber in wheaton</t>
  </si>
  <si>
    <t>burst geyser emergency plumber cape town</t>
  </si>
  <si>
    <t>0, 0, 0, 0, 0, 0, 0, 0, 0, 0, 0, 0, 0, 0, 0, 0, 0, 0, 0, 0, 8, 20, 6, 2</t>
  </si>
  <si>
    <t>emergency plumber mullins</t>
  </si>
  <si>
    <t>0, 0, 0, 0, 0, 0, 0, 0, 0, 3, 2, 0, 1, 0, 0, 0, 0, 0, 0, 0, 0, 0, 0, 1</t>
  </si>
  <si>
    <t>24 hour plumber teaneck</t>
  </si>
  <si>
    <t>emergency plumber south yarra</t>
  </si>
  <si>
    <t>0, 0, 0, 0, 0, 1, 0, 1, 0, 2, 0, 0, 0, 0, 0, 0, 0, 0, 0, 0, 0, 0, 0, 1</t>
  </si>
  <si>
    <t>emergency plumber newcastle</t>
  </si>
  <si>
    <t>1, 4, 2, 1, 3, 4, 4, 8, 8, 1, 5, 0, 0, 0, 2, 1, 0, 0, 0, 0, 0, 0, 0, 1</t>
  </si>
  <si>
    <t>emergency plumber fredericksburg va</t>
  </si>
  <si>
    <t>emergency plumber glendale az</t>
  </si>
  <si>
    <t>emergency plumber clearwater</t>
  </si>
  <si>
    <t>0, 0, 0, 0, 0, 0, 2, 0, 0, 0, 0, 0, 0, 0, 0, 0, 0, 0, 0, 0, 0, 0, 0, 1</t>
  </si>
  <si>
    <t>24 hour plumber tucson az</t>
  </si>
  <si>
    <t>24 hour plumber kuilsriver</t>
  </si>
  <si>
    <t>emergency plumber clifton</t>
  </si>
  <si>
    <t>0, 0, 0, 2, 0, 0, 2, 0, 1, 1, 0, 0, 0, 0, 0, 0, 1, 0, 5, 0, 0, 0, 0, 1</t>
  </si>
  <si>
    <t>emergency plumber bellara</t>
  </si>
  <si>
    <t>emergency plumber in bolingbrook</t>
  </si>
  <si>
    <t>emergency plumber darwin</t>
  </si>
  <si>
    <t>0, 0, 2, 0, 0, 0, 0, 0, 0, 0, 0, 1, 0, 0, 0, 0, 0, 0, 0, 0, 0, 0, 0, 1</t>
  </si>
  <si>
    <t>emergency plumber craigieburn</t>
  </si>
  <si>
    <t>0, 0, 1, 1, 0, 1, 1, 2, 1, 0, 2, 0, 0, 0, 0, 0, 0, 0, 0, 0, 0, 0, 0, 1</t>
  </si>
  <si>
    <t>24hr emergency plumber near me</t>
  </si>
  <si>
    <t>0, 3, 0, 0, 3, 1, 0, 0, 1, 0, 0, 1, 1, 1, 0, 1, 0, 0, 0, 0, 0, 0, 1, 1</t>
  </si>
  <si>
    <t>emergency plumber maribyrnong</t>
  </si>
  <si>
    <t>0, 0, 0, 0, 0, 0, 1, 1, 1, 1, 0, 0, 0, 0, 0, 0, 0, 0, 0, 0, 0, 0, 0, 1</t>
  </si>
  <si>
    <t>emergency plumber rockford</t>
  </si>
  <si>
    <t>0, 0, 0, 0, 2, 1, 1, 3, 1, 0, 0, 0, 0, 0, 0, 0, 0, 0, 0, 0, 0, 0, 0, 1</t>
  </si>
  <si>
    <t>emergency plumber banstead</t>
  </si>
  <si>
    <t>0, 0, 0, 1, 1, 1, 1, 0, 0, 0, 0, 0, 0, 0, 0, 0, 0, 0, 0, 0, 0, 0, 0, 1</t>
  </si>
  <si>
    <t>emergency plumber birmingham al</t>
  </si>
  <si>
    <t>0, 1, 1, 0, 0, 2, 0, 0, 1, 2, 0, 0, 0, 0, 0, 0, 0, 0, 0, 0, 0, 0, 0, 1</t>
  </si>
  <si>
    <t>colleyville slab water leak repair</t>
  </si>
  <si>
    <t>water leak repair car</t>
  </si>
  <si>
    <t>2, 0, 1, 1, 0, 0, 0, 0, 0, 0, 0, 0, 0, 2, 0, 0, 1, 2, 0, 0, 0, 0, 1, 1</t>
  </si>
  <si>
    <t>emergency plumber in san mateo ca</t>
  </si>
  <si>
    <t>emergency plumber denver co</t>
  </si>
  <si>
    <t>1, 0, 0, 0, 1, 1, 0, 0, 0, 1, 0, 0, 0, 0, 0, 0, 0, 0, 0, 0, 0, 0, 0, 1</t>
  </si>
  <si>
    <t>24 hour plumber queens</t>
  </si>
  <si>
    <t>0, 0, 0, 0, 1, 1, 1, 0, 1, 2, 0, 0, 0, 0, 0, 0, 0, 0, 0, 0, 0, 1, 0, 1</t>
  </si>
  <si>
    <t>emergency plumber cookeville tn</t>
  </si>
  <si>
    <t>emergency plumber near roselle</t>
  </si>
  <si>
    <t>24 hour plumber hinesville ga</t>
  </si>
  <si>
    <t>best emergency plumber</t>
  </si>
  <si>
    <t>2, 3, 1, 2, 0, 1, 2, 2, 0, 1, 1, 2, 0, 0, 0, 0, 3, 0, 0, 0, 0, 0, 0, 1</t>
  </si>
  <si>
    <t>ealing emergency plumber</t>
  </si>
  <si>
    <t>0, 0, 0, 0, 0, 0, 1, 1, 0, 1, 0, 0, 0, 0, 0, 0, 0, 0, 0, 0, 0, 0, 0, 1</t>
  </si>
  <si>
    <t>24 hour plumber kenilworth</t>
  </si>
  <si>
    <t>0, 0, 0, 0, 1, 1, 0, 0, 0, 0, 2, 0, 0, 0, 0, 0, 0, 0, 0, 0, 0, 0, 0, 1</t>
  </si>
  <si>
    <t>water leak repair richmond</t>
  </si>
  <si>
    <t>burst pipe repair clamp</t>
  </si>
  <si>
    <t>water leak repair trussville</t>
  </si>
  <si>
    <t>0, 0, 0, 1, 1, 0, 1, 1, 0, 0, 0, 0, 0, 0, 0, 0, 0, 0, 0, 0, 0, 0, 0, 1</t>
  </si>
  <si>
    <t>emergency plumber witney</t>
  </si>
  <si>
    <t>0, 0, 1, 0, 0, 0, 0, 0, 0, 3, 0, 0, 0, 0, 0, 0, 0, 0, 0, 0, 0, 0, 0, 1</t>
  </si>
  <si>
    <t>emergency plumber tempe az</t>
  </si>
  <si>
    <t>0, 0, 0, 0, 0, 2, 0, 0, 0, 0, 1, 0, 0, 0, 0, 0, 0, 0, 0, 0, 0, 0, 0, 1</t>
  </si>
  <si>
    <t>24-hour plumber garland</t>
  </si>
  <si>
    <t>emergency plumber la pine oregon</t>
  </si>
  <si>
    <t>0, 0, 0, 0, 0, 0, 0, 1, 0, 2, 0, 1, 0, 0, 0, 0, 0, 0, 0, 0, 0, 0, 0, 1</t>
  </si>
  <si>
    <t>emergency plumber rowville</t>
  </si>
  <si>
    <t>0, 0, 0, 0, 0, 0, 0, 0, 0, 0, 0, 0, 0, 0, 0, 0, 0, 0, 0, 0, 0, 0, 1, 1</t>
  </si>
  <si>
    <t>emergency plumber mobile al</t>
  </si>
  <si>
    <t>1, 1, 1, 0, 0, 0, 1, 0, 0, 0, 1, 0, 0, 0, 0, 0, 0, 0, 0, 0, 0, 0, 0, 1</t>
  </si>
  <si>
    <t>24 hour plumber denver</t>
  </si>
  <si>
    <t>2, 0, 0, 1, 0, 0, 2, 1, 1, 2, 2, 1, 2, 0, 0, 0, 0, 0, 0, 0, 0, 0, 0, 1</t>
  </si>
  <si>
    <t>hastings emergency plumber</t>
  </si>
  <si>
    <t>emergency plumber camillus ny</t>
  </si>
  <si>
    <t>emergency plumber hacienda heights</t>
  </si>
  <si>
    <t>0, 0, 1, 2, 1, 1, 0, 0, 0, 0, 0, 0, 0, 0, 0, 0, 0, 0, 0, 0, 0, 0, 0, 1</t>
  </si>
  <si>
    <t>emergency plumber baulkham hills</t>
  </si>
  <si>
    <t>0, 0, 0, 0, 1, 1, 1, 0, 0, 2, 0, 0, 0, 0, 0, 0, 0, 0, 0, 0, 0, 0, 0, 1</t>
  </si>
  <si>
    <t>emergency plumber wodonga</t>
  </si>
  <si>
    <t>0, 0, 0, 0, 0, 1, 0, 1, 3, 1, 1, 0, 0, 0, 0, 0, 0, 0, 0, 0, 0, 0, 0, 1</t>
  </si>
  <si>
    <t>emergency plumber fishers</t>
  </si>
  <si>
    <t>emergency plumber glasgow west end</t>
  </si>
  <si>
    <t>water meter leak repair</t>
  </si>
  <si>
    <t>0, 0, 0, 0, 0, 0, 0, 0, 0, 0, 0, 0, 1, 1, 0, 0, 0, 1, 0, 2, 0, 0, 0, 1</t>
  </si>
  <si>
    <t>emergency plumber gray</t>
  </si>
  <si>
    <t>main line water leak repair</t>
  </si>
  <si>
    <t>0, 0, 0, 0, 0, 0, 0, 3, 0, 1, 0, 0, 0, 0, 0, 0, 0, 0, 0, 0, 0, 0, 0, 1</t>
  </si>
  <si>
    <t>local emergency plumber near joondalup dc</t>
  </si>
  <si>
    <t>emergency plumber edmonton</t>
  </si>
  <si>
    <t>0, 1, 1, 1, 2, 0, 1, 0, 2, 2, 1, 1, 0, 0, 0, 2, 0, 0, 0, 0, 0, 0, 1, 1</t>
  </si>
  <si>
    <t>emergency plumber service wynnum west</t>
  </si>
  <si>
    <t>emergency plumber ringwood</t>
  </si>
  <si>
    <t>0, 0, 0, 2, 5, 0, 2, 3, 2, 3, 7, 0, 0, 0, 0, 0, 0, 0, 0, 0, 0, 0, 1, 1</t>
  </si>
  <si>
    <t>midvale utah 24 hour plumber</t>
  </si>
  <si>
    <t>north las vegas emergency plumber</t>
  </si>
  <si>
    <t>emergency plumber walkervale</t>
  </si>
  <si>
    <t>0, 0, 0, 0, 0, 0, 1, 2, 2, 3, 2, 0, 0, 0, 0, 0, 0, 0, 0, 0, 0, 0, 0, 1</t>
  </si>
  <si>
    <t>emergency plumber southside</t>
  </si>
  <si>
    <t>0, 0, 0, 0, 0, 0, 0, 2, 1, 1, 0, 0, 0, 0, 0, 0, 0, 0, 0, 0, 0, 0, 0, 1</t>
  </si>
  <si>
    <t>haslet tx emergency plumber</t>
  </si>
  <si>
    <t>fast emergency plumber lorton va</t>
  </si>
  <si>
    <t>0, 0, 0, 0, 0, 2, 0, 0, 1, 0, 0, 0, 0, 0, 0, 0, 0, 0, 0, 0, 0, 0, 0, 1</t>
  </si>
  <si>
    <t>emergency plumber beeston</t>
  </si>
  <si>
    <t>0, 0, 1, 0, 0, 1, 0, 0, 0, 0, 2, 2, 0, 0, 0, 0, 0, 0, 0, 0, 0, 0, 0, 1</t>
  </si>
  <si>
    <t>provo utah emergency plumber</t>
  </si>
  <si>
    <t>roof leak water damage repair</t>
  </si>
  <si>
    <t>0, 0, 0, 0, 2, 1, 0, 0, 2, 0, 2, 1, 0, 0, 0, 0, 0, 0, 0, 0, 0, 0, 0, 1</t>
  </si>
  <si>
    <t>emergency plumber summerlin nv</t>
  </si>
  <si>
    <t>emergency plumber dublin 24</t>
  </si>
  <si>
    <t>emergency plumber urmston</t>
  </si>
  <si>
    <t>emergency plumber greenwood</t>
  </si>
  <si>
    <t>0, 0, 0, 2, 0, 0, 0, 1, 0, 0, 1, 0, 0, 0, 0, 0, 0, 0, 0, 0, 0, 0, 0, 1</t>
  </si>
  <si>
    <t>emergency plumber sydney inner suburbs</t>
  </si>
  <si>
    <t>emergency plumber near me cheap miami</t>
  </si>
  <si>
    <t>0, 0, 0, 0, 0, 0, 0, 0, 1, 2, 2, 0, 0, 0, 0, 0, 0, 0, 0, 0, 0, 0, 0, 1</t>
  </si>
  <si>
    <t>emergency plumber bucks county</t>
  </si>
  <si>
    <t>west valley city utah emergency plumber</t>
  </si>
  <si>
    <t>emergency plumber pomona</t>
  </si>
  <si>
    <t>0, 1, 0, 0, 0, 0, 0, 1, 1, 1, 2, 0, 0, 0, 0, 0, 0, 0, 0, 0, 0, 0, 0, 1</t>
  </si>
  <si>
    <t>emergency plumber richmond</t>
  </si>
  <si>
    <t>2, 0, 1, 3, 8, 3, 3, 5, 6, 2, 6, 1, 1, 0, 0, 0, 0, 0, 0, 0, 0, 0, 0, 1</t>
  </si>
  <si>
    <t>underground water pipe leak repair cost uk</t>
  </si>
  <si>
    <t>24 hour plumber mt pleasant</t>
  </si>
  <si>
    <t>emergency plumber ilford</t>
  </si>
  <si>
    <t>0, 0, 1, 0, 0, 0, 0, 0, 0, 0, 0, 2, 0, 0, 1, 1, 0, 1, 0, 1, 1, 1, 1, 1</t>
  </si>
  <si>
    <t>24 hour plumber mebane nc</t>
  </si>
  <si>
    <t>emergency plumber pukekohe</t>
  </si>
  <si>
    <t>0, 0, 1, 0, 0, 2, 1, 0, 0, 0, 0, 0, 0, 0, 0, 0, 0, 0, 0, 0, 0, 0, 0, 1</t>
  </si>
  <si>
    <t>emergency plumber penzance</t>
  </si>
  <si>
    <t>0, 0, 0, 0, 0, 0, 0, 3, 0, 0, 0, 0, 0, 0, 0, 0, 0, 0, 0, 0, 0, 0, 0, 1</t>
  </si>
  <si>
    <t>emergency plumber ashburn</t>
  </si>
  <si>
    <t>emergency plumber alton</t>
  </si>
  <si>
    <t>0, 0, 0, 0, 1, 1, 1, 0, 0, 0, 0, 1, 0, 0, 0, 0, 0, 0, 0, 0, 0, 0, 0, 1</t>
  </si>
  <si>
    <t>24 hour plumber austin</t>
  </si>
  <si>
    <t>0, 0, 0, 3, 0, 1, 1, 1, 1, 1, 0, 0, 1, 1, 0, 0, 0, 1, 0, 0, 1, 0, 0, 1</t>
  </si>
  <si>
    <t>basement water leak repair crabapple ga</t>
  </si>
  <si>
    <t>emergency plumber rancho santa margarita</t>
  </si>
  <si>
    <t>0, 0, 0, 0, 1, 0, 1, 0, 1, 0, 4, 0, 0, 0, 0, 0, 0, 0, 0, 0, 0, 0, 0, 1</t>
  </si>
  <si>
    <t>emergency plumber haleiwa</t>
  </si>
  <si>
    <t>0, 0, 0, 1, 0, 0, 0, 0, 0, 0, 0, 1, 0, 0, 0, 0, 0, 0, 0, 0, 0, 0, 0, 1</t>
  </si>
  <si>
    <t>emergency plumber duluth</t>
  </si>
  <si>
    <t>1, 0, 1, 0, 0, 1, 1, 0, 0, 1, 0, 0, 0, 0, 0, 0, 0, 0, 0, 0, 0, 0, 0, 1</t>
  </si>
  <si>
    <t>water leak repair muskego</t>
  </si>
  <si>
    <t>emergency plumber ironbark</t>
  </si>
  <si>
    <t>emergency plumber dc</t>
  </si>
  <si>
    <t>0, 0, 1, 0, 0, 0, 0, 0, 1, 0, 0, 2, 0, 0, 0, 0, 0, 0, 0, 0, 0, 0, 0, 1</t>
  </si>
  <si>
    <t>emergency plumber edenbridge</t>
  </si>
  <si>
    <t>0, 0, 0, 0, 0, 0, 1, 0, 1, 1, 1, 0, 0, 0, 0, 0, 0, 0, 0, 0, 0, 0, 0, 1</t>
  </si>
  <si>
    <t>water leak damage repair farmington</t>
  </si>
  <si>
    <t>burst pipe repair sahuarita</t>
  </si>
  <si>
    <t>water leak repair fort mill</t>
  </si>
  <si>
    <t>24 hour plumber plaistow nh</t>
  </si>
  <si>
    <t>0, 0, 1, 0, 0, 0, 0, 0, 0, 1, 0, 0, 0, 0, 0, 0, 0, 0, 0, 0, 0, 0, 0, 1</t>
  </si>
  <si>
    <t>spring tx emergency plumber</t>
  </si>
  <si>
    <t>0, 0, 1, 1, 1, 0, 0, 0, 0, 3, 1, 0, 0, 0, 0, 0, 0, 0, 0, 0, 0, 0, 0, 1</t>
  </si>
  <si>
    <t>emergency plumber daisy hill</t>
  </si>
  <si>
    <t>0, 2, 0, 0, 0, 1, 0, 0, 0, 0, 1, 0, 0, 0, 0, 0, 0, 0, 0, 0, 0, 0, 0, 1</t>
  </si>
  <si>
    <t>emergency plumber glenlee</t>
  </si>
  <si>
    <t>0, 0, 0, 0, 1, 2, 0, 0, 0, 2, 0, 0, 0, 0, 0, 0, 0, 0, 0, 0, 0, 0, 0, 1</t>
  </si>
  <si>
    <t>emergency plumber highbury</t>
  </si>
  <si>
    <t>0, 0, 0, 1, 1, 0, 0, 0, 1, 1, 0, 0, 1, 0, 0, 0, 0, 0, 0, 0, 0, 0, 0, 1</t>
  </si>
  <si>
    <t>emergency plumber prospect</t>
  </si>
  <si>
    <t>0, 0, 0, 1, 0, 0, 1, 0, 1, 1, 0, 0, 0, 0, 0, 0, 0, 0, 0, 0, 0, 0, 0, 1</t>
  </si>
  <si>
    <t>emergency plumber in seattle</t>
  </si>
  <si>
    <t>0, 0, 0, 0, 0, 0, 0, 1, 1, 1, 0, 0, 0, 0, 0, 0, 0, 0, 0, 0, 0, 0, 0, 1</t>
  </si>
  <si>
    <t>emergency plumber thousand oaks ca</t>
  </si>
  <si>
    <t>car water leak repair near me</t>
  </si>
  <si>
    <t>1, 0, 0, 1, 4, 0, 3, 3, 2, 3, 1, 0, 2, 1, 0, 6, 0, 2, 2, 0, 1, 0, 0, 2</t>
  </si>
  <si>
    <t>24 hour water leak repair</t>
  </si>
  <si>
    <t>4, 2, 1, 0, 1, 8, 2, 2, 2, 3, 0, 1, 0, 2, 0, 0, 0, 0, 0, 0, 1, 0, 1, 2</t>
  </si>
  <si>
    <t>emergency plumber birkenhead</t>
  </si>
  <si>
    <t>0, 0, 0, 0, 0, 0, 0, 0, 2, 0, 0, 3, 0, 0, 0, 0, 0, 0, 0, 0, 0, 0, 0, 1</t>
  </si>
  <si>
    <t>emergency plumber earlville, il</t>
  </si>
  <si>
    <t>emergency plumber sandy springs</t>
  </si>
  <si>
    <t>0, 0, 0, 0, 1, 0, 0, 0, 1, 0, 0, 1, 0, 0, 0, 0, 0, 0, 0, 0, 0, 0, 0, 1</t>
  </si>
  <si>
    <t>emergency plumber uk</t>
  </si>
  <si>
    <t>0, 0, 0, 0, 0, 0, 3, 0, 0, 0, 0, 0, 2, 0, 0, 0, 0, 0, 0, 0, 0, 0, 0, 1</t>
  </si>
  <si>
    <t>emergency plumber beaumont</t>
  </si>
  <si>
    <t>0, 0, 0, 0, 0, 0, 0, 0, 0, 1, 2, 0, 0, 0, 0, 0, 0, 0, 0, 0, 0, 0, 0, 1</t>
  </si>
  <si>
    <t>emergency plumber troutdale</t>
  </si>
  <si>
    <t>water leak repair polk county ia</t>
  </si>
  <si>
    <t>24 hour plumber west milford</t>
  </si>
  <si>
    <t>0, 0, 0, 0, 0, 0, 1, 0, 1, 0, 0, 1, 0, 0, 0, 0, 0, 0, 0, 0, 0, 0, 0, 1</t>
  </si>
  <si>
    <t>emergency plumber haringey</t>
  </si>
  <si>
    <t>0, 0, 0, 0, 0, 1, 0, 0, 0, 0, 1, 0, 0, 0, 0, 0, 0, 0, 0, 0, 0, 0, 0, 1</t>
  </si>
  <si>
    <t>emergency plumber novi mi</t>
  </si>
  <si>
    <t>emergency plumber beaverton or</t>
  </si>
  <si>
    <t>taylorsville utah emergency plumber</t>
  </si>
  <si>
    <t>delta 24 hour plumber</t>
  </si>
  <si>
    <t>emergency plumber islington</t>
  </si>
  <si>
    <t>2, 0, 0, 1, 0, 3, 0, 1, 0, 2, 0, 2, 0, 0, 0, 0, 0, 0, 0, 0, 0, 0, 0, 1</t>
  </si>
  <si>
    <t>jacksonville fl emergency plumber</t>
  </si>
  <si>
    <t>1, 0, 0, 0, 0, 0, 1, 0, 1, 1, 7, 3, 0, 0, 0, 0, 0, 0, 0, 0, 0, 0, 0, 1</t>
  </si>
  <si>
    <t>24 hour plumber bowling green ky</t>
  </si>
  <si>
    <t>emergency plumber buckhead</t>
  </si>
  <si>
    <t>24 hour plumber elk river</t>
  </si>
  <si>
    <t>deerfield beach fl emergency plumber</t>
  </si>
  <si>
    <t>24 hour emergency plumber in st albans</t>
  </si>
  <si>
    <t>0, 0, 0, 0, 1, 0, 1, 1, 0, 0, 0, 0, 0, 0, 0, 0, 0, 0, 0, 0, 0, 0, 0, 1</t>
  </si>
  <si>
    <t>emergency plumber billericay</t>
  </si>
  <si>
    <t>24 hour plumber oak lawn il</t>
  </si>
  <si>
    <t>water leak repair knoxville</t>
  </si>
  <si>
    <t>0, 0, 0, 0, 2, 0, 1, 0, 0, 0, 0, 0, 0, 0, 0, 0, 0, 0, 0, 0, 0, 0, 0, 1</t>
  </si>
  <si>
    <t>emergency plumber tinbeerwah</t>
  </si>
  <si>
    <t>0, 0, 0, 0, 1, 0, 0, 0, 1, 0, 0, 2, 0, 0, 0, 0, 0, 0, 0, 0, 0, 0, 0, 1</t>
  </si>
  <si>
    <t>emergency plumber woodlands</t>
  </si>
  <si>
    <t>emergency plumber round rock</t>
  </si>
  <si>
    <t>0, 0, 2, 0, 0, 0, 0, 0, 1, 0, 1, 1, 0, 1, 0, 0, 1, 0, 0, 0, 0, 0, 0, 1</t>
  </si>
  <si>
    <t>leaking tap repair des moines</t>
  </si>
  <si>
    <t>emergency plumber santa cruz</t>
  </si>
  <si>
    <t>0, 0, 0, 1, 0, 3, 0, 0, 1, 2, 1, 1, 0, 0, 0, 0, 0, 0, 0, 0, 0, 0, 0, 1</t>
  </si>
  <si>
    <t>emergency plumber portland or</t>
  </si>
  <si>
    <t>aliso viejo emergency plumber</t>
  </si>
  <si>
    <t>emergency plumber lake macquarie</t>
  </si>
  <si>
    <t>0, 0, 1, 0, 1, 3, 2, 1, 0, 0, 0, 0, 0, 0, 0, 0, 0, 0, 0, 0, 0, 0, 0, 1</t>
  </si>
  <si>
    <t>tyler emergency plumber</t>
  </si>
  <si>
    <t>0, 0, 0, 0, 0, 0, 0, 0, 0, 1, 1, 0, 0, 0, 0, 0, 0, 0, 0, 0, 0, 0, 1, 1</t>
  </si>
  <si>
    <t>24 hour plumber las vegas nv</t>
  </si>
  <si>
    <t>0, 0, 0, 0, 0, 0, 1, 0, 0, 1, 1, 0, 0, 0, 0, 0, 0, 0, 0, 0, 0, 0, 0, 1</t>
  </si>
  <si>
    <t>nj emergency plumber</t>
  </si>
  <si>
    <t>4, 0, 0, 0, 0, 0, 3, 3, 0, 1, 1, 0, 0, 0, 0, 0, 0, 0, 0, 0, 0, 0, 0, 1</t>
  </si>
  <si>
    <t>emergency plumber the ponds</t>
  </si>
  <si>
    <t>0, 0, 0, 0, 1, 4, 0, 1, 3, 1, 1, 0, 0, 0, 0, 0, 0, 0, 0, 0, 0, 0, 0, 1</t>
  </si>
  <si>
    <t>emergency plumber bridgewater nj</t>
  </si>
  <si>
    <t>lake worth emergency plumber</t>
  </si>
  <si>
    <t>central coast emergency plumber</t>
  </si>
  <si>
    <t>0, 1, 1, 0, 0, 4, 1, 2, 0, 1, 1, 1, 0, 0, 0, 0, 0, 0, 0, 0, 0, 0, 0, 1</t>
  </si>
  <si>
    <t>24 hour plumber sea point</t>
  </si>
  <si>
    <t>24 hour plumber townsville</t>
  </si>
  <si>
    <t>0, 0, 0, 2, 1, 3, 0, 0, 0, 0, 0, 6, 0, 0, 0, 0, 0, 0, 0, 0, 0, 0, 0, 1</t>
  </si>
  <si>
    <t>emergency plumber west milford nj</t>
  </si>
  <si>
    <t>emergency plumber waipahu</t>
  </si>
  <si>
    <t>1, 0, 0, 1, 1, 0, 0, 0, 0, 0, 0, 0, 0, 0, 0, 0, 0, 0, 0, 0, 0, 0, 0, 1</t>
  </si>
  <si>
    <t>24 hour plumber in chicago</t>
  </si>
  <si>
    <t>0, 0, 0, 0, 0, 0, 0, 0, 0, 0, 0, 0, 0, 0, 0, 0, 0, 0, 0, 0, 1, 0, 2, 2</t>
  </si>
  <si>
    <t>emergency plumber cambridge ma</t>
  </si>
  <si>
    <t>emergency plumber service pallara</t>
  </si>
  <si>
    <t>vancouver island emergency plumber</t>
  </si>
  <si>
    <t>emergency plumber harrisburg pa</t>
  </si>
  <si>
    <t>1, 0, 0, 0, 0, 1, 2, 0, 0, 1, 1, 3, 0, 0, 0, 0, 0, 1, 0, 0, 0, 0, 0, 1</t>
  </si>
  <si>
    <t>emergency plumber hammersmith</t>
  </si>
  <si>
    <t>0, 0, 1, 0, 1, 2, 0, 1, 1, 1, 1, 0, 0, 0, 0, 0, 0, 0, 0, 0, 0, 0, 0, 1</t>
  </si>
  <si>
    <t>summerton sc emergency plumber</t>
  </si>
  <si>
    <t>house water leak repair</t>
  </si>
  <si>
    <t>0, 0, 0, 0, 0, 0, 0, 0, 1, 0, 0, 2, 1, 0, 0, 0, 1, 0, 0, 0, 0, 0, 1, 1</t>
  </si>
  <si>
    <t>emergency plumber berkshire</t>
  </si>
  <si>
    <t>0, 0, 0, 0, 0, 1, 1, 0, 0, 0, 0, 1, 0, 0, 0, 0, 0, 0, 0, 0, 0, 0, 0, 1</t>
  </si>
  <si>
    <t>emergency gas plumber merrimack</t>
  </si>
  <si>
    <t>0, 0, 0, 0, 0, 1, 1, 0, 0, 1, 0, 0, 0, 0, 0, 0, 0, 0, 0, 0, 0, 0, 0, 1</t>
  </si>
  <si>
    <t>water leak repair cumberland</t>
  </si>
  <si>
    <t>1, 0, 0, 0, 2, 0, 0, 0, 0, 0, 2, 0, 0, 0, 0, 0, 0, 0, 0, 0, 0, 0, 0, 1</t>
  </si>
  <si>
    <t>+burst +pipe +repair</t>
  </si>
  <si>
    <t>pipe burst repair near me</t>
  </si>
  <si>
    <t>0, 0, 1, 1, 0, 0, 1, 1, 0, 0, 1, 0, 0, 0, 0, 0, 0, 1, 1, 0, 0, 1, 0, 2</t>
  </si>
  <si>
    <t>emergency plumber oro valley</t>
  </si>
  <si>
    <t>emergency plumber garner nc</t>
  </si>
  <si>
    <t>1, 1, 0, 0, 1, 2, 1, 3, 0, 0, 0, 0, 0, 0, 0, 0, 0, 0, 0, 0, 0, 0, 0, 1</t>
  </si>
  <si>
    <t>under slab water leak repair</t>
  </si>
  <si>
    <t>0, 0, 0, 0, 1, 0, 0, 0, 0, 0, 0, 1, 0, 0, 2, 0, 0, 5, 0, 0, 0, 0, 0, 1</t>
  </si>
  <si>
    <t>local emergency plumber kemps creek</t>
  </si>
  <si>
    <t>0, 0, 0, 0, 0, 1, 1, 1, 1, 3, 0, 0, 0, 0, 0, 0, 0, 0, 0, 0, 0, 0, 0, 1</t>
  </si>
  <si>
    <t>aircon water leak repair</t>
  </si>
  <si>
    <t>1, 0, 0, 0, 0, 0, 0, 0, 0, 0, 0, 1, 0, 0, 0, 0, 0, 0, 0, 0, 0, 0, 0, 1</t>
  </si>
  <si>
    <t>emergency plumber caboolture</t>
  </si>
  <si>
    <t>24 hour plumber tyler tx</t>
  </si>
  <si>
    <t>1, 1, 3, 0, 1, 0, 5, 0, 0, 0, 0, 1, 0, 0, 0, 0, 0, 0, 0, 0, 0, 0, 0, 1</t>
  </si>
  <si>
    <t>emergency plumber pitsea</t>
  </si>
  <si>
    <t>chino valley emergency plumber</t>
  </si>
  <si>
    <t>1, 1, 0, 0, 0, 0, 0, 0, 2, 2, 2, 0, 0, 0, 0, 0, 0, 0, 0, 0, 0, 0, 0, 1</t>
  </si>
  <si>
    <t>buckeye burst pipe repair</t>
  </si>
  <si>
    <t>big rock, il emergency plumber</t>
  </si>
  <si>
    <t>emergency plumber pittsburgh pa</t>
  </si>
  <si>
    <t>richmond emergency plumber</t>
  </si>
  <si>
    <t>0, 1, 0, 1, 1, 1, 0, 2, 0, 1, 1, 0, 0, 0, 0, 0, 1, 0, 0, 0, 0, 0, 0, 1</t>
  </si>
  <si>
    <t>emergency plumber in orland park</t>
  </si>
  <si>
    <t>emergency plumber whiteley</t>
  </si>
  <si>
    <t>emergency plumber annandale</t>
  </si>
  <si>
    <t>0, 0, 0, 0, 0, 0, 0, 0, 0, 0, 0, 0, 0, 0, 0, 0, 0, 0, 2, 0, 0, 0, 0, 1</t>
  </si>
  <si>
    <t>emergency plumber fort myers</t>
  </si>
  <si>
    <t>0, 1, 3, 2, 1, 1, 0, 0, 1, 1, 3, 1, 1, 0, 0, 0, 0, 0, 0, 0, 0, 0, 0, 1</t>
  </si>
  <si>
    <t>emergency plumber marietta ga</t>
  </si>
  <si>
    <t>0, 3, 0, 0, 0, 1, 0, 2, 3, 4, 1, 0, 0, 0, 0, 0, 0, 0, 0, 1, 0, 1, 0, 1</t>
  </si>
  <si>
    <t>repair leaking kitchen mixer tap</t>
  </si>
  <si>
    <t>0, 0, 0, 0, 0, 0, 0, 0, 0, 0, 0, 0, 0, 0, 0, 0, 0, 0, 1, 0, 0, 0, 0, 1</t>
  </si>
  <si>
    <t>emergency plumber surrey</t>
  </si>
  <si>
    <t>2, 1, 2, 2, 1, 0, 0, 0, 1, 3, 1, 1, 0, 0, 0, 0, 0, 0, 0, 0, 0, 0, 0, 1</t>
  </si>
  <si>
    <t>plumber london emergency</t>
  </si>
  <si>
    <t>0, 1, 0, 1, 2, 2, 0, 0, 0, 1, 0, 0, 0, 0, 0, 0, 0, 0, 0, 0, 0, 0, 0, 1</t>
  </si>
  <si>
    <t>burst pipe repair miami</t>
  </si>
  <si>
    <t>emergency plumber city beach</t>
  </si>
  <si>
    <t>emergency plumber san angelo</t>
  </si>
  <si>
    <t>0, 0, 0, 0, 0, 0, 0, 1, 2, 0, 1, 0, 0, 0, 0, 0, 0, 0, 0, 0, 0, 0, 0, 1</t>
  </si>
  <si>
    <t>emergency plumber dublin 11</t>
  </si>
  <si>
    <t>1, 0, 0, 0, 1, 0, 0, 0, 0, 0, 1, 2, 0, 0, 0, 0, 0, 0, 0, 0, 0, 0, 0, 1</t>
  </si>
  <si>
    <t>edmond emergency plumber</t>
  </si>
  <si>
    <t>0, 0, 0, 0, 0, 0, 0, 0, 0, 0, 0, 5, 0, 0, 0, 0, 0, 1, 0, 0, 0, 0, 0, 1</t>
  </si>
  <si>
    <t>emergency plumber hesperia ca</t>
  </si>
  <si>
    <t>emergency plumber llandudno</t>
  </si>
  <si>
    <t>0, 1, 0, 1, 0, 0, 0, 0, 0, 0, 0, 0, 0, 0, 0, 0, 0, 1, 0, 0, 0, 0, 0, 1</t>
  </si>
  <si>
    <t>coachella valley emergency plumber</t>
  </si>
  <si>
    <t>emergency plumber eastern creek</t>
  </si>
  <si>
    <t>emergency plumber wilmslow</t>
  </si>
  <si>
    <t>emergency plumber london prices or cost</t>
  </si>
  <si>
    <t>24 hour plumber winnipeg</t>
  </si>
  <si>
    <t>emergency plumber lawrence weston</t>
  </si>
  <si>
    <t>0, 0, 0, 0, 0, 0, 0, 2, 0, 0, 0, 0, 0, 0, 0, 0, 0, 0, 0, 0, 0, 0, 0, 1</t>
  </si>
  <si>
    <t>repair leaking mixer tap</t>
  </si>
  <si>
    <t>1, 1, 0, 0, 1, 0, 0, 0, 2, 0, 0, 0, 0, 0, 0, 0, 0, 1, 0, 1, 0, 2, 0, 2</t>
  </si>
  <si>
    <t>emergency plumber burnaby</t>
  </si>
  <si>
    <t>0, 0, 0, 0, 1, 1, 1, 0, 0, 1, 1, 1, 0, 0, 0, 0, 0, 0, 0, 0, 0, 0, 0, 1</t>
  </si>
  <si>
    <t>emergency plumber south west london</t>
  </si>
  <si>
    <t>emergency plumber la grange</t>
  </si>
  <si>
    <t>0, 0, 0, 0, 0, 0, 0, 2, 0, 1, 1, 0, 0, 0, 0, 0, 0, 0, 0, 0, 0, 0, 0, 1</t>
  </si>
  <si>
    <t>emergency plumber anderson</t>
  </si>
  <si>
    <t>burst pipe repair riverside</t>
  </si>
  <si>
    <t>emergency plumber kalamunda</t>
  </si>
  <si>
    <t>0, 0, 0, 0, 0, 0, 0, 2, 0, 0, 4, 0, 0, 0, 0, 0, 0, 0, 0, 0, 0, 0, 0, 1</t>
  </si>
  <si>
    <t>emergency plumber essendon</t>
  </si>
  <si>
    <t>0, 0, 0, 0, 2, 1, 0, 0, 2, 3, 1, 0, 0, 0, 0, 0, 0, 0, 0, 0, 0, 0, 0, 1</t>
  </si>
  <si>
    <t>emergency plumber costa mesa</t>
  </si>
  <si>
    <t>0, 0, 0, 1, 0, 0, 1, 3, 1, 0, 0, 0, 0, 0, 0, 0, 0, 0, 0, 0, 0, 0, 0, 1</t>
  </si>
  <si>
    <t>emergency plumber in lake forest</t>
  </si>
  <si>
    <t>0, 0, 0, 0, 0, 0, 0, 0, 0, 0, 2, 0, 0, 1, 0, 0, 0, 0, 0, 0, 0, 0, 0, 1</t>
  </si>
  <si>
    <t>plastic water tank leak repair</t>
  </si>
  <si>
    <t>0, 0, 0, 0, 0, 1, 0, 4, 0, 0, 0, 0, 1, 0, 0, 0, 0, 0, 0, 0, 0, 0, 0, 1</t>
  </si>
  <si>
    <t>emergency plumber hillside</t>
  </si>
  <si>
    <t>0, 0, 0, 0, 0, 1, 1, 1, 1, 1, 3, 0, 0, 0, 0, 0, 0, 0, 0, 0, 0, 0, 0, 1</t>
  </si>
  <si>
    <t>emergency gas plumber london</t>
  </si>
  <si>
    <t>24 hour plumber in harrow</t>
  </si>
  <si>
    <t>cabot emergency plumber</t>
  </si>
  <si>
    <t>emergency plumber in hoffman estates</t>
  </si>
  <si>
    <t>brooklyn 24 hour plumber</t>
  </si>
  <si>
    <t>0, 0, 0, 0, 1, 0, 0, 0, 0, 1, 0, 1, 0, 0, 0, 0, 0, 0, 0, 0, 0, 0, 0, 1</t>
  </si>
  <si>
    <t>emergency plumber baldock</t>
  </si>
  <si>
    <t>emergency plumber near me evansville</t>
  </si>
  <si>
    <t>local emergency plumber</t>
  </si>
  <si>
    <t>4, 3, 9, 6, 11, 3, 5, 9, 10, 9, 14, 16, 1, 2, 0, 1, 0, 0, 2, 0, 0, 0, 1, 2</t>
  </si>
  <si>
    <t>emergency blocked toilet plumber</t>
  </si>
  <si>
    <t>emergency plumber service red hill</t>
  </si>
  <si>
    <t>emergency plumber carrboro</t>
  </si>
  <si>
    <t>emergency plumber near carol stream</t>
  </si>
  <si>
    <t>emergency plumber bli bli</t>
  </si>
  <si>
    <t>emergency plumber pointe-claire</t>
  </si>
  <si>
    <t>0, 0, 1, 3, 2, 5, 0, 0, 0, 1, 0, 1, 0, 0, 0, 0, 0, 0, 0, 0, 0, 0, 0, 1</t>
  </si>
  <si>
    <t>emergency plumber prescott</t>
  </si>
  <si>
    <t>0, 0, 5, 1, 3, 3, 0, 2, 0, 3, 4, 5, 0, 0, 0, 0, 0, 0, 0, 0, 0, 0, 0, 1</t>
  </si>
  <si>
    <t>emergency plumber dracut</t>
  </si>
  <si>
    <t>emergency plumber san gabriel valley ca</t>
  </si>
  <si>
    <t>emergency plumber prices</t>
  </si>
  <si>
    <t>0, 0, 0, 1, 2, 3, 0, 0, 1, 0, 0, 0, 0, 1, 0, 0, 1, 0, 0, 0, 0, 0, 0, 1</t>
  </si>
  <si>
    <t>franklin emergency plumber</t>
  </si>
  <si>
    <t>emergency plumber lake havasu az</t>
  </si>
  <si>
    <t>0, 1, 1, 1, 0, 0, 0, 0, 1, 0, 1, 0, 0, 0, 0, 0, 3, 0, 0, 0, 0, 0, 0, 1</t>
  </si>
  <si>
    <t>emergency plumber hebersham</t>
  </si>
  <si>
    <t>0, 0, 0, 0, 1, 2, 1, 2, 1, 1, 0, 0, 0, 1, 0, 0, 0, 0, 0, 0, 0, 0, 0, 1</t>
  </si>
  <si>
    <t>emergency plumber fleetwood</t>
  </si>
  <si>
    <t>0, 0, 0, 0, 0, 0, 2, 0, 2, 0, 1, 0, 0, 0, 0, 0, 0, 0, 0, 0, 0, 0, 0, 1</t>
  </si>
  <si>
    <t>mckinney emergency plumber</t>
  </si>
  <si>
    <t>1, 2, 0, 1, 0, 1, 0, 0, 0, 1, 3, 0, 0, 0, 0, 0, 1, 0, 0, 0, 0, 0, 0, 1</t>
  </si>
  <si>
    <t>emergency plumber irving tx</t>
  </si>
  <si>
    <t>0, 1, 0, 0, 0, 1, 0, 0, 0, 0, 1, 0, 0, 0, 0, 0, 0, 0, 0, 0, 0, 0, 0, 1</t>
  </si>
  <si>
    <t>24 hour plumber boston</t>
  </si>
  <si>
    <t>0, 0, 0, 0, 0, 0, 0, 0, 3, 2, 0, 0, 1, 0, 0, 0, 0, 0, 0, 0, 0, 0, 0, 1</t>
  </si>
  <si>
    <t>24 hour plumber kirkland</t>
  </si>
  <si>
    <t>emergency plumber wetherill park</t>
  </si>
  <si>
    <t>emergency plumber mt pleasant tn</t>
  </si>
  <si>
    <t>emergency plumber wpb</t>
  </si>
  <si>
    <t>emergency plumber reno nv</t>
  </si>
  <si>
    <t>emergency plumber belrose</t>
  </si>
  <si>
    <t>emergency plumber hoover al</t>
  </si>
  <si>
    <t>1, 0, 0, 0, 0, 1, 0, 0, 0, 2, 0, 0, 0, 0, 0, 0, 0, 0, 0, 0, 0, 0, 0, 1</t>
  </si>
  <si>
    <t>24 hour plumber elwood</t>
  </si>
  <si>
    <t>emergency plumber dundee</t>
  </si>
  <si>
    <t>0, 0, 0, 3, 0, 1, 1, 1, 1, 0, 1, 1, 0, 0, 0, 0, 0, 0, 0, 0, 0, 0, 0, 1</t>
  </si>
  <si>
    <t>big bear burst pipe repair</t>
  </si>
  <si>
    <t>emergency plumber handsworth</t>
  </si>
  <si>
    <t>emergency plumber service rochedale</t>
  </si>
  <si>
    <t>emergency plumber oakville</t>
  </si>
  <si>
    <t>1, 2, 1, 0, 0, 2, 0, 4, 3, 2, 1, 0, 0, 0, 0, 0, 0, 0, 0, 0, 0, 1, 0, 1</t>
  </si>
  <si>
    <t>emergency plumber bury</t>
  </si>
  <si>
    <t>emergency plumber southport</t>
  </si>
  <si>
    <t>fullerton water leak repair</t>
  </si>
  <si>
    <t>emergency plumber brooklyn</t>
  </si>
  <si>
    <t>1, 1, 1, 1, 2, 1, 0, 3, 0, 2, 3, 2, 1, 0, 0, 1, 0, 1, 0, 0, 0, 0, 0, 1</t>
  </si>
  <si>
    <t>emergency stormwater drain plumber</t>
  </si>
  <si>
    <t>emergency plumber in north york</t>
  </si>
  <si>
    <t>1, 0, 0, 0, 1, 2, 0, 1, 0, 2, 2, 0, 0, 0, 0, 0, 0, 0, 0, 0, 0, 0, 0, 1</t>
  </si>
  <si>
    <t>emergency plumber wollstonecraft</t>
  </si>
  <si>
    <t>emergency plumber dartmouth</t>
  </si>
  <si>
    <t>emergency plumber in garland</t>
  </si>
  <si>
    <t>0, 0, 0, 0, 0, 1, 0, 1, 1, 0, 0, 0, 0, 0, 0, 0, 0, 0, 0, 0, 0, 0, 0, 1</t>
  </si>
  <si>
    <t>emergency plumber dudley</t>
  </si>
  <si>
    <t>0, 1, 0, 0, 0, 0, 1, 0, 0, 0, 1, 0, 0, 0, 0, 0, 0, 0, 0, 0, 0, 0, 0, 1</t>
  </si>
  <si>
    <t>costa mesa emergency plumber</t>
  </si>
  <si>
    <t>grapevine tx emergency plumber</t>
  </si>
  <si>
    <t>emergency plumber kings lynn</t>
  </si>
  <si>
    <t>0, 0, 1, 1, 0, 0, 0, 1, 0, 0, 0, 0, 0, 0, 0, 0, 0, 0, 0, 0, 0, 0, 0, 1</t>
  </si>
  <si>
    <t>emergency plumber dublin 13</t>
  </si>
  <si>
    <t>0, 0, 0, 3, 0, 0, 0, 0, 0, 1, 1, 0, 0, 0, 0, 0, 0, 0, 0, 0, 0, 0, 0, 1</t>
  </si>
  <si>
    <t>emergency plumber melville</t>
  </si>
  <si>
    <t>0, 0, 1, 0, 0, 0, 4, 6, 1, 2, 1, 0, 0, 0, 0, 0, 0, 0, 0, 0, 0, 0, 0, 1</t>
  </si>
  <si>
    <t>emergency plumber wilmington de</t>
  </si>
  <si>
    <t>emergency plumber sparks nv</t>
  </si>
  <si>
    <t>24 hour emergency plumber costa mesa</t>
  </si>
  <si>
    <t>emergency plumber leesburg va</t>
  </si>
  <si>
    <t>0, 0, 0, 0, 0, 0, 1, 0, 0, 1, 0, 1, 1, 0, 0, 0, 0, 0, 0, 0, 0, 0, 0, 1</t>
  </si>
  <si>
    <t>emergency plumber west jordan</t>
  </si>
  <si>
    <t>emergency plumber mons</t>
  </si>
  <si>
    <t>0, 0, 1, 0, 0, 0, 1, 0, 0, 2, 1, 0, 0, 0, 0, 0, 0, 0, 0, 0, 0, 0, 0, 1</t>
  </si>
  <si>
    <t>emergency plumber bamber bridge</t>
  </si>
  <si>
    <t>emergency plumber thame</t>
  </si>
  <si>
    <t>emergency plumber kirkland</t>
  </si>
  <si>
    <t>0, 0, 1, 0, 0, 1, 0, 1, 2, 1, 2, 2, 0, 0, 0, 0, 0, 0, 0, 0, 0, 0, 1, 1</t>
  </si>
  <si>
    <t>emergency plumber venice fl</t>
  </si>
  <si>
    <t>emergency plumber toolooa</t>
  </si>
  <si>
    <t>0, 0, 0, 0, 1, 0, 0, 1, 0, 1, 1, 0, 0, 0, 0, 0, 0, 0, 0, 0, 0, 0, 0, 1</t>
  </si>
  <si>
    <t>emergency plumber corona</t>
  </si>
  <si>
    <t>0, 1, 0, 1, 0, 0, 0, 1, 0, 1, 2, 0, 0, 0, 0, 0, 0, 0, 0, 0, 0, 0, 0, 1</t>
  </si>
  <si>
    <t>24 hour plumber cheadle hulme</t>
  </si>
  <si>
    <t>1, 0, 0, 0, 0, 0, 0, 1, 1, 0, 1, 0, 0, 0, 0, 0, 0, 0, 0, 0, 0, 0, 0, 1</t>
  </si>
  <si>
    <t>emergency plumber bury st edmunds</t>
  </si>
  <si>
    <t>0, 0, 0, 0, 0, 0, 0, 0, 1, 0, 0, 0, 0, 0, 0, 2, 0, 0, 0, 0, 0, 0, 0, 1</t>
  </si>
  <si>
    <t>emergency plumber lexington ky</t>
  </si>
  <si>
    <t>0, 0, 0, 0, 0, 0, 0, 1, 2, 0, 0, 0, 0, 0, 0, 0, 0, 0, 0, 0, 0, 0, 0, 1</t>
  </si>
  <si>
    <t>24 hour plumber mesa az</t>
  </si>
  <si>
    <t>0, 0, 0, 0, 1, 2, 2, 0, 0, 0, 0, 1, 0, 0, 0, 0, 0, 0, 0, 0, 0, 0, 0, 1</t>
  </si>
  <si>
    <t>burst pvc pipe repair</t>
  </si>
  <si>
    <t>0, 0, 1, 1, 0, 2, 2, 0, 0, 0, 1, 0, 0, 0, 0, 0, 0, 0, 1, 0, 0, 0, 0, 1</t>
  </si>
  <si>
    <t>toms river emergency plumber</t>
  </si>
  <si>
    <t>emergency plumber melbourne cbd</t>
  </si>
  <si>
    <t>0, 0, 0, 0, 1, 1, 2, 3, 1, 3, 1, 1, 0, 0, 0, 0, 0, 0, 0, 0, 0, 0, 0, 1</t>
  </si>
  <si>
    <t>tooele utah emergency plumber</t>
  </si>
  <si>
    <t>ann arbor emergency plumber</t>
  </si>
  <si>
    <t>0, 0, 0, 0, 0, 0, 0, 0, 1, 0, 1, 0, 0, 0, 0, 0, 0, 0, 0, 0, 0, 0, 0, 1</t>
  </si>
  <si>
    <t>emergency plumber near lombard</t>
  </si>
  <si>
    <t>water leak repair rock hill</t>
  </si>
  <si>
    <t>0, 1, 0, 1, 2, 0, 0, 0, 0, 0, 0, 0, 0, 0, 0, 0, 0, 0, 0, 0, 0, 0, 0, 1</t>
  </si>
  <si>
    <t>outside water pipe leak repair</t>
  </si>
  <si>
    <t>0, 0, 0, 0, 0, 0, 0, 0, 0, 0, 0, 2, 0, 0, 0, 0, 0, 0, 0, 0, 0, 0, 0, 1</t>
  </si>
  <si>
    <t>emergency plumber thornton</t>
  </si>
  <si>
    <t>1, 0, 0, 0, 0, 0, 0, 0, 1, 1, 1, 0, 0, 0, 0, 0, 0, 0, 0, 0, 0, 0, 0, 1</t>
  </si>
  <si>
    <t>emergency plumber exeter</t>
  </si>
  <si>
    <t>0, 0, 0, 0, 0, 0, 1, 0, 3, 0, 2, 1, 0, 1, 0, 0, 0, 0, 0, 0, 0, 1, 0, 1</t>
  </si>
  <si>
    <t>emergency plumber powdersville</t>
  </si>
  <si>
    <t>emergency plumber garforth</t>
  </si>
  <si>
    <t>repair burst pipe</t>
  </si>
  <si>
    <t>0, 1, 1, 0, 1, 2, 2, 4, 3, 0, 0, 2, 5, 3, 8, 0, 0, 0, 0, 0, 1, 1, 0, 1</t>
  </si>
  <si>
    <t>24/7 emergency plumber buckhead</t>
  </si>
  <si>
    <t>1, 0, 0, 0, 0, 0, 0, 0, 1, 1, 0, 0, 0, 0, 0, 0, 0, 0, 0, 0, 0, 0, 0, 1</t>
  </si>
  <si>
    <t>emergency plumber carshalton</t>
  </si>
  <si>
    <t>emergency plumber sun city az</t>
  </si>
  <si>
    <t>0, 0, 0, 0, 0, 0, 1, 0, 0, 0, 1, 0, 0, 0, 0, 0, 0, 0, 0, 0, 0, 0, 0, 1</t>
  </si>
  <si>
    <t>emergency plumber in glendale los angeles</t>
  </si>
  <si>
    <t>emergency plumber riverside</t>
  </si>
  <si>
    <t>0, 0, 2, 0, 1, 2, 2, 3, 3, 1, 2, 2, 0, 0, 0, 0, 0, 0, 0, 0, 0, 0, 0, 1</t>
  </si>
  <si>
    <t>emergency plumber chiswick</t>
  </si>
  <si>
    <t>emergency plumber footscray</t>
  </si>
  <si>
    <t>0, 0, 0, 0, 0, 1, 1, 1, 0, 2, 3, 0, 0, 0, 0, 0, 0, 0, 0, 0, 0, 0, 0, 1</t>
  </si>
  <si>
    <t>emergency plumber service acacia ridge</t>
  </si>
  <si>
    <t>local emergency plumber near embleton</t>
  </si>
  <si>
    <t>emergency plumber barnet</t>
  </si>
  <si>
    <t>1, 1, 0, 0, 1, 0, 0, 0, 2, 0, 0, 0, 0, 0, 0, 0, 0, 0, 0, 0, 0, 0, 0, 1</t>
  </si>
  <si>
    <t>emergency plumber in north london</t>
  </si>
  <si>
    <t>emergency plumber coffs harbour</t>
  </si>
  <si>
    <t>0, 0, 0, 0, 0, 1, 0, 1, 0, 1, 0, 0, 0, 0, 0, 0, 0, 0, 0, 0, 0, 0, 0, 1</t>
  </si>
  <si>
    <t>emergency plumber number</t>
  </si>
  <si>
    <t>1, 0, 0, 0, 1, 2, 2, 0, 1, 0, 1, 0, 0, 0, 0, 1, 0, 0, 2, 0, 0, 0, 0, 1</t>
  </si>
  <si>
    <t>emergency plumber gloucester</t>
  </si>
  <si>
    <t>0, 0, 0, 1, 1, 0, 2, 0, 3, 1, 1, 4, 0, 0, 0, 0, 0, 0, 0, 0, 0, 0, 0, 1</t>
  </si>
  <si>
    <t>24 hour plumber point loma</t>
  </si>
  <si>
    <t>cost to repair underground water leak</t>
  </si>
  <si>
    <t>1, 0, 0, 0, 0, 0, 0, 0, 0, 0, 0, 0, 1, 1, 0, 0, 0, 0, 0, 2, 0, 0, 0, 1</t>
  </si>
  <si>
    <t>kaysville utah 24 hour plumber</t>
  </si>
  <si>
    <t>haslet slab water pipe leak repair in haslet tx</t>
  </si>
  <si>
    <t>emergency plumber fairfield</t>
  </si>
  <si>
    <t>0, 0, 0, 0, 0, 0, 1, 1, 0, 0, 0, 0, 0, 0, 0, 0, 0, 0, 1, 0, 0, 0, 0, 1</t>
  </si>
  <si>
    <t>emergency plumber st petersburg</t>
  </si>
  <si>
    <t>0, 1, 0, 0, 0, 0, 1, 0, 0, 0, 0, 0, 0, 0, 0, 0, 0, 0, 0, 0, 0, 0, 0, 1</t>
  </si>
  <si>
    <t>emergency plumber tacoma wa</t>
  </si>
  <si>
    <t>24 hour plumber curramore</t>
  </si>
  <si>
    <t>0, 0, 0, 1, 1, 0, 0, 1, 0, 1, 0, 0, 0, 0, 0, 0, 0, 0, 0, 0, 0, 0, 0, 1</t>
  </si>
  <si>
    <t>emergency plumber munster</t>
  </si>
  <si>
    <t>0, 0, 0, 0, 0, 0, 0, 0, 1, 3, 2, 0, 0, 0, 0, 0, 0, 0, 0, 0, 0, 0, 0, 1</t>
  </si>
  <si>
    <t>rancho santa margarita emergency plumber</t>
  </si>
  <si>
    <t>24 hour plumber reading</t>
  </si>
  <si>
    <t>24 hour plumber parrearra</t>
  </si>
  <si>
    <t>0, 0, 0, 0, 1, 1, 0, 1, 0, 0, 0, 1, 0, 0, 0, 0, 0, 0, 0, 0, 0, 0, 0, 1</t>
  </si>
  <si>
    <t>pismo emergency plumber</t>
  </si>
  <si>
    <t>0, 0, 0, 1, 0, 1, 1, 1, 2, 0, 1, 0, 0, 0, 1, 0, 0, 0, 0, 0, 0, 0, 0, 1</t>
  </si>
  <si>
    <t>emergency plumber nottingham</t>
  </si>
  <si>
    <t>0, 0, 2, 3, 2, 0, 1, 4, 1, 0, 1, 6, 0, 1, 0, 0, 0, 0, 0, 0, 0, 0, 0, 1</t>
  </si>
  <si>
    <t>emergency plumber near melrose park</t>
  </si>
  <si>
    <t>water leak car repair cost near me</t>
  </si>
  <si>
    <t>0, 0, 2, 0, 0, 0, 1, 0, 2, 0, 1, 0, 0, 0, 0, 1, 0, 0, 0, 0, 0, 0, 0, 1</t>
  </si>
  <si>
    <t>emergency plumber dollard-des ormeaux</t>
  </si>
  <si>
    <t>0, 0, 1, 1, 3, 0, 1, 1, 0, 1, 1, 3, 0, 0, 0, 0, 0, 0, 0, 0, 0, 0, 0, 1</t>
  </si>
  <si>
    <t>emergency plumber dewsbury</t>
  </si>
  <si>
    <t>0, 0, 0, 0, 0, 0, 0, 0, 2, 0, 2, 2, 0, 0, 0, 0, 0, 0, 0, 0, 0, 0, 0, 1</t>
  </si>
  <si>
    <t>emergency plumber landsborough</t>
  </si>
  <si>
    <t>logan utah emergency plumber</t>
  </si>
  <si>
    <t>ceiling water leak repair</t>
  </si>
  <si>
    <t>1, 1, 1, 0, 0, 1, 2, 0, 0, 0, 0, 3, 0, 0, 0, 0, 1, 0, 0, 2, 0, 0, 0, 1</t>
  </si>
  <si>
    <t>emergency plumber owasso ok</t>
  </si>
  <si>
    <t>0, 0, 0, 0, 1, 0, 0, 2, 1, 1, 0, 0, 0, 0, 0, 0, 0, 0, 0, 0, 0, 0, 0, 1</t>
  </si>
  <si>
    <t>emergency plumber venice ca</t>
  </si>
  <si>
    <t>emergency plumber south auckland</t>
  </si>
  <si>
    <t>emergency plumber lexington-fayette</t>
  </si>
  <si>
    <t>emergency plumber brighton mi</t>
  </si>
  <si>
    <t>emergency plumber brentwood</t>
  </si>
  <si>
    <t>1, 0, 0, 0, 0, 1, 0, 1, 3, 3, 1, 2, 0, 0, 0, 0, 0, 0, 0, 0, 0, 0, 0, 1</t>
  </si>
  <si>
    <t>24 hour plumber chicago</t>
  </si>
  <si>
    <t>0, 0, 0, 0, 4, 0, 1, 1, 2, 1, 4, 0, 0, 0, 0, 0, 0, 0, 0, 0, 0, 0, 0, 1</t>
  </si>
  <si>
    <t>emergency plumber catroville tx</t>
  </si>
  <si>
    <t>emergency plumber barrie</t>
  </si>
  <si>
    <t>emergency plumber glastonbury ct</t>
  </si>
  <si>
    <t>0, 0, 0, 1, 0, 0, 1, 0, 0, 1, 0, 0, 0, 0, 0, 0, 0, 0, 0, 0, 0, 0, 0, 1</t>
  </si>
  <si>
    <t>emergency plumber westminster</t>
  </si>
  <si>
    <t>0, 1, 1, 2, 3, 4, 2, 4, 2, 2, 8, 0, 0, 0, 0, 0, 0, 0, 0, 0, 0, 0, 0, 1</t>
  </si>
  <si>
    <t>emergency plumber culver city</t>
  </si>
  <si>
    <t>0, 0, 1, 0, 0, 0, 1, 0, 1, 1, 3, 0, 0, 0, 0, 0, 0, 0, 0, 0, 0, 0, 0, 1</t>
  </si>
  <si>
    <t>emergency plumber polk county</t>
  </si>
  <si>
    <t>lilydale emergency plumber</t>
  </si>
  <si>
    <t>emergency plumber vancouver wa</t>
  </si>
  <si>
    <t>1, 0, 1, 1, 0, 2, 1, 2, 1, 0, 0, 0, 0, 0, 0, 0, 0, 0, 1, 0, 0, 0, 1, 1</t>
  </si>
  <si>
    <t>24 hour plumber lake forest</t>
  </si>
  <si>
    <t>24 hour plumber in los angeles</t>
  </si>
  <si>
    <t>emergency plumber oak bay bc</t>
  </si>
  <si>
    <t>0, 0, 0, 0, 1, 2, 0, 0, 0, 0, 0, 0, 0, 0, 0, 0, 0, 0, 0, 0, 0, 0, 0, 1</t>
  </si>
  <si>
    <t>water leak repair sydney</t>
  </si>
  <si>
    <t>0, 1, 0, 0, 0, 0, 0, 0, 0, 0, 0, 0, 0, 0, 0, 0, 0, 0, 0, 0, 1, 0, 0, 1</t>
  </si>
  <si>
    <t>emergency plumber in dubai</t>
  </si>
  <si>
    <t>0, 0, 1, 1, 2, 0, 1, 0, 1, 1, 2, 0, 0, 0, 0, 0, 0, 0, 0, 0, 0, 0, 0, 1</t>
  </si>
  <si>
    <t>emergency plumber big rock</t>
  </si>
  <si>
    <t>emergency plumber newington</t>
  </si>
  <si>
    <t>0, 0, 0, 0, 1, 2, 0, 0, 1, 0, 0, 0, 0, 0, 0, 0, 0, 0, 0, 0, 0, 0, 0, 1</t>
  </si>
  <si>
    <t>emergency plumber near me northfield nj</t>
  </si>
  <si>
    <t>newark, il emergency plumber</t>
  </si>
  <si>
    <t>emergency plumber innes park</t>
  </si>
  <si>
    <t>0, 0, 0, 0, 0, 1, 1, 0, 2, 1, 0, 0, 0, 0, 0, 0, 0, 0, 0, 0, 0, 0, 0, 1</t>
  </si>
  <si>
    <t>local emergency plumber near joondalup</t>
  </si>
  <si>
    <t>boerne tx emergency plumber</t>
  </si>
  <si>
    <t>1, 0, 0, 0, 0, 1, 0, 0, 0, 3, 2, 0, 0, 0, 0, 0, 1, 0, 0, 0, 0, 0, 0, 1</t>
  </si>
  <si>
    <t>emergency plumber berkeley</t>
  </si>
  <si>
    <t>0, 0, 0, 0, 0, 1, 0, 1, 0, 0, 2, 0, 0, 0, 0, 0, 0, 0, 0, 0, 0, 0, 0, 1</t>
  </si>
  <si>
    <t>emergency plumber liverpool</t>
  </si>
  <si>
    <t>0, 1, 2, 2, 1, 2, 4, 4, 4, 1, 1, 0, 0, 1, 0, 0, 0, 0, 0, 0, 0, 0, 0, 1</t>
  </si>
  <si>
    <t>emergency plumber beacon hill</t>
  </si>
  <si>
    <t>24 hour plumber pomona</t>
  </si>
  <si>
    <t>local emergency plumber near willeton</t>
  </si>
  <si>
    <t>water hose leak repair</t>
  </si>
  <si>
    <t>0, 0, 0, 0, 0, 0, 0, 0, 0, 0, 0, 0, 0, 0, 0, 0, 0, 1, 2, 0, 0, 0, 0, 1</t>
  </si>
  <si>
    <t>emergency plumber hollywood hills</t>
  </si>
  <si>
    <t>waxahachie emergency plumber</t>
  </si>
  <si>
    <t>0, 0, 0, 0, 0, 0, 0, 0, 0, 0, 2, 4, 0, 0, 0, 0, 0, 0, 0, 0, 0, 0, 0, 1</t>
  </si>
  <si>
    <t>emergency plumber in sheffield</t>
  </si>
  <si>
    <t>0, 0, 0, 0, 0, 1, 0, 0, 1, 1, 0, 0, 0, 0, 0, 0, 0, 0, 0, 0, 1, 0, 0, 1</t>
  </si>
  <si>
    <t>emergency plumber celebration fl</t>
  </si>
  <si>
    <t>0, 0, 0, 0, 0, 0, 0, 0, 0, 1, 2, 1, 0, 0, 0, 0, 0, 0, 0, 0, 0, 0, 0, 1</t>
  </si>
  <si>
    <t>emergency plumber dublin 6w</t>
  </si>
  <si>
    <t>1, 0, 0, 0, 1, 0, 0, 0, 0, 1, 0, 0, 0, 0, 0, 0, 0, 0, 0, 0, 0, 0, 0, 1</t>
  </si>
  <si>
    <t>emergency plumber richardson tx</t>
  </si>
  <si>
    <t>2, 1, 2, 0, 0, 2, 0, 1, 1, 3, 3, 0, 0, 0, 0, 0, 0, 1, 0, 0, 1, 0, 0, 1</t>
  </si>
  <si>
    <t>mullins emergency plumber</t>
  </si>
  <si>
    <t>0, 0, 0, 0, 0, 0, 0, 0, 0, 6, 2, 0, 0, 0, 0, 0, 0, 0, 0, 0, 0, 0, 0, 1</t>
  </si>
  <si>
    <t>24 hour plumber wellington</t>
  </si>
  <si>
    <t>0, 1, 0, 0, 0, 0, 0, 2, 1, 0, 1, 0, 0, 0, 0, 0, 0, 0, 0, 0, 0, 0, 0, 1</t>
  </si>
  <si>
    <t>emergency plumber bloomington</t>
  </si>
  <si>
    <t>0, 0, 0, 0, 0, 0, 0, 0, 0, 0, 0, 0, 1, 0, 0, 0, 0, 0, 0, 0, 0, 3, 0, 2</t>
  </si>
  <si>
    <t>emergency plumber double oak</t>
  </si>
  <si>
    <t>0, 0, 0, 0, 0, 0, 2, 1, 0, 0, 1, 0, 0, 0, 0, 0, 0, 0, 0, 0, 0, 0, 0, 1</t>
  </si>
  <si>
    <t>emergency plumber perth amboy nj</t>
  </si>
  <si>
    <t>emergency plumber chattanooga</t>
  </si>
  <si>
    <t>emergency plumber tetbury</t>
  </si>
  <si>
    <t>emergency plumber port coquitlam</t>
  </si>
  <si>
    <t>emergency plumber barking &amp;ilford</t>
  </si>
  <si>
    <t>24 hour gas plumber near me</t>
  </si>
  <si>
    <t>anchorage emergency plumber</t>
  </si>
  <si>
    <t>0, 0, 1, 0, 0, 0, 1, 0, 0, 0, 0, 0, 0, 0, 0, 0, 0, 1, 0, 0, 0, 0, 0, 1</t>
  </si>
  <si>
    <t>plumber santa monica emergency</t>
  </si>
  <si>
    <t>0, 0, 0, 0, 1, 0, 1, 0, 0, 0, 0, 0, 0, 0, 0, 0, 0, 0, 0, 0, 0, 0, 0, 1</t>
  </si>
  <si>
    <t>emergency plumber service highgate hill</t>
  </si>
  <si>
    <t>water pump leak repair</t>
  </si>
  <si>
    <t>1, 0, 1, 3, 3, 1, 0, 2, 1, 2, 0, 1, 1, 0, 2, 0, 0, 1, 1, 2, 0, 1, 1, 1</t>
  </si>
  <si>
    <t>emergency plumber service yeronga</t>
  </si>
  <si>
    <t>emergency plumber courtland</t>
  </si>
  <si>
    <t>0, 0, 0, 0, 0, 0, 0, 0, 0, 1, 3, 0, 0, 0, 0, 0, 0, 0, 0, 0, 0, 0, 0, 1</t>
  </si>
  <si>
    <t>emergency plumber high point</t>
  </si>
  <si>
    <t>0, 0, 0, 1, 0, 0, 1, 1, 1, 0, 0, 0, 0, 0, 0, 0, 0, 0, 0, 0, 0, 0, 0, 1</t>
  </si>
  <si>
    <t>emergency plumber murfreesboro tn</t>
  </si>
  <si>
    <t>24 hour plumber chapel hill nc</t>
  </si>
  <si>
    <t>emergency plumber terrey hills</t>
  </si>
  <si>
    <t>1, 0, 0, 1, 1, 1, 0, 0, 1, 1, 1, 0, 1, 1, 1, 1, 0, 0, 0, 0, 0, 0, 0, 1</t>
  </si>
  <si>
    <t>24 hour plumber newport</t>
  </si>
  <si>
    <t>north augusta emergency plumber</t>
  </si>
  <si>
    <t>water leak repair greenville</t>
  </si>
  <si>
    <t>0, 0, 1, 0, 0, 0, 1, 0, 1, 1, 0, 0, 0, 0, 0, 0, 0, 0, 0, 0, 0, 0, 0, 1</t>
  </si>
  <si>
    <t>emergency plumber kingman az</t>
  </si>
  <si>
    <t>1, 0, 1, 0, 0, 0, 0, 0, 0, 1, 1, 0, 0, 0, 1, 0, 0, 0, 0, 0, 0, 1, 0, 1</t>
  </si>
  <si>
    <t>water leak repair north fort worth</t>
  </si>
  <si>
    <t>emergency plumber heathfield</t>
  </si>
  <si>
    <t>emergency plumber belfast</t>
  </si>
  <si>
    <t>1, 1, 0, 0, 0, 1, 0, 1, 2, 1, 1, 0, 1, 0, 0, 0, 0, 0, 0, 0, 0, 0, 0, 1</t>
  </si>
  <si>
    <t>wexford emergency plumber</t>
  </si>
  <si>
    <t>0, 0, 1, 0, 0, 0, 0, 1, 1, 1, 0, 0, 0, 0, 0, 0, 0, 0, 0, 0, 0, 0, 0, 1</t>
  </si>
  <si>
    <t>emergency plumber nokomis fl</t>
  </si>
  <si>
    <t>emergency plumber bendigo</t>
  </si>
  <si>
    <t>0, 0, 0, 0, 1, 1, 1, 0, 0, 1, 0, 0, 0, 0, 0, 0, 0, 0, 0, 0, 0, 0, 0, 1</t>
  </si>
  <si>
    <t>emergency plumber buena park</t>
  </si>
  <si>
    <t>0, 0, 1, 0, 0, 0, 0, 0, 3, 0, 2, 0, 0, 0, 0, 0, 0, 0, 0, 0, 0, 0, 0, 1</t>
  </si>
  <si>
    <t>emergency plumber bongaree</t>
  </si>
  <si>
    <t>emergency plumber rockhampton</t>
  </si>
  <si>
    <t>0, 0, 2, 2, 0, 2, 0, 1, 1, 0, 3, 0, 0, 0, 0, 0, 0, 0, 0, 0, 0, 0, 0, 1</t>
  </si>
  <si>
    <t>24 hr emergency plumber toronto</t>
  </si>
  <si>
    <t>0, 0, 0, 0, 0, 0, 0, 1, 0, 0, 0, 0, 0, 0, 0, 0, 1, 1, 0, 0, 0, 0, 0, 1</t>
  </si>
  <si>
    <t>24 hour plumber manhattan</t>
  </si>
  <si>
    <t>emergency plumber oxley</t>
  </si>
  <si>
    <t>emergency plumber kidderminster</t>
  </si>
  <si>
    <t>emergency plumber la habra</t>
  </si>
  <si>
    <t>0, 0, 0, 0, 0, 0, 0, 1, 1, 1, 1, 0, 0, 0, 0, 0, 0, 0, 0, 0, 0, 0, 0, 1</t>
  </si>
  <si>
    <t>emergency plumber foothill ranch</t>
  </si>
  <si>
    <t>0, 0, 0, 0, 0, 0, 0, 1, 2, 0, 0, 1, 0, 0, 0, 0, 0, 0, 0, 0, 0, 0, 0, 1</t>
  </si>
  <si>
    <t>emergency plumber granville</t>
  </si>
  <si>
    <t>0, 0, 0, 0, 0, 1, 2, 0, 1, 0, 1, 0, 0, 0, 0, 0, 0, 0, 0, 0, 0, 0, 0, 1</t>
  </si>
  <si>
    <t>tyler water leak repair</t>
  </si>
  <si>
    <t>emergency plumber luton</t>
  </si>
  <si>
    <t>0, 0, 0, 0, 1, 1, 0, 1, 4, 1, 3, 0, 0, 0, 0, 0, 0, 0, 0, 0, 1, 0, 0, 1</t>
  </si>
  <si>
    <t>emergency plumber hampton east</t>
  </si>
  <si>
    <t>emergency plumber kenmore</t>
  </si>
  <si>
    <t>emergency plumber rutherglen</t>
  </si>
  <si>
    <t>emergency blocked toilet plumber sydney</t>
  </si>
  <si>
    <t>emergency plumber maldon</t>
  </si>
  <si>
    <t>0, 0, 0, 0, 1, 0, 0, 0, 1, 0, 0, 0, 0, 0, 0, 0, 0, 0, 0, 0, 0, 0, 0, 1</t>
  </si>
  <si>
    <t>emergency plumber georgetown</t>
  </si>
  <si>
    <t>0, 1, 0, 0, 0, 0, 0, 0, 1, 7, 4, 0, 0, 0, 0, 0, 0, 0, 0, 0, 0, 0, 0, 1</t>
  </si>
  <si>
    <t>port coquitlam emergency plumber</t>
  </si>
  <si>
    <t>0, 0, 0, 1, 0, 1, 0, 0, 0, 0, 2, 0, 0, 0, 0, 0, 0, 0, 0, 0, 0, 0, 0, 1</t>
  </si>
  <si>
    <t>emergency plumber middlesex county</t>
  </si>
  <si>
    <t>0, 0, 1, 0, 1, 0, 1, 0, 0, 1, 0, 0, 0, 0, 0, 0, 0, 0, 0, 0, 0, 0, 0, 1</t>
  </si>
  <si>
    <t>emergency plumber.</t>
  </si>
  <si>
    <t>emergency plumber ultimo</t>
  </si>
  <si>
    <t>24 hour plumber mildura</t>
  </si>
  <si>
    <t>0, 0, 0, 1, 0, 0, 0, 1, 1, 0, 1, 0, 0, 0, 0, 0, 0, 0, 0, 0, 0, 0, 0, 1</t>
  </si>
  <si>
    <t>emergency plumber roseville</t>
  </si>
  <si>
    <t>24 hour plumber gold coast</t>
  </si>
  <si>
    <t>0, 0, 0, 0, 0, 0, 3, 2, 1, 1, 2, 0, 0, 0, 0, 0, 0, 0, 0, 0, 0, 0, 0, 1</t>
  </si>
  <si>
    <t>emergency plumber taylors sc</t>
  </si>
  <si>
    <t>emergency plumber widnes</t>
  </si>
  <si>
    <t>0, 0, 1, 1, 0, 0, 0, 0, 0, 0, 2, 0, 0, 0, 0, 0, 0, 0, 0, 0, 0, 0, 0, 1</t>
  </si>
  <si>
    <t>wirral 24 hour plumber</t>
  </si>
  <si>
    <t>emergency plumber castaways beach</t>
  </si>
  <si>
    <t>0, 0, 0, 1, 1, 0, 0, 0, 1, 1, 0, 0, 0, 0, 0, 0, 0, 0, 0, 0, 0, 0, 0, 1</t>
  </si>
  <si>
    <t>emergency plumber kilkenny</t>
  </si>
  <si>
    <t>emergency plumber service robertson</t>
  </si>
  <si>
    <t>emergency plumber sparks</t>
  </si>
  <si>
    <t>rowlett tx emergency plumber</t>
  </si>
  <si>
    <t>0, 0, 1, 0, 0, 0, 0, 0, 1, 8, 3, 0, 0, 0, 0, 0, 0, 0, 0, 0, 0, 0, 0, 1</t>
  </si>
  <si>
    <t>emergency plumber gastonia nc</t>
  </si>
  <si>
    <t>0, 0, 0, 0, 0, 1, 0, 1, 0, 0, 1, 0, 0, 0, 0, 0, 0, 0, 0, 0, 0, 0, 0, 1</t>
  </si>
  <si>
    <t>emergency commercial plumber</t>
  </si>
  <si>
    <t>5, 3, 2, 6, 6, 5, 2, 6, 10, 19, 5, 1, 0, 0, 0, 0, 0, 0, 0, 0, 1, 0, 0, 2</t>
  </si>
  <si>
    <t>water leak in car repair</t>
  </si>
  <si>
    <t>0, 0, 0, 0, 0, 1, 0, 1, 0, 0, 0, 1, 1, 0, 0, 0, 0, 0, 0, 0, 0, 0, 1, 1</t>
  </si>
  <si>
    <t>lakewood 24 hour plumber</t>
  </si>
  <si>
    <t>mechanicsburg emergency plumber</t>
  </si>
  <si>
    <t>water leak repair services</t>
  </si>
  <si>
    <t>1, 1, 2, 5, 6, 3, 4, 6, 4, 7, 5, 2, 2, 0, 1, 0, 0, 0, 2, 0, 0, 0, 1, 1</t>
  </si>
  <si>
    <t>emergency plumber rugby</t>
  </si>
  <si>
    <t>0, 0, 0, 1, 0, 0, 0, 1, 0, 1, 1, 0, 0, 0, 0, 0, 0, 0, 0, 0, 0, 0, 0, 1</t>
  </si>
  <si>
    <t>orlando 24 hour plumber</t>
  </si>
  <si>
    <t>greenwood emergency plumber</t>
  </si>
  <si>
    <t>burst &amp; leaking pipe repair service</t>
  </si>
  <si>
    <t>0, 0, 1, 0, 2, 0, 1, 2, 1, 0, 0, 0, 0, 0, 0, 0, 0, 0, 0, 0, 0, 0, 0, 1</t>
  </si>
  <si>
    <t>24 hour plumber richardson tx</t>
  </si>
  <si>
    <t>0, 0, 0, 0, 0, 1, 0, 2, 0, 0, 0, 0, 0, 0, 0, 0, 0, 0, 0, 0, 0, 0, 0, 1</t>
  </si>
  <si>
    <t>garland tx 24 hour plumber</t>
  </si>
  <si>
    <t>0, 1, 0, 0, 0, 1, 0, 0, 0, 1, 1, 1, 0, 0, 0, 0, 0, 0, 0, 0, 0, 0, 0, 1</t>
  </si>
  <si>
    <t>emergency plumber lynchburg va</t>
  </si>
  <si>
    <t>24 hour plumber dublin</t>
  </si>
  <si>
    <t>0, 1, 1, 1, 1, 1, 0, 0, 1, 0, 0, 0, 0, 0, 0, 0, 0, 0, 0, 0, 0, 0, 0, 1</t>
  </si>
  <si>
    <t>tucson emergency plumber</t>
  </si>
  <si>
    <t>0, 0, 0, 0, 0, 2, 0, 0, 0, 1, 2, 0, 0, 0, 0, 0, 0, 0, 0, 0, 0, 2, 0, 2</t>
  </si>
  <si>
    <t>emergency plumber alexandria</t>
  </si>
  <si>
    <t>0, 0, 0, 0, 1, 1, 0, 1, 0, 0, 0, 0, 0, 1, 0, 0, 0, 0, 0, 0, 0, 0, 0, 1</t>
  </si>
  <si>
    <t>st peters emergency plumber</t>
  </si>
  <si>
    <t>emergency plumber winnetka</t>
  </si>
  <si>
    <t>emergency plumber near lockport</t>
  </si>
  <si>
    <t>24 hour plumber mapleton</t>
  </si>
  <si>
    <t>0, 0, 0, 1, 0, 0, 0, 1, 0, 2, 0, 0, 0, 0, 0, 0, 0, 0, 0, 0, 0, 0, 0, 1</t>
  </si>
  <si>
    <t>emergency plumber kilburn</t>
  </si>
  <si>
    <t>emergency plumber eltham</t>
  </si>
  <si>
    <t>0, 0, 0, 0, 1, 1, 1, 1, 1, 0, 0, 4, 0, 0, 0, 0, 0, 0, 0, 0, 0, 0, 0, 1</t>
  </si>
  <si>
    <t>emergency plumber farnborough</t>
  </si>
  <si>
    <t>0, 0, 0, 1, 1, 0, 0, 1, 1, 0, 2, 1, 0, 0, 0, 0, 0, 0, 0, 0, 0, 0, 0, 1</t>
  </si>
  <si>
    <t>24 hour plumber lynnwood</t>
  </si>
  <si>
    <t>0, 0, 0, 0, 0, 0, 0, 0, 0, 0, 0, 0, 0, 0, 0, 0, 0, 2, 2, 0, 0, 0, 0, 1</t>
  </si>
  <si>
    <t>emergency plumber currimundi</t>
  </si>
  <si>
    <t>0, 0, 0, 0, 1, 0, 0, 1, 1, 0, 0, 0, 0, 0, 0, 0, 0, 0, 0, 0, 0, 0, 0, 1</t>
  </si>
  <si>
    <t>local emergency plumber near armadale</t>
  </si>
  <si>
    <t>emergency plumber hinchenbrooke</t>
  </si>
  <si>
    <t>emergency plumber berwick</t>
  </si>
  <si>
    <t>0, 0, 0, 0, 0, 0, 2, 0, 0, 0, 0, 0, 0, 0, 0, 1, 0, 0, 0, 0, 0, 0, 0, 1</t>
  </si>
  <si>
    <t>emergency plumber westmount</t>
  </si>
  <si>
    <t>emergency plumber halstead</t>
  </si>
  <si>
    <t>water leak repair maryland</t>
  </si>
  <si>
    <t>0, 0, 1, 0, 0, 0, 0, 1, 1, 0, 0, 0, 0, 0, 0, 0, 0, 0, 0, 0, 0, 0, 0, 1</t>
  </si>
  <si>
    <t>emergency plumber stourbridge</t>
  </si>
  <si>
    <t>emergency plumber hungerford</t>
  </si>
  <si>
    <t>0, 0, 0, 0, 0, 0, 2, 2, 0, 0, 2, 0, 0, 0, 0, 0, 0, 0, 0, 0, 0, 0, 0, 1</t>
  </si>
  <si>
    <t>emergency plumber seaford</t>
  </si>
  <si>
    <t>1, 0, 0, 1, 0, 1, 1, 2, 1, 0, 1, 0, 0, 0, 0, 0, 0, 0, 0, 0, 1, 0, 0, 1</t>
  </si>
  <si>
    <t>emergency plumber lincoln</t>
  </si>
  <si>
    <t>0, 0, 0, 0, 0, 2, 0, 2, 2, 3, 2, 0, 0, 0, 0, 0, 0, 0, 0, 1, 0, 0, 0, 1</t>
  </si>
  <si>
    <t>emergency plumber piedmont sc</t>
  </si>
  <si>
    <t>emergency plumber gainesville</t>
  </si>
  <si>
    <t>emergency plumber portland oregon</t>
  </si>
  <si>
    <t>0, 0, 0, 1, 0, 0, 0, 1, 0, 1, 0, 0, 0, 0, 0, 0, 0, 0, 0, 0, 0, 3, 0, 1</t>
  </si>
  <si>
    <t>utah 24 hour plumber</t>
  </si>
  <si>
    <t>emergency plumber mebane nc</t>
  </si>
  <si>
    <t>24-hour plumber houston</t>
  </si>
  <si>
    <t>0, 1, 0, 0, 0, 0, 0, 2, 0, 0, 0, 0, 0, 0, 0, 0, 0, 0, 0, 0, 0, 0, 0, 1</t>
  </si>
  <si>
    <t>water leak repair downriver mi</t>
  </si>
  <si>
    <t>emergency plumber tavernier</t>
  </si>
  <si>
    <t>hills emergency plumber</t>
  </si>
  <si>
    <t>0, 0, 2, 0, 0, 0, 0, 1, 0, 2, 2, 0, 0, 0, 0, 0, 0, 0, 0, 0, 0, 0, 0, 1</t>
  </si>
  <si>
    <t>west chester emergency plumber</t>
  </si>
  <si>
    <t>0, 0, 0, 0, 0, 0, 0, 0, 0, 1, 1, 0, 0, 0, 0, 0, 1, 0, 0, 0, 0, 0, 0, 1</t>
  </si>
  <si>
    <t>24 hour plumber woodstock ga</t>
  </si>
  <si>
    <t>24 hour plumber calgary</t>
  </si>
  <si>
    <t>0, 0, 2, 1, 0, 0, 0, 2, 2, 2, 5, 0, 0, 0, 0, 0, 0, 0, 0, 0, 0, 0, 0, 1</t>
  </si>
  <si>
    <t>north austin emergency plumber</t>
  </si>
  <si>
    <t>24 hour plumber austin tx</t>
  </si>
  <si>
    <t>1, 0, 0, 0, 0, 0, 0, 1, 2, 0, 0, 0, 0, 0, 0, 0, 0, 0, 0, 0, 0, 0, 0, 1</t>
  </si>
  <si>
    <t>emergency plumber randwick</t>
  </si>
  <si>
    <t>0, 0, 0, 0, 0, 0, 1, 0, 0, 1, 2, 0, 0, 0, 0, 0, 0, 0, 0, 0, 0, 0, 0, 1</t>
  </si>
  <si>
    <t>emergency plumber nerimbera</t>
  </si>
  <si>
    <t>emergency plumber mindarie</t>
  </si>
  <si>
    <t>0, 0, 0, 0, 0, 0, 0, 0, 0, 1, 3, 2, 0, 0, 0, 0, 0, 0, 0, 0, 0, 0, 0, 1</t>
  </si>
  <si>
    <t>24 hour plumber in park city</t>
  </si>
  <si>
    <t>sugar land tx emergency plumber</t>
  </si>
  <si>
    <t>0, 0, 0, 1, 0, 1, 0, 1, 1, 0, 0, 0, 0, 0, 0, 0, 0, 0, 0, 0, 0, 0, 0, 1</t>
  </si>
  <si>
    <t>emergency plumber kitchener</t>
  </si>
  <si>
    <t>0, 0, 1, 0, 0, 0, 0, 1, 1, 0, 2, 0, 0, 0, 0, 0, 0, 0, 0, 0, 0, 0, 0, 1</t>
  </si>
  <si>
    <t>emergency plumber wayne nj</t>
  </si>
  <si>
    <t>0, 0, 0, 1, 1, 0, 0, 0, 0, 0, 0, 1, 0, 0, 0, 0, 0, 0, 0, 0, 0, 0, 0, 1</t>
  </si>
  <si>
    <t>emergency plumber west end</t>
  </si>
  <si>
    <t>0, 0, 0, 1, 1, 1, 0, 1, 0, 0, 0, 0, 0, 0, 0, 0, 0, 0, 0, 0, 0, 0, 0, 1</t>
  </si>
  <si>
    <t>mason emergency plumber</t>
  </si>
  <si>
    <t>emergency plumber anaheim</t>
  </si>
  <si>
    <t>emergency plumber clyde north</t>
  </si>
  <si>
    <t>0, 0, 0, 1, 0, 0, 0, 0, 0, 1, 1, 0, 0, 0, 0, 0, 0, 0, 0, 1, 0, 0, 0, 1</t>
  </si>
  <si>
    <t>emergency plumber toongabbie</t>
  </si>
  <si>
    <t>emergency plumber carlsbad</t>
  </si>
  <si>
    <t>0, 0, 0, 1, 0, 0, 1, 0, 2, 0, 1, 0, 0, 0, 0, 0, 0, 0, 0, 0, 0, 0, 0, 1</t>
  </si>
  <si>
    <t>cottonwood heights utah emergency plumber</t>
  </si>
  <si>
    <t>emergency plumber marietta</t>
  </si>
  <si>
    <t>2, 0, 0, 0, 0, 1, 0, 2, 1, 2, 1, 0, 0, 0, 0, 0, 0, 0, 0, 0, 0, 0, 0, 1</t>
  </si>
  <si>
    <t>emergency plumber eastleigh</t>
  </si>
  <si>
    <t>emergency plumber cronulla</t>
  </si>
  <si>
    <t>0, 0, 2, 1, 0, 0, 1, 0, 1, 0, 1, 0, 0, 0, 0, 0, 0, 0, 0, 0, 0, 0, 0, 1</t>
  </si>
  <si>
    <t>water leak repair company scotts valley</t>
  </si>
  <si>
    <t>romford emergency plumber</t>
  </si>
  <si>
    <t>emergency 24hr plumber in chelsea</t>
  </si>
  <si>
    <t>emergency plumber gilbert az</t>
  </si>
  <si>
    <t>saratoga springs utah 24 hour plumber</t>
  </si>
  <si>
    <t>emergency plumber burnley</t>
  </si>
  <si>
    <t>0, 1, 0, 0, 1, 0, 0, 2, 1, 1, 1, 0, 0, 1, 0, 0, 0, 0, 0, 0, 0, 0, 0, 1</t>
  </si>
  <si>
    <t>emergency plumber springfield</t>
  </si>
  <si>
    <t>0, 0, 0, 0, 0, 0, 0, 0, 2, 0, 2, 4, 0, 0, 0, 0, 0, 0, 0, 0, 0, 0, 0, 1</t>
  </si>
  <si>
    <t>emergency plumber bromborough</t>
  </si>
  <si>
    <t>0, 0, 1, 0, 0, 0, 0, 2, 0, 0, 0, 0, 0, 0, 0, 0, 0, 0, 0, 0, 0, 0, 0, 1</t>
  </si>
  <si>
    <t>emergency plumber st paul</t>
  </si>
  <si>
    <t>emergency plumber murrieta hot springs</t>
  </si>
  <si>
    <t>mebane emergency plumber</t>
  </si>
  <si>
    <t>emergency plumber charges</t>
  </si>
  <si>
    <t>0, 0, 0, 0, 0, 0, 1, 0, 1, 0, 0, 2, 0, 0, 0, 0, 0, 0, 0, 0, 0, 0, 0, 1</t>
  </si>
  <si>
    <t>emergency plumber aldershot</t>
  </si>
  <si>
    <t>0, 0, 2, 1, 0, 0, 0, 0, 0, 0, 1, 0, 0, 0, 0, 0, 0, 0, 0, 0, 0, 0, 0, 1</t>
  </si>
  <si>
    <t>emergency plumber banning</t>
  </si>
  <si>
    <t>0, 0, 0, 0, 0, 0, 0, 0, 1, 0, 4, 0, 0, 0, 0, 0, 0, 0, 0, 0, 0, 0, 0, 1</t>
  </si>
  <si>
    <t>emergency plumber west valley city</t>
  </si>
  <si>
    <t>emergency plumber norman</t>
  </si>
  <si>
    <t>0, 0, 0, 0, 0, 0, 0, 0, 0, 0, 1, 5, 0, 0, 0, 0, 0, 0, 0, 0, 0, 1, 0, 1</t>
  </si>
  <si>
    <t>24 hour plumber englewood</t>
  </si>
  <si>
    <t>local emergency plumber near craigie</t>
  </si>
  <si>
    <t>emergency plumber chula vista</t>
  </si>
  <si>
    <t>0, 0, 0, 1, 0, 1, 0, 0, 3, 4, 3, 0, 0, 0, 0, 1, 0, 0, 0, 0, 0, 0, 0, 1</t>
  </si>
  <si>
    <t>24 hour plumber in my area</t>
  </si>
  <si>
    <t>0, 0, 1, 1, 0, 1, 1, 2, 0, 0, 0, 1, 1, 0, 0, 0, 0, 0, 0, 0, 1, 0, 0, 1</t>
  </si>
  <si>
    <t>24 hour cheap plumber near me</t>
  </si>
  <si>
    <t>0, 2, 0, 0, 0, 0, 0, 0, 0, 1, 0, 0, 0, 0, 0, 0, 0, 0, 0, 0, 0, 0, 0, 1</t>
  </si>
  <si>
    <t>emergency gas plumber los angeles</t>
  </si>
  <si>
    <t>st. cloud emergency plumber</t>
  </si>
  <si>
    <t>denton emergency plumber</t>
  </si>
  <si>
    <t>1, 0, 0, 0, 2, 0, 1, 1, 0, 0, 2, 2, 0, 0, 0, 0, 0, 1, 0, 0, 0, 0, 0, 1</t>
  </si>
  <si>
    <t>emergency plumber services description</t>
  </si>
  <si>
    <t>0, 0, 0, 0, 0, 0, 0, 0, 0, 0, 0, 0, 0, 0, 0, 0, 0, 2, 2, 1, 0, 0, 0, 1</t>
  </si>
  <si>
    <t>emergency plumber pymble</t>
  </si>
  <si>
    <t>0, 0, 0, 1, 2, 0, 1, 1, 1, 0, 3, 0, 0, 0, 0, 0, 0, 0, 0, 0, 0, 0, 1, 1</t>
  </si>
  <si>
    <t>emergency plumber toledo oh</t>
  </si>
  <si>
    <t>hot water leak repair</t>
  </si>
  <si>
    <t>2, 0, 0, 0, 0, 0, 1, 0, 2, 0, 0, 0, 0, 0, 0, 0, 0, 0, 0, 0, 0, 0, 0, 1</t>
  </si>
  <si>
    <t>emergency plumber kingston upon thames</t>
  </si>
  <si>
    <t>emergency plumber mountain view</t>
  </si>
  <si>
    <t>1, 0, 0, 0, 1, 0, 0, 2, 1, 0, 1, 0, 0, 0, 0, 0, 0, 0, 0, 0, 0, 0, 0, 1</t>
  </si>
  <si>
    <t>24 hour plumber manchester</t>
  </si>
  <si>
    <t>0, 0, 1, 0, 0, 0, 1, 0, 1, 2, 0, 0, 0, 0, 0, 0, 0, 0, 0, 0, 0, 0, 0, 1</t>
  </si>
  <si>
    <t>highlands ranch emergency plumber</t>
  </si>
  <si>
    <t>emergency plumber chelsea heights</t>
  </si>
  <si>
    <t>emergency plumber in farnham</t>
  </si>
  <si>
    <t>teddington emergency plumber</t>
  </si>
  <si>
    <t>emergency plumber nahrunda</t>
  </si>
  <si>
    <t>emergency plumber brandon fl</t>
  </si>
  <si>
    <t>0, 0, 0, 0, 0, 0, 0, 1, 0, 1, 0, 0, 0, 0, 0, 0, 0, 0, 0, 0, 1, 0, 0, 1</t>
  </si>
  <si>
    <t>leaking tap repair sydney</t>
  </si>
  <si>
    <t>emergency plumber tewkesbury</t>
  </si>
  <si>
    <t>emergency plumber in sydney</t>
  </si>
  <si>
    <t>1, 0, 1, 1, 1, 0, 1, 0, 3, 0, 1, 0, 0, 0, 0, 0, 0, 0, 0, 0, 0, 0, 0, 1</t>
  </si>
  <si>
    <t>emergency plumber northshore chicago</t>
  </si>
  <si>
    <t>emergency plumber service archerfield</t>
  </si>
  <si>
    <t>emergency plumber nanaimo</t>
  </si>
  <si>
    <t>emergency plumber denton tx</t>
  </si>
  <si>
    <t>0, 0, 1, 0, 0, 0, 0, 0, 0, 3, 1, 0, 0, 0, 0, 0, 0, 0, 0, 0, 0, 1, 0, 1</t>
  </si>
  <si>
    <t>emergency plumber cost denver</t>
  </si>
  <si>
    <t>0, 0, 0, 0, 0, 1, 2, 1, 0, 0, 2, 0, 0, 0, 0, 0, 0, 0, 0, 0, 0, 0, 0, 1</t>
  </si>
  <si>
    <t>emergency plumber north balwyn</t>
  </si>
  <si>
    <t>ogden utah 24 hour plumber</t>
  </si>
  <si>
    <t>emergency plumber crows nest</t>
  </si>
  <si>
    <t>emergency plumber chesapeake va</t>
  </si>
  <si>
    <t>0, 0, 0, 0, 0, 0, 0, 0, 0, 0, 0, 6, 0, 0, 0, 0, 0, 0, 0, 0, 0, 1, 0, 1</t>
  </si>
  <si>
    <t>emergency stormwater drain plumber sydney</t>
  </si>
  <si>
    <t>arvada emergency plumber</t>
  </si>
  <si>
    <t>emergency plumber near mchenry</t>
  </si>
  <si>
    <t>emergency plumber washington dc</t>
  </si>
  <si>
    <t>1, 0, 0, 1, 0, 0, 1, 0, 0, 0, 0, 0, 0, 0, 0, 1, 0, 0, 0, 0, 0, 0, 0, 1</t>
  </si>
  <si>
    <t>emergency plumber city</t>
  </si>
  <si>
    <t>0, 0, 0, 1, 0, 0, 0, 0, 0, 2, 1, 0, 0, 0, 0, 0, 0, 0, 0, 0, 0, 0, 0, 1</t>
  </si>
  <si>
    <t>emergency plumber bondoola</t>
  </si>
  <si>
    <t>0, 0, 0, 0, 0, 0, 0, 3, 0, 0, 1, 0, 0, 0, 0, 0, 0, 0, 0, 0, 0, 0, 0, 1</t>
  </si>
  <si>
    <t>emergency plumber near addison</t>
  </si>
  <si>
    <t>emergency plumber cathedral city</t>
  </si>
  <si>
    <t>0, 0, 0, 0, 0, 0, 0, 0, 1, 2, 1, 0, 0, 0, 0, 0, 0, 0, 0, 0, 0, 0, 0, 1</t>
  </si>
  <si>
    <t>emergency plumber monroe county</t>
  </si>
  <si>
    <t>fort collins emergency plumber</t>
  </si>
  <si>
    <t>0, 0, 0, 0, 1, 1, 1, 0, 0, 1, 1, 0, 0, 0, 0, 0, 0, 0, 1, 0, 0, 0, 0, 1</t>
  </si>
  <si>
    <t>emergency plumber in vaughan</t>
  </si>
  <si>
    <t>0, 1, 0, 0, 1, 1, 1, 3, 0, 0, 2, 0, 0, 0, 0, 0, 0, 0, 0, 0, 0, 0, 0, 1</t>
  </si>
  <si>
    <t>24 hour plumber longview tx</t>
  </si>
  <si>
    <t>0, 1, 0, 0, 0, 1, 0, 1, 0, 0, 0, 0, 0, 0, 0, 0, 0, 0, 0, 0, 0, 0, 0, 1</t>
  </si>
  <si>
    <t>mission viejo emergency plumber</t>
  </si>
  <si>
    <t>leaking mixer tap repair cape town</t>
  </si>
  <si>
    <t>0, 0, 0, 0, 0, 0, 0, 0, 0, 0, 0, 0, 0, 0, 0, 0, 0, 0, 0, 0, 8, 13, 5, 2</t>
  </si>
  <si>
    <t>san mateo emergency plumber</t>
  </si>
  <si>
    <t>emergency call out plumber raynes park</t>
  </si>
  <si>
    <t>24 hour plumber etobicoke</t>
  </si>
  <si>
    <t>24 hour plumber sacramento</t>
  </si>
  <si>
    <t>0, 0, 0, 1, 3, 1, 1, 3, 0, 1, 0, 0, 0, 0, 0, 0, 0, 0, 0, 0, 0, 0, 0, 1</t>
  </si>
  <si>
    <t>emergency plumber halifax</t>
  </si>
  <si>
    <t>1, 0, 1, 2, 1, 0, 2, 2, 0, 2, 3, 0, 0, 0, 0, 0, 0, 0, 0, 0, 0, 0, 0, 1</t>
  </si>
  <si>
    <t>24 hour emergency plumber near me open now</t>
  </si>
  <si>
    <t>0, 0, 0, 0, 1, 1, 0, 1, 1, 1, 0, 0, 0, 1, 0, 0, 0, 0, 0, 0, 0, 0, 0, 1</t>
  </si>
  <si>
    <t>emergency plumber glasgow south</t>
  </si>
  <si>
    <t>emergency plumber milwaukee</t>
  </si>
  <si>
    <t>1, 0, 1, 0, 0, 0, 0, 0, 0, 0, 1, 0, 0, 0, 0, 0, 0, 0, 0, 0, 0, 0, 0, 1</t>
  </si>
  <si>
    <t>emergency plumber poughkeepsie</t>
  </si>
  <si>
    <t>long beach water leak repair</t>
  </si>
  <si>
    <t>emergency plumber atlantic beach</t>
  </si>
  <si>
    <t>0, 0, 0, 0, 0, 1, 3, 4, 1, 0, 0, 0, 0, 0, 0, 0, 0, 0, 0, 0, 0, 0, 0, 1</t>
  </si>
  <si>
    <t>emergency plumber walthamstow</t>
  </si>
  <si>
    <t>emergency plumber penticton</t>
  </si>
  <si>
    <t>emergency plumber lake havasu city az</t>
  </si>
  <si>
    <t>24 hour plumber westwood</t>
  </si>
  <si>
    <t>emergency plumber dunmow</t>
  </si>
  <si>
    <t>emergency plumber australia</t>
  </si>
  <si>
    <t>1, 0, 0, 3, 0, 0, 0, 0, 0, 0, 0, 0, 0, 0, 0, 0, 0, 0, 0, 0, 0, 0, 0, 1</t>
  </si>
  <si>
    <t>emergency plumber harlin</t>
  </si>
  <si>
    <t>emergency plumber worthing</t>
  </si>
  <si>
    <t>0, 0, 0, 0, 0, 0, 2, 3, 1, 2, 1, 2, 0, 1, 0, 0, 0, 0, 0, 0, 0, 0, 0, 1</t>
  </si>
  <si>
    <t>emergency plumber glenwood</t>
  </si>
  <si>
    <t>emergency plumber queens</t>
  </si>
  <si>
    <t>emergency plumber pflugerville</t>
  </si>
  <si>
    <t>0, 0, 0, 0, 0, 1, 2, 0, 0, 1, 0, 0, 0, 0, 0, 0, 0, 0, 0, 0, 0, 0, 0, 1</t>
  </si>
  <si>
    <t>repair burst copper pipe salt lake city</t>
  </si>
  <si>
    <t>24 hour plumber near me los angeles</t>
  </si>
  <si>
    <t>emergency plumber lytham st annes</t>
  </si>
  <si>
    <t>wilmington emergency plumber</t>
  </si>
  <si>
    <t>local emergency plumber near beechboro</t>
  </si>
  <si>
    <t>emergency plumber conway</t>
  </si>
  <si>
    <t>emergency plumber rochford</t>
  </si>
  <si>
    <t>0, 0, 0, 0, 0, 0, 0, 0, 0, 0, 0, 3, 0, 0, 0, 0, 0, 0, 0, 0, 0, 0, 0, 1</t>
  </si>
  <si>
    <t>24/7 emergency plumber in durham</t>
  </si>
  <si>
    <t>emergency plumber dayton</t>
  </si>
  <si>
    <t>0, 0, 0, 0, 0, 0, 0, 0, 2, 1, 0, 3, 0, 1, 2, 0, 0, 0, 0, 0, 0, 0, 1, 1</t>
  </si>
  <si>
    <t>emergency plumber green bay</t>
  </si>
  <si>
    <t>0, 0, 0, 1, 2, 0, 0, 0, 0, 1, 0, 0, 0, 0, 0, 0, 0, 0, 0, 0, 0, 0, 0, 1</t>
  </si>
  <si>
    <t>emergency plumber london ltd</t>
  </si>
  <si>
    <t>0, 0, 0, 4, 1, 0, 2, 0, 0, 0, 1, 0, 0, 1, 0, 0, 0, 0, 0, 0, 0, 0, 0, 1</t>
  </si>
  <si>
    <t>helotes tx emergency plumber</t>
  </si>
  <si>
    <t>0, 1, 0, 0, 1, 0, 0, 0, 1, 1, 5, 0, 0, 0, 0, 0, 0, 0, 0, 0, 0, 0, 0, 1</t>
  </si>
  <si>
    <t>emergency plumber near elgin</t>
  </si>
  <si>
    <t>emergency plumber paramus</t>
  </si>
  <si>
    <t>emergency plumber maitland</t>
  </si>
  <si>
    <t>2, 0, 0, 0, 0, 1, 1, 0, 1, 2, 1, 0, 0, 0, 0, 0, 2, 0, 0, 0, 0, 0, 0, 1</t>
  </si>
  <si>
    <t>sewer water leak repair</t>
  </si>
  <si>
    <t>24 hour plumber groveland ma</t>
  </si>
  <si>
    <t>0, 0, 0, 1, 0, 1, 2, 0, 2, 0, 0, 1, 0, 0, 0, 0, 0, 0, 0, 0, 0, 0, 0, 1</t>
  </si>
  <si>
    <t>emergency plumber belper</t>
  </si>
  <si>
    <t>0, 0, 1, 1, 0, 1, 0, 0, 0, 0, 0, 0, 0, 0, 0, 0, 0, 0, 0, 0, 0, 0, 0, 1</t>
  </si>
  <si>
    <t>emergency plumber woodmere</t>
  </si>
  <si>
    <t>0, 0, 0, 0, 0, 0, 2, 0, 1, 0, 0, 0, 0, 0, 0, 0, 0, 0, 0, 0, 0, 0, 0, 1</t>
  </si>
  <si>
    <t>emergency plumber near bensenville</t>
  </si>
  <si>
    <t>emergency plumber brossard</t>
  </si>
  <si>
    <t>0, 0, 0, 0, 1, 0, 0, 2, 0, 1, 0, 0, 0, 0, 0, 0, 0, 0, 0, 0, 0, 0, 0, 1</t>
  </si>
  <si>
    <t>emergency plumber arlington va</t>
  </si>
  <si>
    <t>0, 0, 0, 1, 1, 0, 0, 1, 0, 1, 1, 0, 0, 0, 0, 0, 0, 0, 0, 0, 0, 0, 0, 1</t>
  </si>
  <si>
    <t>24 hour plumber bald knob</t>
  </si>
  <si>
    <t>0, 0, 0, 0, 0, 1, 0, 0, 1, 0, 1, 1, 0, 0, 0, 0, 0, 0, 0, 0, 0, 0, 0, 1</t>
  </si>
  <si>
    <t>emergency plumber oatlands</t>
  </si>
  <si>
    <t>24 hour plumber cambridge</t>
  </si>
  <si>
    <t>emergency plumber kiamba</t>
  </si>
  <si>
    <t>0, 0, 0, 0, 0, 1, 1, 1, 1, 0, 0, 0, 0, 0, 0, 0, 0, 0, 0, 0, 0, 0, 0, 1</t>
  </si>
  <si>
    <t>raleigh emergency plumber</t>
  </si>
  <si>
    <t>0, 1, 0, 0, 0, 0, 0, 0, 0, 0, 0, 0, 0, 0, 0, 0, 0, 0, 1, 0, 0, 0, 0, 1</t>
  </si>
  <si>
    <t>emergency plumber 24 hours</t>
  </si>
  <si>
    <t>2, 0, 3, 0, 2, 0, 1, 1, 3, 7, 0, 0, 0, 0, 0, 1, 0, 0, 0, 0, 0, 0, 0, 1</t>
  </si>
  <si>
    <t>emergency plumber henderson nv</t>
  </si>
  <si>
    <t>schertz emergency plumber</t>
  </si>
  <si>
    <t>1, 0, 0, 0, 0, 0, 0, 0, 1, 0, 0, 0, 0, 0, 0, 0, 0, 0, 0, 0, 0, 0, 0, 1</t>
  </si>
  <si>
    <t>find emergency plumber nm</t>
  </si>
  <si>
    <t>emergency plumber petersham</t>
  </si>
  <si>
    <t>24 hour plumber charlotte</t>
  </si>
  <si>
    <t>0, 0, 1, 0, 0, 0, 0, 0, 0, 3, 1, 3, 0, 1, 0, 1, 0, 0, 0, 0, 0, 0, 0, 1</t>
  </si>
  <si>
    <t>emergency plumber near algonquin</t>
  </si>
  <si>
    <t>emergency plumber near wheeling</t>
  </si>
  <si>
    <t>24 hour plumber wimbledon</t>
  </si>
  <si>
    <t>0, 0, 1, 0, 1, 1, 2, 0, 0, 1, 0, 0, 0, 0, 0, 0, 0, 0, 0, 0, 0, 0, 0, 1</t>
  </si>
  <si>
    <t>emergency plumber albuquerque nm</t>
  </si>
  <si>
    <t>0, 0, 0, 1, 0, 0, 1, 1, 0, 1, 0, 0, 0, 0, 0, 0, 0, 0, 0, 0, 0, 0, 0, 1</t>
  </si>
  <si>
    <t>east peoria emergency plumber</t>
  </si>
  <si>
    <t>24 hour plumber stockton</t>
  </si>
  <si>
    <t>emergency plumber bedford nh</t>
  </si>
  <si>
    <t>emergency plumber worcester park</t>
  </si>
  <si>
    <t>emergency services plumber</t>
  </si>
  <si>
    <t>0, 0, 0, 0, 0, 1, 0, 1, 0, 0, 0, 0, 0, 2, 0, 0, 0, 0, 0, 0, 0, 1, 0, 1</t>
  </si>
  <si>
    <t>water leak repair murrieta</t>
  </si>
  <si>
    <t>emergency plumber tarneit</t>
  </si>
  <si>
    <t>0, 0, 0, 0, 1, 1, 0, 1, 1, 0, 0, 0, 0, 0, 0, 0, 0, 0, 0, 0, 0, 0, 0, 1</t>
  </si>
  <si>
    <t>emergency plumber mount laurel nj</t>
  </si>
  <si>
    <t>24 hour plumber st albans</t>
  </si>
  <si>
    <t>emergency plumber swanley</t>
  </si>
  <si>
    <t>emergency plumber tolworth</t>
  </si>
  <si>
    <t>emergency plumber tacoma</t>
  </si>
  <si>
    <t>0, 0, 0, 0, 0, 1, 1, 2, 1, 0, 4, 1, 0, 0, 0, 0, 0, 0, 0, 0, 0, 0, 0, 1</t>
  </si>
  <si>
    <t>emergency plumber beaumont hills</t>
  </si>
  <si>
    <t>emergency plumber reston va</t>
  </si>
  <si>
    <t>emergency plumber musselburgh</t>
  </si>
  <si>
    <t>ceiling water leak repair near me</t>
  </si>
  <si>
    <t>0, 0, 0, 0, 0, 0, 2, 2, 1, 0, 0, 0, 0, 0, 0, 1, 0, 0, 0, 0, 0, 2, 0, 2</t>
  </si>
  <si>
    <t>emergency plumber castle rock</t>
  </si>
  <si>
    <t>windsor hills emergency plumber</t>
  </si>
  <si>
    <t>marietta emergency plumber</t>
  </si>
  <si>
    <t>1, 0, 0, 0, 0, 2, 0, 2, 2, 1, 1, 0, 0, 0, 0, 0, 0, 0, 0, 0, 0, 0, 0, 1</t>
  </si>
  <si>
    <t>24 hour plumber ipswich</t>
  </si>
  <si>
    <t>1, 0, 0, 0, 0, 0, 0, 0, 1, 3, 0, 0, 0, 0, 0, 0, 0, 0, 0, 0, 0, 0, 0, 1</t>
  </si>
  <si>
    <t>emergency plumber spotswood</t>
  </si>
  <si>
    <t>emergency plumber pinbarren</t>
  </si>
  <si>
    <t>0, 0, 0, 0, 2, 1, 0, 0, 0, 0, 0, 0, 0, 0, 0, 0, 0, 0, 0, 0, 0, 0, 0, 1</t>
  </si>
  <si>
    <t>emergency plumber utica</t>
  </si>
  <si>
    <t>0, 0, 0, 1, 0, 2, 1, 0, 0, 0, 0, 0, 0, 0, 0, 0, 0, 0, 0, 0, 0, 0, 0, 1</t>
  </si>
  <si>
    <t>leeds emergency plumber</t>
  </si>
  <si>
    <t>4, 2, 1, 0, 1, 1, 2, 1, 0, 1, 0, 0, 0, 0, 0, 0, 0, 0, 0, 0, 0, 0, 0, 1</t>
  </si>
  <si>
    <t>plastic water storage tank leak repair</t>
  </si>
  <si>
    <t>san diego emergency plumber</t>
  </si>
  <si>
    <t>24 hour plumber ypsilanti mi</t>
  </si>
  <si>
    <t>24 hour plumber raleigh nc</t>
  </si>
  <si>
    <t>0, 1, 0, 1, 1, 0, 1, 1, 0, 0, 2, 0, 1, 0, 0, 0, 0, 0, 0, 0, 0, 0, 0, 1</t>
  </si>
  <si>
    <t>24 hour plumber salt lake city ut</t>
  </si>
  <si>
    <t>emergency plumber rockville centre</t>
  </si>
  <si>
    <t>0, 0, 0, 0, 0, 0, 1, 0, 0, 0, 1, 2, 0, 0, 0, 0, 0, 0, 0, 0, 0, 0, 0, 1</t>
  </si>
  <si>
    <t>emergency plumber philadelphia pa</t>
  </si>
  <si>
    <t>british gas emergency plumber</t>
  </si>
  <si>
    <t>0, 0, 0, 0, 0, 3, 0, 0, 0, 0, 0, 0, 0, 0, 0, 0, 0, 0, 0, 0, 0, 0, 0, 1</t>
  </si>
  <si>
    <t>emergency plumber walworth</t>
  </si>
  <si>
    <t>0, 0, 0, 1, 3, 1, 0, 1, 0, 0, 0, 0, 0, 0, 0, 0, 0, 0, 0, 0, 0, 0, 0, 1</t>
  </si>
  <si>
    <t>emergency plumber cambridge</t>
  </si>
  <si>
    <t>1, 2, 1, 1, 1, 5, 0, 3, 2, 2, 1, 0, 0, 0, 0, 0, 0, 1, 0, 0, 0, 0, 0, 1</t>
  </si>
  <si>
    <t>emergency plumber in westmont</t>
  </si>
  <si>
    <t>burst pipe repair columbia city in</t>
  </si>
  <si>
    <t>emergency plumber salford</t>
  </si>
  <si>
    <t>emergency plumber chester</t>
  </si>
  <si>
    <t>0, 0, 0, 0, 1, 1, 1, 1, 2, 6, 1, 3, 0, 0, 0, 0, 0, 0, 0, 0, 0, 0, 0, 1</t>
  </si>
  <si>
    <t>burst pipe repair troutdale</t>
  </si>
  <si>
    <t>lakeway emergency plumber</t>
  </si>
  <si>
    <t>emergency plumber cibolo</t>
  </si>
  <si>
    <t>1, 0, 1, 1, 0, 1, 0, 0, 3, 3, 1, 0, 0, 0, 0, 0, 0, 0, 0, 0, 0, 0, 1, 1</t>
  </si>
  <si>
    <t>emergency plumber near hanover park</t>
  </si>
  <si>
    <t>emergency plumber tanawha</t>
  </si>
  <si>
    <t>0, 0, 1, 0, 0, 3, 0, 0, 0, 0, 0, 0, 0, 0, 0, 0, 0, 0, 0, 0, 0, 0, 0, 1</t>
  </si>
  <si>
    <t>emergency plumber littleton</t>
  </si>
  <si>
    <t>0, 0, 0, 1, 0, 0, 0, 0, 0, 0, 3, 0, 0, 0, 0, 0, 0, 0, 0, 0, 0, 0, 0, 1</t>
  </si>
  <si>
    <t>brisbane emergency plumber</t>
  </si>
  <si>
    <t>0, 0, 1, 1, 4, 0, 5, 3, 2, 6, 7, 0, 0, 0, 0, 0, 0, 0, 0, 0, 0, 0, 0, 1</t>
  </si>
  <si>
    <t>emergency plumber dublin 15</t>
  </si>
  <si>
    <t>emergency plumber piscataway nj</t>
  </si>
  <si>
    <t>0, 0, 0, 0, 1, 1, 0, 0, 0, 0, 0, 0, 0, 0, 0, 0, 0, 0, 0, 0, 0, 0, 0, 1</t>
  </si>
  <si>
    <t>emergency plumber ayr</t>
  </si>
  <si>
    <t>0, 0, 0, 0, 0, 2, 1, 0, 1, 1, 2, 1, 0, 0, 0, 0, 0, 0, 0, 0, 0, 0, 0, 1</t>
  </si>
  <si>
    <t>emergency plumber westland</t>
  </si>
  <si>
    <t>emergency plumber okc</t>
  </si>
  <si>
    <t>0, 0, 0, 0, 0, 0, 0, 0, 0, 1, 1, 0, 0, 2, 0, 0, 0, 0, 0, 0, 0, 0, 0, 1</t>
  </si>
  <si>
    <t>memorial city tx emergency plumber</t>
  </si>
  <si>
    <t>0, 0, 0, 0, 0, 0, 0, 0, 0, 2, 4, 0, 0, 0, 0, 0, 0, 0, 0, 0, 0, 0, 0, 1</t>
  </si>
  <si>
    <t>moreno valley 24 hour plumber</t>
  </si>
  <si>
    <t>bullhead city az emergency plumber</t>
  </si>
  <si>
    <t>1, 1, 0, 0, 2, 1, 0, 0, 1, 2, 4, 0, 0, 1, 0, 0, 0, 0, 0, 0, 0, 0, 0, 1</t>
  </si>
  <si>
    <t>burst pipe repair portland</t>
  </si>
  <si>
    <t>emergency plumber deeside</t>
  </si>
  <si>
    <t>claremont emergency plumber</t>
  </si>
  <si>
    <t>emergency plumber bonita</t>
  </si>
  <si>
    <t>buckeye az emergency plumber</t>
  </si>
  <si>
    <t>0, 0, 0, 0, 1, 1, 0, 0, 1, 3, 0, 0, 0, 0, 0, 0, 0, 0, 0, 0, 0, 0, 0, 1</t>
  </si>
  <si>
    <t>emergency plumber la jolla</t>
  </si>
  <si>
    <t>emergency plumber sahuarita az</t>
  </si>
  <si>
    <t>emergency plumber spring hill tn</t>
  </si>
  <si>
    <t>emergency plumber wondunna</t>
  </si>
  <si>
    <t>0, 0, 0, 0, 0, 0, 1, 1, 0, 0, 1, 2, 0, 0, 0, 0, 0, 0, 0, 0, 0, 0, 0, 1</t>
  </si>
  <si>
    <t>emergency plumber earlville</t>
  </si>
  <si>
    <t>vancouver 24 hour plumber</t>
  </si>
  <si>
    <t>st. george utah 24 hour plumber</t>
  </si>
  <si>
    <t>emergency plumber haslemere</t>
  </si>
  <si>
    <t>0, 2, 0, 0, 0, 0, 0, 1, 1, 0, 0, 0, 0, 0, 0, 0, 0, 0, 0, 0, 0, 0, 0, 1</t>
  </si>
  <si>
    <t>emergency plumber coppell tx</t>
  </si>
  <si>
    <t>emergency plumber callahan fl</t>
  </si>
  <si>
    <t>0, 0, 0, 0, 0, 0, 1, 0, 0, 0, 1, 3, 0, 0, 0, 0, 0, 0, 0, 0, 0, 0, 0, 1</t>
  </si>
  <si>
    <t>emergency plumber leyland</t>
  </si>
  <si>
    <t>emergency plumber kinross</t>
  </si>
  <si>
    <t>0, 0, 0, 0, 0, 0, 0, 5, 0, 1, 1, 0, 0, 0, 0, 0, 0, 0, 0, 0, 0, 0, 0, 1</t>
  </si>
  <si>
    <t>emergency plumber apache junction az</t>
  </si>
  <si>
    <t>emergency plumber rochester ny</t>
  </si>
  <si>
    <t>0, 1, 2, 1, 0, 0, 1, 1, 3, 1, 3, 1, 0, 0, 0, 0, 0, 0, 0, 0, 0, 0, 0, 1</t>
  </si>
  <si>
    <t>emergency plumber sittinbourne</t>
  </si>
  <si>
    <t>emergency plumber bradford</t>
  </si>
  <si>
    <t>9, 7, 8, 5, 6, 4, 1, 4, 6, 0, 1, 0, 0, 0, 0, 0, 0, 0, 0, 0, 0, 0, 0, 1</t>
  </si>
  <si>
    <t>riverton utah emergency plumber</t>
  </si>
  <si>
    <t>arroyo grande emergency plumber</t>
  </si>
  <si>
    <t>1, 0, 2, 0, 0, 0, 1, 1, 1, 1, 0, 0, 0, 0, 0, 0, 0, 0, 0, 0, 0, 0, 0, 1</t>
  </si>
  <si>
    <t>emergency plumber redhill</t>
  </si>
  <si>
    <t>0, 0, 0, 0, 1, 0, 2, 2, 1, 1, 1, 0, 0, 0, 0, 0, 0, 0, 0, 0, 0, 0, 0, 1</t>
  </si>
  <si>
    <t>west jordan utah 24 hour plumber</t>
  </si>
  <si>
    <t>24 hour plumber gastonia nc</t>
  </si>
  <si>
    <t>emergency plumber bribie island north</t>
  </si>
  <si>
    <t>0, 0, 0, 1, 2, 1, 0, 0, 0, 0, 0, 0, 0, 0, 0, 0, 0, 0, 0, 0, 0, 0, 0, 1</t>
  </si>
  <si>
    <t>emergency plumber riverside ca</t>
  </si>
  <si>
    <t>0, 0, 0, 1, 0, 1, 0, 0, 0, 1, 1, 0, 0, 0, 0, 0, 0, 0, 0, 0, 0, 0, 0, 1</t>
  </si>
  <si>
    <t>emergency plumber needed</t>
  </si>
  <si>
    <t>emergency plumber kentucky</t>
  </si>
  <si>
    <t>emergency plumber noosa heads</t>
  </si>
  <si>
    <t>emergency plumber quincy ma</t>
  </si>
  <si>
    <t>richardson tx emergency plumber</t>
  </si>
  <si>
    <t>1, 1, 1, 0, 0, 1, 0, 0, 0, 3, 5, 0, 0, 0, 0, 0, 1, 0, 0, 0, 0, 0, 0, 1</t>
  </si>
  <si>
    <t>emergency plumber kidaman creek</t>
  </si>
  <si>
    <t>emergency plumber chicagoland</t>
  </si>
  <si>
    <t>24 hour plumber tempe</t>
  </si>
  <si>
    <t>0, 0, 1, 0, 2, 0, 0, 1, 0, 0, 1, 0, 0, 0, 0, 0, 0, 0, 0, 0, 0, 0, 0, 1</t>
  </si>
  <si>
    <t>emergency plumber ropes crossing</t>
  </si>
  <si>
    <t>0, 0, 0, 0, 1, 2, 2, 1, 0, 2, 0, 0, 0, 0, 0, 0, 0, 0, 0, 0, 0, 0, 0, 1</t>
  </si>
  <si>
    <t>emergency plumber in brooklyn</t>
  </si>
  <si>
    <t>3, 0, 0, 1, 0, 1, 0, 0, 1, 0, 0, 0, 0, 0, 0, 0, 0, 0, 0, 0, 0, 0, 0, 1</t>
  </si>
  <si>
    <t>burst pipe repair lancaster pa</t>
  </si>
  <si>
    <t>0, 0, 0, 0, 0, 0, 0, 2, 1, 1, 1, 0, 0, 0, 0, 0, 0, 0, 0, 0, 0, 0, 0, 1</t>
  </si>
  <si>
    <t>emergency plumber mont albert</t>
  </si>
  <si>
    <t>24 hour plumber bryant</t>
  </si>
  <si>
    <t>emergency plumber service sunnybank hills</t>
  </si>
  <si>
    <t>emergency plumber nerang</t>
  </si>
  <si>
    <t>0, 0, 0, 0, 1, 0, 1, 0, 1, 1, 0, 0, 0, 0, 0, 0, 0, 0, 0, 0, 0, 0, 0, 1</t>
  </si>
  <si>
    <t>emergency plumber rochdale</t>
  </si>
  <si>
    <t>0, 0, 0, 0, 0, 2, 0, 0, 1, 3, 3, 1, 0, 0, 0, 0, 0, 0, 0, 0, 0, 0, 0, 1</t>
  </si>
  <si>
    <t>24 hour plumber rochester ny</t>
  </si>
  <si>
    <t>burst pipe leak repair in los angeles</t>
  </si>
  <si>
    <t>0, 0, 0, 0, 0, 0, 0, 1, 0, 1, 2, 0, 0, 0, 0, 0, 0, 0, 0, 0, 0, 0, 0, 1</t>
  </si>
  <si>
    <t>harrisburg emergency plumber</t>
  </si>
  <si>
    <t>0, 0, 0, 0, 1, 0, 1, 0, 0, 2, 4, 1, 0, 0, 0, 0, 0, 0, 0, 0, 0, 0, 0, 1</t>
  </si>
  <si>
    <t>leicster emergency plumber</t>
  </si>
  <si>
    <t>emergency plumber newark, il</t>
  </si>
  <si>
    <t>0, 0, 1, 0, 3, 0, 0, 0, 0, 0, 0, 0, 0, 0, 0, 0, 0, 0, 0, 0, 0, 0, 0, 1</t>
  </si>
  <si>
    <t>water leak repair putty</t>
  </si>
  <si>
    <t>0, 0, 0, 1, 1, 0, 0, 0, 0, 1, 0, 0, 0, 0, 1, 0, 0, 0, 0, 0, 0, 0, 0, 1</t>
  </si>
  <si>
    <t>hamilton emergency plumber</t>
  </si>
  <si>
    <t>boston 24 hour plumber</t>
  </si>
  <si>
    <t>emergency plumber cheadle hulme</t>
  </si>
  <si>
    <t>water leak repair acton</t>
  </si>
  <si>
    <t>0, 0, 0, 0, 0, 0, 1, 0, 2, 0, 0, 0, 0, 0, 0, 0, 0, 0, 0, 0, 0, 0, 0, 1</t>
  </si>
  <si>
    <t>local emergency plumber bradfield</t>
  </si>
  <si>
    <t>0, 0, 0, 0, 0, 0, 0, 0, 2, 1, 0, 1, 0, 0, 0, 0, 0, 0, 0, 0, 0, 0, 0, 1</t>
  </si>
  <si>
    <t>repair a burst pipe</t>
  </si>
  <si>
    <t>0, 0, 0, 0, 8, 1, 2, 0, 1, 0, 0, 0, 0, 4, 2, 0, 0, 0, 0, 1, 0, 2, 0, 1</t>
  </si>
  <si>
    <t>emergency plumber dublin 17</t>
  </si>
  <si>
    <t>1, 1, 0, 0, 1, 0, 0, 0, 0, 0, 1, 0, 0, 0, 0, 0, 0, 0, 0, 0, 0, 0, 0, 1</t>
  </si>
  <si>
    <t>i need an emergency plumber</t>
  </si>
  <si>
    <t>0, 0, 1, 0, 2, 0, 2, 3, 1, 2, 1, 0, 0, 0, 0, 0, 0, 0, 0, 0, 0, 0, 0, 1</t>
  </si>
  <si>
    <t>emergency plumber donnybrook</t>
  </si>
  <si>
    <t>emergency plumber norwalk ct</t>
  </si>
  <si>
    <t>emergency plumber brighton east</t>
  </si>
  <si>
    <t>emergency plumber near me ottawa on</t>
  </si>
  <si>
    <t>24 hour plumber el paso texas</t>
  </si>
  <si>
    <t>0, 0, 0, 1, 0, 0, 0, 0, 0, 0, 0, 0, 0, 0, 0, 0, 0, 0, 0, 0, 0, 1, 0, 1</t>
  </si>
  <si>
    <t>emergency plumber maidenhead</t>
  </si>
  <si>
    <t>0, 1, 0, 2, 0, 1, 1, 2, 2, 2, 1, 0, 0, 0, 0, 0, 0, 0, 0, 0, 0, 0, 0, 1</t>
  </si>
  <si>
    <t>columbus emergency plumber</t>
  </si>
  <si>
    <t>0, 0, 1, 0, 0, 0, 0, 0, 2, 0, 2, 0, 0, 0, 0, 0, 0, 0, 0, 0, 0, 0, 0, 1</t>
  </si>
  <si>
    <t>emergency plumber chatham</t>
  </si>
  <si>
    <t>emergency plumber frankston north</t>
  </si>
  <si>
    <t>0, 1, 0, 1, 0, 0, 0, 0, 1, 1, 1, 0, 0, 0, 0, 0, 0, 0, 0, 0, 0, 0, 0, 1</t>
  </si>
  <si>
    <t>water leak repair specialists</t>
  </si>
  <si>
    <t>emergency plumber dulwich</t>
  </si>
  <si>
    <t>0, 0, 0, 0, 0, 2, 0, 1, 1, 0, 0, 0, 0, 0, 0, 0, 0, 0, 0, 0, 0, 0, 0, 1</t>
  </si>
  <si>
    <t>emergency plumber welshpool</t>
  </si>
  <si>
    <t>0, 0, 0, 0, 0, 0, 1, 1, 1, 1, 1, 0, 0, 0, 0, 0, 0, 0, 0, 0, 0, 0, 0, 1</t>
  </si>
  <si>
    <t>bedford tx emergency plumber</t>
  </si>
  <si>
    <t>2, 0, 0, 0, 0, 0, 0, 0, 0, 0, 0, 0, 0, 0, 0, 0, 0, 0, 0, 0, 0, 0, 0, 1</t>
  </si>
  <si>
    <t>emergency plumber seaforth</t>
  </si>
  <si>
    <t>emergency plumber near wayne</t>
  </si>
  <si>
    <t>0, 0, 0, 0, 0, 1, 1, 1, 0, 0, 1, 0, 0, 0, 0, 0, 0, 0, 0, 0, 0, 0, 0, 1</t>
  </si>
  <si>
    <t>water heater leak repair downriver mi</t>
  </si>
  <si>
    <t>emergency plumber columbia</t>
  </si>
  <si>
    <t>emergency plumber palm desert</t>
  </si>
  <si>
    <t>0, 0, 1, 1, 0, 1, 1, 0, 1, 0, 0, 2, 0, 0, 0, 0, 0, 0, 0, 0, 0, 0, 0, 1</t>
  </si>
  <si>
    <t>24 hour plumber west knoxville</t>
  </si>
  <si>
    <t>emergency plumber st helens</t>
  </si>
  <si>
    <t>0, 0, 0, 1, 0, 2, 2, 1, 3, 1, 1, 2, 0, 0, 0, 0, 0, 0, 0, 0, 0, 0, 0, 1</t>
  </si>
  <si>
    <t>emergency plumber potomac</t>
  </si>
  <si>
    <t>1, 0, 0, 0, 0, 1, 0, 0, 1, 0, 5, 0, 0, 0, 0, 0, 0, 0, 0, 0, 0, 0, 0, 1</t>
  </si>
  <si>
    <t>emergency blocked sewer plumber gold coast</t>
  </si>
  <si>
    <t>1, 0, 1, 0, 0, 0, 0, 0, 0, 0, 0, 0, 0, 0, 0, 0, 0, 0, 0, 0, 0, 0, 0, 1</t>
  </si>
  <si>
    <t>mckinney tx emergency plumber</t>
  </si>
  <si>
    <t>1, 0, 1, 1, 1, 1, 0, 0, 1, 6, 4, 0, 0, 0, 0, 1, 0, 0, 0, 0, 0, 0, 0, 1</t>
  </si>
  <si>
    <t>emergency plumber bella vista</t>
  </si>
  <si>
    <t>1, 1, 1, 0, 0, 1, 1, 0, 0, 0, 0, 0, 0, 0, 0, 0, 0, 0, 0, 0, 0, 0, 0, 1</t>
  </si>
  <si>
    <t>emergency plumber horfield</t>
  </si>
  <si>
    <t>emergency plumber andover</t>
  </si>
  <si>
    <t>0, 0, 0, 0, 0, 1, 0, 0, 0, 1, 1, 0, 0, 0, 0, 0, 0, 0, 0, 0, 0, 0, 0, 1</t>
  </si>
  <si>
    <t>emergency plumber boca raton</t>
  </si>
  <si>
    <t>0, 0, 3, 0, 0, 1, 0, 3, 1, 1, 0, 0, 0, 0, 0, 0, 0, 0, 0, 0, 0, 0, 0, 1</t>
  </si>
  <si>
    <t>emergency plumber call out fee</t>
  </si>
  <si>
    <t>1, 0, 2, 0, 1, 6, 0, 1, 0, 2, 3, 0, 0, 0, 0, 0, 0, 1, 0, 0, 1, 0, 0, 1</t>
  </si>
  <si>
    <t>north branch emergency plumber</t>
  </si>
  <si>
    <t>hyde park emergency plumber</t>
  </si>
  <si>
    <t>0, 0, 0, 1, 0, 1, 1, 0, 0, 1, 0, 0, 0, 0, 0, 0, 0, 0, 0, 0, 1, 0, 0, 1</t>
  </si>
  <si>
    <t>water leak repair santa fe</t>
  </si>
  <si>
    <t>emergency plumber los angeles</t>
  </si>
  <si>
    <t>0, 0, 2, 0, 0, 1, 1, 4, 5, 1, 0, 2, 0, 0, 0, 0, 0, 0, 0, 0, 0, 0, 2, 1</t>
  </si>
  <si>
    <t>emergency plumber neston</t>
  </si>
  <si>
    <t>emergency plumber centre island</t>
  </si>
  <si>
    <t>0, 0, 0, 0, 0, 1, 4, 1, 0, 0, 0, 0, 0, 0, 0, 0, 0, 0, 0, 0, 0, 0, 0, 1</t>
  </si>
  <si>
    <t>water leak repair brentwood</t>
  </si>
  <si>
    <t>0, 0, 1, 0, 0, 0, 1, 0, 0, 0, 0, 1, 0, 0, 0, 0, 0, 0, 0, 0, 0, 0, 0, 1</t>
  </si>
  <si>
    <t>water leak repair pooler ga</t>
  </si>
  <si>
    <t>emergency plumber huskisson</t>
  </si>
  <si>
    <t>0, 0, 1, 0, 0, 0, 0, 0, 0, 1, 1, 1, 0, 0, 0, 0, 0, 0, 0, 0, 0, 0, 0, 1</t>
  </si>
  <si>
    <t>emergency plumber epsom</t>
  </si>
  <si>
    <t>0, 0, 1, 0, 1, 1, 0, 0, 0, 2, 0, 2, 0, 0, 0, 0, 0, 0, 0, 0, 0, 0, 0, 1</t>
  </si>
  <si>
    <t>24 hour plumber bloemfontein</t>
  </si>
  <si>
    <t>emergency plumber hocking</t>
  </si>
  <si>
    <t>emergency plumber victory heights</t>
  </si>
  <si>
    <t>0, 0, 0, 0, 1, 0, 1, 0, 0, 1, 0, 0, 0, 0, 0, 0, 0, 0, 0, 0, 0, 0, 0, 1</t>
  </si>
  <si>
    <t>emergency plumber wimbledon</t>
  </si>
  <si>
    <t>0, 0, 0, 0, 1, 2, 0, 1, 1, 3, 0, 0, 0, 0, 0, 0, 0, 0, 0, 0, 0, 0, 0, 1</t>
  </si>
  <si>
    <t>water leak repair travelers rest</t>
  </si>
  <si>
    <t>0, 0, 1, 0, 0, 0, 2, 0, 0, 1, 0, 1, 0, 0, 0, 0, 0, 0, 0, 0, 0, 0, 0, 1</t>
  </si>
  <si>
    <t>houston emergency plumber</t>
  </si>
  <si>
    <t>2, 0, 1, 2, 0, 0, 3, 0, 0, 3, 1, 7, 0, 0, 0, 0, 0, 1, 0, 0, 0, 0, 0, 1</t>
  </si>
  <si>
    <t>emergency plumber west los angeles</t>
  </si>
  <si>
    <t>24 hour plumber missouri city tx</t>
  </si>
  <si>
    <t>abbotsford emergency plumber</t>
  </si>
  <si>
    <t>emergency plumber near me northfield</t>
  </si>
  <si>
    <t>bessemer emergency plumber</t>
  </si>
  <si>
    <t>emergency plumber in tucson</t>
  </si>
  <si>
    <t>0, 0, 0, 0, 1, 0, 0, 0, 0, 0, 1, 1, 0, 0, 0, 0, 0, 0, 0, 0, 0, 0, 0, 1</t>
  </si>
  <si>
    <t>water leak repair dallas</t>
  </si>
  <si>
    <t>0, 1, 2, 1, 0, 0, 0, 0, 0, 0, 0, 0, 0, 0, 0, 0, 0, 0, 0, 0, 0, 0, 1, 1</t>
  </si>
  <si>
    <t>emergency plumber fort worth tx</t>
  </si>
  <si>
    <t>0, 0, 1, 1, 0, 0, 1, 0, 0, 0, 0, 0, 0, 0, 0, 0, 0, 0, 0, 0, 0, 0, 1, 1</t>
  </si>
  <si>
    <t>emergency residential plumber tacoma wa</t>
  </si>
  <si>
    <t>1, 0, 0, 0, 0, 2, 1, 0, 0, 0, 0, 2, 0, 0, 0, 0, 0, 0, 0, 0, 0, 0, 0, 1</t>
  </si>
  <si>
    <t>emergency plumber lawrenceville</t>
  </si>
  <si>
    <t>0, 1, 0, 1, 0, 2, 1, 4, 2, 1, 0, 0, 1, 0, 0, 0, 0, 1, 0, 0, 0, 0, 0, 1</t>
  </si>
  <si>
    <t>emergency plumber chichester</t>
  </si>
  <si>
    <t>0, 1, 2, 0, 0, 0, 0, 0, 2, 1, 0, 0, 0, 0, 0, 0, 0, 0, 0, 0, 0, 0, 0, 1</t>
  </si>
  <si>
    <t>emergency plumber waxahachie tx</t>
  </si>
  <si>
    <t>emergency plumber virginia water</t>
  </si>
  <si>
    <t>0, 0, 0, 0, 1, 1, 2, 1, 0, 1, 1, 0, 0, 0, 0, 0, 0, 0, 0, 0, 0, 0, 0, 1</t>
  </si>
  <si>
    <t>monroe emergency plumber</t>
  </si>
  <si>
    <t>emergency plumber zilzie</t>
  </si>
  <si>
    <t>0, 0, 0, 0, 0, 1, 1, 0, 0, 2, 0, 3, 0, 0, 0, 0, 0, 0, 0, 0, 0, 0, 0, 1</t>
  </si>
  <si>
    <t>local emergency plumber near duncraig</t>
  </si>
  <si>
    <t>utah emergency plumber</t>
  </si>
  <si>
    <t>24 hour plumber benton</t>
  </si>
  <si>
    <t>emergency plumber rayeigh</t>
  </si>
  <si>
    <t>emergency plumber bamain</t>
  </si>
  <si>
    <t>emergency plumber chifley</t>
  </si>
  <si>
    <t>water heater leak repair cost</t>
  </si>
  <si>
    <t>0, 1, 0, 0, 0, 0, 0, 1, 1, 0, 0, 0, 0, 0, 2, 1, 0, 0, 0, 0, 0, 0, 0, 1</t>
  </si>
  <si>
    <t>same day plumber emergency cape town</t>
  </si>
  <si>
    <t>0, 0, 0, 0, 0, 0, 0, 0, 0, 0, 0, 0, 0, 0, 0, 0, 0, 0, 0, 11, 20, 16, 0, 13</t>
  </si>
  <si>
    <t>24 hour plumber cleveland</t>
  </si>
  <si>
    <t>emergency plumber north york</t>
  </si>
  <si>
    <t>0, 0, 0, 0, 0, 1, 1, 0, 0, 0, 1, 1, 0, 0, 0, 0, 0, 0, 0, 0, 0, 0, 0, 1</t>
  </si>
  <si>
    <t>emergency plumber in oak brook terrace*</t>
  </si>
  <si>
    <t>emergency plumber flower mound</t>
  </si>
  <si>
    <t>1, 0, 0, 0, 0, 0, 0, 0, 0, 1, 0, 3, 0, 0, 0, 0, 0, 0, 0, 0, 0, 0, 0, 1</t>
  </si>
  <si>
    <t>emergency plumber myrtle beach</t>
  </si>
  <si>
    <t>1, 0, 0, 2, 1, 2, 2, 1, 4, 3, 4, 0, 0, 0, 0, 0, 0, 0, 0, 0, 1, 0, 0, 2</t>
  </si>
  <si>
    <t>emergency plumber sydenham</t>
  </si>
  <si>
    <t>0, 1, 0, 0, 1, 1, 0, 1, 0, 0, 0, 2, 0, 0, 0, 0, 0, 0, 0, 0, 0, 0, 0, 1</t>
  </si>
  <si>
    <t>rockwall emergency plumber</t>
  </si>
  <si>
    <t>0, 0, 0, 0, 0, 0, 0, 0, 2, 2, 2, 2, 0, 0, 0, 0, 0, 0, 0, 0, 0, 0, 0, 1</t>
  </si>
  <si>
    <t>arlington 24 hour plumber</t>
  </si>
  <si>
    <t>24 hour plumber columbia tn</t>
  </si>
  <si>
    <t>emergency plumber indian wells</t>
  </si>
  <si>
    <t>0, 0, 0, 1, 0, 1, 1, 0, 0, 0, 4, 0, 0, 0, 0, 0, 0, 0, 0, 0, 0, 0, 0, 1</t>
  </si>
  <si>
    <t>24 hour plumber brainerd</t>
  </si>
  <si>
    <t>emergency plumber northbridge</t>
  </si>
  <si>
    <t>0, 0, 0, 0, 0, 0, 0, 1, 0, 0, 0, 0, 0, 0, 0, 1, 0, 0, 0, 0, 0, 0, 0, 1</t>
  </si>
  <si>
    <t>emergency plumber lebanon pa</t>
  </si>
  <si>
    <t>0, 0, 0, 1, 0, 0, 0, 0, 0, 1, 2, 0, 0, 0, 0, 0, 0, 0, 0, 0, 0, 0, 0, 1</t>
  </si>
  <si>
    <t>emergency plumber riverview fl</t>
  </si>
  <si>
    <t>emergency plumber manvel tx</t>
  </si>
  <si>
    <t>emergency plumber lakeview</t>
  </si>
  <si>
    <t>0, 0, 0, 0, 0, 2, 1, 2, 0, 0, 0, 0, 0, 0, 0, 0, 0, 0, 0, 0, 0, 0, 0, 1</t>
  </si>
  <si>
    <t>24 hour plumber menifee</t>
  </si>
  <si>
    <t>0, 0, 0, 0, 0, 1, 2, 0, 1, 0, 0, 0, 0, 0, 0, 0, 0, 0, 0, 0, 0, 0, 0, 1</t>
  </si>
  <si>
    <t>emergency plumber city of london</t>
  </si>
  <si>
    <t>stainless steel water tank leak repair</t>
  </si>
  <si>
    <t>0, 0, 0, 0, 0, 0, 0, 1, 0, 0, 0, 0, 0, 1, 1, 0, 0, 0, 0, 0, 1, 0, 0, 1</t>
  </si>
  <si>
    <t>emergency plumber beauharnois</t>
  </si>
  <si>
    <t>0, 0, 0, 3, 1, 1, 1, 4, 0, 1, 0, 3, 0, 0, 0, 0, 0, 0, 0, 0, 0, 0, 0, 1</t>
  </si>
  <si>
    <t>24 hour plumber camden</t>
  </si>
  <si>
    <t>emergency plumber shepherds bush</t>
  </si>
  <si>
    <t>kingman az emergency plumber</t>
  </si>
  <si>
    <t>0, 1, 0, 0, 0, 1, 0, 0, 1, 2, 0, 0, 0, 0, 0, 0, 0, 0, 0, 0, 0, 0, 0, 1</t>
  </si>
  <si>
    <t>emergency plumber spring</t>
  </si>
  <si>
    <t>3, 0, 1, 1, 0, 1, 0, 0, 0, 0, 1, 0, 0, 0, 0, 0, 0, 0, 0, 0, 0, 0, 0, 1</t>
  </si>
  <si>
    <t>emergency plumber allen</t>
  </si>
  <si>
    <t>0, 0, 0, 0, 0, 0, 1, 3, 1, 2, 2, 0, 0, 0, 0, 0, 1, 0, 0, 0, 0, 0, 0, 1</t>
  </si>
  <si>
    <t>slab water leak repair</t>
  </si>
  <si>
    <t>1, 0, 0, 2, 2, 1, 1, 2, 4, 3, 2, 0, 2, 2, 0, 2, 1, 1, 1, 1, 4, 2, 0, 4</t>
  </si>
  <si>
    <t>emergency plumber near me cheap</t>
  </si>
  <si>
    <t>1, 0, 1, 0, 0, 4, 8, 2, 9, 5, 3, 21, 2, 0, 0, 0, 0, 0, 0, 0, 0, 0, 0, 1</t>
  </si>
  <si>
    <t>emergency plumber hither green</t>
  </si>
  <si>
    <t>24 hour plumber oklahoma city</t>
  </si>
  <si>
    <t>0, 0, 1, 0, 0, 0, 0, 3, 1, 1, 0, 0, 0, 0, 0, 0, 0, 0, 0, 0, 0, 0, 0, 1</t>
  </si>
  <si>
    <t>emergency plumber abingdon</t>
  </si>
  <si>
    <t>0, 0, 0, 1, 0, 2, 0, 1, 1, 0, 1, 0, 0, 0, 0, 0, 0, 0, 0, 0, 0, 0, 0, 1</t>
  </si>
  <si>
    <t>emergency plumber stockton</t>
  </si>
  <si>
    <t>1, 0, 0, 0, 0, 1, 0, 0, 1, 0, 1, 0, 0, 0, 0, 0, 0, 0, 0, 0, 0, 0, 0, 1</t>
  </si>
  <si>
    <t>emergency plumber central coast</t>
  </si>
  <si>
    <t>0, 1, 1, 1, 0, 1, 5, 6, 3, 4, 5, 5, 1, 1, 0, 0, 0, 0, 0, 1, 2, 4, 1, 1</t>
  </si>
  <si>
    <t>24 hour plumber in west london</t>
  </si>
  <si>
    <t>emergency plumber warrington</t>
  </si>
  <si>
    <t>0, 1, 0, 1, 1, 0, 2, 1, 3, 1, 4, 1, 0, 0, 0, 0, 0, 1, 0, 0, 0, 0, 0, 1</t>
  </si>
  <si>
    <t>emergency plumber upminster</t>
  </si>
  <si>
    <t>emergency plumber southwark</t>
  </si>
  <si>
    <t>emergency plumber exton</t>
  </si>
  <si>
    <t>bountiful utah emergency plumber</t>
  </si>
  <si>
    <t>water pipe leak repair kit</t>
  </si>
  <si>
    <t>0, 0, 1, 1, 1, 0, 0, 0, 1, 2, 0, 0, 0, 0, 0, 2, 0, 5, 0, 2, 3, 1, 1, 1</t>
  </si>
  <si>
    <t>emergency plumber greeneville tn</t>
  </si>
  <si>
    <t>emergency blocked sewer plumber brisbane</t>
  </si>
  <si>
    <t>emergency plumber walnut creek</t>
  </si>
  <si>
    <t>repair leaking garden tap</t>
  </si>
  <si>
    <t>1, 0, 0, 0, 0, 0, 0, 0, 0, 0, 0, 0, 0, 0, 0, 0, 0, 0, 0, 0, 0, 1, 0, 1</t>
  </si>
  <si>
    <t>emergency plumber kennington</t>
  </si>
  <si>
    <t>24 hour plumber la pine oregon</t>
  </si>
  <si>
    <t>2, 0, 0, 0, 0, 0, 2, 0, 0, 0, 0, 0, 0, 0, 0, 0, 0, 0, 0, 0, 0, 0, 0, 1</t>
  </si>
  <si>
    <t>millcreek utah 24 hour plumber</t>
  </si>
  <si>
    <t>emergency plumber ellesmere port</t>
  </si>
  <si>
    <t>0, 0, 0, 0, 0, 0, 0, 1, 1, 0, 3, 0, 1, 0, 0, 0, 0, 0, 0, 0, 0, 0, 0, 1</t>
  </si>
  <si>
    <t>water leak repair kit</t>
  </si>
  <si>
    <t>1, 0, 0, 0, 3, 0, 1, 2, 0, 0, 0, 0, 0, 0, 0, 0, 2, 0, 1, 0, 0, 1, 0, 1</t>
  </si>
  <si>
    <t>24 hour plumber nj</t>
  </si>
  <si>
    <t>emergency plumber near me portland</t>
  </si>
  <si>
    <t>0, 0, 0, 0, 0, 1, 1, 0, 0, 0, 1, 0, 0, 0, 0, 0, 0, 0, 0, 0, 0, 0, 0, 1</t>
  </si>
  <si>
    <t>24 hour plumber gilbert az</t>
  </si>
  <si>
    <t>water leak repair burleson</t>
  </si>
  <si>
    <t>irvine emergency plumber</t>
  </si>
  <si>
    <t>emergency plumber fitzroy</t>
  </si>
  <si>
    <t>0, 0, 0, 0, 0, 4, 1, 0, 1, 3, 1, 0, 0, 0, 0, 0, 0, 0, 0, 0, 0, 0, 0, 1</t>
  </si>
  <si>
    <t>emergency plumber service yeerongpilly</t>
  </si>
  <si>
    <t>emergency plumber buckeye</t>
  </si>
  <si>
    <t>0, 0, 1, 0, 0, 1, 0, 0, 0, 2, 5, 0, 0, 0, 0, 0, 0, 0, 0, 0, 0, 0, 0, 1</t>
  </si>
  <si>
    <t>emergency plumber dandenong</t>
  </si>
  <si>
    <t>0, 0, 1, 0, 0, 0, 2, 0, 2, 0, 1, 2, 0, 0, 0, 0, 1, 0, 0, 0, 0, 0, 0, 1</t>
  </si>
  <si>
    <t>las vegas 24 hour plumber</t>
  </si>
  <si>
    <t>emergency plumber pokekohe</t>
  </si>
  <si>
    <t>0, 0, 0, 0, 1, 1, 0, 0, 2, 0, 0, 0, 0, 0, 0, 0, 0, 0, 0, 0, 0, 0, 0, 1</t>
  </si>
  <si>
    <t>emergency plumber rochedale south</t>
  </si>
  <si>
    <t>0, 0, 0, 0, 0, 0, 0, 0, 0, 1, 0, 0, 0, 0, 2, 1, 2, 0, 0, 1, 0, 0, 0, 1</t>
  </si>
  <si>
    <t>emergency plumber burst pipe</t>
  </si>
  <si>
    <t>0, 1, 1, 1, 0, 1, 1, 2, 2, 0, 1, 3, 0, 0, 0, 1, 0, 1, 0, 5, 0, 0, 0, 1</t>
  </si>
  <si>
    <t>council emergency plumber</t>
  </si>
  <si>
    <t>0, 0, 0, 0, 0, 1, 0, 0, 0, 0, 0, 0, 0, 0, 1, 0, 0, 0, 0, 0, 0, 0, 0, 1</t>
  </si>
  <si>
    <t>emergency plumber robina</t>
  </si>
  <si>
    <t>granbury tx emergency plumber</t>
  </si>
  <si>
    <t>emergency plumber boulder co</t>
  </si>
  <si>
    <t>1, 1, 0, 1, 0, 4, 0, 0, 0, 2, 2, 0, 0, 0, 0, 0, 0, 0, 0, 0, 0, 0, 0, 1</t>
  </si>
  <si>
    <t>24 hour plumber park city utah</t>
  </si>
  <si>
    <t>24/7 emergency plumber</t>
  </si>
  <si>
    <t>3, 1, 2, 1, 4, 3, 2, 1, 5, 3, 3, 8, 1, 0, 0, 0, 0, 2, 3, 3, 1, 1, 0, 5</t>
  </si>
  <si>
    <t>24 hour plumber mackay</t>
  </si>
  <si>
    <t>0, 0, 0, 1, 0, 0, 0, 0, 3, 0, 5, 0, 0, 0, 0, 0, 0, 0, 0, 0, 0, 0, 0, 1</t>
  </si>
  <si>
    <t>water leak repair irving</t>
  </si>
  <si>
    <t>cheap emergency plumber near me</t>
  </si>
  <si>
    <t>1, 1, 0, 2, 2, 0, 0, 1, 0, 0, 2, 1, 0, 0, 0, 0, 0, 0, 0, 1, 1, 0, 0, 1</t>
  </si>
  <si>
    <t>24 hour plumber athens ga</t>
  </si>
  <si>
    <t>emergency plumber in edinburgh</t>
  </si>
  <si>
    <t>24 hour plumber taylor</t>
  </si>
  <si>
    <t>24 hour plumber mesa</t>
  </si>
  <si>
    <t>emergency plumber parramatta</t>
  </si>
  <si>
    <t>0, 0, 0, 3, 2, 0, 4, 1, 2, 1, 1, 0, 0, 0, 0, 0, 0, 0, 0, 0, 0, 0, 0, 1</t>
  </si>
  <si>
    <t>emergency plumber bletchley</t>
  </si>
  <si>
    <t>water leak repair germantown</t>
  </si>
  <si>
    <t>0, 0, 0, 0, 0, 1, 1, 1, 0, 0, 0, 0, 0, 0, 0, 0, 0, 0, 0, 0, 0, 0, 0, 1</t>
  </si>
  <si>
    <t>emergency plumber irvine ca</t>
  </si>
  <si>
    <t>water leak repair norwalk</t>
  </si>
  <si>
    <t>clinton utah 24 hour plumber</t>
  </si>
  <si>
    <t>emergency plumber toorak</t>
  </si>
  <si>
    <t>24 hour plumber richmond va</t>
  </si>
  <si>
    <t>emergency plumber evergreen</t>
  </si>
  <si>
    <t>0, 0, 0, 0, 0, 0, 0, 1, 2, 1, 1, 0, 0, 0, 0, 0, 0, 0, 0, 0, 0, 0, 0, 1</t>
  </si>
  <si>
    <t>carrollton tx emergency plumber</t>
  </si>
  <si>
    <t>0, 0, 1, 0, 2, 0, 1, 0, 1, 0, 1, 0, 0, 0, 0, 0, 0, 1, 0, 0, 0, 1, 0, 1</t>
  </si>
  <si>
    <t>emergency plumber port macquarie</t>
  </si>
  <si>
    <t>0, 0, 0, 0, 0, 0, 0, 4, 2, 1, 7, 1, 1, 0, 0, 0, 0, 0, 0, 0, 0, 0, 0, 1</t>
  </si>
  <si>
    <t>water main leak repair cost</t>
  </si>
  <si>
    <t>0, 1, 0, 0, 1, 1, 0, 1, 0, 0, 1, 0, 1, 0, 0, 0, 0, 0, 0, 0, 0, 0, 1, 1</t>
  </si>
  <si>
    <t>local emergency plumber near calista</t>
  </si>
  <si>
    <t>emergency plumber surbiton</t>
  </si>
  <si>
    <t>0, 0, 0, 1, 0, 0, 2, 0, 0, 0, 2, 0, 0, 0, 0, 0, 0, 0, 0, 0, 0, 0, 0, 1</t>
  </si>
  <si>
    <t>24 hour plumber fort worth tx</t>
  </si>
  <si>
    <t>0, 1, 0, 0, 0, 1, 0, 1, 0, 0, 0, 2, 0, 0, 0, 0, 0, 0, 0, 0, 0, 0, 0, 1</t>
  </si>
  <si>
    <t>emergency plumber villa park</t>
  </si>
  <si>
    <t>emergency plumber fulham</t>
  </si>
  <si>
    <t>0, 1, 0, 2, 3, 1, 1, 0, 3, 1, 1, 0, 0, 0, 0, 0, 0, 0, 0, 1, 3, 0, 0, 2</t>
  </si>
  <si>
    <t>emergency plumber service carina heights</t>
  </si>
  <si>
    <t>emergency plumber queanbeyan</t>
  </si>
  <si>
    <t>2, 1, 0, 2, 0, 1, 0, 1, 0, 1, 1, 0, 0, 0, 0, 0, 0, 0, 0, 0, 0, 0, 0, 1</t>
  </si>
  <si>
    <t>emergency plumber leighton buzzard</t>
  </si>
  <si>
    <t>emergency plumber hemet</t>
  </si>
  <si>
    <t>0, 0, 0, 0, 0, 0, 0, 0, 1, 0, 0, 1, 0, 0, 0, 0, 0, 0, 0, 0, 0, 0, 0, 1</t>
  </si>
  <si>
    <t>basement water leak repair chestatee ga</t>
  </si>
  <si>
    <t>local emergency plumber near warnbro</t>
  </si>
  <si>
    <t>emergency plumber union county</t>
  </si>
  <si>
    <t>emergency plumber conway sc</t>
  </si>
  <si>
    <t>0, 0, 0, 0, 0, 0, 0, 0, 0, 0, 4, 1, 0, 0, 0, 0, 0, 0, 0, 0, 0, 0, 0, 1</t>
  </si>
  <si>
    <t>emergency plumber basildon</t>
  </si>
  <si>
    <t>0, 0, 0, 0, 0, 0, 0, 0, 0, 0, 3, 1, 0, 0, 0, 0, 0, 0, 0, 0, 0, 0, 0, 1</t>
  </si>
  <si>
    <t>emergency plumber kearney mo</t>
  </si>
  <si>
    <t>emergency plumber fenton mi</t>
  </si>
  <si>
    <t>emergency plumber watkinsville ga</t>
  </si>
  <si>
    <t>emergency plumber brandon</t>
  </si>
  <si>
    <t>burst pipe repair potchefstroom</t>
  </si>
  <si>
    <t>0, 0, 0, 0, 0, 0, 0, 0, 0, 0, 0, 0, 0, 0, 0, 0, 0, 0, 0, 0, 0, 0, 0, 5</t>
  </si>
  <si>
    <t>emergency plumber west woombye</t>
  </si>
  <si>
    <t>0, 0, 0, 0, 1, 0, 0, 2, 0, 0, 1, 0, 0, 0, 0, 0, 0, 0, 0, 0, 0, 0, 0, 1</t>
  </si>
  <si>
    <t>emergency plumber in huntersville nc</t>
  </si>
  <si>
    <t>spring valley emergency plumber</t>
  </si>
  <si>
    <t>0, 0, 0, 0, 0, 0, 1, 0, 0, 1, 0, 0, 0, 0, 0, 0, 0, 0, 0, 0, 0, 0, 0, 1</t>
  </si>
  <si>
    <t>emergency plumber annangrove</t>
  </si>
  <si>
    <t>emergency plumber twickenham</t>
  </si>
  <si>
    <t>0, 0, 1, 2, 1, 1, 1, 2, 0, 1, 1, 1, 0, 0, 0, 0, 0, 0, 0, 0, 0, 0, 0, 1</t>
  </si>
  <si>
    <t>24 hour plumber marcus beach</t>
  </si>
  <si>
    <t>emergency plumber san francisco</t>
  </si>
  <si>
    <t>0, 0, 1, 0, 0, 0, 0, 1, 0, 2, 1, 0, 0, 0, 0, 0, 0, 0, 0, 0, 0, 0, 0, 1</t>
  </si>
  <si>
    <t>emergency plumber near hinsdale</t>
  </si>
  <si>
    <t>kingman emergency plumber</t>
  </si>
  <si>
    <t>2, 0, 0, 1, 0, 0, 0, 1, 0, 2, 4, 0, 0, 0, 0, 0, 0, 0, 0, 0, 0, 0, 0, 1</t>
  </si>
  <si>
    <t>emergency plumber east lothian</t>
  </si>
  <si>
    <t>24 hour plumber tomball</t>
  </si>
  <si>
    <t>emergency plumber central coast nsw</t>
  </si>
  <si>
    <t>0, 0, 1, 0, 1, 0, 0, 0, 0, 0, 0, 0, 0, 0, 0, 0, 0, 0, 0, 0, 2, 1, 0, 2</t>
  </si>
  <si>
    <t>24 hour plumber nambour</t>
  </si>
  <si>
    <t>0, 0, 0, 0, 0, 0, 1, 1, 0, 0, 0, 1, 0, 0, 0, 0, 0, 0, 0, 0, 0, 0, 0, 1</t>
  </si>
  <si>
    <t>shower water leak repair</t>
  </si>
  <si>
    <t>1, 0, 1, 1, 1, 1, 2, 0, 2, 1, 0, 0, 0, 1, 0, 0, 0, 1, 0, 0, 0, 0, 0, 1</t>
  </si>
  <si>
    <t>emergency plumber bundoora</t>
  </si>
  <si>
    <t>0, 0, 0, 0, 0, 1, 0, 1, 2, 2, 2, 5, 0, 0, 0, 0, 0, 0, 0, 0, 0, 0, 0, 1</t>
  </si>
  <si>
    <t>emergency plumber somerset west</t>
  </si>
  <si>
    <t>emergency plumber sterling heights mi</t>
  </si>
  <si>
    <t>emergency plumber northumberland</t>
  </si>
  <si>
    <t>0, 0, 0, 1, 0, 0, 0, 2, 0, 0, 3, 0, 0, 0, 0, 0, 0, 0, 0, 0, 0, 0, 0, 1</t>
  </si>
  <si>
    <t>emergency plumber markham</t>
  </si>
  <si>
    <t>0, 0, 0, 0, 0, 0, 0, 1, 1, 0, 2, 0, 0, 0, 0, 0, 0, 0, 0, 0, 0, 0, 0, 1</t>
  </si>
  <si>
    <t>emergency plumber miami beach</t>
  </si>
  <si>
    <t>emergency plumber st ivies</t>
  </si>
  <si>
    <t>0, 0, 1, 0, 0, 0, 0, 0, 0, 0, 1, 0, 0, 0, 0, 0, 0, 0, 0, 0, 0, 0, 0, 1</t>
  </si>
  <si>
    <t>24 hour plumber manhattan ny</t>
  </si>
  <si>
    <t>emergency plumber bermondsey</t>
  </si>
  <si>
    <t>24 hour plumber irving</t>
  </si>
  <si>
    <t>24 hour plumber mission viejo</t>
  </si>
  <si>
    <t>lebanon pa emergency plumber</t>
  </si>
  <si>
    <t>0, 1, 0, 0, 1, 4, 0, 0, 0, 4, 2, 0, 0, 0, 0, 0, 1, 0, 0, 0, 0, 0, 0, 1</t>
  </si>
  <si>
    <t>emergency plumber oswestry</t>
  </si>
  <si>
    <t>0, 1, 1, 0, 1, 0, 0, 1, 0, 1, 1, 0, 0, 0, 0, 0, 0, 0, 0, 0, 0, 0, 0, 1</t>
  </si>
  <si>
    <t>emergency plumber tomball</t>
  </si>
  <si>
    <t>24 hour plumber san marcos</t>
  </si>
  <si>
    <t>0, 0, 0, 0, 0, 0, 0, 0, 0, 2, 0, 0, 0, 0, 0, 0, 0, 0, 1, 0, 0, 0, 0, 1</t>
  </si>
  <si>
    <t>emergency plumber service lota</t>
  </si>
  <si>
    <t>emergency plumber glen iris</t>
  </si>
  <si>
    <t>0, 0, 0, 0, 0, 1, 1, 1, 1, 5, 3, 0, 0, 0, 0, 0, 0, 0, 0, 0, 0, 0, 0, 1</t>
  </si>
  <si>
    <t>emergency blocked sewer plumber sydney</t>
  </si>
  <si>
    <t>emergency plumber san antonio texas</t>
  </si>
  <si>
    <t>24 hour toilet plumber near me</t>
  </si>
  <si>
    <t>1, 4, 0, 0, 1, 4, 2, 2, 1, 2, 1, 0, 0, 0, 0, 0, 0, 0, 0, 0, 0, 0, 0, 1</t>
  </si>
  <si>
    <t>emergency plumber sevenoaks</t>
  </si>
  <si>
    <t>0, 0, 1, 0, 0, 0, 0, 2, 0, 3, 1, 0, 0, 0, 0, 0, 1, 0, 0, 0, 1, 0, 0, 1</t>
  </si>
  <si>
    <t>24 hour plumber east london</t>
  </si>
  <si>
    <t>24 hour plumber hillcrest</t>
  </si>
  <si>
    <t>water leak repair marlborough</t>
  </si>
  <si>
    <t>emergency plumber near elmhurst</t>
  </si>
  <si>
    <t>24 hour plumber scarborough</t>
  </si>
  <si>
    <t>0, 0, 1, 0, 0, 0, 0, 0, 1, 0, 1, 0, 0, 0, 0, 0, 0, 0, 0, 0, 0, 0, 0, 1</t>
  </si>
  <si>
    <t>emergency plumber rotherham</t>
  </si>
  <si>
    <t>0, 0, 0, 0, 0, 0, 0, 1, 1, 0, 1, 0, 0, 0, 0, 0, 0, 0, 0, 0, 0, 0, 0, 1</t>
  </si>
  <si>
    <t>dublin emergency plumber</t>
  </si>
  <si>
    <t>0, 0, 0, 0, 0, 0, 0, 1, 0, 3, 0, 0, 0, 0, 0, 1, 0, 0, 0, 0, 0, 0, 0, 1</t>
  </si>
  <si>
    <t>emergency plumber kellyville</t>
  </si>
  <si>
    <t>0, 0, 0, 1, 0, 1, 1, 1, 1, 1, 0, 0, 0, 0, 0, 0, 0, 0, 0, 0, 0, 0, 0, 1</t>
  </si>
  <si>
    <t>emergency plumber purley</t>
  </si>
  <si>
    <t>0, 0, 1, 1, 1, 0, 0, 0, 0, 0, 0, 0, 0, 0, 0, 0, 0, 0, 0, 0, 0, 0, 0, 1</t>
  </si>
  <si>
    <t>emergency plumber anthem az</t>
  </si>
  <si>
    <t>0, 0, 0, 0, 0, 1, 0, 1, 0, 1, 1, 0, 0, 0, 0, 0, 0, 0, 0, 0, 0, 0, 0, 1</t>
  </si>
  <si>
    <t>emergency plumber north bethesda md</t>
  </si>
  <si>
    <t>0, 0, 1, 0, 1, 0, 0, 0, 0, 2, 0, 0, 0, 0, 0, 0, 0, 0, 0, 0, 0, 0, 0, 1</t>
  </si>
  <si>
    <t>water leak repair brookvale</t>
  </si>
  <si>
    <t>emergency plumber columbia sc</t>
  </si>
  <si>
    <t>24/7 emergency plumber service</t>
  </si>
  <si>
    <t>0, 0, 1, 0, 0, 0, 0, 0, 1, 0, 0, 0, 0, 0, 0, 0, 0, 0, 0, 0, 0, 0, 0, 1</t>
  </si>
  <si>
    <t>san antonio tx emergency plumber</t>
  </si>
  <si>
    <t>0, 0, 1, 1, 0, 1, 0, 0, 1, 1, 4, 1, 0, 0, 0, 0, 0, 0, 0, 0, 0, 0, 0, 1</t>
  </si>
  <si>
    <t>emergency plumber tamworth</t>
  </si>
  <si>
    <t>0, 1, 1, 0, 0, 0, 0, 1, 1, 2, 1, 0, 0, 0, 0, 0, 0, 0, 0, 0, 0, 0, 0, 1</t>
  </si>
  <si>
    <t>emergency plumber coatbridge</t>
  </si>
  <si>
    <t>emergency plumber caringbah</t>
  </si>
  <si>
    <t>1, 0, 0, 1, 1, 1, 2, 2, 3, 2, 5, 0, 0, 0, 0, 0, 0, 0, 0, 0, 0, 1, 0, 1</t>
  </si>
  <si>
    <t>emergency plumber rancho cucamonga</t>
  </si>
  <si>
    <t>1, 1, 0, 0, 0, 0, 2, 0, 0, 0, 3, 1, 0, 0, 0, 0, 0, 0, 0, 0, 0, 0, 0, 1</t>
  </si>
  <si>
    <t>emergency plumber trabuco canyon</t>
  </si>
  <si>
    <t>24 hour plumber rockford</t>
  </si>
  <si>
    <t>0, 0, 0, 0, 0, 1, 1, 2, 3, 4, 2, 0, 0, 0, 0, 0, 0, 0, 0, 0, 0, 0, 1, 1</t>
  </si>
  <si>
    <t>emergency repair burst water pipe</t>
  </si>
  <si>
    <t>burst &amp; leaking pipe repair service sydney</t>
  </si>
  <si>
    <t>0, 0, 0, 0, 2, 2, 0, 1, 2, 3, 0, 1, 0, 0, 0, 0, 0, 0, 0, 0, 0, 0, 0, 1</t>
  </si>
  <si>
    <t>emergency plumber near me 24 hours</t>
  </si>
  <si>
    <t>4, 1, 6, 1, 3, 0, 0, 1, 2, 1, 1, 0, 0, 0, 0, 0, 0, 2, 0, 0, 1, 0, 0, 1</t>
  </si>
  <si>
    <t>kearns utah emergency plumber</t>
  </si>
  <si>
    <t>emergency plumber south penrith</t>
  </si>
  <si>
    <t>24-hour plumber santa cruz</t>
  </si>
  <si>
    <t>emergency plumber near rolling meadows</t>
  </si>
  <si>
    <t>emergency plumber in berkhamsted</t>
  </si>
  <si>
    <t>24 hour plumber miami</t>
  </si>
  <si>
    <t>wylie tx emergency plumber</t>
  </si>
  <si>
    <t>emergency plumber airport west</t>
  </si>
  <si>
    <t>plumber toilet blocked</t>
  </si>
  <si>
    <t>0, 0, 0, 0, 0, 0, 0, 0, 0, 1, 0, 0, 0, 0, 0, 0, 0, 2, 0, 0, 0, 0, 1, 1</t>
  </si>
  <si>
    <t>emergency plumber bracknell</t>
  </si>
  <si>
    <t>0, 1, 0, 2, 2, 2, 1, 1, 1, 2, 1, 1, 2, 0, 0, 0, 0, 0, 0, 0, 0, 0, 0, 1</t>
  </si>
  <si>
    <t>cypress emergency plumber</t>
  </si>
  <si>
    <t>emergency plumber torquay</t>
  </si>
  <si>
    <t>0, 0, 0, 1, 0, 1, 0, 1, 1, 0, 1, 1, 0, 0, 0, 0, 0, 0, 0, 0, 0, 0, 0, 1</t>
  </si>
  <si>
    <t>emergency plumber hamilton</t>
  </si>
  <si>
    <t>0, 1, 0, 1, 0, 2, 1, 3, 1, 3, 6, 3, 0, 0, 0, 0, 0, 0, 0, 0, 0, 0, 0, 1</t>
  </si>
  <si>
    <t>emergency plumber arnside</t>
  </si>
  <si>
    <t>0, 0, 0, 0, 0, 1, 2, 1, 0, 1, 0, 0, 0, 0, 0, 0, 0, 0, 0, 0, 0, 0, 0, 1</t>
  </si>
  <si>
    <t>24 hour plumber west london</t>
  </si>
  <si>
    <t>emergency plumber orange</t>
  </si>
  <si>
    <t>emergency plumber quakers hill</t>
  </si>
  <si>
    <t>24 hour plumber spring tx</t>
  </si>
  <si>
    <t>0, 0, 1, 0, 1, 2, 0, 0, 0, 0, 0, 0, 0, 0, 0, 0, 0, 0, 0, 0, 0, 0, 0, 1</t>
  </si>
  <si>
    <t>24 hour plumber aurora co</t>
  </si>
  <si>
    <t>emergency plumber skye</t>
  </si>
  <si>
    <t>1, 2, 0, 0, 1, 0, 0, 0, 0, 0, 0, 0, 0, 0, 0, 0, 0, 0, 0, 0, 0, 0, 0, 1</t>
  </si>
  <si>
    <t>emergency plumber in richmond hill</t>
  </si>
  <si>
    <t>24/7 emergency plumber cotati ca</t>
  </si>
  <si>
    <t>1, 0, 0, 1, 1, 0, 0, 0, 0, 1, 1, 0, 0, 0, 0, 0, 0, 0, 0, 0, 0, 0, 0, 1</t>
  </si>
  <si>
    <t>emergency plumber southern suburbs</t>
  </si>
  <si>
    <t>0, 0, 0, 0, 0, 0, 0, 0, 0, 0, 0, 0, 0, 0, 0, 0, 0, 0, 0, 0, 13, 21, 8, 2</t>
  </si>
  <si>
    <t>emergency plumber lincolnwood il</t>
  </si>
  <si>
    <t>emergency plumber morgan county</t>
  </si>
  <si>
    <t>emergency plumber boerne tx</t>
  </si>
  <si>
    <t>0, 0, 0, 1, 1, 0, 0, 0, 1, 0, 1, 0, 0, 0, 0, 2, 0, 0, 0, 0, 0, 0, 0, 1</t>
  </si>
  <si>
    <t>emergency plumber cranston ri</t>
  </si>
  <si>
    <t>emergency plumber lake city sc</t>
  </si>
  <si>
    <t>0, 0, 0, 0, 0, 0, 0, 0, 0, 4, 1, 0, 0, 0, 0, 0, 0, 0, 0, 0, 0, 0, 0, 1</t>
  </si>
  <si>
    <t>zionsville emergency plumber</t>
  </si>
  <si>
    <t>emergency plumber longueuil</t>
  </si>
  <si>
    <t>0, 0, 0, 0, 0, 0, 1, 0, 0, 2, 1, 0, 0, 0, 0, 0, 0, 0, 0, 0, 0, 0, 0, 1</t>
  </si>
  <si>
    <t>burst pipe repair green valley</t>
  </si>
  <si>
    <t>24 hour plumber eastern beach</t>
  </si>
  <si>
    <t>0, 0, 0, 0, 1, 0, 0, 0, 1, 3, 0, 0, 0, 0, 0, 0, 0, 0, 0, 0, 0, 0, 0, 1</t>
  </si>
  <si>
    <t>emergency plumber southend</t>
  </si>
  <si>
    <t>0, 0, 0, 0, 0, 1, 0, 0, 0, 0, 2, 2, 0, 0, 0, 1, 0, 0, 0, 0, 0, 0, 0, 1</t>
  </si>
  <si>
    <t>emergency plumber elmers end</t>
  </si>
  <si>
    <t>emergency plumber service willawong</t>
  </si>
  <si>
    <t>emergency clog plumber</t>
  </si>
  <si>
    <t>burst pipe repair burlington</t>
  </si>
  <si>
    <t>burst pipe repair stamford</t>
  </si>
  <si>
    <t>0, 1, 0, 1, 0, 0, 0, 2, 0, 0, 0, 0, 0, 0, 0, 0, 0, 0, 0, 0, 0, 0, 0, 1</t>
  </si>
  <si>
    <t>emergency plumber great river</t>
  </si>
  <si>
    <t>0, 0, 0, 0, 0, 0, 0, 0, 3, 0, 1, 0, 0, 0, 0, 0, 0, 0, 0, 0, 0, 0, 0, 1</t>
  </si>
  <si>
    <t>24 hour plumber orange</t>
  </si>
  <si>
    <t>emergency plumber in pacifica ca</t>
  </si>
  <si>
    <t>emergency plumber warrenton va</t>
  </si>
  <si>
    <t>emergency plumber herne hill</t>
  </si>
  <si>
    <t>0, 0, 2, 0, 1, 0, 0, 1, 0, 1, 1, 0, 0, 1, 0, 0, 0, 0, 0, 0, 0, 0, 0, 1</t>
  </si>
  <si>
    <t>emergency plumber roswell ga</t>
  </si>
  <si>
    <t>24 hour plumber delta</t>
  </si>
  <si>
    <t>emergency plumber yeronga</t>
  </si>
  <si>
    <t>emergency plumber service gumdale</t>
  </si>
  <si>
    <t>emergency plumber vaughan</t>
  </si>
  <si>
    <t>0, 0, 0, 1, 1, 1, 0, 0, 1, 0, 1, 2, 0, 0, 0, 0, 0, 0, 0, 0, 0, 0, 0, 1</t>
  </si>
  <si>
    <t>24 hour plumber columbus ohio</t>
  </si>
  <si>
    <t>emergency plumber richardson</t>
  </si>
  <si>
    <t>0, 0, 1, 0, 0, 0, 0, 2, 0, 1, 1, 0, 0, 0, 0, 1, 1, 1, 0, 0, 0, 0, 0, 1</t>
  </si>
  <si>
    <t>tampa emergency plumber</t>
  </si>
  <si>
    <t>emergency plumber near me arlington</t>
  </si>
  <si>
    <t>0, 0, 0, 0, 0, 0, 2, 0, 2, 1, 2, 0, 0, 0, 0, 0, 0, 0, 0, 0, 0, 0, 0, 1</t>
  </si>
  <si>
    <t>emergency gas plumber townsville</t>
  </si>
  <si>
    <t>0, 0, 0, 2, 1, 1, 0, 0, 0, 0, 2, 0, 0, 0, 0, 0, 0, 0, 0, 0, 0, 0, 0, 1</t>
  </si>
  <si>
    <t>emergency plumber accrington</t>
  </si>
  <si>
    <t>local emergency plumber near shoalwater</t>
  </si>
  <si>
    <t>water leak repair roswell</t>
  </si>
  <si>
    <t>emergency plumber knoxville tn</t>
  </si>
  <si>
    <t>1, 0, 0, 0, 0, 0, 0, 0, 0, 1, 7, 0, 0, 0, 0, 0, 0, 0, 0, 0, 1, 0, 0, 1</t>
  </si>
  <si>
    <t>emergency plumber pelican waters</t>
  </si>
  <si>
    <t>emergency plumber virginia beach</t>
  </si>
  <si>
    <t>emergency plumber hackensack</t>
  </si>
  <si>
    <t>emergency plumber eastvale ca</t>
  </si>
  <si>
    <t>emergency plumber west chester pa</t>
  </si>
  <si>
    <t>0, 0, 0, 0, 0, 0, 2, 0, 0, 1, 1, 1, 0, 1, 0, 0, 0, 0, 0, 0, 0, 0, 0, 1</t>
  </si>
  <si>
    <t>arlington heights emergency plumber</t>
  </si>
  <si>
    <t>0, 0, 0, 0, 1, 0, 1, 1, 1, 0, 0, 0, 0, 0, 0, 0, 0, 0, 0, 0, 0, 0, 0, 1</t>
  </si>
  <si>
    <t>emergency plumber silverdale</t>
  </si>
  <si>
    <t>emergency plumber richmond upon thames</t>
  </si>
  <si>
    <t>emergency plumber lehi</t>
  </si>
  <si>
    <t>emergency plumber 247</t>
  </si>
  <si>
    <t>0, 0, 1, 0, 1, 0, 0, 0, 2, 0, 0, 0, 0, 0, 0, 0, 0, 0, 0, 0, 0, 0, 0, 1</t>
  </si>
  <si>
    <t>emergency plumber perth</t>
  </si>
  <si>
    <t>2, 5, 7, 7, 2, 10, 1, 6, 10, 9, 13, 0, 0, 0, 0, 0, 1, 1, 0, 1, 0, 0, 0, 1</t>
  </si>
  <si>
    <t>24 hour plumber christchurch</t>
  </si>
  <si>
    <t>emergency plumber waimalu</t>
  </si>
  <si>
    <t>emergency plumber sheringham</t>
  </si>
  <si>
    <t>emergency plumber balgowlah</t>
  </si>
  <si>
    <t>0, 0, 0, 0, 1, 0, 0, 0, 0, 1, 1, 0, 0, 0, 0, 0, 0, 0, 0, 0, 1, 0, 0, 1</t>
  </si>
  <si>
    <t>winter park emergency plumber</t>
  </si>
  <si>
    <t>local emergency plumber near bayswater</t>
  </si>
  <si>
    <t>emergency plumber strathdale</t>
  </si>
  <si>
    <t>0, 0, 0, 0, 1, 0, 1, 1, 1, 1, 1, 0, 0, 0, 0, 0, 0, 0, 0, 0, 0, 0, 0, 1</t>
  </si>
  <si>
    <t>emergency plumber greeley</t>
  </si>
  <si>
    <t>0, 0, 0, 0, 0, 0, 0, 0, 0, 1, 0, 1, 1, 0, 0, 0, 0, 0, 0, 0, 0, 0, 0, 1</t>
  </si>
  <si>
    <t>emergency plumber craigmillar</t>
  </si>
  <si>
    <t>24-hour plumber in atlanta</t>
  </si>
  <si>
    <t>0, 0, 1, 0, 0, 0, 0, 1, 1, 0, 1, 0, 0, 0, 0, 0, 0, 0, 0, 0, 0, 0, 0, 1</t>
  </si>
  <si>
    <t>emergency plumber gardena ca</t>
  </si>
  <si>
    <t>all hours emergency plumber</t>
  </si>
  <si>
    <t>emergency plumber esk</t>
  </si>
  <si>
    <t>emergency plumber orpington</t>
  </si>
  <si>
    <t>0, 0, 1, 1, 0, 0, 1, 0, 1, 1, 2, 0, 0, 0, 0, 0, 1, 0, 0, 0, 0, 0, 0, 1</t>
  </si>
  <si>
    <t>morrayfield emergency plumber</t>
  </si>
  <si>
    <t>emergency plumber northfield</t>
  </si>
  <si>
    <t>emergency plumber riverview</t>
  </si>
  <si>
    <t>0, 1, 0, 0, 0, 1, 0, 0, 2, 0, 1, 0, 0, 0, 0, 0, 0, 0, 0, 0, 0, 0, 0, 1</t>
  </si>
  <si>
    <t>24 hour plumber in glendale</t>
  </si>
  <si>
    <t>emergency plumber wichita</t>
  </si>
  <si>
    <t>emergency plumber hills</t>
  </si>
  <si>
    <t>0, 0, 0, 0, 1, 0, 0, 1, 0, 0, 2, 0, 0, 0, 0, 0, 0, 0, 0, 0, 0, 0, 0, 1</t>
  </si>
  <si>
    <t>emergency plumber hoffman estates</t>
  </si>
  <si>
    <t>local emergency plumber near trigg</t>
  </si>
  <si>
    <t>emergency plumber nottin hill</t>
  </si>
  <si>
    <t>emergency plumber fareham</t>
  </si>
  <si>
    <t>0, 0, 1, 1, 0, 0, 0, 3, 0, 2, 0, 0, 0, 0, 0, 0, 0, 0, 0, 0, 2, 3, 0, 3</t>
  </si>
  <si>
    <t>deerfield beach emergency plumber</t>
  </si>
  <si>
    <t>emergency plumber crossville tn</t>
  </si>
  <si>
    <t>emergency plumber greenvale</t>
  </si>
  <si>
    <t>0, 0, 2, 1, 0, 1, 3, 1, 1, 0, 0, 0, 0, 0, 0, 0, 0, 0, 0, 0, 0, 0, 0, 1</t>
  </si>
  <si>
    <t>same day plumber emergency johannesburg</t>
  </si>
  <si>
    <t>0, 0, 0, 0, 0, 0, 0, 0, 0, 0, 0, 0, 0, 0, 0, 0, 0, 0, 0, 0, 11, 27, 8, 2</t>
  </si>
  <si>
    <t>emergency plumber stratford</t>
  </si>
  <si>
    <t>emergency plumber keller</t>
  </si>
  <si>
    <t>0, 2, 0, 2, 0, 0, 1, 0, 0, 0, 0, 0, 0, 0, 0, 0, 0, 0, 0, 0, 0, 0, 0, 1</t>
  </si>
  <si>
    <t>cheap 24 hour plumber near me</t>
  </si>
  <si>
    <t>3, 1, 0, 0, 3, 1, 1, 3, 1, 0, 0, 0, 2, 1, 3, 0, 0, 0, 0, 0, 0, 0, 5, 3</t>
  </si>
  <si>
    <t>emergency plumber salt lake city</t>
  </si>
  <si>
    <t>1, 1, 1, 0, 1, 0, 3, 0, 2, 1, 2, 3, 1, 1, 1, 0, 1, 0, 0, 0, 0, 1, 1, 1</t>
  </si>
  <si>
    <t>24 hour plumber northeast houston</t>
  </si>
  <si>
    <t>24 hour plumber towen mountain</t>
  </si>
  <si>
    <t>emergency plumber thornton heath</t>
  </si>
  <si>
    <t>emergency plumber boise</t>
  </si>
  <si>
    <t>0, 0, 0, 1, 0, 1, 0, 0, 0, 4, 0, 0, 0, 0, 0, 0, 0, 0, 0, 0, 1, 1, 0, 2</t>
  </si>
  <si>
    <t>emergency plumber tullamarine</t>
  </si>
  <si>
    <t>emergency plumber shalvey</t>
  </si>
  <si>
    <t>0, 0, 0, 0, 1, 0, 1, 2, 2, 0, 0, 0, 0, 0, 0, 0, 0, 0, 0, 0, 0, 0, 0, 1</t>
  </si>
  <si>
    <t>24 hour plumber lexington ky</t>
  </si>
  <si>
    <t>0, 1, 1, 0, 0, 0, 0, 1, 0, 1, 0, 3, 0, 0, 0, 0, 0, 0, 0, 0, 0, 0, 0, 1</t>
  </si>
  <si>
    <t>24 hour plumber long beach ca</t>
  </si>
  <si>
    <t>24 hour plumber nyc</t>
  </si>
  <si>
    <t>0, 2, 1, 1, 2, 3, 0, 0, 1, 0, 6, 0, 0, 0, 0, 0, 0, 0, 0, 0, 0, 0, 0, 1</t>
  </si>
  <si>
    <t>emergency plumber lancaster pa</t>
  </si>
  <si>
    <t>0, 1, 1, 0, 1, 0, 0, 0, 1, 0, 0, 0, 0, 0, 0, 0, 0, 0, 0, 0, 0, 0, 0, 1</t>
  </si>
  <si>
    <t>emergency plumber claremore ok</t>
  </si>
  <si>
    <t>24 hour plumber rancho bernardo</t>
  </si>
  <si>
    <t>24 hour plumber san jose</t>
  </si>
  <si>
    <t>emergency plumber colwyn bay</t>
  </si>
  <si>
    <t>0, 0, 0, 0, 0, 0, 0, 1, 0, 0, 0, 0, 0, 1, 0, 0, 0, 0, 0, 0, 0, 0, 0, 1</t>
  </si>
  <si>
    <t>emergency plumber st. charles</t>
  </si>
  <si>
    <t>24 hour plumber hudson</t>
  </si>
  <si>
    <t>emergency plumber in kettering</t>
  </si>
  <si>
    <t>emergency plumber cartersville ga</t>
  </si>
  <si>
    <t>emergency plumber kensington</t>
  </si>
  <si>
    <t>1, 2, 2, 2, 1, 2, 4, 1, 4, 6, 3, 0, 0, 0, 0, 0, 0, 0, 0, 0, 0, 0, 0, 1</t>
  </si>
  <si>
    <t>0, 0, 0, 0, 0, 0, 0, 1, 1, 0, 0, 0, 0, 0, 0, 1, 0, 0, 0, 0, 1, 0, 0, 1</t>
  </si>
  <si>
    <t>emergency plumber in columbia sc</t>
  </si>
  <si>
    <t>0, 0, 0, 0, 0, 0, 0, 0, 0, 0, 3, 0, 0, 0, 0, 2, 0, 0, 0, 0, 0, 0, 0, 1</t>
  </si>
  <si>
    <t>emergency plumber lawrenceville ga</t>
  </si>
  <si>
    <t>0, 0, 0, 0, 0, 1, 0, 0, 1, 3, 2, 2, 0, 0, 0, 0, 0, 0, 0, 0, 0, 0, 0, 1</t>
  </si>
  <si>
    <t>york pa emergency plumber</t>
  </si>
  <si>
    <t>0, 0, 2, 0, 1, 1, 0, 0, 2, 4, 3, 0, 0, 0, 0, 0, 0, 0, 0, 0, 0, 0, 0, 1</t>
  </si>
  <si>
    <t>emergency plumber yeppoon</t>
  </si>
  <si>
    <t>0, 0, 0, 3, 0, 1, 1, 2, 1, 0, 3, 7, 0, 0, 0, 0, 0, 0, 0, 0, 0, 0, 0, 1</t>
  </si>
  <si>
    <t>hot water pipe leak repair</t>
  </si>
  <si>
    <t>0, 0, 0, 0, 0, 0, 1, 0, 1, 0, 0, 1, 0, 2, 3, 0, 0, 0, 2, 0, 0, 0, 0, 1</t>
  </si>
  <si>
    <t>hidden water leak repair cape town</t>
  </si>
  <si>
    <t>0, 0, 0, 0, 0, 0, 0, 0, 0, 0, 0, 0, 0, 0, 0, 0, 0, 0, 0, 10, 26, 6, 0, 11</t>
  </si>
  <si>
    <t>plumber emergency service near me</t>
  </si>
  <si>
    <t>0, 0, 2, 0, 0, 1, 1, 0, 0, 1, 1, 0, 0, 0, 0, 0, 0, 0, 1, 1, 0, 0, 1, 1</t>
  </si>
  <si>
    <t>emergency toilet plumber</t>
  </si>
  <si>
    <t>emergency plumber buckingham</t>
  </si>
  <si>
    <t>emergency plumber tampa</t>
  </si>
  <si>
    <t>1, 0, 1, 0, 0, 1, 0, 0, 1, 4, 5, 0, 0, 1, 0, 0, 0, 0, 0, 0, 0, 1, 0, 1</t>
  </si>
  <si>
    <t>emergency plumber oregon city</t>
  </si>
  <si>
    <t>emergency plumber koongal</t>
  </si>
  <si>
    <t>0, 0, 0, 0, 2, 1, 2, 0, 0, 0, 0, 0, 0, 0, 0, 0, 0, 0, 0, 0, 0, 0, 0, 1</t>
  </si>
  <si>
    <t>emergency plumber sacramento</t>
  </si>
  <si>
    <t>0, 0, 1, 0, 0, 1, 1, 1, 1, 1, 1, 2, 0, 0, 0, 0, 0, 0, 0, 0, 0, 0, 0, 1</t>
  </si>
  <si>
    <t>st. louis emergency plumber</t>
  </si>
  <si>
    <t>0, 0, 1, 0, 0, 0, 0, 1, 1, 1, 1, 0, 0, 0, 0, 0, 0, 0, 0, 0, 0, 0, 0, 1</t>
  </si>
  <si>
    <t>emergency plumber santa clara</t>
  </si>
  <si>
    <t>0, 0, 0, 0, 0, 0, 0, 1, 1, 3, 0, 0, 0, 0, 0, 0, 0, 0, 0, 0, 0, 0, 0, 1</t>
  </si>
  <si>
    <t>emergency plumber narraweena</t>
  </si>
  <si>
    <t>emergency plumber wildwood</t>
  </si>
  <si>
    <t>0, 0, 0, 0, 0, 0, 3, 1, 1, 0, 0, 0, 0, 0, 0, 0, 0, 1, 0, 0, 0, 0, 0, 1</t>
  </si>
  <si>
    <t>emergency plumber sydney eastern suburbs</t>
  </si>
  <si>
    <t>0, 0, 2, 3, 1, 2, 1, 2, 6, 1, 5, 13, 0, 0, 1, 0, 1, 0, 0, 2, 0, 0, 0, 1</t>
  </si>
  <si>
    <t>wichita emergency plumber</t>
  </si>
  <si>
    <t>emergency plumber st petersburg fl</t>
  </si>
  <si>
    <t>24 hour plumber frankston</t>
  </si>
  <si>
    <t>0, 0, 0, 0, 0, 0, 0, 0, 0, 1, 0, 0, 0, 0, 0, 0, 0, 0, 0, 0, 1, 0, 0, 2</t>
  </si>
  <si>
    <t>tooele utah 24 hour plumber</t>
  </si>
  <si>
    <t>emergency plumber victoria park</t>
  </si>
  <si>
    <t>0, 0, 0, 0, 0, 0, 0, 0, 2, 2, 2, 0, 0, 0, 0, 0, 0, 0, 0, 0, 0, 0, 0, 1</t>
  </si>
  <si>
    <t>plumbing water leak repair</t>
  </si>
  <si>
    <t>1, 0, 1, 1, 2, 3, 1, 1, 3, 2, 1, 0, 1, 0, 0, 0, 0, 1, 0, 0, 0, 0, 0, 1</t>
  </si>
  <si>
    <t>emergency plumber in aurora</t>
  </si>
  <si>
    <t>water leak roof repair cost</t>
  </si>
  <si>
    <t>0, 0, 0, 1, 0, 0, 0, 0, 0, 0, 1, 2, 0, 0, 0, 0, 0, 0, 0, 0, 0, 0, 0, 1</t>
  </si>
  <si>
    <t>24 hour plumber pompano beach</t>
  </si>
  <si>
    <t>los angeles emergency plumber</t>
  </si>
  <si>
    <t>24 hour plumber chesterfield</t>
  </si>
  <si>
    <t>24 hour plumber sunshine beach</t>
  </si>
  <si>
    <t>0, 0, 1, 0, 1, 0, 2, 0, 0, 0, 0, 0, 0, 0, 0, 0, 0, 0, 0, 0, 0, 0, 0, 1</t>
  </si>
  <si>
    <t>emergency plumber sandton</t>
  </si>
  <si>
    <t>0, 0, 0, 0, 0, 0, 0, 0, 0, 0, 0, 0, 0, 0, 0, 0, 0, 0, 0, 0, 0, 1, 11, 5</t>
  </si>
  <si>
    <t>emergency plumber san clemente</t>
  </si>
  <si>
    <t>emergency plumber vero beach</t>
  </si>
  <si>
    <t>0, 1, 0, 0, 0, 0, 0, 0, 0, 1, 0, 0, 0, 0, 0, 0, 0, 0, 0, 0, 0, 0, 0, 1</t>
  </si>
  <si>
    <t>24 hour plumber corpus christi</t>
  </si>
  <si>
    <t>0, 0, 0, 0, 1, 1, 0, 0, 0, 0, 1, 0, 0, 0, 0, 0, 0, 0, 0, 0, 0, 0, 0, 1</t>
  </si>
  <si>
    <t>spanish fork utah emergency plumber</t>
  </si>
  <si>
    <t>local emergency plumber near madora bay</t>
  </si>
  <si>
    <t>emergency plumber ashburton</t>
  </si>
  <si>
    <t>emergency plumber service mount gravatt</t>
  </si>
  <si>
    <t>emergency plumber scottsdale az</t>
  </si>
  <si>
    <t>24 hour emergency plumber eastern suburbs sydney</t>
  </si>
  <si>
    <t>0, 0, 0, 0, 0, 0, 0, 3, 1, 0, 0, 0, 0, 1, 0, 0, 0, 0, 0, 0, 0, 0, 0, 1</t>
  </si>
  <si>
    <t>emergency plumber service norman park</t>
  </si>
  <si>
    <t>emergency plumber hudson fl</t>
  </si>
  <si>
    <t>water heater leak repair maricopa</t>
  </si>
  <si>
    <t>emergency plumber kenilworth</t>
  </si>
  <si>
    <t>0, 0, 0, 2, 2, 1, 1, 1, 0, 2, 1, 3, 0, 0, 0, 1, 0, 0, 2, 0, 7, 1, 0, 4</t>
  </si>
  <si>
    <t>emergency plumber rockville centre ny</t>
  </si>
  <si>
    <t>emergency plumber lowestoft</t>
  </si>
  <si>
    <t>0, 0, 0, 1, 0, 0, 0, 0, 0, 0, 0, 0, 1, 0, 0, 0, 0, 0, 0, 0, 0, 0, 0, 1</t>
  </si>
  <si>
    <t>free emergency plumber near me</t>
  </si>
  <si>
    <t>24-hour plumber ealing</t>
  </si>
  <si>
    <t>water leak detection and repair near me</t>
  </si>
  <si>
    <t>0, 0, 0, 0, 0, 0, 0, 2, 3, 1, 0, 1, 2, 0, 0, 0, 0, 0, 0, 0, 0, 0, 0, 1</t>
  </si>
  <si>
    <t>24 hour plumber waco</t>
  </si>
  <si>
    <t>0, 0, 0, 0, 0, 0, 1, 0, 2, 1, 0, 1, 0, 0, 0, 0, 0, 0, 0, 0, 0, 0, 0, 1</t>
  </si>
  <si>
    <t>emergency plumber naples fl</t>
  </si>
  <si>
    <t>0, 0, 0, 0, 0, 3, 0, 0, 0, 0, 0, 1, 0, 0, 0, 0, 0, 0, 0, 0, 0, 0, 0, 1</t>
  </si>
  <si>
    <t>emergency plumber near me cheap chicago</t>
  </si>
  <si>
    <t>0, 0, 0, 0, 0, 0, 1, 1, 1, 0, 2, 0, 0, 0, 0, 0, 0, 0, 0, 0, 0, 0, 0, 1</t>
  </si>
  <si>
    <t>emergency plumber victoria bc</t>
  </si>
  <si>
    <t>0, 0, 1, 1, 1, 1, 0, 0, 0, 0, 0, 0, 0, 0, 0, 0, 0, 0, 0, 0, 0, 0, 0, 1</t>
  </si>
  <si>
    <t>24 hour plumber okc</t>
  </si>
  <si>
    <t>0, 0, 0, 0, 0, 0, 0, 1, 1, 1, 0, 0, 1, 0, 0, 0, 0, 0, 0, 0, 0, 1, 0, 2</t>
  </si>
  <si>
    <t>24 hour plumber lake macdonald</t>
  </si>
  <si>
    <t>emergency plumber loughborough</t>
  </si>
  <si>
    <t>0, 0, 0, 0, 0, 1, 0, 0, 0, 3, 1, 0, 0, 0, 2, 0, 0, 0, 0, 0, 0, 0, 0, 1</t>
  </si>
  <si>
    <t>coral springs burst pipe repair</t>
  </si>
  <si>
    <t>emergency plumber franklin county</t>
  </si>
  <si>
    <t>burst pipe water repair</t>
  </si>
  <si>
    <t>emergency plumber rancho cucamonga ca</t>
  </si>
  <si>
    <t>emergency plumber marrietta</t>
  </si>
  <si>
    <t>water leak repair chicago</t>
  </si>
  <si>
    <t>0, 0, 2, 0, 0, 0, 0, 3, 3, 2, 1, 0, 0, 0, 0, 0, 0, 0, 0, 0, 0, 0, 0, 1</t>
  </si>
  <si>
    <t>emergency plumber finchley</t>
  </si>
  <si>
    <t>2, 2, 0, 0, 0, 0, 0, 2, 1, 2, 2, 0, 0, 0, 0, 0, 0, 0, 0, 0, 0, 0, 0, 1</t>
  </si>
  <si>
    <t>hot springs emergency plumber</t>
  </si>
  <si>
    <t>emergency plumber logan</t>
  </si>
  <si>
    <t>0, 2, 0, 1, 1, 2, 2, 1, 1, 1, 2, 0, 0, 0, 2, 0, 1, 0, 0, 1, 0, 0, 0, 1</t>
  </si>
  <si>
    <t>emergency plumber blaenau ffestiniog</t>
  </si>
  <si>
    <t>emergency plumber cheltenham</t>
  </si>
  <si>
    <t>0, 1, 1, 2, 6, 5, 4, 3, 4, 4, 5, 0, 0, 0, 0, 0, 0, 0, 0, 0, 1, 0, 0, 2</t>
  </si>
  <si>
    <t>emergency plumber chippenham</t>
  </si>
  <si>
    <t>0, 0, 0, 0, 0, 1, 0, 0, 0, 0, 2, 1, 0, 1, 0, 0, 0, 0, 0, 0, 0, 0, 0, 1</t>
  </si>
  <si>
    <t>columbia emergency plumber</t>
  </si>
  <si>
    <t>emergency plumber carlingford</t>
  </si>
  <si>
    <t>emergency plumber dublin 16</t>
  </si>
  <si>
    <t>emergency plumber midlothian va</t>
  </si>
  <si>
    <t>leaking tap repair services</t>
  </si>
  <si>
    <t>copper pipe burst repair</t>
  </si>
  <si>
    <t>0, 0, 0, 0, 0, 0, 0, 0, 0, 0, 0, 0, 0, 0, 0, 0, 2, 0, 1, 0, 0, 0, 0, 1</t>
  </si>
  <si>
    <t>water pipe leak repair fort worth</t>
  </si>
  <si>
    <t>2, 0, 0, 1, 0, 1, 1, 2, 0, 0, 0, 0, 0, 0, 0, 0, 0, 0, 0, 0, 0, 0, 0, 1</t>
  </si>
  <si>
    <t>frisco emergency plumber</t>
  </si>
  <si>
    <t>0, 0, 1, 1, 2, 1, 0, 0, 2, 2, 1, 0, 0, 0, 0, 0, 0, 1, 0, 0, 1, 0, 0, 1</t>
  </si>
  <si>
    <t>emergency plumber teaneck</t>
  </si>
  <si>
    <t>24 hour plumber bergen county</t>
  </si>
  <si>
    <t>emergency plumber trenton</t>
  </si>
  <si>
    <t>emergency plumber wallsend</t>
  </si>
  <si>
    <t>24 hour plumber cheadle</t>
  </si>
  <si>
    <t>0, 0, 0, 0, 0, 0, 0, 0, 1, 1, 0, 2, 0, 0, 0, 0, 0, 0, 0, 0, 0, 0, 0, 1</t>
  </si>
  <si>
    <t>emergency plumber flagstaff az</t>
  </si>
  <si>
    <t>1, 0, 0, 0, 0, 1, 0, 0, 1, 0, 2, 0, 0, 0, 0, 0, 0, 1, 0, 0, 0, 0, 0, 1</t>
  </si>
  <si>
    <t>white bear lake emergency plumber</t>
  </si>
  <si>
    <t>24 hour water leak repair easley</t>
  </si>
  <si>
    <t>scottsdale emergency plumber</t>
  </si>
  <si>
    <t>24 hour plumber south auckland</t>
  </si>
  <si>
    <t>water leak repair hendersonville</t>
  </si>
  <si>
    <t>0, 0, 0, 0, 2, 1, 0, 0, 0, 1, 0, 0, 0, 0, 0, 0, 0, 0, 0, 0, 0, 0, 0, 1</t>
  </si>
  <si>
    <t>collinsville emergency plumber</t>
  </si>
  <si>
    <t>plumber for blocked toilet</t>
  </si>
  <si>
    <t>1, 0, 0, 3, 0, 3, 1, 1, 0, 1, 5, 4, 4, 1, 0, 1, 0, 1, 2, 3, 1, 1, 0, 2</t>
  </si>
  <si>
    <t>24 hour plumber in east london</t>
  </si>
  <si>
    <t>emergency plumber covina ca</t>
  </si>
  <si>
    <t>0, 0, 0, 0, 0, 0, 0, 0, 0, 1, 0, 0, 0, 0, 0, 0, 0, 1, 0, 0, 0, 0, 0, 1</t>
  </si>
  <si>
    <t>24 hour plumber philadelphia</t>
  </si>
  <si>
    <t>riverton utah 24 hour plumber</t>
  </si>
  <si>
    <t>24 hour plumber fair lawn</t>
  </si>
  <si>
    <t>24 hour emergency plumber san diego</t>
  </si>
  <si>
    <t>24 7 emergency kitchen plumber</t>
  </si>
  <si>
    <t>0, 0, 0, 0, 0, 1, 0, 0, 1, 0, 0, 2, 3, 4, 5, 0, 0, 0, 0, 0, 0, 0, 0, 1</t>
  </si>
  <si>
    <t>water leak repair mckinney</t>
  </si>
  <si>
    <t>24 hour plumber footscray</t>
  </si>
  <si>
    <t>0, 0, 0, 0, 0, 0, 1, 0, 0, 0, 3, 0, 0, 0, 0, 0, 0, 0, 0, 0, 0, 0, 0, 1</t>
  </si>
  <si>
    <t>emergency plumber near me cheap denver</t>
  </si>
  <si>
    <t>0, 0, 0, 0, 0, 0, 1, 0, 1, 1, 2, 0, 0, 0, 0, 0, 0, 0, 0, 0, 0, 0, 0, 1</t>
  </si>
  <si>
    <t>emergency plumber woorim</t>
  </si>
  <si>
    <t>24 hour plumber cromer</t>
  </si>
  <si>
    <t>portland plumber emergency</t>
  </si>
  <si>
    <t>0, 0, 0, 0, 2, 0, 1, 1, 0, 2, 1, 0, 0, 0, 0, 0, 0, 0, 0, 0, 0, 0, 0, 1</t>
  </si>
  <si>
    <t>emergency plumber bridgnorth</t>
  </si>
  <si>
    <t>0, 0, 0, 2, 1, 0, 0, 2, 2, 4, 2, 0, 0, 0, 0, 0, 0, 0, 0, 0, 0, 0, 0, 1</t>
  </si>
  <si>
    <t>emergency plumber shailer park</t>
  </si>
  <si>
    <t>0, 0, 0, 0, 0, 0, 0, 0, 0, 0, 0, 0, 0, 0, 2, 0, 1, 0, 1, 0, 0, 0, 0, 1</t>
  </si>
  <si>
    <t>emergency plumber in statesville nc</t>
  </si>
  <si>
    <t>emergency plumber nashua</t>
  </si>
  <si>
    <t>0, 0, 1, 0, 0, 1, 0, 0, 1, 0, 0, 0, 0, 0, 0, 0, 0, 0, 0, 0, 0, 0, 0, 1</t>
  </si>
  <si>
    <t>emergency plumber cumberland</t>
  </si>
  <si>
    <t>0, 0, 1, 2, 0, 1, 1, 1, 1, 1, 0, 1, 0, 0, 0, 0, 0, 0, 0, 0, 0, 0, 0, 1</t>
  </si>
  <si>
    <t>blocked toilet emergency plumber</t>
  </si>
  <si>
    <t>0, 0, 0, 2, 0, 1, 0, 0, 0, 3, 0, 0, 0, 0, 0, 0, 0, 0, 0, 0, 0, 0, 0, 1</t>
  </si>
  <si>
    <t>emergency plumber acworth</t>
  </si>
  <si>
    <t>emergency plumber blackett</t>
  </si>
  <si>
    <t>0, 0, 0, 0, 1, 0, 0, 2, 2, 2, 2, 1, 0, 0, 0, 0, 0, 0, 0, 0, 0, 0, 0, 1</t>
  </si>
  <si>
    <t>emergency plumber fulton county</t>
  </si>
  <si>
    <t>24 hour plumber brooklyn ny</t>
  </si>
  <si>
    <t>0, 1, 0, 0, 0, 2, 1, 0, 0, 1, 2, 2, 1, 0, 0, 0, 0, 0, 0, 0, 0, 0, 0, 1</t>
  </si>
  <si>
    <t>bee cave emergency plumber</t>
  </si>
  <si>
    <t>santa rosa beach emergency plumber</t>
  </si>
  <si>
    <t>emergency plumber langford</t>
  </si>
  <si>
    <t>0, 0, 0, 0, 0, 0, 3, 0, 3, 1, 0, 0, 0, 0, 0, 0, 0, 0, 0, 0, 0, 0, 0, 1</t>
  </si>
  <si>
    <t>emergency plumber sedona</t>
  </si>
  <si>
    <t>0, 2, 0, 0, 0, 0, 0, 0, 2, 1, 3, 0, 0, 0, 0, 0, 0, 0, 0, 0, 0, 0, 0, 1</t>
  </si>
  <si>
    <t>emergency plumber hailsham</t>
  </si>
  <si>
    <t>0, 0, 0, 1, 0, 2, 3, 2, 0, 1, 0, 0, 0, 0, 0, 0, 0, 0, 0, 0, 0, 0, 0, 1</t>
  </si>
  <si>
    <t>emergency plumber coachella</t>
  </si>
  <si>
    <t>0, 0, 0, 1, 0, 0, 0, 1, 1, 0, 5, 0, 0, 0, 0, 0, 0, 0, 0, 0, 0, 0, 0, 1</t>
  </si>
  <si>
    <t>emergency plumber beecroft</t>
  </si>
  <si>
    <t>0, 0, 0, 0, 0, 0, 1, 1, 1, 0, 0, 0, 0, 0, 0, 0, 0, 0, 0, 0, 0, 0, 0, 1</t>
  </si>
  <si>
    <t>emergency plumber granbury tx</t>
  </si>
  <si>
    <t>emergency plumber milton keynes</t>
  </si>
  <si>
    <t>0, 1, 0, 0, 0, 0, 0, 1, 5, 0, 6, 1, 0, 1, 1, 0, 0, 0, 0, 0, 0, 0, 0, 1</t>
  </si>
  <si>
    <t>24 hour plumber albuquerque</t>
  </si>
  <si>
    <t>morningside emergency plumber</t>
  </si>
  <si>
    <t>tucson 24 hour plumber</t>
  </si>
  <si>
    <t>emergency plumber bexleyheath</t>
  </si>
  <si>
    <t>0, 0, 0, 1, 0, 1, 0, 0, 1, 0, 2, 0, 0, 0, 0, 0, 0, 0, 0, 0, 3, 0, 0, 1</t>
  </si>
  <si>
    <t>water leak repair crawley</t>
  </si>
  <si>
    <t>emergency plumber lynnwood</t>
  </si>
  <si>
    <t>0, 0, 0, 0, 0, 1, 1, 3, 4, 1, 1, 4, 1, 0, 0, 0, 3, 1, 1, 2, 0, 0, 0, 1</t>
  </si>
  <si>
    <t>ship ave emergency plumber</t>
  </si>
  <si>
    <t>emergency plumber coomera</t>
  </si>
  <si>
    <t>0, 0, 0, 0, 1, 1, 0, 0, 0, 1, 0, 0, 0, 0, 0, 0, 0, 0, 0, 0, 0, 2, 0, 2</t>
  </si>
  <si>
    <t>emergency plumber hertfordshire</t>
  </si>
  <si>
    <t>24 hour plumber peregian beach</t>
  </si>
  <si>
    <t>0, 0, 1, 0, 0, 1, 1, 0, 0, 0, 0, 0, 0, 0, 0, 0, 0, 0, 0, 0, 0, 0, 0, 1</t>
  </si>
  <si>
    <t>emergency gas plumber lakewood</t>
  </si>
  <si>
    <t>0, 0, 0, 0, 0, 0, 0, 1, 0, 1, 1, 2, 0, 0, 0, 0, 0, 0, 0, 0, 0, 0, 0, 1</t>
  </si>
  <si>
    <t>emergency plumber clontarf</t>
  </si>
  <si>
    <t>24 hour plumber san antonio texas</t>
  </si>
  <si>
    <t>24 hour plumber lawrenceville</t>
  </si>
  <si>
    <t>lake havasu emergency plumber</t>
  </si>
  <si>
    <t>0, 2, 2, 0, 0, 1, 0, 1, 0, 2, 3, 1, 0, 0, 0, 0, 0, 0, 0, 0, 0, 0, 0, 1</t>
  </si>
  <si>
    <t>emergency plumber falmouth</t>
  </si>
  <si>
    <t>emergency plumber bebington</t>
  </si>
  <si>
    <t>emergency plumber burlington nc</t>
  </si>
  <si>
    <t>warner emergency plumber</t>
  </si>
  <si>
    <t>water leak in basement repair</t>
  </si>
  <si>
    <t>0, 0, 0, 2, 1, 0, 0, 0, 1, 0, 0, 0, 0, 0, 0, 0, 0, 0, 0, 0, 0, 0, 0, 1</t>
  </si>
  <si>
    <t>emergency plumber chelmsford</t>
  </si>
  <si>
    <t>1, 1, 1, 0, 0, 0, 2, 2, 0, 1, 2, 0, 2, 0, 1, 0, 0, 0, 1, 1, 0, 0, 0, 1</t>
  </si>
  <si>
    <t>emergency plumber manchester nh</t>
  </si>
  <si>
    <t>emergency plumber pueblo co</t>
  </si>
  <si>
    <t>emergency plumber tuscaloosa</t>
  </si>
  <si>
    <t>evanston emergency plumber</t>
  </si>
  <si>
    <t>emergency plumber beenleigh</t>
  </si>
  <si>
    <t>0, 0, 0, 3, 0, 1, 1, 0, 0, 0, 3, 0, 0, 0, 0, 0, 0, 0, 0, 0, 0, 0, 0, 1</t>
  </si>
  <si>
    <t>emergency plumber bermuda dunes</t>
  </si>
  <si>
    <t>24 hour plumber coventry</t>
  </si>
  <si>
    <t>0, 0, 1, 1, 0, 0, 1, 1, 0, 0, 0, 0, 0, 0, 0, 0, 0, 0, 0, 0, 0, 0, 0, 1</t>
  </si>
  <si>
    <t>long island emergency plumber</t>
  </si>
  <si>
    <t>24 hour plumber grapevine</t>
  </si>
  <si>
    <t>0, 0, 0, 0, 1, 0, 2, 0, 2, 0, 0, 0, 0, 1, 0, 0, 0, 0, 0, 0, 0, 0, 0, 1</t>
  </si>
  <si>
    <t>emergency plumber richmond va</t>
  </si>
  <si>
    <t>4, 0, 0, 0, 1, 0, 0, 0, 0, 0, 3, 0, 0, 0, 0, 0, 0, 0, 0, 0, 0, 0, 0, 1</t>
  </si>
  <si>
    <t>24 hour plumber plumber or plumbing or</t>
  </si>
  <si>
    <t>emergency plumber grey forest tx</t>
  </si>
  <si>
    <t>emergency plumber st catharines</t>
  </si>
  <si>
    <t>0, 0, 0, 0, 1, 1, 0, 1, 0, 2, 1, 0, 0, 0, 0, 0, 0, 0, 0, 0, 0, 0, 0, 1</t>
  </si>
  <si>
    <t>mystic emergency plumber</t>
  </si>
  <si>
    <t>0, 0, 0, 0, 0, 0, 0, 0, 1, 2, 2, 2, 0, 0, 0, 0, 0, 0, 0, 0, 0, 0, 0, 1</t>
  </si>
  <si>
    <t>emergency plumber christmas day</t>
  </si>
  <si>
    <t>emergency plumber padstow</t>
  </si>
  <si>
    <t>emergency plumber dallas tx</t>
  </si>
  <si>
    <t>1, 0, 0, 0, 2, 0, 1, 4, 2, 4, 3, 0, 0, 0, 0, 1, 1, 0, 0, 0, 0, 0, 0, 1</t>
  </si>
  <si>
    <t>santa clarita emergency plumber</t>
  </si>
  <si>
    <t>water leak repair westchester ny</t>
  </si>
  <si>
    <t>0, 0, 0, 0, 0, 2, 0, 0, 1, 0, 0, 1, 0, 0, 0, 0, 0, 0, 0, 0, 0, 0, 0, 1</t>
  </si>
  <si>
    <t>big bear emergency plumber</t>
  </si>
  <si>
    <t>0, 0, 0, 1, 0, 0, 0, 0, 0, 2, 1, 1, 0, 0, 0, 0, 0, 0, 0, 0, 0, 0, 0, 1</t>
  </si>
  <si>
    <t>emergency plumber waterlooville</t>
  </si>
  <si>
    <t>emergency plumber dingley village</t>
  </si>
  <si>
    <t>emergency plumber cherrybrook</t>
  </si>
  <si>
    <t>0, 0, 0, 1, 0, 0, 1, 0, 0, 1, 1, 0, 0, 0, 0, 0, 0, 0, 0, 0, 0, 0, 0, 1</t>
  </si>
  <si>
    <t>emergency plumber colindale</t>
  </si>
  <si>
    <t>emergency plumber east deep creek</t>
  </si>
  <si>
    <t>0, 0, 0, 0, 0, 1, 0, 0, 1, 1, 2, 1, 0, 0, 0, 0, 0, 0, 0, 0, 0, 0, 0, 1</t>
  </si>
  <si>
    <t>emergency plumber in sawbridgeworth</t>
  </si>
  <si>
    <t>gaithersburg md emergency plumber</t>
  </si>
  <si>
    <t>1, 1, 0, 0, 0, 0, 1, 0, 0, 0, 4, 2, 0, 0, 0, 0, 0, 0, 1, 0, 0, 0, 0, 1</t>
  </si>
  <si>
    <t>24 hour plumber sunshine coast</t>
  </si>
  <si>
    <t>0, 2, 0, 0, 1, 0, 0, 2, 0, 0, 1, 0, 0, 0, 0, 0, 0, 0, 0, 0, 0, 0, 0, 1</t>
  </si>
  <si>
    <t>repair water line leak</t>
  </si>
  <si>
    <t>emergency plumber brisbane</t>
  </si>
  <si>
    <t>2, 10, 9, 2, 4, 3, 5, 8, 6, 8, 21, 1, 0, 1, 4, 2, 0, 0, 1, 0, 1, 1, 2, 2</t>
  </si>
  <si>
    <t>water leak repair sunshine coast</t>
  </si>
  <si>
    <t>emergency plumber letchworth</t>
  </si>
  <si>
    <t>emergency plumber rockville</t>
  </si>
  <si>
    <t>0, 1, 0, 0, 1, 1, 0, 0, 0, 0, 1, 0, 0, 0, 0, 0, 0, 0, 1, 0, 0, 0, 0, 1</t>
  </si>
  <si>
    <t>24 hour plumber hartland mi</t>
  </si>
  <si>
    <t>emergency plumber waterford ct</t>
  </si>
  <si>
    <t>greeneville 24 hour plumber</t>
  </si>
  <si>
    <t>emergency plumber winchester</t>
  </si>
  <si>
    <t>0, 1, 0, 3, 1, 0, 0, 2, 1, 1, 1, 0, 0, 0, 0, 0, 0, 0, 0, 0, 0, 0, 0, 1</t>
  </si>
  <si>
    <t>emergency plumber biggleswade</t>
  </si>
  <si>
    <t>0, 0, 0, 0, 1, 1, 2, 1, 0, 0, 0, 0, 0, 0, 0, 0, 0, 0, 0, 0, 0, 0, 0, 1</t>
  </si>
  <si>
    <t>emergency plumber in chelsea</t>
  </si>
  <si>
    <t>south salt lake utah emergency plumber</t>
  </si>
  <si>
    <t>emergency plumber thornleigh</t>
  </si>
  <si>
    <t>0, 0, 0, 0, 0, 1, 0, 2, 2, 1, 1, 0, 1, 2, 0, 0, 0, 1, 0, 0, 0, 0, 0, 1</t>
  </si>
  <si>
    <t>emergency plumber delta</t>
  </si>
  <si>
    <t>local emergency plumber near parmelia</t>
  </si>
  <si>
    <t>24 hour plumber canoga park</t>
  </si>
  <si>
    <t>emergency plumber pretoria east</t>
  </si>
  <si>
    <t>emergency plumber bury st edmonds</t>
  </si>
  <si>
    <t>24 hour plumber huntington beach ca</t>
  </si>
  <si>
    <t>0, 0, 0, 0, 0, 0, 0, 0, 2, 0, 0, 0, 0, 0, 0, 0, 0, 0, 0, 0, 0, 0, 0, 1</t>
  </si>
  <si>
    <t>emergency plumber rhodes</t>
  </si>
  <si>
    <t>emergency plumber milford</t>
  </si>
  <si>
    <t>0, 0, 0, 1, 0, 1, 0, 0, 1, 0, 0, 1, 0, 0, 0, 0, 0, 0, 0, 0, 0, 0, 0, 1</t>
  </si>
  <si>
    <t>potomac md emergency plumber</t>
  </si>
  <si>
    <t>2, 0, 1, 0, 0, 1, 0, 0, 0, 4, 1, 0, 0, 0, 0, 1, 0, 0, 0, 0, 0, 0, 0, 1</t>
  </si>
  <si>
    <t>emergency plumber las vegas nv</t>
  </si>
  <si>
    <t>0, 0, 0, 0, 0, 0, 0, 1, 0, 1, 0, 1, 0, 0, 0, 0, 0, 0, 0, 0, 0, 0, 0, 1</t>
  </si>
  <si>
    <t>emergency plumber botany</t>
  </si>
  <si>
    <t>emergency plumber hochelaga</t>
  </si>
  <si>
    <t>farmington utah emergency plumber</t>
  </si>
  <si>
    <t>emergency plumber ruislip</t>
  </si>
  <si>
    <t>0, 0, 0, 0, 0, 1, 0, 0, 0, 0, 0, 0, 0, 1, 0, 0, 0, 0, 0, 0, 0, 0, 0, 1</t>
  </si>
  <si>
    <t>emergency plumber preston</t>
  </si>
  <si>
    <t>0, 0, 0, 1, 3, 2, 1, 3, 3, 1, 3, 0, 0, 0, 0, 0, 0, 0, 0, 0, 0, 0, 0, 1</t>
  </si>
  <si>
    <t>emergency plumber subiaco</t>
  </si>
  <si>
    <t>0, 0, 1, 1, 0, 1, 0, 0, 0, 3, 1, 0, 0, 0, 0, 0, 0, 0, 0, 0, 0, 0, 0, 1</t>
  </si>
  <si>
    <t>emergency plumber mauldin sc</t>
  </si>
  <si>
    <t>24 hour plumber mosman</t>
  </si>
  <si>
    <t>0, 0, 0, 0, 0, 0, 1, 1, 0, 1, 1, 0, 0, 0, 0, 0, 0, 0, 0, 0, 0, 0, 0, 1</t>
  </si>
  <si>
    <t>plumber emergency call out</t>
  </si>
  <si>
    <t>0, 0, 0, 0, 0, 1, 0, 0, 0, 0, 1, 1, 0, 3, 1, 0, 0, 0, 0, 3, 0, 0, 0, 1</t>
  </si>
  <si>
    <t>emergency plumber chapel hill</t>
  </si>
  <si>
    <t>0, 0, 1, 0, 0, 0, 0, 0, 0, 0, 2, 0, 0, 1, 2, 0, 0, 0, 2, 0, 0, 0, 0, 1</t>
  </si>
  <si>
    <t>emergency plumber chesterfield va</t>
  </si>
  <si>
    <t>emergency plumber lane cove</t>
  </si>
  <si>
    <t>0, 1, 1, 0, 2, 0, 0, 1, 0, 0, 0, 1, 0, 0, 0, 0, 0, 0, 0, 0, 0, 0, 0, 1</t>
  </si>
  <si>
    <t>emergency plumber puyallup</t>
  </si>
  <si>
    <t>novato emergency plumber</t>
  </si>
  <si>
    <t>24 hour plumber brighton mi</t>
  </si>
  <si>
    <t>emergency plumber concord nc</t>
  </si>
  <si>
    <t>emergency plumber sunshine</t>
  </si>
  <si>
    <t>emergency plumber snellville</t>
  </si>
  <si>
    <t>winter garden emergency plumber</t>
  </si>
  <si>
    <t>water leak repair argyle</t>
  </si>
  <si>
    <t>homeserve emergency plumber</t>
  </si>
  <si>
    <t>emergency plumber portobello</t>
  </si>
  <si>
    <t>emergency plumber st ives</t>
  </si>
  <si>
    <t>0, 0, 0, 1, 3, 1, 1, 2, 5, 1, 1, 0, 0, 0, 0, 0, 0, 0, 0, 0, 0, 0, 0, 1</t>
  </si>
  <si>
    <t>emergency plumber north vancouver</t>
  </si>
  <si>
    <t>1, 0, 1, 2, 1, 0, 1, 1, 1, 2, 2, 0, 0, 0, 0, 0, 0, 0, 0, 0, 0, 0, 0, 1</t>
  </si>
  <si>
    <t>emergency plumber temecula ca</t>
  </si>
  <si>
    <t>pocomoke city emergency plumber</t>
  </si>
  <si>
    <t>emergency plumber maryborough</t>
  </si>
  <si>
    <t>repair pipe leak of water</t>
  </si>
  <si>
    <t>emergency plumber reading berkshire</t>
  </si>
  <si>
    <t>emergency plumber maidstone</t>
  </si>
  <si>
    <t>0, 0, 0, 0, 1, 1, 1, 1, 0, 2, 1, 1, 0, 0, 0, 0, 0, 1, 0, 0, 0, 0, 0, 1</t>
  </si>
  <si>
    <t>emergency plumber wallasey</t>
  </si>
  <si>
    <t>0, 0, 0, 0, 1, 0, 0, 0, 0, 0, 0, 2, 0, 0, 0, 0, 0, 0, 0, 0, 0, 0, 0, 1</t>
  </si>
  <si>
    <t>emergency plumber narre warren</t>
  </si>
  <si>
    <t>1, 0, 0, 0, 0, 0, 0, 1, 0, 1, 2, 0, 0, 0, 0, 0, 0, 0, 0, 0, 0, 0, 0, 1</t>
  </si>
  <si>
    <t>emergency plumber plano</t>
  </si>
  <si>
    <t>0, 0, 1, 1, 2, 0, 1, 5, 3, 3, 2, 0, 0, 0, 0, 0, 0, 0, 0, 1, 0, 0, 0, 1</t>
  </si>
  <si>
    <t>emergency plumber near norridge</t>
  </si>
  <si>
    <t>emergency plumber ballina</t>
  </si>
  <si>
    <t>water leak damage repair washington county</t>
  </si>
  <si>
    <t>emergency plumber tenbury wells</t>
  </si>
  <si>
    <t>emergency plumber wigan</t>
  </si>
  <si>
    <t>1, 1, 0, 1, 1, 0, 1, 4, 2, 2, 3, 0, 0, 2, 0, 0, 0, 0, 0, 0, 0, 0, 0, 1</t>
  </si>
  <si>
    <t>emergency plumber melton mowbray</t>
  </si>
  <si>
    <t>emergency plumber tupelo ms</t>
  </si>
  <si>
    <t>0, 0, 0, 0, 1, 1, 0, 0, 0, 2, 1, 0, 0, 0, 0, 0, 0, 0, 0, 0, 0, 0, 0, 1</t>
  </si>
  <si>
    <t>west valley city utah 24 hour plumber</t>
  </si>
  <si>
    <t>emergency plumber siesta key fl</t>
  </si>
  <si>
    <t>24 hour plumber boise</t>
  </si>
  <si>
    <t>0, 0, 1, 0, 1, 0, 0, 1, 2, 0, 0, 0, 0, 0, 0, 0, 0, 0, 0, 0, 0, 0, 0, 1</t>
  </si>
  <si>
    <t>emergency plumber leak repair naples fl</t>
  </si>
  <si>
    <t>emergency plumber woodstock</t>
  </si>
  <si>
    <t>0, 0, 0, 0, 1, 0, 0, 0, 0, 0, 1, 2, 2, 0, 0, 0, 0, 0, 1, 0, 0, 0, 0, 1</t>
  </si>
  <si>
    <t>emergency plumber chatswood</t>
  </si>
  <si>
    <t>1, 1, 1, 3, 1, 1, 1, 1, 3, 0, 8, 0, 0, 0, 0, 0, 0, 0, 0, 0, 0, 0, 0, 1</t>
  </si>
  <si>
    <t>emergency plumber cirencester</t>
  </si>
  <si>
    <t>0, 0, 0, 0, 2, 2, 0, 0, 0, 3, 2, 0, 0, 0, 0, 0, 0, 0, 0, 0, 0, 0, 0, 1</t>
  </si>
  <si>
    <t>woodbridge emergency plumber</t>
  </si>
  <si>
    <t>water leak repair rochester</t>
  </si>
  <si>
    <t>0, 0, 0, 0, 0, 4, 0, 0, 1, 1, 0, 0, 0, 0, 0, 0, 0, 0, 0, 0, 0, 0, 0, 1</t>
  </si>
  <si>
    <t>emergency plumber sedona az</t>
  </si>
  <si>
    <t>1, 0, 0, 1, 0, 0, 1, 0, 0, 0, 1, 2, 0, 0, 0, 0, 0, 0, 0, 0, 0, 0, 0, 1</t>
  </si>
  <si>
    <t>cibolo emergency plumber</t>
  </si>
  <si>
    <t>0, 0, 0, 0, 0, 0, 1, 0, 0, 1, 6, 2, 0, 0, 0, 0, 0, 1, 0, 0, 0, 0, 0, 1</t>
  </si>
  <si>
    <t>emergency plumber hassall grove</t>
  </si>
  <si>
    <t>24 hour plumber riverside</t>
  </si>
  <si>
    <t>1, 0, 0, 0, 0, 0, 0, 0, 0, 1, 2, 1, 0, 0, 0, 0, 0, 0, 0, 0, 0, 0, 0, 1</t>
  </si>
  <si>
    <t>emergency plumber cessnock</t>
  </si>
  <si>
    <t>0, 0, 1, 1, 0, 1, 0, 0, 1, 0, 0, 0, 0, 0, 0, 0, 0, 0, 0, 0, 0, 0, 0, 1</t>
  </si>
  <si>
    <t>basement water leak repair cumming ga</t>
  </si>
  <si>
    <t>24 hour emergency plumber london</t>
  </si>
  <si>
    <t>0, 0, 1, 0, 0, 2, 0, 1, 0, 0, 2, 0, 1, 0, 0, 0, 0, 0, 0, 0, 0, 0, 0, 1</t>
  </si>
  <si>
    <t>24 hour plumber howell mi</t>
  </si>
  <si>
    <t>repair leaking tap</t>
  </si>
  <si>
    <t>5, 5, 6, 5, 5, 5, 7, 5, 6, 6, 1, 2, 3, 6, 3, 1, 0, 3, 0, 3, 0, 0, 1, 1</t>
  </si>
  <si>
    <t>emergency plumber in san francisco ca</t>
  </si>
  <si>
    <t>0, 0, 2, 0, 0, 0, 0, 0, 0, 0, 0, 0, 0, 0, 0, 0, 0, 0, 0, 0, 0, 0, 0, 1</t>
  </si>
  <si>
    <t>24 hour plumber weatherford tx</t>
  </si>
  <si>
    <t>emergency plumber kamloops</t>
  </si>
  <si>
    <t>cost to repair burst pipe</t>
  </si>
  <si>
    <t>0, 0, 0, 0, 0, 0, 0, 1, 0, 0, 0, 0, 0, 0, 0, 0, 0, 1, 0, 2, 0, 0, 0, 1</t>
  </si>
  <si>
    <t>water leak repair zebulon</t>
  </si>
  <si>
    <t>0, 1, 0, 0, 1, 0, 0, 0, 0, 0, 0, 0, 0, 0, 0, 0, 0, 0, 0, 0, 0, 0, 0, 1</t>
  </si>
  <si>
    <t>emergency blocked toilet plumber gold coast</t>
  </si>
  <si>
    <t>0, 2, 0, 0, 0, 0, 0, 0, 0, 0, 0, 0, 0, 0, 0, 0, 0, 0, 0, 0, 0, 0, 0, 1</t>
  </si>
  <si>
    <t>emergency plumber north shore auckland</t>
  </si>
  <si>
    <t>0, 0, 1, 0, 0, 3, 1, 0, 0, 0, 0, 0, 0, 0, 0, 0, 0, 0, 0, 0, 0, 0, 0, 1</t>
  </si>
  <si>
    <t>emergency plumber ely</t>
  </si>
  <si>
    <t>emergency plumber paradise valley az</t>
  </si>
  <si>
    <t>emergency plumber service dutton park</t>
  </si>
  <si>
    <t>24 hour plumber rockwall tx</t>
  </si>
  <si>
    <t>2, 0, 0, 0, 0, 1, 0, 0, 2, 1, 0, 0, 0, 0, 0, 0, 0, 0, 0, 0, 0, 0, 0, 1</t>
  </si>
  <si>
    <t>emergency plumber in new york</t>
  </si>
  <si>
    <t>0, 0, 0, 0, 0, 0, 0, 0, 0, 0, 0, 0, 0, 0, 0, 5, 0, 0, 0, 0, 0, 0, 0, 1</t>
  </si>
  <si>
    <t>emergency plumber scunthorpe</t>
  </si>
  <si>
    <t>0, 0, 0, 0, 0, 0, 2, 0, 1, 0, 1, 0, 0, 0, 0, 0, 0, 0, 0, 0, 0, 0, 0, 1</t>
  </si>
  <si>
    <t>emergency plumber arvada</t>
  </si>
  <si>
    <t>0, 0, 0, 0, 1, 0, 0, 2, 0, 3, 0, 0, 0, 0, 0, 0, 0, 0, 0, 0, 0, 0, 0, 1</t>
  </si>
  <si>
    <t>professional emergency plumber</t>
  </si>
  <si>
    <t>0, 0, 0, 0, 1, 0, 0, 0, 0, 0, 0, 0, 0, 0, 0, 0, 0, 0, 1, 0, 0, 0, 0, 1</t>
  </si>
  <si>
    <t>emergency plumber centurion</t>
  </si>
  <si>
    <t>duncanville emergency plumber</t>
  </si>
  <si>
    <t>water service line leak repair</t>
  </si>
  <si>
    <t>dover emergency plumber</t>
  </si>
  <si>
    <t>emergency plumber inner west sydney</t>
  </si>
  <si>
    <t>0, 0, 0, 0, 1, 0, 1, 1, 0, 1, 4, 0, 0, 0, 0, 0, 0, 0, 0, 0, 0, 0, 0, 1</t>
  </si>
  <si>
    <t>timperley emergency plumber</t>
  </si>
  <si>
    <t>dayton emergency plumber</t>
  </si>
  <si>
    <t>0, 0, 0, 0, 0, 0, 0, 2, 1, 1, 0, 0, 1, 0, 0, 0, 0, 0, 0, 0, 0, 0, 0, 1</t>
  </si>
  <si>
    <t>24 hour plumber lynwood</t>
  </si>
  <si>
    <t>0, 1, 0, 0, 0, 0, 0, 0, 1, 1, 2, 0, 0, 0, 0, 0, 0, 0, 0, 0, 0, 0, 0, 1</t>
  </si>
  <si>
    <t>emergency plumber moore park</t>
  </si>
  <si>
    <t>emergency plumber in downers grove</t>
  </si>
  <si>
    <t>emergency plumber new westminster</t>
  </si>
  <si>
    <t>1, 0, 0, 0, 0, 0, 0, 1, 0, 0, 1, 0, 0, 0, 0, 0, 0, 0, 0, 0, 0, 0, 0, 1</t>
  </si>
  <si>
    <t>emergency plumber gardenvale</t>
  </si>
  <si>
    <t>emergency plumber caloundra</t>
  </si>
  <si>
    <t>burst pipe repair indianapolis in</t>
  </si>
  <si>
    <t>local 24 hour plumber</t>
  </si>
  <si>
    <t>emergency plumber reno</t>
  </si>
  <si>
    <t>emergency plumber in durham</t>
  </si>
  <si>
    <t>roy utah emergency plumber</t>
  </si>
  <si>
    <t>emergency plumber moreno valley ca</t>
  </si>
  <si>
    <t>pismo 24 hour plumber</t>
  </si>
  <si>
    <t>0, 0, 2, 0, 0, 0, 0, 1, 1, 1, 0, 0, 0, 0, 0, 0, 0, 0, 0, 0, 0, 0, 0, 1</t>
  </si>
  <si>
    <t>emergency plumber antioch</t>
  </si>
  <si>
    <t>burst pipe repair wabash in</t>
  </si>
  <si>
    <t>emergency plumber slough</t>
  </si>
  <si>
    <t>0, 0, 2, 2, 3, 3, 1, 4, 1, 1, 0, 0, 0, 0, 0, 0, 0, 0, 0, 0, 0, 0, 0, 1</t>
  </si>
  <si>
    <t>emergency plumber nassau county fl</t>
  </si>
  <si>
    <t>1, 0, 1, 2, 2, 1, 2, 0, 0, 1, 5, 2, 0, 0, 0, 0, 0, 0, 0, 0, 0, 0, 0, 1</t>
  </si>
  <si>
    <t>yonkers emergency plumber</t>
  </si>
  <si>
    <t>emergency plumber carrollton tx</t>
  </si>
  <si>
    <t>0, 1, 1, 0, 0, 0, 1, 0, 1, 2, 0, 1, 0, 0, 0, 0, 0, 1, 1, 0, 0, 0, 0, 1</t>
  </si>
  <si>
    <t>emergency plumber hartland mi</t>
  </si>
  <si>
    <t>emergency plumber walsall</t>
  </si>
  <si>
    <t>0, 0, 0, 0, 0, 0, 0, 2, 2, 0, 3, 0, 0, 0, 0, 0, 0, 0, 0, 0, 0, 0, 0, 1</t>
  </si>
  <si>
    <t>emergency plumber hitchin</t>
  </si>
  <si>
    <t>0, 2, 0, 0, 0, 1, 0, 0, 0, 0, 0, 1, 0, 0, 0, 0, 0, 1, 0, 0, 0, 0, 0, 1</t>
  </si>
  <si>
    <t>emergency plumber bayside</t>
  </si>
  <si>
    <t>0, 0, 0, 1, 0, 0, 2, 0, 1, 0, 0, 1, 0, 0, 0, 0, 0, 0, 0, 0, 0, 0, 0, 1</t>
  </si>
  <si>
    <t>24 hour emergency plumber exeter</t>
  </si>
  <si>
    <t>emergency plumber st kilda</t>
  </si>
  <si>
    <t>0, 0, 0, 0, 1, 1, 1, 2, 1, 4, 3, 4, 0, 0, 0, 0, 0, 0, 0, 0, 0, 0, 0, 1</t>
  </si>
  <si>
    <t>home water leak repair</t>
  </si>
  <si>
    <t>0, 0, 0, 0, 0, 0, 0, 6, 3, 0, 2, 0, 0, 0, 0, 0, 0, 0, 0, 0, 0, 0, 0, 1</t>
  </si>
  <si>
    <t>car windshield water leak repair</t>
  </si>
  <si>
    <t>2, 0, 0, 0, 0, 0, 0, 0, 0, 0, 1, 0, 0, 0, 0, 0, 0, 0, 0, 0, 0, 0, 0, 1</t>
  </si>
  <si>
    <t>emergency plumber eddington</t>
  </si>
  <si>
    <t>emergency plumber mauldin</t>
  </si>
  <si>
    <t>water pipe leak repair cost</t>
  </si>
  <si>
    <t>0, 1, 1, 1, 1, 0, 0, 1, 0, 0, 0, 1, 1, 1, 0, 1, 8, 1, 1, 4, 1, 0, 0, 1</t>
  </si>
  <si>
    <t>emergency plumber hampton</t>
  </si>
  <si>
    <t>0, 0, 2, 2, 0, 4, 0, 0, 0, 1, 0, 0, 0, 0, 0, 0, 0, 0, 0, 0, 0, 0, 0, 1</t>
  </si>
  <si>
    <t>oklahoma city emergency plumber</t>
  </si>
  <si>
    <t>0, 0, 0, 0, 0, 0, 0, 1, 0, 0, 1, 5, 0, 0, 0, 0, 0, 0, 1, 0, 0, 0, 0, 1</t>
  </si>
  <si>
    <t>anaheim water leak repair</t>
  </si>
  <si>
    <t>emergency plumber liverpool ny</t>
  </si>
  <si>
    <t>crestview emergency plumber</t>
  </si>
  <si>
    <t>west ashley emergency plumber</t>
  </si>
  <si>
    <t>0, 2, 2, 0, 0, 0, 0, 1, 0, 0, 0, 0, 0, 0, 0, 0, 0, 0, 0, 0, 0, 0, 0, 1</t>
  </si>
  <si>
    <t>emergency plumber langwarrin south</t>
  </si>
  <si>
    <t>emergency plumber sandstone-point</t>
  </si>
  <si>
    <t>emergency plumber scott county</t>
  </si>
  <si>
    <t>emergency plumber dublin 22</t>
  </si>
  <si>
    <t>emergency plumber washington county</t>
  </si>
  <si>
    <t>emergency plumber sheffield</t>
  </si>
  <si>
    <t>0, 0, 0, 1, 2, 3, 1, 0, 0, 3, 1, 1, 0, 0, 0, 2, 0, 0, 0, 0, 0, 2, 0, 1</t>
  </si>
  <si>
    <t>emergency plumber langwarrin</t>
  </si>
  <si>
    <t>0, 0, 0, 1, 0, 0, 0, 0, 0, 0, 0, 2, 0, 0, 0, 0, 0, 0, 0, 0, 0, 0, 0, 1</t>
  </si>
  <si>
    <t>24 hour plumber tampa</t>
  </si>
  <si>
    <t>0, 0, 0, 0, 0, 0, 0, 1, 0, 1, 6, 0, 0, 0, 0, 0, 0, 0, 0, 0, 0, 0, 0, 1</t>
  </si>
  <si>
    <t>emergency plumber malahide</t>
  </si>
  <si>
    <t>24 hour plumber fayetteville</t>
  </si>
  <si>
    <t>emergency plumber in roselle</t>
  </si>
  <si>
    <t>emergency plumber eagleby</t>
  </si>
  <si>
    <t>0, 0, 0, 0, 0, 0, 0, 0, 0, 0, 0, 0, 1, 0, 0, 2, 0, 2, 0, 0, 0, 0, 0, 1</t>
  </si>
  <si>
    <t>emergency-plumber</t>
  </si>
  <si>
    <t>0, 0, 0, 1, 1, 1, 0, 0, 0, 1, 0, 1, 0, 0, 0, 0, 0, 0, 0, 0, 0, 0, 0, 1</t>
  </si>
  <si>
    <t>emergency plumber athlone</t>
  </si>
  <si>
    <t>0, 0, 0, 0, 0, 0, 0, 0, 0, 0, 0, 1, 3, 0, 0, 0, 0, 0, 4, 0, 0, 0, 0, 1</t>
  </si>
  <si>
    <t>emergency plumber near me carrollton</t>
  </si>
  <si>
    <t>0, 0, 0, 0, 0, 0, 0, 0, 1, 2, 2, 1, 0, 0, 0, 0, 0, 0, 0, 0, 0, 0, 0, 1</t>
  </si>
  <si>
    <t>water leak repair ennis</t>
  </si>
  <si>
    <t>1, 1, 1, 0, 0, 0, 0, 0, 0, 0, 0, 0, 0, 0, 0, 0, 0, 0, 0, 0, 0, 0, 0, 1</t>
  </si>
  <si>
    <t>emergency plumber marrickville</t>
  </si>
  <si>
    <t>0, 1, 1, 1, 0, 0, 0, 2, 1, 1, 4, 0, 0, 0, 0, 0, 0, 0, 0, 0, 0, 0, 0, 1</t>
  </si>
  <si>
    <t>emergency plumber in york</t>
  </si>
  <si>
    <t>0, 0, 0, 0, 0, 0, 2, 1, 0, 0, 0, 0, 0, 0, 0, 0, 0, 0, 0, 0, 0, 0, 0, 1</t>
  </si>
  <si>
    <t>outside water leak repair cost</t>
  </si>
  <si>
    <t>0, 0, 2, 0, 0, 1, 1, 2, 0, 3, 1, 0, 0, 0, 0, 0, 0, 0, 0, 0, 0, 0, 0, 1</t>
  </si>
  <si>
    <t>memorial city emergency plumber</t>
  </si>
  <si>
    <t>1, 0, 0, 0, 0, 0, 0, 0, 0, 4, 2, 0, 0, 0, 0, 0, 0, 0, 0, 0, 0, 0, 0, 1</t>
  </si>
  <si>
    <t>emergency plumber evesham</t>
  </si>
  <si>
    <t>emergency plumber boyne island</t>
  </si>
  <si>
    <t>morganton emergency plumber</t>
  </si>
  <si>
    <t>emergency plumber florida</t>
  </si>
  <si>
    <t>local emergency plumber near dianella</t>
  </si>
  <si>
    <t>emergency plumber brixton</t>
  </si>
  <si>
    <t>0, 0, 2, 0, 0, 1, 2, 1, 0, 0, 0, 2, 0, 0, 0, 0, 0, 0, 0, 0, 0, 0, 0, 1</t>
  </si>
  <si>
    <t>emergency plumber aliso viejo</t>
  </si>
  <si>
    <t>0, 0, 0, 0, 1, 0, 0, 1, 0, 1, 2, 0, 0, 0, 0, 0, 0, 0, 0, 0, 0, 0, 0, 1</t>
  </si>
  <si>
    <t>mary esther emergency plumber</t>
  </si>
  <si>
    <t>emergency plumber kapiti</t>
  </si>
  <si>
    <t>0, 0, 0, 0, 0, 0, 0, 0, 2, 3, 4, 0, 0, 0, 0, 0, 0, 0, 0, 0, 0, 0, 0, 1</t>
  </si>
  <si>
    <t>emergency plumber whitstable</t>
  </si>
  <si>
    <t>emergency plumber aurora co</t>
  </si>
  <si>
    <t>0, 0, 0, 0, 0, 0, 0, 2, 0, 2, 0, 1, 0, 0, 0, 0, 0, 0, 0, 0, 0, 0, 0, 1</t>
  </si>
  <si>
    <t>cleveland tn emergency plumber</t>
  </si>
  <si>
    <t>holladay utah 24 hour plumber</t>
  </si>
  <si>
    <t>emergency plumber near lisle</t>
  </si>
  <si>
    <t>emergency plumber port stephens</t>
  </si>
  <si>
    <t>0, 0, 0, 0, 0, 2, 2, 0, 0, 0, 0, 0, 0, 0, 0, 0, 0, 0, 0, 0, 0, 0, 0, 1</t>
  </si>
  <si>
    <t>emergency plumber schaumburg il</t>
  </si>
  <si>
    <t>emergency plumber lake county</t>
  </si>
  <si>
    <t>plano tx emergency plumber</t>
  </si>
  <si>
    <t>0, 0, 0, 0, 0, 1, 0, 0, 0, 4, 3, 0, 0, 0, 0, 0, 1, 1, 0, 0, 0, 0, 0, 1</t>
  </si>
  <si>
    <t>water pipe leak repair singapore</t>
  </si>
  <si>
    <t>0, 0, 1, 0, 1, 0, 1, 1, 0, 1, 0, 0, 0, 0, 0, 0, 0, 0, 0, 0, 0, 0, 0, 1</t>
  </si>
  <si>
    <t>emergency plumber wellingborough</t>
  </si>
  <si>
    <t>0, 0, 1, 0, 0, 0, 2, 0, 0, 0, 0, 0, 0, 0, 0, 0, 0, 0, 0, 0, 0, 0, 0, 1</t>
  </si>
  <si>
    <t>emergency plumber near me south jersey</t>
  </si>
  <si>
    <t>emergency plumber romford</t>
  </si>
  <si>
    <t>1, 1, 0, 1, 2, 0, 1, 2, 1, 0, 2, 0, 0, 0, 1, 0, 0, 1, 0, 0, 2, 1, 0, 2</t>
  </si>
  <si>
    <t>emergency plumber holt</t>
  </si>
  <si>
    <t>0, 0, 0, 0, 0, 0, 0, 0, 1, 0, 2, 0, 0, 0, 0, 0, 0, 0, 0, 0, 0, 0, 0, 1</t>
  </si>
  <si>
    <t>24 hour plumber yukon</t>
  </si>
  <si>
    <t>west hartford emergency plumber</t>
  </si>
  <si>
    <t>24 hour plumber irvine</t>
  </si>
  <si>
    <t>0, 0, 0, 2, 1, 0, 1, 1, 2, 1, 0, 0, 0, 0, 0, 0, 0, 0, 0, 0, 0, 0, 1, 1</t>
  </si>
  <si>
    <t>24 hour plumber services</t>
  </si>
  <si>
    <t>0, 2, 2, 1, 0, 3, 1, 1, 1, 1, 5, 0, 0, 0, 0, 0, 0, 0, 0, 0, 0, 0, 0, 1</t>
  </si>
  <si>
    <t>emergency plumber in basingstoke</t>
  </si>
  <si>
    <t>emergency plumber wymondham</t>
  </si>
  <si>
    <t>0, 0, 0, 2, 0, 0, 0, 0, 0, 1, 0, 0, 0, 0, 0, 0, 0, 0, 0, 0, 0, 0, 0, 1</t>
  </si>
  <si>
    <t>emergency plumber oxnard ca</t>
  </si>
  <si>
    <t>24 hour plumber dc</t>
  </si>
  <si>
    <t>24 hour plumber in atlanta</t>
  </si>
  <si>
    <t>0, 1, 0, 0, 1, 0, 0, 0, 2, 1, 1, 0, 0, 0, 0, 0, 0, 0, 0, 0, 0, 0, 0, 1</t>
  </si>
  <si>
    <t>emergency plumber weatherford tx</t>
  </si>
  <si>
    <t>24 hour plumber san francisco</t>
  </si>
  <si>
    <t>1, 0, 0, 0, 0, 1, 0, 0, 0, 1, 1, 0, 0, 0, 0, 0, 0, 0, 0, 0, 0, 0, 0, 1</t>
  </si>
  <si>
    <t>emergency plumber west milford</t>
  </si>
  <si>
    <t>germantown emergency plumber</t>
  </si>
  <si>
    <t>0, 0, 0, 0, 0, 0, 0, 0, 0, 5, 0, 0, 0, 0, 0, 0, 2, 1, 0, 0, 0, 0, 0, 1</t>
  </si>
  <si>
    <t>emergency plumber kansas city mo</t>
  </si>
  <si>
    <t>24 hour plumber cronulla</t>
  </si>
  <si>
    <t>emergency plumber bassendean</t>
  </si>
  <si>
    <t>24 hour plumber sullivan in</t>
  </si>
  <si>
    <t>water leak repair gastonia</t>
  </si>
  <si>
    <t>1, 1, 0, 0, 0, 1, 1, 0, 0, 0, 0, 0, 0, 0, 0, 0, 0, 0, 0, 0, 0, 0, 0, 1</t>
  </si>
  <si>
    <t>emergency plumber st louis mo</t>
  </si>
  <si>
    <t>emergency plumber conyers</t>
  </si>
  <si>
    <t>emergency plumber near oak park</t>
  </si>
  <si>
    <t>emergency plumber gateshead</t>
  </si>
  <si>
    <t>0, 1, 0, 1, 1, 0, 0, 0, 1, 0, 2, 0, 0, 0, 0, 0, 0, 1, 0, 0, 0, 0, 0, 1</t>
  </si>
  <si>
    <t>water leak repair company near me</t>
  </si>
  <si>
    <t>0, 5, 0, 0, 2, 0, 1, 1, 0, 1, 1, 0, 2, 0, 0, 0, 0, 0, 0, 0, 0, 0, 0, 1</t>
  </si>
  <si>
    <t>emergency plumber kirkwood</t>
  </si>
  <si>
    <t>0, 0, 0, 0, 2, 0, 1, 0, 0, 2, 0, 0, 0, 0, 1, 0, 0, 0, 0, 0, 0, 0, 0, 1</t>
  </si>
  <si>
    <t>water leak repair and damages</t>
  </si>
  <si>
    <t>st albans emergency plumber</t>
  </si>
  <si>
    <t>emergency plumber cashmere</t>
  </si>
  <si>
    <t>emergency plumber in carol stream</t>
  </si>
  <si>
    <t>emergency plumber haberfield</t>
  </si>
  <si>
    <t>0, 1, 0, 0, 1, 1, 2, 0, 1, 4, 2, 4, 2, 1, 1, 2, 0, 0, 0, 0, 0, 0, 0, 1</t>
  </si>
  <si>
    <t>emergency plumber riverhills</t>
  </si>
  <si>
    <t>emergency plumber dundowran</t>
  </si>
  <si>
    <t>0, 0, 0, 0, 1, 1, 0, 2, 0, 0, 0, 0, 0, 0, 0, 0, 0, 0, 0, 0, 0, 0, 0, 1</t>
  </si>
  <si>
    <t>burst pipe repair oro valley</t>
  </si>
  <si>
    <t>summerville emergency plumber</t>
  </si>
  <si>
    <t>0, 0, 0, 0, 2, 1, 1, 0, 1, 0, 0, 0, 0, 0, 0, 0, 0, 0, 0, 0, 0, 0, 0, 1</t>
  </si>
  <si>
    <t>burst pipe repair picture rocks</t>
  </si>
  <si>
    <t>emergency plumber naremburn</t>
  </si>
  <si>
    <t>24 7 emergency plumber liverpool</t>
  </si>
  <si>
    <t>0, 0, 1, 0, 0, 0, 0, 1, 0, 0, 0, 0, 0, 0, 0, 0, 0, 0, 0, 0, 0, 0, 0, 1</t>
  </si>
  <si>
    <t>emergency plumber haywards heath</t>
  </si>
  <si>
    <t>0, 0, 0, 0, 1, 0, 0, 0, 1, 1, 0, 1, 0, 0, 0, 0, 0, 0, 0, 0, 0, 0, 0, 1</t>
  </si>
  <si>
    <t>emergency plumber ardrossan</t>
  </si>
  <si>
    <t>emergency plumber east london</t>
  </si>
  <si>
    <t>3, 5, 1, 2, 1, 1, 4, 2, 2, 3, 8, 4, 5, 1, 4, 1, 2, 2, 1, 4, 4, 10, 4, 7</t>
  </si>
  <si>
    <t>santa cruz emergency plumber</t>
  </si>
  <si>
    <t>1, 1, 0, 0, 1, 1, 0, 3, 0, 1, 0, 0, 0, 0, 0, 0, 0, 0, 0, 0, 0, 0, 0, 1</t>
  </si>
  <si>
    <t>emergency plumber spotsylvania va</t>
  </si>
  <si>
    <t>24 hour plumber in cottonwood heights</t>
  </si>
  <si>
    <t>emergency plumber st austell</t>
  </si>
  <si>
    <t>0, 0, 0, 0, 0, 0, 0, 0, 0, 0, 0, 1, 0, 1, 1, 0, 0, 0, 0, 0, 0, 0, 0, 1</t>
  </si>
  <si>
    <t>emergency plumber holbrook</t>
  </si>
  <si>
    <t>leaking water tap repair</t>
  </si>
  <si>
    <t>0, 0, 0, 0, 0, 0, 0, 0, 0, 0, 0, 0, 0, 0, 1, 0, 0, 0, 0, 1, 1, 1, 0, 2</t>
  </si>
  <si>
    <t>emergency plumber canning vale</t>
  </si>
  <si>
    <t>0, 0, 0, 0, 0, 0, 0, 0, 2, 1, 3, 1, 0, 0, 0, 0, 0, 0, 0, 0, 0, 0, 0, 1</t>
  </si>
  <si>
    <t>garland emergency plumber</t>
  </si>
  <si>
    <t>0, 0, 0, 0, 0, 0, 1, 0, 0, 0, 2, 1, 0, 0, 0, 0, 0, 0, 0, 0, 0, 0, 0, 1</t>
  </si>
  <si>
    <t>rsa water leak repair</t>
  </si>
  <si>
    <t>hot water copper pipe leak repair</t>
  </si>
  <si>
    <t>1, 0, 0, 0, 0, 0, 0, 0, 0, 2, 0, 0, 0, 1, 0, 0, 0, 0, 1, 0, 0, 0, 0, 1</t>
  </si>
  <si>
    <t>24 hour plumber wynnum</t>
  </si>
  <si>
    <t>water leak repair brea</t>
  </si>
  <si>
    <t>24 hour plumber san bernardino</t>
  </si>
  <si>
    <t>emergency plumber ashburn va</t>
  </si>
  <si>
    <t>0, 0, 1, 0, 1, 0, 2, 2, 0, 0, 2, 0, 0, 1, 0, 0, 0, 0, 0, 0, 0, 0, 0, 1</t>
  </si>
  <si>
    <t>emergency plumber ingleburn</t>
  </si>
  <si>
    <t>emergency plumber encino</t>
  </si>
  <si>
    <t>emergency plumber hauppauge</t>
  </si>
  <si>
    <t>emergency plumber henderson</t>
  </si>
  <si>
    <t>0, 0, 0, 0, 0, 0, 0, 1, 1, 1, 0, 1, 1, 0, 0, 0, 0, 0, 0, 0, 0, 0, 0, 1</t>
  </si>
  <si>
    <t>emergency plumber murrieta ca</t>
  </si>
  <si>
    <t>24 hour plumber weatherford</t>
  </si>
  <si>
    <t>emergency plumber in highworth</t>
  </si>
  <si>
    <t>emergency plumber grimsby</t>
  </si>
  <si>
    <t>emergency plumber chesterfield</t>
  </si>
  <si>
    <t>0, 0, 0, 0, 0, 1, 2, 0, 3, 0, 0, 0, 0, 0, 0, 0, 0, 1, 0, 0, 0, 0, 0, 1</t>
  </si>
  <si>
    <t>emergency plumber pakenham</t>
  </si>
  <si>
    <t>emergency plumber beerburrum</t>
  </si>
  <si>
    <t>0, 0, 0, 0, 3, 0, 0, 0, 0, 0, 0, 0, 0, 0, 0, 0, 0, 0, 0, 0, 0, 0, 1, 1</t>
  </si>
  <si>
    <t>24 hour emergency plumber torquay</t>
  </si>
  <si>
    <t>emergency plumber ealing</t>
  </si>
  <si>
    <t>0, 0, 0, 2, 0, 3, 1, 0, 2, 1, 3, 2, 0, 0, 0, 0, 0, 0, 0, 0, 0, 0, 0, 1</t>
  </si>
  <si>
    <t>24 hour plumber cookeville tn</t>
  </si>
  <si>
    <t>24 hour plumber haverhill ma</t>
  </si>
  <si>
    <t>0, 1, 0, 0, 1, 0, 1, 2, 0, 1, 0, 0, 1, 0, 0, 0, 0, 0, 0, 0, 0, 0, 0, 1</t>
  </si>
  <si>
    <t>free emergency plumber</t>
  </si>
  <si>
    <t>emergency plumber 24 hour</t>
  </si>
  <si>
    <t>emergency plumber near you</t>
  </si>
  <si>
    <t>0, 0, 0, 0, 0, 0, 0, 0, 1, 0, 0, 0, 1, 0, 0, 0, 0, 0, 0, 0, 0, 0, 0, 1</t>
  </si>
  <si>
    <t>emergency plumber longview</t>
  </si>
  <si>
    <t>0, 0, 0, 0, 0, 0, 0, 0, 0, 0, 0, 0, 0, 0, 0, 0, 0, 0, 0, 0, 3, 0, 0, 1</t>
  </si>
  <si>
    <t>burst pipe insurance claim repair johannesburg</t>
  </si>
  <si>
    <t>0, 0, 0, 0, 0, 0, 0, 0, 0, 0, 0, 0, 0, 0, 0, 0, 0, 0, 0, 0, 7, 22, 5, 3</t>
  </si>
  <si>
    <t>emergency plumber edison nj</t>
  </si>
  <si>
    <t>emergency plumber ann arbor</t>
  </si>
  <si>
    <t>emergency plumber norbury</t>
  </si>
  <si>
    <t>0, 0, 0, 2, 2, 0, 0, 0, 0, 0, 0, 0, 0, 0, 0, 0, 0, 0, 0, 0, 0, 0, 0, 1</t>
  </si>
  <si>
    <t>newport beach emergency plumber</t>
  </si>
  <si>
    <t>emergency plumber easton</t>
  </si>
  <si>
    <t>emergency plumber blacktown</t>
  </si>
  <si>
    <t>1, 0, 0, 1, 0, 1, 2, 3, 2, 0, 9, 0, 1, 0, 0, 0, 0, 0, 0, 0, 0, 0, 0, 1</t>
  </si>
  <si>
    <t>upland emergency plumber</t>
  </si>
  <si>
    <t>rockwall tx emergency plumber</t>
  </si>
  <si>
    <t>0, 0, 0, 0, 0, 0, 0, 0, 0, 3, 1, 0, 0, 0, 0, 0, 0, 0, 0, 0, 0, 0, 0, 1</t>
  </si>
  <si>
    <t>emergency plumber detroit</t>
  </si>
  <si>
    <t>0, 1, 1, 0, 0, 0, 1, 0, 0, 1, 2, 0, 0, 0, 0, 0, 0, 0, 0, 0, 0, 1, 0, 1</t>
  </si>
  <si>
    <t>hialeah emergency plumber</t>
  </si>
  <si>
    <t>car water leak repair shop</t>
  </si>
  <si>
    <t>emergency plumber layton</t>
  </si>
  <si>
    <t>emergency plumber forestville</t>
  </si>
  <si>
    <t>emergency plumber in sandwich</t>
  </si>
  <si>
    <t>emergency plumber tulsa</t>
  </si>
  <si>
    <t>0, 1, 1, 1, 3, 1, 2, 1, 0, 2, 2, 0, 0, 0, 0, 0, 0, 0, 0, 0, 0, 0, 0, 1</t>
  </si>
  <si>
    <t>emergency plumber charge</t>
  </si>
  <si>
    <t>emergency plumber armadale</t>
  </si>
  <si>
    <t>24 hour plumber narellan</t>
  </si>
  <si>
    <t>emergency plumber kings park</t>
  </si>
  <si>
    <t>1, 0, 0, 0, 0, 0, 2, 1, 0, 1, 1, 0, 0, 0, 0, 0, 0, 0, 0, 0, 0, 0, 0, 1</t>
  </si>
  <si>
    <t>emergency plumber yarraville</t>
  </si>
  <si>
    <t>0, 0, 0, 0, 0, 3, 0, 1, 0, 2, 5, 0, 0, 0, 0, 0, 0, 0, 0, 0, 0, 0, 0, 1</t>
  </si>
  <si>
    <t>emergency plumber vail az</t>
  </si>
  <si>
    <t>emergency plumber burlington</t>
  </si>
  <si>
    <t>0, 0, 0, 1, 1, 0, 1, 1, 1, 0, 1, 0, 0, 0, 0, 0, 0, 0, 0, 0, 0, 0, 0, 1</t>
  </si>
  <si>
    <t>emergency plumber woy woy</t>
  </si>
  <si>
    <t>0, 0, 1, 0, 0, 1, 0, 1, 0, 1, 3, 0, 0, 0, 0, 0, 0, 0, 0, 0, 0, 0, 0, 1</t>
  </si>
  <si>
    <t>plumber 24 hour near me</t>
  </si>
  <si>
    <t>0, 1, 0, 1, 0, 0, 0, 0, 2, 0, 0, 2, 2, 0, 1, 6, 3, 1, 0, 2, 0, 1, 0, 1</t>
  </si>
  <si>
    <t>st. petersburg fl emergency plumber</t>
  </si>
  <si>
    <t>emergency plumber park city</t>
  </si>
  <si>
    <t>1, 0, 0, 0, 0, 0, 0, 2, 0, 0, 0, 0, 0, 0, 0, 0, 0, 0, 0, 0, 0, 0, 0, 1</t>
  </si>
  <si>
    <t>sanford emergency plumber</t>
  </si>
  <si>
    <t>24 hour emergency plumber liverpool</t>
  </si>
  <si>
    <t>1, 0, 1, 0, 0, 0, 2, 2, 0, 0, 0, 0, 0, 0, 0, 0, 0, 0, 0, 0, 0, 0, 0, 1</t>
  </si>
  <si>
    <t>emergency plumber toledo</t>
  </si>
  <si>
    <t>0, 0, 1, 0, 0, 2, 2, 1, 2, 2, 1, 2, 0, 0, 0, 0, 0, 0, 0, 0, 0, 0, 0, 1</t>
  </si>
  <si>
    <t>boston emergency plumber</t>
  </si>
  <si>
    <t>0, 0, 0, 0, 0, 0, 0, 0, 0, 2, 0, 0, 1, 0, 0, 0, 0, 0, 0, 0, 0, 0, 0, 1</t>
  </si>
  <si>
    <t>emergency plumber dix hills</t>
  </si>
  <si>
    <t>emergency plumber lichfield</t>
  </si>
  <si>
    <t>0, 0, 0, 0, 2, 0, 0, 0, 3, 0, 2, 0, 0, 0, 0, 0, 0, 0, 0, 0, 0, 0, 0, 1</t>
  </si>
  <si>
    <t>emergency plumber von ormy tx</t>
  </si>
  <si>
    <t>emergency water leak repair</t>
  </si>
  <si>
    <t>2, 1, 2, 1, 4, 4, 3, 6, 9, 6, 5, 6, 3, 1, 2, 0, 0, 1, 0, 0, 1, 3, 0, 1</t>
  </si>
  <si>
    <t>emergency plumber hertford</t>
  </si>
  <si>
    <t>emergency plumber muncie</t>
  </si>
  <si>
    <t>emergency plumber turramurra</t>
  </si>
  <si>
    <t>3, 3, 3, 0, 0, 0, 0, 0, 1, 1, 1, 2, 1, 0, 0, 0, 0, 0, 0, 0, 0, 0, 1, 1</t>
  </si>
  <si>
    <t>emergency plumber cabarita</t>
  </si>
  <si>
    <t>emergency plumber new malden</t>
  </si>
  <si>
    <t>emergency plumber exmouth</t>
  </si>
  <si>
    <t>0, 0, 1, 0, 0, 1, 0, 2, 0, 0, 0, 0, 0, 0, 0, 0, 0, 0, 0, 0, 0, 0, 0, 1</t>
  </si>
  <si>
    <t>water leak damage repair bonne terre</t>
  </si>
  <si>
    <t>clinton utah emergency plumber</t>
  </si>
  <si>
    <t>emergency plumber clapham</t>
  </si>
  <si>
    <t>0, 1, 0, 1, 2, 2, 1, 1, 2, 4, 1, 0, 1, 0, 0, 0, 0, 0, 0, 1, 0, 0, 0, 1</t>
  </si>
  <si>
    <t>emergency plumber lubbock</t>
  </si>
  <si>
    <t>24 hour plumber fremont</t>
  </si>
  <si>
    <t>emergency plumber hanahan sc</t>
  </si>
  <si>
    <t>emergency plumber fort lauderdale</t>
  </si>
  <si>
    <t>0, 1, 1, 0, 0, 1, 1, 1, 1, 0, 0, 0, 0, 0, 0, 0, 0, 0, 0, 1, 0, 0, 3, 2</t>
  </si>
  <si>
    <t>emergency plumber pittsburgh</t>
  </si>
  <si>
    <t>0, 0, 1, 1, 0, 1, 1, 3, 6, 3, 2, 0, 0, 0, 0, 0, 0, 0, 0, 0, 1, 1, 0, 2</t>
  </si>
  <si>
    <t>cypress tx emergency plumber</t>
  </si>
  <si>
    <t>emergency plumber greenwich ct</t>
  </si>
  <si>
    <t>emergency plumber service camp hill</t>
  </si>
  <si>
    <t>emergency plumber surry hills</t>
  </si>
  <si>
    <t>1, 0, 0, 0, 0, 2, 0, 1, 1, 0, 1, 0, 0, 0, 0, 0, 0, 0, 0, 0, 0, 0, 0, 1</t>
  </si>
  <si>
    <t>emergency plumber cumming ga</t>
  </si>
  <si>
    <t>24 hour plumber vereeniging</t>
  </si>
  <si>
    <t>local emergency plumber near mirrabooka</t>
  </si>
  <si>
    <t>24 hour plumber glendale</t>
  </si>
  <si>
    <t>0, 0, 0, 0, 0, 0, 0, 0, 2, 0, 0, 0, 0, 0, 0, 0, 0, 0, 0, 0, 0, 0, 1, 1</t>
  </si>
  <si>
    <t>emergency plumber alberton</t>
  </si>
  <si>
    <t>0, 0, 0, 0, 0, 0, 0, 0, 2, 0, 4, 1, 0, 0, 0, 0, 0, 0, 0, 0, 0, 0, 0, 1</t>
  </si>
  <si>
    <t>24 hour gas plumber powdersville</t>
  </si>
  <si>
    <t>0, 0, 0, 0, 0, 0, 1, 1, 1, 0, 0, 1, 0, 0, 0, 0, 0, 0, 0, 0, 0, 0, 0, 1</t>
  </si>
  <si>
    <t>emergency plumber manly</t>
  </si>
  <si>
    <t>4, 1, 2, 1, 1, 1, 0, 1, 0, 0, 0, 0, 0, 0, 0, 0, 0, 0, 0, 0, 0, 0, 1, 1</t>
  </si>
  <si>
    <t>emergency plumber northcote</t>
  </si>
  <si>
    <t>1, 0, 0, 0, 0, 1, 0, 2, 4, 0, 0, 0, 0, 0, 0, 0, 0, 0, 0, 0, 0, 0, 0, 1</t>
  </si>
  <si>
    <t>holladay utah emergency plumber</t>
  </si>
  <si>
    <t>frozen pipe burst repair</t>
  </si>
  <si>
    <t>0, 0, 0, 0, 0, 0, 0, 0, 0, 0, 3, 0, 0, 0, 0, 0, 0, 0, 0, 0, 0, 0, 1, 1</t>
  </si>
  <si>
    <t>emergency plumber montana</t>
  </si>
  <si>
    <t>emergency plumber sylvania oh</t>
  </si>
  <si>
    <t>emergency plumber bay hill</t>
  </si>
  <si>
    <t>commerce city emergency plumber</t>
  </si>
  <si>
    <t>emergency plumber northshore</t>
  </si>
  <si>
    <t>tulsa emergency plumber</t>
  </si>
  <si>
    <t>kansas city emergency plumber</t>
  </si>
  <si>
    <t>emergency plumber pinellas county fl</t>
  </si>
  <si>
    <t>automotive water leak repair</t>
  </si>
  <si>
    <t>0, 0, 2, 1, 0, 0, 0, 1, 0, 0, 0, 0, 0, 0, 0, 0, 0, 0, 0, 0, 0, 0, 0, 1</t>
  </si>
  <si>
    <t>emergency plumber castlecrag</t>
  </si>
  <si>
    <t>yulee emergency plumber</t>
  </si>
  <si>
    <t>0, 1, 0, 0, 0, 0, 1, 0, 1, 0, 2, 0, 0, 0, 0, 0, 0, 0, 0, 0, 0, 0, 0, 1</t>
  </si>
  <si>
    <t>blocked toilet plumber rockhampton</t>
  </si>
  <si>
    <t>0, 0, 0, 0, 2, 0, 0, 0, 0, 0, 5, 0, 0, 0, 0, 0, 0, 0, 0, 0, 0, 0, 0, 1</t>
  </si>
  <si>
    <t>0, 0, 0, 0, 0, 0, 2, 0, 1, 2, 0, 0, 0, 0, 0, 0, 0, 0, 0, 0, 0, 0, 0, 1</t>
  </si>
  <si>
    <t>san clemente emergency plumber</t>
  </si>
  <si>
    <t>24 hour plumber las vegas</t>
  </si>
  <si>
    <t>0, 0, 0, 0, 3, 0, 2, 1, 3, 0, 2, 5, 0, 0, 0, 0, 0, 0, 0, 0, 0, 1, 0, 1</t>
  </si>
  <si>
    <t>emergency plumber veteran</t>
  </si>
  <si>
    <t>emergency plumber mira mesa</t>
  </si>
  <si>
    <t>24 hour plumber marco island</t>
  </si>
  <si>
    <t>0, 0, 0, 0, 1, 0, 1, 0, 0, 0, 1, 0, 0, 0, 0, 0, 0, 0, 0, 0, 0, 0, 0, 1</t>
  </si>
  <si>
    <t>emergency plumber kennesaw</t>
  </si>
  <si>
    <t>1, 0, 0, 0, 0, 0, 1, 0, 0, 1, 0, 2, 0, 0, 0, 0, 0, 0, 0, 0, 0, 0, 0, 1</t>
  </si>
  <si>
    <t>emergency plumber coquitlam</t>
  </si>
  <si>
    <t>0, 0, 1, 0, 3, 0, 0, 0, 4, 0, 2, 4, 0, 0, 0, 0, 0, 0, 0, 0, 0, 0, 0, 1</t>
  </si>
  <si>
    <t>emergency plumber romsey</t>
  </si>
  <si>
    <t>0, 0, 0, 1, 0, 0, 0, 0, 0, 2, 2, 0, 0, 0, 0, 0, 0, 0, 0, 0, 0, 0, 0, 1</t>
  </si>
  <si>
    <t>24 hour plumber in north london</t>
  </si>
  <si>
    <t>emergency plumber tooting</t>
  </si>
  <si>
    <t>1, 1, 1, 1, 1, 0, 0, 0, 0, 1, 1, 0, 0, 0, 1, 0, 0, 0, 0, 0, 0, 0, 0, 1</t>
  </si>
  <si>
    <t>leaking tap repair kit</t>
  </si>
  <si>
    <t>0, 1, 0, 0, 0, 2, 0, 0, 0, 0, 1, 0, 0, 2, 0, 1, 0, 1, 1, 4, 4, 0, 1, 3</t>
  </si>
  <si>
    <t>emergency plumber long beach</t>
  </si>
  <si>
    <t>0, 1, 0, 2, 0, 0, 1, 3, 1, 2, 1, 0, 0, 0, 0, 0, 0, 0, 0, 0, 0, 0, 0, 1</t>
  </si>
  <si>
    <t>24 hour plumber pretoria</t>
  </si>
  <si>
    <t>emergency plumber bradenton fl</t>
  </si>
  <si>
    <t>emergency plumber north west london</t>
  </si>
  <si>
    <t>emergency plumber in franklin park</t>
  </si>
  <si>
    <t>emergency plumber finsbury park</t>
  </si>
  <si>
    <t>emergency plumber southern california ca</t>
  </si>
  <si>
    <t>euless emergency plumber</t>
  </si>
  <si>
    <t>emergency plumber engadine</t>
  </si>
  <si>
    <t>0, 1, 0, 1, 1, 0, 0, 1, 1, 0, 4, 0, 0, 0, 0, 0, 0, 0, 0, 0, 0, 0, 0, 1</t>
  </si>
  <si>
    <t>emergency plumber lawrence ks</t>
  </si>
  <si>
    <t>0, 0, 0, 0, 0, 0, 1, 0, 2, 1, 0, 0, 0, 0, 0, 0, 0, 0, 0, 0, 0, 0, 0, 1</t>
  </si>
  <si>
    <t>0, 0, 0, 0, 2, 0, 1, 0, 0, 1, 1, 0, 0, 0, 0, 0, 0, 0, 0, 0, 0, 0, 0, 1</t>
  </si>
  <si>
    <t>emergency plumber in park city</t>
  </si>
  <si>
    <t>24 hour plumber spruce grove</t>
  </si>
  <si>
    <t>emergency plumber fresno ca</t>
  </si>
  <si>
    <t>south salt lake utah 24 hour plumber</t>
  </si>
  <si>
    <t>emergency plumber athens</t>
  </si>
  <si>
    <t>1, 0, 0, 1, 0, 0, 0, 0, 1, 0, 0, 1, 0, 0, 0, 0, 0, 0, 0, 0, 0, 0, 0, 1</t>
  </si>
  <si>
    <t>emergency plumber west leederville</t>
  </si>
  <si>
    <t>emergency plumber east sussex</t>
  </si>
  <si>
    <t>1, 0, 0, 0, 0, 0, 1, 0, 0, 2, 0, 0, 0, 0, 0, 0, 0, 0, 0, 0, 0, 0, 0, 1</t>
  </si>
  <si>
    <t>burst pipe repair hove</t>
  </si>
  <si>
    <t>emergency plumber cleveland</t>
  </si>
  <si>
    <t>0, 0, 1, 0, 0, 1, 0, 2, 0, 1, 1, 0, 0, 0, 0, 1, 1, 0, 0, 0, 0, 1, 0, 1</t>
  </si>
  <si>
    <t>emergency plumber in mooresville nc</t>
  </si>
  <si>
    <t>water leak repair company key largo</t>
  </si>
  <si>
    <t>emergency plumber california gully</t>
  </si>
  <si>
    <t>0, 0, 0, 0, 0, 1, 0, 2, 1, 0, 0, 0, 0, 0, 0, 0, 0, 0, 0, 0, 0, 0, 0, 1</t>
  </si>
  <si>
    <t>emergency plumber chermside</t>
  </si>
  <si>
    <t>0, 0, 2, 0, 0, 1, 0, 0, 0, 1, 0, 0, 0, 0, 0, 0, 0, 0, 0, 0, 0, 0, 0, 1</t>
  </si>
  <si>
    <t>gilbert emergency plumber</t>
  </si>
  <si>
    <t>0, 0, 0, 3, 2, 0, 1, 4, 0, 2, 0, 0, 0, 0, 0, 0, 0, 0, 0, 0, 0, 0, 0, 1</t>
  </si>
  <si>
    <t>emergency plumber london bridge</t>
  </si>
  <si>
    <t>0, 0, 0, 1, 2, 1, 0, 1, 0, 0, 0, 0, 0, 0, 0, 0, 0, 0, 0, 1, 0, 0, 0, 1</t>
  </si>
  <si>
    <t>emergency plumber wokingham</t>
  </si>
  <si>
    <t>1, 0, 4, 0, 2, 1, 0, 1, 0, 1, 1, 1, 0, 0, 0, 0, 0, 0, 0, 0, 0, 0, 0, 1</t>
  </si>
  <si>
    <t>24 hour plumber table view</t>
  </si>
  <si>
    <t>emergency blocked stormwater plumber</t>
  </si>
  <si>
    <t>emergency plumber concord</t>
  </si>
  <si>
    <t>0, 0, 0, 0, 0, 0, 3, 0, 0, 0, 2, 1, 0, 0, 1, 0, 0, 1, 0, 0, 0, 0, 0, 1</t>
  </si>
  <si>
    <t>emergency plumber near glen ellyn</t>
  </si>
  <si>
    <t>clarksville emergency plumber</t>
  </si>
  <si>
    <t>0, 0, 0, 0, 0, 0, 0, 0, 0, 0, 0, 0, 0, 0, 1, 0, 0, 0, 0, 0, 0, 0, 0, 1</t>
  </si>
  <si>
    <t>emergency plumber mona vale</t>
  </si>
  <si>
    <t>0, 0, 0, 0, 0, 0, 0, 0, 0, 0, 0, 0, 0, 0, 0, 0, 2, 2, 1, 0, 0, 0, 0, 1</t>
  </si>
  <si>
    <t>my emergency plumber</t>
  </si>
  <si>
    <t>emergency plumber manassas va</t>
  </si>
  <si>
    <t>emergency plumber hills district sydney</t>
  </si>
  <si>
    <t>emergency plumber blue island</t>
  </si>
  <si>
    <t>0, 0, 0, 0, 0, 0, 0, 0, 2, 0, 0, 2, 0, 0, 0, 0, 0, 0, 0, 0, 0, 0, 0, 1</t>
  </si>
  <si>
    <t>emergency plumber knaresborough</t>
  </si>
  <si>
    <t>emergency plumber maryville tn</t>
  </si>
  <si>
    <t>0, 0, 0, 0, 0, 0, 0, 0, 0, 0, 2, 0, 0, 0, 0, 2, 0, 0, 0, 0, 0, 0, 0, 1</t>
  </si>
  <si>
    <t>emergency plumber in glasgow</t>
  </si>
  <si>
    <t>1, 0, 0, 0, 0, 0, 1, 1, 0, 1, 0, 0, 0, 0, 0, 0, 0, 0, 0, 0, 0, 0, 0, 1</t>
  </si>
  <si>
    <t>24 hour plumber troutdale</t>
  </si>
  <si>
    <t>the colony tx emergency plumber</t>
  </si>
  <si>
    <t>0, 0, 0, 0, 0, 0, 0, 0, 0, 0, 2, 2, 0, 0, 0, 0, 0, 0, 0, 0, 0, 0, 0, 1</t>
  </si>
  <si>
    <t>24 hour plumber unley</t>
  </si>
  <si>
    <t>24 hour plumber tulsa</t>
  </si>
  <si>
    <t>0, 0, 0, 0, 1, 2, 2, 0, 2, 1, 1, 1, 0, 0, 0, 0, 0, 0, 0, 0, 0, 0, 0, 1</t>
  </si>
  <si>
    <t>emergency plumber hove</t>
  </si>
  <si>
    <t>0, 0, 0, 1, 0, 0, 0, 0, 1, 1, 3, 3, 0, 0, 0, 0, 0, 1, 0, 0, 0, 0, 0, 1</t>
  </si>
  <si>
    <t>emergency plumber pendle hill</t>
  </si>
  <si>
    <t>0, 0, 0, 0, 1, 1, 0, 0, 0, 3, 0, 0, 0, 0, 0, 0, 0, 0, 0, 0, 0, 0, 0, 1</t>
  </si>
  <si>
    <t>emergency plumber hatfield</t>
  </si>
  <si>
    <t>0, 0, 0, 0, 0, 0, 0, 0, 0, 2, 1, 1, 0, 0, 1, 0, 0, 0, 0, 0, 0, 0, 0, 1</t>
  </si>
  <si>
    <t>burst pipe emergency plumber</t>
  </si>
  <si>
    <t>0, 0, 0, 0, 0, 0, 0, 0, 0, 0, 0, 0, 0, 0, 0, 0, 0, 0, 0, 0, 0, 2, 19, 8</t>
  </si>
  <si>
    <t>emergency plumber leigh-on-sea</t>
  </si>
  <si>
    <t>emergency plumber mohave county az</t>
  </si>
  <si>
    <t>24 hour plumber des plaines il</t>
  </si>
  <si>
    <t>emergency plumber salisbury</t>
  </si>
  <si>
    <t>0, 0, 0, 1, 1, 1, 0, 1, 3, 0, 3, 1, 0, 0, 0, 0, 0, 0, 0, 0, 0, 0, 0, 1</t>
  </si>
  <si>
    <t>24 hour plumber blacktown</t>
  </si>
  <si>
    <t>emergency plumber memphis tn</t>
  </si>
  <si>
    <t>minneapolis emergency plumber</t>
  </si>
  <si>
    <t>0, 0, 0, 0, 0, 0, 1, 0, 0, 0, 0, 0, 3, 1, 0, 1, 0, 0, 0, 0, 0, 0, 0, 1</t>
  </si>
  <si>
    <t>24 hour plumber houston tx</t>
  </si>
  <si>
    <t>0, 0, 0, 0, 0, 0, 2, 1, 1, 1, 0, 0, 0, 0, 0, 0, 0, 0, 0, 3, 0, 2, 0, 2</t>
  </si>
  <si>
    <t>24 hour plumber birmingham</t>
  </si>
  <si>
    <t>0, 0, 0, 0, 0, 0, 2, 0, 1, 0, 2, 1, 0, 0, 0, 0, 0, 0, 0, 0, 0, 0, 0, 1</t>
  </si>
  <si>
    <t>emergency plumber kennedale</t>
  </si>
  <si>
    <t>copper pipe water leak repair</t>
  </si>
  <si>
    <t>0, 1, 0, 0, 0, 0, 0, 0, 0, 3, 1, 0, 0, 0, 0, 0, 0, 1, 0, 0, 0, 1, 1, 1</t>
  </si>
  <si>
    <t>water tank leak repair</t>
  </si>
  <si>
    <t>6, 12, 6, 6, 6, 5, 11, 9, 4, 3, 4, 0, 1, 2, 2, 2, 3, 0, 7, 1, 1, 5, 1, 3</t>
  </si>
  <si>
    <t>emergency plumber hancock county</t>
  </si>
  <si>
    <t>burst pipe repair kansas city</t>
  </si>
  <si>
    <t>0, 0, 0, 0, 0, 0, 1, 1, 0, 0, 2, 0, 0, 0, 0, 0, 0, 0, 0, 0, 0, 0, 0, 1</t>
  </si>
  <si>
    <t>emergency plumber in warrenville</t>
  </si>
  <si>
    <t>24 hour plumber elmhurst il</t>
  </si>
  <si>
    <t>emergency plumber cranleigh</t>
  </si>
  <si>
    <t>0, 0, 0, 0, 2, 1, 0, 0, 0, 1, 1, 0, 1, 0, 0, 0, 0, 0, 0, 0, 0, 0, 0, 1</t>
  </si>
  <si>
    <t>emergency plumber clacton</t>
  </si>
  <si>
    <t>emergency plumber greenville sc</t>
  </si>
  <si>
    <t>0, 0, 0, 0, 1, 0, 0, 0, 0, 0, 1, 1, 0, 0, 0, 0, 0, 0, 0, 0, 0, 0, 1, 1</t>
  </si>
  <si>
    <t>emergency plumber in croydon</t>
  </si>
  <si>
    <t>logan utah 24 hour plumber</t>
  </si>
  <si>
    <t>katy tx emergency plumber</t>
  </si>
  <si>
    <t>0, 0, 1, 2, 0, 1, 0, 0, 1, 2, 2, 0, 0, 0, 0, 0, 0, 0, 0, 0, 0, 0, 0, 1</t>
  </si>
  <si>
    <t>eagle mountain utah emergency plumber</t>
  </si>
  <si>
    <t>emergency plumber pontefract</t>
  </si>
  <si>
    <t>emergency plumber service queensbury ny</t>
  </si>
  <si>
    <t>0, 0, 1, 0, 0, 0, 2, 0, 0, 1, 0, 0, 0, 0, 0, 0, 0, 0, 0, 0, 0, 0, 0, 1</t>
  </si>
  <si>
    <t>find an emergency plumber near me</t>
  </si>
  <si>
    <t>emergency plumber service glens falls ny</t>
  </si>
  <si>
    <t>water pump coolant leak repair cost</t>
  </si>
  <si>
    <t>0, 0, 1, 0, 0, 0, 0, 0, 0, 0, 0, 0, 0, 1, 0, 1, 0, 0, 0, 1, 1, 6, 0, 1</t>
  </si>
  <si>
    <t>garden pipe burst repair cape town</t>
  </si>
  <si>
    <t>0, 0, 0, 0, 0, 0, 0, 0, 0, 0, 0, 0, 0, 0, 0, 0, 0, 0, 0, 6, 19, 6, 0, 9</t>
  </si>
  <si>
    <t>grove city emergency plumber</t>
  </si>
  <si>
    <t>emergency plumber morris plains nj</t>
  </si>
  <si>
    <t>emergency plumber wickford</t>
  </si>
  <si>
    <t>emergency plumber fresno</t>
  </si>
  <si>
    <t>0, 0, 1, 0, 0, 0, 1, 0, 0, 0, 1, 1, 0, 0, 0, 0, 0, 0, 0, 0, 0, 0, 0, 1</t>
  </si>
  <si>
    <t>emergency plumber myrtle beach sc</t>
  </si>
  <si>
    <t>2, 0, 0, 0, 0, 0, 1, 0, 1, 1, 2, 0, 0, 0, 0, 0, 0, 0, 0, 0, 0, 0, 0, 1</t>
  </si>
  <si>
    <t>24 hour plumber near me richmond hill ga</t>
  </si>
  <si>
    <t>emergency plumber dulwich hill</t>
  </si>
  <si>
    <t>24 hour plumber oahu</t>
  </si>
  <si>
    <t>emergency plumber washington</t>
  </si>
  <si>
    <t>24 hour emergency plumber swindon</t>
  </si>
  <si>
    <t>emergency plumber aberdeen nj</t>
  </si>
  <si>
    <t>emergency plumber martin county</t>
  </si>
  <si>
    <t>0, 1, 0, 1, 0, 1, 0, 0, 1, 0, 1, 0, 0, 0, 0, 0, 0, 0, 0, 0, 0, 0, 0, 1</t>
  </si>
  <si>
    <t>blocked toilet plumber bondi</t>
  </si>
  <si>
    <t>0, 0, 0, 0, 0, 0, 0, 1, 2, 1, 0, 0, 0, 0, 0, 0, 0, 0, 0, 0, 0, 0, 0, 1</t>
  </si>
  <si>
    <t>underground water leak repair oakland ca</t>
  </si>
  <si>
    <t>burst pipe repair marana</t>
  </si>
  <si>
    <t>frederick emergency plumber</t>
  </si>
  <si>
    <t>littleton emergency plumber</t>
  </si>
  <si>
    <t>0, 0, 0, 0, 0, 0, 1, 0, 1, 1, 0, 0, 0, 0, 0, 0, 0, 0, 0, 0, 0, 0, 0, 1</t>
  </si>
  <si>
    <t>emergency plumber cotati ca</t>
  </si>
  <si>
    <t>emergency plumber kirkcaldy</t>
  </si>
  <si>
    <t>0, 0, 0, 0, 0, 0, 1, 1, 2, 0, 1, 0, 0, 0, 0, 0, 0, 0, 0, 0, 0, 0, 0, 1</t>
  </si>
  <si>
    <t>concrete water leak repair</t>
  </si>
  <si>
    <t>emergency plumber carbondale il</t>
  </si>
  <si>
    <t>emergency plumber sinnamon park</t>
  </si>
  <si>
    <t>emergency plumber pelzer</t>
  </si>
  <si>
    <t>24 hour plumber mt juliet tn</t>
  </si>
  <si>
    <t>emergency plumber balwyn</t>
  </si>
  <si>
    <t>0, 0, 0, 0, 0, 0, 2, 1, 1, 0, 2, 0, 0, 0, 0, 0, 0, 0, 0, 0, 0, 0, 0, 1</t>
  </si>
  <si>
    <t>emergency plumber canvey</t>
  </si>
  <si>
    <t>melbourne emergency plumber</t>
  </si>
  <si>
    <t>1, 1, 0, 1, 0, 0, 0, 4, 4, 4, 7, 0, 0, 0, 1, 0, 0, 0, 0, 0, 0, 0, 0, 1</t>
  </si>
  <si>
    <t>emergency plumber in villa park</t>
  </si>
  <si>
    <t>emergency plumber prescott az</t>
  </si>
  <si>
    <t>1, 0, 0, 1, 0, 0, 0, 0, 3, 0, 4, 0, 0, 0, 0, 0, 0, 0, 0, 0, 0, 0, 0, 1</t>
  </si>
  <si>
    <t>emergency plumber kilwinning</t>
  </si>
  <si>
    <t>emergency plumber cameron park</t>
  </si>
  <si>
    <t>0, 2, 0, 0, 0, 1, 0, 2, 0, 0, 0, 0, 0, 0, 0, 0, 0, 0, 0, 0, 0, 0, 0, 1</t>
  </si>
  <si>
    <t>emergency plumber lower melville</t>
  </si>
  <si>
    <t>0, 0, 0, 0, 0, 0, 0, 1, 3, 0, 0, 0, 0, 0, 0, 0, 0, 0, 0, 0, 0, 0, 0, 1</t>
  </si>
  <si>
    <t>emergency plumber north shore</t>
  </si>
  <si>
    <t>2, 1, 0, 1, 0, 1, 1, 1, 4, 5, 1, 8, 1, 3, 1, 3, 5, 1, 0, 1, 0, 0, 1, 3</t>
  </si>
  <si>
    <t>emergency plumber boca raton fl</t>
  </si>
  <si>
    <t>emergency plumber beaverton</t>
  </si>
  <si>
    <t>0, 0, 1, 1, 0, 1, 0, 0, 1, 1, 1, 2, 0, 0, 0, 0, 0, 0, 0, 0, 0, 0, 0, 1</t>
  </si>
  <si>
    <t>emergency plumber middletown</t>
  </si>
  <si>
    <t>0, 1, 0, 0, 0, 0, 1, 0, 1, 0, 1, 0, 0, 0, 0, 0, 0, 0, 0, 0, 0, 0, 0, 1</t>
  </si>
  <si>
    <t>emergency london plumber</t>
  </si>
  <si>
    <t>0, 0, 1, 3, 2, 1, 1, 0, 0, 0, 0, 0, 0, 0, 0, 0, 0, 0, 0, 0, 0, 0, 0, 1</t>
  </si>
  <si>
    <t>24 hour drain plumber</t>
  </si>
  <si>
    <t>1, 0, 0, 0, 1, 0, 2, 1, 1, 0, 0, 0, 0, 1, 0, 0, 0, 2, 0, 0, 0, 0, 0, 1</t>
  </si>
  <si>
    <t>emergency plumber knightsbridge</t>
  </si>
  <si>
    <t>0, 0, 1, 0, 0, 1, 1, 0, 0, 0, 1, 0, 0, 0, 0, 0, 0, 0, 0, 0, 0, 0, 0, 1</t>
  </si>
  <si>
    <t>emergency plumber baywood</t>
  </si>
  <si>
    <t>0, 0, 0, 0, 0, 0, 4, 0, 1, 0, 0, 0, 0, 0, 0, 0, 0, 0, 0, 0, 0, 0, 0, 1</t>
  </si>
  <si>
    <t>grapevine emergency plumber</t>
  </si>
  <si>
    <t>0, 1, 2, 0, 0, 0, 0, 0, 0, 0, 0, 0, 0, 0, 0, 0, 0, 0, 0, 0, 0, 0, 0, 1</t>
  </si>
  <si>
    <t>best emergency plumber near me</t>
  </si>
  <si>
    <t>2, 3, 2, 2, 4, 1, 6, 2, 4, 1, 4, 5, 1, 0, 1, 0, 1, 0, 0, 0, 0, 0, 2, 2</t>
  </si>
  <si>
    <t>24 hour plumber in enfield</t>
  </si>
  <si>
    <t>24 hour plumber emergency cape town</t>
  </si>
  <si>
    <t>0, 0, 0, 0, 0, 0, 0, 0, 0, 0, 0, 0, 0, 0, 0, 0, 0, 0, 0, 0, 10, 32, 12, 3</t>
  </si>
  <si>
    <t>emergency plumber taylorsville</t>
  </si>
  <si>
    <t>emergency plumber dublin 6</t>
  </si>
  <si>
    <t>1, 0, 0, 0, 0, 0, 0, 1, 0, 0, 0, 0, 0, 0, 0, 0, 0, 0, 0, 0, 0, 0, 0, 1</t>
  </si>
  <si>
    <t>tape to repair water leak</t>
  </si>
  <si>
    <t>emergency plumber newham</t>
  </si>
  <si>
    <t>24 hour plumber springfield</t>
  </si>
  <si>
    <t>arroyo grande 24 hour plumber</t>
  </si>
  <si>
    <t>0, 0, 0, 1, 0, 0, 1, 0, 2, 2, 1, 1, 0, 0, 0, 0, 0, 0, 0, 0, 0, 0, 0, 1</t>
  </si>
  <si>
    <t>st. petersburg emergency plumber</t>
  </si>
  <si>
    <t>murray utah emergency plumber</t>
  </si>
  <si>
    <t>emergency plumber port melbourne</t>
  </si>
  <si>
    <t>0, 0, 0, 1, 0, 2, 2, 1, 0, 1, 7, 0, 0, 0, 0, 0, 0, 0, 0, 0, 0, 0, 0, 1</t>
  </si>
  <si>
    <t>24 hour plumber san diego</t>
  </si>
  <si>
    <t>2, 0, 1, 1, 2, 2, 0, 3, 6, 1, 1, 0, 0, 0, 0, 0, 0, 0, 0, 0, 1, 1, 0, 2</t>
  </si>
  <si>
    <t>emergency leak repair virginia water</t>
  </si>
  <si>
    <t>emergency plumber chino valley</t>
  </si>
  <si>
    <t>0, 0, 0, 0, 0, 0, 0, 0, 0, 0, 1, 3, 0, 0, 0, 0, 0, 0, 0, 0, 0, 1, 0, 1</t>
  </si>
  <si>
    <t>emergency plumber nj</t>
  </si>
  <si>
    <t>0, 1, 0, 0, 2, 0, 0, 0, 1, 0, 1, 0, 0, 0, 0, 0, 0, 0, 1, 0, 0, 0, 0, 1</t>
  </si>
  <si>
    <t>water tap leak repair</t>
  </si>
  <si>
    <t>0, 1, 1, 0, 1, 0, 0, 0, 0, 0, 0, 0, 0, 0, 0, 0, 0, 0, 0, 0, 0, 0, 0, 1</t>
  </si>
  <si>
    <t>emergency plumber atlanta ga</t>
  </si>
  <si>
    <t>0, 0, 0, 1, 0, 0, 1, 1, 0, 0, 0, 0, 0, 0, 0, 0, 0, 0, 0, 0, 0, 0, 0, 1</t>
  </si>
  <si>
    <t>repair leaking outside tap</t>
  </si>
  <si>
    <t>24 hour plumber auckland</t>
  </si>
  <si>
    <t>0, 0, 0, 1, 2, 0, 1, 0, 0, 0, 0, 4, 0, 0, 0, 0, 0, 0, 0, 1, 0, 0, 0, 1</t>
  </si>
  <si>
    <t>emergency plumber nelson</t>
  </si>
  <si>
    <t>0, 0, 0, 0, 0, 2, 0, 1, 1, 0, 0, 1, 0, 0, 0, 0, 0, 2, 0, 0, 0, 0, 0, 1</t>
  </si>
  <si>
    <t>sunroof water leak repair</t>
  </si>
  <si>
    <t>2, 0, 0, 0, 1, 1, 0, 0, 0, 0, 0, 0, 0, 0, 0, 0, 0, 0, 0, 0, 0, 0, 0, 1</t>
  </si>
  <si>
    <t>emergency plumber louisville ky</t>
  </si>
  <si>
    <t>water leak repair tape</t>
  </si>
  <si>
    <t>0, 1, 0, 0, 1, 0, 0, 0, 0, 0, 0, 0, 0, 0, 1, 0, 0, 0, 2, 3, 1, 0, 0, 1</t>
  </si>
  <si>
    <t>emergency plumber brentford</t>
  </si>
  <si>
    <t>emergency plumber la</t>
  </si>
  <si>
    <t>emergency plumber oakhurst</t>
  </si>
  <si>
    <t>0, 0, 0, 0, 2, 1, 1, 0, 0, 0, 0, 0, 0, 0, 0, 0, 0, 0, 0, 0, 0, 0, 0, 1</t>
  </si>
  <si>
    <t>plumber near me 24 hour</t>
  </si>
  <si>
    <t>1, 0, 0, 0, 0, 1, 1, 1, 1, 1, 2, 1, 1, 0, 0, 0, 0, 0, 0, 0, 0, 0, 0, 1</t>
  </si>
  <si>
    <t>emergency plumber service carina</t>
  </si>
  <si>
    <t>24 hour plumber edmond</t>
  </si>
  <si>
    <t>emergency plumber dolton</t>
  </si>
  <si>
    <t>0, 0, 0, 0, 0, 0, 0, 2, 0, 2, 1, 0, 0, 0, 0, 0, 0, 0, 0, 0, 0, 0, 0, 1</t>
  </si>
  <si>
    <t>emergency plumber hillcrest</t>
  </si>
  <si>
    <t>1, 0, 1, 0, 5, 3, 1, 1, 1, 0, 0, 0, 2, 0, 0, 0, 0, 0, 0, 1, 2, 0, 0, 2</t>
  </si>
  <si>
    <t>24 hour emergency plumber charlotte nc</t>
  </si>
  <si>
    <t>water leak emergency plumber</t>
  </si>
  <si>
    <t>24 hour plumber emergency johannesburg</t>
  </si>
  <si>
    <t>0, 0, 0, 0, 0, 0, 0, 0, 0, 0, 0, 0, 0, 0, 0, 0, 0, 0, 0, 11, 26, 10, 0, 13</t>
  </si>
  <si>
    <t>emergency plumber coppell</t>
  </si>
  <si>
    <t>0, 0, 0, 0, 0, 0, 0, 0, 0, 3, 2, 0, 0, 0, 0, 0, 0, 0, 0, 0, 0, 0, 0, 1</t>
  </si>
  <si>
    <t>24 hour plumber sutton</t>
  </si>
  <si>
    <t>0, 1, 0, 0, 0, 1, 0, 0, 0, 0, 0, 0, 0, 0, 0, 0, 0, 0, 0, 0, 0, 0, 0, 1</t>
  </si>
  <si>
    <t>24 7 emergency plumber adelaide</t>
  </si>
  <si>
    <t>0, 0, 1, 1, 2, 3, 1, 1, 3, 0, 0, 1, 0, 0, 0, 0, 0, 0, 0, 0, 0, 0, 0, 1</t>
  </si>
  <si>
    <t>emergency plumber waipio</t>
  </si>
  <si>
    <t>0, 0, 0, 0, 0, 1, 0, 0, 0, 0, 0, 0, 1, 0, 0, 0, 0, 0, 0, 0, 0, 0, 0, 1</t>
  </si>
  <si>
    <t>emergency plumber in wayne</t>
  </si>
  <si>
    <t>24 hour plumber melbourne</t>
  </si>
  <si>
    <t>1, 3, 0, 5, 2, 3, 5, 4, 3, 8, 22, 0, 2, 5, 0, 0, 0, 0, 0, 0, 1, 0, 0, 1</t>
  </si>
  <si>
    <t>emergency plumber newburyport ma</t>
  </si>
  <si>
    <t>0, 1, 0, 0, 1, 1, 1, 0, 0, 0, 0, 1, 0, 0, 0, 0, 0, 0, 0, 0, 0, 0, 0, 1</t>
  </si>
  <si>
    <t>westhampton emergency plumber</t>
  </si>
  <si>
    <t>emergency plumber gosnells</t>
  </si>
  <si>
    <t>0, 0, 0, 0, 0, 0, 0, 1, 2, 0, 0, 0, 0, 0, 0, 0, 0, 0, 0, 0, 0, 0, 1, 1</t>
  </si>
  <si>
    <t>emergency plumber brondesbury</t>
  </si>
  <si>
    <t>emergency plumber east sheen</t>
  </si>
  <si>
    <t>0, 0, 0, 1, 2, 0, 0, 0, 0, 0, 0, 0, 0, 0, 0, 0, 0, 0, 0, 0, 0, 0, 0, 1</t>
  </si>
  <si>
    <t>emergency plumber in rolling meadows</t>
  </si>
  <si>
    <t>emergency plumber near batavia</t>
  </si>
  <si>
    <t>24 hour plumber encino</t>
  </si>
  <si>
    <t>emergency plumber cornubia</t>
  </si>
  <si>
    <t>emergency plumber willetton</t>
  </si>
  <si>
    <t>0, 0, 0, 0, 0, 0, 1, 2, 1, 1, 1, 0, 0, 0, 0, 0, 0, 0, 0, 0, 0, 0, 0, 1</t>
  </si>
  <si>
    <t>emergency plumber sydney warwick farm</t>
  </si>
  <si>
    <t>24 hour plumber phoenix az</t>
  </si>
  <si>
    <t>0, 0, 0, 1, 0, 0, 2, 0, 0, 1, 1, 0, 0, 0, 0, 0, 0, 0, 0, 0, 0, 0, 0, 1</t>
  </si>
  <si>
    <t>emergency plumber westfield</t>
  </si>
  <si>
    <t>0, 0, 0, 0, 0, 0, 0, 0, 3, 1, 2, 0, 0, 0, 0, 0, 0, 0, 0, 0, 0, 0, 0, 1</t>
  </si>
  <si>
    <t>emergency plumber lakeway tx</t>
  </si>
  <si>
    <t>emergency plumber brea</t>
  </si>
  <si>
    <t>0, 0, 0, 0, 0, 0, 0, 1, 2, 2, 0, 0, 0, 0, 0, 0, 0, 0, 0, 0, 0, 0, 0, 1</t>
  </si>
  <si>
    <t>emergency plumber decatur</t>
  </si>
  <si>
    <t>0, 0, 0, 0, 0, 2, 1, 0, 0, 0, 1, 0, 0, 0, 0, 0, 0, 0, 0, 0, 0, 0, 0, 1</t>
  </si>
  <si>
    <t>emergency plumber templestowe</t>
  </si>
  <si>
    <t>0, 0, 0, 0, 1, 0, 1, 1, 5, 2, 3, 1, 0, 0, 0, 0, 0, 0, 0, 0, 0, 0, 0, 1</t>
  </si>
  <si>
    <t>emergency plumber brisbane northside</t>
  </si>
  <si>
    <t>1, 1, 1, 0, 0, 0, 1, 0, 1, 2, 2, 3, 0, 0, 0, 0, 0, 0, 0, 0, 0, 0, 0, 1</t>
  </si>
  <si>
    <t>bountiful utah 24 hour plumber</t>
  </si>
  <si>
    <t>emergency plumber rockville md</t>
  </si>
  <si>
    <t>0, 1, 1, 0, 3, 0, 0, 0, 0, 3, 2, 0, 0, 0, 0, 0, 0, 1, 0, 0, 0, 0, 0, 1</t>
  </si>
  <si>
    <t>emergency plumber bishop auckland</t>
  </si>
  <si>
    <t>belchertown 24 hour plumber</t>
  </si>
  <si>
    <t>emergency plumber sandy</t>
  </si>
  <si>
    <t>0, 0, 0, 0, 0, 0, 1, 0, 0, 3, 0, 0, 1, 0, 0, 0, 0, 0, 0, 0, 0, 0, 0, 1</t>
  </si>
  <si>
    <t>liverpool emergency plumber sydney</t>
  </si>
  <si>
    <t>emergency plumber in nottingham</t>
  </si>
  <si>
    <t>emergency plumber escondido</t>
  </si>
  <si>
    <t>1, 0, 1, 1, 0, 0, 0, 3, 2, 2, 0, 0, 0, 0, 0, 0, 0, 0, 0, 0, 0, 0, 0, 1</t>
  </si>
  <si>
    <t>emergency plumber chateauguay</t>
  </si>
  <si>
    <t>24 hour emergency plumber rooty hill</t>
  </si>
  <si>
    <t>0, 0, 0, 0, 2, 1, 1, 1, 1, 1, 0, 0, 0, 0, 0, 0, 0, 0, 0, 0, 0, 0, 0, 1</t>
  </si>
  <si>
    <t>24 hour plumber cambridge ma</t>
  </si>
  <si>
    <t>emergency plumber skokie il</t>
  </si>
  <si>
    <t>emergency plumber freehold nj</t>
  </si>
  <si>
    <t>emergency plumber bentleigh</t>
  </si>
  <si>
    <t>reno emergency plumber</t>
  </si>
  <si>
    <t>1, 0, 1, 0, 0, 0, 1, 1, 0, 0, 1, 0, 0, 0, 0, 0, 0, 0, 0, 0, 0, 0, 0, 1</t>
  </si>
  <si>
    <t>emergency plumber camberwell</t>
  </si>
  <si>
    <t>0, 0, 0, 0, 0, 2, 0, 1, 3, 2, 3, 3, 0, 0, 0, 0, 0, 0, 0, 0, 0, 0, 0, 1</t>
  </si>
  <si>
    <t>emergency plumber hampton wick</t>
  </si>
  <si>
    <t>emergency plumber west bromwich</t>
  </si>
  <si>
    <t>emergency plumber warrandyte</t>
  </si>
  <si>
    <t>0, 0, 0, 0, 0, 1, 0, 0, 0, 1, 2, 0, 0, 0, 0, 0, 0, 0, 0, 0, 0, 0, 0, 1</t>
  </si>
  <si>
    <t>emergency plumber wilsonville</t>
  </si>
  <si>
    <t>emergency plumber mokuleia</t>
  </si>
  <si>
    <t>2, 1, 0, 1, 0, 1, 0, 0, 0, 0, 0, 0, 0, 0, 0, 0, 0, 0, 0, 0, 0, 0, 0, 1</t>
  </si>
  <si>
    <t>blocked toilet plumber milton keynes</t>
  </si>
  <si>
    <t>0, 0, 0, 1, 1, 1, 1, 0, 2, 1, 0, 0, 0, 0, 0, 0, 0, 0, 0, 0, 0, 0, 0, 1</t>
  </si>
  <si>
    <t>st. george utah emergency plumber</t>
  </si>
  <si>
    <t>emergency plumber buckeye az</t>
  </si>
  <si>
    <t>0, 0, 0, 1, 0, 2, 0, 0, 0, 2, 2, 0, 0, 0, 0, 0, 0, 1, 0, 0, 0, 0, 0, 1</t>
  </si>
  <si>
    <t>emergency plumber st albans</t>
  </si>
  <si>
    <t>0, 3, 0, 0, 1, 0, 2, 1, 4, 2, 0, 0, 0, 0, 0, 0, 0, 0, 0, 0, 0, 0, 0, 1</t>
  </si>
  <si>
    <t>emergency plumber in chicago</t>
  </si>
  <si>
    <t>ogden utah emergency plumber</t>
  </si>
  <si>
    <t>emergency plumber oceanside ca</t>
  </si>
  <si>
    <t>emergency plumber nundah</t>
  </si>
  <si>
    <t>emergency plumber service bowen hills</t>
  </si>
  <si>
    <t>24 hour plumber open now</t>
  </si>
  <si>
    <t>0, 0, 0, 0, 0, 0, 1, 0, 0, 0, 1, 0, 0, 0, 0, 0, 0, 0, 0, 0, 0, 1, 1, 2</t>
  </si>
  <si>
    <t>water supply pipe leak repair cost</t>
  </si>
  <si>
    <t>2, 2, 1, 0, 0, 0, 0, 1, 0, 0, 1, 0, 0, 0, 0, 0, 0, 0, 0, 0, 0, 0, 0, 1</t>
  </si>
  <si>
    <t>emergency plumber fountain valley</t>
  </si>
  <si>
    <t>garland tx emergency plumber near me</t>
  </si>
  <si>
    <t>emergency plumber columbus ohio</t>
  </si>
  <si>
    <t>0, 0, 1, 1, 0, 0, 0, 1, 0, 0, 0, 0, 0, 1, 0, 0, 0, 0, 0, 0, 0, 0, 0, 1</t>
  </si>
  <si>
    <t>emergency plumber ottawa on</t>
  </si>
  <si>
    <t>toilet water leak repair</t>
  </si>
  <si>
    <t>0, 0, 1, 0, 1, 0, 1, 0, 0, 0, 1, 1, 0, 0, 2, 0, 0, 0, 1, 1, 0, 0, 0, 1</t>
  </si>
  <si>
    <t>emergency plumber services near me</t>
  </si>
  <si>
    <t>1, 0, 2, 2, 0, 2, 0, 1, 3, 0, 2, 0, 0, 0, 0, 1, 1, 0, 0, 1, 0, 0, 0, 1</t>
  </si>
  <si>
    <t>emergency plumber greensborough</t>
  </si>
  <si>
    <t>0, 0, 0, 0, 0, 0, 0, 0, 2, 0, 1, 0, 0, 1, 0, 0, 0, 0, 0, 0, 0, 0, 0, 1</t>
  </si>
  <si>
    <t>emergency plumber harlow</t>
  </si>
  <si>
    <t>emergency plumber coventry</t>
  </si>
  <si>
    <t>2, 0, 0, 1, 3, 0, 2, 5, 2, 2, 1, 0, 4, 0, 0, 0, 0, 0, 0, 0, 0, 0, 0, 1</t>
  </si>
  <si>
    <t>emergency plumber strathmore</t>
  </si>
  <si>
    <t>1, 0, 0, 2, 1, 1, 0, 2, 0, 1, 0, 0, 0, 0, 0, 0, 0, 0, 0, 0, 0, 0, 0, 1</t>
  </si>
  <si>
    <t>emergency plumber indooroopilly</t>
  </si>
  <si>
    <t>emergency plumber salt lake</t>
  </si>
  <si>
    <t>0, 1, 0, 0, 1, 0, 0, 1, 0, 1, 2, 2, 0, 0, 0, 0, 0, 0, 0, 0, 0, 0, 0, 1</t>
  </si>
  <si>
    <t>24 hour plumber in croydon</t>
  </si>
  <si>
    <t>florence emergency plumber</t>
  </si>
  <si>
    <t>1, 1, 0, 3, 1, 0, 1, 0, 0, 2, 1, 0, 0, 0, 0, 0, 0, 0, 0, 0, 0, 0, 0, 1</t>
  </si>
  <si>
    <t>emergency plumber mount pleasant</t>
  </si>
  <si>
    <t>1, 0, 0, 0, 0, 0, 0, 4, 0, 0, 1, 0, 0, 0, 0, 0, 0, 0, 0, 0, 0, 0, 0, 1</t>
  </si>
  <si>
    <t>burst pipe repair scottsdale</t>
  </si>
  <si>
    <t>emergency plumber kew</t>
  </si>
  <si>
    <t>0, 0, 0, 3, 0, 0, 2, 2, 1, 1, 1, 0, 0, 1, 0, 0, 0, 0, 0, 0, 0, 0, 0, 1</t>
  </si>
  <si>
    <t>burst pipe repair phoenix</t>
  </si>
  <si>
    <t>santa fe emergency plumber</t>
  </si>
  <si>
    <t>emergency plumber manassas</t>
  </si>
  <si>
    <t>0, 0, 0, 0, 0, 0, 1, 0, 0, 1, 2, 0, 1, 0, 0, 0, 0, 0, 0, 0, 0, 0, 0, 1</t>
  </si>
  <si>
    <t>emergency plumber glenview</t>
  </si>
  <si>
    <t>emergency plumber near me grapevine</t>
  </si>
  <si>
    <t>0, 0, 0, 0, 0, 0, 0, 1, 0, 0, 3, 0, 0, 0, 0, 0, 0, 0, 0, 0, 0, 0, 0, 1</t>
  </si>
  <si>
    <t>twickenham emergency plumber</t>
  </si>
  <si>
    <t>emergency plumber terrebonne</t>
  </si>
  <si>
    <t>denton tx emergency plumber</t>
  </si>
  <si>
    <t>1, 0, 0, 1, 0, 1, 1, 0, 0, 0, 4, 0, 0, 0, 0, 0, 0, 0, 0, 0, 1, 0, 0, 1</t>
  </si>
  <si>
    <t>average cost of water leak repair</t>
  </si>
  <si>
    <t>0, 0, 0, 0, 0, 0, 0, 0, 0, 2, 0, 0, 0, 1, 0, 0, 0, 0, 0, 0, 0, 0, 0, 1</t>
  </si>
  <si>
    <t>emergency plumber menlo park</t>
  </si>
  <si>
    <t>0, 0, 0, 0, 0, 0, 0, 0, 0, 0, 0, 1, 1, 1, 1, 0, 0, 0, 0, 0, 0, 2, 1, 1</t>
  </si>
  <si>
    <t>emergency plumber surrey bc</t>
  </si>
  <si>
    <t>0, 0, 0, 0, 0, 1, 0, 0, 3, 0, 2, 0, 0, 0, 0, 0, 0, 0, 0, 0, 0, 0, 0, 1</t>
  </si>
  <si>
    <t>emergency plumber lakewood ranch fl</t>
  </si>
  <si>
    <t>24 hour plumber gwinnett</t>
  </si>
  <si>
    <t>emergency plumber south london</t>
  </si>
  <si>
    <t>emergency plumber north port</t>
  </si>
  <si>
    <t>emergency plumber roodepoort</t>
  </si>
  <si>
    <t>emergency plumber vernon</t>
  </si>
  <si>
    <t>0, 0, 0, 1, 0, 1, 0, 2, 0, 2, 0, 0, 0, 0, 0, 0, 0, 0, 0, 0, 0, 0, 0, 1</t>
  </si>
  <si>
    <t>herriman utah 24 hour plumber</t>
  </si>
  <si>
    <t>emergency plumber cranbourne</t>
  </si>
  <si>
    <t>emergency plumber galston</t>
  </si>
  <si>
    <t>0, 0, 0, 0, 0, 0, 0, 1, 0, 1, 0, 1, 1, 0, 0, 0, 0, 0, 0, 0, 0, 0, 0, 1</t>
  </si>
  <si>
    <t>emergency plumber raleigh</t>
  </si>
  <si>
    <t>0, 0, 0, 1, 2, 1, 0, 2, 1, 2, 2, 0, 0, 0, 0, 0, 0, 0, 0, 0, 0, 0, 0, 1</t>
  </si>
  <si>
    <t>emergency plumber lynwood</t>
  </si>
  <si>
    <t>0, 0, 0, 0, 0, 1, 1, 1, 0, 0, 1, 5, 0, 0, 1, 0, 0, 0, 0, 0, 0, 0, 0, 1</t>
  </si>
  <si>
    <t>emergency plumber alpharetta ga</t>
  </si>
  <si>
    <t>0, 0, 0, 0, 0, 0, 0, 0, 2, 2, 1, 0, 0, 0, 0, 0, 0, 0, 0, 0, 0, 0, 0, 1</t>
  </si>
  <si>
    <t>emergency plumber phila</t>
  </si>
  <si>
    <t>st water leak repair services</t>
  </si>
  <si>
    <t>0, 0, 0, 0, 0, 0, 2, 3, 1, 1, 0, 0, 0, 0, 0, 0, 0, 0, 0, 0, 0, 0, 0, 1</t>
  </si>
  <si>
    <t>emergency plumber crestmead</t>
  </si>
  <si>
    <t>0, 0, 0, 0, 0, 0, 0, 0, 0, 0, 0, 1, 0, 0, 0, 1, 1, 1, 0, 1, 0, 0, 0, 1</t>
  </si>
  <si>
    <t>24 hour plumber in salt lake city</t>
  </si>
  <si>
    <t>emergency plumber bribie island</t>
  </si>
  <si>
    <t>emergency plumber brooklyn ny</t>
  </si>
  <si>
    <t>0, 0, 0, 0, 1, 0, 0, 2, 1, 1, 1, 1, 0, 0, 0, 0, 0, 0, 1, 0, 0, 0, 0, 1</t>
  </si>
  <si>
    <t>water pipe leak repair st paul</t>
  </si>
  <si>
    <t>emergency plumber gresham or</t>
  </si>
  <si>
    <t>emergency plumber pompano beach fl</t>
  </si>
  <si>
    <t>emergency plumber chigwell</t>
  </si>
  <si>
    <t>emergency plumber renton</t>
  </si>
  <si>
    <t>0, 0, 1, 0, 0, 1, 0, 2, 1, 0, 0, 0, 0, 0, 0, 0, 0, 0, 0, 0, 0, 0, 0, 1</t>
  </si>
  <si>
    <t>castle rock emergency plumber</t>
  </si>
  <si>
    <t>emergency plumber in nw1 london</t>
  </si>
  <si>
    <t>emergency plumber harbor isle</t>
  </si>
  <si>
    <t>new malden emergency plumber</t>
  </si>
  <si>
    <t>emergency plumber boston</t>
  </si>
  <si>
    <t>0, 0, 0, 0, 0, 1, 0, 2, 4, 0, 1, 0, 1, 0, 0, 0, 0, 0, 0, 0, 0, 0, 1, 1</t>
  </si>
  <si>
    <t>emergency plumber services</t>
  </si>
  <si>
    <t>3, 3, 6, 7, 2, 8, 10, 7, 11, 3, 13, 12, 2, 0, 0, 0, 1, 1, 0, 1, 0, 1, 0, 1</t>
  </si>
  <si>
    <t>emergency plumber waterways</t>
  </si>
  <si>
    <t>emergency plumber mississauga</t>
  </si>
  <si>
    <t>0, 0, 0, 1, 1, 3, 3, 1, 0, 2, 3, 1, 0, 0, 0, 1, 1, 0, 0, 0, 0, 0, 0, 1</t>
  </si>
  <si>
    <t>emergency plumber converse tx</t>
  </si>
  <si>
    <t>emergency plumber service tennyson</t>
  </si>
  <si>
    <t>emergency plumber abilene</t>
  </si>
  <si>
    <t>vancouver emergency plumber</t>
  </si>
  <si>
    <t>2, 1, 1, 0, 2, 0, 1, 1, 1, 3, 2, 1, 0, 0, 0, 0, 0, 0, 0, 0, 0, 0, 0, 1</t>
  </si>
  <si>
    <t>emergency plumber highland village</t>
  </si>
  <si>
    <t>24 hour plumber lancaster ca</t>
  </si>
  <si>
    <t>emergency plumber haverhill ma</t>
  </si>
  <si>
    <t>0, 0, 0, 0, 0, 1, 2, 0, 0, 0, 0, 0, 0, 0, 0, 0, 0, 0, 0, 0, 0, 0, 0, 1</t>
  </si>
  <si>
    <t>emergency plumber west covina</t>
  </si>
  <si>
    <t>emergency plumber asheville nc</t>
  </si>
  <si>
    <t>1, 0, 0, 0, 0, 1, 1, 0, 1, 1, 6, 0, 0, 0, 1, 0, 0, 0, 0, 0, 0, 0, 1, 1</t>
  </si>
  <si>
    <t>destin emergency plumber</t>
  </si>
  <si>
    <t>emergency plumber fixing burst pipe</t>
  </si>
  <si>
    <t>0, 0, 0, 0, 0, 0, 0, 0, 0, 0, 0, 0, 0, 0, 0, 0, 0, 0, 0, 0, 2, 5, 1, 1</t>
  </si>
  <si>
    <t>plumber toronto emergency</t>
  </si>
  <si>
    <t>emergency plumber roswell</t>
  </si>
  <si>
    <t>emergency plumber auburn hills</t>
  </si>
  <si>
    <t>cookeville emergency plumber</t>
  </si>
  <si>
    <t>emergency plumber midlothian</t>
  </si>
  <si>
    <t>0, 1, 0, 2, 1, 1, 0, 1, 2, 0, 1, 1, 0, 0, 0, 0, 0, 0, 0, 0, 0, 0, 0, 1</t>
  </si>
  <si>
    <t>emergency gas plumber services</t>
  </si>
  <si>
    <t>0, 0, 0, 1, 2, 0, 0, 0, 0, 0, 2, 0, 0, 0, 0, 0, 0, 0, 0, 2, 0, 0, 0, 1</t>
  </si>
  <si>
    <t>pipe burst repair anne arundel</t>
  </si>
  <si>
    <t>0, 0, 0, 0, 0, 1, 1, 1, 1, 1, 0, 0, 0, 0, 0, 0, 0, 0, 0, 0, 0, 0, 0, 1</t>
  </si>
  <si>
    <t>affordable emergency plumber near me</t>
  </si>
  <si>
    <t>0, 0, 0, 0, 0, 0, 2, 2, 3, 1, 0, 2, 0, 0, 0, 0, 0, 0, 0, 0, 0, 2, 0, 1</t>
  </si>
  <si>
    <t>emergency plumber kincardine</t>
  </si>
  <si>
    <t>0, 2, 4, 4, 0, 2, 0, 2, 0, 2, 0, 1, 0, 0, 0, 0, 0, 0, 0, 0, 0, 0, 0, 1</t>
  </si>
  <si>
    <t>northfield emergency plumber</t>
  </si>
  <si>
    <t>emergency plumber in vernon hills</t>
  </si>
  <si>
    <t>24 hour plumber evanston wy</t>
  </si>
  <si>
    <t>emergency plumber pompano beach</t>
  </si>
  <si>
    <t>0, 1, 0, 0, 0, 1, 1, 1, 0, 2, 0, 0, 0, 0, 0, 0, 0, 0, 0, 0, 0, 0, 0, 1</t>
  </si>
  <si>
    <t>emergency plumber indianapolis</t>
  </si>
  <si>
    <t>0, 0, 1, 0, 0, 2, 0, 1, 1, 2, 2, 3, 0, 0, 0, 0, 0, 0, 0, 0, 0, 0, 0, 1</t>
  </si>
  <si>
    <t>emergency water leak repair cape town</t>
  </si>
  <si>
    <t>0, 0, 0, 0, 0, 0, 0, 0, 0, 0, 0, 0, 0, 0, 0, 0, 0, 0, 0, 13, 20, 6, 0, 9</t>
  </si>
  <si>
    <t>emergency plumber dublin 4</t>
  </si>
  <si>
    <t>0, 0, 0, 0, 0, 1, 0, 0, 0, 1, 1, 0, 1, 0, 0, 0, 0, 0, 0, 0, 0, 0, 0, 1</t>
  </si>
  <si>
    <t>emergency plumber north port fl</t>
  </si>
  <si>
    <t>emergency plumber homebush</t>
  </si>
  <si>
    <t>emergency plumber everett</t>
  </si>
  <si>
    <t>0, 0, 0, 1, 0, 0, 0, 0, 0, 1, 0, 1, 0, 0, 0, 0, 0, 0, 0, 0, 0, 0, 0, 1</t>
  </si>
  <si>
    <t>underground water leak repair</t>
  </si>
  <si>
    <t>0, 0, 1, 4, 2, 2, 1, 2, 0, 1, 2, 0, 0, 0, 1, 1, 0, 0, 1, 1, 1, 1, 0, 2</t>
  </si>
  <si>
    <t>emergency plumber murrieta</t>
  </si>
  <si>
    <t>0, 0, 1, 1, 1, 0, 0, 1, 2, 0, 1, 4, 0, 0, 0, 0, 0, 0, 0, 0, 0, 0, 0, 1</t>
  </si>
  <si>
    <t>emergency plumber sittingbourne</t>
  </si>
  <si>
    <t>0, 0, 0, 1, 0, 0, 0, 2, 0, 0, 2, 1, 0, 0, 0, 0, 0, 0, 0, 0, 0, 0, 0, 1</t>
  </si>
  <si>
    <t>24 hour plumber galveston</t>
  </si>
  <si>
    <t>emergency plumber covent garden</t>
  </si>
  <si>
    <t>24 hour cherry hill plumber</t>
  </si>
  <si>
    <t>24 hour plumber crossville tn</t>
  </si>
  <si>
    <t>emergency plumber edwardsville il</t>
  </si>
  <si>
    <t>emergency plumber sussex</t>
  </si>
  <si>
    <t>emergency plumber bangor</t>
  </si>
  <si>
    <t>emergency plumber hawick</t>
  </si>
  <si>
    <t>emergency plumber ascot</t>
  </si>
  <si>
    <t>1, 1, 1, 2, 1, 1, 1, 3, 0, 3, 4, 0, 0, 0, 0, 0, 0, 0, 0, 0, 0, 0, 0, 1</t>
  </si>
  <si>
    <t>emergency plumber twin falls id</t>
  </si>
  <si>
    <t>0, 0, 1, 0, 0, 1, 0, 0, 0, 1, 0, 0, 0, 0, 0, 0, 0, 0, 0, 0, 0, 0, 0, 1</t>
  </si>
  <si>
    <t>magnolia tx emergency plumber</t>
  </si>
  <si>
    <t>1, 0, 1, 0, 0, 1, 0, 0, 0, 0, 1, 0, 0, 0, 0, 0, 0, 0, 0, 0, 0, 0, 0, 1</t>
  </si>
  <si>
    <t>emergency plumber maida vale</t>
  </si>
  <si>
    <t>0, 0, 0, 0, 0, 0, 0, 0, 1, 3, 0, 0, 0, 0, 0, 0, 0, 0, 0, 0, 0, 0, 0, 1</t>
  </si>
  <si>
    <t>pleasantville emergency plumber</t>
  </si>
  <si>
    <t>emergency plumber south dakota</t>
  </si>
  <si>
    <t>montgomery emergency plumber</t>
  </si>
  <si>
    <t>0, 1, 0, 0, 1, 0, 0, 0, 0, 3, 4, 0, 0, 0, 0, 0, 0, 0, 0, 0, 0, 0, 0, 1</t>
  </si>
  <si>
    <t>emergency plumber daventry</t>
  </si>
  <si>
    <t>hurst tx emergency plumber</t>
  </si>
  <si>
    <t>norfolk emergency plumber</t>
  </si>
  <si>
    <t>emergency plumber ipswich</t>
  </si>
  <si>
    <t>0, 2, 2, 0, 3, 1, 1, 0, 1, 4, 2, 0, 0, 0, 0, 0, 0, 0, 0, 0, 0, 1, 1, 2</t>
  </si>
  <si>
    <t>emergency plumber arcadia oklahoma</t>
  </si>
  <si>
    <t>emergency plumber gosport</t>
  </si>
  <si>
    <t>0, 0, 0, 0, 0, 0, 0, 0, 2, 0, 3, 1, 0, 0, 0, 0, 0, 0, 0, 0, 0, 0, 0, 1</t>
  </si>
  <si>
    <t>home water leak repair salt lake county</t>
  </si>
  <si>
    <t>emergency plumber groveland ma</t>
  </si>
  <si>
    <t>emergency plumber riverstone</t>
  </si>
  <si>
    <t>emergency plumber farnham</t>
  </si>
  <si>
    <t>0, 0, 0, 0, 0, 1, 0, 1, 1, 0, 4, 0, 0, 0, 0, 0, 0, 0, 0, 0, 0, 0, 0, 1</t>
  </si>
  <si>
    <t>emergency plumber wylie tx</t>
  </si>
  <si>
    <t>emergency plumber flint</t>
  </si>
  <si>
    <t>emergency plumber santa barbara</t>
  </si>
  <si>
    <t>emergency plumber forest glen</t>
  </si>
  <si>
    <t>0, 0, 0, 0, 0, 0, 1, 1, 1, 2, 0, 1, 0, 0, 0, 0, 0, 0, 0, 0, 0, 0, 0, 1</t>
  </si>
  <si>
    <t>24 hour plumber pasadena</t>
  </si>
  <si>
    <t>emergency plumber in my area</t>
  </si>
  <si>
    <t>1, 0, 1, 1, 0, 1, 0, 4, 1, 2, 2, 0, 0, 0, 0, 0, 0, 0, 0, 0, 1, 0, 0, 1</t>
  </si>
  <si>
    <t>emergency plumber bee caves tx</t>
  </si>
  <si>
    <t>emergency plumber missouri city</t>
  </si>
  <si>
    <t>0, 1, 0, 0, 1, 1, 3, 0, 0, 1, 0, 0, 0, 1, 0, 0, 0, 0, 0, 0, 0, 0, 0, 1</t>
  </si>
  <si>
    <t>emergency plumber benaraby</t>
  </si>
  <si>
    <t>0, 0, 0, 0, 0, 0, 5, 0, 0, 1, 2, 0, 0, 0, 0, 0, 0, 0, 0, 0, 0, 0, 0, 1</t>
  </si>
  <si>
    <t>emergency plumber waterford</t>
  </si>
  <si>
    <t>0, 0, 0, 0, 0, 0, 3, 1, 0, 1, 0, 1, 0, 0, 0, 0, 0, 0, 0, 0, 0, 0, 0, 1</t>
  </si>
  <si>
    <t>emergency plumber southport nc</t>
  </si>
  <si>
    <t>emergency gas plumber willetton</t>
  </si>
  <si>
    <t>emergency plumber in winfield</t>
  </si>
  <si>
    <t>24 hour plumber nashville tn</t>
  </si>
  <si>
    <t>outside faucet pipe burst repair</t>
  </si>
  <si>
    <t>emergency plumber varsity lakes</t>
  </si>
  <si>
    <t>24 hour plumber escondido</t>
  </si>
  <si>
    <t>0, 0, 0, 1, 1, 0, 0, 0, 2, 0, 1, 0, 0, 0, 0, 0, 0, 0, 0, 0, 0, 0, 0, 1</t>
  </si>
  <si>
    <t>emergency plumber newcastle upon tyne</t>
  </si>
  <si>
    <t>new orleans emergency plumber</t>
  </si>
  <si>
    <t>1, 1, 0, 1, 0, 0, 0, 0, 0, 0, 1, 0, 0, 0, 0, 0, 0, 0, 0, 0, 0, 0, 0, 1</t>
  </si>
  <si>
    <t>emergency plumber dartford</t>
  </si>
  <si>
    <t>0, 0, 0, 0, 2, 0, 0, 1, 1, 0, 0, 0, 0, 0, 0, 0, 0, 0, 0, 0, 0, 0, 0, 1</t>
  </si>
  <si>
    <t>sydney emergency plumber</t>
  </si>
  <si>
    <t>west jordan utah emergency plumber</t>
  </si>
  <si>
    <t>ceiling burst pipe repair cape town</t>
  </si>
  <si>
    <t>0, 0, 0, 0, 0, 0, 0, 0, 0, 0, 0, 0, 0, 0, 0, 0, 0, 0, 0, 9, 13, 5, 0, 7</t>
  </si>
  <si>
    <t>pipe burst repair</t>
  </si>
  <si>
    <t>1, 4, 5, 0, 0, 2, 0, 2, 2, 1, 8, 0, 1, 0, 1, 0, 1, 0, 0, 2, 1, 1, 0, 2</t>
  </si>
  <si>
    <t>24 hour plumber valdora</t>
  </si>
  <si>
    <t>0, 0, 0, 0, 0, 1, 2, 1, 1, 0, 1, 0, 0, 0, 0, 0, 0, 0, 0, 0, 0, 0, 0, 1</t>
  </si>
  <si>
    <t>24 hour plumber in brampton</t>
  </si>
  <si>
    <t>emergency plumber port hueneme ca</t>
  </si>
  <si>
    <t>emergency plumber cosham</t>
  </si>
  <si>
    <t>emergency plumber tenterden</t>
  </si>
  <si>
    <t>emergency plumber irvine</t>
  </si>
  <si>
    <t>2, 0, 1, 1, 0, 2, 1, 0, 4, 1, 1, 2, 1, 0, 1, 0, 0, 0, 0, 0, 0, 0, 0, 1</t>
  </si>
  <si>
    <t>emergency plumber tunbridge wells</t>
  </si>
  <si>
    <t>0, 1, 1, 0, 0, 0, 0, 1, 1, 3, 2, 2, 0, 0, 0, 0, 0, 0, 0, 0, 0, 0, 0, 1</t>
  </si>
  <si>
    <t>irving tx emergency plumber</t>
  </si>
  <si>
    <t>0, 0, 3, 3, 1, 1, 0, 0, 0, 2, 2, 2, 0, 0, 0, 0, 0, 0, 0, 0, 0, 0, 0, 1</t>
  </si>
  <si>
    <t>water leak repair norcross</t>
  </si>
  <si>
    <t>flower mound tx emergency plumber</t>
  </si>
  <si>
    <t>0, 1, 1, 2, 0, 0, 0, 0, 0, 0, 0, 0, 0, 0, 0, 0, 0, 0, 0, 0, 0, 0, 0, 1</t>
  </si>
  <si>
    <t>24 hour emergency plumber newton abbot</t>
  </si>
  <si>
    <t>manchester emergency plumber</t>
  </si>
  <si>
    <t>emergency plumber culver city ca</t>
  </si>
  <si>
    <t>anaheim emergency plumber</t>
  </si>
  <si>
    <t>0, 0, 1, 0, 0, 0, 0, 1, 0, 0, 0, 1, 0, 0, 0, 0, 0, 0, 0, 0, 0, 0, 0, 1</t>
  </si>
  <si>
    <t>emergency plumber lockwood</t>
  </si>
  <si>
    <t>0, 0, 0, 0, 1, 1, 1, 0, 1, 1, 0, 0, 0, 0, 0, 0, 0, 0, 0, 0, 0, 0, 0, 1</t>
  </si>
  <si>
    <t>emergency plumber bracken ridge</t>
  </si>
  <si>
    <t>water leak repair portsmouth</t>
  </si>
  <si>
    <t>emergency plumber greenock</t>
  </si>
  <si>
    <t>emergency plumber chorley</t>
  </si>
  <si>
    <t>0, 0, 1, 0, 0, 0, 0, 0, 0, 2, 0, 0, 0, 0, 0, 0, 0, 0, 0, 0, 0, 1, 0, 1</t>
  </si>
  <si>
    <t>emergency plumber near clarendon hills</t>
  </si>
  <si>
    <t>24 hour plumber fort lauderdale</t>
  </si>
  <si>
    <t>emergency plumber service paddington</t>
  </si>
  <si>
    <t>emergency plumber lasalle</t>
  </si>
  <si>
    <t>salt lake city emergency plumber</t>
  </si>
  <si>
    <t>2, 1, 0, 1, 0, 1, 0, 0, 1, 0, 0, 0, 0, 0, 0, 0, 0, 0, 0, 0, 0, 0, 0, 1</t>
  </si>
  <si>
    <t>emergency plumber hornsby</t>
  </si>
  <si>
    <t>0, 0, 0, 2, 1, 2, 1, 1, 1, 1, 0, 2, 0, 0, 0, 0, 0, 0, 0, 0, 3, 0, 0, 2</t>
  </si>
  <si>
    <t>emergency plumber near me cheap lexington</t>
  </si>
  <si>
    <t>0, 0, 0, 0, 0, 0, 1, 1, 1, 2, 1, 1, 0, 0, 0, 0, 0, 0, 0, 0, 0, 0, 0, 1</t>
  </si>
  <si>
    <t>water leak repair corona</t>
  </si>
  <si>
    <t>emergency plumber north east</t>
  </si>
  <si>
    <t>downey water leak repair</t>
  </si>
  <si>
    <t>plumber emergency service</t>
  </si>
  <si>
    <t>1, 2, 0, 3, 1, 2, 7, 2, 1, 3, 3, 6, 0, 1, 0, 0, 1, 1, 1, 3, 1, 0, 1, 1</t>
  </si>
  <si>
    <t>24 hour plumber canberra</t>
  </si>
  <si>
    <t>emergency plumber east brisbane</t>
  </si>
  <si>
    <t>emergency plumber montreal</t>
  </si>
  <si>
    <t>1, 0, 1, 0, 1, 0, 3, 2, 3, 0, 1, 1, 0, 0, 0, 0, 0, 0, 0, 0, 0, 0, 2, 1</t>
  </si>
  <si>
    <t>emergency plumber patchway</t>
  </si>
  <si>
    <t>emergency plumber london</t>
  </si>
  <si>
    <t>3, 1, 3, 6, 1, 6, 2, 5, 9, 3, 8, 13, 2, 1, 0, 0, 0, 2, 0, 1, 0, 0, 4, 4</t>
  </si>
  <si>
    <t>24 hour emergency plumber service near me</t>
  </si>
  <si>
    <t>0, 0, 1, 0, 1, 2, 1, 2, 3, 6, 2, 2, 2, 4, 5, 2, 0, 0, 0, 0, 0, 0, 0, 1</t>
  </si>
  <si>
    <t>emergency plumber lapeer mi</t>
  </si>
  <si>
    <t>emergency plumber bullhead city az</t>
  </si>
  <si>
    <t>1, 0, 2, 0, 0, 0, 0, 1, 0, 0, 6, 1, 0, 0, 0, 0, 0, 0, 0, 0, 0, 0, 0, 1</t>
  </si>
  <si>
    <t>water leak in wall repair cost</t>
  </si>
  <si>
    <t>1, 3, 2, 2, 1, 0, 2, 2, 1, 3, 1, 0, 3, 0, 1, 0, 0, 1, 0, 2, 0, 1, 0, 1</t>
  </si>
  <si>
    <t>tomball tx emergency plumber</t>
  </si>
  <si>
    <t>0, 1, 0, 0, 0, 0, 0, 1, 1, 0, 0, 0, 0, 0, 0, 0, 0, 0, 0, 0, 0, 0, 0, 1</t>
  </si>
  <si>
    <t>emergency plumber chipping norton</t>
  </si>
  <si>
    <t>0, 0, 0, 1, 0, 0, 0, 0, 0, 0, 4, 0, 0, 0, 0, 0, 0, 0, 0, 0, 0, 0, 0, 1</t>
  </si>
  <si>
    <t>emergency plumber broken arrow</t>
  </si>
  <si>
    <t>0, 0, 0, 0, 1, 2, 0, 0, 0, 0, 1, 2, 0, 0, 0, 0, 0, 0, 0, 0, 0, 0, 0, 1</t>
  </si>
  <si>
    <t>emergency plumber huntington</t>
  </si>
  <si>
    <t>0, 0, 0, 0, 0, 0, 0, 1, 1, 1, 1, 2, 0, 0, 0, 0, 0, 0, 0, 0, 1, 0, 0, 1</t>
  </si>
  <si>
    <t>emergency plumber image flat</t>
  </si>
  <si>
    <t>car water pump leak repair cost</t>
  </si>
  <si>
    <t>brooklyn plumber 24 hour</t>
  </si>
  <si>
    <t>1, 0, 0, 0, 2, 3, 3, 4, 0, 1, 1, 0, 0, 0, 0, 1, 0, 0, 0, 0, 0, 0, 0, 1</t>
  </si>
  <si>
    <t>emergency plumber aburn</t>
  </si>
  <si>
    <t>emergency plumber park avenue</t>
  </si>
  <si>
    <t>0, 0, 0, 0, 0, 0, 0, 2, 2, 0, 2, 0, 0, 0, 0, 0, 0, 0, 0, 0, 0, 0, 0, 1</t>
  </si>
  <si>
    <t>emergency plumber columbus</t>
  </si>
  <si>
    <t>0, 0, 2, 0, 0, 1, 2, 2, 2, 1, 1, 1, 0, 0, 0, 0, 0, 0, 0, 0, 0, 0, 0, 1</t>
  </si>
  <si>
    <t>emergency plumber service forest lake</t>
  </si>
  <si>
    <t>emergency plumber telina</t>
  </si>
  <si>
    <t>0, 0, 0, 0, 0, 0, 0, 3, 2, 0, 1, 0, 0, 0, 0, 0, 0, 0, 0, 0, 0, 0, 0, 1</t>
  </si>
  <si>
    <t>emergency plumber waltham abbey</t>
  </si>
  <si>
    <t>emergency on time local plumber</t>
  </si>
  <si>
    <t>car roof water leak repair</t>
  </si>
  <si>
    <t>1, 1, 1, 1, 2, 0, 1, 0, 0, 1, 0, 0, 0, 0, 1, 0, 1, 0, 2, 0, 1, 0, 0, 1</t>
  </si>
  <si>
    <t>ofallon emergency plumber</t>
  </si>
  <si>
    <t>emergency plumber service south brisbane</t>
  </si>
  <si>
    <t>ottawa emergency plumber</t>
  </si>
  <si>
    <t>0, 0, 0, 0, 1, 1, 0, 0, 0, 1, 0, 0, 0, 0, 0, 0, 0, 0, 0, 0, 0, 0, 0, 1</t>
  </si>
  <si>
    <t>emergency plumber ballarat</t>
  </si>
  <si>
    <t>frisco tx emergency plumber</t>
  </si>
  <si>
    <t>0, 0, 0, 0, 0, 0, 1, 0, 0, 3, 3, 5, 0, 0, 0, 0, 0, 1, 0, 0, 0, 0, 0, 1</t>
  </si>
  <si>
    <t>myrtle beach 24 hour plumber</t>
  </si>
  <si>
    <t>3, 1, 0, 1, 0, 1, 0, 0, 0, 1, 1, 1, 0, 0, 0, 0, 0, 0, 0, 0, 0, 0, 0, 1</t>
  </si>
  <si>
    <t>emergency plumber stevenson</t>
  </si>
  <si>
    <t>emergency plumber service larapinta</t>
  </si>
  <si>
    <t>emergency plumber thurrock</t>
  </si>
  <si>
    <t>emergency plumber derby</t>
  </si>
  <si>
    <t>0, 0, 0, 1, 0, 1, 1, 0, 3, 3, 1, 3, 0, 0, 0, 1, 0, 0, 0, 0, 0, 0, 0, 1</t>
  </si>
  <si>
    <t>emergency plumber mornington peninsula</t>
  </si>
  <si>
    <t>0, 0, 1, 0, 2, 0, 1, 1, 2, 2, 1, 0, 0, 0, 0, 0, 0, 1, 0, 0, 0, 0, 0, 1</t>
  </si>
  <si>
    <t>emergency plumber wallace</t>
  </si>
  <si>
    <t>0, 0, 0, 0, 0, 0, 0, 0, 0, 0, 2, 3, 0, 0, 0, 0, 0, 0, 0, 0, 0, 0, 0, 1</t>
  </si>
  <si>
    <t>emergency plumber castle cove</t>
  </si>
  <si>
    <t>0, 0, 0, 0, 2, 0, 0, 0, 0, 0, 0, 0, 0, 0, 0, 0, 0, 0, 0, 0, 0, 0, 0, 1</t>
  </si>
  <si>
    <t>emergency plumber fayette county</t>
  </si>
  <si>
    <t>emergency plumber bountiful</t>
  </si>
  <si>
    <t>repair water pipe leak in slab</t>
  </si>
  <si>
    <t>0, 0, 0, 0, 0, 0, 1, 0, 2, 0, 0, 0, 0, 0, 0, 0, 1, 0, 0, 0, 0, 0, 0, 1</t>
  </si>
  <si>
    <t>irving emergency plumber</t>
  </si>
  <si>
    <t>0, 0, 0, 0, 2, 0, 0, 0, 1, 1, 3, 0, 0, 0, 0, 0, 0, 0, 0, 0, 0, 0, 0, 1</t>
  </si>
  <si>
    <t>car water pipe leak repair</t>
  </si>
  <si>
    <t>0, 0, 0, 0, 0, 0, 0, 1, 4, 5, 7, 7, 5, 3, 0, 0, 0, 0, 0, 5, 0, 2, 0, 2</t>
  </si>
  <si>
    <t>silver spring emergency plumber</t>
  </si>
  <si>
    <t>24 hour plumber surrey</t>
  </si>
  <si>
    <t>1, 1, 2, 0, 2, 0, 1, 2, 0, 0, 1, 0, 0, 0, 0, 0, 0, 0, 0, 0, 0, 0, 0, 1</t>
  </si>
  <si>
    <t>emergency plumber holliston ma</t>
  </si>
  <si>
    <t>emergency plumber edgware</t>
  </si>
  <si>
    <t>0, 0, 0, 0, 1, 0, 0, 0, 2, 0, 0, 0, 0, 0, 0, 0, 0, 0, 0, 0, 0, 0, 0, 1</t>
  </si>
  <si>
    <t>emergency plumber dublin 5</t>
  </si>
  <si>
    <t>0, 0, 0, 0, 0, 0, 0, 1, 0, 1, 1, 0, 0, 0, 0, 0, 0, 0, 0, 0, 0, 0, 0, 1</t>
  </si>
  <si>
    <t>emergency plumber burntisland</t>
  </si>
  <si>
    <t>emergency plumber reading uk</t>
  </si>
  <si>
    <t>0, 0, 0, 0, 1, 1, 1, 0, 0, 0, 0, 0, 0, 0, 0, 0, 0, 0, 0, 0, 0, 0, 0, 1</t>
  </si>
  <si>
    <t>emergency plumber yeovil</t>
  </si>
  <si>
    <t>emergency plumber wrexham</t>
  </si>
  <si>
    <t>3, 0, 0, 0, 2, 0, 0, 0, 0, 0, 0, 0, 0, 0, 0, 0, 0, 0, 0, 0, 0, 0, 0, 1</t>
  </si>
  <si>
    <t>emergency plumber nokesville</t>
  </si>
  <si>
    <t>0, 0, 0, 1, 0, 0, 1, 0, 0, 0, 1, 0, 0, 0, 0, 0, 0, 0, 0, 0, 0, 0, 0, 1</t>
  </si>
  <si>
    <t>emergency plumber norristown</t>
  </si>
  <si>
    <t>emergency plumber clitheroe</t>
  </si>
  <si>
    <t>0, 0, 0, 0, 3, 0, 0, 0, 0, 0, 0, 0, 0, 0, 0, 0, 0, 0, 0, 0, 0, 0, 0, 1</t>
  </si>
  <si>
    <t>emergency plumber providence</t>
  </si>
  <si>
    <t>conway emergency plumber</t>
  </si>
  <si>
    <t>0, 0, 0, 0, 0, 0, 0, 0, 0, 1, 1, 0, 0, 0, 0, 0, 0, 0, 0, 0, 0, 1, 0, 1</t>
  </si>
  <si>
    <t>emergency plumber las vegas</t>
  </si>
  <si>
    <t>1, 0, 1, 0, 0, 2, 1, 3, 3, 6, 2, 0, 0, 0, 0, 0, 0, 0, 0, 0, 1, 1, 0, 2</t>
  </si>
  <si>
    <t>emergency plumber leamington</t>
  </si>
  <si>
    <t>water leak detection and repair goodwood</t>
  </si>
  <si>
    <t>0, 0, 0, 0, 0, 0, 0, 0, 0, 0, 0, 0, 0, 0, 0, 0, 0, 0, 0, 0, 0, 22, 13, 2</t>
  </si>
  <si>
    <t>emergency plumber near me castle rock co</t>
  </si>
  <si>
    <t>emergency plumber scarborough</t>
  </si>
  <si>
    <t>1, 0, 1, 2, 0, 0, 1, 2, 2, 6, 3, 0, 0, 0, 0, 0, 0, 0, 0, 0, 0, 0, 0, 1</t>
  </si>
  <si>
    <t>deer park emergency plumber</t>
  </si>
  <si>
    <t>emergency plumber witham</t>
  </si>
  <si>
    <t>24 hour plumber san clemente</t>
  </si>
  <si>
    <t>emergency plumber boerne</t>
  </si>
  <si>
    <t>1, 0, 1, 0, 1, 0, 1, 0, 0, 2, 5, 2, 0, 0, 0, 2, 0, 0, 0, 0, 0, 0, 0, 1</t>
  </si>
  <si>
    <t>emergency plumber pickering</t>
  </si>
  <si>
    <t>0, 1, 0, 0, 0, 0, 3, 0, 1, 0, 0, 2, 0, 0, 0, 0, 0, 0, 0, 0, 0, 0, 0, 1</t>
  </si>
  <si>
    <t>24 hour plumber ottawa</t>
  </si>
  <si>
    <t>0, 0, 0, 0, 0, 0, 0, 0, 0, 0, 0, 0, 0, 1, 0, 0, 0, 0, 0, 0, 0, 2, 0, 1</t>
  </si>
  <si>
    <t>gold coast emergency plumber</t>
  </si>
  <si>
    <t>emergency plumber blackpool</t>
  </si>
  <si>
    <t>0, 0, 0, 0, 1, 1, 0, 2, 1, 1, 0, 0, 0, 0, 0, 2, 0, 0, 0, 1, 0, 0, 0, 1</t>
  </si>
  <si>
    <t>emergency plumber in cottonwood heights</t>
  </si>
  <si>
    <t>emergency plumber edithvale</t>
  </si>
  <si>
    <t>emergency plumber aberdeen</t>
  </si>
  <si>
    <t>0, 0, 0, 0, 1, 0, 0, 1, 0, 1, 0, 0, 0, 0, 0, 0, 0, 0, 0, 0, 0, 0, 0, 1</t>
  </si>
  <si>
    <t>leaking tap repair brisbane</t>
  </si>
  <si>
    <t>0, 1, 0, 1, 2, 3, 1, 1, 0, 0, 0, 0, 0, 0, 0, 0, 0, 0, 0, 0, 0, 0, 0, 1</t>
  </si>
  <si>
    <t>emergency plumber savannah</t>
  </si>
  <si>
    <t>emergency water pipe leak repair</t>
  </si>
  <si>
    <t>emergency plumber near me 24 7 phoenix</t>
  </si>
  <si>
    <t>0, 0, 0, 0, 0, 0, 0, 2, 1, 0, 4, 0, 0, 0, 0, 0, 0, 0, 0, 0, 0, 0, 0, 1</t>
  </si>
  <si>
    <t>24 hr emergency plumber long beach ca</t>
  </si>
  <si>
    <t>emergency plumber sandiego</t>
  </si>
  <si>
    <t>24 hour plumber seattle</t>
  </si>
  <si>
    <t>0, 0, 1, 0, 0, 1, 3, 1, 1, 3, 0, 0, 1, 0, 0, 0, 0, 0, 0, 0, 0, 0, 0, 1</t>
  </si>
  <si>
    <t>24 hour plumber centurion</t>
  </si>
  <si>
    <t>24 hour plumber pendleton</t>
  </si>
  <si>
    <t>clarksburg emergency plumber</t>
  </si>
  <si>
    <t>emergency plumber 24 7</t>
  </si>
  <si>
    <t>0, 2, 0, 0, 3, 5, 1, 4, 1, 3, 3, 0, 0, 0, 0, 0, 0, 0, 0, 0, 0, 1, 0, 1</t>
  </si>
  <si>
    <t>emergency plumber welland</t>
  </si>
  <si>
    <t>emergency plumber servicesclaremore ok</t>
  </si>
  <si>
    <t>0, 0, 0, 0, 0, 0, 0, 1, 0, 1, 1, 1, 0, 0, 0, 0, 0, 0, 0, 0, 0, 0, 0, 1</t>
  </si>
  <si>
    <t>clearfield utah emergency plumber</t>
  </si>
  <si>
    <t>emergency plumber notting hill</t>
  </si>
  <si>
    <t>emergency plumber queens park</t>
  </si>
  <si>
    <t>0, 0, 0, 1, 0, 0, 0, 1, 1, 2, 0, 0, 0, 0, 0, 0, 0, 0, 0, 0, 0, 0, 0, 1</t>
  </si>
  <si>
    <t>emergency plumber cupar</t>
  </si>
  <si>
    <t>sewer backup emergency plumber</t>
  </si>
  <si>
    <t>massillon emergency plumber</t>
  </si>
  <si>
    <t>durham emergency plumber</t>
  </si>
  <si>
    <t>0, 0, 0, 0, 0, 0, 0, 0, 1, 0, 1, 1, 0, 0, 0, 0, 0, 0, 0, 0, 0, 0, 0, 1</t>
  </si>
  <si>
    <t>emergency plumber sydney northern sydney</t>
  </si>
  <si>
    <t>24 hour plumber atlanta</t>
  </si>
  <si>
    <t>cheap emergency plumber</t>
  </si>
  <si>
    <t>0, 2, 1, 3, 0, 3, 0, 6, 4, 2, 2, 0, 0, 0, 0, 0, 0, 0, 4, 0, 0, 0, 0, 1</t>
  </si>
  <si>
    <t>emergency plumber zillmere</t>
  </si>
  <si>
    <t>the 24 hour plumber</t>
  </si>
  <si>
    <t>emergency plumber drummoyne</t>
  </si>
  <si>
    <t>0, 0, 0, 1, 0, 1, 1, 1, 0, 2, 0, 5, 0, 0, 0, 0, 0, 0, 0, 0, 0, 0, 0, 1</t>
  </si>
  <si>
    <t>emergency plumber ridgewood ga</t>
  </si>
  <si>
    <t>emergency plumber charleston</t>
  </si>
  <si>
    <t>24-hour plumber toronto mississauga</t>
  </si>
  <si>
    <t>emergency plumber marlboro nj</t>
  </si>
  <si>
    <t>0, 1, 0, 1, 0, 0, 0, 0, 0, 0, 0, 0, 0, 0, 0, 0, 0, 0, 0, 0, 0, 0, 0, 1</t>
  </si>
  <si>
    <t>emergency plumber fall river</t>
  </si>
  <si>
    <t>emergency plumber titchfield</t>
  </si>
  <si>
    <t>0, 0, 0, 0, 0, 0, 0, 0, 4, 0, 0, 0, 0, 0, 0, 0, 0, 0, 0, 0, 0, 0, 0, 1</t>
  </si>
  <si>
    <t>emergency plumber pacific paradise</t>
  </si>
  <si>
    <t>0, 0, 0, 0, 1, 1, 0, 0, 1, 1, 0, 0, 0, 1, 0, 0, 0, 0, 0, 0, 0, 0, 0, 1</t>
  </si>
  <si>
    <t>24 hour plumber gaithersburg</t>
  </si>
  <si>
    <t>24-hour plumber pinehurst, nc</t>
  </si>
  <si>
    <t>emergency plumber service ellen grove</t>
  </si>
  <si>
    <t>emergency plumber comox valley</t>
  </si>
  <si>
    <t>0, 0, 1, 2, 1, 1, 0, 0, 0, 1, 0, 0, 0, 0, 0, 0, 0, 0, 0, 0, 0, 0, 0, 1</t>
  </si>
  <si>
    <t>sprinkler pipe burst repair cost</t>
  </si>
  <si>
    <t>local emergency plumber near greenfields</t>
  </si>
  <si>
    <t>emergency plumber brighton uk</t>
  </si>
  <si>
    <t>emergency plumber gaithersburg</t>
  </si>
  <si>
    <t>katy water leak repair</t>
  </si>
  <si>
    <t>miramar emergency plumber</t>
  </si>
  <si>
    <t>24 hour plumber spartanburg sc</t>
  </si>
  <si>
    <t>emergency plumber carramar</t>
  </si>
  <si>
    <t>0, 0, 0, 0, 0, 0, 0, 0, 2, 0, 1, 1, 1, 0, 0, 0, 0, 0, 0, 0, 0, 0, 0, 1</t>
  </si>
  <si>
    <t>emergency plumber pimlico</t>
  </si>
  <si>
    <t>24 hour plumber brooklyn</t>
  </si>
  <si>
    <t>0, 0, 0, 1, 0, 2, 3, 2, 0, 1, 2, 2, 0, 1, 0, 0, 0, 0, 0, 0, 0, 0, 0, 1</t>
  </si>
  <si>
    <t>newcastle emergency plumber</t>
  </si>
  <si>
    <t>1, 0, 0, 0, 0, 0, 0, 0, 1, 2, 1, 0, 0, 0, 0, 0, 0, 0, 1, 0, 0, 0, 0, 1</t>
  </si>
  <si>
    <t>emergency plumber charleston sc</t>
  </si>
  <si>
    <t>24 hour plumber kempton park</t>
  </si>
  <si>
    <t>emergency plumber rochester</t>
  </si>
  <si>
    <t>0, 2, 0, 1, 1, 2, 1, 3, 3, 0, 0, 1, 0, 0, 0, 0, 0, 0, 0, 0, 0, 0, 2, 1</t>
  </si>
  <si>
    <t>emergency plumber ilkley</t>
  </si>
  <si>
    <t>0, 0, 0, 0, 0, 0, 1, 1, 1, 1, 0, 0, 2, 0, 0, 0, 0, 0, 0, 0, 0, 0, 0, 1</t>
  </si>
  <si>
    <t>local emergency plumber near kingsley</t>
  </si>
  <si>
    <t>mullins sc emergency plumber</t>
  </si>
  <si>
    <t>emergency plumber stanmore</t>
  </si>
  <si>
    <t>emergency plumber phoenix</t>
  </si>
  <si>
    <t>3, 3, 2, 2, 9, 1, 2, 6, 4, 6, 5, 0, 0, 0, 0, 0, 2, 1, 0, 0, 1, 0, 0, 1</t>
  </si>
  <si>
    <t>emergency plumber dundas</t>
  </si>
  <si>
    <t>emergency plumber service murarrie</t>
  </si>
  <si>
    <t>0, 0, 0, 0, 1, 1, 0, 1, 1, 1, 0, 0, 0, 0, 0, 0, 0, 0, 0, 0, 0, 0, 0, 1</t>
  </si>
  <si>
    <t>emergency plumber victoria point</t>
  </si>
  <si>
    <t>0, 0, 0, 0, 0, 0, 0, 0, 0, 0, 1, 0, 0, 0, 0, 0, 0, 0, 0, 0, 0, 0, 1, 1</t>
  </si>
  <si>
    <t>emergency plumber in scunthorpe</t>
  </si>
  <si>
    <t>cleveland emergency plumber</t>
  </si>
  <si>
    <t>emergency plumber in lisle</t>
  </si>
  <si>
    <t>emergency plumber near me garland</t>
  </si>
  <si>
    <t>0, 0, 0, 0, 0, 0, 2, 1, 0, 1, 0, 2, 0, 0, 0, 0, 0, 0, 0, 0, 0, 0, 0, 1</t>
  </si>
  <si>
    <t>emergency plumber beverly hills</t>
  </si>
  <si>
    <t>24 hour plumber johns creek</t>
  </si>
  <si>
    <t>1, 0, 0, 0, 0, 1, 0, 1, 0, 0, 0, 0, 0, 0, 0, 0, 0, 0, 0, 0, 0, 0, 0, 1</t>
  </si>
  <si>
    <t>emergency plumber alpharetta</t>
  </si>
  <si>
    <t>emergency plumber laguna hills</t>
  </si>
  <si>
    <t>emergency plumber acton</t>
  </si>
  <si>
    <t>1, 0, 1, 0, 1, 0, 0, 0, 2, 0, 0, 4, 0, 1, 0, 0, 0, 0, 0, 0, 0, 0, 0, 1</t>
  </si>
  <si>
    <t>waleska and ball ground emergency plumber</t>
  </si>
  <si>
    <t>emergency plumber norwood</t>
  </si>
  <si>
    <t>0, 0, 0, 0, 1, 0, 0, 0, 0, 1, 4, 0, 0, 0, 0, 0, 0, 1, 0, 0, 0, 0, 0, 1</t>
  </si>
  <si>
    <t>24 hour plumber simi valley</t>
  </si>
  <si>
    <t>emergency plumber upper hutt</t>
  </si>
  <si>
    <t>0, 1, 0, 1, 0, 0, 0, 2, 1, 1, 0, 0, 0, 0, 0, 0, 0, 0, 0, 0, 0, 0, 0, 1</t>
  </si>
  <si>
    <t>callahan emergency plumber</t>
  </si>
  <si>
    <t>0, 0, 1, 1, 0, 1, 0, 0, 2, 1, 2, 2, 0, 0, 0, 0, 0, 0, 0, 0, 0, 0, 0, 1</t>
  </si>
  <si>
    <t>emergency plumber abergele</t>
  </si>
  <si>
    <t>emergency plumber west london</t>
  </si>
  <si>
    <t>1, 0, 1, 4, 0, 1, 1, 1, 1, 0, 0, 2, 0, 0, 0, 0, 0, 0, 0, 0, 0, 0, 0, 1</t>
  </si>
  <si>
    <t>emergency plumber athens ga</t>
  </si>
  <si>
    <t>1, 0, 0, 0, 0, 0, 0, 0, 0, 0, 0, 0, 0, 0, 0, 0, 0, 1, 0, 0, 0, 0, 0, 1</t>
  </si>
  <si>
    <t>emergency blocked sewer plumber</t>
  </si>
  <si>
    <t>local emergency plumber roswell ga</t>
  </si>
  <si>
    <t>24 hour plumber mckinney tx</t>
  </si>
  <si>
    <t>emergency plumber langley</t>
  </si>
  <si>
    <t>0, 0, 0, 0, 0, 1, 0, 3, 2, 1, 2, 0, 0, 0, 0, 0, 0, 0, 0, 0, 0, 0, 0, 1</t>
  </si>
  <si>
    <t>burst pipe repair simpsonville sc</t>
  </si>
  <si>
    <t>0, 0, 1, 1, 0, 0, 0, 0, 0, 0, 1, 0, 0, 0, 0, 0, 0, 0, 0, 0, 0, 0, 0, 1</t>
  </si>
  <si>
    <t>24 hour plumber caboolture</t>
  </si>
  <si>
    <t>emergency plumber huddersfield</t>
  </si>
  <si>
    <t>0, 0, 0, 0, 0, 2, 2, 2, 0, 1, 1, 0, 1, 0, 0, 0, 0, 0, 0, 0, 0, 0, 0, 1</t>
  </si>
  <si>
    <t>doylestown emergency plumber</t>
  </si>
  <si>
    <t>24 hour plumber richmond</t>
  </si>
  <si>
    <t>0, 2, 0, 1, 1, 3, 2, 0, 1, 0, 2, 0, 0, 0, 0, 0, 0, 0, 0, 0, 0, 0, 0, 1</t>
  </si>
  <si>
    <t>emergency plumber leppington</t>
  </si>
  <si>
    <t>0, 0, 0, 0, 0, 0, 2, 2, 0, 0, 0, 0, 0, 0, 0, 0, 0, 0, 0, 0, 0, 0, 0, 1</t>
  </si>
  <si>
    <t>emergency plumber mango hill</t>
  </si>
  <si>
    <t>emergency plumber helensvale</t>
  </si>
  <si>
    <t>0, 0, 0, 0, 3, 0, 0, 1, 0, 1, 2, 0, 0, 0, 0, 0, 0, 0, 0, 0, 0, 0, 0, 1</t>
  </si>
  <si>
    <t>water leak damage repair</t>
  </si>
  <si>
    <t>0, 0, 1, 3, 1, 1, 4, 6, 6, 5, 3, 0, 0, 0, 0, 0, 0, 0, 0, 0, 0, 0, 0, 1</t>
  </si>
  <si>
    <t>emergency plumber revesby</t>
  </si>
  <si>
    <t>outside water leak repair</t>
  </si>
  <si>
    <t>0, 0, 0, 0, 0, 0, 0, 2, 0, 0, 0, 0, 0, 0, 0, 0, 0, 0, 0, 1, 0, 0, 0, 1</t>
  </si>
  <si>
    <t>emergency plumber consett</t>
  </si>
  <si>
    <t>emergency plumber nh</t>
  </si>
  <si>
    <t>emergency plumber uxbridge</t>
  </si>
  <si>
    <t>0, 1, 1, 1, 1, 0, 1, 2, 1, 0, 4, 0, 0, 0, 0, 0, 0, 0, 0, 0, 0, 0, 0, 1</t>
  </si>
  <si>
    <t>emergency plumber manhattan beach</t>
  </si>
  <si>
    <t>0, 0, 0, 0, 0, 0, 0, 1, 1, 0, 0, 0, 1, 0, 0, 0, 0, 0, 0, 0, 0, 0, 0, 1</t>
  </si>
  <si>
    <t>repair tap leaking</t>
  </si>
  <si>
    <t>0, 0, 0, 0, 1, 1, 0, 1, 0, 0, 1, 0, 0, 0, 0, 0, 0, 0, 0, 0, 0, 0, 0, 1</t>
  </si>
  <si>
    <t>emergency plumber colac</t>
  </si>
  <si>
    <t>emergency plumber leichhardt</t>
  </si>
  <si>
    <t>0, 0, 1, 1, 0, 0, 0, 5, 4, 1, 3, 0, 0, 0, 0, 0, 0, 0, 0, 0, 0, 0, 0, 1</t>
  </si>
  <si>
    <t>emergency plumber holland park</t>
  </si>
  <si>
    <t>emergency plumber east kilbride</t>
  </si>
  <si>
    <t>0, 0, 0, 0, 1, 0, 0, 0, 2, 0, 1, 0, 0, 0, 0, 0, 0, 0, 0, 0, 0, 0, 0, 1</t>
  </si>
  <si>
    <t>emergency plumber westbury-on-trym</t>
  </si>
  <si>
    <t>emergency plumber anne arundel</t>
  </si>
  <si>
    <t>24 hour plumber coronado</t>
  </si>
  <si>
    <t>emergency plumber callahan</t>
  </si>
  <si>
    <t>2, 0, 1, 0, 0, 1, 1, 0, 4, 6, 2, 0, 0, 0, 0, 0, 0, 0, 0, 0, 0, 0, 0, 1</t>
  </si>
  <si>
    <t>emergency plumber morden</t>
  </si>
  <si>
    <t>0, 0, 1, 1, 1, 1, 1, 0, 1, 0, 0, 2, 0, 0, 0, 0, 0, 0, 0, 0, 0, 0, 0, 1</t>
  </si>
  <si>
    <t>24 hour plumber durbanville</t>
  </si>
  <si>
    <t>emergency plumber kissimmee</t>
  </si>
  <si>
    <t>24 hour plumber collaroy</t>
  </si>
  <si>
    <t>24 hour plumber cincinnati</t>
  </si>
  <si>
    <t>0, 1, 0, 0, 0, 0, 0, 1, 0, 2, 2, 0, 0, 0, 0, 0, 0, 0, 0, 0, 0, 0, 0, 1</t>
  </si>
  <si>
    <t>ocean city emergency plumber</t>
  </si>
  <si>
    <t>emergency plumber rochester mn</t>
  </si>
  <si>
    <t>1, 0, 2, 1, 0, 0, 1, 1, 0, 1, 0, 0, 0, 0, 0, 0, 0, 0, 0, 0, 0, 0, 0, 1</t>
  </si>
  <si>
    <t>emergency plumber arlington tx</t>
  </si>
  <si>
    <t>1, 0, 0, 0, 0, 0, 0, 0, 0, 1, 0, 0, 0, 0, 0, 0, 0, 0, 0, 0, 0, 0, 0, 1</t>
  </si>
  <si>
    <t>emergency plumber san onofre</t>
  </si>
  <si>
    <t>emergency plumber winston salem nc</t>
  </si>
  <si>
    <t>0, 0, 0, 0, 0, 2, 1, 0, 1, 0, 0, 1, 0, 0, 0, 0, 0, 0, 0, 0, 0, 0, 0, 1</t>
  </si>
  <si>
    <t>phoenix emergency plumber</t>
  </si>
  <si>
    <t>0, 0, 0, 1, 0, 2, 2, 0, 1, 3, 2, 1, 0, 0, 0, 0, 0, 0, 0, 0, 0, 0, 0, 1</t>
  </si>
  <si>
    <t>water leak repair mansfield</t>
  </si>
  <si>
    <t>emergency plumber dursley</t>
  </si>
  <si>
    <t>emergency plumber kawana</t>
  </si>
  <si>
    <t>0, 0, 0, 0, 0, 1, 1, 1, 1, 0, 4, 1, 0, 0, 0, 0, 0, 0, 0, 0, 0, 0, 0, 1</t>
  </si>
  <si>
    <t>24/7 emergency plumber burwood</t>
  </si>
  <si>
    <t>burst water pipe repair cape town</t>
  </si>
  <si>
    <t>0, 0, 0, 0, 0, 0, 0, 0, 0, 0, 0, 0, 0, 0, 0, 0, 0, 0, 0, 0, 4, 9, 2, 1</t>
  </si>
  <si>
    <t>emergency plumber in perth</t>
  </si>
  <si>
    <t>0, 0, 0, 0, 3, 0, 0, 0, 0, 0, 2, 4, 2, 1, 1, 1, 4, 3, 0, 2, 3, 0, 1, 2</t>
  </si>
  <si>
    <t>emergency plumber fair harbor</t>
  </si>
  <si>
    <t>0, 0, 0, 0, 0, 1, 2, 1, 0, 0, 0, 0, 0, 0, 0, 0, 0, 0, 0, 0, 0, 0, 0, 1</t>
  </si>
  <si>
    <t>emergency plumber service rocklea</t>
  </si>
  <si>
    <t>esher emergency plumber</t>
  </si>
  <si>
    <t>emergency plumber near river grove</t>
  </si>
  <si>
    <t>emergency plumber pietermaritzburg</t>
  </si>
  <si>
    <t>boca raton fl emergency plumber</t>
  </si>
  <si>
    <t>24 hour plumber guildford</t>
  </si>
  <si>
    <t>24 hour plumber canyon</t>
  </si>
  <si>
    <t>leaking bath tap repair</t>
  </si>
  <si>
    <t>0, 3, 0, 0, 0, 0, 0, 0, 0, 0, 0, 0, 0, 0, 0, 0, 1, 0, 0, 0, 1, 1, 0, 2</t>
  </si>
  <si>
    <t>emergency plumber ellenbrook</t>
  </si>
  <si>
    <t>0, 0, 0, 0, 0, 0, 0, 0, 1, 0, 3, 0, 1, 0, 0, 0, 0, 0, 0, 0, 0, 0, 0, 1</t>
  </si>
  <si>
    <t>emergency plumber mico tx</t>
  </si>
  <si>
    <t>concrete slab water leak repair</t>
  </si>
  <si>
    <t>0, 0, 0, 0, 0, 0, 0, 0, 0, 0, 1, 0, 0, 0, 0, 0, 0, 2, 0, 1, 0, 1, 0, 1</t>
  </si>
  <si>
    <t>emergency plumber kilmarnock</t>
  </si>
  <si>
    <t>0, 0, 0, 0, 0, 1, 0, 4, 0, 0, 1, 0, 0, 0, 0, 0, 0, 0, 0, 0, 0, 0, 0, 1</t>
  </si>
  <si>
    <t>emergency plumber oldbury</t>
  </si>
  <si>
    <t>1, 1, 0, 0, 1, 1, 3, 0, 0, 1, 3, 0, 0, 0, 0, 0, 0, 0, 0, 0, 0, 0, 0, 1</t>
  </si>
  <si>
    <t>local emergency plumber near padbury</t>
  </si>
  <si>
    <t>blocked toilet plumber london</t>
  </si>
  <si>
    <t>emergency plumber dublin 18</t>
  </si>
  <si>
    <t>emergency plumber fairfax va</t>
  </si>
  <si>
    <t>0, 0, 0, 0, 0, 0, 0, 0, 1, 2, 4, 0, 0, 0, 0, 0, 0, 0, 0, 0, 0, 0, 0, 1</t>
  </si>
  <si>
    <t>belfast emergency plumber</t>
  </si>
  <si>
    <t>emergency plumber honolulu</t>
  </si>
  <si>
    <t>1, 1, 0, 1, 0, 0, 1, 0, 1, 0, 0, 2, 0, 0, 0, 0, 0, 0, 0, 0, 0, 0, 0, 1</t>
  </si>
  <si>
    <t>emergency plumber winston-salem nc</t>
  </si>
  <si>
    <t>emergency plumber tennessee</t>
  </si>
  <si>
    <t>emergency call out plumber near me</t>
  </si>
  <si>
    <t>1, 2, 0, 1, 1, 1, 1, 0, 1, 0, 1, 2, 0, 0, 0, 0, 0, 0, 0, 0, 0, 1, 0, 1</t>
  </si>
  <si>
    <t>water leak repair company layton</t>
  </si>
  <si>
    <t>emergency plumber moreno valley</t>
  </si>
  <si>
    <t>0, 0, 1, 0, 0, 0, 0, 0, 0, 0, 1, 0, 0, 0, 0, 0, 0, 1, 0, 0, 0, 0, 0, 1</t>
  </si>
  <si>
    <t>emergency plumber strood</t>
  </si>
  <si>
    <t>emergency plumber knoxville</t>
  </si>
  <si>
    <t>0, 1, 1, 1, 0, 0, 0, 0, 0, 0, 1, 0, 0, 0, 0, 0, 0, 0, 0, 0, 0, 0, 0, 1</t>
  </si>
  <si>
    <t>24 hour cheap plumber</t>
  </si>
  <si>
    <t>0, 1, 1, 0, 0, 0, 1, 0, 0, 0, 1, 0, 0, 0, 0, 0, 0, 0, 0, 0, 0, 0, 0, 1</t>
  </si>
  <si>
    <t>emergency plumber reigate</t>
  </si>
  <si>
    <t>emergency plumber service fortitude valley</t>
  </si>
  <si>
    <t>auto water leak repair</t>
  </si>
  <si>
    <t>1, 0, 0, 0, 1, 2, 0, 1, 0, 2, 0, 1, 0, 0, 0, 1, 0, 0, 0, 0, 0, 0, 0, 1</t>
  </si>
  <si>
    <t>haslet slab water leak repair</t>
  </si>
  <si>
    <t>emergency plumber rockingham</t>
  </si>
  <si>
    <t>0, 0, 0, 0, 0, 0, 0, 3, 4, 3, 1, 0, 0, 0, 0, 0, 0, 0, 0, 0, 0, 0, 0, 1</t>
  </si>
  <si>
    <t>yorba linda emergency plumber</t>
  </si>
  <si>
    <t>emergency plumber ashington</t>
  </si>
  <si>
    <t>emergency plumber el cajon</t>
  </si>
  <si>
    <t>carrollton emergency plumber</t>
  </si>
  <si>
    <t>0, 0, 0, 1, 0, 0, 1, 0, 1, 3, 2, 0, 0, 0, 0, 0, 0, 0, 0, 0, 0, 0, 0, 1</t>
  </si>
  <si>
    <t>emergency plumber nebraska</t>
  </si>
  <si>
    <t>emergency plumber in hackney</t>
  </si>
  <si>
    <t>leaking mixer tap repair manual</t>
  </si>
  <si>
    <t>1, 3, 3, 3, 1, 3, 2, 2, 2, 7, 6, 5, 5, 11, 3, 2, 7, 4, 4, 4, 3, 4, 2, 4</t>
  </si>
  <si>
    <t>emergency plumber smyrna</t>
  </si>
  <si>
    <t>emergency plumber berlin</t>
  </si>
  <si>
    <t>emergency plumber wolverhampton</t>
  </si>
  <si>
    <t>0, 0, 0, 0, 2, 1, 0, 2, 3, 3, 0, 0, 1, 0, 0, 0, 0, 0, 0, 0, 0, 0, 0, 1</t>
  </si>
  <si>
    <t>repair water main leak</t>
  </si>
  <si>
    <t>emergency plumber mission viejo ca</t>
  </si>
  <si>
    <t>emergency plumber killara</t>
  </si>
  <si>
    <t>0, 1, 2, 0, 0, 0, 0, 0, 0, 0, 0, 1, 0, 0, 0, 0, 0, 0, 0, 0, 0, 0, 0, 1</t>
  </si>
  <si>
    <t>emergency plumber sun city</t>
  </si>
  <si>
    <t>0, 0, 0, 1, 0, 1, 0, 0, 3, 0, 1, 1, 0, 0, 0, 0, 0, 0, 0, 0, 0, 0, 0, 1</t>
  </si>
  <si>
    <t>emergency plumber colchester</t>
  </si>
  <si>
    <t>0, 0, 0, 0, 0, 0, 0, 0, 0, 2, 2, 1, 0, 0, 0, 0, 0, 0, 0, 0, 0, 0, 0, 1</t>
  </si>
  <si>
    <t>emergency plumber north bethesda</t>
  </si>
  <si>
    <t>0, 1, 0, 0, 1, 1, 0, 0, 1, 1, 1, 0, 0, 0, 0, 0, 0, 0, 0, 0, 0, 0, 0, 1</t>
  </si>
  <si>
    <t>best 24 hour plumber</t>
  </si>
  <si>
    <t>emergency commercial plumber tacoma wa</t>
  </si>
  <si>
    <t>0, 0, 1, 0, 1, 0, 0, 0, 0, 1, 1, 0, 0, 0, 0, 0, 0, 0, 0, 0, 0, 0, 0, 1</t>
  </si>
  <si>
    <t>24 hour plumber tacoma</t>
  </si>
  <si>
    <t>philadelphia emergency plumber</t>
  </si>
  <si>
    <t>underground water leak repair cost</t>
  </si>
  <si>
    <t>2, 0, 1, 1, 2, 4, 2, 5, 3, 1, 0, 0, 4, 2, 1, 0, 1, 0, 1, 0, 0, 0, 1, 1</t>
  </si>
  <si>
    <t>emergency plumber midland</t>
  </si>
  <si>
    <t>0, 0, 1, 0, 0, 0, 1, 1, 3, 1, 1, 0, 1, 0, 0, 0, 0, 0, 0, 0, 0, 0, 0, 1</t>
  </si>
  <si>
    <t>emergency plumber earlwood</t>
  </si>
  <si>
    <t>0, 0, 0, 2, 1, 0, 1, 2, 2, 0, 1, 0, 0, 1, 0, 0, 0, 0, 0, 0, 0, 0, 0, 1</t>
  </si>
  <si>
    <t>burst pipe repair kit</t>
  </si>
  <si>
    <t>0, 1, 1, 1, 2, 1, 2, 4, 1, 0, 0, 4, 0, 0, 0, 0, 0, 0, 0, 0, 0, 0, 0, 1</t>
  </si>
  <si>
    <t>emergency plumber brookvale</t>
  </si>
  <si>
    <t>emergency plumber galashiels</t>
  </si>
  <si>
    <t>oceanside emergency plumber</t>
  </si>
  <si>
    <t>norwalk 24 hour emergency plumber</t>
  </si>
  <si>
    <t>local 24 hour plumber willesden</t>
  </si>
  <si>
    <t>underground water leak repair near me</t>
  </si>
  <si>
    <t>0, 0, 1, 0, 3, 3, 0, 0, 1, 0, 1, 0, 0, 0, 0, 0, 0, 0, 0, 0, 0, 0, 0, 1</t>
  </si>
  <si>
    <t>24 hour plumber perth</t>
  </si>
  <si>
    <t>0, 0, 4, 1, 0, 3, 1, 1, 3, 4, 2, 4, 1, 0, 0, 0, 0, 0, 0, 0, 0, 0, 0, 1</t>
  </si>
  <si>
    <t>plumber emergency services</t>
  </si>
  <si>
    <t>emergency plumber dakabin</t>
  </si>
  <si>
    <t>emergency plumber ann arbor mi</t>
  </si>
  <si>
    <t>emergency plumber menai</t>
  </si>
  <si>
    <t>emergency plumber bridgeport</t>
  </si>
  <si>
    <t>1, 1, 0, 0, 1, 0, 2, 1, 2, 2, 1, 0, 0, 0, 0, 0, 0, 0, 0, 0, 0, 0, 0, 1</t>
  </si>
  <si>
    <t>emergency plumber johns creek</t>
  </si>
  <si>
    <t>0, 0, 1, 0, 1, 0, 2, 0, 0, 0, 1, 0, 0, 0, 0, 0, 0, 0, 0, 0, 0, 0, 0, 1</t>
  </si>
  <si>
    <t>emergency plumber zionsville in</t>
  </si>
  <si>
    <t>0, 1, 0, 0, 1, 0, 0, 0, 1, 0, 3, 0, 0, 0, 0, 0, 0, 0, 0, 0, 0, 0, 0, 1</t>
  </si>
  <si>
    <t>24 hour plumber lubbock</t>
  </si>
  <si>
    <t>markham emergency plumber</t>
  </si>
  <si>
    <t>24 hour plumber sevenoaks</t>
  </si>
  <si>
    <t>emergency plumber philadelphia</t>
  </si>
  <si>
    <t>0, 0, 2, 3, 3, 1, 0, 2, 1, 2, 1, 0, 0, 0, 0, 0, 0, 1, 0, 0, 0, 0, 0, 1</t>
  </si>
  <si>
    <t>24-hour emergency plumber</t>
  </si>
  <si>
    <t>0, 1, 0, 3, 2, 0, 2, 1, 0, 4, 1, 0, 0, 0, 0, 0, 0, 1, 0, 0, 0, 0, 0, 1</t>
  </si>
  <si>
    <t>emergency plumber nesconset</t>
  </si>
  <si>
    <t>emergency plumber oldham</t>
  </si>
  <si>
    <t>0, 1, 2, 0, 0, 0, 3, 0, 1, 2, 3, 0, 0, 0, 0, 0, 0, 0, 0, 0, 0, 0, 0, 1</t>
  </si>
  <si>
    <t>emergency plumber auburn</t>
  </si>
  <si>
    <t>0, 0, 0, 0, 1, 0, 2, 1, 2, 1, 2, 0, 0, 0, 0, 0, 0, 0, 0, 0, 1, 0, 0, 1</t>
  </si>
  <si>
    <t>emergency plumber service petrie terrace</t>
  </si>
  <si>
    <t>emergency plumber norman gardens</t>
  </si>
  <si>
    <t>0, 0, 0, 0, 0, 1, 1, 0, 0, 0, 2, 0, 0, 0, 0, 0, 0, 0, 0, 0, 0, 0, 0, 1</t>
  </si>
  <si>
    <t>emergency plumber 29577</t>
  </si>
  <si>
    <t>0, 0, 0, 0, 2, 2, 0, 0, 0, 0, 0, 0, 0, 0, 0, 0, 0, 0, 0, 0, 0, 0, 0, 1</t>
  </si>
  <si>
    <t>emergency plumber mooresville</t>
  </si>
  <si>
    <t>emergency plumber mullins sc</t>
  </si>
  <si>
    <t>0, 0, 0, 0, 0, 0, 0, 0, 0, 0, 3, 0, 0, 0, 0, 0, 0, 0, 1, 0, 0, 0, 0, 1</t>
  </si>
  <si>
    <t>emergency plumber orlando fl</t>
  </si>
  <si>
    <t>emergency plumber malibu</t>
  </si>
  <si>
    <t>emergency plumber idaho</t>
  </si>
  <si>
    <t>window water leak repair</t>
  </si>
  <si>
    <t>1, 1, 0, 0, 0, 0, 0, 0, 0, 1, 1, 0, 0, 0, 0, 0, 1, 0, 0, 0, 0, 0, 0, 1</t>
  </si>
  <si>
    <t>emergency plumber mount waverley</t>
  </si>
  <si>
    <t>0, 0, 0, 1, 1, 0, 1, 0, 1, 0, 2, 1, 0, 0, 0, 0, 0, 0, 0, 0, 0, 0, 0, 1</t>
  </si>
  <si>
    <t>birmingham 24 hour emergency plumber</t>
  </si>
  <si>
    <t>ottawa emergency plumber near me</t>
  </si>
  <si>
    <t>emergency plumber adelanto ca</t>
  </si>
  <si>
    <t>emergency plumber lake forest</t>
  </si>
  <si>
    <t>0, 0, 0, 1, 0, 0, 1, 1, 2, 1, 0, 0, 0, 0, 0, 0, 0, 0, 0, 0, 0, 0, 0, 1</t>
  </si>
  <si>
    <t>fix leaking tap plumbing repair</t>
  </si>
  <si>
    <t>0, 0, 0, 0, 0, 0, 0, 0, 0, 0, 0, 0, 0, 0, 0, 0, 0, 0, 0, 1, 9, 1, 0, 4</t>
  </si>
  <si>
    <t>24 hour plumber everett</t>
  </si>
  <si>
    <t>emergency plumber pacific pines</t>
  </si>
  <si>
    <t>24-hour plumber emergency cape town</t>
  </si>
  <si>
    <t>0, 0, 0, 0, 0, 0, 0, 0, 0, 0, 0, 0, 0, 0, 0, 0, 0, 0, 0, 12, 28, 12, 0, 14</t>
  </si>
  <si>
    <t>24 hour plumber mossel bay</t>
  </si>
  <si>
    <t>emergency plumber virginia beach va</t>
  </si>
  <si>
    <t>emergency plumber kansas city</t>
  </si>
  <si>
    <t>0, 1, 1, 2, 2, 2, 1, 2, 0, 1, 0, 2, 0, 0, 0, 0, 0, 0, 0, 0, 0, 0, 1, 1</t>
  </si>
  <si>
    <t>emergency plumber barnsley</t>
  </si>
  <si>
    <t>0, 0, 1, 0, 0, 0, 0, 0, 1, 0, 2, 0, 0, 0, 0, 0, 0, 0, 0, 0, 0, 0, 0, 1</t>
  </si>
  <si>
    <t>emergency plumber marana</t>
  </si>
  <si>
    <t>emergency plumber waianae</t>
  </si>
  <si>
    <t>1, 0, 0, 1, 0, 2, 0, 0, 0, 0, 0, 0, 0, 1, 0, 0, 0, 0, 0, 0, 0, 0, 0, 1</t>
  </si>
  <si>
    <t>emergency plumber east grinstead</t>
  </si>
  <si>
    <t>0, 0, 1, 0, 0, 0, 0, 2, 1, 1, 0, 1, 1, 0, 0, 2, 0, 0, 0, 0, 0, 0, 0, 1</t>
  </si>
  <si>
    <t>emergency plumber mather</t>
  </si>
  <si>
    <t>emergency plumber beverley park</t>
  </si>
  <si>
    <t>emergency plumber granbury</t>
  </si>
  <si>
    <t>emergency plumber near me 24/7</t>
  </si>
  <si>
    <t>0, 0, 0, 0, 0, 1, 0, 0, 1, 0, 1, 0, 0, 0, 0, 0, 0, 0, 0, 0, 0, 0, 0, 1</t>
  </si>
  <si>
    <t>emergency plumber in chester</t>
  </si>
  <si>
    <t>emergency plumber redondo beach</t>
  </si>
  <si>
    <t>emergency plumber in belfast</t>
  </si>
  <si>
    <t>emergency plumber brantford</t>
  </si>
  <si>
    <t>basement water leak repair dawsonville ga</t>
  </si>
  <si>
    <t>aventura emergency plumber</t>
  </si>
  <si>
    <t>24 hour plumber brighton</t>
  </si>
  <si>
    <t>emergency plumber wingham</t>
  </si>
  <si>
    <t>0, 0, 5, 4, 3, 2, 0, 1, 0, 0, 1, 0, 0, 0, 0, 0, 0, 0, 0, 0, 0, 0, 0, 1</t>
  </si>
  <si>
    <t>emergency plumber in park ridge</t>
  </si>
  <si>
    <t>emergency plumber near kildeer*</t>
  </si>
  <si>
    <t>emergency plumber cost seattle</t>
  </si>
  <si>
    <t>0, 0, 0, 0, 0, 1, 0, 1, 0, 2, 1, 0, 0, 0, 0, 0, 0, 0, 0, 0, 0, 0, 0, 1</t>
  </si>
  <si>
    <t>emergency plumber in ardmore</t>
  </si>
  <si>
    <t>emergency plumber virginia</t>
  </si>
  <si>
    <t>0, 0, 0, 0, 0, 0, 1, 1, 0, 0, 0, 0, 1, 0, 0, 0, 0, 0, 0, 0, 0, 0, 0, 1</t>
  </si>
  <si>
    <t>24 hour plumber knoxville tn</t>
  </si>
  <si>
    <t>quick water leak repair</t>
  </si>
  <si>
    <t>3, 0, 0, 0, 0, 0, 0, 2, 0, 0, 0, 0, 0, 0, 0, 0, 0, 1, 1, 0, 0, 0, 0, 1</t>
  </si>
  <si>
    <t>emergency plumber labrador</t>
  </si>
  <si>
    <t>0, 0, 0, 0, 0, 0, 2, 0, 1, 0, 0, 2, 0, 0, 0, 0, 0, 0, 0, 0, 0, 0, 0, 1</t>
  </si>
  <si>
    <t>leaking tap emergency repair cape town</t>
  </si>
  <si>
    <t>0, 0, 0, 0, 0, 0, 0, 0, 0, 0, 0, 0, 0, 0, 0, 0, 0, 0, 0, 0, 8, 26, 8, 3</t>
  </si>
  <si>
    <t>emergency plumber milltown</t>
  </si>
  <si>
    <t>24 hour plumber glenhaven</t>
  </si>
  <si>
    <t>0, 0, 0, 0, 0, 1, 1, 3, 2, 0, 0, 0, 0, 0, 0, 0, 0, 0, 0, 0, 0, 0, 0, 1</t>
  </si>
  <si>
    <t>emergency plumber sidcup</t>
  </si>
  <si>
    <t>0, 0, 1, 0, 1, 1, 2, 0, 2, 0, 0, 1, 0, 0, 0, 0, 0, 0, 0, 0, 0, 0, 0, 1</t>
  </si>
  <si>
    <t>emergency plumber singapore</t>
  </si>
  <si>
    <t>1, 1, 4, 1, 1, 1, 1, 0, 1, 2, 0, 0, 0, 0, 0, 0, 0, 0, 0, 0, 0, 0, 0, 1</t>
  </si>
  <si>
    <t>emergency plumber north dakota</t>
  </si>
  <si>
    <t>24 hour call out plumber near me</t>
  </si>
  <si>
    <t>0, 2, 0, 1, 0, 1, 0, 0, 0, 0, 0, 0, 0, 1, 0, 0, 0, 0, 0, 0, 0, 0, 0, 1</t>
  </si>
  <si>
    <t>plumber 24 hour emergency</t>
  </si>
  <si>
    <t>north richland hills slab water leak repair</t>
  </si>
  <si>
    <t>0, 0, 0, 0, 0, 0, 1, 0, 0, 3, 1, 0, 0, 0, 0, 0, 0, 0, 0, 0, 0, 0, 0, 1</t>
  </si>
  <si>
    <t>emergency plumber hayground</t>
  </si>
  <si>
    <t>0, 0, 0, 0, 0, 0, 1, 2, 1, 0, 0, 0, 0, 0, 0, 0, 0, 0, 0, 0, 0, 0, 0, 1</t>
  </si>
  <si>
    <t>emergency plumber railegh</t>
  </si>
  <si>
    <t>emergency plumber turbeville</t>
  </si>
  <si>
    <t>emergency plumber dunbar</t>
  </si>
  <si>
    <t>24 hours emergency plumber</t>
  </si>
  <si>
    <t>0, 0, 4, 0, 0, 1, 0, 0, 0, 0, 0, 0, 0, 0, 1, 0, 0, 0, 0, 0, 0, 0, 0, 1</t>
  </si>
  <si>
    <t>24 hour plumber upland ca</t>
  </si>
  <si>
    <t>emergency plumber salt lake city ut</t>
  </si>
  <si>
    <t>emergency plumber surprise az</t>
  </si>
  <si>
    <t>burlington emergency plumber</t>
  </si>
  <si>
    <t>leaking tap repair perth</t>
  </si>
  <si>
    <t>emergency plumber sugar land tx</t>
  </si>
  <si>
    <t>0, 0, 0, 1, 0, 1, 0, 0, 1, 3, 0, 0, 0, 0, 0, 0, 0, 0, 0, 0, 0, 0, 0, 1</t>
  </si>
  <si>
    <t>plumber blocked toilet canberra</t>
  </si>
  <si>
    <t>richmond 24 hour plumber</t>
  </si>
  <si>
    <t>water pipe burst repair cost</t>
  </si>
  <si>
    <t>0, 0, 0, 0, 0, 0, 0, 0, 1, 0, 0, 0, 0, 0, 0, 0, 0, 0, 3, 0, 0, 0, 0, 1</t>
  </si>
  <si>
    <t>emergency plumber lansdowne</t>
  </si>
  <si>
    <t>water leak repair hampshire</t>
  </si>
  <si>
    <t>24 hour plumber henderson</t>
  </si>
  <si>
    <t>rockingham emergency plumber</t>
  </si>
  <si>
    <t>0, 0, 0, 0, 0, 0, 0, 0, 1, 1, 2, 0, 0, 0, 0, 0, 0, 0, 0, 0, 0, 0, 0, 1</t>
  </si>
  <si>
    <t>24 hour plumber pasadena tx</t>
  </si>
  <si>
    <t>24 hour plumber edmonton</t>
  </si>
  <si>
    <t>1, 0, 1, 0, 0, 1, 0, 0, 1, 0, 0, 0, 0, 0, 0, 1, 0, 0, 0, 0, 0, 0, 1, 1</t>
  </si>
  <si>
    <t>emergency plumber medford</t>
  </si>
  <si>
    <t>emergency plumber rates</t>
  </si>
  <si>
    <t>1, 1, 1, 1, 1, 2, 4, 2, 2, 0, 9, 5, 0, 0, 0, 0, 0, 0, 0, 0, 0, 0, 0, 1</t>
  </si>
  <si>
    <t>emergency plumber mason county</t>
  </si>
  <si>
    <t>inver grove heights emergency plumber</t>
  </si>
  <si>
    <t>emergency plumber in boca raton</t>
  </si>
  <si>
    <t>eagle mountain utah 24 hour plumber</t>
  </si>
  <si>
    <t>burst water pipe repair cost</t>
  </si>
  <si>
    <t>2, 1, 0, 0, 0, 0, 0, 0, 1, 1, 0, 1, 1, 2, 2, 0, 0, 1, 0, 1, 0, 1, 0, 1</t>
  </si>
  <si>
    <t>emergency plumber hernebay</t>
  </si>
  <si>
    <t>emergency plumber brighton co</t>
  </si>
  <si>
    <t>emergency plumber university city</t>
  </si>
  <si>
    <t>emergency plumber redcar</t>
  </si>
  <si>
    <t>emergency plumber oakdale</t>
  </si>
  <si>
    <t>0, 0, 0, 0, 0, 0, 0, 2, 3, 1, 0, 0, 0, 0, 0, 0, 0, 0, 0, 0, 0, 0, 0, 1</t>
  </si>
  <si>
    <t>emergency plumber york pa</t>
  </si>
  <si>
    <t>0, 0, 0, 0, 0, 1, 1, 0, 1, 4, 0, 0, 0, 0, 0, 0, 0, 1, 0, 0, 0, 0, 0, 1</t>
  </si>
  <si>
    <t>emergency plumber toogoolawah</t>
  </si>
  <si>
    <t>frozen pipe burst repair cost</t>
  </si>
  <si>
    <t>0, 0, 2, 0, 1, 0, 1, 2, 0, 3, 0, 0, 0, 0, 0, 0, 0, 0, 0, 0, 0, 0, 0, 1</t>
  </si>
  <si>
    <t>emergency plumber clovis</t>
  </si>
  <si>
    <t>0, 0, 0, 0, 0, 1, 1, 0, 1, 0, 0, 0, 0, 0, 0, 0, 0, 0, 0, 0, 1, 1, 0, 2</t>
  </si>
  <si>
    <t>emergency plumber surrey uk</t>
  </si>
  <si>
    <t>24 hour plumber tempe az</t>
  </si>
  <si>
    <t>north bethesda emergency plumber</t>
  </si>
  <si>
    <t>0, 1, 0, 0, 1, 1, 0, 0, 1, 5, 3, 0, 0, 0, 0, 0, 1, 0, 0, 0, 0, 0, 0, 1</t>
  </si>
  <si>
    <t>orem utah emergency plumber</t>
  </si>
  <si>
    <t>emergency plumber forest hill</t>
  </si>
  <si>
    <t>24 hour plumber london</t>
  </si>
  <si>
    <t>0, 1, 0, 2, 0, 0, 0, 2, 1, 0, 2, 2, 1, 0, 0, 0, 0, 0, 0, 0, 0, 0, 0, 1</t>
  </si>
  <si>
    <t>water main leak repair cape town</t>
  </si>
  <si>
    <t>0, 0, 0, 0, 0, 0, 0, 0, 0, 0, 0, 0, 0, 0, 0, 0, 0, 0, 0, 0, 7, 15, 5, 2</t>
  </si>
  <si>
    <t>woodford emergency plumber</t>
  </si>
  <si>
    <t>24 hour plumber orange county</t>
  </si>
  <si>
    <t>0, 1, 1, 0, 1, 4, 2, 1, 2, 1, 6, 0, 0, 0, 0, 1, 0, 0, 0, 0, 0, 0, 0, 1</t>
  </si>
  <si>
    <t>potomac emergency plumber</t>
  </si>
  <si>
    <t>0, 0, 0, 0, 0, 2, 0, 0, 0, 1, 3, 4, 0, 0, 0, 0, 0, 0, 0, 0, 0, 0, 0, 1</t>
  </si>
  <si>
    <t>emergency plumber sandringham</t>
  </si>
  <si>
    <t>0, 1, 0, 2, 0, 0, 0, 1, 0, 0, 0, 0, 0, 0, 0, 0, 0, 0, 0, 0, 0, 0, 1, 1</t>
  </si>
  <si>
    <t>24 hour emergency plumber las vegas</t>
  </si>
  <si>
    <t>emergency plumber clifton nj</t>
  </si>
  <si>
    <t>24 hour plumber temecula</t>
  </si>
  <si>
    <t>0, 0, 0, 0, 0, 1, 2, 0, 2, 2, 4, 1, 0, 0, 0, 0, 0, 0, 0, 0, 0, 0, 0, 1</t>
  </si>
  <si>
    <t>emergency plumber south west sydney</t>
  </si>
  <si>
    <t>emergency plumber philly</t>
  </si>
  <si>
    <t>0, 0, 0, 0, 0, 0, 0, 1, 0, 1, 0, 0, 0, 0, 0, 0, 0, 0, 0, 0, 0, 0, 0, 1</t>
  </si>
  <si>
    <t>water supply pipe leak repair</t>
  </si>
  <si>
    <t>1, 0, 0, 0, 0, 0, 0, 0, 1, 0, 1, 1, 0, 0, 0, 0, 0, 0, 0, 0, 0, 0, 0, 1</t>
  </si>
  <si>
    <t>emergency plumber in terrell nc</t>
  </si>
  <si>
    <t>water leak repair carbondale il</t>
  </si>
  <si>
    <t>emergency plumber cotswolds</t>
  </si>
  <si>
    <t>0, 0, 0, 1, 0, 0, 0, 2, 0, 0, 0, 0, 0, 0, 0, 0, 0, 0, 0, 0, 0, 0, 0, 1</t>
  </si>
  <si>
    <t>emergency plumber sydney hills district</t>
  </si>
  <si>
    <t>emergency plumber bedford tx</t>
  </si>
  <si>
    <t>emergency plumber bishop's stortford</t>
  </si>
  <si>
    <t>emergency plumber okatie</t>
  </si>
  <si>
    <t>0, 0, 0, 0, 0, 1, 1, 1, 0, 2, 2, 0, 0, 0, 0, 0, 0, 0, 0, 0, 0, 0, 0, 1</t>
  </si>
  <si>
    <t>24 hour plumber oro valley</t>
  </si>
  <si>
    <t>0, 0, 0, 0, 1, 0, 0, 0, 0, 1, 1, 0, 0, 0, 0, 0, 0, 0, 0, 0, 0, 0, 0, 1</t>
  </si>
  <si>
    <t>emergency plumber in kenley</t>
  </si>
  <si>
    <t>emergency plumber cost miami</t>
  </si>
  <si>
    <t>0, 0, 0, 0, 0, 0, 0, 0, 0, 0, 1, 4, 0, 0, 0, 0, 0, 0, 0, 0, 0, 0, 0, 1</t>
  </si>
  <si>
    <t>emergency plumber bellingham</t>
  </si>
  <si>
    <t>emergency plumber hawarden</t>
  </si>
  <si>
    <t>24 hour plumber pearland</t>
  </si>
  <si>
    <t>emergency plumber canton</t>
  </si>
  <si>
    <t>0, 0, 0, 0, 0, 0, 0, 0, 1, 2, 1, 0, 0, 0, 2, 0, 0, 0, 0, 0, 0, 0, 0, 1</t>
  </si>
  <si>
    <t>emergency plumber near me fulham</t>
  </si>
  <si>
    <t>emergency plumber lake grove</t>
  </si>
  <si>
    <t>emergency plumber streatham</t>
  </si>
  <si>
    <t>0, 0, 0, 1, 0, 1, 1, 1, 0, 0, 0, 0, 0, 0, 0, 0, 0, 0, 0, 0, 0, 0, 0, 1</t>
  </si>
  <si>
    <t>emergency plumber burwood</t>
  </si>
  <si>
    <t>0, 0, 0, 0, 0, 4, 0, 2, 0, 2, 2, 2, 0, 0, 0, 0, 0, 0, 0, 0, 1, 0, 0, 1</t>
  </si>
  <si>
    <t>indiana emergency plumber</t>
  </si>
  <si>
    <t>emergency plumber araluen</t>
  </si>
  <si>
    <t>0, 0, 0, 0, 0, 1, 0, 0, 1, 2, 0, 2, 0, 0, 0, 0, 0, 0, 0, 0, 0, 0, 0, 1</t>
  </si>
  <si>
    <t>callahan fl emergency plumber</t>
  </si>
  <si>
    <t>0, 1, 0, 0, 0, 0, 0, 0, 2, 6, 0, 0, 1, 0, 0, 0, 0, 0, 0, 0, 0, 0, 0, 1</t>
  </si>
  <si>
    <t>emergency plumber santa ana ca</t>
  </si>
  <si>
    <t>24 hour plumber conway</t>
  </si>
  <si>
    <t>emergency plumber dallas</t>
  </si>
  <si>
    <t>2, 1, 3, 2, 1, 6, 3, 5, 4, 5, 4, 4, 1, 1, 0, 1, 0, 1, 0, 0, 0, 0, 2, 2</t>
  </si>
  <si>
    <t>dc emergency plumber</t>
  </si>
  <si>
    <t>0, 0, 0, 0, 0, 0, 0, 0, 1, 1, 0, 0, 0, 0, 0, 0, 0, 1, 0, 0, 0, 0, 1, 1</t>
  </si>
  <si>
    <t>emergency plumber near me open now</t>
  </si>
  <si>
    <t>1, 6, 5, 1, 1, 3, 3, 1, 0, 0, 0, 0, 2, 2, 0, 2, 0, 7, 3, 0, 0, 0, 0, 1</t>
  </si>
  <si>
    <t>plumber for emergency</t>
  </si>
  <si>
    <t>0, 0, 0, 0, 0, 0, 0, 0, 0, 0, 2, 0, 0, 0, 1, 0, 0, 0, 0, 1, 1, 0, 0, 1</t>
  </si>
  <si>
    <t>blocked toilet plumber mornington peninsula</t>
  </si>
  <si>
    <t>coachella valley 24 hour plumber</t>
  </si>
  <si>
    <t>emergency plumber redcliffe</t>
  </si>
  <si>
    <t>0, 0, 0, 0, 0, 0, 0, 1, 3, 4, 0, 0, 0, 0, 0, 0, 0, 0, 0, 0, 0, 0, 0, 1</t>
  </si>
  <si>
    <t>emergency plumber halesowen</t>
  </si>
  <si>
    <t>quick seal water pipe leak repair products</t>
  </si>
  <si>
    <t>0, 0, 0, 0, 0, 0, 0, 0, 0, 0, 0, 0, 0, 3, 3, 1, 0, 0, 1, 3, 2, 3, 3, 4</t>
  </si>
  <si>
    <t>emergency plumber the colony tx</t>
  </si>
  <si>
    <t>0, 0, 0, 0, 0, 0, 0, 0, 0, 3, 4, 0, 0, 0, 0, 0, 0, 0, 0, 0, 0, 0, 0, 1</t>
  </si>
  <si>
    <t>emergency plumber hartford county</t>
  </si>
  <si>
    <t>emergency plumber guildford</t>
  </si>
  <si>
    <t>2, 1, 0, 1, 1, 1, 1, 2, 4, 3, 1, 3, 0, 0, 0, 0, 0, 0, 0, 0, 0, 0, 1, 1</t>
  </si>
  <si>
    <t>jersey city emergency plumber</t>
  </si>
  <si>
    <t>water leak repair huntsville</t>
  </si>
  <si>
    <t>emergency plumber hoppers crossing</t>
  </si>
  <si>
    <t>0, 0, 0, 0, 1, 1, 3, 1, 0, 0, 1, 0, 0, 0, 0, 0, 0, 0, 0, 0, 0, 0, 0, 1</t>
  </si>
  <si>
    <t>emergency plumber coral springs</t>
  </si>
  <si>
    <t>emergency plumber runcorn</t>
  </si>
  <si>
    <t>0, 0, 0, 0, 2, 0, 0, 4, 0, 3, 1, 0, 0, 0, 0, 0, 0, 0, 0, 0, 0, 0, 0, 1</t>
  </si>
  <si>
    <t>emergency plumber boone county</t>
  </si>
  <si>
    <t>water leak repair johannesburg</t>
  </si>
  <si>
    <t>0, 0, 0, 0, 0, 0, 0, 0, 0, 0, 0, 0, 0, 0, 0, 0, 0, 0, 0, 0, 12, 28, 10, 2</t>
  </si>
  <si>
    <t>emergency plumber berthoud</t>
  </si>
  <si>
    <t>nassau county fl emergency plumber</t>
  </si>
  <si>
    <t>4, 1, 1, 0, 0, 0, 0, 0, 0, 0, 3, 2, 0, 0, 0, 0, 0, 0, 0, 0, 0, 0, 0, 1</t>
  </si>
  <si>
    <t>24 hour plumber st george</t>
  </si>
  <si>
    <t>0, 0, 0, 0, 0, 2, 0, 1, 0, 1, 1, 0, 0, 0, 0, 0, 0, 0, 0, 0, 0, 0, 0, 1</t>
  </si>
  <si>
    <t>farmington utah 24 hour plumber</t>
  </si>
  <si>
    <t>emergency plumber emu park</t>
  </si>
  <si>
    <t>emergency plumber westminster co</t>
  </si>
  <si>
    <t>0, 1, 0, 1, 1, 0, 0, 1, 1, 1, 0, 0, 0, 0, 0, 0, 0, 0, 0, 0, 0, 0, 0, 1</t>
  </si>
  <si>
    <t>water leak repair cordova</t>
  </si>
  <si>
    <t>0, 0, 0, 0, 1, 1, 1, 0, 1, 0, 0, 0, 0, 0, 0, 0, 0, 0, 0, 0, 0, 0, 0, 1</t>
  </si>
  <si>
    <t>24 hour plumber darwin</t>
  </si>
  <si>
    <t>balcony water leak repair</t>
  </si>
  <si>
    <t>1, 0, 0, 0, 0, 0, 0, 0, 1, 0, 0, 0, 0, 1, 0, 0, 0, 0, 0, 0, 0, 0, 0, 1</t>
  </si>
  <si>
    <t>commercial emergency plumber</t>
  </si>
  <si>
    <t>0, 3, 0, 1, 0, 1, 0, 2, 2, 0, 0, 0, 0, 0, 0, 0, 0, 0, 0, 0, 0, 0, 0, 1</t>
  </si>
  <si>
    <t>leaking mixer tap repair</t>
  </si>
  <si>
    <t>0, 0, 0, 0, 0, 0, 0, 2, 2, 0, 0, 1, 2, 0, 0, 0, 0, 0, 0, 4, 0, 0, 2, 2</t>
  </si>
  <si>
    <t>emergency plumber macomb township</t>
  </si>
  <si>
    <t>east molesey emergency plumber</t>
  </si>
  <si>
    <t>emergency plumber pasadena</t>
  </si>
  <si>
    <t>0, 0, 0, 0, 0, 2, 1, 0, 0, 2, 0, 0, 0, 0, 0, 0, 0, 0, 0, 0, 0, 0, 0, 1</t>
  </si>
  <si>
    <t>emergency plumber service east brisbane</t>
  </si>
  <si>
    <t>burnaby 24 hour plumber</t>
  </si>
  <si>
    <t>fixing leaking tap plumbing repair</t>
  </si>
  <si>
    <t>0, 0, 0, 0, 0, 0, 0, 0, 0, 0, 0, 0, 0, 0, 0, 0, 0, 0, 0, 2, 5, 1, 1, 3</t>
  </si>
  <si>
    <t>emergency plumber in lockport</t>
  </si>
  <si>
    <t>emergency plumber newport</t>
  </si>
  <si>
    <t>0, 0, 1, 0, 4, 1, 1, 1, 1, 2, 0, 2, 0, 0, 0, 0, 0, 0, 0, 0, 0, 0, 0, 1</t>
  </si>
  <si>
    <t>emergency plumber feltham</t>
  </si>
  <si>
    <t>pinhole water leak repair</t>
  </si>
  <si>
    <t>0, 0, 0, 0, 0, 0, 0, 0, 0, 0, 1, 0, 1, 1, 2, 1, 0, 0, 0, 0, 0, 0, 0, 1</t>
  </si>
  <si>
    <t>emergency plumber service coopers plains</t>
  </si>
  <si>
    <t>emergency plumber parkdale</t>
  </si>
  <si>
    <t>0, 0, 1, 0, 0, 0, 0, 0, 0, 1, 0, 1, 0, 0, 0, 0, 0, 0, 0, 0, 0, 0, 0, 1</t>
  </si>
  <si>
    <t>emergency plumber paisley</t>
  </si>
  <si>
    <t>0, 0, 0, 0, 0, 0, 1, 1, 0, 2, 1, 0, 1, 0, 0, 0, 0, 0, 0, 0, 0, 0, 0, 1</t>
  </si>
  <si>
    <t>billings emergency plumber</t>
  </si>
  <si>
    <t>emergency plumber christchurch</t>
  </si>
  <si>
    <t>1, 0, 0, 0, 0, 1, 0, 0, 4, 2, 1, 2, 0, 0, 0, 0, 0, 0, 0, 0, 0, 0, 0, 1</t>
  </si>
  <si>
    <t>burst pipe in wall repair cost</t>
  </si>
  <si>
    <t>2, 1, 1, 3, 3, 1, 3, 2, 1, 3, 0, 2, 1, 1, 0, 1, 3, 0, 0, 1, 0, 1, 0, 1</t>
  </si>
  <si>
    <t>emergency plumber hockley</t>
  </si>
  <si>
    <t>emergency plumber sutherland shire</t>
  </si>
  <si>
    <t>3, 3, 2, 0, 3, 0, 0, 0, 1, 1, 2, 0, 1, 0, 1, 1, 2, 2, 2, 0, 0, 0, 5, 3</t>
  </si>
  <si>
    <t>emergency plumber cincinnati</t>
  </si>
  <si>
    <t>0, 0, 0, 0, 1, 0, 5, 5, 0, 0, 1, 0, 0, 0, 0, 0, 0, 0, 0, 0, 0, 1, 0, 1</t>
  </si>
  <si>
    <t>emergency plumber pearl city</t>
  </si>
  <si>
    <t>0, 0, 1, 0, 1, 1, 1, 0, 0, 3, 0, 1, 0, 0, 0, 0, 0, 0, 0, 0, 0, 0, 0, 1</t>
  </si>
  <si>
    <t>emergency plumber ventura</t>
  </si>
  <si>
    <t>0, 0, 0, 0, 0, 0, 1, 2, 0, 0, 0, 0, 0, 0, 0, 0, 0, 0, 0, 0, 0, 0, 0, 1</t>
  </si>
  <si>
    <t>emergency plumber near des plaines</t>
  </si>
  <si>
    <t>emergency plumber bay park</t>
  </si>
  <si>
    <t>0, 0, 0, 0, 0, 0, 4, 1, 1, 0, 0, 0, 0, 0, 0, 0, 0, 0, 0, 0, 0, 0, 0, 1</t>
  </si>
  <si>
    <t>emergency plumber boise id</t>
  </si>
  <si>
    <t>emergency plumber lowell</t>
  </si>
  <si>
    <t>emergency plumber gresham</t>
  </si>
  <si>
    <t>emergency plumber norwich</t>
  </si>
  <si>
    <t>0, 0, 6, 1, 1, 1, 0, 1, 1, 1, 5, 0, 0, 0, 0, 0, 0, 0, 0, 0, 0, 0, 0, 1</t>
  </si>
  <si>
    <t>emergency plumber north berwick</t>
  </si>
  <si>
    <t>emergency plumber rockdale</t>
  </si>
  <si>
    <t>water leak repair marietta ga</t>
  </si>
  <si>
    <t>emergency plumber parklands</t>
  </si>
  <si>
    <t>0, 0, 0, 0, 1, 1, 1, 0, 1, 0, 0, 0, 0, 1, 0, 0, 0, 0, 0, 0, 0, 0, 0, 1</t>
  </si>
  <si>
    <t>24 hour plumber langley</t>
  </si>
  <si>
    <t>emergency plumber plenty</t>
  </si>
  <si>
    <t>0, 0, 0, 0, 0, 0, 0, 3, 2, 0, 0, 1, 0, 0, 0, 0, 0, 0, 2, 0, 0, 0, 0, 1</t>
  </si>
  <si>
    <t>emergency plumber bungay</t>
  </si>
  <si>
    <t>affordable plumber emergency cape town</t>
  </si>
  <si>
    <t>0, 0, 0, 0, 0, 0, 0, 0, 0, 0, 0, 0, 0, 0, 0, 0, 0, 0, 0, 12, 31, 9, 0, 14</t>
  </si>
  <si>
    <t>emergency plumber thatcham</t>
  </si>
  <si>
    <t>local emergency plumber near bedford</t>
  </si>
  <si>
    <t>emergency plumber boston ma</t>
  </si>
  <si>
    <t>emergency plumber cooee bay</t>
  </si>
  <si>
    <t>0, 0, 0, 0, 1, 0, 1, 0, 1, 1, 0, 1, 0, 1, 0, 0, 0, 0, 0, 0, 0, 0, 0, 1</t>
  </si>
  <si>
    <t>emergency plumber campbelltown</t>
  </si>
  <si>
    <t>0, 1, 0, 0, 0, 0, 0, 1, 1, 0, 1, 0, 0, 0, 0, 0, 0, 0, 0, 0, 0, 0, 0, 1</t>
  </si>
  <si>
    <t>huntington beach emergency plumber</t>
  </si>
  <si>
    <t>emergency plumber ferndale</t>
  </si>
  <si>
    <t>0, 0, 0, 0, 0, 0, 0, 1, 1, 2, 2, 0, 0, 0, 0, 0, 0, 0, 0, 0, 0, 0, 0, 1</t>
  </si>
  <si>
    <t>emergency plumber bass hill</t>
  </si>
  <si>
    <t>emergency plumber league city</t>
  </si>
  <si>
    <t>0, 0, 0, 1, 0, 0, 1, 0, 1, 0, 0, 0, 0, 0, 0, 0, 0, 0, 0, 0, 0, 0, 0, 1</t>
  </si>
  <si>
    <t>emergency plumber lebanon</t>
  </si>
  <si>
    <t>0, 0, 0, 1, 0, 3, 2, 0, 0, 1, 5, 3, 0, 0, 0, 0, 0, 0, 0, 0, 0, 0, 0, 1</t>
  </si>
  <si>
    <t>emergency plumber newmarket</t>
  </si>
  <si>
    <t>0, 0, 0, 0, 0, 0, 1, 0, 0, 0, 2, 0, 1, 0, 0, 0, 0, 0, 0, 0, 0, 0, 0, 1</t>
  </si>
  <si>
    <t>ascot emergency plumber</t>
  </si>
  <si>
    <t>0, 0, 0, 0, 1, 0, 0, 1, 1, 1, 0, 2, 0, 0, 0, 0, 0, 0, 0, 0, 0, 0, 0, 1</t>
  </si>
  <si>
    <t>emergency plumber crystal palace</t>
  </si>
  <si>
    <t>0, 0, 3, 1, 1, 1, 2, 0, 0, 0, 0, 0, 0, 0, 0, 0, 0, 0, 0, 0, 0, 0, 0, 1</t>
  </si>
  <si>
    <t>emergency plumber holmfirth</t>
  </si>
  <si>
    <t>0, 0, 0, 1, 0, 0, 0, 0, 0, 0, 1, 0, 0, 0, 0, 0, 0, 0, 0, 0, 0, 0, 0, 1</t>
  </si>
  <si>
    <t>hot water slab leak repair</t>
  </si>
  <si>
    <t>0, 1, 0, 0, 0, 0, 0, 2, 0, 2, 0, 0, 0, 0, 0, 0, 0, 0, 0, 0, 0, 0, 0, 1</t>
  </si>
  <si>
    <t>emergency plumber franklin tn</t>
  </si>
  <si>
    <t>24 hour plumber anderson</t>
  </si>
  <si>
    <t>emergency plumber dublin 3</t>
  </si>
  <si>
    <t>plumbing burst pipe repair</t>
  </si>
  <si>
    <t>1, 1, 4, 2, 1, 2, 1, 2, 1, 0, 1, 0, 1, 3, 0, 0, 1, 1, 2, 0, 0, 0, 0, 1</t>
  </si>
  <si>
    <t>emergency plumber noblesville in</t>
  </si>
  <si>
    <t>0, 0, 0, 0, 1, 0, 1, 0, 0, 0, 1, 1, 0, 0, 0, 0, 0, 0, 0, 0, 0, 0, 0, 1</t>
  </si>
  <si>
    <t>emergency plumber troy mi</t>
  </si>
  <si>
    <t>alexander plumber emergency services</t>
  </si>
  <si>
    <t>0, 0, 2, 1, 0, 0, 0, 0, 0, 0, 0, 0, 0, 0, 0, 0, 0, 0, 0, 0, 0, 0, 0, 1</t>
  </si>
  <si>
    <t>emergency plumber ottawa</t>
  </si>
  <si>
    <t>0, 0, 0, 0, 0, 2, 0, 0, 1, 0, 1, 3, 0, 0, 0, 0, 0, 0, 0, 0, 0, 0, 0, 1</t>
  </si>
  <si>
    <t>emergency plumber mesquite</t>
  </si>
  <si>
    <t>0, 0, 0, 0, 0, 1, 0, 1, 1, 1, 2, 0, 0, 0, 0, 0, 0, 0, 0, 0, 0, 0, 0, 1</t>
  </si>
  <si>
    <t>emergency plumber gordon</t>
  </si>
  <si>
    <t>emergency plumber in houston</t>
  </si>
  <si>
    <t>0, 0, 0, 0, 0, 0, 0, 1, 0, 1, 0, 1, 0, 0, 0, 0, 0, 0, 0, 0, 2, 0, 0, 2</t>
  </si>
  <si>
    <t>darlington sc emergency plumber</t>
  </si>
  <si>
    <t>baltimore emergency plumber</t>
  </si>
  <si>
    <t>2, 1, 0, 0, 0, 0, 1, 0, 0, 0, 0, 0, 0, 0, 0, 0, 0, 0, 0, 0, 0, 0, 0, 1</t>
  </si>
  <si>
    <t>carmel emergency plumber</t>
  </si>
  <si>
    <t>0, 0, 0, 0, 1, 1, 0, 1, 2, 0, 0, 0, 0, 0, 0, 0, 0, 0, 0, 0, 0, 0, 0, 1</t>
  </si>
  <si>
    <t>emergency plumber san juan capistrano</t>
  </si>
  <si>
    <t>emergency call out plumber</t>
  </si>
  <si>
    <t>1, 2, 3, 1, 2, 0, 3, 2, 4, 2, 2, 0, 1, 0, 0, 0, 0, 3, 2, 0, 0, 0, 0, 1</t>
  </si>
  <si>
    <t>emergency plumber nyc</t>
  </si>
  <si>
    <t>1, 1, 1, 0, 2, 0, 3, 0, 0, 0, 0, 0, 0, 0, 0, 0, 1, 0, 0, 0, 0, 0, 0, 1</t>
  </si>
  <si>
    <t>24 hour emergency plumber manchester</t>
  </si>
  <si>
    <t>0, 1, 1, 1, 0, 0, 0, 1, 0, 0, 0, 0, 0, 0, 0, 0, 0, 0, 0, 0, 0, 1, 0, 1</t>
  </si>
  <si>
    <t>water leak ceiling repair cost</t>
  </si>
  <si>
    <t>0, 0, 0, 0, 0, 0, 0, 1, 0, 0, 0, 0, 2, 0, 0, 0, 0, 0, 0, 0, 0, 0, 0, 1</t>
  </si>
  <si>
    <t>emergency plumber service nathan</t>
  </si>
  <si>
    <t>emergency plumber new york</t>
  </si>
  <si>
    <t>0, 0, 0, 0, 1, 2, 0, 0, 0, 1, 0, 0, 0, 0, 0, 0, 0, 0, 0, 0, 0, 0, 0, 1</t>
  </si>
  <si>
    <t>emergency plumber oak lawn</t>
  </si>
  <si>
    <t>0, 0, 0, 0, 0, 0, 0, 1, 0, 1, 3, 0, 0, 0, 0, 0, 0, 0, 0, 0, 0, 0, 0, 1</t>
  </si>
  <si>
    <t>lincoln emergency plumber</t>
  </si>
  <si>
    <t>24 hour plumber scottsdale</t>
  </si>
  <si>
    <t>0, 1, 0, 0, 0, 0, 2, 0, 1, 0, 1, 0, 0, 0, 0, 0, 0, 0, 0, 0, 0, 0, 1, 1</t>
  </si>
  <si>
    <t>24 hour plumber sherwood</t>
  </si>
  <si>
    <t>24 hour plumber fort lee</t>
  </si>
  <si>
    <t>emergency plumber sauk village</t>
  </si>
  <si>
    <t>0, 0, 0, 0, 0, 0, 0, 0, 1, 1, 3, 0, 0, 0, 0, 0, 0, 0, 0, 0, 0, 0, 0, 1</t>
  </si>
  <si>
    <t>burst pipe repair round rock</t>
  </si>
  <si>
    <t>bilston emergency plumber</t>
  </si>
  <si>
    <t>emergency plumber hucclecote</t>
  </si>
  <si>
    <t>0, 0, 0, 0, 0, 0, 0, 1, 0, 2, 0, 0, 0, 0, 0, 0, 0, 0, 0, 0, 0, 0, 0, 1</t>
  </si>
  <si>
    <t>long beach emergency plumber</t>
  </si>
  <si>
    <t>0, 0, 0, 0, 0, 0, 0, 2, 0, 0, 0, 1, 0, 0, 0, 0, 0, 1, 0, 0, 0, 0, 0, 1</t>
  </si>
  <si>
    <t>east london emergency plumber</t>
  </si>
  <si>
    <t>0, 0, 0, 0, 0, 0, 2, 0, 0, 0, 1, 2, 0, 0, 0, 0, 0, 0, 0, 0, 0, 0, 0, 1</t>
  </si>
  <si>
    <t>cheap 24 hour plumber</t>
  </si>
  <si>
    <t>0, 0, 0, 0, 1, 0, 0, 0, 2, 0, 0, 0, 0, 0, 0, 0, 0, 0, 0, 0, 0, 1, 0, 1</t>
  </si>
  <si>
    <t>emergency plumber warwick</t>
  </si>
  <si>
    <t>0, 0, 0, 0, 0, 0, 2, 1, 3, 0, 1, 0, 0, 0, 0, 0, 0, 0, 0, 0, 0, 0, 0, 1</t>
  </si>
  <si>
    <t>emergency plumber menifee</t>
  </si>
  <si>
    <t>0, 0, 1, 1, 0, 0, 0, 1, 0, 2, 2, 0, 0, 0, 0, 0, 0, 0, 0, 0, 0, 0, 0, 1</t>
  </si>
  <si>
    <t>24 hour plumber pembroke pines</t>
  </si>
  <si>
    <t>san pedro 24 hour plumber</t>
  </si>
  <si>
    <t>emergency plumber weatherford</t>
  </si>
  <si>
    <t>slab water leak repair cost</t>
  </si>
  <si>
    <t>2, 2, 1, 0, 0, 1, 0, 0, 1, 0, 0, 0, 0, 0, 0, 1, 0, 0, 0, 0, 0, 0, 0, 1</t>
  </si>
  <si>
    <t>water leak repair savannah ga</t>
  </si>
  <si>
    <t>emergency plumber bend oregon</t>
  </si>
  <si>
    <t>0, 0, 1, 0, 0, 0, 0, 1, 0, 1, 0, 0, 0, 0, 0, 0, 0, 0, 0, 0, 0, 0, 0, 1</t>
  </si>
  <si>
    <t>emergency plumber kaaawa</t>
  </si>
  <si>
    <t>emergency plumber service karawatha</t>
  </si>
  <si>
    <t>olathe emergency plumber</t>
  </si>
  <si>
    <t>emergency plumber marlborough</t>
  </si>
  <si>
    <t>emergency plumber baldivis</t>
  </si>
  <si>
    <t>0, 0, 0, 0, 0, 0, 1, 3, 1, 0, 2, 0, 0, 0, 0, 0, 0, 0, 0, 0, 0, 0, 0, 1</t>
  </si>
  <si>
    <t>emergency plumber lincoln park</t>
  </si>
  <si>
    <t>emergency plumber savannah ga</t>
  </si>
  <si>
    <t>24 hour emergency plumber chicago</t>
  </si>
  <si>
    <t>toronto emergency plumber</t>
  </si>
  <si>
    <t>0, 0, 1, 1, 0, 0, 2, 0, 1, 0, 0, 2, 0, 0, 0, 0, 0, 0, 0, 0, 0, 0, 0, 1</t>
  </si>
  <si>
    <t>wallace sc emergency plumber</t>
  </si>
  <si>
    <t>santa ana emergency plumber</t>
  </si>
  <si>
    <t>basement water leak repair alpharetta ga</t>
  </si>
  <si>
    <t>elizabethtown emergency plumber</t>
  </si>
  <si>
    <t>plano emergency plumber</t>
  </si>
  <si>
    <t>1, 1, 0, 1, 0, 0, 0, 1, 0, 4, 8, 2, 0, 0, 0, 0, 0, 0, 0, 0, 0, 0, 0, 1</t>
  </si>
  <si>
    <t>emergency plumber curramore</t>
  </si>
  <si>
    <t>0, 0, 0, 0, 1, 1, 2, 0, 0, 0, 0, 0, 0, 0, 0, 0, 0, 0, 0, 0, 0, 0, 0, 1</t>
  </si>
  <si>
    <t>emergency plumber in bensenville</t>
  </si>
  <si>
    <t>emergency plumber alexander heights</t>
  </si>
  <si>
    <t>0, 0, 0, 0, 0, 0, 0, 4, 2, 1, 0, 0, 0, 0, 0, 0, 0, 0, 0, 0, 0, 0, 0, 1</t>
  </si>
  <si>
    <t>emergency plumber san marcos</t>
  </si>
  <si>
    <t>0, 0, 1, 0, 2, 1, 0, 0, 1, 0, 0, 3, 0, 0, 0, 0, 0, 0, 0, 0, 0, 0, 0, 1</t>
  </si>
  <si>
    <t>local emergency plumber near casuarina</t>
  </si>
  <si>
    <t>24 hour plumber northern beaches</t>
  </si>
  <si>
    <t>is a leaking tap an urgent repair</t>
  </si>
  <si>
    <t>emergency plumber merrylands</t>
  </si>
  <si>
    <t>emergency plumber durham nc</t>
  </si>
  <si>
    <t>0, 0, 0, 0, 1, 3, 0, 1, 1, 1, 1, 1, 0, 0, 0, 0, 0, 0, 0, 0, 0, 0, 0, 1</t>
  </si>
  <si>
    <t>emergency plumber queensbury</t>
  </si>
  <si>
    <t>emergency plumber hillarys</t>
  </si>
  <si>
    <t>0, 0, 0, 0, 0, 0, 1, 1, 1, 1, 3, 0, 0, 0, 0, 0, 0, 0, 0, 0, 0, 0, 0, 1</t>
  </si>
  <si>
    <t>emergency plumber quinns rocks</t>
  </si>
  <si>
    <t>0, 0, 0, 0, 0, 0, 1, 1, 1, 0, 1, 0, 0, 0, 0, 0, 0, 0, 0, 0, 0, 0, 0, 1</t>
  </si>
  <si>
    <t>emergency plumber lafayette</t>
  </si>
  <si>
    <t>0, 0, 0, 0, 0, 0, 0, 1, 0, 0, 0, 0, 1, 0, 0, 1, 0, 0, 1, 0, 0, 0, 0, 1</t>
  </si>
  <si>
    <t>emergency plumber west hollywood</t>
  </si>
  <si>
    <t>orange emergency plumber</t>
  </si>
  <si>
    <t>0, 1, 0, 0, 1, 0, 0, 0, 0, 0, 1, 0, 0, 0, 0, 0, 0, 0, 0, 0, 0, 0, 0, 1</t>
  </si>
  <si>
    <t>emergency plumber dublin 1</t>
  </si>
  <si>
    <t>emergency plumber beachmere</t>
  </si>
  <si>
    <t>emergency plumber hinckley, il</t>
  </si>
  <si>
    <t>24 hour plumber burlington nc</t>
  </si>
  <si>
    <t>local emergency plumber near queens park</t>
  </si>
  <si>
    <t>leak repair water</t>
  </si>
  <si>
    <t>0, 0, 0, 1, 0, 0, 2, 0, 0, 1, 3, 0, 0, 0, 1, 0, 0, 0, 0, 0, 0, 0, 0, 1</t>
  </si>
  <si>
    <t>emergency plumber bastrop tx</t>
  </si>
  <si>
    <t>0, 1, 0, 0, 1, 0, 1, 0, 0, 0, 0, 0, 0, 0, 0, 0, 0, 0, 0, 0, 0, 0, 0, 1</t>
  </si>
  <si>
    <t>emergency plumber vancouver</t>
  </si>
  <si>
    <t>0, 3, 4, 1, 2, 2, 2, 1, 6, 4, 2, 0, 0, 0, 0, 0, 0, 0, 0, 0, 0, 0, 0, 1</t>
  </si>
  <si>
    <t>emergency plumber double bay</t>
  </si>
  <si>
    <t>hollywood emergency plumber</t>
  </si>
  <si>
    <t>emergency plumber cambridge cambridge</t>
  </si>
  <si>
    <t>0, 1, 0, 1, 0, 0, 1, 0, 0, 0, 0, 0, 0, 0, 0, 0, 0, 0, 0, 0, 0, 0, 0, 1</t>
  </si>
  <si>
    <t>emergency plumber in central london</t>
  </si>
  <si>
    <t>emergency plumber minneapolis</t>
  </si>
  <si>
    <t>0, 0, 0, 0, 0, 0, 0, 1, 0, 0, 1, 0, 2, 1, 0, 3, 0, 0, 0, 0, 0, 0, 1, 1</t>
  </si>
  <si>
    <t>emergency plumber brockton ma</t>
  </si>
  <si>
    <t>san francisco emergency plumber</t>
  </si>
  <si>
    <t>emergency plumber norwest</t>
  </si>
  <si>
    <t>cedar rapids emergency plumber</t>
  </si>
  <si>
    <t>water leak putty repair</t>
  </si>
  <si>
    <t>0, 0, 0, 0, 0, 0, 0, 0, 1, 2, 0, 0, 0, 1, 0, 0, 0, 0, 0, 0, 0, 0, 0, 1</t>
  </si>
  <si>
    <t>emergency plumber mayfair</t>
  </si>
  <si>
    <t>0, 0, 0, 0, 0, 1, 0, 3, 0, 1, 0, 0, 0, 0, 0, 0, 0, 0, 1, 0, 0, 0, 0, 1</t>
  </si>
  <si>
    <t>emergency plumber frenchville</t>
  </si>
  <si>
    <t>0, 0, 0, 0, 1, 0, 1, 1, 0, 0, 3, 0, 0, 0, 0, 0, 0, 0, 0, 0, 0, 0, 0, 1</t>
  </si>
  <si>
    <t>garland tx emergency plumber</t>
  </si>
  <si>
    <t>0, 0, 0, 0, 0, 0, 0, 0, 0, 1, 1, 2, 0, 0, 0, 0, 0, 0, 1, 0, 0, 0, 0, 1</t>
  </si>
  <si>
    <t>emergency plumber ndg</t>
  </si>
  <si>
    <t>0, 0, 0, 0, 3, 0, 1, 0, 0, 0, 0, 0, 0, 0, 0, 0, 0, 0, 0, 0, 0, 0, 0, 1</t>
  </si>
  <si>
    <t>plumber fixing burst pipe emergency</t>
  </si>
  <si>
    <t>0, 0, 0, 0, 0, 0, 0, 0, 0, 0, 0, 0, 0, 0, 0, 0, 0, 0, 0, 1, 1, 5, 0, 1</t>
  </si>
  <si>
    <t>emergency gas plumber</t>
  </si>
  <si>
    <t>3, 2, 1, 7, 5, 4, 3, 7, 9, 12, 6, 19, 0, 0, 0, 0, 0, 1, 0, 0, 0, 2, 0, 1</t>
  </si>
  <si>
    <t>water leak repair in prosper</t>
  </si>
  <si>
    <t>millcreek utah emergency plumber</t>
  </si>
  <si>
    <t>emergency plumber service teneriffe</t>
  </si>
  <si>
    <t>emergency plumber king george va</t>
  </si>
  <si>
    <t>emergency plumber willoughby</t>
  </si>
  <si>
    <t>0, 0, 0, 0, 0, 0, 2, 1, 1, 0, 1, 0, 0, 0, 0, 0, 0, 0, 0, 0, 0, 0, 0, 1</t>
  </si>
  <si>
    <t>perth emergency plumber</t>
  </si>
  <si>
    <t>0, 1, 0, 0, 1, 1, 0, 1, 2, 0, 0, 1, 1, 0, 0, 0, 0, 0, 0, 0, 0, 0, 0, 1</t>
  </si>
  <si>
    <t>emergency plumber horsham</t>
  </si>
  <si>
    <t>0, 1, 0, 3, 0, 0, 1, 0, 1, 1, 2, 0, 1, 0, 0, 0, 0, 0, 0, 0, 1, 0, 0, 1</t>
  </si>
  <si>
    <t>emergency plumber poway</t>
  </si>
  <si>
    <t>0, 2, 0, 1, 0, 0, 0, 0, 0, 0, 1, 0, 0, 0, 0, 0, 0, 0, 0, 0, 0, 0, 0, 1</t>
  </si>
  <si>
    <t>water leak repair company plantation key</t>
  </si>
  <si>
    <t>emergency plumber noosa</t>
  </si>
  <si>
    <t>0, 0, 0, 0, 3, 0, 0, 1, 0, 1, 0, 0, 0, 0, 0, 0, 0, 0, 0, 0, 0, 0, 0, 1</t>
  </si>
  <si>
    <t>concrete wall water leak repair</t>
  </si>
  <si>
    <t>0, 0, 0, 1, 0, 1, 0, 0, 0, 0, 0, 0, 0, 0, 0, 0, 0, 0, 0, 2, 0, 0, 0, 1</t>
  </si>
  <si>
    <t>emergency plumber bettersea</t>
  </si>
  <si>
    <t>emergency plumber rhode island</t>
  </si>
  <si>
    <t>emergency plumber orange county ca</t>
  </si>
  <si>
    <t>emergency plumber rancho bernardo</t>
  </si>
  <si>
    <t>0, 0, 0, 1, 3, 1, 1, 0, 1, 0, 0, 0, 0, 0, 0, 0, 0, 0, 0, 0, 0, 0, 0, 1</t>
  </si>
  <si>
    <t>emergency plumber cabramatta</t>
  </si>
  <si>
    <t>provo utah 24 hour plumber</t>
  </si>
  <si>
    <t>basement water leak repair buford ga</t>
  </si>
  <si>
    <t>24 hour plumber torrance ca</t>
  </si>
  <si>
    <t>emergency plumber edinburgh</t>
  </si>
  <si>
    <t>7, 2, 4, 1, 1, 5, 2, 1, 5, 2, 3, 2, 0, 1, 1, 0, 0, 0, 0, 0, 0, 0, 0, 1</t>
  </si>
  <si>
    <t>emergency plumber north sydney</t>
  </si>
  <si>
    <t>2, 1, 1, 1, 0, 0, 0, 0, 2, 5, 3, 4, 0, 0, 0, 0, 0, 0, 0, 0, 0, 0, 0, 1</t>
  </si>
  <si>
    <t>emergency plumber sarasota</t>
  </si>
  <si>
    <t>basement water leak repair silver city ga</t>
  </si>
  <si>
    <t>eastern shore emergency plumber</t>
  </si>
  <si>
    <t>katy 24 hour plumber</t>
  </si>
  <si>
    <t>0, 0, 1, 0, 0, 1, 0, 4, 1, 1, 0, 0, 0, 0, 0, 0, 0, 0, 0, 0, 0, 0, 0, 1</t>
  </si>
  <si>
    <t>24 hour plumber somerset west</t>
  </si>
  <si>
    <t>emergency plumber torrance</t>
  </si>
  <si>
    <t>0, 0, 0, 0, 0, 0, 0, 0, 0, 1, 2, 1, 1, 0, 0, 0, 0, 0, 0, 0, 0, 0, 0, 1</t>
  </si>
  <si>
    <t>emergency plumber snyder</t>
  </si>
  <si>
    <t>24 hour plumber social circle</t>
  </si>
  <si>
    <t>0, 1, 1, 0, 0, 0, 1, 0, 1, 0, 0, 0, 0, 0, 0, 0, 0, 0, 0, 0, 0, 0, 0, 1</t>
  </si>
  <si>
    <t>emergency plumber abilene tx</t>
  </si>
  <si>
    <t>emergency plumber near me atlanta</t>
  </si>
  <si>
    <t>emergency plumber palm bay</t>
  </si>
  <si>
    <t>water storage tank leak repair</t>
  </si>
  <si>
    <t>1, 2, 0, 0, 1, 0, 0, 1, 1, 0, 1, 0, 0, 0, 0, 0, 0, 0, 1, 0, 0, 0, 0, 1</t>
  </si>
  <si>
    <t>laguna niguel emergency plumber</t>
  </si>
  <si>
    <t>emergency plumber eastbourne</t>
  </si>
  <si>
    <t>0, 0, 0, 0, 1, 0, 1, 2, 4, 0, 1, 3, 0, 0, 0, 0, 0, 0, 0, 0, 0, 0, 0, 1</t>
  </si>
  <si>
    <t>emergency plumber bay shore</t>
  </si>
  <si>
    <t>24 hour plumber nashville</t>
  </si>
  <si>
    <t>0, 1, 1, 1, 1, 0, 0, 0, 0, 0, 0, 0, 0, 0, 0, 0, 0, 0, 0, 0, 0, 0, 0, 1</t>
  </si>
  <si>
    <t>emergency plumber san dimas ca</t>
  </si>
  <si>
    <t>emergency plumber wollongong</t>
  </si>
  <si>
    <t>0, 0, 0, 0, 1, 1, 0, 2, 3, 1, 1, 0, 0, 0, 0, 2, 0, 0, 0, 1, 2, 3, 1, 3</t>
  </si>
  <si>
    <t>emergency plumber mesa</t>
  </si>
  <si>
    <t>0, 0, 2, 0, 1, 0, 0, 0, 2, 3, 2, 0, 0, 0, 0, 0, 0, 1, 0, 0, 0, 0, 1, 1</t>
  </si>
  <si>
    <t>24 hour plumber western sydney</t>
  </si>
  <si>
    <t>emergency plumber wylie</t>
  </si>
  <si>
    <t>water leak repair denver</t>
  </si>
  <si>
    <t>emergency outdoor plumber near me</t>
  </si>
  <si>
    <t>emergency plumber oatley</t>
  </si>
  <si>
    <t>0, 0, 0, 0, 0, 0, 0, 0, 1, 0, 1, 0, 0, 0, 0, 0, 2, 0, 0, 0, 0, 0, 0, 1</t>
  </si>
  <si>
    <t>water leak repair las vegas</t>
  </si>
  <si>
    <t>0, 0, 0, 0, 0, 0, 1, 3, 3, 4, 5, 0, 0, 0, 0, 0, 0, 0, 0, 0, 1, 0, 0, 1</t>
  </si>
  <si>
    <t>water leak tape repair</t>
  </si>
  <si>
    <t>0, 0, 0, 1, 0, 0, 0, 0, 0, 0, 0, 1, 0, 0, 3, 1, 0, 2, 0, 0, 2, 1, 0, 1</t>
  </si>
  <si>
    <t>epsom emergency plumber</t>
  </si>
  <si>
    <t>0, 0, 1, 0, 0, 1, 1, 0, 0, 1, 3, 0, 0, 0, 0, 0, 0, 0, 0, 0, 0, 0, 0, 1</t>
  </si>
  <si>
    <t>burst pipe repair london</t>
  </si>
  <si>
    <t>24 hour plumber laguna niguel</t>
  </si>
  <si>
    <t>emergency plumber anniston</t>
  </si>
  <si>
    <t>allen tx emergency plumber</t>
  </si>
  <si>
    <t>0, 0, 0, 0, 0, 0, 0, 0, 3, 4, 1, 0, 0, 0, 0, 0, 0, 0, 0, 0, 0, 0, 0, 1</t>
  </si>
  <si>
    <t>emergency plumber northern suburbs</t>
  </si>
  <si>
    <t>0, 0, 0, 1, 0, 0, 0, 0, 0, 0, 0, 0, 0, 0, 0, 0, 0, 0, 0, 25, 17, 8, 0, 9</t>
  </si>
  <si>
    <t>24 hour plumber buderim</t>
  </si>
  <si>
    <t>0, 0, 1, 0, 1, 0, 0, 1, 0, 0, 0, 0, 0, 0, 0, 0, 0, 0, 0, 0, 0, 0, 0, 1</t>
  </si>
  <si>
    <t>pvc water leak repair</t>
  </si>
  <si>
    <t>0, 0, 0, 0, 2, 0, 0, 0, 0, 0, 0, 0, 0, 0, 2, 0, 0, 0, 1, 0, 0, 1, 0, 1</t>
  </si>
  <si>
    <t>24 hour plumber castle hill</t>
  </si>
  <si>
    <t>0, 0, 0, 0, 1, 0, 2, 1, 1, 1, 0, 0, 0, 0, 0, 0, 0, 0, 0, 0, 0, 0, 0, 1</t>
  </si>
  <si>
    <t>emergency plumber colorado springs co</t>
  </si>
  <si>
    <t>0, 0, 0, 1, 0, 0, 0, 1, 0, 1, 0, 0, 0, 0, 0, 0, 0, 0, 0, 1, 0, 0, 0, 1</t>
  </si>
  <si>
    <t>repair burst copper pipe</t>
  </si>
  <si>
    <t>1, 0, 0, 1, 3, 1, 1, 0, 3, 4, 3, 0, 0, 1, 0, 0, 0, 0, 0, 0, 0, 0, 0, 1</t>
  </si>
  <si>
    <t>emergency plumber cremorne</t>
  </si>
  <si>
    <t>0, 2, 0, 0, 0, 0, 0, 0, 1, 0, 0, 1, 0, 0, 0, 0, 0, 0, 0, 0, 0, 0, 0, 1</t>
  </si>
  <si>
    <t>emergency plumber quinton</t>
  </si>
  <si>
    <t>emergency plumber puyallup wa</t>
  </si>
  <si>
    <t>0, 0, 1, 0, 0, 0, 0, 0, 2, 0, 0, 0, 0, 0, 0, 0, 0, 0, 0, 0, 0, 0, 0, 1</t>
  </si>
  <si>
    <t>24 hour plumber dallas</t>
  </si>
  <si>
    <t>0, 0, 0, 1, 0, 1, 3, 0, 1, 2, 1, 2, 0, 1, 0, 1, 0, 0, 1, 0, 0, 0, 0, 1</t>
  </si>
  <si>
    <t>emergency plumber falkirk</t>
  </si>
  <si>
    <t>0, 0, 0, 0, 1, 0, 1, 1, 1, 0, 1, 0, 0, 0, 0, 0, 0, 0, 0, 0, 0, 0, 0, 1</t>
  </si>
  <si>
    <t>emergency plumber ladson sc</t>
  </si>
  <si>
    <t>emergency plumber in lake zurich</t>
  </si>
  <si>
    <t>peoria emergency plumber</t>
  </si>
  <si>
    <t>0, 0, 0, 0, 0, 0, 0, 1, 0, 3, 0, 0, 0, 0, 0, 0, 0, 0, 0, 0, 0, 0, 0, 1</t>
  </si>
  <si>
    <t>emergency plumber simpsonville sc</t>
  </si>
  <si>
    <t>0, 0, 0, 0, 0, 0, 0, 1, 0, 1, 0, 0, 0, 0, 0, 0, 0, 0, 0, 0, 0, 0, 1, 1</t>
  </si>
  <si>
    <t>water heater gas leak repair cost</t>
  </si>
  <si>
    <t>0, 0, 0, 0, 0, 0, 0, 0, 2, 1, 3, 0, 0, 0, 0, 0, 0, 0, 0, 1, 0, 0, 0, 1</t>
  </si>
  <si>
    <t>emergency plumber quogue</t>
  </si>
  <si>
    <t>emergency plumber mesa az</t>
  </si>
  <si>
    <t>1, 0, 2, 2, 2, 1, 0, 4, 1, 2, 3, 0, 0, 0, 0, 0, 0, 0, 0, 0, 0, 0, 0, 1</t>
  </si>
  <si>
    <t>emergency plumber royston</t>
  </si>
  <si>
    <t>emergency plumber in bellwood</t>
  </si>
  <si>
    <t>emergency plumber cardiff nsw</t>
  </si>
  <si>
    <t>burst pipe repair greenville sc</t>
  </si>
  <si>
    <t>0, 1, 0, 0, 0, 1, 0, 3, 1, 0, 0, 0, 0, 0, 0, 0, 0, 0, 0, 0, 0, 0, 0, 1</t>
  </si>
  <si>
    <t>emergency plumber sheerness</t>
  </si>
  <si>
    <t>midvale utah emergency plumber</t>
  </si>
  <si>
    <t>plastic water leak repair</t>
  </si>
  <si>
    <t>0, 0, 0, 1, 0, 0, 0, 0, 0, 1, 0, 0, 0, 0, 0, 1, 0, 0, 0, 0, 1, 0, 0, 1</t>
  </si>
  <si>
    <t>cost to repair a burst pipe</t>
  </si>
  <si>
    <t>emergency plumber shoreditch</t>
  </si>
  <si>
    <t>emergency plumber in maywood</t>
  </si>
  <si>
    <t>24 hour plumber st. louis</t>
  </si>
  <si>
    <t>emergency plumber battle</t>
  </si>
  <si>
    <t>0, 0, 0, 2, 0, 0, 0, 0, 0, 0, 1, 0, 0, 0, 0, 0, 0, 0, 0, 0, 0, 0, 0, 1</t>
  </si>
  <si>
    <t>best emergency plumber cape town</t>
  </si>
  <si>
    <t>0, 0, 0, 0, 0, 0, 0, 0, 0, 0, 0, 0, 0, 0, 0, 0, 0, 0, 0, 9, 24, 7, 0, 11</t>
  </si>
  <si>
    <t>emergency plumber rooty hill</t>
  </si>
  <si>
    <t>0, 0, 1, 0, 0, 1, 0, 1, 0, 0, 1, 0, 0, 0, 0, 0, 0, 0, 0, 0, 0, 0, 0, 1</t>
  </si>
  <si>
    <t>emergency plumber basingstoke</t>
  </si>
  <si>
    <t>0, 1, 0, 0, 0, 0, 0, 1, 2, 1, 2, 3, 0, 0, 0, 0, 0, 0, 0, 0, 0, 0, 0, 1</t>
  </si>
  <si>
    <t>24 hour plumber keller tx</t>
  </si>
  <si>
    <t>24 hour plumber penrith</t>
  </si>
  <si>
    <t>0, 0, 0, 0, 0, 1, 0, 0, 0, 1, 2, 1, 0, 0, 0, 0, 0, 0, 0, 0, 0, 0, 0, 1</t>
  </si>
  <si>
    <t>emergency plumber warren county</t>
  </si>
  <si>
    <t>emergency plumber burbank</t>
  </si>
  <si>
    <t>local emergency plumber near cloverdale</t>
  </si>
  <si>
    <t>emergency plumber woonsocket</t>
  </si>
  <si>
    <t>emergency plumber north myrtle beach</t>
  </si>
  <si>
    <t>0, 0, 0, 0, 0, 0, 0, 0, 0, 2, 1, 0, 0, 0, 0, 0, 0, 1, 0, 1, 0, 0, 0, 1</t>
  </si>
  <si>
    <t>nipomo emergency plumber</t>
  </si>
  <si>
    <t>1, 0, 1, 1, 1, 0, 0, 1, 0, 1, 1, 0, 0, 1, 0, 0, 0, 0, 0, 0, 0, 0, 0, 1</t>
  </si>
  <si>
    <t>emergency plumber childwall</t>
  </si>
  <si>
    <t>blocked toilet plumber canberra</t>
  </si>
  <si>
    <t>0, 1, 0, 0, 1, 0, 0, 0, 0, 2, 1, 0, 0, 0, 0, 0, 0, 0, 0, 0, 0, 0, 0, 1</t>
  </si>
  <si>
    <t>surrey emergency plumber</t>
  </si>
  <si>
    <t>emergency plumber inverness</t>
  </si>
  <si>
    <t>0, 0, 0, 0, 1, 1, 0, 0, 1, 0, 0, 0, 0, 0, 0, 0, 0, 0, 0, 0, 0, 0, 0, 1</t>
  </si>
  <si>
    <t>basement water leak repair johns creek ga</t>
  </si>
  <si>
    <t>emergency plumber lambeth</t>
  </si>
  <si>
    <t>commercial pipe burst repair</t>
  </si>
  <si>
    <t>water leak repair royston</t>
  </si>
  <si>
    <t>local emergency plumber near edgewater</t>
  </si>
  <si>
    <t>emergency plumber in the city of london</t>
  </si>
  <si>
    <t>24 hour plumber wheeling il</t>
  </si>
  <si>
    <t>danvers emergency plumber</t>
  </si>
  <si>
    <t>24 hour plumber chilliwack</t>
  </si>
  <si>
    <t>24 hour plumber paramus</t>
  </si>
  <si>
    <t>mansfield tx emergency plumber</t>
  </si>
  <si>
    <t>emergency plumber black rock</t>
  </si>
  <si>
    <t>0, 0, 0, 0, 1, 1, 0, 0, 1, 1, 0, 0, 0, 0, 0, 0, 0, 0, 0, 0, 0, 0, 0, 1</t>
  </si>
  <si>
    <t>augusta emergency plumber</t>
  </si>
  <si>
    <t>greenville emergency plumber</t>
  </si>
  <si>
    <t>emergency plumber norcross</t>
  </si>
  <si>
    <t>emergency plumber camberley</t>
  </si>
  <si>
    <t>24 hour plumber san antonio</t>
  </si>
  <si>
    <t>0, 0, 3, 0, 2, 1, 1, 0, 2, 2, 1, 3, 0, 0, 1, 0, 0, 0, 0, 0, 0, 0, 0, 1</t>
  </si>
  <si>
    <t>emergency plumber water mill</t>
  </si>
  <si>
    <t>0, 0, 0, 0, 0, 0, 0, 2, 0, 2, 0, 0, 0, 0, 0, 0, 0, 0, 0, 0, 0, 0, 0, 1</t>
  </si>
  <si>
    <t>emergency plumber pierrefonds</t>
  </si>
  <si>
    <t>0, 2, 1, 1, 2, 2, 0, 1, 0, 3, 1, 0, 0, 0, 0, 0, 0, 0, 0, 0, 0, 0, 0, 1</t>
  </si>
  <si>
    <t>emergency plumber wirral</t>
  </si>
  <si>
    <t>0, 1, 1, 0, 4, 0, 0, 1, 0, 0, 0, 0, 0, 0, 0, 0, 0, 0, 0, 0, 0, 0, 0, 1</t>
  </si>
  <si>
    <t>emergency plumber lindfield</t>
  </si>
  <si>
    <t>0, 0, 0, 0, 1, 0, 0, 0, 0, 1, 3, 0, 0, 0, 0, 0, 0, 0, 0, 0, 0, 0, 0, 1</t>
  </si>
  <si>
    <t>emergency plumber sf</t>
  </si>
  <si>
    <t>emergency plumber ashwood</t>
  </si>
  <si>
    <t>plumber emergency croydon hills</t>
  </si>
  <si>
    <t>24-hour plumber katy</t>
  </si>
  <si>
    <t>0, 1, 1, 0, 0, 0, 0, 0, 3, 0, 0, 0, 0, 0, 0, 0, 0, 0, 0, 0, 0, 0, 0, 1</t>
  </si>
  <si>
    <t>local emergency plumber near kelmscott</t>
  </si>
  <si>
    <t>tacoma emergency plumber</t>
  </si>
  <si>
    <t>1, 0, 1, 0, 0, 0, 0, 2, 1, 1, 0, 0, 0, 0, 0, 0, 0, 0, 0, 0, 0, 0, 0, 1</t>
  </si>
  <si>
    <t>somerset emergency plumber</t>
  </si>
  <si>
    <t>emergency plumber blackburn</t>
  </si>
  <si>
    <t>0, 0, 1, 1, 1, 1, 2, 3, 2, 4, 2, 0, 0, 0, 0, 0, 0, 0, 0, 0, 0, 0, 0, 1</t>
  </si>
  <si>
    <t>emergency plumber in south elgin</t>
  </si>
  <si>
    <t>emergency plumber elwood</t>
  </si>
  <si>
    <t>0, 0, 0, 0, 0, 2, 0, 2, 1, 0, 0, 0, 0, 0, 0, 0, 0, 0, 0, 0, 0, 0, 0, 1</t>
  </si>
  <si>
    <t>emergency plumber mercier</t>
  </si>
  <si>
    <t>1, 0, 0, 0, 0, 0, 0, 1, 2, 0, 1, 0, 0, 0, 0, 0, 0, 0, 0, 0, 0, 0, 0, 1</t>
  </si>
  <si>
    <t>emergency plumber county durham</t>
  </si>
  <si>
    <t>emergency plumber upton</t>
  </si>
  <si>
    <t>0, 0, 0, 0, 0, 0, 0, 2, 1, 2, 1, 0, 0, 0, 0, 0, 0, 0, 0, 0, 0, 0, 0, 1</t>
  </si>
  <si>
    <t>water line leak repair</t>
  </si>
  <si>
    <t>0, 0, 0, 2, 0, 5, 3, 3, 6, 8, 7, 2, 0, 0, 0, 0, 0, 0, 0, 0, 4, 0, 0, 3</t>
  </si>
  <si>
    <t>24-hour plumber atlanta</t>
  </si>
  <si>
    <t>0, 1, 1, 0, 0, 0, 1, 1, 2, 0, 0, 1, 0, 0, 0, 0, 0, 0, 0, 0, 0, 0, 0, 1</t>
  </si>
  <si>
    <t>emergency plumber isle of man</t>
  </si>
  <si>
    <t>emergency plumber matawan</t>
  </si>
  <si>
    <t>0, 0, 0, 0, 2, 0, 0, 0, 0, 0, 0, 2, 0, 0, 0, 0, 0, 0, 0, 0, 0, 0, 0, 1</t>
  </si>
  <si>
    <t>emergency plumber dublin 20</t>
  </si>
  <si>
    <t>emergency plumber inglewood</t>
  </si>
  <si>
    <t>0, 0, 0, 0, 0, 0, 1, 1, 1, 0, 1, 2, 0, 0, 0, 0, 0, 0, 0, 0, 0, 0, 0, 1</t>
  </si>
  <si>
    <t>emergency plumber hull</t>
  </si>
  <si>
    <t>0, 0, 0, 0, 0, 1, 0, 0, 1, 3, 0, 0, 0, 0, 0, 0, 0, 0, 0, 0, 0, 0, 0, 1</t>
  </si>
  <si>
    <t>port st lucie emergency plumber</t>
  </si>
  <si>
    <t>24 hour plumber newburyport ma</t>
  </si>
  <si>
    <t>0, 0, 1, 0, 1, 0, 0, 0, 0, 1, 2, 0, 0, 0, 0, 0, 0, 0, 0, 0, 0, 0, 0, 1</t>
  </si>
  <si>
    <t>albany emergency plumber</t>
  </si>
  <si>
    <t>emergency plumber service woolloongabba</t>
  </si>
  <si>
    <t>emergency plumber schertz tx</t>
  </si>
  <si>
    <t>2, 0, 0, 0, 2, 0, 2, 1, 0, 0, 1, 0, 0, 0, 0, 0, 0, 0, 0, 0, 0, 0, 0, 1</t>
  </si>
  <si>
    <t>austin emergency plumber</t>
  </si>
  <si>
    <t>0, 0, 0, 0, 0, 0, 0, 1, 1, 1, 0, 1, 0, 0, 0, 0, 0, 0, 0, 0, 0, 1, 0, 1</t>
  </si>
  <si>
    <t>emergency plumber carindale</t>
  </si>
  <si>
    <t>water leak repair charles town</t>
  </si>
  <si>
    <t>0, 1, 0, 0, 0, 0, 0, 1, 1, 1, 0, 0, 0, 0, 0, 0, 0, 0, 0, 0, 0, 0, 0, 1</t>
  </si>
  <si>
    <t>emergency plumber chandler</t>
  </si>
  <si>
    <t>emergency plumber south brisbane</t>
  </si>
  <si>
    <t>1, 0, 0, 0, 0, 1, 1, 0, 0, 0, 0, 0, 0, 0, 0, 0, 0, 0, 0, 0, 0, 0, 0, 1</t>
  </si>
  <si>
    <t>emergency plumber germantown</t>
  </si>
  <si>
    <t>0, 0, 2, 1, 0, 0, 0, 1, 0, 1, 3, 0, 0, 0, 0, 0, 0, 0, 1, 0, 0, 0, 0, 1</t>
  </si>
  <si>
    <t>emergency plumber huntington beach</t>
  </si>
  <si>
    <t>1, 0, 0, 1, 0, 0, 0, 1, 2, 2, 2, 2, 0, 0, 0, 0, 0, 0, 0, 0, 0, 0, 1, 1</t>
  </si>
  <si>
    <t>water main leak repair</t>
  </si>
  <si>
    <t>3, 3, 5, 1, 8, 3, 5, 8, 5, 8, 6, 6, 2, 6, 2, 1, 2, 0, 0, 4, 0, 0, 0, 1</t>
  </si>
  <si>
    <t>emergency plumber allenstown</t>
  </si>
  <si>
    <t>0, 0, 0, 0, 0, 0, 2, 3, 1, 2, 0, 0, 0, 0, 0, 0, 0, 0, 0, 0, 0, 0, 0, 1</t>
  </si>
  <si>
    <t>emergency plumber bergen county nj</t>
  </si>
  <si>
    <t>local emergency plumber near midvale</t>
  </si>
  <si>
    <t>emergency plumber wanneroo</t>
  </si>
  <si>
    <t>0, 0, 0, 0, 0, 0, 1, 5, 2, 2, 2, 0, 0, 0, 0, 0, 0, 0, 0, 0, 0, 0, 0, 1</t>
  </si>
  <si>
    <t>emergency plumber topeka</t>
  </si>
  <si>
    <t>0, 0, 0, 0, 1, 0, 1, 0, 1, 0, 1, 0, 0, 0, 0, 0, 0, 0, 0, 0, 0, 0, 0, 1</t>
  </si>
  <si>
    <t>emergency plumber in westmont il</t>
  </si>
  <si>
    <t>emergency plumber bulimba</t>
  </si>
  <si>
    <t>effingham emergency plumber</t>
  </si>
  <si>
    <t>emergency plumber altrincham</t>
  </si>
  <si>
    <t>0, 0, 0, 0, 0, 0, 0, 0, 2, 1, 2, 1, 0, 1, 0, 0, 0, 0, 0, 0, 0, 0, 0, 1</t>
  </si>
  <si>
    <t>rubber water pipe leak repair</t>
  </si>
  <si>
    <t>0, 0, 0, 0, 1, 1, 0, 2, 0, 0, 0, 0, 0, 1, 0, 0, 0, 1, 0, 0, 0, 0, 0, 1</t>
  </si>
  <si>
    <t>southern pines emergency plumber</t>
  </si>
  <si>
    <t>emergency plumber ashley</t>
  </si>
  <si>
    <t>emergency plumber near me 24 7</t>
  </si>
  <si>
    <t>0, 0, 1, 1, 0, 0, 2, 1, 3, 0, 2, 9, 1, 0, 0, 0, 1, 0, 0, 0, 0, 0, 0, 1</t>
  </si>
  <si>
    <t>24 emergency plumber</t>
  </si>
  <si>
    <t>1, 1, 3, 2, 2, 1, 3, 2, 1, 6, 1, 1, 0, 0, 0, 0, 0, 0, 0, 0, 0, 0, 0, 1</t>
  </si>
  <si>
    <t>emergency plumber sudbury</t>
  </si>
  <si>
    <t>24 hour plumber atlanta ga</t>
  </si>
  <si>
    <t>emergency plumber ulladulla</t>
  </si>
  <si>
    <t>0, 0, 0, 0, 0, 0, 0, 0, 1, 2, 0, 1, 0, 0, 0, 0, 0, 0, 0, 0, 0, 0, 0, 1</t>
  </si>
  <si>
    <t>emergency plumber tucson az</t>
  </si>
  <si>
    <t>emergency plumber mississippi</t>
  </si>
  <si>
    <t>emergency water leak repair savage mn</t>
  </si>
  <si>
    <t>emergency plumber culpeper va</t>
  </si>
  <si>
    <t>emergency plumber como</t>
  </si>
  <si>
    <t>0, 0, 0, 0, 0, 0, 0, 1, 2, 0, 2, 0, 0, 0, 0, 0, 0, 0, 0, 0, 0, 0, 0, 1</t>
  </si>
  <si>
    <t>pvc water pipe leak repair</t>
  </si>
  <si>
    <t>1, 2, 1, 1, 2, 1, 0, 4, 0, 2, 1, 0, 0, 0, 0, 0, 0, 1, 3, 1, 0, 2, 0, 2</t>
  </si>
  <si>
    <t>emergency plumber carlton</t>
  </si>
  <si>
    <t>0, 0, 0, 0, 2, 1, 0, 1, 2, 0, 0, 0, 0, 0, 0, 0, 0, 0, 0, 0, 0, 0, 0, 1</t>
  </si>
  <si>
    <t>pleasant grove utah emergency plumber</t>
  </si>
  <si>
    <t>24 hour plumber nearby</t>
  </si>
  <si>
    <t>0, 0, 0, 0, 0, 2, 1, 1, 0, 0, 3, 0, 0, 1, 0, 0, 1, 0, 0, 1, 0, 0, 0, 1</t>
  </si>
  <si>
    <t>water leak repair suffolk</t>
  </si>
  <si>
    <t>emergency plumber cost per hour</t>
  </si>
  <si>
    <t>5, 0, 0, 1, 0, 0, 0, 0, 0, 2, 1, 0, 0, 1, 1, 0, 0, 0, 0, 0, 0, 0, 0, 1</t>
  </si>
  <si>
    <t>24 hour plumber sydney</t>
  </si>
  <si>
    <t>1, 1, 2, 0, 4, 3, 3, 4, 4, 7, 11, 9, 1, 1, 4, 4, 0, 0, 0, 0, 0, 0, 0, 1</t>
  </si>
  <si>
    <t>24 hour emergency plumber brooklyn</t>
  </si>
  <si>
    <t>emergency plumber spotswood nj</t>
  </si>
  <si>
    <t>24 hour emergency plumber edinburgh</t>
  </si>
  <si>
    <t>0, 0, 1, 0, 0, 0, 0, 0, 1, 0, 0, 0, 0, 0, 0, 0, 2, 0, 0, 0, 0, 0, 0, 1</t>
  </si>
  <si>
    <t>emergency plumber freeport</t>
  </si>
  <si>
    <t>emergency plumber north brisbane</t>
  </si>
  <si>
    <t>layton utah emergency plumber</t>
  </si>
  <si>
    <t>water leak roof repair</t>
  </si>
  <si>
    <t>4, 2, 2, 2, 2, 1, 5, 1, 0, 0, 1, 1, 1, 0, 0, 0, 1, 3, 0, 0, 0, 1, 0, 1</t>
  </si>
  <si>
    <t>emergency plumber calgary</t>
  </si>
  <si>
    <t>1, 0, 0, 5, 1, 2, 1, 2, 4, 4, 4, 5, 1, 0, 0, 0, 0, 0, 0, 0, 1, 0, 0, 1</t>
  </si>
  <si>
    <t>0, 2, 1, 0, 0, 1, 0, 3, 2, 0, 1, 0, 0, 0, 0, 0, 0, 0, 0, 0, 0, 0, 0, 1</t>
  </si>
  <si>
    <t>water leak repair clamp</t>
  </si>
  <si>
    <t>0, 0, 4, 0, 0, 0, 0, 0, 0, 1, 1, 0, 3, 1, 0, 0, 0, 0, 0, 0, 0, 0, 0, 1</t>
  </si>
  <si>
    <t>emergency plumber didsbury</t>
  </si>
  <si>
    <t>harrisburg pa emergency plumber</t>
  </si>
  <si>
    <t>0, 1, 1, 1, 0, 0, 0, 0, 1, 5, 0, 0, 0, 0, 0, 0, 0, 0, 0, 0, 0, 0, 0, 1</t>
  </si>
  <si>
    <t>emergency plumber ocean grove</t>
  </si>
  <si>
    <t>emergency plumber morton grove</t>
  </si>
  <si>
    <t>emergency plumber winnipeg</t>
  </si>
  <si>
    <t>1, 1, 0, 2, 3, 1, 2, 2, 2, 0, 0, 0, 0, 0, 0, 0, 0, 0, 0, 0, 0, 0, 0, 1</t>
  </si>
  <si>
    <t>local emergency plumber near ferndale</t>
  </si>
  <si>
    <t>prescott az emergency plumber</t>
  </si>
  <si>
    <t>1, 0, 0, 0, 0, 0, 0, 1, 0, 2, 3, 2, 0, 0, 0, 0, 0, 1, 0, 0, 0, 0, 0, 1</t>
  </si>
  <si>
    <t>emergency plumber minchinbury</t>
  </si>
  <si>
    <t>24 hour plumber cherrybrook</t>
  </si>
  <si>
    <t>0, 0, 0, 0, 2, 1, 1, 1, 2, 0, 0, 2, 0, 0, 0, 0, 0, 0, 0, 0, 0, 0, 0, 1</t>
  </si>
  <si>
    <t>24 hour plumber thousand oaks</t>
  </si>
  <si>
    <t>emergency plumber santa rosa beach</t>
  </si>
  <si>
    <t>emergency plumber seattle</t>
  </si>
  <si>
    <t>0, 0, 0, 0, 3, 4, 3, 3, 2, 3, 3, 1, 0, 1, 0, 0, 0, 0, 0, 0, 1, 0, 0, 1</t>
  </si>
  <si>
    <t>emergency plumber perth wa</t>
  </si>
  <si>
    <t>0, 0, 0, 1, 1, 5, 0, 0, 0, 0, 1, 2, 0, 0, 1, 0, 0, 0, 0, 0, 0, 0, 0, 1</t>
  </si>
  <si>
    <t>national emergency plumber</t>
  </si>
  <si>
    <t>24 hour plumber orlando</t>
  </si>
  <si>
    <t>24 hour plumber murrieta</t>
  </si>
  <si>
    <t>0, 0, 0, 3, 1, 0, 0, 0, 1, 1, 1, 0, 0, 0, 0, 0, 0, 0, 0, 0, 0, 0, 0, 1</t>
  </si>
  <si>
    <t>emergency plumber livonia mi</t>
  </si>
  <si>
    <t>emergency plumber castle hill</t>
  </si>
  <si>
    <t>0, 1, 2, 2, 1, 0, 0, 0, 2, 0, 2, 1, 0, 0, 0, 0, 0, 0, 0, 0, 0, 0, 0, 1</t>
  </si>
  <si>
    <t>local emergency plumber near rockingham</t>
  </si>
  <si>
    <t>plumber emergency service queensbury ny</t>
  </si>
  <si>
    <t>burst water pipe repair</t>
  </si>
  <si>
    <t>1, 0, 1, 0, 4, 1, 4, 9, 3, 12, 8, 4, 1, 2, 0, 0, 1, 0, 4, 1, 2, 1, 3, 3</t>
  </si>
  <si>
    <t>emergency plumber north richland hills</t>
  </si>
  <si>
    <t>emergency plumber rowlett</t>
  </si>
  <si>
    <t>0, 0, 0, 2, 0, 1, 0, 2, 0, 2, 1, 0, 0, 0, 0, 0, 0, 3, 0, 0, 3, 0, 0, 2</t>
  </si>
  <si>
    <t>emergency plumber coral cove</t>
  </si>
  <si>
    <t>emergency plumber north london</t>
  </si>
  <si>
    <t>2, 0, 0, 0, 0, 0, 1, 3, 0, 1, 1, 0, 1, 0, 0, 1, 1, 0, 1, 2, 0, 2, 0, 2</t>
  </si>
  <si>
    <t>emergency plumber near.me</t>
  </si>
  <si>
    <t>0, 0, 0, 0, 0, 2, 0, 0, 1, 1, 0, 0, 0, 0, 0, 0, 0, 0, 1, 0, 0, 0, 0, 1</t>
  </si>
  <si>
    <t>emergency plumber carmel valley</t>
  </si>
  <si>
    <t>athens burst pipe repair</t>
  </si>
  <si>
    <t>emergency plumber coggeshall</t>
  </si>
  <si>
    <t>burst pipe repair framingham</t>
  </si>
  <si>
    <t>local emergency plumber near ocean reef</t>
  </si>
  <si>
    <t>24 hour plumber brisbane</t>
  </si>
  <si>
    <t>0, 1, 2, 1, 0, 0, 0, 2, 2, 4, 5, 0, 0, 0, 0, 0, 0, 0, 0, 0, 0, 0, 0, 1</t>
  </si>
  <si>
    <t>emergency plumber scottsdale</t>
  </si>
  <si>
    <t>0, 1, 1, 2, 3, 2, 2, 5, 4, 3, 3, 0, 0, 0, 0, 0, 0, 0, 0, 1, 0, 0, 0, 1</t>
  </si>
  <si>
    <t>emergency plumber aldridge</t>
  </si>
  <si>
    <t>0, 0, 0, 0, 0, 0, 0, 4, 3, 0, 0, 0, 1, 0, 0, 0, 0, 0, 0, 0, 0, 0, 0, 1</t>
  </si>
  <si>
    <t>emergency plumber frankston south</t>
  </si>
  <si>
    <t>0, 2, 1, 0, 1, 3, 0, 1, 0, 0, 0, 0, 0, 0, 0, 0, 0, 0, 0, 0, 0, 0, 0, 1</t>
  </si>
  <si>
    <t>emergency plumber phoenix az</t>
  </si>
  <si>
    <t>0, 1, 2, 1, 0, 0, 0, 1, 1, 2, 2, 1, 0, 0, 0, 0, 0, 0, 0, 0, 0, 0, 1, 1</t>
  </si>
  <si>
    <t>emergency plumber madison</t>
  </si>
  <si>
    <t>emergency plumber canton mi</t>
  </si>
  <si>
    <t>severn emergency plumber</t>
  </si>
  <si>
    <t>emergency plumber pendleton</t>
  </si>
  <si>
    <t>emergency plumber balham</t>
  </si>
  <si>
    <t>0, 0, 0, 1, 0, 0, 0, 3, 0, 0, 0, 0, 0, 0, 0, 0, 0, 0, 0, 0, 0, 0, 0, 1</t>
  </si>
  <si>
    <t>orlando emergency plumber</t>
  </si>
  <si>
    <t>emergency plumber kennesaw ga</t>
  </si>
  <si>
    <t>0, 0, 0, 1, 0, 0, 0, 0, 3, 0, 0, 0, 0, 0, 0, 0, 0, 0, 0, 0, 0, 0, 0, 1</t>
  </si>
  <si>
    <t>emergency plumber bakersfield</t>
  </si>
  <si>
    <t>basement wall water leak repair</t>
  </si>
  <si>
    <t>0, 0, 0, 0, 0, 0, 0, 0, 5, 2, 1, 0, 0, 0, 0, 0, 0, 0, 0, 0, 0, 0, 0, 1</t>
  </si>
  <si>
    <t>emergency plumber germiston</t>
  </si>
  <si>
    <t>0, 0, 0, 0, 0, 0, 0, 1, 0, 1, 1, 41, 0, 0, 0, 0, 0, 0, 0, 0, 0, 0, 0, 1</t>
  </si>
  <si>
    <t>emergency plumber godalming</t>
  </si>
  <si>
    <t>emergency plumber bryant</t>
  </si>
  <si>
    <t>emergency plumber duncanville</t>
  </si>
  <si>
    <t>emergency plumber hillingdon</t>
  </si>
  <si>
    <t>0, 1, 0, 0, 0, 1, 0, 0, 2, 0, 0, 1, 0, 0, 0, 0, 0, 0, 0, 0, 0, 0, 0, 1</t>
  </si>
  <si>
    <t>emergency plumber near me cape town</t>
  </si>
  <si>
    <t>0, 0, 0, 0, 0, 0, 0, 0, 0, 0, 0, 0, 0, 0, 0, 0, 0, 0, 0, 9, 25, 12, 0, 13</t>
  </si>
  <si>
    <t>local emergency plumber near furnissdale</t>
  </si>
  <si>
    <t>emergency plumber caterham</t>
  </si>
  <si>
    <t>emergency plumber addington</t>
  </si>
  <si>
    <t>emergency 24 hour plumber near me</t>
  </si>
  <si>
    <t>0, 0, 1, 0, 0, 0, 0, 1, 0, 0, 0, 1, 0, 1, 0, 0, 0, 0, 0, 1, 0, 1, 1, 2</t>
  </si>
  <si>
    <t>24 hour plumber dubai</t>
  </si>
  <si>
    <t>0, 0, 1, 0, 0, 0, 1, 3, 1, 1, 1, 1, 0, 0, 0, 0, 0, 0, 0, 0, 0, 0, 0, 1</t>
  </si>
  <si>
    <t>water leak slab repair</t>
  </si>
  <si>
    <t>0, 0, 0, 0, 0, 0, 0, 2, 0, 0, 0, 0, 0, 0, 1, 0, 1, 0, 1, 0, 0, 0, 0, 1</t>
  </si>
  <si>
    <t>yulee fl emergency plumber</t>
  </si>
  <si>
    <t>1, 2, 0, 1, 0, 0, 0, 0, 1, 1, 1, 0, 0, 0, 0, 0, 0, 0, 0, 0, 0, 0, 0, 1</t>
  </si>
  <si>
    <t>24 hour plumber des moines</t>
  </si>
  <si>
    <t>emergency plumber frankston</t>
  </si>
  <si>
    <t>0, 0, 0, 0, 0, 3, 4, 1, 1, 0, 1, 0, 1, 0, 0, 0, 0, 0, 0, 0, 0, 0, 1, 1</t>
  </si>
  <si>
    <t>burst pipe repair tomball</t>
  </si>
  <si>
    <t>york emergency plumber</t>
  </si>
  <si>
    <t>0, 0, 1, 0, 0, 0, 0, 0, 0, 1, 2, 0, 0, 0, 0, 0, 0, 0, 0, 0, 0, 0, 0, 1</t>
  </si>
  <si>
    <t>24 hour emergency plumber sidmouth</t>
  </si>
  <si>
    <t>emergency gas plumber powdersville</t>
  </si>
  <si>
    <t>hockley emergency plumber</t>
  </si>
  <si>
    <t>emergency plumber memorial city tx</t>
  </si>
  <si>
    <t>0, 0, 0, 1, 1, 0, 0, 0, 0, 1, 2, 0, 0, 0, 0, 0, 0, 0, 0, 0, 0, 0, 0, 1</t>
  </si>
  <si>
    <t>emergency plumber belsize park</t>
  </si>
  <si>
    <t>24 hour plumber beerwah</t>
  </si>
  <si>
    <t>0, 0, 1, 0, 1, 1, 0, 0, 1, 1, 1, 0, 0, 0, 0, 0, 0, 0, 0, 0, 0, 0, 0, 1</t>
  </si>
  <si>
    <t>24 hour plumber mesquite</t>
  </si>
  <si>
    <t>0, 0, 2, 0, 0, 0, 1, 0, 1, 0, 0, 0, 0, 0, 0, 0, 0, 0, 0, 0, 0, 0, 0, 1</t>
  </si>
  <si>
    <t>emergency plumber doncaster east</t>
  </si>
  <si>
    <t>0, 0, 0, 0, 0, 0, 0, 0, 3, 0, 1, 1, 0, 0, 0, 0, 0, 0, 0, 0, 0, 0, 0, 1</t>
  </si>
  <si>
    <t>emergency plumber deception bay</t>
  </si>
  <si>
    <t>0, 0, 0, 0, 0, 0, 0, 1, 1, 0, 1, 1, 0, 0, 0, 0, 0, 0, 0, 0, 0, 0, 0, 1</t>
  </si>
  <si>
    <t>emergency plumber abu dhabi</t>
  </si>
  <si>
    <t>0, 0, 0, 0, 1, 2, 1, 0, 2, 2, 6, 2, 0, 0, 0, 0, 0, 0, 0, 0, 0, 0, 0, 1</t>
  </si>
  <si>
    <t>emergency plumber peachester</t>
  </si>
  <si>
    <t>0, 1, 0, 0, 0, 2, 0, 1, 0, 0, 0, 0, 0, 0, 0, 0, 0, 0, 0, 0, 0, 0, 0, 1</t>
  </si>
  <si>
    <t>water leak repair services duck key</t>
  </si>
  <si>
    <t>emergency plumber service carindale</t>
  </si>
  <si>
    <t>24 hour plumber minneapolis</t>
  </si>
  <si>
    <t>0, 0, 0, 0, 0, 0, 0, 0, 0, 0, 0, 1, 1, 0, 0, 0, 0, 0, 0, 0, 0, 0, 0, 1</t>
  </si>
  <si>
    <t>water heater gas leak repair</t>
  </si>
  <si>
    <t>emergency plumber in brighton</t>
  </si>
  <si>
    <t>emergency plumber northwood</t>
  </si>
  <si>
    <t>chilliwack emergency plumber</t>
  </si>
  <si>
    <t>emergency plumber oxnard</t>
  </si>
  <si>
    <t>emergency plumber middle cove</t>
  </si>
  <si>
    <t>emergency plumber landers shoot</t>
  </si>
  <si>
    <t>emergency plumber st andrews</t>
  </si>
  <si>
    <t>0, 1, 1, 1, 0, 1, 1, 0, 0, 1, 1, 0, 0, 0, 0, 0, 0, 0, 0, 0, 0, 0, 0, 1</t>
  </si>
  <si>
    <t>emergency plumber aldergrove</t>
  </si>
  <si>
    <t>water line leak repair cost</t>
  </si>
  <si>
    <t>1, 0, 0, 0, 0, 1, 0, 1, 1, 2, 0, 0, 1, 0, 1, 0, 1, 0, 0, 0, 0, 0, 1, 1</t>
  </si>
  <si>
    <t>emergency plumber near harwood heights</t>
  </si>
  <si>
    <t>emergency plumber olympia</t>
  </si>
  <si>
    <t>emergency plumber great yarmouth</t>
  </si>
  <si>
    <t>emergency plumber in surrey</t>
  </si>
  <si>
    <t>0, 0, 1, 0, 0, 1, 0, 1, 0, 0, 0, 0, 0, 0, 0, 0, 0, 0, 0, 0, 0, 0, 0, 1</t>
  </si>
  <si>
    <t>emergency plumber banbury</t>
  </si>
  <si>
    <t>0, 0, 0, 0, 0, 0, 2, 0, 0, 1, 1, 0, 0, 0, 0, 0, 0, 0, 0, 0, 0, 0, 0, 1</t>
  </si>
  <si>
    <t>emergency plumber repairing burst pipe</t>
  </si>
  <si>
    <t>0, 0, 0, 0, 0, 0, 0, 0, 0, 0, 0, 0, 0, 0, 0, 0, 0, 0, 0, 0, 3, 0, 1, 1</t>
  </si>
  <si>
    <t>24-hour plumber emergency johannesburg</t>
  </si>
  <si>
    <t>0, 0, 0, 0, 0, 0, 0, 0, 0, 0, 0, 0, 0, 0, 0, 0, 0, 0, 0, 0, 6, 19, 7, 2</t>
  </si>
  <si>
    <t>emergency plumber plano tx</t>
  </si>
  <si>
    <t>0, 2, 3, 0, 0, 2, 1, 0, 0, 3, 2, 0, 0, 0, 0, 0, 0, 1, 0, 0, 0, 0, 0, 1</t>
  </si>
  <si>
    <t>emergency plumber in reading</t>
  </si>
  <si>
    <t>1, 0, 0, 0, 0, 1, 0, 1, 1, 1, 1, 1, 0, 0, 1, 0, 0, 0, 0, 0, 0, 0, 0, 1</t>
  </si>
  <si>
    <t>emergency plumber service lexington</t>
  </si>
  <si>
    <t>0, 0, 0, 0, 0, 1, 0, 1, 1, 0, 1, 0, 0, 0, 0, 0, 0, 0, 0, 0, 0, 0, 0, 1</t>
  </si>
  <si>
    <t>emergency plumber summer hill</t>
  </si>
  <si>
    <t>emergency plumber canina</t>
  </si>
  <si>
    <t>0, 0, 0, 0, 1, 0, 1, 0, 2, 1, 2, 0, 0, 0, 0, 0, 0, 0, 0, 0, 0, 0, 0, 1</t>
  </si>
  <si>
    <t>orange county emergency plumber</t>
  </si>
  <si>
    <t>emergency plumber ashmore</t>
  </si>
  <si>
    <t>0, 0, 0, 0, 3, 0, 0, 0, 0, 1, 1, 0, 0, 0, 0, 0, 0, 0, 0, 0, 0, 0, 0, 1</t>
  </si>
  <si>
    <t>emergency plumber calumet city</t>
  </si>
  <si>
    <t>emergency plumber fitchburg ma</t>
  </si>
  <si>
    <t>0, 1, 0, 0, 0, 1, 0, 0, 1, 0, 1, 0, 0, 0, 0, 0, 0, 0, 0, 0, 0, 0, 0, 1</t>
  </si>
  <si>
    <t>emergency plumber marayong</t>
  </si>
  <si>
    <t>0, 0, 0, 0, 1, 1, 2, 0, 1, 2, 0, 0, 0, 0, 0, 0, 0, 0, 0, 0, 0, 0, 0, 1</t>
  </si>
  <si>
    <t>emergency plumber hillsborough county</t>
  </si>
  <si>
    <t>burst pipe repair coffs harbour</t>
  </si>
  <si>
    <t>24 hour plumber hamburg</t>
  </si>
  <si>
    <t>underground water pipe leak repair</t>
  </si>
  <si>
    <t>0, 0, 1, 1, 1, 1, 3, 1, 0, 0, 0, 0, 1, 4, 2, 1, 0, 0, 1, 0, 0, 0, 4, 1</t>
  </si>
  <si>
    <t>emergency plumber skokie</t>
  </si>
  <si>
    <t>0, 0, 1, 0, 0, 0, 0, 1, 0, 1, 2, 0, 0, 0, 0, 0, 0, 0, 0, 0, 0, 0, 0, 1</t>
  </si>
  <si>
    <t>burst pipe repair three points</t>
  </si>
  <si>
    <t>24 hour commercial plumber</t>
  </si>
  <si>
    <t>0, 0, 0, 0, 2, 0, 0, 0, 3, 1, 4, 4, 4, 4, 5, 4, 0, 0, 0, 0, 0, 0, 0, 1</t>
  </si>
  <si>
    <t>emergency plumber outremont</t>
  </si>
  <si>
    <t>emergency plumber springwood</t>
  </si>
  <si>
    <t>0, 1, 0, 0, 0, 0, 2, 0, 0, 0, 1, 2, 0, 0, 0, 0, 0, 0, 0, 0, 0, 0, 0, 1</t>
  </si>
  <si>
    <t>washington utah emergency plumber</t>
  </si>
  <si>
    <t>24 hour plumber silverdale</t>
  </si>
  <si>
    <t>emergency plumber douglas county</t>
  </si>
  <si>
    <t>emergency plumber near me cheap louisville</t>
  </si>
  <si>
    <t>0, 0, 0, 0, 0, 0, 0, 0, 2, 0, 0, 4, 0, 0, 0, 0, 0, 0, 0, 0, 0, 0, 0, 1</t>
  </si>
  <si>
    <t>emergency plumber normanhurst</t>
  </si>
  <si>
    <t>0, 0, 0, 0, 2, 0, 0, 0, 0, 3, 3, 0, 0, 0, 0, 0, 0, 0, 0, 1, 0, 0, 0, 1</t>
  </si>
  <si>
    <t>emergency plumber social circle</t>
  </si>
  <si>
    <t>emergency plumber etobicoke</t>
  </si>
  <si>
    <t>0, 0, 1, 1, 0, 0, 3, 1, 0, 1, 3, 0, 0, 0, 0, 0, 0, 0, 0, 0, 0, 0, 0, 1</t>
  </si>
  <si>
    <t>24 hour plumber montreal</t>
  </si>
  <si>
    <t>magna utah emergency plumber</t>
  </si>
  <si>
    <t>emergency plumber grantham</t>
  </si>
  <si>
    <t>24 hour plumber clarksville tn</t>
  </si>
  <si>
    <t>emergency plumber burleigh</t>
  </si>
  <si>
    <t>1, 1, 0, 1, 0, 0, 0, 0, 0, 0, 0, 1, 0, 0, 0, 0, 0, 0, 0, 0, 0, 0, 0, 1</t>
  </si>
  <si>
    <t>rosenberg emergency plumber</t>
  </si>
  <si>
    <t>0, 0, 0, 1, 0, 0, 1, 0, 2, 1, 2, 0, 0, 0, 0, 0, 0, 0, 0, 0, 0, 0, 0, 1</t>
  </si>
  <si>
    <t>emergency plumber burngreave</t>
  </si>
  <si>
    <t>east brunswick emergency plumber</t>
  </si>
  <si>
    <t>emergency plumber bonita springs</t>
  </si>
  <si>
    <t>emergency plumber stewartstown</t>
  </si>
  <si>
    <t>emergency plumber highett</t>
  </si>
  <si>
    <t>emergency plumber south jordan</t>
  </si>
  <si>
    <t>24 hour plumber duluth mn</t>
  </si>
  <si>
    <t>0, 0, 1, 1, 0, 1, 0, 1, 1, 0, 0, 0, 0, 0, 0, 0, 0, 0, 0, 0, 0, 0, 0, 1</t>
  </si>
  <si>
    <t>24 hour plumber torrance</t>
  </si>
  <si>
    <t>hempstead emergency plumber</t>
  </si>
  <si>
    <t>24 hour plumber adelaide</t>
  </si>
  <si>
    <t>1, 1, 1, 2, 1, 1, 0, 2, 2, 1, 4, 0, 0, 0, 0, 0, 0, 0, 0, 0, 0, 0, 0, 1</t>
  </si>
  <si>
    <t>emergency plumber peterborough</t>
  </si>
  <si>
    <t>0, 0, 1, 0, 0, 0, 0, 1, 1, 2, 0, 0, 0, 0, 0, 0, 0, 0, 0, 0, 0, 0, 0, 1</t>
  </si>
  <si>
    <t>emergency plumber belleville</t>
  </si>
  <si>
    <t>1, 0, 0, 0, 1, 1, 1, 1, 0, 0, 2, 0, 1, 0, 0, 0, 0, 0, 0, 1, 0, 0, 0, 1</t>
  </si>
  <si>
    <t>vancouver burst pipe repair</t>
  </si>
  <si>
    <t>2, 0, 0, 0, 1, 0, 0, 0, 0, 1, 0, 0, 0, 0, 0, 0, 0, 0, 0, 0, 0, 0, 0, 1</t>
  </si>
  <si>
    <t>emergency water leak repair londonderry</t>
  </si>
  <si>
    <t>emergency plumber northmead</t>
  </si>
  <si>
    <t>calgary 24 hour plumber</t>
  </si>
  <si>
    <t>0, 0, 0, 0, 0, 0, 0, 1, 0, 2, 2, 1, 0, 0, 0, 0, 0, 0, 0, 0, 0, 0, 0, 1</t>
  </si>
  <si>
    <t>emergency plumber near la grange</t>
  </si>
  <si>
    <t>kellyville emergency plumber</t>
  </si>
  <si>
    <t>0, 0, 0, 0, 2, 1, 1, 1, 1, 1, 0, 1, 0, 0, 0, 0, 0, 0, 0, 0, 0, 0, 0, 1</t>
  </si>
  <si>
    <t>expert emergency plumber harrington park</t>
  </si>
  <si>
    <t>0, 0, 0, 0, 0, 0, 0, 0, 0, 2, 1, 1, 0, 0, 0, 0, 0, 0, 0, 0, 0, 0, 0, 1</t>
  </si>
  <si>
    <t>emergency plumber draper</t>
  </si>
  <si>
    <t>emergency plumber davenport</t>
  </si>
  <si>
    <t>24 hour plumber concord</t>
  </si>
  <si>
    <t>boerne emergency plumber</t>
  </si>
  <si>
    <t>0, 0, 1, 1, 1, 1, 0, 0, 0, 2, 1, 0, 0, 0, 0, 0, 0, 0, 0, 0, 0, 0, 0, 1</t>
  </si>
  <si>
    <t>emergency plumber balmain</t>
  </si>
  <si>
    <t>0, 0, 0, 0, 0, 0, 2, 0, 0, 0, 2, 0, 0, 0, 0, 0, 0, 0, 0, 0, 0, 0, 0, 1</t>
  </si>
  <si>
    <t>plumber emergency service porto</t>
  </si>
  <si>
    <t>0, 0, 0, 0, 0, 0, 0, 0, 0, 0, 0, 0, 0, 0, 0, 0, 0, 0, 0, 0, 0, 5, 3, 1</t>
  </si>
  <si>
    <t>burst pipe repair vancouver</t>
  </si>
  <si>
    <t>water leak repair company tavernier</t>
  </si>
  <si>
    <t>find emergency plumber</t>
  </si>
  <si>
    <t>emergency plumber keller tx</t>
  </si>
  <si>
    <t>emergency plumber allen tx</t>
  </si>
  <si>
    <t>plumber dubai | emergency plumbing in dubai</t>
  </si>
  <si>
    <t>syracuse utah emergency plumber</t>
  </si>
  <si>
    <t>emergency plumber chatswood west</t>
  </si>
  <si>
    <t>burst pipe repair services</t>
  </si>
  <si>
    <t>0, 1, 0, 1, 4, 5, 4, 3, 8, 8, 7, 5, 0, 0, 0, 1, 0, 0, 0, 0, 0, 0, 0, 1</t>
  </si>
  <si>
    <t>24 hour plumber boca raton</t>
  </si>
  <si>
    <t>emergency plumber gainesville ga</t>
  </si>
  <si>
    <t>0, 0, 1, 0, 1, 0, 0, 1, 1, 0, 0, 0, 0, 0, 0, 0, 0, 0, 0, 0, 0, 0, 0, 1</t>
  </si>
  <si>
    <t>summerlin emergency plumber</t>
  </si>
  <si>
    <t>24 hour plumber potchefstroom</t>
  </si>
  <si>
    <t>emergency plumber north perth</t>
  </si>
  <si>
    <t>0, 0, 0, 0, 0, 0, 0, 3, 1, 2, 0, 1, 0, 0, 0, 0, 0, 1, 0, 0, 0, 0, 0, 1</t>
  </si>
  <si>
    <t>emergency plumber papakura</t>
  </si>
  <si>
    <t>trusted emergency plumber alabaster</t>
  </si>
  <si>
    <t>emergency plumber box hill</t>
  </si>
  <si>
    <t>0, 0, 0, 0, 3, 1, 4, 1, 1, 1, 0, 0, 0, 0, 0, 0, 0, 0, 0, 0, 0, 0, 0, 1</t>
  </si>
  <si>
    <t>emergency plumber maumee</t>
  </si>
  <si>
    <t>emergency plumber bristol</t>
  </si>
  <si>
    <t>0, 1, 1, 3, 1, 0, 1, 2, 2, 3, 4, 0, 2, 0, 0, 0, 2, 1, 0, 0, 0, 0, 0, 1</t>
  </si>
  <si>
    <t>emergency plumber byron bay</t>
  </si>
  <si>
    <t>0, 0, 0, 0, 0, 0, 1, 0, 4, 3, 2, 1, 0, 0, 0, 0, 0, 1, 0, 0, 0, 0, 2, 2</t>
  </si>
  <si>
    <t>emergency plumber clinton</t>
  </si>
  <si>
    <t>0, 0, 0, 0, 1, 0, 1, 0, 0, 0, 1, 0, 0, 0, 0, 0, 2, 0, 0, 0, 0, 0, 0, 1</t>
  </si>
  <si>
    <t>repair water pipe leak</t>
  </si>
  <si>
    <t>1, 2, 2, 3, 1, 3, 1, 0, 0, 0, 3, 2, 0, 4, 2, 0, 1, 1, 0, 2, 1, 4, 1, 3</t>
  </si>
  <si>
    <t>emergency plumber eastern suburbs</t>
  </si>
  <si>
    <t>2, 0, 3, 4, 5, 2, 5, 2, 3, 2, 3, 0, 0, 0, 1, 3, 1, 0, 0, 0, 0, 2, 0, 2</t>
  </si>
  <si>
    <t>emergency plumber sunderland</t>
  </si>
  <si>
    <t>emergency plumber atlanta</t>
  </si>
  <si>
    <t>1, 0, 2, 2, 0, 7, 3, 5, 5, 2, 6, 0, 0, 0, 1, 0, 0, 0, 0, 0, 0, 1, 0, 1</t>
  </si>
  <si>
    <t>emergency plumber apple valley ca</t>
  </si>
  <si>
    <t>burnaby emergency plumber</t>
  </si>
  <si>
    <t>emergency plumber long eaton</t>
  </si>
  <si>
    <t>0, 0, 0, 0, 0, 0, 0, 0, 0, 1, 1, 0, 0, 1, 0, 0, 0, 0, 0, 0, 0, 0, 0, 1</t>
  </si>
  <si>
    <t>24-hour plumber colorado springs</t>
  </si>
  <si>
    <t>0, 0, 0, 1, 0, 0, 1, 1, 0, 1, 2, 2, 0, 0, 0, 0, 0, 0, 0, 0, 0, 0, 0, 1</t>
  </si>
  <si>
    <t>emergency plumber sioux falls</t>
  </si>
  <si>
    <t>24 hour plumber jackson tn</t>
  </si>
  <si>
    <t>emergency plumber laval</t>
  </si>
  <si>
    <t>2, 3, 4, 5, 3, 2, 0, 2, 2, 2, 2, 0, 0, 0, 0, 0, 0, 0, 0, 0, 0, 1, 0, 1</t>
  </si>
  <si>
    <t>emergency plumber redland</t>
  </si>
  <si>
    <t>foundation water leak repair cost</t>
  </si>
  <si>
    <t>1, 1, 2, 2, 1, 0, 0, 0, 0, 1, 0, 0, 0, 0, 0, 0, 0, 0, 1, 0, 0, 0, 0, 1</t>
  </si>
  <si>
    <t>water leak repair richmond hill ga</t>
  </si>
  <si>
    <t>emergency plumber barrow-in-furness</t>
  </si>
  <si>
    <t>leaking shower tap repair</t>
  </si>
  <si>
    <t>0, 0, 0, 0, 0, 1, 0, 0, 1, 1, 0, 1, 0, 0, 0, 0, 0, 0, 1, 1, 0, 0, 0, 1</t>
  </si>
  <si>
    <t>westfield emergency plumber</t>
  </si>
  <si>
    <t>local emergency plumber near huntingdale</t>
  </si>
  <si>
    <t>emergency plumber findlay</t>
  </si>
  <si>
    <t>24hr emergency plumber belfast</t>
  </si>
  <si>
    <t>24 hour plumber near me open now</t>
  </si>
  <si>
    <t>1, 0, 0, 1, 0, 2, 2, 3, 1, 3, 0, 3, 0, 0, 0, 1, 4, 1, 0, 0, 4, 0, 3, 1</t>
  </si>
  <si>
    <t>emergency plumber austral</t>
  </si>
  <si>
    <t>0, 0, 0, 0, 0, 0, 1, 0, 1, 2, 0, 0, 0, 0, 0, 0, 1, 0, 0, 0, 0, 0, 0, 1</t>
  </si>
  <si>
    <t>24 hour plumber los gatos ca</t>
  </si>
  <si>
    <t>emergency plumber in markham</t>
  </si>
  <si>
    <t>emergency plumber port charlotte</t>
  </si>
  <si>
    <t>1, 0, 0, 0, 1, 1, 1, 1, 1, 1, 1, 0, 0, 0, 0, 0, 0, 0, 0, 0, 0, 0, 0, 1</t>
  </si>
  <si>
    <t>emergency plumber east auckland</t>
  </si>
  <si>
    <t>emergency plumber in elmhurst</t>
  </si>
  <si>
    <t>emergency plumber maypearl tx</t>
  </si>
  <si>
    <t>24 hour plumber geelong</t>
  </si>
  <si>
    <t>0, 0, 0, 1, 2, 0, 0, 1, 1, 2, 0, 0, 0, 0, 0, 0, 0, 0, 0, 0, 0, 0, 0, 1</t>
  </si>
  <si>
    <t>emergency plumber coulsdon</t>
  </si>
  <si>
    <t>0, 1, 1, 0, 0, 0, 1, 0, 0, 0, 0, 0, 0, 0, 0, 0, 0, 0, 0, 0, 0, 0, 0, 1</t>
  </si>
  <si>
    <t>emergency plumber livonia</t>
  </si>
  <si>
    <t>emergency plumber santa rosa</t>
  </si>
  <si>
    <t>0, 1, 0, 0, 1, 0, 1, 0, 1, 1, 0, 0, 0, 0, 0, 0, 0, 0, 0, 0, 0, 0, 0, 1</t>
  </si>
  <si>
    <t>emergency plumber poulton-le-fylde</t>
  </si>
  <si>
    <t>water heater leak repair near me</t>
  </si>
  <si>
    <t>1, 0, 0, 0, 2, 1, 0, 0, 1, 0, 0, 1, 0, 0, 0, 0, 0, 0, 0, 0, 0, 0, 0, 1</t>
  </si>
  <si>
    <t>24 hour plumber chandler az</t>
  </si>
  <si>
    <t>emergency plumber telford</t>
  </si>
  <si>
    <t>0, 0, 1, 1, 2, 0, 1, 7, 1, 2, 5, 1, 0, 0, 0, 0, 0, 0, 0, 0, 0, 0, 0, 1</t>
  </si>
  <si>
    <t>emergency plumber lochgelly</t>
  </si>
  <si>
    <t>frozen + burst pipe repair</t>
  </si>
  <si>
    <t>emergency plumber west malling</t>
  </si>
  <si>
    <t>0, 1, 1, 0, 0, 1, 0, 1, 0, 0, 1, 0, 0, 0, 0, 0, 0, 0, 0, 0, 0, 0, 0, 1</t>
  </si>
  <si>
    <t>emergency plumber in kensington</t>
  </si>
  <si>
    <t>24 hour plumber northridge</t>
  </si>
  <si>
    <t>emergency plumber coogee</t>
  </si>
  <si>
    <t>1, 0, 0, 1, 0, 4, 2, 3, 6, 3, 5, 0, 0, 0, 0, 0, 0, 0, 0, 1, 0, 0, 0, 1</t>
  </si>
  <si>
    <t>emergency plumber marion</t>
  </si>
  <si>
    <t>0, 1, 0, 1, 0, 1, 1, 0, 1, 0, 0, 1, 0, 0, 0, 0, 0, 0, 0, 0, 0, 0, 0, 1</t>
  </si>
  <si>
    <t>emergency plumber oak park</t>
  </si>
  <si>
    <t>0, 0, 0, 0, 0, 0, 0, 2, 0, 0, 0, 1, 0, 0, 0, 0, 0, 0, 0, 0, 0, 0, 0, 1</t>
  </si>
  <si>
    <t>emergency plumber south maroota</t>
  </si>
  <si>
    <t>emergency plumber flushing ny</t>
  </si>
  <si>
    <t>emergency plumber carlisle</t>
  </si>
  <si>
    <t>1, 0, 0, 0, 0, 0, 1, 2, 4, 1, 2, 0, 0, 0, 0, 0, 0, 0, 0, 0, 0, 2, 0, 1</t>
  </si>
  <si>
    <t>milwaukee emergency plumber</t>
  </si>
  <si>
    <t>0, 2, 0, 0, 0, 0, 0, 1, 1, 0, 1, 0, 0, 0, 0, 0, 0, 0, 0, 0, 0, 0, 0, 1</t>
  </si>
  <si>
    <t>24 hour plumber cypress tx</t>
  </si>
  <si>
    <t>0, 1, 1, 0, 0, 0, 1, 0, 1, 0, 1, 0, 0, 0, 0, 0, 0, 0, 0, 0, 0, 0, 0, 1</t>
  </si>
  <si>
    <t>0, 0, 1, 1, 5, 2, 4, 2, 2, 2, 3, 0, 0, 0, 0, 0, 0, 0, 0, 0, 0, 0, 0, 1</t>
  </si>
  <si>
    <t>local emergency plumber near bentley dc</t>
  </si>
  <si>
    <t>emergency plumber beerwah</t>
  </si>
  <si>
    <t>tap water leaking repair</t>
  </si>
  <si>
    <t>concord emergency plumber</t>
  </si>
  <si>
    <t>24 hour plumber bromley</t>
  </si>
  <si>
    <t>emergency plumber in grantham</t>
  </si>
  <si>
    <t>24 hour plumber newfoundland</t>
  </si>
  <si>
    <t>chicago 24 hour plumber</t>
  </si>
  <si>
    <t>0, 3, 0, 0, 0, 1, 0, 1, 1, 0, 0, 0, 0, 0, 0, 0, 0, 0, 0, 0, 0, 0, 0, 1</t>
  </si>
  <si>
    <t>emergency plumber near winfield</t>
  </si>
  <si>
    <t>24 hour emergency plumber brisbane</t>
  </si>
  <si>
    <t>0, 0, 0, 0, 0, 0, 3, 2, 5, 3, 1, 0, 0, 0, 0, 0, 0, 0, 0, 0, 0, 0, 0, 1</t>
  </si>
  <si>
    <t>burst pipe repair fortville in</t>
  </si>
  <si>
    <t>emergency plumber newtown</t>
  </si>
  <si>
    <t>1, 0, 1, 1, 0, 2, 2, 4, 1, 2, 2, 0, 1, 0, 0, 0, 0, 0, 0, 0, 1, 0, 0, 1</t>
  </si>
  <si>
    <t>emergency plumber asheville</t>
  </si>
  <si>
    <t>0, 0, 1, 0, 0, 1, 1, 0, 0, 1, 1, 0, 0, 0, 0, 0, 0, 0, 0, 0, 0, 0, 0, 1</t>
  </si>
  <si>
    <t>emergency plumber prahran</t>
  </si>
  <si>
    <t>0, 0, 0, 0, 0, 0, 0, 0, 2, 3, 1, 0, 0, 0, 0, 0, 0, 0, 0, 0, 0, 0, 0, 1</t>
  </si>
  <si>
    <t>24 hour plumber birtinya</t>
  </si>
  <si>
    <t>delta emergency plumber</t>
  </si>
  <si>
    <t>emergency plumber service macgregor</t>
  </si>
  <si>
    <t>24 hour plumber santa cruz</t>
  </si>
  <si>
    <t>1, 0, 1, 1, 1, 0, 4, 0, 0, 1, 0, 1, 0, 0, 0, 0, 0, 0, 0, 0, 0, 0, 0, 1</t>
  </si>
  <si>
    <t>keller emergency plumber</t>
  </si>
  <si>
    <t>durham 24 hour plumber</t>
  </si>
  <si>
    <t>american fork utah 24 hour plumber</t>
  </si>
  <si>
    <t>24 hour plumber marietta ga</t>
  </si>
  <si>
    <t>paterson emergency plumber</t>
  </si>
  <si>
    <t>basement water leak repair coal mountain ga</t>
  </si>
  <si>
    <t>emergency plumber costs</t>
  </si>
  <si>
    <t>emergency plumber missouri</t>
  </si>
  <si>
    <t>las vegas emergency plumber</t>
  </si>
  <si>
    <t>0, 0, 1, 1, 0, 0, 0, 0, 1, 1, 4, 0, 0, 0, 0, 0, 0, 1, 0, 0, 0, 0, 0, 1</t>
  </si>
  <si>
    <t>24-hour plumber johannesburg</t>
  </si>
  <si>
    <t>0, 0, 0, 0, 0, 0, 0, 0, 0, 0, 0, 0, 0, 0, 0, 0, 0, 0, 0, 0, 9, 24, 6, 2</t>
  </si>
  <si>
    <t>emergency plumber in plano</t>
  </si>
  <si>
    <t>1, 0, 0, 0, 0, 0, 0, 0, 1, 0, 2, 0, 0, 0, 0, 0, 0, 0, 0, 0, 0, 0, 0, 1</t>
  </si>
  <si>
    <t>emergency plumber craignish</t>
  </si>
  <si>
    <t>0, 0, 0, 0, 0, 0, 0, 1, 2, 1, 1, 2, 0, 0, 0, 0, 0, 0, 0, 0, 0, 0, 0, 1</t>
  </si>
  <si>
    <t>emergency plumber san diego ca</t>
  </si>
  <si>
    <t>0, 0, 0, 0, 0, 2, 2, 2, 0, 3, 2, 0, 0, 0, 1, 0, 0, 0, 0, 0, 0, 0, 0, 1</t>
  </si>
  <si>
    <t>severna park emergency plumber</t>
  </si>
  <si>
    <t>emergency plumber bogota</t>
  </si>
  <si>
    <t>emergency plumber queensferry</t>
  </si>
  <si>
    <t>0, 0, 0, 0, 0, 0, 0, 0, 2, 0, 1, 1, 0, 0, 0, 0, 0, 0, 0, 0, 0, 0, 0, 1</t>
  </si>
  <si>
    <t>emergency plumber florence sc</t>
  </si>
  <si>
    <t>1, 0, 0, 0, 1, 0, 1, 0, 0, 0, 1, 0, 0, 0, 0, 0, 0, 0, 0, 0, 0, 0, 0, 1</t>
  </si>
  <si>
    <t>emergency plumber canyon</t>
  </si>
  <si>
    <t>0, 0, 0, 0, 0, 0, 0, 2, 0, 2, 1, 1, 0, 0, 0, 0, 0, 0, 0, 0, 0, 0, 0, 1</t>
  </si>
  <si>
    <t>emergency plumber redwood city</t>
  </si>
  <si>
    <t>water leak repair lexington</t>
  </si>
  <si>
    <t>emergency plumber nuneaton</t>
  </si>
  <si>
    <t>0, 2, 0, 1, 1, 1, 1, 3, 1, 2, 0, 0, 0, 0, 2, 0, 0, 0, 0, 0, 0, 0, 0, 1</t>
  </si>
  <si>
    <t>burst pipe insurance claim repair cape town</t>
  </si>
  <si>
    <t>0, 0, 0, 0, 0, 0, 0, 0, 0, 0, 0, 0, 0, 0, 0, 0, 0, 0, 0, 6, 14, 5, 0, 7</t>
  </si>
  <si>
    <t>emergency 24 hour plumber in fort worth texas</t>
  </si>
  <si>
    <t>emergency plumber wimborne</t>
  </si>
  <si>
    <t>24 hour emergency plumber los angeles</t>
  </si>
  <si>
    <t>0, 0, 1, 1, 1, 0, 0, 0, 0, 0, 0, 0, 0, 1, 0, 0, 0, 0, 0, 0, 0, 0, 0, 1</t>
  </si>
  <si>
    <t>24 hr emergency plumber near me</t>
  </si>
  <si>
    <t>5, 2, 1, 4, 1, 0, 3, 2, 0, 1, 2, 0, 0, 0, 1, 0, 1, 0, 0, 0, 0, 0, 0, 1</t>
  </si>
  <si>
    <t>emergency plumber near glenview</t>
  </si>
  <si>
    <t>boise emergency plumber</t>
  </si>
  <si>
    <t>0, 1, 0, 1, 0, 1, 2, 1, 0, 1, 0, 0, 0, 0, 0, 0, 0, 0, 0, 0, 0, 0, 0, 1</t>
  </si>
  <si>
    <t>emergency plumber brunswick</t>
  </si>
  <si>
    <t>0, 0, 0, 1, 5, 3, 1, 4, 3, 2, 4, 0, 0, 0, 0, 0, 0, 0, 0, 0, 0, 0, 1, 1</t>
  </si>
  <si>
    <t>emergency plumber baton rouge</t>
  </si>
  <si>
    <t>0, 0, 0, 0, 0, 1, 0, 0, 0, 0, 2, 0, 0, 0, 2, 0, 0, 0, 0, 0, 0, 0, 0, 1</t>
  </si>
  <si>
    <t>emergency plumber downey</t>
  </si>
  <si>
    <t>northwest houston emergency plumber</t>
  </si>
  <si>
    <t>emergency plumber putney</t>
  </si>
  <si>
    <t>0, 0, 2, 1, 1, 0, 0, 2, 2, 1, 4, 1, 0, 0, 0, 0, 0, 0, 0, 0, 0, 0, 0, 1</t>
  </si>
  <si>
    <t>emergency plumber tallahassee</t>
  </si>
  <si>
    <t>mebane 24 hour plumber</t>
  </si>
  <si>
    <t>orem utah 24 hour plumber</t>
  </si>
  <si>
    <t>local emergency plumber near warwick</t>
  </si>
  <si>
    <t>emergency plumber mount druitt</t>
  </si>
  <si>
    <t>emergency plumber camden</t>
  </si>
  <si>
    <t>0, 0, 0, 0, 1, 1, 1, 1, 0, 1, 0, 2, 0, 0, 0, 0, 0, 0, 0, 0, 1, 0, 0, 1</t>
  </si>
  <si>
    <t>24 hour plumber cypress</t>
  </si>
  <si>
    <t>0, 0, 0, 0, 2, 0, 0, 2, 0, 0, 2, 0, 0, 0, 0, 0, 0, 0, 0, 0, 0, 0, 0, 1</t>
  </si>
  <si>
    <t>24 hour plumber malvern</t>
  </si>
  <si>
    <t>indianapolis emergency plumber</t>
  </si>
  <si>
    <t>0, 1, 1, 0, 0, 0, 1, 2, 0, 1, 0, 1, 0, 0, 0, 0, 0, 0, 0, 0, 0, 0, 0, 1</t>
  </si>
  <si>
    <t>san diego 24 hour plumber</t>
  </si>
  <si>
    <t>1, 0, 0, 1, 0, 1, 0, 0, 0, 2, 1, 0, 0, 0, 0, 0, 0, 0, 0, 0, 0, 0, 0, 1</t>
  </si>
  <si>
    <t>emergency plumber hyde park</t>
  </si>
  <si>
    <t>0, 0, 0, 0, 0, 1, 2, 0, 0, 1, 0, 0, 0, 0, 1, 1, 1, 0, 0, 0, 0, 2, 0, 2</t>
  </si>
  <si>
    <t>emergency plumber mermaid waters</t>
  </si>
  <si>
    <t>emergency plumber newport news</t>
  </si>
  <si>
    <t>emergency plumber mansfield</t>
  </si>
  <si>
    <t>1, 1, 0, 0, 1, 0, 1, 1, 3, 3, 2, 0, 0, 0, 0, 0, 0, 0, 0, 0, 0, 0, 0, 1</t>
  </si>
  <si>
    <t>layton utah 24 hour plumber</t>
  </si>
  <si>
    <t>emergency plumber north dublin</t>
  </si>
  <si>
    <t>burst pipe water damage repair cape town</t>
  </si>
  <si>
    <t>0, 0, 0, 0, 0, 0, 0, 0, 0, 0, 0, 0, 0, 0, 0, 0, 0, 0, 0, 5, 12, 3, 0, 6</t>
  </si>
  <si>
    <t>nassau county emergency plumber</t>
  </si>
  <si>
    <t>1, 1, 1, 2, 1, 0, 0, 0, 3, 2, 1, 0, 0, 0, 0, 0, 0, 0, 0, 0, 0, 0, 0, 1</t>
  </si>
  <si>
    <t>chimney water leak repair</t>
  </si>
  <si>
    <t>0, 1, 0, 0, 0, 0, 2, 0, 1, 0, 4, 0, 0, 0, 0, 0, 0, 0, 0, 0, 0, 0, 0, 1</t>
  </si>
  <si>
    <t>emergency plumber west orange nj</t>
  </si>
  <si>
    <t>emergency plumber north west</t>
  </si>
  <si>
    <t>summerton emergency plumber</t>
  </si>
  <si>
    <t>murray utah 24 hour plumber</t>
  </si>
  <si>
    <t>hendersonville emergency plumber</t>
  </si>
  <si>
    <t>0, 0, 0, 0, 0, 0, 1, 0, 0, 0, 1, 1, 0, 0, 0, 0, 0, 0, 0, 0, 0, 0, 0, 1</t>
  </si>
  <si>
    <t>24 hour service plumber</t>
  </si>
  <si>
    <t>0, 0, 0, 1, 0, 1, 0, 1, 0, 4, 2, 0, 0, 0, 0, 0, 0, 0, 0, 0, 0, 0, 0, 1</t>
  </si>
  <si>
    <t>emergency plumber annadale</t>
  </si>
  <si>
    <t>emergency plumber dublin</t>
  </si>
  <si>
    <t>0, 0, 1, 0, 2, 3, 1, 4, 1, 1, 2, 6, 1, 1, 0, 0, 0, 0, 0, 0, 0, 0, 0, 1</t>
  </si>
  <si>
    <t>emergency plumber glen eden</t>
  </si>
  <si>
    <t>0, 0, 0, 0, 0, 0, 0, 2, 0, 1, 2, 0, 0, 0, 0, 0, 0, 0, 0, 0, 0, 0, 0, 1</t>
  </si>
  <si>
    <t>prolific plumbing emergency plumber</t>
  </si>
  <si>
    <t>emergency plumber hornchurch</t>
  </si>
  <si>
    <t>emergency plumber san pedro</t>
  </si>
  <si>
    <t>0, 0, 0, 0, 0, 1, 0, 0, 1, 0, 2, 0, 0, 0, 0, 0, 0, 0, 0, 0, 0, 0, 0, 1</t>
  </si>
  <si>
    <t>springfield emergency plumber</t>
  </si>
  <si>
    <t>emergency plumber jindalee</t>
  </si>
  <si>
    <t>0, 0, 0, 0, 0, 0, 1, 3, 1, 0, 1, 0, 0, 0, 0, 0, 0, 0, 0, 0, 0, 0, 0, 1</t>
  </si>
  <si>
    <t>emergency plumber verdun</t>
  </si>
  <si>
    <t>24 hour plumber fairfax va</t>
  </si>
  <si>
    <t>0, 0, 1, 0, 0, 1, 0, 1, 0, 0, 1, 2, 0, 0, 0, 0, 0, 0, 0, 0, 0, 0, 0, 1</t>
  </si>
  <si>
    <t>24 hour plumber brandon fl</t>
  </si>
  <si>
    <t>emergency plumber welling</t>
  </si>
  <si>
    <t>24 hour plumber bentonville</t>
  </si>
  <si>
    <t>24 hour plumber charleston</t>
  </si>
  <si>
    <t>emergency plumber in algonquin</t>
  </si>
  <si>
    <t>emergency plumber birmingham</t>
  </si>
  <si>
    <t>3, 2, 8, 2, 3, 4, 1, 5, 4, 2, 5, 0, 1, 0, 0, 0, 0, 1, 0, 0, 1, 0, 2, 2</t>
  </si>
  <si>
    <t>emergency plumber tempe</t>
  </si>
  <si>
    <t>10, 13, 8, 9, 10, 14, 11, 29, 13, 17, 12, 1, 0, 0, 1, 1, 0, 0, 0, 0, 0, 0, 0, 1</t>
  </si>
  <si>
    <t>emergency plumber ryde</t>
  </si>
  <si>
    <t>1, 0, 0, 0, 0, 0, 1, 2, 3, 1, 1, 0, 0, 0, 0, 0, 0, 0, 0, 0, 0, 0, 1, 1</t>
  </si>
  <si>
    <t>emergency plumber cupertino</t>
  </si>
  <si>
    <t>water leak in ceiling repair</t>
  </si>
  <si>
    <t>emergency plumber shrewsbury</t>
  </si>
  <si>
    <t>0, 0, 2, 5, 1, 0, 1, 4, 1, 1, 3, 0, 0, 0, 0, 0, 0, 0, 0, 0, 0, 0, 0, 1</t>
  </si>
  <si>
    <t>emergency plumber uckfield</t>
  </si>
  <si>
    <t>emergency plumber paradise nv</t>
  </si>
  <si>
    <t>emergency plumber near me cost</t>
  </si>
  <si>
    <t>emergency plumber pimpama</t>
  </si>
  <si>
    <t>0, 0, 0, 0, 1, 0, 1, 0, 0, 0, 2, 0, 0, 0, 0, 0, 0, 0, 0, 0, 0, 0, 0, 1</t>
  </si>
  <si>
    <t>burst pipe repair gold coast</t>
  </si>
  <si>
    <t>0, 0, 0, 1, 0, 0, 0, 1, 0, 1, 3, 1, 0, 0, 0, 0, 0, 0, 0, 0, 0, 0, 0, 1</t>
  </si>
  <si>
    <t>emergency plumber 24/7</t>
  </si>
  <si>
    <t>0, 4, 2, 1, 0, 3, 7, 3, 3, 2, 10, 4, 0, 0, 1, 2, 0, 0, 2, 0, 0, 0, 1, 1</t>
  </si>
  <si>
    <t>24 hour emergency plumber exmouth</t>
  </si>
  <si>
    <t>emergency plumber altona</t>
  </si>
  <si>
    <t>0, 1, 0, 0, 2, 2, 1, 0, 0, 1, 1, 2, 0, 0, 0, 0, 0, 0, 0, 0, 0, 0, 0, 1</t>
  </si>
  <si>
    <t>emergency plumber rutherford nj</t>
  </si>
  <si>
    <t>24 hour plumber central coast</t>
  </si>
  <si>
    <t>emergency plumber santa monica</t>
  </si>
  <si>
    <t>0, 0, 0, 0, 0, 0, 1, 0, 1, 0, 0, 1, 0, 0, 0, 0, 0, 0, 0, 1, 0, 0, 0, 1</t>
  </si>
  <si>
    <t>emergency plumber springfield mo</t>
  </si>
  <si>
    <t>water leak repair center point</t>
  </si>
  <si>
    <t>emergency plumber eastern suburbs melbourne</t>
  </si>
  <si>
    <t>emergency plumber wandsworth</t>
  </si>
  <si>
    <t>0, 2, 0, 2, 3, 1, 1, 2, 1, 1, 0, 0, 0, 0, 0, 0, 0, 0, 0, 0, 0, 0, 0, 1</t>
  </si>
  <si>
    <t>emergency plumber seguin</t>
  </si>
  <si>
    <t>1, 0, 0, 0, 0, 1, 0, 0, 2, 2, 0, 0, 0, 0, 0, 0, 0, 0, 0, 0, 0, 0, 0, 1</t>
  </si>
  <si>
    <t>24 hour emergency plumber dublin</t>
  </si>
  <si>
    <t>0, 1, 0, 0, 0, 2, 0, 1, 0, 2, 0, 0, 0, 0, 0, 0, 0, 0, 0, 0, 0, 0, 0, 1</t>
  </si>
  <si>
    <t>emergency plumber marion county</t>
  </si>
  <si>
    <t>emergency plumber near me savannah ga</t>
  </si>
  <si>
    <t>emergency plumber fruitvale</t>
  </si>
  <si>
    <t>0, 0, 0, 0, 1, 2, 0, 1, 2, 0, 1, 1, 0, 0, 0, 0, 0, 0, 0, 0, 0, 0, 0, 1</t>
  </si>
  <si>
    <t>24 hour plumber pooler ga</t>
  </si>
  <si>
    <t>emergency plumber laguna niguel</t>
  </si>
  <si>
    <t>emergency plumber laredo</t>
  </si>
  <si>
    <t>emergency plumber near long grove</t>
  </si>
  <si>
    <t>emergency plumber 24/7 new york city</t>
  </si>
  <si>
    <t>0, 0, 0, 0, 0, 0, 1, 2, 0, 0, 1, 0, 0, 0, 0, 0, 0, 0, 0, 0, 0, 0, 0, 1</t>
  </si>
  <si>
    <t>emergency plumber gig harbor</t>
  </si>
  <si>
    <t>emergency plumber oakland</t>
  </si>
  <si>
    <t>1, 0, 0, 0, 0, 0, 0, 0, 0, 0, 2, 0, 0, 0, 0, 0, 0, 0, 0, 0, 0, 0, 0, 1</t>
  </si>
  <si>
    <t>emergency plumber stevenage</t>
  </si>
  <si>
    <t>0, 0, 0, 1, 0, 1, 0, 1, 1, 1, 0, 0, 0, 0, 0, 0, 0, 0, 0, 0, 0, 0, 0, 1</t>
  </si>
  <si>
    <t>emergency plumber cork</t>
  </si>
  <si>
    <t>24 hour plumber coochin creek</t>
  </si>
  <si>
    <t>emergency plumber montgomery county</t>
  </si>
  <si>
    <t>emergency plumber stratton</t>
  </si>
  <si>
    <t>emergency plumber northern beaches sydney</t>
  </si>
  <si>
    <t>0, 0, 0, 0, 0, 1, 0, 4, 1, 1, 7, 0, 0, 1, 0, 0, 0, 0, 0, 0, 0, 0, 0, 1</t>
  </si>
  <si>
    <t>24 hour plumber maryland</t>
  </si>
  <si>
    <t>blocked toilet plumber sydney</t>
  </si>
  <si>
    <t>0, 2, 0, 0, 0, 0, 0, 0, 0, 1, 1, 0, 0, 0, 0, 0, 0, 0, 0, 0, 0, 0, 0, 1</t>
  </si>
  <si>
    <t>emergency plumber kellyville ridge</t>
  </si>
  <si>
    <t>emergency plumber service wakerley</t>
  </si>
  <si>
    <t>emergency plumber chertsey</t>
  </si>
  <si>
    <t>emergency plumber essex</t>
  </si>
  <si>
    <t>1, 0, 0, 0, 1, 1, 0, 2, 0, 1, 1, 0, 0, 0, 0, 0, 1, 0, 0, 0, 0, 0, 0, 1</t>
  </si>
  <si>
    <t>24 hour plumber alberton</t>
  </si>
  <si>
    <t>emergency plumber sw6</t>
  </si>
  <si>
    <t>0, 0, 0, 2, 1, 0, 0, 0, 0, 0, 0, 0, 0, 0, 0, 0, 0, 0, 0, 0, 0, 0, 0, 1</t>
  </si>
  <si>
    <t>car water leak repair cost</t>
  </si>
  <si>
    <t>3, 2, 1, 0, 2, 2, 0, 0, 0, 3, 1, 0, 0, 0, 2, 1, 0, 1, 1, 0, 0, 0, 0, 1</t>
  </si>
  <si>
    <t>car water leak repair specialist near me</t>
  </si>
  <si>
    <t>emergency plumber crookes</t>
  </si>
  <si>
    <t>wooster emergency plumber</t>
  </si>
  <si>
    <t>emergency plumber bargara</t>
  </si>
  <si>
    <t>emergency plumber taunton</t>
  </si>
  <si>
    <t>emergency plumber santa fe</t>
  </si>
  <si>
    <t>0, 0, 0, 0, 0, 0, 0, 0, 1, 0, 2, 0, 0, 0, 0, 0, 0, 0, 0, 0, 0, 0, 1, 1</t>
  </si>
  <si>
    <t>pipe burst repair cost</t>
  </si>
  <si>
    <t>0, 0, 1, 0, 0, 0, 0, 1, 0, 0, 1, 0, 1, 0, 0, 0, 0, 0, 0, 0, 1, 2, 0, 2</t>
  </si>
  <si>
    <t>emergency plumber adelaide</t>
  </si>
  <si>
    <t>2, 0, 2, 3, 4, 3, 3, 7, 7, 4, 6, 1, 0, 0, 0, 0, 0, 0, 0, 0, 0, 0, 0, 1</t>
  </si>
  <si>
    <t>buena park emergency plumber</t>
  </si>
  <si>
    <t>emergency plumber delray beach</t>
  </si>
  <si>
    <t>emergency plumber reading</t>
  </si>
  <si>
    <t>0, 0, 1, 4, 5, 1, 3, 2, 4, 3, 0, 1, 0, 0, 0, 0, 0, 1, 0, 0, 0, 0, 0, 1</t>
  </si>
  <si>
    <t>emergency plumber in glendale</t>
  </si>
  <si>
    <t>24 hour plumber memphis tn</t>
  </si>
  <si>
    <t>emergency plumber newfoundland</t>
  </si>
  <si>
    <t>emergency plumber northbrook</t>
  </si>
  <si>
    <t>emergency plumber south perth</t>
  </si>
  <si>
    <t>0, 0, 0, 0, 0, 0, 0, 2, 3, 2, 1, 0, 0, 0, 0, 0, 0, 0, 0, 0, 0, 0, 0, 1</t>
  </si>
  <si>
    <t>24 hour plumber north shore</t>
  </si>
  <si>
    <t>0, 0, 2, 1, 0, 0, 1, 3, 4, 2, 0, 0, 1, 0, 0, 0, 0, 0, 0, 0, 0, 0, 0, 1</t>
  </si>
  <si>
    <t>emergency plumber penge</t>
  </si>
  <si>
    <t>water leak repair services key largo</t>
  </si>
  <si>
    <t>24 hour plumber portland</t>
  </si>
  <si>
    <t>0, 0, 0, 0, 0, 0, 1, 2, 1, 1, 2, 4, 0, 0, 1, 0, 0, 0, 1, 0, 0, 0, 0, 1</t>
  </si>
  <si>
    <t>emergency plumber bowling green ky</t>
  </si>
  <si>
    <t>emergency service plumber</t>
  </si>
  <si>
    <t>0, 0, 1, 1, 0, 2, 0, 0, 1, 0, 1, 0, 0, 0, 1, 0, 0, 0, 0, 0, 0, 0, 0, 1</t>
  </si>
  <si>
    <t>0, 0, 0, 0, 1, 0, 0, 1, 0, 0, 0, 0, 0, 0, 0, 0, 0, 0, 0, 1, 0, 0, 0, 1</t>
  </si>
  <si>
    <t>emergency plumber heidelberg</t>
  </si>
  <si>
    <t>24 hour plumber sandton</t>
  </si>
  <si>
    <t>emergency plumber high wycombe</t>
  </si>
  <si>
    <t>0, 0, 0, 1, 0, 0, 1, 3, 0, 2, 0, 0, 0, 0, 0, 0, 0, 0, 0, 0, 0, 0, 0, 1</t>
  </si>
  <si>
    <t>24 hour plumber islington</t>
  </si>
  <si>
    <t>emergency plumber east victoria park</t>
  </si>
  <si>
    <t>0, 0, 0, 0, 0, 0, 0, 0, 2, 2, 1, 0, 1, 0, 0, 0, 0, 0, 0, 0, 0, 0, 0, 1</t>
  </si>
  <si>
    <t>emergency plumber glasgow</t>
  </si>
  <si>
    <t>2, 1, 0, 1, 1, 1, 1, 6, 3, 3, 2, 0, 0, 0, 0, 0, 0, 0, 0, 0, 0, 0, 0, 1</t>
  </si>
  <si>
    <t>emergency plumber coronado</t>
  </si>
  <si>
    <t>emergency plumber brisbane north</t>
  </si>
  <si>
    <t>clarksburg md emergency plumber</t>
  </si>
  <si>
    <t>0, 1, 0, 0, 0, 1, 0, 0, 0, 2, 0, 0, 1, 0, 0, 0, 0, 0, 0, 0, 0, 0, 0, 1</t>
  </si>
  <si>
    <t>24 hour plumber naples</t>
  </si>
  <si>
    <t>0, 0, 0, 0, 0, 1, 0, 0, 0, 0, 0, 0, 0, 0, 0, 0, 0, 0, 0, 0, 0, 1, 0, 1</t>
  </si>
  <si>
    <t>emergency plumber upper halliford</t>
  </si>
  <si>
    <t>arlington emergency plumber</t>
  </si>
  <si>
    <t>0, 0, 1, 0, 0, 0, 0, 0, 0, 1, 0, 2, 0, 0, 0, 0, 0, 0, 0, 0, 0, 0, 0, 1</t>
  </si>
  <si>
    <t>emergency plumber sarasota fl</t>
  </si>
  <si>
    <t>glen burnie emergency plumber</t>
  </si>
  <si>
    <t>emergency plumber compton</t>
  </si>
  <si>
    <t>hot water tank leak repair</t>
  </si>
  <si>
    <t>emergency plumber berserker</t>
  </si>
  <si>
    <t>0, 0, 0, 0, 0, 0, 1, 1, 1, 1, 0, 1, 0, 0, 0, 0, 0, 0, 0, 0, 0, 0, 0, 1</t>
  </si>
  <si>
    <t>emergency plumber kyeemagh</t>
  </si>
  <si>
    <t>24 hour plumber alexandria va</t>
  </si>
  <si>
    <t>emergency plumber teddington</t>
  </si>
  <si>
    <t>2, 0, 1, 1, 2, 0, 1, 0, 2, 0, 0, 0, 0, 0, 0, 0, 0, 0, 0, 0, 0, 0, 0, 1</t>
  </si>
  <si>
    <t>emergency plumber taylor</t>
  </si>
  <si>
    <t>emergency plumber burgess hill</t>
  </si>
  <si>
    <t>24 hour plumber santa ana</t>
  </si>
  <si>
    <t>emergency plumber tauranga</t>
  </si>
  <si>
    <t>0, 0, 0, 0, 0, 1, 0, 1, 0, 0, 1, 0, 0, 0, 1, 0, 0, 0, 0, 0, 0, 0, 0, 1</t>
  </si>
  <si>
    <t>emergency plumber glasgow southside</t>
  </si>
  <si>
    <t>1, 1, 0, 1, 0, 0, 1, 0, 0, 0, 0, 0, 0, 0, 0, 0, 0, 1, 0, 0, 0, 0, 0, 1</t>
  </si>
  <si>
    <t>lake havasu az emergency plumber</t>
  </si>
  <si>
    <t>1, 2, 0, 0, 2, 3, 0, 1, 1, 3, 0, 0, 0, 0, 0, 0, 0, 0, 0, 0, 0, 0, 0, 1</t>
  </si>
  <si>
    <t>24 hour plumber little rock</t>
  </si>
  <si>
    <t>24 hour plumber mount pleasant</t>
  </si>
  <si>
    <t>emergency plumber thetford</t>
  </si>
  <si>
    <t>repair burst pipe coffs harbour</t>
  </si>
  <si>
    <t>somerville emergency plumber</t>
  </si>
  <si>
    <t>emergency plumber stockport</t>
  </si>
  <si>
    <t>0, 1, 1, 0, 2, 0, 0, 2, 1, 2, 3, 0, 1, 0, 1, 0, 0, 0, 1, 0, 1, 0, 0, 1</t>
  </si>
  <si>
    <t>emergency plumber officer</t>
  </si>
  <si>
    <t>emergency plumber evansville</t>
  </si>
  <si>
    <t>emergency plumber service durack</t>
  </si>
  <si>
    <t>emergency plumber jersey city</t>
  </si>
  <si>
    <t>24 hour plumber santa monica</t>
  </si>
  <si>
    <t>emergency plumber st george</t>
  </si>
  <si>
    <t>water leak repair frederick</t>
  </si>
  <si>
    <t>0, 0, 1, 0, 1, 0, 0, 0, 0, 1, 0, 0, 0, 0, 0, 0, 0, 0, 0, 0, 0, 0, 0, 1</t>
  </si>
  <si>
    <t>emergency plumber west palm beach</t>
  </si>
  <si>
    <t>0, 0, 0, 0, 0, 1, 0, 1, 0, 2, 1, 0, 0, 0, 0, 0, 0, 2, 0, 0, 0, 0, 0, 1</t>
  </si>
  <si>
    <t>emergency plumber golders green</t>
  </si>
  <si>
    <t>emergency plumber st. catharines</t>
  </si>
  <si>
    <t>0, 0, 0, 1, 0, 1, 0, 0, 1, 1, 0, 0, 0, 0, 0, 0, 0, 0, 0, 0, 0, 0, 0, 1</t>
  </si>
  <si>
    <t>emergency plumber hollywood fl</t>
  </si>
  <si>
    <t>1, 0, 1, 0, 0, 0, 1, 0, 0, 1, 1, 0, 0, 0, 0, 0, 0, 0, 0, 0, 0, 0, 0, 1</t>
  </si>
  <si>
    <t>emergency plumber cibolo tx</t>
  </si>
  <si>
    <t>1, 0, 1, 1, 0, 3, 0, 0, 0, 0, 1, 0, 0, 0, 0, 2, 0, 0, 0, 0, 0, 1, 0, 1</t>
  </si>
  <si>
    <t>water meter leak repair cape town</t>
  </si>
  <si>
    <t>0, 0, 0, 0, 0, 0, 0, 0, 0, 0, 0, 0, 0, 0, 0, 0, 0, 0, 0, 6, 15, 4, 0, 7</t>
  </si>
  <si>
    <t>24 hour plumber kent</t>
  </si>
  <si>
    <t>emergency plumber chino valley az</t>
  </si>
  <si>
    <t>1, 0, 0, 0, 2, 2, 0, 0, 1, 1, 1, 0, 0, 0, 0, 0, 0, 0, 0, 0, 0, 0, 0, 1</t>
  </si>
  <si>
    <t>24 hour plumber salt lake city</t>
  </si>
  <si>
    <t>0, 0, 2, 0, 0, 1, 1, 0, 0, 0, 1, 1, 0, 0, 0, 0, 0, 0, 0, 0, 0, 0, 1, 1</t>
  </si>
  <si>
    <t>24 hour local plumber near me</t>
  </si>
  <si>
    <t>emergency plumber helotes tx</t>
  </si>
  <si>
    <t>0, 1, 2, 0, 0, 0, 1, 0, 0, 0, 0, 4, 0, 0, 0, 0, 0, 0, 0, 0, 0, 0, 0, 1</t>
  </si>
  <si>
    <t>24 hour plumber bristol</t>
  </si>
  <si>
    <t>0, 0, 0, 0, 0, 2, 0, 0, 0, 1, 0, 1, 0, 0, 0, 0, 0, 0, 0, 0, 0, 0, 0, 1</t>
  </si>
  <si>
    <t>emergency plumber tigard</t>
  </si>
  <si>
    <t>expert emergency plumber leppington</t>
  </si>
  <si>
    <t>0, 0, 0, 0, 0, 0, 1, 2, 0, 0, 0, 1, 0, 0, 0, 0, 0, 0, 0, 0, 0, 0, 0, 1</t>
  </si>
  <si>
    <t>burst pipe repair melbourne</t>
  </si>
  <si>
    <t>2, 0, 1, 0, 0, 1, 0, 0, 0, 0, 1, 0, 0, 0, 0, 0, 0, 0, 0, 0, 0, 0, 0, 1</t>
  </si>
  <si>
    <t>knoxville emergency plumber</t>
  </si>
  <si>
    <t>1, 0, 0, 0, 0, 0, 0, 0, 0, 0, 0, 1, 0, 0, 0, 0, 0, 1, 0, 0, 0, 1, 0, 1</t>
  </si>
  <si>
    <t>emergency plumber harpenden</t>
  </si>
  <si>
    <t>0, 1, 5, 1, 0, 4, 1, 2, 0, 3, 2, 1, 0, 0, 0, 0, 0, 0, 0, 0, 0, 0, 0, 1</t>
  </si>
  <si>
    <t>emergency plumber wheeling</t>
  </si>
  <si>
    <t>smart plumbers - emergency plumber leeds</t>
  </si>
  <si>
    <t>0, 3, 2, 0, 0, 0, 0, 0, 0, 0, 0, 0, 0, 0, 0, 0, 0, 0, 0, 0, 0, 0, 0, 1</t>
  </si>
  <si>
    <t>emergency plumber hereford</t>
  </si>
  <si>
    <t>2, 0, 0, 0, 0, 1, 0, 1, 0, 2, 1, 0, 0, 0, 0, 0, 0, 0, 0, 0, 0, 0, 0, 1</t>
  </si>
  <si>
    <t>emergency plumber chicago</t>
  </si>
  <si>
    <t>1, 0, 0, 0, 0, 1, 1, 1, 1, 3, 6, 5, 0, 1, 0, 0, 0, 0, 0, 0, 0, 0, 1, 1</t>
  </si>
  <si>
    <t>kearns utah 24 hour plumber</t>
  </si>
  <si>
    <t>emergency plumber folkestone</t>
  </si>
  <si>
    <t>0, 0, 0, 1, 0, 0, 2, 2, 1, 0, 1, 0, 0, 0, 0, 0, 0, 0, 0, 0, 0, 0, 0, 1</t>
  </si>
  <si>
    <t>emergency blocked drain plumber</t>
  </si>
  <si>
    <t>emergency plumber romulus</t>
  </si>
  <si>
    <t>emergency plumber grapevine</t>
  </si>
  <si>
    <t>0, 0, 2, 0, 0, 0, 0, 1, 0, 1, 0, 0, 0, 0, 0, 0, 0, 0, 0, 0, 0, 0, 0, 1</t>
  </si>
  <si>
    <t>emergency plumber cotton tree</t>
  </si>
  <si>
    <t>24 hour plumber redlands ca</t>
  </si>
  <si>
    <t>emergency plumber fireplace</t>
  </si>
  <si>
    <t>emergency plumber hayward</t>
  </si>
  <si>
    <t>emergency plumber waverton</t>
  </si>
  <si>
    <t>glendale emergency plumber</t>
  </si>
  <si>
    <t>emergency plumber nutley nj</t>
  </si>
  <si>
    <t>emergency plumber ham</t>
  </si>
  <si>
    <t>emergency plumber strathfield</t>
  </si>
  <si>
    <t>atlanta emergency plumber</t>
  </si>
  <si>
    <t>0, 0, 0, 2, 1, 1, 2, 3, 1, 0, 1, 0, 0, 0, 0, 0, 0, 1, 0, 0, 0, 0, 0, 1</t>
  </si>
  <si>
    <t>emergency plumber arlington</t>
  </si>
  <si>
    <t>1, 1, 0, 0, 0, 1, 2, 0, 1, 1, 1, 3, 0, 0, 0, 0, 0, 0, 0, 0, 0, 0, 0, 1</t>
  </si>
  <si>
    <t>emergency plumber pensacola fl</t>
  </si>
  <si>
    <t>kent emergency plumber</t>
  </si>
  <si>
    <t>0, 0, 0, 0, 0, 0, 0, 1, 0, 0, 0, 1, 0, 0, 0, 0, 0, 0, 0, 0, 0, 0, 0, 2</t>
  </si>
  <si>
    <t>emergency plumber sunnyvale</t>
  </si>
  <si>
    <t>emergency plumber barking</t>
  </si>
  <si>
    <t>emergency plumber bedford</t>
  </si>
  <si>
    <t>1, 2, 2, 3, 0, 3, 0, 1, 1, 3, 2, 0, 0, 0, 0, 1, 0, 0, 0, 0, 0, 0, 1, 1</t>
  </si>
  <si>
    <t>plumber 24 hour</t>
  </si>
  <si>
    <t>2, 0, 2, 1, 7, 2, 1, 2, 1, 3, 4, 1, 0, 1, 0, 0, 0, 0, 1, 2, 1, 0, 0, 1</t>
  </si>
  <si>
    <t>emergency plumber grand rapids</t>
  </si>
  <si>
    <t>hot water system leak repair cape town</t>
  </si>
  <si>
    <t>0, 0, 0, 0, 0, 0, 0, 0, 0, 0, 0, 0, 0, 0, 0, 0, 0, 0, 0, 11, 15, 5, 0, 8</t>
  </si>
  <si>
    <t>emergency plumber huntington beach ca</t>
  </si>
  <si>
    <t>miami emergency plumber</t>
  </si>
  <si>
    <t>0, 0, 0, 0, 0, 0, 0, 2, 0, 0, 1, 1, 0, 0, 0, 0, 0, 0, 0, 0, 0, 0, 0, 1</t>
  </si>
  <si>
    <t>emergency plumber margate</t>
  </si>
  <si>
    <t>0, 0, 0, 0, 2, 0, 1, 2, 2, 4, 1, 0, 1, 2, 1, 0, 3, 0, 0, 1, 1, 0, 0, 1</t>
  </si>
  <si>
    <t>emergency plumber aberystwyth</t>
  </si>
  <si>
    <t>0, 0, 0, 0, 0, 0, 0, 0, 0, 0, 0, 0, 0, 0, 0, 0, 1, 0, 0, 0, 0, 0, 0, 1</t>
  </si>
  <si>
    <t>emergency plumber strathfield south</t>
  </si>
  <si>
    <t>roof slab water leak repair</t>
  </si>
  <si>
    <t>0, 0, 0, 0, 0, 1, 0, 0, 0, 2, 0, 0, 0, 0, 0, 0, 0, 0, 0, 0, 0, 0, 0, 1</t>
  </si>
  <si>
    <t>emergency plumber illawarra</t>
  </si>
  <si>
    <t>0, 0, 0, 0, 0, 1, 2, 3, 1, 1, 2, 0, 0, 0, 0, 0, 1, 0, 0, 0, 1, 0, 1, 2</t>
  </si>
  <si>
    <t>emergency plumber newbury</t>
  </si>
  <si>
    <t>0, 0, 0, 0, 0, 2, 1, 2, 0, 3, 1, 0, 0, 0, 0, 0, 0, 0, 0, 0, 0, 0, 0, 1</t>
  </si>
  <si>
    <t>water leak damage repair st. francois county</t>
  </si>
  <si>
    <t>brea emergency plumber</t>
  </si>
  <si>
    <t>emergency plumber lancaster</t>
  </si>
  <si>
    <t>0, 0, 0, 1, 2, 1, 1, 3, 1, 0, 3, 3, 0, 0, 0, 0, 0, 0, 0, 0, 0, 0, 0, 1</t>
  </si>
  <si>
    <t>24 hour plumber marietta</t>
  </si>
  <si>
    <t>0, 0, 1, 0, 1, 0, 0, 0, 0, 0, 0, 1, 0, 0, 0, 0, 0, 0, 0, 0, 0, 0, 0, 1</t>
  </si>
  <si>
    <t>emergency plumber inner west</t>
  </si>
  <si>
    <t>0, 0, 1, 0, 2, 1, 0, 1, 1, 1, 0, 2, 0, 0, 0, 0, 0, 0, 0, 0, 0, 1, 0, 1</t>
  </si>
  <si>
    <t>emergency plumber rothwell</t>
  </si>
  <si>
    <t>all hours emergency plumber llc</t>
  </si>
  <si>
    <t>0, 1, 0, 0, 0, 1, 1, 0, 0, 0, 0, 1, 0, 0, 0, 0, 0, 0, 0, 0, 0, 0, 0, 1</t>
  </si>
  <si>
    <t>leaking tap repair canberra</t>
  </si>
  <si>
    <t>0, 0, 0, 0, 1, 0, 1, 1, 0, 2, 0, 0, 0, 0, 0, 0, 0, 0, 0, 0, 0, 0, 0, 1</t>
  </si>
  <si>
    <t>emergency plumber denton</t>
  </si>
  <si>
    <t>0, 0, 1, 0, 1, 0, 1, 1, 2, 3, 1, 0, 0, 0, 0, 0, 0, 0, 0, 0, 0, 0, 0, 1</t>
  </si>
  <si>
    <t>emergency plumber centennial co</t>
  </si>
  <si>
    <t>emergency plumber lewisville</t>
  </si>
  <si>
    <t>0, 0, 0, 0, 0, 0, 0, 0, 0, 1, 3, 0, 0, 0, 1, 0, 0, 0, 0, 0, 0, 0, 0, 1</t>
  </si>
  <si>
    <t>24 hour plumber claremont</t>
  </si>
  <si>
    <t>emergency plumber allentown</t>
  </si>
  <si>
    <t>emergency plumber salem</t>
  </si>
  <si>
    <t>0, 1, 1, 0, 0, 1, 0, 0, 1, 1, 0, 1, 0, 0, 0, 0, 0, 0, 0, 0, 0, 0, 0, 1</t>
  </si>
  <si>
    <t>emergency plumber stroud</t>
  </si>
  <si>
    <t>burst copper pipe repair</t>
  </si>
  <si>
    <t>1, 0, 0, 0, 0, 0, 0, 0, 0, 0, 0, 1, 0, 2, 0, 2, 0, 0, 0, 0, 0, 0, 0, 1</t>
  </si>
  <si>
    <t>emergency plumber jones hill</t>
  </si>
  <si>
    <t>0, 0, 0, 0, 1, 0, 0, 2, 1, 0, 0, 0, 0, 0, 0, 0, 0, 0, 0, 0, 0, 0, 0, 1</t>
  </si>
  <si>
    <t>emergency plumber wentworthville</t>
  </si>
  <si>
    <t>0, 0, 0, 0, 0, 0, 0, 0, 1, 0, 0, 0, 0, 0, 0, 1, 0, 0, 0, 0, 0, 0, 0, 1</t>
  </si>
  <si>
    <t>emergency plumber federal way</t>
  </si>
  <si>
    <t>24 hour plumber in arlington</t>
  </si>
  <si>
    <t>wellington emergency plumber</t>
  </si>
  <si>
    <t>emergency plumber peckham</t>
  </si>
  <si>
    <t>water leak repair houston</t>
  </si>
  <si>
    <t>lexington emergency plumber</t>
  </si>
  <si>
    <t>24 hour plumber in sun city</t>
  </si>
  <si>
    <t>emergency plumber san antonio</t>
  </si>
  <si>
    <t>0, 0, 1, 2, 0, 2, 1, 0, 1, 0, 5, 0, 0, 0, 0, 0, 1, 0, 0, 0, 0, 0, 0, 1</t>
  </si>
  <si>
    <t>water heater leak repair salt lake city</t>
  </si>
  <si>
    <t>emergency plumber mosman</t>
  </si>
  <si>
    <t>0, 3, 1, 0, 0, 0, 0, 0, 0, 0, 0, 0, 0, 0, 0, 0, 0, 1, 0, 0, 0, 0, 0, 1</t>
  </si>
  <si>
    <t>emergency plumber lakewood</t>
  </si>
  <si>
    <t>0, 0, 0, 0, 0, 0, 2, 2, 1, 1, 2, 0, 0, 0, 0, 0, 0, 0, 0, 0, 0, 0, 0, 1</t>
  </si>
  <si>
    <t>emergency plumber red oak tx</t>
  </si>
  <si>
    <t>houston tx emergency plumber</t>
  </si>
  <si>
    <t>0, 0, 0, 1, 0, 0, 1, 0, 1, 2, 3, 0, 0, 0, 0, 0, 0, 0, 0, 0, 0, 0, 0, 1</t>
  </si>
  <si>
    <t>emergency plumber merton</t>
  </si>
  <si>
    <t>0, 0, 1, 1, 0, 0, 1, 1, 0, 0, 1, 0, 0, 1, 0, 0, 0, 0, 0, 0, 0, 0, 0, 1</t>
  </si>
  <si>
    <t>emergency plumber north lakes</t>
  </si>
  <si>
    <t>24 hour plumber hermanus</t>
  </si>
  <si>
    <t>emergency plumber new orleans la</t>
  </si>
  <si>
    <t>24 hour plumber laguna beach</t>
  </si>
  <si>
    <t>emergency plumber birmingham uk</t>
  </si>
  <si>
    <t>0, 1, 1, 0, 0, 0, 0, 2, 0, 1, 2, 0, 0, 0, 0, 0, 0, 0, 0, 0, 0, 0, 0, 1</t>
  </si>
  <si>
    <t>emergency plumber service holland park</t>
  </si>
  <si>
    <t>emergency plumber danielsville ga</t>
  </si>
  <si>
    <t>emergency plumber albury</t>
  </si>
  <si>
    <t>0, 0, 1, 1, 0, 0, 0, 2, 0, 0, 1, 0, 1, 0, 0, 0, 0, 0, 0, 0, 0, 0, 0, 1</t>
  </si>
  <si>
    <t>emergency plumber fulwood</t>
  </si>
  <si>
    <t>0, 2, 0, 2, 1, 0, 0, 1, 1, 0, 0, 0, 0, 0, 0, 0, 0, 0, 0, 0, 0, 0, 0, 1</t>
  </si>
  <si>
    <t>emergency plumber glendale</t>
  </si>
  <si>
    <t>0, 0, 0, 0, 0, 1, 2, 1, 0, 1, 1, 0, 0, 0, 0, 0, 0, 0, 0, 0, 0, 0, 0, 1</t>
  </si>
  <si>
    <t>emergency plumber in brookvale</t>
  </si>
  <si>
    <t>buckeye emergency plumber</t>
  </si>
  <si>
    <t>0, 0, 0, 0, 0, 2, 0, 0, 0, 2, 4, 0, 0, 0, 0, 0, 0, 0, 0, 0, 0, 0, 0, 1</t>
  </si>
  <si>
    <t>west chester pa emergency plumber</t>
  </si>
  <si>
    <t>0, 0, 1, 1, 0, 0, 2, 0, 0, 0, 5, 0, 0, 0, 0, 0, 0, 0, 0, 0, 1, 0, 0, 1</t>
  </si>
  <si>
    <t>emergency plumber service sunnybank</t>
  </si>
  <si>
    <t>emergency plumber montgomery county md</t>
  </si>
  <si>
    <t>24hr emergency plumber brisbane</t>
  </si>
  <si>
    <t>0, 0, 0, 0, 0, 0, 0, 0, 0, 0, 0, 0, 0, 0, 0, 0, 0, 0, 0, 0, 1, 3, 1, 3</t>
  </si>
  <si>
    <t>0, 0, 0, 0, 1, 2, 1, 4, 1, 1, 1, 1, 0, 0, 0, 0, 0, 0, 0, 0, 0, 0, 0, 1</t>
  </si>
  <si>
    <t>emergency plumber mar vista</t>
  </si>
  <si>
    <t>emergency plumber hunters hill</t>
  </si>
  <si>
    <t>0, 0, 0, 1, 0, 0, 0, 2, 0, 0, 1, 0, 0, 0, 0, 0, 0, 0, 0, 0, 0, 0, 0, 1</t>
  </si>
  <si>
    <t>emergency plumber south tyneside</t>
  </si>
  <si>
    <t>emergency plumber bankstown</t>
  </si>
  <si>
    <t>emergency plumber akron oh</t>
  </si>
  <si>
    <t>0, 0, 0, 0, 0, 1, 0, 0, 0, 2, 1, 0, 0, 0, 0, 0, 0, 0, 0, 0, 0, 0, 0, 1</t>
  </si>
  <si>
    <t>outside burst pipe repair</t>
  </si>
  <si>
    <t>water leak repair campbell river</t>
  </si>
  <si>
    <t>1, 0, 0, 1, 0, 1, 0, 0, 0, 0, 0, 2, 0, 0, 0, 0, 0, 0, 0, 0, 0, 0, 0, 1</t>
  </si>
  <si>
    <t>emergency plumber near me 24 7 detroit</t>
  </si>
  <si>
    <t>0, 0, 0, 0, 0, 0, 1, 0, 1, 0, 3, 0, 0, 0, 0, 0, 0, 0, 0, 0, 0, 0, 0, 1</t>
  </si>
  <si>
    <t>emergency plumber lawrence county</t>
  </si>
  <si>
    <t>24 hour plumber minyama</t>
  </si>
  <si>
    <t>0, 0, 0, 0, 0, 1, 0, 2, 0, 0, 2, 1, 0, 0, 0, 0, 0, 0, 0, 0, 0, 0, 0, 1</t>
  </si>
  <si>
    <t>under water leak repair</t>
  </si>
  <si>
    <t>1, 1, 2, 1, 2, 0, 0, 0, 1, 0, 0, 0, 2, 1, 0, 3, 2, 1, 0, 0, 0, 2, 0, 2</t>
  </si>
  <si>
    <t>emergency plumber call out charges</t>
  </si>
  <si>
    <t>0, 1, 0, 0, 3, 0, 1, 0, 2, 0, 1, 0, 0, 0, 0, 0, 0, 0, 0, 0, 0, 0, 0, 1</t>
  </si>
  <si>
    <t>emergency plumber kingston</t>
  </si>
  <si>
    <t>1, 1, 2, 1, 0, 2, 2, 2, 1, 0, 3, 1, 1, 0, 0, 0, 1, 1, 1, 1, 0, 0, 0, 1</t>
  </si>
  <si>
    <t>oakland emergency plumber</t>
  </si>
  <si>
    <t>0, 0, 0, 0, 0, 0, 2, 0, 1, 0, 0, 0, 1, 0, 0, 0, 0, 0, 0, 0, 0, 0, 0, 1</t>
  </si>
  <si>
    <t>plumber blocked toilet</t>
  </si>
  <si>
    <t>0, 0, 1, 2, 1, 0, 1, 3, 4, 7, 7, 2, 0, 2, 0, 0, 0, 1, 0, 0, 0, 0, 1, 1</t>
  </si>
  <si>
    <t>emergency plumber gladstone park</t>
  </si>
  <si>
    <t>emergency plumber columbia md</t>
  </si>
  <si>
    <t>0, 0, 0, 2, 0, 0, 1, 0, 0, 1, 0, 0, 0, 0, 0, 0, 0, 0, 0, 0, 0, 0, 0, 1</t>
  </si>
  <si>
    <t>emergency plumber dacula ga</t>
  </si>
  <si>
    <t>1, 0, 1, 0, 0, 1, 1, 0, 1, 1, 0, 0, 0, 0, 0, 0, 0, 0, 0, 0, 0, 0, 0, 1</t>
  </si>
  <si>
    <t>water leak repair allen</t>
  </si>
  <si>
    <t>emergency plumber st. james</t>
  </si>
  <si>
    <t>0, 0, 0, 0, 0, 0, 2, 3, 1, 0, 0, 0, 0, 0, 0, 0, 0, 0, 0, 0, 0, 0, 0, 1</t>
  </si>
  <si>
    <t>emergency plumber omaha</t>
  </si>
  <si>
    <t>0, 0, 1, 1, 0, 1, 1, 2, 0, 2, 4, 0, 1, 0, 0, 0, 1, 0, 0, 0, 0, 1, 0, 1</t>
  </si>
  <si>
    <t>emergency plumber thrapston</t>
  </si>
  <si>
    <t>0, 0, 0, 0, 1, 0, 0, 0, 0, 3, 1, 0, 0, 0, 0, 0, 0, 0, 0, 0, 0, 0, 0, 1</t>
  </si>
  <si>
    <t>emergency plumber locksbottom</t>
  </si>
  <si>
    <t>emergency plumber laughing waters</t>
  </si>
  <si>
    <t>0, 0, 0, 0, 0, 0, 2, 1, 2, 1, 0, 0, 0, 0, 0, 0, 0, 0, 0, 0, 0, 0, 0, 1</t>
  </si>
  <si>
    <t>emergency plumber hills district</t>
  </si>
  <si>
    <t>0, 0, 0, 2, 1, 0, 0, 0, 3, 3, 1, 0, 0, 0, 0, 0, 0, 0, 0, 0, 0, 0, 0, 1</t>
  </si>
  <si>
    <t>emergency plumber los angeles ca</t>
  </si>
  <si>
    <t>dalton ohio emergency plumber</t>
  </si>
  <si>
    <t>emergency plumber san antonio tx</t>
  </si>
  <si>
    <t>0, 0, 0, 0, 0, 2, 0, 0, 0, 1, 2, 0, 0, 0, 0, 0, 0, 0, 0, 0, 0, 0, 0, 1</t>
  </si>
  <si>
    <t>30a emergency plumber</t>
  </si>
  <si>
    <t>24 hour plumber ridgecrest</t>
  </si>
  <si>
    <t>0, 0, 0, 0, 0, 0, 0, 0, 0, 0, 0, 0, 0, 0, 0, 0, 0, 0, 0, 0, 0, 0, 10, 4</t>
  </si>
  <si>
    <t>emergency plumber rowlett tx</t>
  </si>
  <si>
    <t>2, 0, 0, 0, 0, 0, 1, 0, 0, 3, 8, 6, 0, 0, 0, 0, 0, 0, 0, 0, 0, 0, 0, 1</t>
  </si>
  <si>
    <t>emergency plumber claremont ca</t>
  </si>
  <si>
    <t>emergency call out fee plumber</t>
  </si>
  <si>
    <t>0, 0, 0, 1, 0, 0, 1, 0, 0, 0, 0, 1, 1, 0, 0, 0, 0, 0, 0, 0, 0, 0, 1, 1</t>
  </si>
  <si>
    <t>emergency plumber orangeville</t>
  </si>
  <si>
    <t>emergency plumber hillsboro or</t>
  </si>
  <si>
    <t>emergency gas plumber perth</t>
  </si>
  <si>
    <t>emergency plumber in charlotte nc</t>
  </si>
  <si>
    <t>gaithersburg emergency plumber</t>
  </si>
  <si>
    <t>0, 1, 1, 0, 0, 1, 0, 0, 1, 3, 0, 0, 0, 0, 0, 0, 0, 0, 0, 0, 0, 0, 0, 1</t>
  </si>
  <si>
    <t>prescott emergency plumber</t>
  </si>
  <si>
    <t>0, 0, 0, 0, 1, 1, 1, 0, 1, 1, 0, 1, 0, 0, 0, 0, 0, 0, 0, 0, 0, 0, 0, 1</t>
  </si>
  <si>
    <t>pool water leak repair</t>
  </si>
  <si>
    <t>emergency plumber stafford va</t>
  </si>
  <si>
    <t>emergency residential plumber puyallup wa</t>
  </si>
  <si>
    <t>water heater tank leak repair</t>
  </si>
  <si>
    <t>edinburgh emergency plumber</t>
  </si>
  <si>
    <t>1, 0, 0, 0, 0, 0, 0, 2, 0, 0, 0, 0, 0, 0, 0, 0, 0, 0, 1, 0, 0, 0, 0, 1</t>
  </si>
  <si>
    <t>emergency plumber stanford</t>
  </si>
  <si>
    <t>emergency plumber beckenham</t>
  </si>
  <si>
    <t>0, 2, 1, 2, 0, 1, 3, 1, 3, 0, 1, 0, 0, 0, 0, 0, 0, 0, 0, 0, 0, 0, 0, 1</t>
  </si>
  <si>
    <t>emergency plumber dereham</t>
  </si>
  <si>
    <t>emergency plumber leigh</t>
  </si>
  <si>
    <t>0, 0, 0, 0, 0, 0, 0, 0, 0, 4, 0, 0, 0, 0, 0, 0, 0, 0, 0, 0, 0, 0, 0, 1</t>
  </si>
  <si>
    <t>24 hour plumber vista ca</t>
  </si>
  <si>
    <t>water leak repair moreno valley</t>
  </si>
  <si>
    <t>emergency plumber king city</t>
  </si>
  <si>
    <t>windsor emergency plumber</t>
  </si>
  <si>
    <t>emergency plumber mercer island wa</t>
  </si>
  <si>
    <t>norman emergency plumber</t>
  </si>
  <si>
    <t>0, 0, 0, 0, 0, 0, 0, 0, 0, 1, 7, 2, 0, 0, 0, 0, 0, 0, 0, 0, 0, 0, 0, 1</t>
  </si>
  <si>
    <t>emergency plumber modesto</t>
  </si>
  <si>
    <t>1, 0, 0, 0, 0, 0, 0, 2, 0, 1, 1, 0, 0, 0, 0, 0, 0, 0, 0, 0, 0, 0, 0, 1</t>
  </si>
  <si>
    <t>emergency plumber lincoln ri</t>
  </si>
  <si>
    <t>emergency plumber eden prairie mn</t>
  </si>
  <si>
    <t>0, 0, 0, 0, 0, 1, 1, 0, 1, 0, 1, 0, 0, 0, 0, 0, 0, 0, 0, 0, 0, 0, 0, 1</t>
  </si>
  <si>
    <t>emergency plumber chandler az</t>
  </si>
  <si>
    <t>emergency plumber gladstone</t>
  </si>
  <si>
    <t>0, 0, 0, 0, 2, 0, 0, 0, 2, 0, 0, 0, 0, 0, 0, 0, 0, 0, 0, 0, 0, 0, 0, 1</t>
  </si>
  <si>
    <t>salem water leak repair services</t>
  </si>
  <si>
    <t>emergency plumber dover</t>
  </si>
  <si>
    <t>emergency plumber effingham sc</t>
  </si>
  <si>
    <t>charlotte emergency plumber</t>
  </si>
  <si>
    <t>0, 0, 1, 0, 1, 0, 1, 1, 0, 3, 2, 1, 0, 1, 0, 0, 0, 0, 1, 0, 0, 0, 0, 1</t>
  </si>
  <si>
    <t>andover emergency plumber</t>
  </si>
  <si>
    <t>emergency plumber narre warren south</t>
  </si>
  <si>
    <t>1, 0, 0, 0, 0, 0, 1, 0, 0, 1, 1, 0, 0, 0, 0, 0, 0, 0, 0, 0, 0, 0, 0, 1</t>
  </si>
  <si>
    <t>emergency plumber nunhead</t>
  </si>
  <si>
    <t>emergency plumber the dawn</t>
  </si>
  <si>
    <t>0, 0, 0, 0, 0, 0, 2, 1, 0, 2, 1, 0, 0, 0, 0, 0, 0, 0, 0, 0, 0, 0, 0, 1</t>
  </si>
  <si>
    <t>emergency plumber castle hills tx</t>
  </si>
  <si>
    <t>emergency stormwater drain plumber gold coast</t>
  </si>
  <si>
    <t>emergency plumber nowra</t>
  </si>
  <si>
    <t>0, 0, 0, 0, 0, 2, 1, 2, 0, 0, 1, 0, 0, 0, 0, 0, 0, 0, 0, 0, 0, 0, 0, 1</t>
  </si>
  <si>
    <t>water leak repair guildford</t>
  </si>
  <si>
    <t>emergency plumber houston</t>
  </si>
  <si>
    <t>1, 0, 3, 1, 0, 2, 3, 1, 5, 1, 2, 2, 1, 0, 0, 0, 0, 1, 0, 1, 0, 0, 1, 1</t>
  </si>
  <si>
    <t>emergency plumber totnes</t>
  </si>
  <si>
    <t>emergency plumber katy</t>
  </si>
  <si>
    <t>0, 1, 0, 4, 0, 1, 3, 1, 4, 4, 7, 0, 0, 1, 0, 0, 0, 0, 0, 0, 0, 0, 1, 1</t>
  </si>
  <si>
    <t>emergency plumber rochester hills</t>
  </si>
  <si>
    <t>emergency plumber near villa park</t>
  </si>
  <si>
    <t>emergency plumber croydon</t>
  </si>
  <si>
    <t>1, 1, 3, 2, 2, 2, 2, 2, 3, 2, 3, 0, 0, 0, 1, 2, 0, 0, 0, 0, 0, 0, 0, 1</t>
  </si>
  <si>
    <t>emergency plumber austin tx</t>
  </si>
  <si>
    <t>0, 0, 1, 0, 1, 0, 1, 0, 2, 1, 0, 1, 0, 0, 0, 1, 0, 2, 1, 0, 0, 0, 0, 1</t>
  </si>
  <si>
    <t>bromley emergency plumber</t>
  </si>
  <si>
    <t>emergency plumber woodcroft</t>
  </si>
  <si>
    <t>0, 0, 0, 0, 0, 1, 0, 0, 0, 1, 0, 0, 0, 0, 0, 0, 0, 0, 0, 1, 0, 0, 0, 1</t>
  </si>
  <si>
    <t>24 hour plumber raleigh</t>
  </si>
  <si>
    <t>1, 0, 0, 0, 0, 0, 1, 1, 0, 0, 0, 0, 0, 0, 0, 0, 0, 0, 0, 0, 0, 0, 0, 1</t>
  </si>
  <si>
    <t>emergency plumber solihull</t>
  </si>
  <si>
    <t>0, 1, 0, 0, 2, 1, 1, 1, 1, 0, 2, 0, 0, 0, 0, 0, 0, 0, 0, 0, 0, 0, 1, 1</t>
  </si>
  <si>
    <t>emergency plumber flagstaff</t>
  </si>
  <si>
    <t>0, 0, 0, 0, 0, 0, 0, 0, 2, 3, 5, 2, 0, 0, 0, 0, 0, 0, 0, 0, 0, 0, 0, 1</t>
  </si>
  <si>
    <t>24 hour plumber tucson</t>
  </si>
  <si>
    <t>1, 0, 0, 1, 1, 0, 0, 0, 0, 0, 3, 1, 0, 0, 0, 0, 0, 0, 0, 0, 0, 0, 0, 1</t>
  </si>
  <si>
    <t>gulf breeze emergency plumber</t>
  </si>
  <si>
    <t>emergency plumber beaconsfield</t>
  </si>
  <si>
    <t>2, 1, 6, 2, 1, 3, 4, 4, 4, 5, 5, 0, 0, 0, 0, 0, 0, 0, 0, 0, 0, 0, 0, 1</t>
  </si>
  <si>
    <t>emergency plumber baltimore</t>
  </si>
  <si>
    <t>0, 0, 0, 0, 0, 0, 1, 0, 0, 0, 1, 1, 0, 0, 0, 0, 0, 3, 1, 0, 0, 1, 0, 1</t>
  </si>
  <si>
    <t>wall water leak repair</t>
  </si>
  <si>
    <t>0, 0, 0, 0, 0, 0, 0, 0, 0, 0, 0, 0, 0, 0, 0, 0, 0, 0, 0, 0, 0, 0, 2, 1</t>
  </si>
  <si>
    <t>water leak repair flower mound</t>
  </si>
  <si>
    <t>lancaster emergency plumber</t>
  </si>
  <si>
    <t>0, 0, 0, 1, 0, 2, 1, 0, 0, 1, 2, 1, 0, 0, 0, 0, 0, 0, 0, 0, 0, 0, 0, 1</t>
  </si>
  <si>
    <t>flagstaff az emergency plumber</t>
  </si>
  <si>
    <t>0, 0, 0, 0, 0, 1, 0, 0, 1, 1, 1, 0, 0, 0, 0, 0, 0, 0, 0, 0, 0, 0, 0, 1</t>
  </si>
  <si>
    <t>emergency plumber cobham</t>
  </si>
  <si>
    <t>0, 0, 0, 0, 0, 1, 3, 0, 0, 1, 0, 0, 0, 0, 0, 0, 0, 0, 0, 1, 0, 0, 0, 1</t>
  </si>
  <si>
    <t>mansfield emergency plumber</t>
  </si>
  <si>
    <t>0, 0, 0, 0, 1, 1, 1, 0, 0, 2, 2, 0, 0, 0, 0, 0, 0, 0, 0, 0, 0, 0, 0, 1</t>
  </si>
  <si>
    <t>emergency plumber new milford</t>
  </si>
  <si>
    <t>24 hour plumber rogers</t>
  </si>
  <si>
    <t>burst pipe repair vail</t>
  </si>
  <si>
    <t>emergency plumber gladesville</t>
  </si>
  <si>
    <t>0, 0, 0, 0, 0, 0, 2, 1, 1, 0, 1, 2, 0, 0, 0, 0, 0, 0, 0, 0, 0, 0, 0, 1</t>
  </si>
  <si>
    <t>repair water leak</t>
  </si>
  <si>
    <t>2, 1, 4, 1, 2, 1, 1, 0, 1, 5, 3, 6, 1, 1, 3, 1, 2, 2, 3, 8, 1, 1, 2, 1</t>
  </si>
  <si>
    <t>emergency plumber rossendale</t>
  </si>
  <si>
    <t>0, 0, 0, 1, 0, 0, 0, 1, 2, 0, 1, 0, 0, 0, 0, 0, 0, 0, 0, 0, 0, 0, 0, 1</t>
  </si>
  <si>
    <t>emergency plumber lexington</t>
  </si>
  <si>
    <t>emergency plumber wembley</t>
  </si>
  <si>
    <t>1, 0, 0, 0, 2, 1, 2, 1, 2, 2, 2, 1, 0, 0, 0, 0, 0, 0, 0, 0, 0, 0, 0, 1</t>
  </si>
  <si>
    <t>water leak repair roswell ga</t>
  </si>
  <si>
    <t>emergency plumber vancouver bc</t>
  </si>
  <si>
    <t>0, 0, 0, 1, 0, 0, 0, 0, 2, 2, 0, 0, 0, 0, 0, 0, 0, 0, 0, 0, 0, 0, 0, 1</t>
  </si>
  <si>
    <t>+water +leak +repair</t>
  </si>
  <si>
    <t>24 hour plumber memphis</t>
  </si>
  <si>
    <t>24 hour plumber jacksonville fl</t>
  </si>
  <si>
    <t>emergency plumber east northport</t>
  </si>
  <si>
    <t>emergency plumber washington, dc</t>
  </si>
  <si>
    <t>emergency plumber arkansas</t>
  </si>
  <si>
    <t>emergency plumber novi</t>
  </si>
  <si>
    <t>emergency plumber beavercreek oh</t>
  </si>
  <si>
    <t>emergency plumber walton on thames</t>
  </si>
  <si>
    <t>1, 0, 0, 0, 0, 1, 0, 0, 0, 1, 2, 1, 0, 0, 0, 2, 0, 0, 0, 0, 0, 0, 0, 1</t>
  </si>
  <si>
    <t>emergency household plumber cape town</t>
  </si>
  <si>
    <t>0, 0, 0, 0, 0, 0, 0, 0, 0, 0, 0, 0, 0, 0, 0, 0, 0, 0, 0, 11, 29, 9, 0, 13</t>
  </si>
  <si>
    <t>langley emergency plumber</t>
  </si>
  <si>
    <t>0, 0, 3, 1, 0, 0, 1, 2, 1, 3, 3, 0, 0, 0, 0, 0, 0, 0, 0, 0, 0, 0, 0, 1</t>
  </si>
  <si>
    <t>madison 24 hour plumber</t>
  </si>
  <si>
    <t>24 hour plumber chula vista</t>
  </si>
  <si>
    <t>emergency plumber kempton park</t>
  </si>
  <si>
    <t>0, 26, 0, 0, 0, 0, 0, 0, 0, 0, 0, 0, 0, 0, 0, 0, 0, 0, 0, 0, 0, 0, 0, 1</t>
  </si>
  <si>
    <t>emergency plumber tigard or</t>
  </si>
  <si>
    <t>bradenton emergency plumber</t>
  </si>
  <si>
    <t>emergency plumber near me 24 7 new york city</t>
  </si>
  <si>
    <t>coppell tx emergency plumber</t>
  </si>
  <si>
    <t>0, 0, 0, 0, 0, 0, 0, 0, 0, 2, 1, 0, 0, 0, 0, 0, 0, 1, 0, 0, 0, 0, 0, 1</t>
  </si>
  <si>
    <t>emergency plumber south east london</t>
  </si>
  <si>
    <t>0, 0, 0, 0, 1, 3, 0, 1, 0, 0, 0, 0, 0, 0, 0, 0, 0, 1, 0, 0, 0, 0, 0, 1</t>
  </si>
  <si>
    <t>emergency plumber mudgeeraba</t>
  </si>
  <si>
    <t>emergency plumber near me denver</t>
  </si>
  <si>
    <t>emergency plumber euless tx</t>
  </si>
  <si>
    <t>affordable emergency plumber</t>
  </si>
  <si>
    <t>1, 0, 1, 1, 0, 1, 2, 1, 0, 2, 4, 0, 0, 0, 0, 0, 0, 0, 0, 0, 0, 0, 0, 1</t>
  </si>
  <si>
    <t>24 hour plumber fort wayne</t>
  </si>
  <si>
    <t>emergency plumber in thrapston</t>
  </si>
  <si>
    <t>emergency plumber sherwood</t>
  </si>
  <si>
    <t>0, 0, 18, 1, 0, 0, 0, 2, 1, 0, 0, 0, 0, 0, 0, 0, 0, 0, 0, 0, 0, 0, 0, 1</t>
  </si>
  <si>
    <t>emergency plumber dorking</t>
  </si>
  <si>
    <t>24 hour plumber omaha</t>
  </si>
  <si>
    <t>2, 0, 1, 0, 0, 0, 0, 2, 2, 2, 0, 0, 0, 0, 0, 0, 0, 0, 0, 0, 0, 0, 0, 1</t>
  </si>
  <si>
    <t>emergency plumber north beach</t>
  </si>
  <si>
    <t>emergency plumber in palmetto</t>
  </si>
  <si>
    <t>emergency plumber culver city los angeles</t>
  </si>
  <si>
    <t>emergency plumber lake havasu</t>
  </si>
  <si>
    <t>0, 0, 0, 1, 1, 0, 2, 1, 0, 0, 4, 6, 0, 0, 0, 0, 0, 0, 0, 0, 0, 0, 0, 1</t>
  </si>
  <si>
    <t>mccordsville emergency plumber</t>
  </si>
  <si>
    <t>emergency plumber service wynnum</t>
  </si>
  <si>
    <t>lebanon emergency plumber</t>
  </si>
  <si>
    <t>0, 0, 0, 1, 1, 0, 0, 0, 1, 1, 2, 1, 0, 0, 0, 0, 2, 0, 0, 0, 0, 0, 0, 1</t>
  </si>
  <si>
    <t>emergency plumber cranston</t>
  </si>
  <si>
    <t>0, 1, 0, 0, 1, 1, 0, 0, 2, 0, 1, 0, 0, 0, 0, 0, 0, 0, 0, 0, 0, 0, 0, 1</t>
  </si>
  <si>
    <t>emergency plumber mandurah</t>
  </si>
  <si>
    <t>0, 0, 0, 0, 0, 1, 2, 1, 0, 1, 2, 0, 0, 2, 1, 0, 0, 0, 0, 0, 0, 0, 0, 1</t>
  </si>
  <si>
    <t>24 hour plumber newcastle</t>
  </si>
  <si>
    <t>0, 0, 0, 0, 1, 1, 0, 0, 3, 0, 2, 0, 0, 0, 0, 0, 0, 0, 0, 0, 0, 2, 0, 2</t>
  </si>
  <si>
    <t>emergency plumber crail</t>
  </si>
  <si>
    <t>eastern iowa emergency plumber</t>
  </si>
  <si>
    <t>emergency plumber point cook</t>
  </si>
  <si>
    <t>0, 0, 0, 0, 1, 1, 3, 1, 1, 1, 1, 2, 0, 0, 0, 0, 0, 0, 0, 0, 0, 0, 0, 1</t>
  </si>
  <si>
    <t>emergency plumber decatur ga</t>
  </si>
  <si>
    <t>emergency plumber spokane</t>
  </si>
  <si>
    <t>0, 2, 0, 0, 0, 0, 1, 3, 1, 0, 1, 0, 0, 0, 0, 0, 0, 0, 0, 0, 0, 0, 0, 1</t>
  </si>
  <si>
    <t>emergency plumber arundel</t>
  </si>
  <si>
    <t>0, 0, 0, 0, 1, 1, 0, 2, 0, 0, 0, 0, 0, 1, 0, 0, 0, 0, 0, 0, 0, 0, 0, 1</t>
  </si>
  <si>
    <t>emergency plumber dublin 2</t>
  </si>
  <si>
    <t>24 hour plumber jacksonville</t>
  </si>
  <si>
    <t>24 hour plumber cheltenham</t>
  </si>
  <si>
    <t>emergency plumber redditch</t>
  </si>
  <si>
    <t>emergency plumber in minneapolis</t>
  </si>
  <si>
    <t>emergency plumber black mountain nc</t>
  </si>
  <si>
    <t>0, 0, 1, 0, 0, 2, 0, 1, 0, 0, 0, 3, 0, 0, 0, 0, 0, 0, 0, 0, 0, 0, 0, 1</t>
  </si>
  <si>
    <t>emergency plumber gaithersburg md</t>
  </si>
  <si>
    <t>0, 1, 1, 0, 0, 0, 0, 0, 1, 3, 0, 0, 0, 1, 0, 0, 0, 0, 0, 0, 1, 0, 0, 1</t>
  </si>
  <si>
    <t>emergency plumber northwich</t>
  </si>
  <si>
    <t>0, 0, 0, 0, 1, 0, 0, 0, 0, 0, 2, 1, 1, 0, 0, 0, 0, 0, 0, 0, 0, 0, 0, 1</t>
  </si>
  <si>
    <t>water leak repair comox</t>
  </si>
  <si>
    <t>1, 0, 0, 0, 0, 1, 0, 0, 1, 1, 1, 0, 0, 0, 0, 0, 0, 0, 0, 0, 0, 0, 0, 1</t>
  </si>
  <si>
    <t>find an emergency plumber</t>
  </si>
  <si>
    <t>24 hour plumber in sutton</t>
  </si>
  <si>
    <t>emergency plumber oxford</t>
  </si>
  <si>
    <t>0, 0, 1, 0, 0, 1, 0, 2, 0, 0, 1, 0, 0, 0, 0, 0, 0, 0, 0, 0, 0, 0, 0, 1</t>
  </si>
  <si>
    <t>emergency plumber capalaba</t>
  </si>
  <si>
    <t>0, 2, 3, 0, 0, 1, 0, 1, 0, 0, 0, 0, 0, 0, 0, 0, 0, 0, 0, 0, 0, 0, 0, 1</t>
  </si>
  <si>
    <t>henderson emergency plumber</t>
  </si>
  <si>
    <t>0, 0, 0, 0, 0, 0, 0, 2, 1, 1, 2, 2, 0, 0, 0, 0, 0, 0, 0, 0, 0, 0, 0, 1</t>
  </si>
  <si>
    <t>repair burst water pipe</t>
  </si>
  <si>
    <t>0, 0, 0, 0, 0, 0, 0, 1, 0, 1, 1, 4, 0, 1, 0, 2, 3, 1, 0, 0, 0, 0, 1, 1</t>
  </si>
  <si>
    <t>emergency plumber charlotte nc</t>
  </si>
  <si>
    <t>0, 0, 0, 0, 0, 1, 0, 1, 0, 2, 1, 0, 0, 0, 0, 0, 0, 0, 0, 0, 1, 1, 0, 2</t>
  </si>
  <si>
    <t>emergency plumber whitby</t>
  </si>
  <si>
    <t>1, 0, 0, 0, 0, 1, 2, 0, 0, 3, 5, 1, 0, 0, 0, 0, 0, 0, 0, 0, 0, 0, 0, 1</t>
  </si>
  <si>
    <t>emergency drain plumber</t>
  </si>
  <si>
    <t>4, 6, 7, 4, 11, 12, 6, 5, 5, 2, 3, 1, 0, 0, 1, 0, 0, 0, 0, 0, 0, 0, 0, 1</t>
  </si>
  <si>
    <t>pittsburgh commercial water leak repair</t>
  </si>
  <si>
    <t>24 hour plumber wichita</t>
  </si>
  <si>
    <t>emergency plumber truro</t>
  </si>
  <si>
    <t>emergency plumber hornsby heights</t>
  </si>
  <si>
    <t>loveland emergency plumber</t>
  </si>
  <si>
    <t>emergency call out plumber jobs</t>
  </si>
  <si>
    <t>emergency plumber abbotsford</t>
  </si>
  <si>
    <t>0, 0, 0, 0, 3, 0, 1, 1, 0, 0, 0, 0, 0, 0, 0, 0, 0, 0, 0, 0, 0, 0, 0, 1</t>
  </si>
  <si>
    <t>emergency plumber auckland central</t>
  </si>
  <si>
    <t>24 hour plumber peregian springs</t>
  </si>
  <si>
    <t>0, 0, 0, 0, 0, 2, 0, 1, 1, 1, 1, 1, 0, 0, 0, 0, 0, 0, 0, 0, 0, 0, 0, 1</t>
  </si>
  <si>
    <t>water leak repair jackson</t>
  </si>
  <si>
    <t>emergency plumber keppel sands</t>
  </si>
  <si>
    <t>water leak repair simpsonville</t>
  </si>
  <si>
    <t>emergency plumber in harrow</t>
  </si>
  <si>
    <t>emergency plumber chatsworth</t>
  </si>
  <si>
    <t>0, 0, 0, 0, 0, 0, 0, 1, 1, 1, 0, 0, 0, 0, 0, 0, 0, 2, 0, 0, 0, 0, 0, 1</t>
  </si>
  <si>
    <t>24 hour melbourne plumber</t>
  </si>
  <si>
    <t>0, 0, 1, 0, 0, 0, 0, 0, 0, 0, 1, 3, 0, 0, 0, 0, 0, 0, 0, 0, 0, 0, 0, 1</t>
  </si>
  <si>
    <t>24 hour plumber toledo oh</t>
  </si>
  <si>
    <t>24 emergency plumber near me</t>
  </si>
  <si>
    <t>2, 2, 3, 2, 2, 3, 2, 2, 3, 1, 3, 0, 1, 0, 1, 0, 0, 0, 0, 0, 0, 0, 0, 1</t>
  </si>
  <si>
    <t>emergency plumber tiverton</t>
  </si>
  <si>
    <t>0, 0, 1, 0, 2, 0, 0, 3, 0, 0, 0, 0, 1, 0, 0, 0, 0, 0, 0, 0, 0, 0, 0, 1</t>
  </si>
  <si>
    <t>emergency plumber near me social circle</t>
  </si>
  <si>
    <t>burst pipe repair johannesburg</t>
  </si>
  <si>
    <t>0, 0, 0, 0, 0, 0, 0, 0, 0, 0, 0, 0, 0, 0, 0, 0, 0, 0, 0, 6, 18, 7, 5, 11</t>
  </si>
  <si>
    <t>24 hour plumber holliston ma</t>
  </si>
  <si>
    <t>water leak repair crossville</t>
  </si>
  <si>
    <t>newark emergency plumber</t>
  </si>
  <si>
    <t>emergency plumber southampton</t>
  </si>
  <si>
    <t>1, 0, 0, 0, 1, 2, 2, 4, 2, 2, 5, 0, 0, 0, 1, 0, 0, 0, 0, 0, 0, 0, 0, 1</t>
  </si>
  <si>
    <t>flower mound emergency plumber</t>
  </si>
  <si>
    <t>syracuse utah 24 hour plumber</t>
  </si>
  <si>
    <t>water heater leak repair</t>
  </si>
  <si>
    <t>0, 0, 4, 1, 0, 2, 4, 0, 0, 1, 0, 2, 1, 0, 0, 0, 0, 0, 1, 0, 0, 1, 0, 1</t>
  </si>
  <si>
    <t>emergency plumber venice</t>
  </si>
  <si>
    <t>emergency plumber moonee ponds</t>
  </si>
  <si>
    <t>0, 1, 0, 1, 1, 0, 0, 1, 1, 3, 1, 0, 0, 0, 0, 0, 0, 0, 0, 0, 0, 0, 0, 1</t>
  </si>
  <si>
    <t>water leak repair fareham</t>
  </si>
  <si>
    <t>emergency plumber snodland</t>
  </si>
  <si>
    <t>dallas emergency plumber</t>
  </si>
  <si>
    <t>0, 1, 2, 2, 2, 0, 1, 2, 3, 3, 2, 3, 1, 0, 0, 1, 1, 2, 0, 0, 0, 0, 0, 1</t>
  </si>
  <si>
    <t>emergency plumber service kuraby</t>
  </si>
  <si>
    <t>emergency plumber in denver</t>
  </si>
  <si>
    <t>0, 0, 0, 0, 0, 1, 0, 0, 0, 0, 1, 1, 0, 0, 0, 0, 0, 0, 0, 0, 0, 0, 0, 1</t>
  </si>
  <si>
    <t>emergency plumber clacton-on-sea</t>
  </si>
  <si>
    <t>0, 0, 0, 0, 1, 0, 1, 0, 0, 0, 0, 0, 0, 0, 0, 0, 0, 1, 0, 0, 0, 0, 0, 1</t>
  </si>
  <si>
    <t>emergency plumber northampton</t>
  </si>
  <si>
    <t>0, 0, 0, 0, 0, 0, 1, 3, 1, 1, 1, 0, 0, 0, 3, 0, 0, 0, 2, 0, 0, 0, 0, 1</t>
  </si>
  <si>
    <t>repair hot water heater leak</t>
  </si>
  <si>
    <t>emergency plumber hornsey</t>
  </si>
  <si>
    <t>emergency plumber braintree</t>
  </si>
  <si>
    <t>nashville tn emergency plumber</t>
  </si>
  <si>
    <t>24 hour gas plumber</t>
  </si>
  <si>
    <t>emergency plumber west auckland</t>
  </si>
  <si>
    <t>emergency plumber ashfield</t>
  </si>
  <si>
    <t>0, 0, 0, 0, 0, 0, 0, 2, 2, 1, 0, 1, 0, 0, 0, 0, 0, 0, 0, 0, 0, 0, 0, 1</t>
  </si>
  <si>
    <t>lancaster pa emergency plumber</t>
  </si>
  <si>
    <t>0, 0, 0, 0, 0, 1, 0, 1, 0, 2, 3, 3, 0, 0, 0, 0, 0, 0, 0, 0, 0, 0, 0, 1</t>
  </si>
  <si>
    <t>emergency plumber wantagh</t>
  </si>
  <si>
    <t>0, 0, 0, 0, 0, 0, 2, 0, 2, 1, 0, 0, 0, 0, 0, 0, 0, 0, 0, 0, 0, 0, 0, 1</t>
  </si>
  <si>
    <t>emergency plumber freshwater</t>
  </si>
  <si>
    <t>emergency plumber michigan</t>
  </si>
  <si>
    <t>emergency plumber northern beaches</t>
  </si>
  <si>
    <t>1, 3, 5, 10, 2, 2, 6, 6, 7, 6, 11, 9, 2, 4, 7, 13, 4, 1, 0, 1, 0, 0, 1, 1</t>
  </si>
  <si>
    <t>emergency plumber ayrshire</t>
  </si>
  <si>
    <t>0, 0, 0, 0, 1, 0, 2, 0, 0, 0, 0, 1, 0, 1, 0, 0, 0, 0, 0, 0, 0, 0, 0, 1</t>
  </si>
  <si>
    <t>emergency plumber norman ok</t>
  </si>
  <si>
    <t>emergency plumber service hawthorne</t>
  </si>
  <si>
    <t>emergency plumber browns plains</t>
  </si>
  <si>
    <t>emergency plumber magnolia</t>
  </si>
  <si>
    <t>san luis obispo emergency plumber</t>
  </si>
  <si>
    <t>water leak repair black creek</t>
  </si>
  <si>
    <t>1, 0, 0, 0, 0, 0, 2, 0, 0, 0, 1, 0, 0, 0, 0, 0, 0, 0, 0, 0, 0, 0, 0, 1</t>
  </si>
  <si>
    <t>emergency plumber service darra</t>
  </si>
  <si>
    <t>emergency plumber leamington spa</t>
  </si>
  <si>
    <t>0, 0, 0, 1, 2, 1, 0, 2, 3, 3, 0, 0, 0, 0, 0, 0, 0, 1, 0, 0, 0, 0, 0, 1</t>
  </si>
  <si>
    <t>emergency plumber albuquerque</t>
  </si>
  <si>
    <t>kennedale emergency plumber</t>
  </si>
  <si>
    <t>0, 0, 0, 0, 0, 0, 0, 0, 0, 0, 2, 3, 0, 0, 0, 0, 0, 0, 0, 0, 0, 2, 0, 1</t>
  </si>
  <si>
    <t>emergency plumber ermington</t>
  </si>
  <si>
    <t>emergency plumber miami</t>
  </si>
  <si>
    <t>0, 0, 1, 1, 1, 1, 0, 1, 1, 0, 1, 0, 0, 0, 0, 0, 0, 1, 0, 0, 0, 0, 1, 1</t>
  </si>
  <si>
    <t>emergency plumber hastings</t>
  </si>
  <si>
    <t>0, 0, 0, 0, 0, 1, 0, 1, 0, 2, 2, 0, 0, 0, 0, 0, 0, 0, 0, 0, 0, 0, 0, 1</t>
  </si>
  <si>
    <t>flagstaff emergency plumber</t>
  </si>
  <si>
    <t>1, 0, 0, 1, 1, 0, 1, 0, 0, 3, 1, 2, 0, 0, 0, 0, 0, 0, 0, 0, 0, 0, 0, 1</t>
  </si>
  <si>
    <t>emergency plumber avon in</t>
  </si>
  <si>
    <t>24 hour plumber mons</t>
  </si>
  <si>
    <t>water leak repair st. louis</t>
  </si>
  <si>
    <t>0, 0, 0, 1, 0, 0, 1, 0, 2, 1, 1, 0, 0, 0, 0, 0, 0, 0, 0, 0, 0, 0, 0, 1</t>
  </si>
  <si>
    <t>emergency plumber buoyont beach</t>
  </si>
  <si>
    <t>emergency plumber cardiff</t>
  </si>
  <si>
    <t>0, 2, 0, 3, 0, 1, 0, 0, 1, 1, 1, 2, 0, 0, 0, 0, 0, 0, 0, 0, 0, 0, 0, 1</t>
  </si>
  <si>
    <t>24 hour plumber merrimac ma</t>
  </si>
  <si>
    <t>0, 0, 0, 2, 1, 0, 0, 1, 2, 1, 0, 0, 0, 0, 0, 0, 0, 0, 0, 0, 0, 0, 0, 1</t>
  </si>
  <si>
    <t>burst pipe repair costs</t>
  </si>
  <si>
    <t>0, 0, 0, 0, 0, 0, 0, 0, 0, 0, 2, 1, 0, 1, 0, 0, 0, 0, 0, 0, 0, 0, 0, 1</t>
  </si>
  <si>
    <t>emergency plumber fremantle</t>
  </si>
  <si>
    <t>0, 1, 2, 2, 2, 0, 0, 3, 0, 1, 1, 0, 0, 0, 0, 0, 0, 0, 0, 0, 0, 0, 0, 1</t>
  </si>
  <si>
    <t>emergency plumber contractor</t>
  </si>
  <si>
    <t>0, 0, 0, 0, 2, 1, 2, 0, 4, 3, 2, 0, 0, 0, 0, 0, 0, 0, 0, 0, 0, 0, 0, 1</t>
  </si>
  <si>
    <t>water pipe leak repair near me</t>
  </si>
  <si>
    <t>2, 1, 0, 3, 0, 1, 1, 0, 1, 0, 2, 0, 0, 0, 0, 0, 0, 0, 0, 1, 0, 0, 0, 1</t>
  </si>
  <si>
    <t>emergency plumber letchworth garden city</t>
  </si>
  <si>
    <t>0, 0, 0, 0, 0, 0, 1, 0, 0, 0, 2, 0, 0, 0, 0, 0, 0, 0, 0, 0, 0, 0, 0, 1</t>
  </si>
  <si>
    <t>emergency plumber risborough</t>
  </si>
  <si>
    <t>24 hour plumber arvada</t>
  </si>
  <si>
    <t>thermal water leak repair</t>
  </si>
  <si>
    <t>emergency plumber canvey island</t>
  </si>
  <si>
    <t>emergency plumber marathon</t>
  </si>
  <si>
    <t>emergency plumber worcester</t>
  </si>
  <si>
    <t>1, 0, 2, 2, 2, 0, 0, 1, 0, 1, 0, 0, 3, 0, 0, 0, 0, 0, 0, 0, 0, 0, 0, 1</t>
  </si>
  <si>
    <t>emergency plumber charlotte</t>
  </si>
  <si>
    <t>2, 3, 1, 0, 0, 0, 2, 0, 3, 0, 0, 3, 0, 0, 0, 0, 1, 0, 1, 0, 0, 0, 0, 1</t>
  </si>
  <si>
    <t>emergency plumber blue mountains</t>
  </si>
  <si>
    <t>0, 0, 0, 0, 0, 0, 0, 0, 0, 0, 0, 0, 0, 0, 0, 1, 0, 0, 0, 0, 0, 0, 0, 1</t>
  </si>
  <si>
    <t>24 hour plumber ogden utah</t>
  </si>
  <si>
    <t>emergency plumber darlington</t>
  </si>
  <si>
    <t>0, 0, 0, 0, 0, 1, 0, 1, 0, 5, 2, 0, 0, 0, 0, 0, 0, 0, 0, 1, 0, 0, 0, 1</t>
  </si>
  <si>
    <t>sugar land emergency plumber</t>
  </si>
  <si>
    <t>0, 0, 1, 0, 1, 3, 1, 1, 1, 1, 2, 0, 0, 0, 0, 0, 0, 0, 0, 0, 0, 0, 0, 1</t>
  </si>
  <si>
    <t>24-hour plumber aberdeen, nc</t>
  </si>
  <si>
    <t>emergency plumber oklahoma</t>
  </si>
  <si>
    <t>emergency plumber londonderry</t>
  </si>
  <si>
    <t>0, 0, 0, 0, 0, 2, 0, 1, 3, 0, 0, 0, 0, 0, 0, 1, 0, 0, 0, 0, 0, 0, 0, 1</t>
  </si>
  <si>
    <t>emergency plumber leicester</t>
  </si>
  <si>
    <t>0, 0, 1, 1, 2, 0, 1, 0, 0, 3, 3, 0, 1, 0, 0, 0, 0, 0, 0, 0, 0, 0, 0, 1</t>
  </si>
  <si>
    <t>emergency stormwater drain plumber brisbane</t>
  </si>
  <si>
    <t>0, 2, 0, 0, 0, 0, 0, 1, 0, 0, 0, 0, 0, 0, 0, 0, 0, 0, 0, 0, 0, 0, 0, 1</t>
  </si>
  <si>
    <t>pleasant grove utah 24 hour plumber</t>
  </si>
  <si>
    <t>culver city ca emergency plumber</t>
  </si>
  <si>
    <t>24 hour plumber auburn hills mi</t>
  </si>
  <si>
    <t>repair hot water pipe leak</t>
  </si>
  <si>
    <t>emergency plumber universal city tx</t>
  </si>
  <si>
    <t>burst frozen pipe repair</t>
  </si>
  <si>
    <t>water leak repair wollongong</t>
  </si>
  <si>
    <t>emergency plumber neutral bay</t>
  </si>
  <si>
    <t>0, 0, 1, 1, 0, 0, 0, 0, 0, 2, 0, 0, 0, 0, 0, 0, 0, 0, 0, 0, 0, 0, 0, 1</t>
  </si>
  <si>
    <t>tampa fl emergency plumber</t>
  </si>
  <si>
    <t>emergency plumber mansfield tx</t>
  </si>
  <si>
    <t>emergency plumber williamstown</t>
  </si>
  <si>
    <t>0, 0, 1, 2, 2, 0, 3, 1, 2, 1, 1, 0, 0, 0, 0, 0, 0, 0, 0, 0, 0, 0, 0, 1</t>
  </si>
  <si>
    <t>draper utah 24 hour plumber</t>
  </si>
  <si>
    <t>emergency local plumber</t>
  </si>
  <si>
    <t>1, 0, 0, 2, 2, 3, 3, 4, 0, 6, 5, 3, 0, 0, 0, 0, 0, 0, 1, 0, 0, 0, 0, 1</t>
  </si>
  <si>
    <t>emergency plumber in buffalo grove</t>
  </si>
  <si>
    <t>emergency plumber oklahoma city</t>
  </si>
  <si>
    <t>0, 0, 2, 0, 0, 0, 4, 1, 1, 2, 3, 5, 0, 0, 3, 2, 0, 0, 0, 0, 0, 0, 0, 1</t>
  </si>
  <si>
    <t>24 hour plumber polokwane</t>
  </si>
  <si>
    <t>emergency plumber near me hinesville ga</t>
  </si>
  <si>
    <t>emergency plumber tamarama</t>
  </si>
  <si>
    <t>24 hour plumber near me cheap</t>
  </si>
  <si>
    <t>emergency plumber service stones corner</t>
  </si>
  <si>
    <t>emergency plumber addison tx</t>
  </si>
  <si>
    <t>emergency plumber crosby</t>
  </si>
  <si>
    <t>0, 0, 0, 1, 1, 0, 0, 0, 0, 0, 1, 0, 0, 0, 0, 0, 0, 0, 0, 0, 0, 0, 0, 1</t>
  </si>
  <si>
    <t>coquitlam emergency plumber</t>
  </si>
  <si>
    <t>1, 0, 0, 0, 0, 0, 1, 0, 1, 1, 1, 2, 0, 0, 0, 0, 0, 0, 0, 0, 0, 0, 0, 1</t>
  </si>
  <si>
    <t>emergency plumber kilcoy</t>
  </si>
  <si>
    <t>emergency plumber travis county tx</t>
  </si>
  <si>
    <t>basement water leak repair cost</t>
  </si>
  <si>
    <t>emergency plumber clemmons nc</t>
  </si>
  <si>
    <t>0, 0, 0, 0, 0, 0, 2, 0, 1, 2, 1, 1, 0, 0, 0, 0, 0, 0, 0, 0, 0, 0, 0, 1</t>
  </si>
  <si>
    <t>st louis emergency plumber</t>
  </si>
  <si>
    <t>emergency plumber schenectady ny</t>
  </si>
  <si>
    <t>0, 0, 0, 0, 0, 0, 1, 0, 0, 1, 1, 2, 0, 0, 0, 0, 0, 0, 0, 0, 0, 0, 0, 1</t>
  </si>
  <si>
    <t>rv water leak repair</t>
  </si>
  <si>
    <t>emergency plumber lakewood wa</t>
  </si>
  <si>
    <t>0, 1, 0, 0, 1, 2, 0, 0, 0, 0, 0, 0, 0, 0, 0, 0, 0, 0, 0, 0, 0, 0, 0, 1</t>
  </si>
  <si>
    <t>emergency plumber agoura hills ca</t>
  </si>
  <si>
    <t>emergency plumber ri</t>
  </si>
  <si>
    <t>0, 0, 1, 1, 0, 0, 0, 1, 4, 0, 0, 0, 0, 0, 0, 0, 0, 0, 0, 0, 0, 0, 0, 1</t>
  </si>
  <si>
    <t>emergency plumber narrabeen</t>
  </si>
  <si>
    <t>water leak repair companies</t>
  </si>
  <si>
    <t>0, 0, 0, 1, 3, 1, 0, 0, 0, 0, 1, 0, 0, 0, 1, 0, 0, 0, 0, 0, 0, 0, 0, 1</t>
  </si>
  <si>
    <t>emergency plumber in salt lake city</t>
  </si>
  <si>
    <t>emergency plumber carrum downs</t>
  </si>
  <si>
    <t>0, 2, 1, 0, 0, 1, 0, 0, 2, 0, 0, 1, 0, 0, 0, 0, 0, 0, 0, 0, 0, 0, 0, 1</t>
  </si>
  <si>
    <t>emergency plumber amersham</t>
  </si>
  <si>
    <t>2, 0, 0, 1, 0, 0, 0, 0, 0, 0, 0, 0, 0, 0, 0, 0, 0, 0, 0, 0, 0, 0, 0, 1</t>
  </si>
  <si>
    <t>24 hour gas plumber piedmont</t>
  </si>
  <si>
    <t>hinckley emergency plumber</t>
  </si>
  <si>
    <t>emergency plumber colorado springs</t>
  </si>
  <si>
    <t>1, 1, 0, 0, 0, 1, 2, 0, 0, 2, 1, 0, 1, 0, 0, 0, 0, 0, 0, 0, 1, 1, 0, 2</t>
  </si>
  <si>
    <t>emergency plumber prescott valley</t>
  </si>
  <si>
    <t>0, 0, 1, 2, 1, 1, 2, 2, 3, 1, 2, 1, 0, 0, 0, 0, 0, 0, 0, 0, 0, 0, 0, 1</t>
  </si>
  <si>
    <t>emergency plumber in naperville</t>
  </si>
  <si>
    <t>emergency plumber in park city ut</t>
  </si>
  <si>
    <t>24 hour emergency plumber darwin</t>
  </si>
  <si>
    <t>emergency plumber,</t>
  </si>
  <si>
    <t>emergency plumber monrovia</t>
  </si>
  <si>
    <t>local emergency plumber near heathridge</t>
  </si>
  <si>
    <t>katy emergency plumber</t>
  </si>
  <si>
    <t>1, 0, 0, 0, 0, 1, 0, 1, 1, 0, 4, 0, 0, 0, 0, 0, 0, 0, 0, 0, 0, 0, 0, 1</t>
  </si>
  <si>
    <t>emergency plumber ascot vale</t>
  </si>
  <si>
    <t>0, 0, 0, 1, 0, 0, 1, 2, 1, 1, 2, 0, 0, 0, 0, 0, 0, 0, 0, 0, 0, 0, 0, 1</t>
  </si>
  <si>
    <t>emergency plumber ware</t>
  </si>
  <si>
    <t>0, 1, 0, 1, 0, 0, 0, 0, 1, 0, 1, 0, 0, 0, 0, 0, 0, 0, 0, 0, 0, 0, 0, 1</t>
  </si>
  <si>
    <t>emergency plumber louisville</t>
  </si>
  <si>
    <t>0, 0, 1, 0, 0, 1, 1, 0, 2, 3, 2, 0, 0, 0, 0, 0, 0, 0, 0, 0, 0, 0, 0, 1</t>
  </si>
  <si>
    <t>emergency plumber st louis</t>
  </si>
  <si>
    <t>0, 0, 0, 0, 1, 0, 1, 0, 0, 1, 2, 1, 0, 0, 0, 0, 0, 0, 0, 0, 0, 0, 0, 1</t>
  </si>
  <si>
    <t>hot water slab leak repair cost</t>
  </si>
  <si>
    <t>0, 0, 0, 0, 0, 0, 0, 0, 2, 0, 2, 0, 0, 1, 0, 0, 0, 0, 0, 0, 0, 0, 0, 1</t>
  </si>
  <si>
    <t>emergency plumber in w4 london</t>
  </si>
  <si>
    <t>reston emergency plumber</t>
  </si>
  <si>
    <t>24 hour plumber culver city</t>
  </si>
  <si>
    <t>yarra valley emergency plumber</t>
  </si>
  <si>
    <t>college station emergency plumber</t>
  </si>
  <si>
    <t>phoenix az emergency plumber</t>
  </si>
  <si>
    <t>0, 0, 0, 1, 1, 1, 2, 0, 0, 1, 2, 0, 0, 0, 0, 0, 0, 0, 0, 0, 0, 0, 0, 1</t>
  </si>
  <si>
    <t>emergency plumber nashville tn</t>
  </si>
  <si>
    <t>annapolis emergency plumber</t>
  </si>
  <si>
    <t>emergency plumber archway</t>
  </si>
  <si>
    <t>24 hour plumber marana</t>
  </si>
  <si>
    <t>emergency plumber beaumaris</t>
  </si>
  <si>
    <t>0, 1, 1, 2, 0, 0, 0, 0, 1, 0, 0, 0, 0, 0, 0, 0, 0, 0, 0, 0, 0, 0, 0, 1</t>
  </si>
  <si>
    <t>24 hour local plumber</t>
  </si>
  <si>
    <t>0, 0, 0, 0, 0, 0, 0, 0, 1, 0, 0, 0, 0, 0, 0, 0, 1, 0, 4, 0, 0, 0, 0, 1</t>
  </si>
  <si>
    <t>emergency plumber in ealing</t>
  </si>
  <si>
    <t>emergency plumber kearny mesa</t>
  </si>
  <si>
    <t>plumber nyc emergency</t>
  </si>
  <si>
    <t>burst pipe repair services vancouver</t>
  </si>
  <si>
    <t>1, 0, 0, 0, 1, 0, 0, 0, 0, 0, 0, 1, 0, 0, 0, 0, 0, 0, 0, 0, 0, 0, 0, 1</t>
  </si>
  <si>
    <t>emergency plumber mercer county</t>
  </si>
  <si>
    <t>local 24 hour plumber richmond</t>
  </si>
  <si>
    <t>emergency plumber newark</t>
  </si>
  <si>
    <t>emergency plumber aldeburgh</t>
  </si>
  <si>
    <t>emergency plumber canada bay</t>
  </si>
  <si>
    <t>0, 0, 3, 1, 1, 1, 0, 0, 0, 0, 0, 0, 0, 0, 0, 0, 0, 0, 0, 0, 0, 0, 0, 1</t>
  </si>
  <si>
    <t>emergency plumber adkins tx</t>
  </si>
  <si>
    <t>surrey 24 hour plumber</t>
  </si>
  <si>
    <t>emergency plumber orlando</t>
  </si>
  <si>
    <t>0, 0, 0, 1, 0, 0, 1, 0, 0, 2, 2, 0, 2, 0, 0, 0, 0, 0, 0, 0, 0, 0, 0, 1</t>
  </si>
  <si>
    <t>emergency plumber west vancouver</t>
  </si>
  <si>
    <t>0, 0, 0, 1, 0, 1, 0, 1, 0, 0, 0, 0, 0, 0, 0, 0, 0, 0, 0, 0, 0, 0, 0, 1</t>
  </si>
  <si>
    <t>water leak repair invoice</t>
  </si>
  <si>
    <t>0, 0, 0, 1, 0, 0, 2, 0, 1, 0, 0, 10, 1, 0, 0, 0, 1, 0, 0, 0, 2, 2, 2, 3</t>
  </si>
  <si>
    <t>24 hour plumber indianapolis</t>
  </si>
  <si>
    <t>0, 0, 0, 0, 0, 0, 0, 0, 0, 0, 0, 1, 0, 0, 0, 0, 0, 0, 0, 0, 0, 0, 1, 1</t>
  </si>
  <si>
    <t>emergency plumber winston salem</t>
  </si>
  <si>
    <t>emergency plumber placentia</t>
  </si>
  <si>
    <t>0, 0, 0, 0, 0, 0, 1, 0, 2, 0, 1, 0, 0, 0, 0, 0, 0, 0, 0, 0, 0, 0, 0, 1</t>
  </si>
  <si>
    <t>emergency plumber lake oswego</t>
  </si>
  <si>
    <t>emergency plumber chesham</t>
  </si>
  <si>
    <t>emergency plumber san fernando</t>
  </si>
  <si>
    <t>24 hour plumber huntsville al</t>
  </si>
  <si>
    <t>emergency plumber sw1</t>
  </si>
  <si>
    <t>water feature leak repair</t>
  </si>
  <si>
    <t>emergency plumber summerville sc</t>
  </si>
  <si>
    <t>0, 0, 0, 1, 0, 0, 1, 1, 1, 1, 1, 0, 0, 0, 0, 0, 0, 0, 0, 0, 0, 0, 0, 1</t>
  </si>
  <si>
    <t>emergency plumber dunstable</t>
  </si>
  <si>
    <t>emergency plumber peoria il</t>
  </si>
  <si>
    <t>0, 0, 1, 0, 4, 4, 2, 2, 1, 0, 0, 0, 0, 0, 0, 0, 0, 0, 0, 0, 0, 0, 0, 1</t>
  </si>
  <si>
    <t>emergency plumber bronx ny</t>
  </si>
  <si>
    <t>24 hour emergency plumber brighton</t>
  </si>
  <si>
    <t>emergency plumber eugene oregon</t>
  </si>
  <si>
    <t>0, 0, 0, 0, 0, 0, 0, 0, 0, 2, 0, 1, 0, 1, 0, 0, 0, 0, 0, 0, 0, 0, 0, 1</t>
  </si>
  <si>
    <t>emergency plumber driffield</t>
  </si>
  <si>
    <t>0, 0, 0, 1, 0, 1, 0, 0, 2, 0, 0, 0, 0, 0, 0, 0, 0, 0, 0, 0, 0, 0, 0, 1</t>
  </si>
  <si>
    <t>emergency plumber staten island</t>
  </si>
  <si>
    <t>1, 0, 0, 0, 0, 1, 0, 1, 1, 1, 0, 0, 0, 0, 0, 0, 0, 0, 0, 0, 0, 0, 0, 1</t>
  </si>
  <si>
    <t>emergency plumber south africa</t>
  </si>
  <si>
    <t>0, 0, 0, 0, 0, 0, 0, 0, 0, 0, 0, 0, 0, 0, 0, 0, 0, 0, 3, 2, 1, 0, 0, 1</t>
  </si>
  <si>
    <t>emergency plumber leith</t>
  </si>
  <si>
    <t>0, 0, 0, 0, 1, 0, 0, 0, 4, 0, 0, 0, 0, 0, 0, 0, 0, 0, 0, 0, 0, 0, 0, 1</t>
  </si>
  <si>
    <t>24 hour plumber in brooklyn</t>
  </si>
  <si>
    <t>0, 0, 0, 0, 1, 0, 0, 0, 1, 2, 2, 1, 0, 0, 0, 0, 0, 0, 0, 0, 0, 0, 0, 1</t>
  </si>
  <si>
    <t>24 hour plumber costa mesa</t>
  </si>
  <si>
    <t>emergency plumber kensington and chelsea</t>
  </si>
  <si>
    <t>lompoc 24 hour plumber</t>
  </si>
  <si>
    <t>1, 0, 0, 1, 2, 0, 1, 1, 1, 0, 1, 0, 0, 0, 0, 0, 0, 0, 0, 0, 0, 0, 0, 1</t>
  </si>
  <si>
    <t>west palm beach emergency plumber</t>
  </si>
  <si>
    <t>emergency plumber workington</t>
  </si>
  <si>
    <t>emergency plumber west sussex</t>
  </si>
  <si>
    <t>emergency plumber midtown atlanta</t>
  </si>
  <si>
    <t>0, 0, 1, 0, 0, 1, 2, 0, 0, 0, 1, 0, 0, 0, 0, 0, 0, 0, 0, 0, 0, 0, 0, 1</t>
  </si>
  <si>
    <t>louisville emergency plumber</t>
  </si>
  <si>
    <t>emergency plumber surfers paradise</t>
  </si>
  <si>
    <t>burst pipe water damage repair</t>
  </si>
  <si>
    <t>0, 0, 0, 1, 0, 0, 0, 0, 1, 0, 0, 2, 0, 0, 0, 1, 0, 1, 0, 0, 0, 0, 0, 1</t>
  </si>
  <si>
    <t>24 hour plumber detroit</t>
  </si>
  <si>
    <t>emergency plumber geelong</t>
  </si>
  <si>
    <t>0, 2, 0, 0, 0, 1, 0, 2, 4, 6, 5, 0, 0, 0, 0, 0, 0, 0, 0, 0, 1, 0, 0, 1</t>
  </si>
  <si>
    <t>emergency plumber orange county</t>
  </si>
  <si>
    <t>0, 2, 0, 0, 1, 1, 0, 5, 2, 3, 1, 0, 0, 0, 0, 0, 0, 0, 1, 0, 0, 0, 0, 1</t>
  </si>
  <si>
    <t>emergency plumber wildomar</t>
  </si>
  <si>
    <t>24 hour plumber phoenix</t>
  </si>
  <si>
    <t>0, 1, 4, 2, 3, 6, 4, 3, 3, 1, 6, 6, 2, 2, 0, 0, 3, 3, 4, 0, 2, 0, 4, 1</t>
  </si>
  <si>
    <t>emergency plumber in lawrenceville</t>
  </si>
  <si>
    <t>0, 0, 0, 1, 0, 1, 0, 1, 1, 0, 1, 0, 0, 0, 0, 0, 0, 0, 0, 0, 0, 0, 0, 1</t>
  </si>
  <si>
    <t>emergency plumber causeway lake</t>
  </si>
  <si>
    <t>emergency plumber edmond</t>
  </si>
  <si>
    <t>0, 0, 0, 0, 0, 0, 0, 0, 1, 3, 1, 1, 0, 2, 0, 0, 0, 0, 0, 0, 1, 0, 0, 1</t>
  </si>
  <si>
    <t>cardiff emergency plumber</t>
  </si>
  <si>
    <t>emergency plumber 80004</t>
  </si>
  <si>
    <t>tap leaking repair</t>
  </si>
  <si>
    <t>0, 1, 0, 1, 1, 1, 3, 1, 0, 0, 0, 1, 0, 0, 0, 1, 0, 0, 0, 0, 0, 0, 0, 1</t>
  </si>
  <si>
    <t>24 hour plumber image flat</t>
  </si>
  <si>
    <t>0, 0, 0, 0, 1, 1, 0, 0, 1, 0, 1, 0, 0, 0, 0, 0, 0, 0, 0, 0, 0, 0, 0, 1</t>
  </si>
  <si>
    <t>emergency plumber near bloomingdale</t>
  </si>
  <si>
    <t>little rock emergency plumber</t>
  </si>
  <si>
    <t>emergency plumber minster</t>
  </si>
  <si>
    <t>24 hour plumber brackenfell</t>
  </si>
  <si>
    <t>emergency plumber bergen</t>
  </si>
  <si>
    <t>blocked toilet plumber perth</t>
  </si>
  <si>
    <t>0, 0, 0, 0, 0, 0, 0, 0, 1, 1, 1, 0, 1, 1, 0, 0, 0, 0, 0, 0, 1, 0, 0, 1</t>
  </si>
  <si>
    <t>emergency plumber gravesend</t>
  </si>
  <si>
    <t>0, 0, 1, 1, 3, 1, 1, 2, 2, 1, 1, 0, 0, 0, 0, 0, 0, 0, 0, 0, 0, 0, 0, 1</t>
  </si>
  <si>
    <t>water tank leak repair tape</t>
  </si>
  <si>
    <t>emergency plumber oak lawn il</t>
  </si>
  <si>
    <t>emergency plumber kelso</t>
  </si>
  <si>
    <t>emergency plumber kogarah</t>
  </si>
  <si>
    <t>water leak repair grapevine</t>
  </si>
  <si>
    <t>emergency plumber broomfield</t>
  </si>
  <si>
    <t>emergency plumber erdington</t>
  </si>
  <si>
    <t>24-hour cheap plumber near me</t>
  </si>
  <si>
    <t>emergency plumber clarksburg md</t>
  </si>
  <si>
    <t>0, 0, 0, 0, 0, 1, 0, 0, 0, 1, 5, 0, 0, 0, 0, 0, 0, 0, 0, 0, 0, 0, 0, 1</t>
  </si>
  <si>
    <t>24 hour plumber akron</t>
  </si>
  <si>
    <t>emergency plumber cannock</t>
  </si>
  <si>
    <t>0, 0, 1, 1, 0, 3, 2, 2, 1, 2, 2, 0, 0, 0, 0, 0, 0, 0, 0, 0, 0, 0, 0, 1</t>
  </si>
  <si>
    <t>emergency plumber round rock tx</t>
  </si>
  <si>
    <t>emergency plumber harrisburg</t>
  </si>
  <si>
    <t>0, 1, 1, 0, 0, 0, 0, 1, 0, 3, 3, 0, 0, 0, 0, 0, 0, 1, 0, 0, 0, 0, 0, 1</t>
  </si>
  <si>
    <t>emergency plumber near me louisville</t>
  </si>
  <si>
    <t>0, 0, 0, 0, 0, 0, 3, 1, 1, 0, 2, 0, 0, 0, 0, 0, 0, 0, 0, 0, 0, 0, 0, 1</t>
  </si>
  <si>
    <t>walsall 24 hour plumber</t>
  </si>
  <si>
    <t>emergency plumber in fort lauderdale</t>
  </si>
  <si>
    <t>0, 0, 1, 1, 0, 0, 0, 0, 1, 0, 0, 0, 0, 0, 0, 0, 0, 0, 0, 0, 0, 0, 0, 1</t>
  </si>
  <si>
    <t>24 hour plumber kraaifontein</t>
  </si>
  <si>
    <t>water leak repair paint</t>
  </si>
  <si>
    <t>jacksonville emergency plumber</t>
  </si>
  <si>
    <t>0, 2, 2, 1, 0, 0, 0, 0, 1, 2, 1, 0, 0, 0, 0, 0, 0, 0, 0, 0, 0, 0, 0, 1</t>
  </si>
  <si>
    <t>24 hour plumber springdale</t>
  </si>
  <si>
    <t>lake city sc emergency plumber</t>
  </si>
  <si>
    <t>0, 0, 0, 0, 0, 0, 0, 0, 0, 3, 3, 0, 0, 0, 0, 0, 0, 0, 0, 0, 0, 0, 0, 1</t>
  </si>
  <si>
    <t>emergency plumber port moody</t>
  </si>
  <si>
    <t>1, 0, 1, 1, 0, 0, 0, 0, 0, 0, 1, 0, 0, 0, 0, 0, 0, 0, 0, 0, 0, 0, 0, 1</t>
  </si>
  <si>
    <t>24 hour plumber albury</t>
  </si>
  <si>
    <t>emergency plumber dalkeith</t>
  </si>
  <si>
    <t>repair water tank leak</t>
  </si>
  <si>
    <t>0, 0, 0, 0, 2, 0, 3, 0, 3, 2, 0, 0, 0, 0, 1, 1, 1, 0, 0, 0, 0, 1, 0, 1</t>
  </si>
  <si>
    <t>burst &amp; frozen pipe repair in montgomery county</t>
  </si>
  <si>
    <t>emergency plumber haverhill</t>
  </si>
  <si>
    <t>burnsville emergency plumber</t>
  </si>
  <si>
    <t>0, 1, 1, 0, 2, 2, 0, 1, 2, 0, 1, 0, 0, 0, 0, 0, 0, 0, 0, 0, 0, 0, 0, 1</t>
  </si>
  <si>
    <t>emergency plumber white hills</t>
  </si>
  <si>
    <t>0, 0, 0, 0, 0, 2, 0, 1, 1, 0, 1, 0, 0, 0, 0, 0, 0, 0, 0, 0, 0, 0, 0, 1</t>
  </si>
  <si>
    <t>24 hour plumber near me decatur</t>
  </si>
  <si>
    <t>0, 1, 1, 1, 1, 0, 1, 0, 0, 0, 0, 0, 0, 0, 0, 0, 0, 0, 0, 0, 0, 0, 0, 1</t>
  </si>
  <si>
    <t>emergency plumber carmel</t>
  </si>
  <si>
    <t>0, 0, 0, 0, 0, 0, 0, 3, 4, 2, 2, 2, 0, 0, 0, 0, 0, 0, 0, 0, 0, 0, 0, 1</t>
  </si>
  <si>
    <t>emergency plumber vauxhall</t>
  </si>
  <si>
    <t>emergency plumber belconnen</t>
  </si>
  <si>
    <t>0, 0, 1, 0, 0, 0, 0, 0, 0, 0, 1, 0, 0, 1, 0, 0, 0, 0, 0, 0, 0, 0, 0, 1</t>
  </si>
  <si>
    <t>emergency plumber dublin 8</t>
  </si>
  <si>
    <t>0, 0, 1, 1, 0, 0, 0, 2, 0, 0, 0, 0, 0, 0, 0, 0, 0, 0, 0, 0, 0, 0, 0, 1</t>
  </si>
  <si>
    <t>24 hour plumber garland tx</t>
  </si>
  <si>
    <t>emergency plumber edmond ok</t>
  </si>
  <si>
    <t>24 hour emergency plumber sydney</t>
  </si>
  <si>
    <t>0, 1, 0, 0, 2, 0, 0, 2, 0, 2, 1, 0, 0, 0, 0, 0, 0, 0, 0, 0, 0, 0, 0, 1</t>
  </si>
  <si>
    <t>emergency plumber angel</t>
  </si>
  <si>
    <t>emergency plumber amador pines</t>
  </si>
  <si>
    <t>0, 0, 0, 0, 0, 0, 0, 0, 0, 0, 1, 3, 0, 0, 0, 0, 0, 0, 0, 0, 0, 0, 0, 1</t>
  </si>
  <si>
    <t>katy 24-hour plumber</t>
  </si>
  <si>
    <t>0, 0, 0, 1, 2, 2, 2, 0, 5, 1, 1, 0, 0, 0, 0, 0, 0, 0, 0, 0, 0, 0, 0, 1</t>
  </si>
  <si>
    <t>emergency plumber aylesbury</t>
  </si>
  <si>
    <t>0, 1, 0, 0, 1, 0, 0, 2, 0, 2, 0, 0, 0, 0, 0, 0, 0, 0, 0, 0, 0, 0, 0, 1</t>
  </si>
  <si>
    <t>emergency plumber riverton</t>
  </si>
  <si>
    <t>monterey emergency plumber</t>
  </si>
  <si>
    <t>emergency plumber taos</t>
  </si>
  <si>
    <t>emergency plumber kirrawee</t>
  </si>
  <si>
    <t>local emergency plumber near belmont</t>
  </si>
  <si>
    <t>water leak foundation repair</t>
  </si>
  <si>
    <t>2, 0, 0, 0, 0, 1, 1, 2, 3, 1, 2, 0, 0, 0, 0, 0, 0, 0, 0, 0, 0, 0, 0, 1</t>
  </si>
  <si>
    <t>repair a leaking tap</t>
  </si>
  <si>
    <t>0, 0, 1, 2, 1, 0, 1, 10, 0, 0, 0, 0, 0, 0, 1, 0, 2, 0, 2, 1, 0, 3, 2, 1</t>
  </si>
  <si>
    <t>emergency plumber queens ny</t>
  </si>
  <si>
    <t>0, 0, 0, 0, 0, 0, 1, 1, 1, 2, 2, 0, 0, 0, 0, 0, 0, 0, 0, 0, 0, 0, 0, 1</t>
  </si>
  <si>
    <t>emergency plumber taranganba</t>
  </si>
  <si>
    <t>0, 0, 0, 0, 0, 0, 1, 2, 2, 1, 0, 0, 0, 0, 0, 0, 0, 0, 0, 0, 0, 0, 0, 1</t>
  </si>
  <si>
    <t>grand forks emergency plumber</t>
  </si>
  <si>
    <t>emergency plumber midlothian tx</t>
  </si>
  <si>
    <t>24 hour plumber bogota</t>
  </si>
  <si>
    <t>emergency plumber yulee fl</t>
  </si>
  <si>
    <t>0, 0, 1, 0, 1, 0, 0, 2, 0, 2, 3, 1, 0, 0, 0, 0, 0, 0, 0, 0, 0, 0, 0, 1</t>
  </si>
  <si>
    <t>emergency plumber service manly west</t>
  </si>
  <si>
    <t>chicago emergency plumber</t>
  </si>
  <si>
    <t>0, 1, 0, 1, 1, 0, 0, 1, 2, 1, 2, 0, 0, 0, 0, 0, 0, 0, 0, 0, 0, 0, 0, 1</t>
  </si>
  <si>
    <t>emergency plumber raleigh nc</t>
  </si>
  <si>
    <t>1, 0, 0, 1, 0, 0, 2, 1, 3, 3, 3, 2, 0, 0, 0, 0, 0, 0, 0, 0, 0, 0, 0, 1</t>
  </si>
  <si>
    <t>water line leak repair roswell ga</t>
  </si>
  <si>
    <t>emergency plumber mckinney tx</t>
  </si>
  <si>
    <t>0, 0, 0, 0, 0, 0, 1, 0, 0, 2, 5, 4, 2, 0, 0, 0, 0, 2, 0, 0, 0, 0, 0, 1</t>
  </si>
  <si>
    <t>emergency plumber wahiawa</t>
  </si>
  <si>
    <t>water pipe burst repair</t>
  </si>
  <si>
    <t>0, 2, 1, 0, 2, 1, 2, 3, 2, 3, 2, 2, 2, 2, 0, 0, 1, 0, 0, 1, 3, 1, 0, 2</t>
  </si>
  <si>
    <t>emergency plumber woodbridge</t>
  </si>
  <si>
    <t>0, 0, 0, 0, 0, 0, 1, 1, 1, 2, 1, 0, 0, 0, 0, 2, 0, 0, 0, 0, 0, 0, 0, 1</t>
  </si>
  <si>
    <t>emergency plumber katy tx</t>
  </si>
  <si>
    <t>0, 0, 1, 0, 2, 1, 0, 3, 0, 5, 2, 5, 1, 0, 0, 0, 0, 0, 1, 0, 0, 1, 0, 1</t>
  </si>
  <si>
    <t>emergency plumber wembley park</t>
  </si>
  <si>
    <t>emergency plumber central london</t>
  </si>
  <si>
    <t>0, 0, 1, 0, 1, 1, 0, 0, 0, 1, 2, 0, 0, 0, 0, 0, 0, 0, 0, 0, 0, 0, 0, 1</t>
  </si>
  <si>
    <t>emergency plumber bundaberg</t>
  </si>
  <si>
    <t>emergency plumber east brentwood</t>
  </si>
  <si>
    <t>plumber water leak repair</t>
  </si>
  <si>
    <t>0, 0, 0, 1, 1, 1, 1, 5, 6, 5, 2, 16, 0, 0, 0, 0, 0, 0, 0, 0, 1, 0, 0, 1</t>
  </si>
  <si>
    <t>24 7 emergency plumber hornsby</t>
  </si>
  <si>
    <t>0, 0, 0, 0, 0, 0, 1, 3, 0, 0, 1, 2, 1, 0, 1, 0, 0, 0, 0, 0, 0, 0, 0, 1</t>
  </si>
  <si>
    <t>emergency plumber melbourne</t>
  </si>
  <si>
    <t>2, 7, 6, 8, 12, 12, 7, 11, 14, 19, 19, 2, 2, 4, 2, 1, 2, 2, 0, 0, 0, 1, 0, 1</t>
  </si>
  <si>
    <t>emergency plumber oahu</t>
  </si>
  <si>
    <t>emergency plumber joondalup</t>
  </si>
  <si>
    <t>0, 0, 1, 0, 1, 2, 1, 3, 0, 3, 5, 1, 0, 0, 0, 0, 0, 0, 0, 0, 0, 0, 1, 1</t>
  </si>
  <si>
    <t>water leak car repair cost</t>
  </si>
  <si>
    <t>2, 8, 5, 3, 3, 2, 3, 4, 3, 8, 4, 3, 1, 2, 1, 0, 2, 0, 0, 0, 0, 0, 0, 1</t>
  </si>
  <si>
    <t>24 hour plumber roto rooter</t>
  </si>
  <si>
    <t>emergency plumber garner</t>
  </si>
  <si>
    <t>lehi utah 24 hour plumber</t>
  </si>
  <si>
    <t>water leak ceiling repair</t>
  </si>
  <si>
    <t>0, 0, 1, 1, 0, 0, 0, 1, 0, 1, 1, 0, 0, 0, 0, 0, 0, 0, 0, 0, 1, 0, 0, 1</t>
  </si>
  <si>
    <t>emergency plumber flemington</t>
  </si>
  <si>
    <t>emergency plumber grays</t>
  </si>
  <si>
    <t>emergency plumber east greenwich</t>
  </si>
  <si>
    <t>emergency plumber great dunmow</t>
  </si>
  <si>
    <t>chardon emergency plumber</t>
  </si>
  <si>
    <t>24 hour plumber in twickenham</t>
  </si>
  <si>
    <t>emergency plumber prahan</t>
  </si>
  <si>
    <t>emergency plumber herrin il</t>
  </si>
  <si>
    <t>emergency plumber helotes</t>
  </si>
  <si>
    <t>0, 1, 0, 0, 0, 0, 0, 0, 2, 4, 1, 0, 0, 0, 0, 0, 0, 0, 0, 0, 0, 0, 0, 1</t>
  </si>
  <si>
    <t>emergency plumber lilydale</t>
  </si>
  <si>
    <t>emergency plumber bondi</t>
  </si>
  <si>
    <t>0, 1, 0, 0, 1, 3, 0, 2, 2, 2, 2, 0, 0, 0, 0, 1, 0, 0, 0, 0, 0, 0, 0, 1</t>
  </si>
  <si>
    <t>baulkham hills emergency plumber</t>
  </si>
  <si>
    <t>0, 0, 2, 1, 1, 1, 0, 0, 0, 0, 2, 0, 0, 0, 0, 0, 0, 0, 0, 0, 0, 0, 0, 1</t>
  </si>
  <si>
    <t>emergency plumber memphis</t>
  </si>
  <si>
    <t>1, 0, 0, 0, 0, 0, 1, 1, 0, 0, 1, 0, 0, 0, 0, 0, 0, 0, 0, 0, 0, 0, 0, 1</t>
  </si>
  <si>
    <t>emergency plumber louisiana</t>
  </si>
  <si>
    <t>24/7 emergency plumber near me</t>
  </si>
  <si>
    <t>2, 0, 0, 0, 2, 2, 1, 2, 1, 2, 1, 0, 0, 0, 0, 0, 0, 0, 0, 0, 2, 0, 0, 1</t>
  </si>
  <si>
    <t>emergency plumber houston tx</t>
  </si>
  <si>
    <t>0, 2, 0, 0, 1, 0, 0, 1, 1, 1, 1, 3, 0, 0, 0, 0, 0, 0, 0, 0, 0, 2, 0, 1</t>
  </si>
  <si>
    <t>24 hour plumber rosemount</t>
  </si>
  <si>
    <t>emergency plumber melton</t>
  </si>
  <si>
    <t>24 hour plumber singapore</t>
  </si>
  <si>
    <t>0, 1, 0, 3, 2, 3, 0, 1, 0, 2, 2, 1, 0, 0, 0, 0, 0, 0, 0, 0, 0, 0, 0, 1</t>
  </si>
  <si>
    <t>emergency plumber wisbech</t>
  </si>
  <si>
    <t>emergency plumber kent</t>
  </si>
  <si>
    <t>0, 1, 0, 0, 3, 1, 0, 1, 1, 2, 2, 0, 0, 0, 1, 0, 0, 0, 0, 0, 2, 0, 0, 2</t>
  </si>
  <si>
    <t>emergency plumber dunedin</t>
  </si>
  <si>
    <t>0, 0, 0, 0, 1, 0, 0, 1, 0, 1, 0, 0, 0, 0, 0, 0, 0, 0, 0, 0, 0, 0, 1, 1</t>
  </si>
  <si>
    <t>emergency plumber wakefield</t>
  </si>
  <si>
    <t>0, 0, 0, 0, 0, 0, 2, 1, 2, 0, 1, 3, 0, 0, 0, 0, 0, 0, 0, 0, 0, 0, 0, 1</t>
  </si>
  <si>
    <t>leaking kitchen tap repair</t>
  </si>
  <si>
    <t>0, 0, 1, 0, 0, 1, 0, 0, 0, 0, 1, 1, 0, 2, 1, 1, 0, 2, 0, 0, 2, 0, 1, 1</t>
  </si>
  <si>
    <t>emergency plumber espanola</t>
  </si>
  <si>
    <t>emergency plumber greenwich</t>
  </si>
  <si>
    <t>0, 0, 0, 0, 0, 0, 0, 2, 2, 2, 0, 0, 0, 0, 0, 0, 0, 0, 0, 0, 0, 0, 0, 1</t>
  </si>
  <si>
    <t>emergency plumber morley</t>
  </si>
  <si>
    <t>0, 0, 0, 0, 0, 0, 3, 0, 2, 1, 1, 0, 0, 0, 0, 0, 0, 0, 0, 0, 0, 0, 0, 1</t>
  </si>
  <si>
    <t>emergency plumber streatham hill</t>
  </si>
  <si>
    <t>0, 0, 0, 0, 0, 1, 0, 1, 2, 1, 0, 1, 0, 0, 0, 0, 0, 2, 0, 0, 0, 0, 0, 1</t>
  </si>
  <si>
    <t>sharonville emergency plumber</t>
  </si>
  <si>
    <t>24 hour plumber garland</t>
  </si>
  <si>
    <t>ceiling damage water leak repair</t>
  </si>
  <si>
    <t>0, 0, 4, 0, 0, 0, 4, 0, 0, 0, 0, 0, 0, 0, 0, 0, 0, 0, 0, 0, 1, 0, 0, 1</t>
  </si>
  <si>
    <t>emergency plumber brighton</t>
  </si>
  <si>
    <t>1, 1, 1, 0, 2, 4, 3, 6, 7, 6, 2, 3, 1, 0, 0, 0, 0, 0, 2, 1, 0, 0, 0, 1</t>
  </si>
  <si>
    <t>24 hour plumber liverpool</t>
  </si>
  <si>
    <t>1, 1, 0, 1, 0, 0, 0, 1, 2, 2, 1, 0, 0, 0, 0, 0, 0, 0, 0, 0, 0, 0, 0, 1</t>
  </si>
  <si>
    <t>24 hour plumber eastbourne</t>
  </si>
  <si>
    <t>lake havasu city az emergency plumber</t>
  </si>
  <si>
    <t>0, 0, 0, 0, 0, 0, 0, 0, 0, 0, 3, 0, 0, 0, 0, 0, 0, 1, 0, 0, 0, 0, 0, 1</t>
  </si>
  <si>
    <t>emergency plumber boyton beach</t>
  </si>
  <si>
    <t>0, 0, 0, 0, 1, 0, 0, 0, 1, 1, 0, 3, 0, 0, 0, 0, 0, 0, 0, 0, 0, 0, 0, 1</t>
  </si>
  <si>
    <t>24 hour gas plumber easley</t>
  </si>
  <si>
    <t>24 hour plumber roseville</t>
  </si>
  <si>
    <t>1, 0, 0, 0, 0, 0, 1, 0, 0, 0, 0, 0, 1, 0, 0, 0, 0, 0, 0, 0, 0, 0, 0, 1</t>
  </si>
  <si>
    <t>emergency plumber mackay</t>
  </si>
  <si>
    <t>0, 1, 0, 2, 0, 1, 0, 0, 0, 0, 2, 0, 0, 0, 0, 0, 0, 0, 0, 0, 0, 0, 0, 1</t>
  </si>
  <si>
    <t>emergency plumber richmond hill</t>
  </si>
  <si>
    <t>1, 1, 0, 0, 0, 1, 1, 0, 1, 0, 2, 0, 0, 0, 0, 0, 0, 0, 0, 0, 0, 0, 0, 1</t>
  </si>
  <si>
    <t>emergency plumber tonbridge</t>
  </si>
  <si>
    <t>0, 0, 0, 1, 0, 0, 0, 0, 2, 0, 0, 1, 0, 0, 0, 0, 0, 0, 0, 0, 0, 0, 0, 1</t>
  </si>
  <si>
    <t>ceiling water leak repair cape town</t>
  </si>
  <si>
    <t>0, 0, 0, 0, 0, 0, 0, 0, 0, 0, 0, 0, 0, 0, 0, 0, 0, 0, 0, 12, 29, 9, 0, 13</t>
  </si>
  <si>
    <t>24-hour plumber blue springs</t>
  </si>
  <si>
    <t>0, 0, 0, 0, 0, 0, 0, 1, 0, 0, 1, 0, 0, 0, 0, 0, 0, 0, 0, 0, 0, 3, 0, 2</t>
  </si>
  <si>
    <t>emergency plumber medway</t>
  </si>
  <si>
    <t>0, 0, 3, 0, 0, 1, 0, 3, 0, 1, 2, 0, 0, 0, 0, 0, 0, 0, 0, 0, 0, 0, 0, 1</t>
  </si>
  <si>
    <t>emergency plumber evanston</t>
  </si>
  <si>
    <t>emergency plumber brookville</t>
  </si>
  <si>
    <t>0, 0, 0, 0, 0, 0, 0, 3, 0, 2, 0, 0, 0, 0, 0, 0, 0, 0, 0, 0, 0, 0, 0, 1</t>
  </si>
  <si>
    <t>emergency plumber near me pooler ga</t>
  </si>
  <si>
    <t>wylie emergency plumber</t>
  </si>
  <si>
    <t>0, 0, 0, 0, 0, 0, 0, 0, 0, 0, 6, 1, 0, 0, 0, 0, 0, 0, 0, 0, 0, 0, 0, 1</t>
  </si>
  <si>
    <t>emergency plumber service in southampton</t>
  </si>
  <si>
    <t>0, 0, 0, 0, 0, 0, 1, 1, 0, 0, 1, 0, 0, 0, 0, 0, 0, 0, 0, 0, 0, 0, 0, 1</t>
  </si>
  <si>
    <t>emergency plumber maylands</t>
  </si>
  <si>
    <t>0, 0, 0, 0, 0, 0, 0, 2, 1, 1, 3, 0, 2, 0, 0, 0, 0, 0, 0, 0, 0, 0, 0, 1</t>
  </si>
  <si>
    <t>emergency plumber ajax</t>
  </si>
  <si>
    <t>1, 0, 0, 0, 1, 0, 0, 1, 2, 0, 1, 0, 0, 0, 0, 0, 0, 0, 0, 0, 0, 0, 0, 1</t>
  </si>
  <si>
    <t>emergency plumber bayswater</t>
  </si>
  <si>
    <t>0, 1, 2, 0, 0, 1, 2, 2, 3, 1, 4, 0, 0, 0, 0, 0, 0, 0, 0, 0, 0, 0, 0, 1</t>
  </si>
  <si>
    <t>24 hour emergency plumber service</t>
  </si>
  <si>
    <t>0, 0, 0, 0, 0, 1, 0, 0, 0, 1, 1, 2, 3, 3, 4, 0, 0, 0, 0, 0, 0, 0, 0, 1</t>
  </si>
  <si>
    <t>allen emergency plumber</t>
  </si>
  <si>
    <t>0, 0, 0, 0, 0, 0, 0, 0, 0, 0, 2, 4, 0, 0, 0, 0, 0, 0, 1, 0, 0, 0, 0, 1</t>
  </si>
  <si>
    <t>emergency plumber in los angeles</t>
  </si>
  <si>
    <t>emergency 24 hour plumber</t>
  </si>
  <si>
    <t>0, 1, 0, 2, 3, 1, 2, 0, 4, 5, 4, 0, 0, 0, 1, 0, 2, 0, 0, 1, 1, 0, 0, 1</t>
  </si>
  <si>
    <t>emergency plumber frodsham</t>
  </si>
  <si>
    <t>burst pipe repair redwood city</t>
  </si>
  <si>
    <t>24 hour plumber oceanside</t>
  </si>
  <si>
    <t>0, 0, 0, 0, 1, 0, 0, 0, 3, 0, 0, 0, 0, 0, 0, 0, 0, 0, 0, 0, 0, 0, 0, 1</t>
  </si>
  <si>
    <t>local emergency plumber near medina</t>
  </si>
  <si>
    <t>24 hour plumber service near me</t>
  </si>
  <si>
    <t>1, 0, 2, 0, 2, 1, 0, 3, 5, 2, 6, 2, 0, 0, 1, 2, 0, 1, 10, 0, 0, 3, 1, 2</t>
  </si>
  <si>
    <t>emergency plumber service penrith</t>
  </si>
  <si>
    <t>virginia beach emergency plumber</t>
  </si>
  <si>
    <t>0, 0, 0, 0, 1, 1, 0, 0, 0, 0, 0, 1, 0, 0, 0, 0, 0, 0, 0, 0, 0, 0, 0, 1</t>
  </si>
  <si>
    <t>emergency plumber bexley</t>
  </si>
  <si>
    <t>0, 2, 0, 1, 0, 0, 1, 0, 0, 0, 0, 0, 0, 0, 0, 0, 0, 0, 0, 0, 0, 0, 0, 1</t>
  </si>
  <si>
    <t>emergency plumber ramsgate</t>
  </si>
  <si>
    <t>0, 0, 0, 0, 0, 2, 0, 0, 0, 0, 0, 0, 0, 0, 0, 0, 1, 4, 0, 0, 0, 0, 0, 1</t>
  </si>
  <si>
    <t>emergency plumber toronto</t>
  </si>
  <si>
    <t>0, 0, 6, 6, 0, 2, 7, 5, 3, 1, 2, 2, 0, 0, 0, 0, 1, 0, 0, 1, 0, 0, 0, 1</t>
  </si>
  <si>
    <t>emergency plumber brisbane southside</t>
  </si>
  <si>
    <t>0, 0, 1, 1, 4, 0, 4, 1, 2, 2, 1, 5, 0, 0, 0, 0, 0, 0, 0, 0, 0, 0, 0, 1</t>
  </si>
  <si>
    <t>emergency plumber south amboy nj</t>
  </si>
  <si>
    <t>24 hour plumber olathe</t>
  </si>
  <si>
    <t>emergency plumber colts neck nj</t>
  </si>
  <si>
    <t>24 hour plumber altanta</t>
  </si>
  <si>
    <t>water tank leak repair cost</t>
  </si>
  <si>
    <t>2, 1, 1, 2, 1, 2, 0, 0, 0, 1, 0, 0, 1, 2, 1, 2, 1, 0, 0, 2, 1, 1, 0, 2</t>
  </si>
  <si>
    <t>emergency plumber fairy meadow</t>
  </si>
  <si>
    <t>0, 0, 0, 0, 0, 0, 2, 1, 1, 1, 1, 0, 0, 0, 0, 0, 0, 0, 0, 0, 0, 0, 0, 1</t>
  </si>
  <si>
    <t>scv emergency plumber</t>
  </si>
  <si>
    <t>north bethesda md emergency plumber</t>
  </si>
  <si>
    <t>0, 0, 0, 0, 0, 0, 1, 0, 0, 0, 0, 3, 0, 0, 0, 0, 0, 1, 0, 0, 1, 1, 0, 1</t>
  </si>
  <si>
    <t>emergency plumber broadway, nc</t>
  </si>
  <si>
    <t>water leak repair poetry</t>
  </si>
  <si>
    <t>emergency plumber ahuimanu</t>
  </si>
  <si>
    <t>2, 0, 0, 2, 1, 0, 1, 0, 0, 0, 0, 0, 1, 0, 0, 0, 0, 0, 0, 0, 0, 0, 0, 1</t>
  </si>
  <si>
    <t>emergency plumber newton ma</t>
  </si>
  <si>
    <t>0, 0, 0, 0, 0, 0, 0, 0, 0, 0, 0, 4, 0, 1, 0, 0, 0, 0, 0, 0, 0, 0, 0, 1</t>
  </si>
  <si>
    <t>water leak repair service abbotsford</t>
  </si>
  <si>
    <t>0, 0, 0, 1, 2, 1, 0, 0, 1, 0, 0, 0, 0, 0, 0, 0, 0, 0, 0, 0, 0, 0, 0, 1</t>
  </si>
  <si>
    <t>emergency plumber muncie in</t>
  </si>
  <si>
    <t>emergency plumber upland</t>
  </si>
  <si>
    <t>emergency plumber wavell heights</t>
  </si>
  <si>
    <t>mount airy emergency plumber</t>
  </si>
  <si>
    <t>emergency plumber obi obi</t>
  </si>
  <si>
    <t>0, 0, 0, 1, 1, 1, 0, 0, 0, 0, 1, 0, 0, 0, 0, 0, 0, 0, 0, 0, 0, 0, 0, 1</t>
  </si>
  <si>
    <t>emergency plumber in arlington</t>
  </si>
  <si>
    <t>0, 1, 0, 0, 0, 0, 0, 0, 0, 0, 0, 0, 0, 0, 0, 0, 0, 1, 0, 0, 0, 0, 0, 1</t>
  </si>
  <si>
    <t>emergency plumber dublin 9</t>
  </si>
  <si>
    <t>emergency plumber avonmouth</t>
  </si>
  <si>
    <t>24 hour plumber santa clarita</t>
  </si>
  <si>
    <t>emergency plumber rome</t>
  </si>
  <si>
    <t>0, 1, 1, 0, 0, 0, 0, 1, 0, 0, 0, 0, 0, 0, 0, 0, 0, 0, 0, 0, 0, 0, 0, 1</t>
  </si>
  <si>
    <t>emergency plumber alexandria va</t>
  </si>
  <si>
    <t>0, 0, 0, 1, 0, 0, 1, 0, 2, 0, 0, 1, 0, 0, 0, 0, 0, 0, 0, 0, 0, 0, 0, 1</t>
  </si>
  <si>
    <t>emergency plumber nsw</t>
  </si>
  <si>
    <t>0, 0, 0, 0, 1, 0, 2, 2, 1, 0, 0, 0, 0, 0, 0, 0, 0, 0, 0, 0, 0, 0, 0, 1</t>
  </si>
  <si>
    <t>los angeles 24 hour plumber</t>
  </si>
  <si>
    <t>water leak repair services layton</t>
  </si>
  <si>
    <t>emergency plumber st neots</t>
  </si>
  <si>
    <t>0, 0, 0, 0, 1, 0, 0, 4, 0, 0, 0, 0, 0, 0, 0, 0, 0, 0, 0, 0, 0, 0, 0, 1</t>
  </si>
  <si>
    <t>calgary emergency plumber</t>
  </si>
  <si>
    <t>0, 0, 0, 0, 1, 0, 1, 1, 1, 2, 4, 0, 0, 0, 0, 0, 0, 0, 0, 0, 0, 0, 0, 1</t>
  </si>
  <si>
    <t>24 hour plumber bli bli</t>
  </si>
  <si>
    <t>germantown md emergency plumber</t>
  </si>
  <si>
    <t>1, 0, 1, 0, 0, 0, 0, 0, 1, 3, 2, 0, 0, 0, 0, 0, 0, 0, 0, 0, 0, 0, 0, 1</t>
  </si>
  <si>
    <t>emergency plumber wichita ks</t>
  </si>
  <si>
    <t>1, 1, 0, 0, 2, 0, 0, 0, 0, 0, 0, 0, 0, 0, 0, 0, 0, 0, 0, 0, 0, 0, 0, 1</t>
  </si>
  <si>
    <t>24 hour plumber in phoenix</t>
  </si>
  <si>
    <t>0, 0, 0, 1, 0, 2, 0, 0, 1, 0, 0, 0, 1, 0, 0, 0, 0, 0, 0, 0, 0, 0, 0, 1</t>
  </si>
  <si>
    <t>24 hour emergency plumber miami</t>
  </si>
  <si>
    <t>0, 0, 0, 1, 0, 0, 0, 0, 0, 0, 1, 1, 0, 0, 0, 0, 0, 0, 0, 0, 0, 0, 0, 1</t>
  </si>
  <si>
    <t>emergency plumber chicago il</t>
  </si>
  <si>
    <t>emergency plumber melbourne fl</t>
  </si>
  <si>
    <t>emergency plumber sutton coldfield</t>
  </si>
  <si>
    <t>2, 5, 4, 4, 3, 0, 4, 3, 7, 9, 3, 0, 0, 0, 0, 0, 0, 0, 0, 1, 0, 0, 0, 1</t>
  </si>
  <si>
    <t>copper water pipe pinhole leak repair</t>
  </si>
  <si>
    <t>emergency plumber upland ca</t>
  </si>
  <si>
    <t>0, 0, 0, 0, 1, 1, 0, 0, 2, 0, 0, 1, 0, 0, 0, 0, 0, 0, 0, 0, 0, 0, 0, 1</t>
  </si>
  <si>
    <t>emergency plumber cypress</t>
  </si>
  <si>
    <t>2, 0, 1, 0, 2, 3, 1, 2, 1, 0, 1, 0, 0, 0, 0, 0, 0, 0, 0, 0, 0, 0, 0, 1</t>
  </si>
  <si>
    <t>24 hour plumber long island</t>
  </si>
  <si>
    <t>0, 0, 0, 0, 0, 0, 0, 0, 2, 1, 2, 0, 0, 0, 0, 0, 0, 0, 0, 0, 0, 0, 0, 1</t>
  </si>
  <si>
    <t>emergency plumber plumbing services</t>
  </si>
  <si>
    <t>0, 0, 2, 0, 1, 0, 0, 0, 0, 0, 0, 0, 0, 0, 0, 0, 0, 0, 0, 0, 0, 0, 0, 1</t>
  </si>
  <si>
    <t>24 hour plumber savannah ga</t>
  </si>
  <si>
    <t>24 hour plumber roodepoort</t>
  </si>
  <si>
    <t>emergency plumber hendersonville nc</t>
  </si>
  <si>
    <t>emergency plumber aspendale</t>
  </si>
  <si>
    <t>emergency plumber newton</t>
  </si>
  <si>
    <t>emergency plumber nearby</t>
  </si>
  <si>
    <t>0, 1, 0, 0, 0, 0, 1, 0, 0, 0, 4, 0, 0, 0, 0, 0, 1, 2, 0, 0, 0, 0, 0, 1</t>
  </si>
  <si>
    <t>emergency plumber hackney</t>
  </si>
  <si>
    <t>0, 0, 0, 0, 2, 2, 0, 2, 1, 1, 3, 0, 0, 0, 0, 0, 0, 0, 0, 0, 0, 0, 0, 1</t>
  </si>
  <si>
    <t>emergency plumber bullhead city</t>
  </si>
  <si>
    <t>1, 0, 0, 1, 1, 0, 1, 1, 0, 1, 3, 2, 0, 0, 0, 0, 0, 0, 0, 0, 0, 0, 0, 1</t>
  </si>
  <si>
    <t>emergency plumber los alamos</t>
  </si>
  <si>
    <t>emergency plumber sydney</t>
  </si>
  <si>
    <t>4, 12, 15, 11, 7, 8, 10, 11, 10, 16, 12, 0, 2, 10, 7, 2, 2, 1, 0, 1, 0, 0, 0, 1</t>
  </si>
  <si>
    <t>metro atlanta emergency plumber</t>
  </si>
  <si>
    <t>emergency plumber horwich</t>
  </si>
  <si>
    <t>0, 0, 0, 1, 4, 2, 0, 0, 1, 1, 0, 0, 0, 0, 0, 0, 0, 0, 0, 0, 0, 0, 0, 1</t>
  </si>
  <si>
    <t>emergency plumber morecambe</t>
  </si>
  <si>
    <t>0, 0, 0, 0, 1, 0, 0, 0, 2, 2, 0, 0, 0, 0, 0, 0, 0, 0, 0, 0, 0, 0, 0, 1</t>
  </si>
  <si>
    <t>emergency plumber newbury park</t>
  </si>
  <si>
    <t>fishers emergency plumber</t>
  </si>
  <si>
    <t>2, 1, 1, 0, 0, 0, 0, 0, 0, 0, 1, 0, 0, 0, 0, 0, 0, 0, 0, 0, 0, 0, 0, 1</t>
  </si>
  <si>
    <t>emergency plumber monterey</t>
  </si>
  <si>
    <t>water leak repair tampa fl</t>
  </si>
  <si>
    <t>emergency plumber helderberg</t>
  </si>
  <si>
    <t>emergency plumber cincinnati oh</t>
  </si>
  <si>
    <t>24 hour plumber noosa heads</t>
  </si>
  <si>
    <t>0, 0, 0, 1, 0, 2, 1, 0, 0, 1, 1, 0, 0, 0, 0, 0, 0, 0, 0, 0, 0, 0, 0, 1</t>
  </si>
  <si>
    <t>roanoke slab water leak repair</t>
  </si>
  <si>
    <t>water leak repair westminster</t>
  </si>
  <si>
    <t>0, 0, 1, 0, 1, 0, 0, 0, 1, 0, 0, 0, 0, 0, 0, 0, 0, 0, 0, 0, 0, 0, 0, 1</t>
  </si>
  <si>
    <t>cabulture emergency plumber</t>
  </si>
  <si>
    <t>emergency plumber hillsboro</t>
  </si>
  <si>
    <t>0, 0, 1, 0, 0, 0, 2, 0, 0, 0, 1, 2, 0, 0, 0, 0, 0, 0, 0, 0, 0, 0, 0, 1</t>
  </si>
  <si>
    <t>basement water leak repair milton ga</t>
  </si>
  <si>
    <t>emergency plumber pialba</t>
  </si>
  <si>
    <t>0, 0, 0, 0, 0, 0, 1, 0, 1, 0, 2, 2, 0, 0, 0, 0, 0, 0, 0, 0, 0, 0, 0, 1</t>
  </si>
  <si>
    <t>emergency plumber sorrento</t>
  </si>
  <si>
    <t>emergency plumber fort worth</t>
  </si>
  <si>
    <t>0, 1, 1, 0, 1, 0, 1, 2, 2, 3, 4, 0, 0, 0, 0, 0, 0, 0, 0, 0, 0, 0, 0, 1</t>
  </si>
  <si>
    <t>emergency plumber woking</t>
  </si>
  <si>
    <t>0, 1, 1, 0, 2, 1, 0, 0, 2, 1, 2, 0, 1, 0, 0, 0, 0, 0, 0, 0, 0, 0, 0, 1</t>
  </si>
  <si>
    <t>water leak repair products</t>
  </si>
  <si>
    <t>11, 4, 2, 3, 3, 1, 2, 1, 3, 0, 0, 1, 0, 0, 0, 2, 0, 3, 1, 0, 4, 3, 3, 1</t>
  </si>
  <si>
    <t>emergency plumber munich</t>
  </si>
  <si>
    <t>water leak repair ceiling</t>
  </si>
  <si>
    <t>emergency plumber durham</t>
  </si>
  <si>
    <t>0, 0, 1, 2, 3, 0, 2, 3, 0, 3, 2, 0, 0, 0, 0, 0, 0, 0, 0, 0, 0, 0, 0, 1</t>
  </si>
  <si>
    <t>24 hour plumber north hollywood</t>
  </si>
  <si>
    <t>24 hour plumber arlington</t>
  </si>
  <si>
    <t>0, 0, 0, 0, 0, 1, 0, 0, 1, 0, 0, 0, 1, 0, 0, 0, 0, 0, 0, 0, 0, 0, 0, 1</t>
  </si>
  <si>
    <t>nipomo 24 hour plumber</t>
  </si>
  <si>
    <t>0, 1, 2, 1, 2, 0, 1, 2, 0, 0, 1, 0, 0, 0, 0, 0, 0, 0, 0, 0, 0, 0, 0, 1</t>
  </si>
  <si>
    <t>roof water leak repair near me</t>
  </si>
  <si>
    <t>1, 1, 0, 2, 3, 0, 0, 2, 3, 1, 1, 0, 0, 0, 0, 0, 0, 1, 0, 1, 0, 0, 3, 1</t>
  </si>
  <si>
    <t>narangba emergency plumber</t>
  </si>
  <si>
    <t>fairfield emergency plumber</t>
  </si>
  <si>
    <t>emergency plumber millbank</t>
  </si>
  <si>
    <t>24 hour plumber vancouver</t>
  </si>
  <si>
    <t>0, 1, 0, 0, 0, 1, 1, 1, 1, 1, 3, 3, 0, 0, 0, 0, 0, 0, 0, 0, 0, 0, 0, 1</t>
  </si>
  <si>
    <t>emergency plumber in davidson nc</t>
  </si>
  <si>
    <t>reading emergency plumber</t>
  </si>
  <si>
    <t>0, 0, 2, 0, 0, 2, 0, 0, 1, 3, 1, 0, 0, 0, 0, 0, 0, 0, 0, 0, 0, 0, 0, 1</t>
  </si>
  <si>
    <t>emergency plumber peoria az</t>
  </si>
  <si>
    <t>emergency plumber lakeland fl</t>
  </si>
  <si>
    <t>0, 0, 0, 0, 0, 1, 0, 0, 0, 0, 1, 0, 0, 0, 0, 0, 0, 0, 0, 0, 1, 0, 0, 1</t>
  </si>
  <si>
    <t>emergency plumber fort lauderdale fl</t>
  </si>
  <si>
    <t>emergency plumber reading pa</t>
  </si>
  <si>
    <t>0, 1, 0, 0, 2, 1, 0, 0, 0, 1, 2, 0, 0, 0, 0, 0, 0, 0, 0, 0, 0, 0, 0, 1</t>
  </si>
  <si>
    <t>local emergency plumber near carlisle north</t>
  </si>
  <si>
    <t>emergency plumber dublin 10</t>
  </si>
  <si>
    <t>emergency plumber somerset county</t>
  </si>
  <si>
    <t>24 hour plumber los angeles</t>
  </si>
  <si>
    <t>1, 0, 0, 0, 0, 0, 1, 2, 2, 0, 2, 0, 1, 0, 0, 0, 3, 2, 0, 0, 0, 0, 0, 1</t>
  </si>
  <si>
    <t>burst pipe repair burnaby</t>
  </si>
  <si>
    <t>emergency plumber apex nc</t>
  </si>
  <si>
    <t>emergency plumber frenchs forest</t>
  </si>
  <si>
    <t>0, 1, 0, 0, 1, 0, 0, 2, 0, 3, 5, 0, 0, 0, 0, 0, 0, 0, 0, 0, 0, 0, 0, 1</t>
  </si>
  <si>
    <t>emergency plumber bilston</t>
  </si>
  <si>
    <t>tcf emergency plumber</t>
  </si>
  <si>
    <t>emergency plumber crewe</t>
  </si>
  <si>
    <t>0, 2, 2, 0, 0, 0, 0, 1, 0, 0, 1, 0, 0, 0, 0, 0, 0, 0, 0, 0, 0, 0, 0, 1</t>
  </si>
  <si>
    <t>24 hour plumber northern virginia</t>
  </si>
  <si>
    <t>emergency plumber waxahachie</t>
  </si>
  <si>
    <t>emergency plumber santa ana</t>
  </si>
  <si>
    <t>0, 1, 0, 0, 0, 0, 0, 0, 0, 0, 2, 0, 0, 0, 0, 0, 0, 0, 0, 0, 0, 0, 0, 1</t>
  </si>
  <si>
    <t>24 hour plumber secunda</t>
  </si>
  <si>
    <t>basement water leak repair companies</t>
  </si>
  <si>
    <t>emergency plumber in davidson</t>
  </si>
  <si>
    <t>emergency plumber aurora colorado</t>
  </si>
  <si>
    <t>catonsville emergency plumber</t>
  </si>
  <si>
    <t>cambridge emergency plumber</t>
  </si>
  <si>
    <t>manhattan emergency plumber</t>
  </si>
  <si>
    <t>0, 0, 0, 0, 0, 0, 0, 2, 2, 3, 0, 0, 0, 0, 0, 0, 0, 0, 0, 0, 0, 0, 0, 1</t>
  </si>
  <si>
    <t>maypearl tx emergency plumber</t>
  </si>
  <si>
    <t>fort wayne emergency plumber</t>
  </si>
  <si>
    <t>emergency plumber oklahoma city ok</t>
  </si>
  <si>
    <t>emergency plumber in medinah</t>
  </si>
  <si>
    <t>emergency plumber faversham</t>
  </si>
  <si>
    <t>emergency plumber surrey hills</t>
  </si>
  <si>
    <t>0, 0, 0, 0, 0, 0, 1, 1, 2, 0, 3, 1, 0, 0, 0, 0, 0, 0, 0, 0, 0, 0, 0, 1</t>
  </si>
  <si>
    <t>emergency plumber cost lexington</t>
  </si>
  <si>
    <t>0, 0, 0, 0, 0, 0, 0, 0, 0, 2, 0, 3, 0, 0, 0, 0, 0, 0, 0, 0, 0, 0, 0, 1</t>
  </si>
  <si>
    <t>emergency plumber service tingalpa</t>
  </si>
  <si>
    <t>san antonio emergency plumber</t>
  </si>
  <si>
    <t>0, 3, 2, 2, 2, 1, 4, 1, 0, 8, 4, 0, 0, 0, 0, 0, 0, 0, 0, 0, 0, 0, 2, 2</t>
  </si>
  <si>
    <t>water fountain leak repair</t>
  </si>
  <si>
    <t>london emergency plumber</t>
  </si>
  <si>
    <t>0, 0, 2, 2, 3, 3, 1, 2, 2, 1, 2, 0, 0, 1, 1, 0, 0, 0, 0, 0, 0, 0, 0, 1</t>
  </si>
  <si>
    <t>gardendale emergency plumber</t>
  </si>
  <si>
    <t>emergency plumber courtice</t>
  </si>
  <si>
    <t>0, 0, 0, 2, 0, 1, 0, 1, 1, 0, 2, 0, 0, 0, 0, 0, 2, 0, 0, 0, 0, 0, 0, 1</t>
  </si>
  <si>
    <t>emergency plumber jacksonville</t>
  </si>
  <si>
    <t>0, 1, 2, 1, 1, 2, 0, 2, 4, 5, 1, 1, 0, 0, 0, 0, 0, 0, 0, 0, 0, 1, 0, 1</t>
  </si>
  <si>
    <t>cottonwood emergency plumber</t>
  </si>
  <si>
    <t>emergency plumber holladay</t>
  </si>
  <si>
    <t>emergency plumber huntingdon</t>
  </si>
  <si>
    <t>emergency plumber ypsilanti</t>
  </si>
  <si>
    <t>rowlett emergency plumber</t>
  </si>
  <si>
    <t>0, 1, 0, 0, 1, 0, 0, 1, 0, 0, 1, 2, 0, 0, 0, 0, 0, 0, 0, 0, 0, 1, 0, 1</t>
  </si>
  <si>
    <t>emergency plumber in dallas</t>
  </si>
  <si>
    <t>water leak repair maroochydore</t>
  </si>
  <si>
    <t>24 hour plumber burbank</t>
  </si>
  <si>
    <t>0, 0, 0, 0, 0, 0, 0, 0, 0, 1, 0, 1, 0, 0, 0, 0, 0, 0, 2, 0, 0, 0, 0, 1</t>
  </si>
  <si>
    <t>emergency plumber vanier</t>
  </si>
  <si>
    <t>0, 0, 0, 0, 0, 0, 0, 0, 2, 1, 2, 0, 0, 0, 0, 0, 0, 0, 0, 0, 1, 0, 0, 1</t>
  </si>
  <si>
    <t>emergency plumber in the area</t>
  </si>
  <si>
    <t>0, 0, 0, 1, 1, 0, 0, 1, 0, 0, 1, 0, 0, 0, 0, 0, 0, 0, 0, 0, 0, 0, 0, 1</t>
  </si>
  <si>
    <t>emergency plumber st clair</t>
  </si>
  <si>
    <t>0, 0, 0, 0, 1, 1, 2, 0, 0, 0, 1, 0, 0, 0, 0, 0, 0, 0, 0, 0, 0, 0, 0, 1</t>
  </si>
  <si>
    <t>24 hour plumber manassas va</t>
  </si>
  <si>
    <t>northern beaches emergency plumber</t>
  </si>
  <si>
    <t>0, 0, 0, 0, 0, 0, 0, 0, 0, 1, 0, 1, 0, 2, 5, 2, 0, 0, 1, 0, 0, 0, 0, 1</t>
  </si>
  <si>
    <t>emergency plumber/hvac technician in hicksville</t>
  </si>
  <si>
    <t>concrete water tank leak repair</t>
  </si>
  <si>
    <t>0, 0, 0, 0, 1, 0, 0, 1, 0, 0, 0, 0, 0, 0, 0, 1, 0, 0, 0, 0, 0, 0, 0, 1</t>
  </si>
  <si>
    <t>emergency plumber west chester</t>
  </si>
  <si>
    <t>0, 0, 0, 1, 0, 0, 0, 0, 0, 3, 1, 0, 0, 0, 0, 0, 1, 0, 0, 0, 0, 0, 0, 1</t>
  </si>
  <si>
    <t>emergency plumber harleston</t>
  </si>
  <si>
    <t>emergency plumber wellington</t>
  </si>
  <si>
    <t>0, 2, 4, 3, 1, 2, 3, 1, 0, 4, 9, 0, 0, 0, 0, 0, 2, 0, 0, 0, 1, 0, 4, 3</t>
  </si>
  <si>
    <t>house water leak repair salt lake county</t>
  </si>
  <si>
    <t>copper water pipe leak repair</t>
  </si>
  <si>
    <t>0, 0, 0, 0, 0, 0, 2, 0, 0, 1, 0, 0, 1, 0, 1, 0, 1, 1, 1, 0, 0, 0, 2, 1</t>
  </si>
  <si>
    <t>emergency plumber hoddesdon</t>
  </si>
  <si>
    <t>24 hour plumber durham</t>
  </si>
  <si>
    <t>shrewsbury plumber emergency</t>
  </si>
  <si>
    <t>emergency plumber falls church va</t>
  </si>
  <si>
    <t>emergency plumber west wickham</t>
  </si>
  <si>
    <t>0, 0, 3, 1, 1, 0, 1, 1, 0, 0, 0, 0, 0, 0, 0, 0, 0, 0, 0, 0, 0, 0, 0, 1</t>
  </si>
  <si>
    <t>emergency plumber spring branch tx</t>
  </si>
  <si>
    <t>portland emergency plumber</t>
  </si>
  <si>
    <t>emergency plumber macleod</t>
  </si>
  <si>
    <t>emergency plumber arcadia</t>
  </si>
  <si>
    <t>0, 0, 0, 0, 0, 0, 0, 0, 0, 0, 0, 2, 1, 1, 0, 0, 0, 0, 0, 0, 0, 0, 0, 1</t>
  </si>
  <si>
    <t>emergency plumber bentley</t>
  </si>
  <si>
    <t>0, 0, 0, 0, 0, 0, 2, 0, 0, 2, 0, 0, 0, 0, 0, 0, 0, 0, 0, 0, 0, 0, 0, 1</t>
  </si>
  <si>
    <t>emergency plumber sandhurst</t>
  </si>
  <si>
    <t>0, 1, 0, 0, 0, 1, 0, 1, 0, 1, 1, 0, 0, 0, 0, 0, 0, 0, 0, 0, 1, 0, 0, 1</t>
  </si>
  <si>
    <t>emergency plumber grand prairie</t>
  </si>
  <si>
    <t>emergency plumber gympie</t>
  </si>
  <si>
    <t>0, 0, 0, 0, 0, 0, 2, 0, 3, 1, 1, 2, 1, 0, 0, 0, 0, 0, 0, 0, 0, 0, 0, 1</t>
  </si>
  <si>
    <t>emergency plumber port coquitlam bc</t>
  </si>
  <si>
    <t>water leak repair la mirada</t>
  </si>
  <si>
    <t>emergency plumber caulfield</t>
  </si>
  <si>
    <t>0, 0, 0, 1, 1, 0, 0, 1, 0, 3, 2, 0, 0, 0, 0, 0, 0, 0, 0, 0, 0, 0, 0, 1</t>
  </si>
  <si>
    <t>water leak repair franklin</t>
  </si>
  <si>
    <t>emergency plumber eaglehawk</t>
  </si>
  <si>
    <t>emergency plumber potomac md</t>
  </si>
  <si>
    <t>1, 1, 1, 0, 0, 0, 0, 0, 3, 3, 3, 0, 0, 0, 0, 0, 0, 0, 0, 0, 0, 0, 0, 1</t>
  </si>
  <si>
    <t>emergency plumber paddington</t>
  </si>
  <si>
    <t>0, 1, 0, 3, 0, 1, 0, 0, 0, 1, 0, 0, 1, 0, 0, 0, 0, 0, 0, 0, 0, 0, 0, 1</t>
  </si>
  <si>
    <t>24 hour plumber fort worth</t>
  </si>
  <si>
    <t>0, 0, 0, 2, 1, 3, 0, 0, 0, 1, 0, 1, 0, 1, 0, 0, 0, 0, 0, 0, 0, 0, 0, 1</t>
  </si>
  <si>
    <t>emergency plumber west ealing</t>
  </si>
  <si>
    <t>emergency plumber canberra</t>
  </si>
  <si>
    <t>1, 2, 5, 4, 3, 2, 1, 3, 3, 4, 1, 0, 0, 1, 0, 0, 0, 0, 0, 0, 0, 0, 0, 1</t>
  </si>
  <si>
    <t>emergency plumber hemel hempstead</t>
  </si>
  <si>
    <t>0, 0, 2, 0, 2, 0, 0, 0, 0, 1, 3, 2, 0, 0, 0, 0, 0, 0, 0, 0, 0, 0, 0, 1</t>
  </si>
  <si>
    <t>emergency plumber somerville</t>
  </si>
  <si>
    <t>emergency plumber beverley</t>
  </si>
  <si>
    <t>water leak detection and repair</t>
  </si>
  <si>
    <t>0, 4, 0, 3, 9, 2, 2, 6, 4, 5, 3, 0, 2, 0, 1, 0, 0, 0, 2, 1, 2, 0, 0, 2</t>
  </si>
  <si>
    <t>hinckley, il emergency plumber</t>
  </si>
  <si>
    <t>emergency plumber swansea</t>
  </si>
  <si>
    <t>0, 0, 0, 0, 0, 0, 0, 1, 0, 1, 2, 0, 0, 0, 0, 0, 1, 0, 0, 0, 0, 0, 0, 1</t>
  </si>
  <si>
    <t>emergency plumber garnet</t>
  </si>
  <si>
    <t>emergency plumber southbank</t>
  </si>
  <si>
    <t>0, 0, 0, 0, 0, 1, 0, 0, 1, 0, 3, 0, 0, 0, 0, 0, 0, 0, 0, 0, 0, 0, 0, 1</t>
  </si>
  <si>
    <t>emergency plumber anderson in</t>
  </si>
  <si>
    <t>24 hour plumber morden</t>
  </si>
  <si>
    <t>emergency plumber malvern</t>
  </si>
  <si>
    <t>0, 2, 0, 2, 3, 2, 2, 7, 3, 3, 3, 0, 0, 0, 0, 0, 0, 0, 0, 0, 0, 0, 0, 1</t>
  </si>
  <si>
    <t>emergency plumber brent</t>
  </si>
  <si>
    <t>0, 0, 0, 0, 0, 0, 0, 1, 0, 0, 3, 0, 0, 0, 0, 0, 0, 0, 1, 0, 0, 0, 0, 1</t>
  </si>
  <si>
    <t>emergency plumber near wood dale</t>
  </si>
  <si>
    <t>london 24 hour plumber</t>
  </si>
  <si>
    <t>24 hour plumber north little rock</t>
  </si>
  <si>
    <t>emergency plumber near vernon hills</t>
  </si>
  <si>
    <t>port coquitlam 24 hour plumber</t>
  </si>
  <si>
    <t>0, 0, 0, 2, 0, 1, 0, 0, 0, 0, 0, 0, 0, 0, 0, 0, 0, 0, 0, 0, 0, 0, 0, 1</t>
  </si>
  <si>
    <t>24 hour plumber framingham</t>
  </si>
  <si>
    <t>emergency plumber avon</t>
  </si>
  <si>
    <t>emergency gas line plumber calgary</t>
  </si>
  <si>
    <t>emergency plumber bromley</t>
  </si>
  <si>
    <t>0, 2, 0, 0, 2, 3, 2, 3, 6, 0, 8, 0, 0, 0, 0, 0, 0, 0, 0, 0, 0, 0, 0, 1</t>
  </si>
  <si>
    <t>emergency plumber macomb mi</t>
  </si>
  <si>
    <t>deception bay emergency plumber</t>
  </si>
  <si>
    <t>burst water pipe repair johannesburg</t>
  </si>
  <si>
    <t>0, 0, 0, 0, 0, 0, 0, 0, 0, 0, 0, 0, 0, 0, 0, 0, 0, 0, 0, 8, 16, 5, 0, 8</t>
  </si>
  <si>
    <t>emergency plumber laguna beach</t>
  </si>
  <si>
    <t>0, 0, 0, 1, 0, 1, 0, 1, 2, 2, 1, 0, 0, 0, 0, 0, 0, 0, 0, 0, 0, 0, 0, 1</t>
  </si>
  <si>
    <t>emergency plumber bristow</t>
  </si>
  <si>
    <t>0, 0, 0, 0, 0, 1, 0, 0, 1, 2, 0, 0, 0, 0, 0, 0, 0, 0, 0, 0, 0, 0, 0, 1</t>
  </si>
  <si>
    <t>24 hour plumber hull</t>
  </si>
  <si>
    <t>0, 1, 0, 0, 0, 0, 1, 0, 0, 1, 0, 0, 0, 0, 0, 1, 0, 0, 0, 0, 0, 0, 0, 1</t>
  </si>
  <si>
    <t>emergency plumber kansas</t>
  </si>
  <si>
    <t>emergency plumber bournemouth</t>
  </si>
  <si>
    <t>0, 3, 1, 1, 5, 2, 0, 4, 1, 0, 1, 0, 0, 0, 0, 0, 0, 0, 0, 0, 0, 0, 0, 1</t>
  </si>
  <si>
    <t>emergency plumber rockwall</t>
  </si>
  <si>
    <t>0, 1, 1, 0, 4, 0, 0, 0, 2, 2, 3, 0, 0, 0, 0, 0, 0, 0, 0, 0, 0, 0, 0, 1</t>
  </si>
  <si>
    <t>emergency plumber in palatine</t>
  </si>
  <si>
    <t>emergency plumber flitwick</t>
  </si>
  <si>
    <t>emergency plumber slc</t>
  </si>
  <si>
    <t>0, 0, 0, 1, 0, 1, 1, 2, 0, 1, 0, 0, 0, 0, 0, 0, 0, 0, 0, 0, 0, 0, 0, 1</t>
  </si>
  <si>
    <t>emergency plumber baldwin</t>
  </si>
  <si>
    <t>emergency plumber wexford</t>
  </si>
  <si>
    <t>emergency plumber springfield lakes</t>
  </si>
  <si>
    <t>main water line leak repair cost</t>
  </si>
  <si>
    <t>6, 2, 6, 2, 2, 2, 7, 3, 1, 4, 3, 2, 3, 1, 0, 1, 0, 1, 1, 1, 1, 1, 0, 2</t>
  </si>
  <si>
    <t>emergency plumber call out charges bromley</t>
  </si>
  <si>
    <t>emergency plumber in san diego</t>
  </si>
  <si>
    <t>berea emergency plumber</t>
  </si>
  <si>
    <t>emergency plumber olathe</t>
  </si>
  <si>
    <t>emergency plumber near naperville</t>
  </si>
  <si>
    <t>emergency plumber southwell</t>
  </si>
  <si>
    <t>water leak repair beaumont</t>
  </si>
  <si>
    <t>emergency plumber leominster ma</t>
  </si>
  <si>
    <t>0, 0, 0, 0, 0, 1, 0, 2, 1, 1, 0, 0, 0, 0, 0, 0, 0, 0, 0, 0, 0, 0, 0, 1</t>
  </si>
  <si>
    <t>burst pipe repair calgary</t>
  </si>
  <si>
    <t>24 hour plumber in illford</t>
  </si>
  <si>
    <t>emergency plumber ningi</t>
  </si>
  <si>
    <t>emergency plumber fort collins</t>
  </si>
  <si>
    <t>0, 0, 0, 0, 0, 0, 1, 1, 0, 1, 0, 0, 0, 0, 0, 1, 0, 0, 0, 0, 0, 0, 0, 1</t>
  </si>
  <si>
    <t>emergency plumber dean park</t>
  </si>
  <si>
    <t>steel water tank leak repair</t>
  </si>
  <si>
    <t>24 hour plumber woombye</t>
  </si>
  <si>
    <t>emergency plumber cost uk</t>
  </si>
  <si>
    <t>0, 0, 0, 0, 0, 0, 0, 0, 0, 1, 0, 0, 0, 0, 0, 0, 0, 0, 0, 1, 0, 0, 0, 1</t>
  </si>
  <si>
    <t>emergency plumber near</t>
  </si>
  <si>
    <t>0, 0, 0, 0, 0, 0, 0, 0, 0, 0, 0, 2, 0, 0, 0, 0, 0, 0, 0, 0, 0, 0, 1, 1</t>
  </si>
  <si>
    <t>emergency plumber kelvin grove</t>
  </si>
  <si>
    <t>24 hour emergency plumber bromley</t>
  </si>
  <si>
    <t>emergency plumber duluth mn</t>
  </si>
  <si>
    <t>1, 0, 0, 0, 0, 1, 1, 1, 1, 0, 0, 0, 0, 0, 0, 0, 0, 0, 0, 0, 0, 0, 0, 1</t>
  </si>
  <si>
    <t>emergency plumber scarness</t>
  </si>
  <si>
    <t>0, 0, 0, 0, 1, 1, 2, 0, 2, 0, 1, 0, 0, 0, 0, 0, 0, 0, 0, 0, 0, 0, 0, 1</t>
  </si>
  <si>
    <t>emergency plumber long beach ca</t>
  </si>
  <si>
    <t>emergency plumber airdrie</t>
  </si>
  <si>
    <t>emergency plumber bergenfield</t>
  </si>
  <si>
    <t>emergency plumber bishop stortford</t>
  </si>
  <si>
    <t>0, 0, 0, 0, 0, 0, 0, 0, 1, 2, 0, 0, 0, 0, 0, 0, 0, 0, 0, 0, 0, 0, 0, 1</t>
  </si>
  <si>
    <t>main water line leak repair salt lake city</t>
  </si>
  <si>
    <t>reading pa emergency plumber</t>
  </si>
  <si>
    <t>0, 0, 1, 1, 1, 1, 0, 0, 0, 1, 0, 0, 0, 0, 0, 0, 0, 0, 0, 0, 0, 0, 0, 1</t>
  </si>
  <si>
    <t>emergency plumber sutton</t>
  </si>
  <si>
    <t>0, 0, 0, 1, 0, 0, 0, 0, 1, 2, 4, 1, 0, 0, 0, 0, 0, 0, 1, 0, 0, 1, 0, 1</t>
  </si>
  <si>
    <t>emergency plumber jbr</t>
  </si>
  <si>
    <t>0, 0, 0, 1, 2, 1, 0, 0, 0, 0, 1, 0, 0, 0, 0, 0, 0, 0, 0, 0, 0, 0, 0, 1</t>
  </si>
  <si>
    <t>emergency plumber regents park</t>
  </si>
  <si>
    <t>24 hour plumber aptos</t>
  </si>
  <si>
    <t>emergency plumber norwalk ca</t>
  </si>
  <si>
    <t>emergency plumber monroe</t>
  </si>
  <si>
    <t>0, 1, 0, 0, 1, 0, 0, 1, 0, 1, 0, 0, 0, 0, 0, 0, 0, 0, 0, 0, 0, 0, 0, 1</t>
  </si>
  <si>
    <t>24 hour campbelltown plumber</t>
  </si>
  <si>
    <t>pipe burst emergency repair cape town</t>
  </si>
  <si>
    <t>0, 0, 0, 0, 0, 0, 0, 0, 0, 0, 0, 0, 0, 0, 0, 0, 0, 0, 0, 7, 17, 7, 0, 9</t>
  </si>
  <si>
    <t>emergency plumber pawtucket</t>
  </si>
  <si>
    <t>24 hour plumber roswell ga</t>
  </si>
  <si>
    <t>solar water heater leak repair</t>
  </si>
  <si>
    <t>1, 1, 3, 3, 0, 0, 1, 0, 2, 3, 1, 4, 7, 0, 1, 4, 2, 1, 2, 0, 0, 0, 0, 1</t>
  </si>
  <si>
    <t>emergency plumber putnam county</t>
  </si>
  <si>
    <t>emergency plumber frisco tx</t>
  </si>
  <si>
    <t>1, 0, 0, 0, 2, 1, 1, 0, 0, 0, 5, 0, 0, 0, 0, 0, 0, 0, 0, 0, 1, 0, 0, 1</t>
  </si>
  <si>
    <t>water leak repair chicago il</t>
  </si>
  <si>
    <t>1, 0, 0, 0, 0, 0, 1, 0, 1, 0, 0, 0, 0, 0, 0, 0, 0, 0, 0, 0, 0, 0, 0, 1</t>
  </si>
  <si>
    <t>emergency plumber havant</t>
  </si>
  <si>
    <t>orange county water leak repair</t>
  </si>
  <si>
    <t>water leak repair kent</t>
  </si>
  <si>
    <t>emergency plumber shirley</t>
  </si>
  <si>
    <t>0, 0, 0, 1, 1, 1, 1, 1, 0, 0, 0, 0, 0, 0, 0, 0, 0, 0, 0, 0, 0, 0, 0, 1</t>
  </si>
  <si>
    <t>diy water pipe leak repair</t>
  </si>
  <si>
    <t>0, 2, 2, 0, 0, 1, 0, 0, 0, 0, 0, 0, 0, 0, 0, 0, 0, 0, 0, 0, 0, 0, 0, 1</t>
  </si>
  <si>
    <t>water leak repair spencerport</t>
  </si>
  <si>
    <t>0, 0, 0, 2, 1, 0, 1, 1, 0, 1, 0, 0, 0, 0, 0, 0, 0, 0, 0, 0, 0, 0, 0, 1</t>
  </si>
  <si>
    <t>24 hour plumber croydon</t>
  </si>
  <si>
    <t>0, 0, 0, 0, 2, 0, 3, 1, 0, 2, 0, 0, 0, 0, 0, 0, 0, 0, 0, 0, 0, 0, 0, 1</t>
  </si>
  <si>
    <t>24 hour plumber lancaster pa</t>
  </si>
  <si>
    <t>emergency plumber hawthorn</t>
  </si>
  <si>
    <t>0, 0, 1, 0, 0, 0, 0, 0, 2, 3, 3, 3, 0, 0, 0, 0, 0, 0, 0, 0, 0, 0, 0, 1</t>
  </si>
  <si>
    <t>emergency plumber services glens falls ny</t>
  </si>
  <si>
    <t>emergency plumber crawford county</t>
  </si>
  <si>
    <t>local emergency plumber near mandurah</t>
  </si>
  <si>
    <t>24 hour plumber hamilton</t>
  </si>
  <si>
    <t>emergency plumber near morton grove</t>
  </si>
  <si>
    <t>toilet blocked plumber</t>
  </si>
  <si>
    <t>0, 1, 0, 0, 0, 0, 1, 0, 0, 1, 0, 0, 1, 0, 0, 0, 0, 0, 0, 0, 0, 0, 0, 1</t>
  </si>
  <si>
    <t>emergency plumber palm beach</t>
  </si>
  <si>
    <t>emergency plumber westmont</t>
  </si>
  <si>
    <t>rochester hills emergency plumber</t>
  </si>
  <si>
    <t>emergency plumber encinitas</t>
  </si>
  <si>
    <t>emergency plumber swords</t>
  </si>
  <si>
    <t>emergency plumber woolwich</t>
  </si>
  <si>
    <t>average cost of burst pipe repair</t>
  </si>
  <si>
    <t>emergency plumber nassau county</t>
  </si>
  <si>
    <t>0, 0, 0, 1, 1, 0, 1, 0, 1, 5, 2, 0, 0, 0, 0, 0, 0, 0, 0, 0, 0, 1, 0, 1</t>
  </si>
  <si>
    <t>whitehouse emergency plumber</t>
  </si>
  <si>
    <t>emergency plumber bonbeach</t>
  </si>
  <si>
    <t>24-hour plumber near me</t>
  </si>
  <si>
    <t>0, 1, 0, 1, 0, 0, 0, 0, 2, 7, 2, 0, 0, 1, 0, 0, 1, 0, 0, 0, 1, 0, 0, 1</t>
  </si>
  <si>
    <t>emergency plumber belgravia</t>
  </si>
  <si>
    <t>emergency plumber ocean reef</t>
  </si>
  <si>
    <t>local emergency plumber near inglewood</t>
  </si>
  <si>
    <t>water meter leak repair cost</t>
  </si>
  <si>
    <t>2, 2, 7, 5, 6, 1, 2, 3, 4, 4, 2, 1, 0, 1, 2, 1, 0, 0, 3, 5, 1, 1, 1, 2</t>
  </si>
  <si>
    <t>24 hour plumber charlotte nc</t>
  </si>
  <si>
    <t>0, 0, 1, 1, 0, 2, 0, 1, 2, 1, 1, 0, 0, 0, 0, 0, 0, 0, 0, 0, 0, 0, 0, 1</t>
  </si>
  <si>
    <t>24-hour plumber</t>
  </si>
  <si>
    <t>0, 1, 2, 3, 3, 3, 6, 2, 10, 4, 3, 1, 2, 0, 0, 0, 1, 1, 0, 0, 2, 0, 2, 2</t>
  </si>
  <si>
    <t>emergency plumber grapevine tx</t>
  </si>
  <si>
    <t>24 hour plumber toronto</t>
  </si>
  <si>
    <t>0, 0, 1, 0, 1, 2, 0, 2, 0, 1, 3, 0, 0, 1, 0, 0, 0, 0, 0, 0, 0, 0, 0, 1</t>
  </si>
  <si>
    <t>temporary burst pipe repair</t>
  </si>
  <si>
    <t>emergency plumber bundaberg east</t>
  </si>
  <si>
    <t>0, 0, 0, 0, 0, 0, 0, 1, 1, 2, 1, 0, 0, 0, 0, 0, 0, 0, 0, 0, 0, 0, 0, 1</t>
  </si>
  <si>
    <t>repair water pipe leak in concrete slab</t>
  </si>
  <si>
    <t>0, 1, 0, 0, 0, 0, 1, 0, 2, 0, 4, 2, 0, 0, 0, 0, 0, 0, 0, 0, 0, 0, 2, 1</t>
  </si>
  <si>
    <t>emergency plumber floresville tx</t>
  </si>
  <si>
    <t>emergency plumber willagee</t>
  </si>
  <si>
    <t>0, 0, 0, 0, 0, 0, 0, 0, 1, 4, 1, 2, 0, 0, 0, 0, 0, 0, 0, 0, 0, 0, 0, 1</t>
  </si>
  <si>
    <t>emergency plumber malton</t>
  </si>
  <si>
    <t>emergency plumber eugene or</t>
  </si>
  <si>
    <t>smyrna emergency plumber</t>
  </si>
  <si>
    <t>emergency plumber near schiller park</t>
  </si>
  <si>
    <t>emergency plumber liskeard</t>
  </si>
  <si>
    <t>emergency plumber service burbank</t>
  </si>
  <si>
    <t>24 hour plumber edmond ok</t>
  </si>
  <si>
    <t>24 hour plumber near me hinesville ga</t>
  </si>
  <si>
    <t>emergency plumber aberdeen, nc</t>
  </si>
  <si>
    <t>emergency plumber in ipswich</t>
  </si>
  <si>
    <t>0, 0, 0, 0, 0, 2, 0, 0, 0, 1, 3, 3, 1, 0, 1, 1, 0, 1, 0, 0, 0, 0, 0, 1</t>
  </si>
  <si>
    <t>24 hour plumber west houston</t>
  </si>
  <si>
    <t>0, 0, 0, 1, 0, 1, 1, 1, 1, 2, 2, 1, 0, 0, 0, 0, 0, 0, 0, 0, 0, 0, 0, 1</t>
  </si>
  <si>
    <t>plumber emergency london</t>
  </si>
  <si>
    <t>0, 0, 2, 4, 2, 3, 3, 2, 3, 2, 1, 0, 0, 0, 0, 0, 0, 0, 0, 0, 0, 0, 0, 1</t>
  </si>
  <si>
    <t>emergency plumber columbia tn</t>
  </si>
  <si>
    <t>dallas tx emergency plumber</t>
  </si>
  <si>
    <t>0, 4, 0, 1, 1, 1, 0, 1, 0, 2, 1, 0, 0, 0, 0, 2, 1, 0, 0, 0, 0, 0, 0, 1</t>
  </si>
  <si>
    <t>emergency plumber chattanooga tn</t>
  </si>
  <si>
    <t>emergency plumber warwickshire</t>
  </si>
  <si>
    <t>emergency plumber garland</t>
  </si>
  <si>
    <t>0, 0, 0, 0, 1, 0, 0, 0, 1, 3, 4, 0, 0, 0, 0, 0, 0, 0, 0, 0, 0, 0, 0, 1</t>
  </si>
  <si>
    <t>sedona az emergency plumber</t>
  </si>
  <si>
    <t>0, 0, 0, 0, 0, 2, 1, 0, 0, 1, 3, 1, 0, 0, 0, 0, 0, 0, 1, 0, 0, 0, 0, 1</t>
  </si>
  <si>
    <t>emergency plumber service west end</t>
  </si>
  <si>
    <t>24 hour plumber ridgefield park</t>
  </si>
  <si>
    <t>emergency plumber bowie md</t>
  </si>
  <si>
    <t>emergency plumber redlands</t>
  </si>
  <si>
    <t>emergency plumber marsden park</t>
  </si>
  <si>
    <t>0, 0, 0, 0, 0, 0, 3, 1, 2, 0, 2, 0, 0, 0, 0, 0, 0, 0, 0, 0, 0, 0, 0, 1</t>
  </si>
  <si>
    <t>water leak repair hinesville ga</t>
  </si>
  <si>
    <t>emergency plumber marana az</t>
  </si>
  <si>
    <t>redlands water leak repair</t>
  </si>
  <si>
    <t>richardson emergency plumber</t>
  </si>
  <si>
    <t>0, 0, 0, 1, 2, 0, 0, 0, 0, 2, 0, 0, 0, 0, 0, 0, 1, 1, 0, 0, 0, 0, 0, 1</t>
  </si>
  <si>
    <t>water leak repair highland village</t>
  </si>
  <si>
    <t>24 hour plumber carrollton tx</t>
  </si>
  <si>
    <t>0, 1, 0, 0, 0, 0, 0, 0, 1, 1, 1, 0, 0, 0, 0, 0, 0, 0, 0, 0, 0, 0, 0, 1</t>
  </si>
  <si>
    <t>emergency plumber yorba linda</t>
  </si>
  <si>
    <t>san jose emergency plumber</t>
  </si>
  <si>
    <t>cost of emergency plumber</t>
  </si>
  <si>
    <t>emergency plumber forest park</t>
  </si>
  <si>
    <t>emergency plumber los gatos</t>
  </si>
  <si>
    <t>0, 0, 0, 0, 2, 1, 0, 1, 0, 0, 0, 0, 0, 0, 0, 0, 0, 0, 0, 0, 0, 0, 0, 1</t>
  </si>
  <si>
    <t>emergency plumber florence</t>
  </si>
  <si>
    <t>0, 1, 0, 1, 0, 2, 1, 1, 1, 6, 5, 0, 0, 0, 0, 0, 0, 0, 0, 0, 0, 0, 0, 1</t>
  </si>
  <si>
    <t>24 hour plumber carlsbad</t>
  </si>
  <si>
    <t>emergency plumber cass county</t>
  </si>
  <si>
    <t>emergency plumber waltham forest</t>
  </si>
  <si>
    <t>emergency plumber littlehampton</t>
  </si>
  <si>
    <t>0, 0, 0, 0, 0, 0, 1, 1, 1, 1, 2, 1, 0, 0, 0, 0, 0, 0, 0, 0, 0, 0, 0, 1</t>
  </si>
  <si>
    <t>emergency plumber milnthorpe</t>
  </si>
  <si>
    <t>0, 0, 0, 0, 0, 3, 0, 0, 0, 0, 2, 1, 0, 0, 0, 0, 0, 0, 0, 0, 0, 0, 0, 1</t>
  </si>
  <si>
    <t>emergency plumber windsor</t>
  </si>
  <si>
    <t>1, 0, 1, 1, 0, 2, 0, 2, 1, 2, 0, 0, 0, 0, 2, 0, 0, 0, 0, 0, 0, 0, 0, 1</t>
  </si>
  <si>
    <t>emergency plumber glenroy</t>
  </si>
  <si>
    <t>24 hour plumber spokane</t>
  </si>
  <si>
    <t>24 hour plumber lorton va</t>
  </si>
  <si>
    <t>emergency plumber south dublin</t>
  </si>
  <si>
    <t>emergency plumber long island</t>
  </si>
  <si>
    <t>0, 0, 0, 0, 0, 0, 0, 1, 1, 0, 2, 0, 0, 0, 0, 0, 0, 0, 0, 0, 0, 1, 0, 1</t>
  </si>
  <si>
    <t>emergency plumber marsden</t>
  </si>
  <si>
    <t>0, 0, 0, 0, 0, 0, 0, 0, 0, 0, 0, 0, 1, 1, 1, 1, 1, 2, 0, 0, 0, 0, 0, 1</t>
  </si>
  <si>
    <t>emergency plumber roehampton</t>
  </si>
  <si>
    <t>emergency call out plumber cost uk</t>
  </si>
  <si>
    <t>2, 1, 1, 2, 0, 0, 0, 0, 0, 0, 0, 0, 0, 0, 0, 0, 0, 0, 0, 3, 0, 0, 0, 1</t>
  </si>
  <si>
    <t>emergency plumber cape coral</t>
  </si>
  <si>
    <t>1, 2, 1, 0, 0, 1, 0, 1, 1, 1, 0, 0, 0, 0, 0, 0, 0, 0, 0, 0, 0, 0, 0, 1</t>
  </si>
  <si>
    <t>emergency plumber garland tx</t>
  </si>
  <si>
    <t>0, 0, 0, 0, 2, 0, 0, 0, 0, 2, 3, 2, 0, 0, 0, 0, 0, 0, 0, 0, 0, 1, 0, 1</t>
  </si>
  <si>
    <t>basement water leak repair</t>
  </si>
  <si>
    <t>1, 2, 6, 9, 10, 6, 1, 2, 5, 4, 9, 6, 0, 0, 0, 1, 0, 3, 0, 1, 1, 1, 0, 1</t>
  </si>
  <si>
    <t>emergency plumber westlake</t>
  </si>
  <si>
    <t>emergency plumber york</t>
  </si>
  <si>
    <t>1, 2, 0, 0, 2, 0, 1, 2, 1, 4, 2, 0, 0, 0, 0, 0, 0, 0, 0, 0, 0, 0, 0, 1</t>
  </si>
  <si>
    <t>emergency plumber north haven</t>
  </si>
  <si>
    <t>emergency plumber winston hills</t>
  </si>
  <si>
    <t>emergency plumber camarillo ca</t>
  </si>
  <si>
    <t>emergency plumber in southampton</t>
  </si>
  <si>
    <t>emergency plumber greer sc</t>
  </si>
  <si>
    <t>emergency plumber lewisham</t>
  </si>
  <si>
    <t>0, 0, 0, 0, 2, 1, 0, 0, 1, 4, 2, 0, 0, 0, 0, 0, 0, 0, 0, 1, 0, 0, 0, 1</t>
  </si>
  <si>
    <t>emergency plumber fletcher nc</t>
  </si>
  <si>
    <t>1, 0, 0, 1, 0, 3, 0, 0, 0, 1, 0, 1, 0, 0, 0, 0, 0, 0, 0, 0, 0, 0, 0, 1</t>
  </si>
  <si>
    <t>emergency plumber st james</t>
  </si>
  <si>
    <t>earlville, il emergency plumber</t>
  </si>
  <si>
    <t>emergency plumber in manassas</t>
  </si>
  <si>
    <t>emergency plumber smithfield</t>
  </si>
  <si>
    <t>0, 0, 0, 1, 0, 0, 0, 1, 0, 0, 0, 0, 0, 0, 0, 0, 0, 1, 0, 0, 0, 0, 0, 1</t>
  </si>
  <si>
    <t>bathroom water leak repair</t>
  </si>
  <si>
    <t>0, 1, 2, 1, 5, 0, 1, 0, 0, 1, 1, 5, 0, 0, 0, 0, 0, 0, 2, 0, 0, 1, 0, 1</t>
  </si>
  <si>
    <t>emergency plumber new braunfels</t>
  </si>
  <si>
    <t>emergency plumber fayetteville</t>
  </si>
  <si>
    <t>0, 0, 0, 0, 0, 0, 0, 1, 0, 0, 0, 0, 0, 0, 0, 0, 0, 2, 0, 0, 0, 1, 0, 1</t>
  </si>
  <si>
    <t>florissant emergency plumber</t>
  </si>
  <si>
    <t>emergency plumber weymouth</t>
  </si>
  <si>
    <t>emergency plumber cary nc</t>
  </si>
  <si>
    <t>emergency plumber earlsfield</t>
  </si>
  <si>
    <t>burst pipe repair sydney</t>
  </si>
  <si>
    <t>emergency plumber corstorphine</t>
  </si>
  <si>
    <t>0, 0, 1, 1, 0, 0, 0, 0, 1, 1, 0, 0, 0, 0, 0, 0, 0, 0, 0, 0, 0, 0, 0, 1</t>
  </si>
  <si>
    <t>water leak repair glue</t>
  </si>
  <si>
    <t>0, 0, 1, 0, 0, 0, 0, 0, 0, 0, 0, 1, 0, 0, 0, 0, 0, 0, 0, 0, 0, 1, 0, 1</t>
  </si>
  <si>
    <t>ceiling repair after water leak</t>
  </si>
  <si>
    <t>emergency plumber epping</t>
  </si>
  <si>
    <t>0, 0, 0, 0, 1, 0, 1, 2, 0, 4, 2, 0, 0, 0, 0, 0, 0, 0, 0, 0, 0, 0, 0, 1</t>
  </si>
  <si>
    <t>emergency plumber tyler</t>
  </si>
  <si>
    <t>1, 0, 0, 0, 1, 0, 2, 4, 1, 1, 0, 0, 0, 0, 0, 0, 0, 0, 0, 0, 0, 0, 0, 1</t>
  </si>
  <si>
    <t>emergency plumber shoalhaven</t>
  </si>
  <si>
    <t>1, 0, 0, 0, 0, 0, 2, 2, 4, 2, 0, 0, 0, 0, 0, 0, 0, 0, 0, 0, 0, 0, 0, 1</t>
  </si>
  <si>
    <t>emergency plumber littleton co</t>
  </si>
  <si>
    <t>0, 0, 1, 2, 0, 0, 0, 2, 0, 2, 1, 2, 0, 0, 0, 0, 0, 0, 0, 0, 0, 0, 0, 1</t>
  </si>
  <si>
    <t>emergency plumber barmaryee</t>
  </si>
  <si>
    <t>0, 0, 0, 0, 0, 1, 0, 1, 0, 2, 0, 1, 0, 0, 0, 0, 0, 0, 0, 0, 0, 0, 0, 1</t>
  </si>
  <si>
    <t>emergency plumber mckinney</t>
  </si>
  <si>
    <t>1, 1, 0, 1, 0, 2, 1, 4, 2, 5, 3, 6, 0, 0, 0, 0, 0, 2, 1, 0, 0, 4, 0, 1</t>
  </si>
  <si>
    <t>emergency plumber palmview</t>
  </si>
  <si>
    <t>0, 0, 0, 0, 1, 0, 1, 0, 1, 0, 0, 0, 0, 0, 0, 0, 0, 0, 0, 0, 0, 0, 0, 1</t>
  </si>
  <si>
    <t>24 hour plumber plano</t>
  </si>
  <si>
    <t>0, 0, 1, 1, 1, 1, 1, 0, 0, 2, 0, 1, 0, 0, 0, 0, 0, 0, 0, 0, 0, 0, 0, 1</t>
  </si>
  <si>
    <t>cibolo tx emergency plumber</t>
  </si>
  <si>
    <t>1, 2, 0, 0, 0, 0, 0, 0, 0, 1, 4, 0, 0, 0, 0, 0, 0, 0, 0, 0, 0, 0, 0, 1</t>
  </si>
  <si>
    <t>emergency plumber watford</t>
  </si>
  <si>
    <t>0, 1, 0, 1, 2, 1, 1, 3, 1, 0, 5, 0, 1, 0, 0, 0, 0, 0, 0, 0, 0, 0, 0, 1</t>
  </si>
  <si>
    <t>water leak car repair near me</t>
  </si>
  <si>
    <t>emergency plumber groton ct</t>
  </si>
  <si>
    <t>sandy utah emergency plumber</t>
  </si>
  <si>
    <t>brighton emergency plumber</t>
  </si>
  <si>
    <t>emergency plumber near me keller</t>
  </si>
  <si>
    <t>0, 0, 0, 0, 0, 0, 0, 0, 0, 1, 0, 4, 0, 0, 0, 0, 0, 0, 0, 0, 0, 0, 0, 1</t>
  </si>
  <si>
    <t>emergency plumber oceanside</t>
  </si>
  <si>
    <t>1, 0, 0, 0, 1, 1, 0, 4, 1, 0, 0, 1, 0, 0, 0, 0, 0, 0, 0, 0, 0, 0, 0, 1</t>
  </si>
  <si>
    <t>spokane emergency plumber</t>
  </si>
  <si>
    <t>emergency plumber tottenham</t>
  </si>
  <si>
    <t>24 hour plumber newport beach</t>
  </si>
  <si>
    <t>emergency plumber rosemont</t>
  </si>
  <si>
    <t>2, 3, 2, 2, 1, 0, 1, 4, 0, 1, 4, 0, 0, 0, 0, 0, 0, 0, 0, 0, 0, 0, 0, 1</t>
  </si>
  <si>
    <t>emergency plumber jackson wy</t>
  </si>
  <si>
    <t>emergency plumber in cleveland</t>
  </si>
  <si>
    <t>24 hour plumber harrow</t>
  </si>
  <si>
    <t>emergency plumber curl curl</t>
  </si>
  <si>
    <t>emergency plumber allambie heights</t>
  </si>
  <si>
    <t>emergency plumber cullompton</t>
  </si>
  <si>
    <t>emergency plumber thousand oaks</t>
  </si>
  <si>
    <t>emergency plumber maroochydore</t>
  </si>
  <si>
    <t>0, 0, 1, 0, 1, 1, 1, 1, 1, 0, 1, 2, 0, 0, 0, 0, 0, 0, 0, 0, 0, 0, 0, 1</t>
  </si>
  <si>
    <t>emergency plumber near chicago</t>
  </si>
  <si>
    <t>emergency plumber laois</t>
  </si>
  <si>
    <t>emergency plumber harrow</t>
  </si>
  <si>
    <t>0, 0, 1, 1, 0, 0, 1, 0, 4, 1, 0, 1, 0, 0, 0, 0, 0, 0, 0, 0, 0, 0, 0, 1</t>
  </si>
  <si>
    <t>24 7 emergency plumber</t>
  </si>
  <si>
    <t>1, 3, 3, 5, 2, 5, 5, 5, 11, 8, 7, 7, 2, 1, 5, 5, 1, 1, 1, 2, 5, 0, 2, 4</t>
  </si>
  <si>
    <t>emergency plumber ridgewood</t>
  </si>
  <si>
    <t>0, 0, 0, 0, 0, 1, 2, 1, 2, 1, 1, 0, 0, 0, 0, 0, 0, 0, 0, 0, 0, 0, 0, 1</t>
  </si>
  <si>
    <t>emergency plumber beccles</t>
  </si>
  <si>
    <t>24 hour plumber mississauga</t>
  </si>
  <si>
    <t>emergency plumber bognor regis</t>
  </si>
  <si>
    <t>0, 0, 0, 0, 1, 0, 0, 0, 1, 1, 1, 0, 0, 0, 2, 0, 0, 0, 0, 0, 0, 0, 0, 1</t>
  </si>
  <si>
    <t>emergency plumber kenley</t>
  </si>
  <si>
    <t>0, 0, 1, 1, 1, 0, 0, 1, 0, 0, 0, 0, 0, 0, 0, 0, 0, 0, 0, 0, 0, 0, 0, 1</t>
  </si>
  <si>
    <t>emergency plumber ogden</t>
  </si>
  <si>
    <t>0, 2, 0, 0, 0, 0, 0, 1, 0, 1, 2, 1, 0, 0, 0, 0, 0, 0, 0, 0, 0, 0, 0, 1</t>
  </si>
  <si>
    <t>water heater leak repair in louisiana</t>
  </si>
  <si>
    <t>emergency plumber clayfield</t>
  </si>
  <si>
    <t>0, 1, 0, 0, 0, 1, 0, 0, 2, 2, 0, 0, 0, 0, 0, 0, 0, 0, 0, 0, 0, 0, 0, 1</t>
  </si>
  <si>
    <t>24 hour plumber provo</t>
  </si>
  <si>
    <t>emergency plumber la quinta</t>
  </si>
  <si>
    <t>0, 0, 0, 0, 0, 0, 0, 1, 2, 1, 3, 0, 0, 0, 0, 0, 0, 0, 0, 0, 0, 0, 0, 1</t>
  </si>
  <si>
    <t>water leak repair nashua</t>
  </si>
  <si>
    <t>emergency plumber aurora</t>
  </si>
  <si>
    <t>24 hour plumber south east london</t>
  </si>
  <si>
    <t>emergency plumber naples</t>
  </si>
  <si>
    <t>0, 0, 0, 0, 1, 2, 1, 1, 0, 0, 0, 0, 0, 0, 0, 0, 0, 1, 0, 0, 0, 0, 0, 1</t>
  </si>
  <si>
    <t>burst pipe repair wichita</t>
  </si>
  <si>
    <t>0, 1, 0, 0, 1, 1, 0, 0, 0, 0, 0, 0, 0, 0, 0, 0, 0, 0, 0, 0, 0, 0, 0, 1</t>
  </si>
  <si>
    <t>burst pipe repair edmonton</t>
  </si>
  <si>
    <t>0, 2, 0, 0, 0, 0, 2, 0, 0, 0, 0, 0, 0, 0, 0, 0, 0, 0, 0, 0, 0, 0, 0, 1</t>
  </si>
  <si>
    <t>emergency plumber portland</t>
  </si>
  <si>
    <t>0, 0, 1, 0, 0, 3, 0, 2, 1, 2, 0, 0, 1, 0, 0, 0, 0, 0, 0, 1, 0, 0, 0, 1</t>
  </si>
  <si>
    <t>water leak repair fenton</t>
  </si>
  <si>
    <t>emergency plumber malibu ca</t>
  </si>
  <si>
    <t>24 hour plumber oatley</t>
  </si>
  <si>
    <t>plumber emergency service glens falls ny</t>
  </si>
  <si>
    <t>24 hour plumber auburn</t>
  </si>
  <si>
    <t>emergency plumber dundathu</t>
  </si>
  <si>
    <t>0, 0, 0, 0, 0, 2, 0, 1, 0, 0, 2, 0, 0, 0, 0, 0, 0, 0, 0, 0, 0, 0, 0, 1</t>
  </si>
  <si>
    <t>emergency plumber service heathwood</t>
  </si>
  <si>
    <t>best emergency plumber pittsburgh pa</t>
  </si>
  <si>
    <t>emergency plumber newburgh</t>
  </si>
  <si>
    <t>emergency plumber karingal</t>
  </si>
  <si>
    <t>0, 1, 2, 0, 0, 0, 0, 1, 2, 1, 0, 1, 0, 0, 0, 0, 0, 0, 0, 0, 0, 0, 0, 1</t>
  </si>
  <si>
    <t>emergency plumber carrollton</t>
  </si>
  <si>
    <t>1, 0, 0, 1, 0, 0, 1, 0, 0, 1, 3, 3, 0, 1, 0, 0, 0, 1, 0, 0, 0, 1, 0, 1</t>
  </si>
  <si>
    <t>emergency plumber truganina</t>
  </si>
  <si>
    <t>0, 0, 0, 0, 0, 0, 0, 3, 2, 1, 1, 0, 0, 0, 0, 0, 0, 0, 0, 0, 0, 0, 0, 1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</si>
</sst>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rlito"/>
    </font>
    <font>
      <b/>
      <sz val="11.0"/>
      <color rgb="FF17365D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4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vertical="bottom"/>
    </xf>
    <xf borderId="8" fillId="3" fontId="4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3" fontId="4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2"/>
      <c r="B1" s="3" t="s">
        <v>10</v>
      </c>
      <c r="C1" s="3" t="s">
        <v>16</v>
      </c>
      <c r="D1" s="3" t="s">
        <v>19</v>
      </c>
      <c r="E1" s="3" t="s">
        <v>22</v>
      </c>
      <c r="F1" s="3" t="s">
        <v>24</v>
      </c>
      <c r="G1" s="3" t="s">
        <v>26</v>
      </c>
      <c r="H1" s="3" t="s">
        <v>27</v>
      </c>
      <c r="I1" s="3" t="s">
        <v>29</v>
      </c>
      <c r="J1" s="3" t="s">
        <v>30</v>
      </c>
      <c r="K1" s="3" t="s">
        <v>33</v>
      </c>
      <c r="L1" s="6" t="s">
        <v>37</v>
      </c>
      <c r="M1" s="7"/>
      <c r="N1" s="3" t="s">
        <v>10</v>
      </c>
      <c r="O1" s="3" t="s">
        <v>16</v>
      </c>
      <c r="P1" s="3" t="s">
        <v>19</v>
      </c>
      <c r="Q1" s="3" t="s">
        <v>22</v>
      </c>
      <c r="R1" s="3" t="s">
        <v>24</v>
      </c>
      <c r="S1" s="3" t="s">
        <v>26</v>
      </c>
      <c r="T1" s="3" t="s">
        <v>27</v>
      </c>
      <c r="U1" s="3" t="s">
        <v>29</v>
      </c>
      <c r="V1" s="3" t="s">
        <v>30</v>
      </c>
      <c r="W1" s="3" t="s">
        <v>33</v>
      </c>
      <c r="X1" s="8" t="s">
        <v>65</v>
      </c>
      <c r="Y1" s="9"/>
      <c r="Z1" s="9"/>
    </row>
    <row r="2">
      <c r="A2" s="10" t="s">
        <v>70</v>
      </c>
      <c r="B2" s="11" t="s">
        <v>73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1" t="s">
        <v>90</v>
      </c>
      <c r="O2" s="12"/>
      <c r="P2" s="12"/>
      <c r="Q2" s="12"/>
      <c r="R2" s="12"/>
      <c r="S2" s="12"/>
      <c r="T2" s="12"/>
      <c r="U2" s="12"/>
      <c r="V2" s="12"/>
      <c r="W2" s="12"/>
      <c r="X2" s="14"/>
      <c r="Y2" s="9"/>
      <c r="Z2" s="9"/>
    </row>
    <row r="3">
      <c r="A3" s="15" t="s">
        <v>101</v>
      </c>
      <c r="B3" s="16" t="str">
        <f t="shared" ref="B3:K3" si="1">IF($A3="","",IF(OR(ISNUMBER(SEARCH(LOWER($A3),LOWER(B$1))),AND(RIGHT(LOWER($A3),1)="s",ISNUMBER(SEARCH(LEFT(LOWER($A3),LEN($A3)-1),LOWER(B$1))))),B$1,B$1&amp;" "&amp;$A3))</f>
        <v>emergency plumber cape town</v>
      </c>
      <c r="C3" s="16" t="str">
        <f t="shared" si="1"/>
        <v>24 hour plumber cape town</v>
      </c>
      <c r="D3" s="16" t="str">
        <f t="shared" si="1"/>
        <v>burst pipe repair cape town</v>
      </c>
      <c r="E3" s="16" t="str">
        <f t="shared" si="1"/>
        <v>leaking pipe repair cape town</v>
      </c>
      <c r="F3" s="16" t="str">
        <f t="shared" si="1"/>
        <v>leaking tap repair cape town</v>
      </c>
      <c r="G3" s="16" t="str">
        <f t="shared" si="1"/>
        <v>blocked toilet plumber cape town</v>
      </c>
      <c r="H3" s="16" t="str">
        <f t="shared" si="1"/>
        <v>toilet repair cape town</v>
      </c>
      <c r="I3" s="16" t="str">
        <f t="shared" si="1"/>
        <v>bathroom plumbing repair cape town</v>
      </c>
      <c r="J3" s="16" t="str">
        <f t="shared" si="1"/>
        <v>kitchen plumbing repair cape town</v>
      </c>
      <c r="K3" s="16" t="str">
        <f t="shared" si="1"/>
        <v>water leak repair cape town</v>
      </c>
      <c r="L3" s="17" t="str">
        <f>IFERROR(__xludf.DUMMYFUNCTION("SORT(UNIQUE(FILTER(FLATTEN(B3:K82),FLATTEN(B3:K82)&lt;&gt;"""")))"),"24 hour plumber")</f>
        <v>24 hour plumber</v>
      </c>
      <c r="M3" s="18"/>
      <c r="N3" s="16" t="str">
        <f t="shared" ref="N3:W3" si="2">IF($A3="","",IF(OR(ISNUMBER(SEARCH(LOWER($A3),LOWER(N$1))),AND(RIGHT(LOWER($A3),1)="s",ISNUMBER(SEARCH(LEFT(LOWER($A3),LEN($A3)-1),LOWER(N$1))))),N$1,$A3&amp;" "&amp;N$1))</f>
        <v>cape town emergency plumber</v>
      </c>
      <c r="O3" s="16" t="str">
        <f t="shared" si="2"/>
        <v>cape town 24 hour plumber</v>
      </c>
      <c r="P3" s="16" t="str">
        <f t="shared" si="2"/>
        <v>cape town burst pipe repair</v>
      </c>
      <c r="Q3" s="16" t="str">
        <f t="shared" si="2"/>
        <v>cape town leaking pipe repair</v>
      </c>
      <c r="R3" s="16" t="str">
        <f t="shared" si="2"/>
        <v>cape town leaking tap repair</v>
      </c>
      <c r="S3" s="16" t="str">
        <f t="shared" si="2"/>
        <v>cape town blocked toilet plumber</v>
      </c>
      <c r="T3" s="16" t="str">
        <f t="shared" si="2"/>
        <v>cape town toilet repair</v>
      </c>
      <c r="U3" s="16" t="str">
        <f t="shared" si="2"/>
        <v>cape town bathroom plumbing repair</v>
      </c>
      <c r="V3" s="16" t="str">
        <f t="shared" si="2"/>
        <v>cape town kitchen plumbing repair</v>
      </c>
      <c r="W3" s="16" t="str">
        <f t="shared" si="2"/>
        <v>cape town water leak repair</v>
      </c>
      <c r="X3" s="19" t="str">
        <f>IFERROR(__xludf.DUMMYFUNCTION("SORT(UNIQUE(FILTER(FLATTEN(N3:W82),FLATTEN(N3:W82)&lt;&gt;"""")))"),"24 hour plumber")</f>
        <v>24 hour plumber</v>
      </c>
      <c r="Y3" s="9"/>
      <c r="Z3" s="9"/>
    </row>
    <row r="4">
      <c r="A4" s="15" t="s">
        <v>267</v>
      </c>
      <c r="B4" s="16" t="str">
        <f t="shared" ref="B4:K4" si="3">IF($A4="","",IF(OR(ISNUMBER(SEARCH(LOWER($A4),LOWER(B$1))),AND(RIGHT(LOWER($A4),1)="s",ISNUMBER(SEARCH(LEFT(LOWER($A4),LEN($A4)-1),LOWER(B$1))))),B$1,B$1&amp;" "&amp;$A4))</f>
        <v>emergency plumber near me</v>
      </c>
      <c r="C4" s="16" t="str">
        <f t="shared" si="3"/>
        <v>24 hour plumber near me</v>
      </c>
      <c r="D4" s="16" t="str">
        <f t="shared" si="3"/>
        <v>burst pipe repair near me</v>
      </c>
      <c r="E4" s="16" t="str">
        <f t="shared" si="3"/>
        <v>leaking pipe repair near me</v>
      </c>
      <c r="F4" s="16" t="str">
        <f t="shared" si="3"/>
        <v>leaking tap repair near me</v>
      </c>
      <c r="G4" s="16" t="str">
        <f t="shared" si="3"/>
        <v>blocked toilet plumber near me</v>
      </c>
      <c r="H4" s="16" t="str">
        <f t="shared" si="3"/>
        <v>toilet repair near me</v>
      </c>
      <c r="I4" s="16" t="str">
        <f t="shared" si="3"/>
        <v>bathroom plumbing repair near me</v>
      </c>
      <c r="J4" s="16" t="str">
        <f t="shared" si="3"/>
        <v>kitchen plumbing repair near me</v>
      </c>
      <c r="K4" s="16" t="str">
        <f t="shared" si="3"/>
        <v>water leak repair near me</v>
      </c>
      <c r="L4" s="17" t="str">
        <f>IFERROR(__xludf.DUMMYFUNCTION("""COMPUTED_VALUE"""),"24 hour plumber after hours")</f>
        <v>24 hour plumber after hours</v>
      </c>
      <c r="M4" s="18"/>
      <c r="N4" s="16" t="str">
        <f t="shared" ref="N4:W4" si="4">IF($A4="","",IF(OR(ISNUMBER(SEARCH(LOWER($A4),LOWER(N$1))),AND(RIGHT(LOWER($A4),1)="s",ISNUMBER(SEARCH(LEFT(LOWER($A4),LEN($A4)-1),LOWER(N$1))))),N$1,$A4&amp;" "&amp;N$1))</f>
        <v>near me emergency plumber</v>
      </c>
      <c r="O4" s="16" t="str">
        <f t="shared" si="4"/>
        <v>near me 24 hour plumber</v>
      </c>
      <c r="P4" s="16" t="str">
        <f t="shared" si="4"/>
        <v>near me burst pipe repair</v>
      </c>
      <c r="Q4" s="16" t="str">
        <f t="shared" si="4"/>
        <v>near me leaking pipe repair</v>
      </c>
      <c r="R4" s="16" t="str">
        <f t="shared" si="4"/>
        <v>near me leaking tap repair</v>
      </c>
      <c r="S4" s="16" t="str">
        <f t="shared" si="4"/>
        <v>near me blocked toilet plumber</v>
      </c>
      <c r="T4" s="16" t="str">
        <f t="shared" si="4"/>
        <v>near me toilet repair</v>
      </c>
      <c r="U4" s="16" t="str">
        <f t="shared" si="4"/>
        <v>near me bathroom plumbing repair</v>
      </c>
      <c r="V4" s="16" t="str">
        <f t="shared" si="4"/>
        <v>near me kitchen plumbing repair</v>
      </c>
      <c r="W4" s="16" t="str">
        <f t="shared" si="4"/>
        <v>near me water leak repair</v>
      </c>
      <c r="X4" s="19" t="str">
        <f>IFERROR(__xludf.DUMMYFUNCTION("""COMPUTED_VALUE"""),"after hours 24 hour plumber")</f>
        <v>after hours 24 hour plumber</v>
      </c>
      <c r="Y4" s="9"/>
      <c r="Z4" s="9"/>
    </row>
    <row r="5">
      <c r="A5" s="15" t="s">
        <v>394</v>
      </c>
      <c r="B5" s="16" t="str">
        <f t="shared" ref="B5:K5" si="5">IF($A5="","",IF(OR(ISNUMBER(SEARCH(LOWER($A5),LOWER(B$1))),AND(RIGHT(LOWER($A5),1)="s",ISNUMBER(SEARCH(LEFT(LOWER($A5),LEN($A5)-1),LOWER(B$1))))),B$1,B$1&amp;" "&amp;$A5))</f>
        <v>emergency plumber urgent</v>
      </c>
      <c r="C5" s="16" t="str">
        <f t="shared" si="5"/>
        <v>24 hour plumber urgent</v>
      </c>
      <c r="D5" s="16" t="str">
        <f t="shared" si="5"/>
        <v>burst pipe repair urgent</v>
      </c>
      <c r="E5" s="16" t="str">
        <f t="shared" si="5"/>
        <v>leaking pipe repair urgent</v>
      </c>
      <c r="F5" s="16" t="str">
        <f t="shared" si="5"/>
        <v>leaking tap repair urgent</v>
      </c>
      <c r="G5" s="16" t="str">
        <f t="shared" si="5"/>
        <v>blocked toilet plumber urgent</v>
      </c>
      <c r="H5" s="16" t="str">
        <f t="shared" si="5"/>
        <v>toilet repair urgent</v>
      </c>
      <c r="I5" s="16" t="str">
        <f t="shared" si="5"/>
        <v>bathroom plumbing repair urgent</v>
      </c>
      <c r="J5" s="16" t="str">
        <f t="shared" si="5"/>
        <v>kitchen plumbing repair urgent</v>
      </c>
      <c r="K5" s="16" t="str">
        <f t="shared" si="5"/>
        <v>water leak repair urgent</v>
      </c>
      <c r="L5" s="17" t="str">
        <f>IFERROR(__xludf.DUMMYFUNCTION("""COMPUTED_VALUE"""),"24 hour plumber call out")</f>
        <v>24 hour plumber call out</v>
      </c>
      <c r="M5" s="18"/>
      <c r="N5" s="16" t="str">
        <f t="shared" ref="N5:W5" si="6">IF($A5="","",IF(OR(ISNUMBER(SEARCH(LOWER($A5),LOWER(N$1))),AND(RIGHT(LOWER($A5),1)="s",ISNUMBER(SEARCH(LEFT(LOWER($A5),LEN($A5)-1),LOWER(N$1))))),N$1,$A5&amp;" "&amp;N$1))</f>
        <v>urgent emergency plumber</v>
      </c>
      <c r="O5" s="16" t="str">
        <f t="shared" si="6"/>
        <v>urgent 24 hour plumber</v>
      </c>
      <c r="P5" s="16" t="str">
        <f t="shared" si="6"/>
        <v>urgent burst pipe repair</v>
      </c>
      <c r="Q5" s="16" t="str">
        <f t="shared" si="6"/>
        <v>urgent leaking pipe repair</v>
      </c>
      <c r="R5" s="16" t="str">
        <f t="shared" si="6"/>
        <v>urgent leaking tap repair</v>
      </c>
      <c r="S5" s="16" t="str">
        <f t="shared" si="6"/>
        <v>urgent blocked toilet plumber</v>
      </c>
      <c r="T5" s="16" t="str">
        <f t="shared" si="6"/>
        <v>urgent toilet repair</v>
      </c>
      <c r="U5" s="16" t="str">
        <f t="shared" si="6"/>
        <v>urgent bathroom plumbing repair</v>
      </c>
      <c r="V5" s="16" t="str">
        <f t="shared" si="6"/>
        <v>urgent kitchen plumbing repair</v>
      </c>
      <c r="W5" s="16" t="str">
        <f t="shared" si="6"/>
        <v>urgent water leak repair</v>
      </c>
      <c r="X5" s="19" t="str">
        <f>IFERROR(__xludf.DUMMYFUNCTION("""COMPUTED_VALUE"""),"after hours bathroom plumbing repair")</f>
        <v>after hours bathroom plumbing repair</v>
      </c>
      <c r="Y5" s="9"/>
      <c r="Z5" s="9"/>
    </row>
    <row r="6">
      <c r="A6" s="15" t="s">
        <v>457</v>
      </c>
      <c r="B6" s="16" t="str">
        <f t="shared" ref="B6:K6" si="7">IF($A6="","",IF(OR(ISNUMBER(SEARCH(LOWER($A6),LOWER(B$1))),AND(RIGHT(LOWER($A6),1)="s",ISNUMBER(SEARCH(LEFT(LOWER($A6),LEN($A6)-1),LOWER(B$1))))),B$1,B$1&amp;" "&amp;$A6))</f>
        <v>emergency plumber same day</v>
      </c>
      <c r="C6" s="16" t="str">
        <f t="shared" si="7"/>
        <v>24 hour plumber same day</v>
      </c>
      <c r="D6" s="16" t="str">
        <f t="shared" si="7"/>
        <v>burst pipe repair same day</v>
      </c>
      <c r="E6" s="16" t="str">
        <f t="shared" si="7"/>
        <v>leaking pipe repair same day</v>
      </c>
      <c r="F6" s="16" t="str">
        <f t="shared" si="7"/>
        <v>leaking tap repair same day</v>
      </c>
      <c r="G6" s="16" t="str">
        <f t="shared" si="7"/>
        <v>blocked toilet plumber same day</v>
      </c>
      <c r="H6" s="16" t="str">
        <f t="shared" si="7"/>
        <v>toilet repair same day</v>
      </c>
      <c r="I6" s="16" t="str">
        <f t="shared" si="7"/>
        <v>bathroom plumbing repair same day</v>
      </c>
      <c r="J6" s="16" t="str">
        <f t="shared" si="7"/>
        <v>kitchen plumbing repair same day</v>
      </c>
      <c r="K6" s="16" t="str">
        <f t="shared" si="7"/>
        <v>water leak repair same day</v>
      </c>
      <c r="L6" s="17" t="str">
        <f>IFERROR(__xludf.DUMMYFUNCTION("""COMPUTED_VALUE"""),"24 hour plumber cape town")</f>
        <v>24 hour plumber cape town</v>
      </c>
      <c r="M6" s="18"/>
      <c r="N6" s="16" t="str">
        <f t="shared" ref="N6:W6" si="8">IF($A6="","",IF(OR(ISNUMBER(SEARCH(LOWER($A6),LOWER(N$1))),AND(RIGHT(LOWER($A6),1)="s",ISNUMBER(SEARCH(LEFT(LOWER($A6),LEN($A6)-1),LOWER(N$1))))),N$1,$A6&amp;" "&amp;N$1))</f>
        <v>same day emergency plumber</v>
      </c>
      <c r="O6" s="16" t="str">
        <f t="shared" si="8"/>
        <v>same day 24 hour plumber</v>
      </c>
      <c r="P6" s="16" t="str">
        <f t="shared" si="8"/>
        <v>same day burst pipe repair</v>
      </c>
      <c r="Q6" s="16" t="str">
        <f t="shared" si="8"/>
        <v>same day leaking pipe repair</v>
      </c>
      <c r="R6" s="16" t="str">
        <f t="shared" si="8"/>
        <v>same day leaking tap repair</v>
      </c>
      <c r="S6" s="16" t="str">
        <f t="shared" si="8"/>
        <v>same day blocked toilet plumber</v>
      </c>
      <c r="T6" s="16" t="str">
        <f t="shared" si="8"/>
        <v>same day toilet repair</v>
      </c>
      <c r="U6" s="16" t="str">
        <f t="shared" si="8"/>
        <v>same day bathroom plumbing repair</v>
      </c>
      <c r="V6" s="16" t="str">
        <f t="shared" si="8"/>
        <v>same day kitchen plumbing repair</v>
      </c>
      <c r="W6" s="16" t="str">
        <f t="shared" si="8"/>
        <v>same day water leak repair</v>
      </c>
      <c r="X6" s="19" t="str">
        <f>IFERROR(__xludf.DUMMYFUNCTION("""COMPUTED_VALUE"""),"after hours blocked toilet plumber")</f>
        <v>after hours blocked toilet plumber</v>
      </c>
      <c r="Y6" s="9"/>
      <c r="Z6" s="9"/>
    </row>
    <row r="7">
      <c r="A7" s="15" t="s">
        <v>528</v>
      </c>
      <c r="B7" s="16" t="str">
        <f t="shared" ref="B7:K7" si="9">IF($A7="","",IF(OR(ISNUMBER(SEARCH(LOWER($A7),LOWER(B$1))),AND(RIGHT(LOWER($A7),1)="s",ISNUMBER(SEARCH(LEFT(LOWER($A7),LEN($A7)-1),LOWER(B$1))))),B$1,B$1&amp;" "&amp;$A7))</f>
        <v>emergency plumber after hours</v>
      </c>
      <c r="C7" s="16" t="str">
        <f t="shared" si="9"/>
        <v>24 hour plumber after hours</v>
      </c>
      <c r="D7" s="16" t="str">
        <f t="shared" si="9"/>
        <v>burst pipe repair after hours</v>
      </c>
      <c r="E7" s="16" t="str">
        <f t="shared" si="9"/>
        <v>leaking pipe repair after hours</v>
      </c>
      <c r="F7" s="16" t="str">
        <f t="shared" si="9"/>
        <v>leaking tap repair after hours</v>
      </c>
      <c r="G7" s="16" t="str">
        <f t="shared" si="9"/>
        <v>blocked toilet plumber after hours</v>
      </c>
      <c r="H7" s="16" t="str">
        <f t="shared" si="9"/>
        <v>toilet repair after hours</v>
      </c>
      <c r="I7" s="16" t="str">
        <f t="shared" si="9"/>
        <v>bathroom plumbing repair after hours</v>
      </c>
      <c r="J7" s="16" t="str">
        <f t="shared" si="9"/>
        <v>kitchen plumbing repair after hours</v>
      </c>
      <c r="K7" s="16" t="str">
        <f t="shared" si="9"/>
        <v>water leak repair after hours</v>
      </c>
      <c r="L7" s="17" t="str">
        <f>IFERROR(__xludf.DUMMYFUNCTION("""COMPUTED_VALUE"""),"24 hour plumber commercial")</f>
        <v>24 hour plumber commercial</v>
      </c>
      <c r="M7" s="18"/>
      <c r="N7" s="16" t="str">
        <f t="shared" ref="N7:W7" si="10">IF($A7="","",IF(OR(ISNUMBER(SEARCH(LOWER($A7),LOWER(N$1))),AND(RIGHT(LOWER($A7),1)="s",ISNUMBER(SEARCH(LEFT(LOWER($A7),LEN($A7)-1),LOWER(N$1))))),N$1,$A7&amp;" "&amp;N$1))</f>
        <v>after hours emergency plumber</v>
      </c>
      <c r="O7" s="16" t="str">
        <f t="shared" si="10"/>
        <v>after hours 24 hour plumber</v>
      </c>
      <c r="P7" s="16" t="str">
        <f t="shared" si="10"/>
        <v>after hours burst pipe repair</v>
      </c>
      <c r="Q7" s="16" t="str">
        <f t="shared" si="10"/>
        <v>after hours leaking pipe repair</v>
      </c>
      <c r="R7" s="16" t="str">
        <f t="shared" si="10"/>
        <v>after hours leaking tap repair</v>
      </c>
      <c r="S7" s="16" t="str">
        <f t="shared" si="10"/>
        <v>after hours blocked toilet plumber</v>
      </c>
      <c r="T7" s="16" t="str">
        <f t="shared" si="10"/>
        <v>after hours toilet repair</v>
      </c>
      <c r="U7" s="16" t="str">
        <f t="shared" si="10"/>
        <v>after hours bathroom plumbing repair</v>
      </c>
      <c r="V7" s="16" t="str">
        <f t="shared" si="10"/>
        <v>after hours kitchen plumbing repair</v>
      </c>
      <c r="W7" s="16" t="str">
        <f t="shared" si="10"/>
        <v>after hours water leak repair</v>
      </c>
      <c r="X7" s="19" t="str">
        <f>IFERROR(__xludf.DUMMYFUNCTION("""COMPUTED_VALUE"""),"after hours burst pipe repair")</f>
        <v>after hours burst pipe repair</v>
      </c>
      <c r="Y7" s="9"/>
      <c r="Z7" s="9"/>
    </row>
    <row r="8">
      <c r="A8" s="15" t="s">
        <v>599</v>
      </c>
      <c r="B8" s="16" t="str">
        <f t="shared" ref="B8:K8" si="11">IF($A8="","",IF(OR(ISNUMBER(SEARCH(LOWER($A8),LOWER(B$1))),AND(RIGHT(LOWER($A8),1)="s",ISNUMBER(SEARCH(LEFT(LOWER($A8),LEN($A8)-1),LOWER(B$1))))),B$1,B$1&amp;" "&amp;$A8))</f>
        <v>emergency plumber weekend</v>
      </c>
      <c r="C8" s="16" t="str">
        <f t="shared" si="11"/>
        <v>24 hour plumber weekend</v>
      </c>
      <c r="D8" s="16" t="str">
        <f t="shared" si="11"/>
        <v>burst pipe repair weekend</v>
      </c>
      <c r="E8" s="16" t="str">
        <f t="shared" si="11"/>
        <v>leaking pipe repair weekend</v>
      </c>
      <c r="F8" s="16" t="str">
        <f t="shared" si="11"/>
        <v>leaking tap repair weekend</v>
      </c>
      <c r="G8" s="16" t="str">
        <f t="shared" si="11"/>
        <v>blocked toilet plumber weekend</v>
      </c>
      <c r="H8" s="16" t="str">
        <f t="shared" si="11"/>
        <v>toilet repair weekend</v>
      </c>
      <c r="I8" s="16" t="str">
        <f t="shared" si="11"/>
        <v>bathroom plumbing repair weekend</v>
      </c>
      <c r="J8" s="16" t="str">
        <f t="shared" si="11"/>
        <v>kitchen plumbing repair weekend</v>
      </c>
      <c r="K8" s="16" t="str">
        <f t="shared" si="11"/>
        <v>water leak repair weekend</v>
      </c>
      <c r="L8" s="17" t="str">
        <f>IFERROR(__xludf.DUMMYFUNCTION("""COMPUTED_VALUE"""),"24 hour plumber company")</f>
        <v>24 hour plumber company</v>
      </c>
      <c r="M8" s="18"/>
      <c r="N8" s="16" t="str">
        <f t="shared" ref="N8:W8" si="12">IF($A8="","",IF(OR(ISNUMBER(SEARCH(LOWER($A8),LOWER(N$1))),AND(RIGHT(LOWER($A8),1)="s",ISNUMBER(SEARCH(LEFT(LOWER($A8),LEN($A8)-1),LOWER(N$1))))),N$1,$A8&amp;" "&amp;N$1))</f>
        <v>weekend emergency plumber</v>
      </c>
      <c r="O8" s="16" t="str">
        <f t="shared" si="12"/>
        <v>weekend 24 hour plumber</v>
      </c>
      <c r="P8" s="16" t="str">
        <f t="shared" si="12"/>
        <v>weekend burst pipe repair</v>
      </c>
      <c r="Q8" s="16" t="str">
        <f t="shared" si="12"/>
        <v>weekend leaking pipe repair</v>
      </c>
      <c r="R8" s="16" t="str">
        <f t="shared" si="12"/>
        <v>weekend leaking tap repair</v>
      </c>
      <c r="S8" s="16" t="str">
        <f t="shared" si="12"/>
        <v>weekend blocked toilet plumber</v>
      </c>
      <c r="T8" s="16" t="str">
        <f t="shared" si="12"/>
        <v>weekend toilet repair</v>
      </c>
      <c r="U8" s="16" t="str">
        <f t="shared" si="12"/>
        <v>weekend bathroom plumbing repair</v>
      </c>
      <c r="V8" s="16" t="str">
        <f t="shared" si="12"/>
        <v>weekend kitchen plumbing repair</v>
      </c>
      <c r="W8" s="16" t="str">
        <f t="shared" si="12"/>
        <v>weekend water leak repair</v>
      </c>
      <c r="X8" s="19" t="str">
        <f>IFERROR(__xludf.DUMMYFUNCTION("""COMPUTED_VALUE"""),"after hours emergency plumber")</f>
        <v>after hours emergency plumber</v>
      </c>
      <c r="Y8" s="9"/>
      <c r="Z8" s="9"/>
    </row>
    <row r="9">
      <c r="A9" s="15" t="s">
        <v>665</v>
      </c>
      <c r="B9" s="16" t="str">
        <f t="shared" ref="B9:K9" si="13">IF($A9="","",IF(OR(ISNUMBER(SEARCH(LOWER($A9),LOWER(B$1))),AND(RIGHT(LOWER($A9),1)="s",ISNUMBER(SEARCH(LEFT(LOWER($A9),LEN($A9)-1),LOWER(B$1))))),B$1,B$1&amp;" "&amp;$A9))</f>
        <v>emergency plumber call out</v>
      </c>
      <c r="C9" s="16" t="str">
        <f t="shared" si="13"/>
        <v>24 hour plumber call out</v>
      </c>
      <c r="D9" s="16" t="str">
        <f t="shared" si="13"/>
        <v>burst pipe repair call out</v>
      </c>
      <c r="E9" s="16" t="str">
        <f t="shared" si="13"/>
        <v>leaking pipe repair call out</v>
      </c>
      <c r="F9" s="16" t="str">
        <f t="shared" si="13"/>
        <v>leaking tap repair call out</v>
      </c>
      <c r="G9" s="16" t="str">
        <f t="shared" si="13"/>
        <v>blocked toilet plumber call out</v>
      </c>
      <c r="H9" s="16" t="str">
        <f t="shared" si="13"/>
        <v>toilet repair call out</v>
      </c>
      <c r="I9" s="16" t="str">
        <f t="shared" si="13"/>
        <v>bathroom plumbing repair call out</v>
      </c>
      <c r="J9" s="16" t="str">
        <f t="shared" si="13"/>
        <v>kitchen plumbing repair call out</v>
      </c>
      <c r="K9" s="16" t="str">
        <f t="shared" si="13"/>
        <v>water leak repair call out</v>
      </c>
      <c r="L9" s="17" t="str">
        <f>IFERROR(__xludf.DUMMYFUNCTION("""COMPUTED_VALUE"""),"24 hour plumber cost")</f>
        <v>24 hour plumber cost</v>
      </c>
      <c r="M9" s="18"/>
      <c r="N9" s="16" t="str">
        <f t="shared" ref="N9:W9" si="14">IF($A9="","",IF(OR(ISNUMBER(SEARCH(LOWER($A9),LOWER(N$1))),AND(RIGHT(LOWER($A9),1)="s",ISNUMBER(SEARCH(LEFT(LOWER($A9),LEN($A9)-1),LOWER(N$1))))),N$1,$A9&amp;" "&amp;N$1))</f>
        <v>call out emergency plumber</v>
      </c>
      <c r="O9" s="16" t="str">
        <f t="shared" si="14"/>
        <v>call out 24 hour plumber</v>
      </c>
      <c r="P9" s="16" t="str">
        <f t="shared" si="14"/>
        <v>call out burst pipe repair</v>
      </c>
      <c r="Q9" s="16" t="str">
        <f t="shared" si="14"/>
        <v>call out leaking pipe repair</v>
      </c>
      <c r="R9" s="16" t="str">
        <f t="shared" si="14"/>
        <v>call out leaking tap repair</v>
      </c>
      <c r="S9" s="16" t="str">
        <f t="shared" si="14"/>
        <v>call out blocked toilet plumber</v>
      </c>
      <c r="T9" s="16" t="str">
        <f t="shared" si="14"/>
        <v>call out toilet repair</v>
      </c>
      <c r="U9" s="16" t="str">
        <f t="shared" si="14"/>
        <v>call out bathroom plumbing repair</v>
      </c>
      <c r="V9" s="16" t="str">
        <f t="shared" si="14"/>
        <v>call out kitchen plumbing repair</v>
      </c>
      <c r="W9" s="16" t="str">
        <f t="shared" si="14"/>
        <v>call out water leak repair</v>
      </c>
      <c r="X9" s="19" t="str">
        <f>IFERROR(__xludf.DUMMYFUNCTION("""COMPUTED_VALUE"""),"after hours kitchen plumbing repair")</f>
        <v>after hours kitchen plumbing repair</v>
      </c>
      <c r="Y9" s="9"/>
      <c r="Z9" s="9"/>
    </row>
    <row r="10">
      <c r="A10" s="15" t="s">
        <v>706</v>
      </c>
      <c r="B10" s="16" t="str">
        <f t="shared" ref="B10:K10" si="15">IF($A10="","",IF(OR(ISNUMBER(SEARCH(LOWER($A10),LOWER(B$1))),AND(RIGHT(LOWER($A10),1)="s",ISNUMBER(SEARCH(LEFT(LOWER($A10),LEN($A10)-1),LOWER(B$1))))),B$1,B$1&amp;" "&amp;$A10))</f>
        <v>emergency plumber cost</v>
      </c>
      <c r="C10" s="16" t="str">
        <f t="shared" si="15"/>
        <v>24 hour plumber cost</v>
      </c>
      <c r="D10" s="16" t="str">
        <f t="shared" si="15"/>
        <v>burst pipe repair cost</v>
      </c>
      <c r="E10" s="16" t="str">
        <f t="shared" si="15"/>
        <v>leaking pipe repair cost</v>
      </c>
      <c r="F10" s="16" t="str">
        <f t="shared" si="15"/>
        <v>leaking tap repair cost</v>
      </c>
      <c r="G10" s="16" t="str">
        <f t="shared" si="15"/>
        <v>blocked toilet plumber cost</v>
      </c>
      <c r="H10" s="16" t="str">
        <f t="shared" si="15"/>
        <v>toilet repair cost</v>
      </c>
      <c r="I10" s="16" t="str">
        <f t="shared" si="15"/>
        <v>bathroom plumbing repair cost</v>
      </c>
      <c r="J10" s="16" t="str">
        <f t="shared" si="15"/>
        <v>kitchen plumbing repair cost</v>
      </c>
      <c r="K10" s="16" t="str">
        <f t="shared" si="15"/>
        <v>water leak repair cost</v>
      </c>
      <c r="L10" s="17" t="str">
        <f>IFERROR(__xludf.DUMMYFUNCTION("""COMPUTED_VALUE"""),"24 hour plumber emergency")</f>
        <v>24 hour plumber emergency</v>
      </c>
      <c r="M10" s="18"/>
      <c r="N10" s="16" t="str">
        <f t="shared" ref="N10:W10" si="16">IF($A10="","",IF(OR(ISNUMBER(SEARCH(LOWER($A10),LOWER(N$1))),AND(RIGHT(LOWER($A10),1)="s",ISNUMBER(SEARCH(LEFT(LOWER($A10),LEN($A10)-1),LOWER(N$1))))),N$1,$A10&amp;" "&amp;N$1))</f>
        <v>cost emergency plumber</v>
      </c>
      <c r="O10" s="16" t="str">
        <f t="shared" si="16"/>
        <v>cost 24 hour plumber</v>
      </c>
      <c r="P10" s="16" t="str">
        <f t="shared" si="16"/>
        <v>cost burst pipe repair</v>
      </c>
      <c r="Q10" s="16" t="str">
        <f t="shared" si="16"/>
        <v>cost leaking pipe repair</v>
      </c>
      <c r="R10" s="16" t="str">
        <f t="shared" si="16"/>
        <v>cost leaking tap repair</v>
      </c>
      <c r="S10" s="16" t="str">
        <f t="shared" si="16"/>
        <v>cost blocked toilet plumber</v>
      </c>
      <c r="T10" s="16" t="str">
        <f t="shared" si="16"/>
        <v>cost toilet repair</v>
      </c>
      <c r="U10" s="16" t="str">
        <f t="shared" si="16"/>
        <v>cost bathroom plumbing repair</v>
      </c>
      <c r="V10" s="16" t="str">
        <f t="shared" si="16"/>
        <v>cost kitchen plumbing repair</v>
      </c>
      <c r="W10" s="16" t="str">
        <f t="shared" si="16"/>
        <v>cost water leak repair</v>
      </c>
      <c r="X10" s="19" t="str">
        <f>IFERROR(__xludf.DUMMYFUNCTION("""COMPUTED_VALUE"""),"after hours leaking pipe repair")</f>
        <v>after hours leaking pipe repair</v>
      </c>
      <c r="Y10" s="9"/>
      <c r="Z10" s="9"/>
    </row>
    <row r="11">
      <c r="A11" s="15" t="s">
        <v>752</v>
      </c>
      <c r="B11" s="16" t="str">
        <f t="shared" ref="B11:K11" si="17">IF($A11="","",IF(OR(ISNUMBER(SEARCH(LOWER($A11),LOWER(B$1))),AND(RIGHT(LOWER($A11),1)="s",ISNUMBER(SEARCH(LEFT(LOWER($A11),LEN($A11)-1),LOWER(B$1))))),B$1,B$1&amp;" "&amp;$A11))</f>
        <v>emergency plumber quote</v>
      </c>
      <c r="C11" s="16" t="str">
        <f t="shared" si="17"/>
        <v>24 hour plumber quote</v>
      </c>
      <c r="D11" s="16" t="str">
        <f t="shared" si="17"/>
        <v>burst pipe repair quote</v>
      </c>
      <c r="E11" s="16" t="str">
        <f t="shared" si="17"/>
        <v>leaking pipe repair quote</v>
      </c>
      <c r="F11" s="16" t="str">
        <f t="shared" si="17"/>
        <v>leaking tap repair quote</v>
      </c>
      <c r="G11" s="16" t="str">
        <f t="shared" si="17"/>
        <v>blocked toilet plumber quote</v>
      </c>
      <c r="H11" s="16" t="str">
        <f t="shared" si="17"/>
        <v>toilet repair quote</v>
      </c>
      <c r="I11" s="16" t="str">
        <f t="shared" si="17"/>
        <v>bathroom plumbing repair quote</v>
      </c>
      <c r="J11" s="16" t="str">
        <f t="shared" si="17"/>
        <v>kitchen plumbing repair quote</v>
      </c>
      <c r="K11" s="16" t="str">
        <f t="shared" si="17"/>
        <v>water leak repair quote</v>
      </c>
      <c r="L11" s="17" t="str">
        <f>IFERROR(__xludf.DUMMYFUNCTION("""COMPUTED_VALUE"""),"24 hour plumber fast")</f>
        <v>24 hour plumber fast</v>
      </c>
      <c r="M11" s="18"/>
      <c r="N11" s="16" t="str">
        <f t="shared" ref="N11:W11" si="18">IF($A11="","",IF(OR(ISNUMBER(SEARCH(LOWER($A11),LOWER(N$1))),AND(RIGHT(LOWER($A11),1)="s",ISNUMBER(SEARCH(LEFT(LOWER($A11),LEN($A11)-1),LOWER(N$1))))),N$1,$A11&amp;" "&amp;N$1))</f>
        <v>quote emergency plumber</v>
      </c>
      <c r="O11" s="16" t="str">
        <f t="shared" si="18"/>
        <v>quote 24 hour plumber</v>
      </c>
      <c r="P11" s="16" t="str">
        <f t="shared" si="18"/>
        <v>quote burst pipe repair</v>
      </c>
      <c r="Q11" s="16" t="str">
        <f t="shared" si="18"/>
        <v>quote leaking pipe repair</v>
      </c>
      <c r="R11" s="16" t="str">
        <f t="shared" si="18"/>
        <v>quote leaking tap repair</v>
      </c>
      <c r="S11" s="16" t="str">
        <f t="shared" si="18"/>
        <v>quote blocked toilet plumber</v>
      </c>
      <c r="T11" s="16" t="str">
        <f t="shared" si="18"/>
        <v>quote toilet repair</v>
      </c>
      <c r="U11" s="16" t="str">
        <f t="shared" si="18"/>
        <v>quote bathroom plumbing repair</v>
      </c>
      <c r="V11" s="16" t="str">
        <f t="shared" si="18"/>
        <v>quote kitchen plumbing repair</v>
      </c>
      <c r="W11" s="16" t="str">
        <f t="shared" si="18"/>
        <v>quote water leak repair</v>
      </c>
      <c r="X11" s="19" t="str">
        <f>IFERROR(__xludf.DUMMYFUNCTION("""COMPUTED_VALUE"""),"after hours leaking tap repair")</f>
        <v>after hours leaking tap repair</v>
      </c>
      <c r="Y11" s="9"/>
      <c r="Z11" s="9"/>
    </row>
    <row r="12">
      <c r="A12" s="15" t="s">
        <v>825</v>
      </c>
      <c r="B12" s="16" t="str">
        <f t="shared" ref="B12:K12" si="19">IF($A12="","",IF(OR(ISNUMBER(SEARCH(LOWER($A12),LOWER(B$1))),AND(RIGHT(LOWER($A12),1)="s",ISNUMBER(SEARCH(LEFT(LOWER($A12),LEN($A12)-1),LOWER(B$1))))),B$1,B$1&amp;" "&amp;$A12))</f>
        <v>emergency plumber fast</v>
      </c>
      <c r="C12" s="16" t="str">
        <f t="shared" si="19"/>
        <v>24 hour plumber fast</v>
      </c>
      <c r="D12" s="16" t="str">
        <f t="shared" si="19"/>
        <v>burst pipe repair fast</v>
      </c>
      <c r="E12" s="16" t="str">
        <f t="shared" si="19"/>
        <v>leaking pipe repair fast</v>
      </c>
      <c r="F12" s="16" t="str">
        <f t="shared" si="19"/>
        <v>leaking tap repair fast</v>
      </c>
      <c r="G12" s="16" t="str">
        <f t="shared" si="19"/>
        <v>blocked toilet plumber fast</v>
      </c>
      <c r="H12" s="16" t="str">
        <f t="shared" si="19"/>
        <v>toilet repair fast</v>
      </c>
      <c r="I12" s="16" t="str">
        <f t="shared" si="19"/>
        <v>bathroom plumbing repair fast</v>
      </c>
      <c r="J12" s="16" t="str">
        <f t="shared" si="19"/>
        <v>kitchen plumbing repair fast</v>
      </c>
      <c r="K12" s="16" t="str">
        <f t="shared" si="19"/>
        <v>water leak repair fast</v>
      </c>
      <c r="L12" s="17" t="str">
        <f>IFERROR(__xludf.DUMMYFUNCTION("""COMPUTED_VALUE"""),"24 hour plumber local")</f>
        <v>24 hour plumber local</v>
      </c>
      <c r="M12" s="18"/>
      <c r="N12" s="16" t="str">
        <f t="shared" ref="N12:W12" si="20">IF($A12="","",IF(OR(ISNUMBER(SEARCH(LOWER($A12),LOWER(N$1))),AND(RIGHT(LOWER($A12),1)="s",ISNUMBER(SEARCH(LEFT(LOWER($A12),LEN($A12)-1),LOWER(N$1))))),N$1,$A12&amp;" "&amp;N$1))</f>
        <v>fast emergency plumber</v>
      </c>
      <c r="O12" s="16" t="str">
        <f t="shared" si="20"/>
        <v>fast 24 hour plumber</v>
      </c>
      <c r="P12" s="16" t="str">
        <f t="shared" si="20"/>
        <v>fast burst pipe repair</v>
      </c>
      <c r="Q12" s="16" t="str">
        <f t="shared" si="20"/>
        <v>fast leaking pipe repair</v>
      </c>
      <c r="R12" s="16" t="str">
        <f t="shared" si="20"/>
        <v>fast leaking tap repair</v>
      </c>
      <c r="S12" s="16" t="str">
        <f t="shared" si="20"/>
        <v>fast blocked toilet plumber</v>
      </c>
      <c r="T12" s="16" t="str">
        <f t="shared" si="20"/>
        <v>fast toilet repair</v>
      </c>
      <c r="U12" s="16" t="str">
        <f t="shared" si="20"/>
        <v>fast bathroom plumbing repair</v>
      </c>
      <c r="V12" s="16" t="str">
        <f t="shared" si="20"/>
        <v>fast kitchen plumbing repair</v>
      </c>
      <c r="W12" s="16" t="str">
        <f t="shared" si="20"/>
        <v>fast water leak repair</v>
      </c>
      <c r="X12" s="19" t="str">
        <f>IFERROR(__xludf.DUMMYFUNCTION("""COMPUTED_VALUE"""),"after hours toilet repair")</f>
        <v>after hours toilet repair</v>
      </c>
      <c r="Y12" s="9"/>
      <c r="Z12" s="9"/>
    </row>
    <row r="13">
      <c r="A13" s="15" t="s">
        <v>896</v>
      </c>
      <c r="B13" s="16" t="str">
        <f t="shared" ref="B13:K13" si="21">IF($A13="","",IF(OR(ISNUMBER(SEARCH(LOWER($A13),LOWER(B$1))),AND(RIGHT(LOWER($A13),1)="s",ISNUMBER(SEARCH(LEFT(LOWER($A13),LEN($A13)-1),LOWER(B$1))))),B$1,B$1&amp;" "&amp;$A13))</f>
        <v>emergency plumber local</v>
      </c>
      <c r="C13" s="16" t="str">
        <f t="shared" si="21"/>
        <v>24 hour plumber local</v>
      </c>
      <c r="D13" s="16" t="str">
        <f t="shared" si="21"/>
        <v>burst pipe repair local</v>
      </c>
      <c r="E13" s="16" t="str">
        <f t="shared" si="21"/>
        <v>leaking pipe repair local</v>
      </c>
      <c r="F13" s="16" t="str">
        <f t="shared" si="21"/>
        <v>leaking tap repair local</v>
      </c>
      <c r="G13" s="16" t="str">
        <f t="shared" si="21"/>
        <v>blocked toilet plumber local</v>
      </c>
      <c r="H13" s="16" t="str">
        <f t="shared" si="21"/>
        <v>toilet repair local</v>
      </c>
      <c r="I13" s="16" t="str">
        <f t="shared" si="21"/>
        <v>bathroom plumbing repair local</v>
      </c>
      <c r="J13" s="16" t="str">
        <f t="shared" si="21"/>
        <v>kitchen plumbing repair local</v>
      </c>
      <c r="K13" s="16" t="str">
        <f t="shared" si="21"/>
        <v>water leak repair local</v>
      </c>
      <c r="L13" s="17" t="str">
        <f>IFERROR(__xludf.DUMMYFUNCTION("""COMPUTED_VALUE"""),"24 hour plumber near me")</f>
        <v>24 hour plumber near me</v>
      </c>
      <c r="M13" s="18"/>
      <c r="N13" s="16" t="str">
        <f t="shared" ref="N13:W13" si="22">IF($A13="","",IF(OR(ISNUMBER(SEARCH(LOWER($A13),LOWER(N$1))),AND(RIGHT(LOWER($A13),1)="s",ISNUMBER(SEARCH(LEFT(LOWER($A13),LEN($A13)-1),LOWER(N$1))))),N$1,$A13&amp;" "&amp;N$1))</f>
        <v>local emergency plumber</v>
      </c>
      <c r="O13" s="16" t="str">
        <f t="shared" si="22"/>
        <v>local 24 hour plumber</v>
      </c>
      <c r="P13" s="16" t="str">
        <f t="shared" si="22"/>
        <v>local burst pipe repair</v>
      </c>
      <c r="Q13" s="16" t="str">
        <f t="shared" si="22"/>
        <v>local leaking pipe repair</v>
      </c>
      <c r="R13" s="16" t="str">
        <f t="shared" si="22"/>
        <v>local leaking tap repair</v>
      </c>
      <c r="S13" s="16" t="str">
        <f t="shared" si="22"/>
        <v>local blocked toilet plumber</v>
      </c>
      <c r="T13" s="16" t="str">
        <f t="shared" si="22"/>
        <v>local toilet repair</v>
      </c>
      <c r="U13" s="16" t="str">
        <f t="shared" si="22"/>
        <v>local bathroom plumbing repair</v>
      </c>
      <c r="V13" s="16" t="str">
        <f t="shared" si="22"/>
        <v>local kitchen plumbing repair</v>
      </c>
      <c r="W13" s="16" t="str">
        <f t="shared" si="22"/>
        <v>local water leak repair</v>
      </c>
      <c r="X13" s="19" t="str">
        <f>IFERROR(__xludf.DUMMYFUNCTION("""COMPUTED_VALUE"""),"after hours water leak repair")</f>
        <v>after hours water leak repair</v>
      </c>
      <c r="Y13" s="9"/>
      <c r="Z13" s="9"/>
    </row>
    <row r="14">
      <c r="A14" s="15" t="s">
        <v>964</v>
      </c>
      <c r="B14" s="16" t="str">
        <f t="shared" ref="B14:K14" si="23">IF($A14="","",IF(OR(ISNUMBER(SEARCH(LOWER($A14),LOWER(B$1))),AND(RIGHT(LOWER($A14),1)="s",ISNUMBER(SEARCH(LEFT(LOWER($A14),LEN($A14)-1),LOWER(B$1))))),B$1,B$1&amp;" "&amp;$A14))</f>
        <v>emergency plumber reliable</v>
      </c>
      <c r="C14" s="16" t="str">
        <f t="shared" si="23"/>
        <v>24 hour plumber reliable</v>
      </c>
      <c r="D14" s="16" t="str">
        <f t="shared" si="23"/>
        <v>burst pipe repair reliable</v>
      </c>
      <c r="E14" s="16" t="str">
        <f t="shared" si="23"/>
        <v>leaking pipe repair reliable</v>
      </c>
      <c r="F14" s="16" t="str">
        <f t="shared" si="23"/>
        <v>leaking tap repair reliable</v>
      </c>
      <c r="G14" s="16" t="str">
        <f t="shared" si="23"/>
        <v>blocked toilet plumber reliable</v>
      </c>
      <c r="H14" s="16" t="str">
        <f t="shared" si="23"/>
        <v>toilet repair reliable</v>
      </c>
      <c r="I14" s="16" t="str">
        <f t="shared" si="23"/>
        <v>bathroom plumbing repair reliable</v>
      </c>
      <c r="J14" s="16" t="str">
        <f t="shared" si="23"/>
        <v>kitchen plumbing repair reliable</v>
      </c>
      <c r="K14" s="16" t="str">
        <f t="shared" si="23"/>
        <v>water leak repair reliable</v>
      </c>
      <c r="L14" s="17" t="str">
        <f>IFERROR(__xludf.DUMMYFUNCTION("""COMPUTED_VALUE"""),"24 hour plumber professional")</f>
        <v>24 hour plumber professional</v>
      </c>
      <c r="M14" s="18"/>
      <c r="N14" s="16" t="str">
        <f t="shared" ref="N14:W14" si="24">IF($A14="","",IF(OR(ISNUMBER(SEARCH(LOWER($A14),LOWER(N$1))),AND(RIGHT(LOWER($A14),1)="s",ISNUMBER(SEARCH(LEFT(LOWER($A14),LEN($A14)-1),LOWER(N$1))))),N$1,$A14&amp;" "&amp;N$1))</f>
        <v>reliable emergency plumber</v>
      </c>
      <c r="O14" s="16" t="str">
        <f t="shared" si="24"/>
        <v>reliable 24 hour plumber</v>
      </c>
      <c r="P14" s="16" t="str">
        <f t="shared" si="24"/>
        <v>reliable burst pipe repair</v>
      </c>
      <c r="Q14" s="16" t="str">
        <f t="shared" si="24"/>
        <v>reliable leaking pipe repair</v>
      </c>
      <c r="R14" s="16" t="str">
        <f t="shared" si="24"/>
        <v>reliable leaking tap repair</v>
      </c>
      <c r="S14" s="16" t="str">
        <f t="shared" si="24"/>
        <v>reliable blocked toilet plumber</v>
      </c>
      <c r="T14" s="16" t="str">
        <f t="shared" si="24"/>
        <v>reliable toilet repair</v>
      </c>
      <c r="U14" s="16" t="str">
        <f t="shared" si="24"/>
        <v>reliable bathroom plumbing repair</v>
      </c>
      <c r="V14" s="16" t="str">
        <f t="shared" si="24"/>
        <v>reliable kitchen plumbing repair</v>
      </c>
      <c r="W14" s="16" t="str">
        <f t="shared" si="24"/>
        <v>reliable water leak repair</v>
      </c>
      <c r="X14" s="19" t="str">
        <f>IFERROR(__xludf.DUMMYFUNCTION("""COMPUTED_VALUE"""),"bathroom plumbing repair")</f>
        <v>bathroom plumbing repair</v>
      </c>
      <c r="Y14" s="9"/>
      <c r="Z14" s="9"/>
    </row>
    <row r="15">
      <c r="A15" s="15" t="s">
        <v>1026</v>
      </c>
      <c r="B15" s="16" t="str">
        <f t="shared" ref="B15:K15" si="25">IF($A15="","",IF(OR(ISNUMBER(SEARCH(LOWER($A15),LOWER(B$1))),AND(RIGHT(LOWER($A15),1)="s",ISNUMBER(SEARCH(LEFT(LOWER($A15),LEN($A15)-1),LOWER(B$1))))),B$1,B$1&amp;" "&amp;$A15))</f>
        <v>emergency plumber professional</v>
      </c>
      <c r="C15" s="16" t="str">
        <f t="shared" si="25"/>
        <v>24 hour plumber professional</v>
      </c>
      <c r="D15" s="16" t="str">
        <f t="shared" si="25"/>
        <v>burst pipe repair professional</v>
      </c>
      <c r="E15" s="16" t="str">
        <f t="shared" si="25"/>
        <v>leaking pipe repair professional</v>
      </c>
      <c r="F15" s="16" t="str">
        <f t="shared" si="25"/>
        <v>leaking tap repair professional</v>
      </c>
      <c r="G15" s="16" t="str">
        <f t="shared" si="25"/>
        <v>blocked toilet plumber professional</v>
      </c>
      <c r="H15" s="16" t="str">
        <f t="shared" si="25"/>
        <v>toilet repair professional</v>
      </c>
      <c r="I15" s="16" t="str">
        <f t="shared" si="25"/>
        <v>bathroom plumbing repair professional</v>
      </c>
      <c r="J15" s="16" t="str">
        <f t="shared" si="25"/>
        <v>kitchen plumbing repair professional</v>
      </c>
      <c r="K15" s="16" t="str">
        <f t="shared" si="25"/>
        <v>water leak repair professional</v>
      </c>
      <c r="L15" s="17" t="str">
        <f>IFERROR(__xludf.DUMMYFUNCTION("""COMPUTED_VALUE"""),"24 hour plumber quote")</f>
        <v>24 hour plumber quote</v>
      </c>
      <c r="M15" s="18"/>
      <c r="N15" s="16" t="str">
        <f t="shared" ref="N15:W15" si="26">IF($A15="","",IF(OR(ISNUMBER(SEARCH(LOWER($A15),LOWER(N$1))),AND(RIGHT(LOWER($A15),1)="s",ISNUMBER(SEARCH(LEFT(LOWER($A15),LEN($A15)-1),LOWER(N$1))))),N$1,$A15&amp;" "&amp;N$1))</f>
        <v>professional emergency plumber</v>
      </c>
      <c r="O15" s="16" t="str">
        <f t="shared" si="26"/>
        <v>professional 24 hour plumber</v>
      </c>
      <c r="P15" s="16" t="str">
        <f t="shared" si="26"/>
        <v>professional burst pipe repair</v>
      </c>
      <c r="Q15" s="16" t="str">
        <f t="shared" si="26"/>
        <v>professional leaking pipe repair</v>
      </c>
      <c r="R15" s="16" t="str">
        <f t="shared" si="26"/>
        <v>professional leaking tap repair</v>
      </c>
      <c r="S15" s="16" t="str">
        <f t="shared" si="26"/>
        <v>professional blocked toilet plumber</v>
      </c>
      <c r="T15" s="16" t="str">
        <f t="shared" si="26"/>
        <v>professional toilet repair</v>
      </c>
      <c r="U15" s="16" t="str">
        <f t="shared" si="26"/>
        <v>professional bathroom plumbing repair</v>
      </c>
      <c r="V15" s="16" t="str">
        <f t="shared" si="26"/>
        <v>professional kitchen plumbing repair</v>
      </c>
      <c r="W15" s="16" t="str">
        <f t="shared" si="26"/>
        <v>professional water leak repair</v>
      </c>
      <c r="X15" s="19" t="str">
        <f>IFERROR(__xludf.DUMMYFUNCTION("""COMPUTED_VALUE"""),"blocked toilet plumber")</f>
        <v>blocked toilet plumber</v>
      </c>
      <c r="Y15" s="9"/>
      <c r="Z15" s="9"/>
    </row>
    <row r="16">
      <c r="A16" s="15" t="s">
        <v>1098</v>
      </c>
      <c r="B16" s="16" t="str">
        <f t="shared" ref="B16:K16" si="27">IF($A16="","",IF(OR(ISNUMBER(SEARCH(LOWER($A16),LOWER(B$1))),AND(RIGHT(LOWER($A16),1)="s",ISNUMBER(SEARCH(LEFT(LOWER($A16),LEN($A16)-1),LOWER(B$1))))),B$1,B$1&amp;" "&amp;$A16))</f>
        <v>emergency plumber residential</v>
      </c>
      <c r="C16" s="16" t="str">
        <f t="shared" si="27"/>
        <v>24 hour plumber residential</v>
      </c>
      <c r="D16" s="16" t="str">
        <f t="shared" si="27"/>
        <v>burst pipe repair residential</v>
      </c>
      <c r="E16" s="16" t="str">
        <f t="shared" si="27"/>
        <v>leaking pipe repair residential</v>
      </c>
      <c r="F16" s="16" t="str">
        <f t="shared" si="27"/>
        <v>leaking tap repair residential</v>
      </c>
      <c r="G16" s="16" t="str">
        <f t="shared" si="27"/>
        <v>blocked toilet plumber residential</v>
      </c>
      <c r="H16" s="16" t="str">
        <f t="shared" si="27"/>
        <v>toilet repair residential</v>
      </c>
      <c r="I16" s="16" t="str">
        <f t="shared" si="27"/>
        <v>bathroom plumbing repair residential</v>
      </c>
      <c r="J16" s="16" t="str">
        <f t="shared" si="27"/>
        <v>kitchen plumbing repair residential</v>
      </c>
      <c r="K16" s="16" t="str">
        <f t="shared" si="27"/>
        <v>water leak repair residential</v>
      </c>
      <c r="L16" s="17" t="str">
        <f>IFERROR(__xludf.DUMMYFUNCTION("""COMPUTED_VALUE"""),"24 hour plumber reliable")</f>
        <v>24 hour plumber reliable</v>
      </c>
      <c r="M16" s="18"/>
      <c r="N16" s="16" t="str">
        <f t="shared" ref="N16:W16" si="28">IF($A16="","",IF(OR(ISNUMBER(SEARCH(LOWER($A16),LOWER(N$1))),AND(RIGHT(LOWER($A16),1)="s",ISNUMBER(SEARCH(LEFT(LOWER($A16),LEN($A16)-1),LOWER(N$1))))),N$1,$A16&amp;" "&amp;N$1))</f>
        <v>residential emergency plumber</v>
      </c>
      <c r="O16" s="16" t="str">
        <f t="shared" si="28"/>
        <v>residential 24 hour plumber</v>
      </c>
      <c r="P16" s="16" t="str">
        <f t="shared" si="28"/>
        <v>residential burst pipe repair</v>
      </c>
      <c r="Q16" s="16" t="str">
        <f t="shared" si="28"/>
        <v>residential leaking pipe repair</v>
      </c>
      <c r="R16" s="16" t="str">
        <f t="shared" si="28"/>
        <v>residential leaking tap repair</v>
      </c>
      <c r="S16" s="16" t="str">
        <f t="shared" si="28"/>
        <v>residential blocked toilet plumber</v>
      </c>
      <c r="T16" s="16" t="str">
        <f t="shared" si="28"/>
        <v>residential toilet repair</v>
      </c>
      <c r="U16" s="16" t="str">
        <f t="shared" si="28"/>
        <v>residential bathroom plumbing repair</v>
      </c>
      <c r="V16" s="16" t="str">
        <f t="shared" si="28"/>
        <v>residential kitchen plumbing repair</v>
      </c>
      <c r="W16" s="16" t="str">
        <f t="shared" si="28"/>
        <v>residential water leak repair</v>
      </c>
      <c r="X16" s="19" t="str">
        <f>IFERROR(__xludf.DUMMYFUNCTION("""COMPUTED_VALUE"""),"burst pipe repair")</f>
        <v>burst pipe repair</v>
      </c>
      <c r="Y16" s="9"/>
      <c r="Z16" s="9"/>
    </row>
    <row r="17">
      <c r="A17" s="15" t="s">
        <v>1140</v>
      </c>
      <c r="B17" s="16" t="str">
        <f t="shared" ref="B17:K17" si="29">IF($A17="","",IF(OR(ISNUMBER(SEARCH(LOWER($A17),LOWER(B$1))),AND(RIGHT(LOWER($A17),1)="s",ISNUMBER(SEARCH(LEFT(LOWER($A17),LEN($A17)-1),LOWER(B$1))))),B$1,B$1&amp;" "&amp;$A17))</f>
        <v>emergency plumber commercial</v>
      </c>
      <c r="C17" s="16" t="str">
        <f t="shared" si="29"/>
        <v>24 hour plumber commercial</v>
      </c>
      <c r="D17" s="16" t="str">
        <f t="shared" si="29"/>
        <v>burst pipe repair commercial</v>
      </c>
      <c r="E17" s="16" t="str">
        <f t="shared" si="29"/>
        <v>leaking pipe repair commercial</v>
      </c>
      <c r="F17" s="16" t="str">
        <f t="shared" si="29"/>
        <v>leaking tap repair commercial</v>
      </c>
      <c r="G17" s="16" t="str">
        <f t="shared" si="29"/>
        <v>blocked toilet plumber commercial</v>
      </c>
      <c r="H17" s="16" t="str">
        <f t="shared" si="29"/>
        <v>toilet repair commercial</v>
      </c>
      <c r="I17" s="16" t="str">
        <f t="shared" si="29"/>
        <v>bathroom plumbing repair commercial</v>
      </c>
      <c r="J17" s="16" t="str">
        <f t="shared" si="29"/>
        <v>kitchen plumbing repair commercial</v>
      </c>
      <c r="K17" s="16" t="str">
        <f t="shared" si="29"/>
        <v>water leak repair commercial</v>
      </c>
      <c r="L17" s="17" t="str">
        <f>IFERROR(__xludf.DUMMYFUNCTION("""COMPUTED_VALUE"""),"24 hour plumber repair")</f>
        <v>24 hour plumber repair</v>
      </c>
      <c r="M17" s="18"/>
      <c r="N17" s="16" t="str">
        <f t="shared" ref="N17:W17" si="30">IF($A17="","",IF(OR(ISNUMBER(SEARCH(LOWER($A17),LOWER(N$1))),AND(RIGHT(LOWER($A17),1)="s",ISNUMBER(SEARCH(LEFT(LOWER($A17),LEN($A17)-1),LOWER(N$1))))),N$1,$A17&amp;" "&amp;N$1))</f>
        <v>commercial emergency plumber</v>
      </c>
      <c r="O17" s="16" t="str">
        <f t="shared" si="30"/>
        <v>commercial 24 hour plumber</v>
      </c>
      <c r="P17" s="16" t="str">
        <f t="shared" si="30"/>
        <v>commercial burst pipe repair</v>
      </c>
      <c r="Q17" s="16" t="str">
        <f t="shared" si="30"/>
        <v>commercial leaking pipe repair</v>
      </c>
      <c r="R17" s="16" t="str">
        <f t="shared" si="30"/>
        <v>commercial leaking tap repair</v>
      </c>
      <c r="S17" s="16" t="str">
        <f t="shared" si="30"/>
        <v>commercial blocked toilet plumber</v>
      </c>
      <c r="T17" s="16" t="str">
        <f t="shared" si="30"/>
        <v>commercial toilet repair</v>
      </c>
      <c r="U17" s="16" t="str">
        <f t="shared" si="30"/>
        <v>commercial bathroom plumbing repair</v>
      </c>
      <c r="V17" s="16" t="str">
        <f t="shared" si="30"/>
        <v>commercial kitchen plumbing repair</v>
      </c>
      <c r="W17" s="16" t="str">
        <f t="shared" si="30"/>
        <v>commercial water leak repair</v>
      </c>
      <c r="X17" s="19" t="str">
        <f>IFERROR(__xludf.DUMMYFUNCTION("""COMPUTED_VALUE"""),"call out 24 hour plumber")</f>
        <v>call out 24 hour plumber</v>
      </c>
      <c r="Y17" s="9"/>
      <c r="Z17" s="9"/>
    </row>
    <row r="18">
      <c r="A18" s="15" t="s">
        <v>772</v>
      </c>
      <c r="B18" s="16" t="str">
        <f t="shared" ref="B18:K18" si="31">IF($A18="","",IF(OR(ISNUMBER(SEARCH(LOWER($A18),LOWER(B$1))),AND(RIGHT(LOWER($A18),1)="s",ISNUMBER(SEARCH(LEFT(LOWER($A18),LEN($A18)-1),LOWER(B$1))))),B$1,B$1&amp;" "&amp;$A18))</f>
        <v>emergency plumber</v>
      </c>
      <c r="C18" s="16" t="str">
        <f t="shared" si="31"/>
        <v>24 hour plumber</v>
      </c>
      <c r="D18" s="16" t="str">
        <f t="shared" si="31"/>
        <v>burst pipe repair plumber</v>
      </c>
      <c r="E18" s="16" t="str">
        <f t="shared" si="31"/>
        <v>leaking pipe repair plumber</v>
      </c>
      <c r="F18" s="16" t="str">
        <f t="shared" si="31"/>
        <v>leaking tap repair plumber</v>
      </c>
      <c r="G18" s="16" t="str">
        <f t="shared" si="31"/>
        <v>blocked toilet plumber</v>
      </c>
      <c r="H18" s="16" t="str">
        <f t="shared" si="31"/>
        <v>toilet repair plumber</v>
      </c>
      <c r="I18" s="16" t="str">
        <f t="shared" si="31"/>
        <v>bathroom plumbing repair plumber</v>
      </c>
      <c r="J18" s="16" t="str">
        <f t="shared" si="31"/>
        <v>kitchen plumbing repair plumber</v>
      </c>
      <c r="K18" s="16" t="str">
        <f t="shared" si="31"/>
        <v>water leak repair plumber</v>
      </c>
      <c r="L18" s="17" t="str">
        <f>IFERROR(__xludf.DUMMYFUNCTION("""COMPUTED_VALUE"""),"24 hour plumber residential")</f>
        <v>24 hour plumber residential</v>
      </c>
      <c r="M18" s="18"/>
      <c r="N18" s="16" t="str">
        <f t="shared" ref="N18:W18" si="32">IF($A18="","",IF(OR(ISNUMBER(SEARCH(LOWER($A18),LOWER(N$1))),AND(RIGHT(LOWER($A18),1)="s",ISNUMBER(SEARCH(LEFT(LOWER($A18),LEN($A18)-1),LOWER(N$1))))),N$1,$A18&amp;" "&amp;N$1))</f>
        <v>emergency plumber</v>
      </c>
      <c r="O18" s="16" t="str">
        <f t="shared" si="32"/>
        <v>24 hour plumber</v>
      </c>
      <c r="P18" s="16" t="str">
        <f t="shared" si="32"/>
        <v>plumber burst pipe repair</v>
      </c>
      <c r="Q18" s="16" t="str">
        <f t="shared" si="32"/>
        <v>plumber leaking pipe repair</v>
      </c>
      <c r="R18" s="16" t="str">
        <f t="shared" si="32"/>
        <v>plumber leaking tap repair</v>
      </c>
      <c r="S18" s="16" t="str">
        <f t="shared" si="32"/>
        <v>blocked toilet plumber</v>
      </c>
      <c r="T18" s="16" t="str">
        <f t="shared" si="32"/>
        <v>plumber toilet repair</v>
      </c>
      <c r="U18" s="16" t="str">
        <f t="shared" si="32"/>
        <v>plumber bathroom plumbing repair</v>
      </c>
      <c r="V18" s="16" t="str">
        <f t="shared" si="32"/>
        <v>plumber kitchen plumbing repair</v>
      </c>
      <c r="W18" s="16" t="str">
        <f t="shared" si="32"/>
        <v>plumber water leak repair</v>
      </c>
      <c r="X18" s="19" t="str">
        <f>IFERROR(__xludf.DUMMYFUNCTION("""COMPUTED_VALUE"""),"call out bathroom plumbing repair")</f>
        <v>call out bathroom plumbing repair</v>
      </c>
      <c r="Y18" s="9"/>
      <c r="Z18" s="9"/>
    </row>
    <row r="19">
      <c r="A19" s="15" t="s">
        <v>1258</v>
      </c>
      <c r="B19" s="16" t="str">
        <f t="shared" ref="B19:K19" si="33">IF($A19="","",IF(OR(ISNUMBER(SEARCH(LOWER($A19),LOWER(B$1))),AND(RIGHT(LOWER($A19),1)="s",ISNUMBER(SEARCH(LEFT(LOWER($A19),LEN($A19)-1),LOWER(B$1))))),B$1,B$1&amp;" "&amp;$A19))</f>
        <v>emergency plumber service</v>
      </c>
      <c r="C19" s="16" t="str">
        <f t="shared" si="33"/>
        <v>24 hour plumber service</v>
      </c>
      <c r="D19" s="16" t="str">
        <f t="shared" si="33"/>
        <v>burst pipe repair service</v>
      </c>
      <c r="E19" s="16" t="str">
        <f t="shared" si="33"/>
        <v>leaking pipe repair service</v>
      </c>
      <c r="F19" s="16" t="str">
        <f t="shared" si="33"/>
        <v>leaking tap repair service</v>
      </c>
      <c r="G19" s="16" t="str">
        <f t="shared" si="33"/>
        <v>blocked toilet plumber service</v>
      </c>
      <c r="H19" s="16" t="str">
        <f t="shared" si="33"/>
        <v>toilet repair service</v>
      </c>
      <c r="I19" s="16" t="str">
        <f t="shared" si="33"/>
        <v>bathroom plumbing repair service</v>
      </c>
      <c r="J19" s="16" t="str">
        <f t="shared" si="33"/>
        <v>kitchen plumbing repair service</v>
      </c>
      <c r="K19" s="16" t="str">
        <f t="shared" si="33"/>
        <v>water leak repair service</v>
      </c>
      <c r="L19" s="17" t="str">
        <f>IFERROR(__xludf.DUMMYFUNCTION("""COMPUTED_VALUE"""),"24 hour plumber same day")</f>
        <v>24 hour plumber same day</v>
      </c>
      <c r="M19" s="18"/>
      <c r="N19" s="16" t="str">
        <f t="shared" ref="N19:W19" si="34">IF($A19="","",IF(OR(ISNUMBER(SEARCH(LOWER($A19),LOWER(N$1))),AND(RIGHT(LOWER($A19),1)="s",ISNUMBER(SEARCH(LEFT(LOWER($A19),LEN($A19)-1),LOWER(N$1))))),N$1,$A19&amp;" "&amp;N$1))</f>
        <v>service emergency plumber</v>
      </c>
      <c r="O19" s="16" t="str">
        <f t="shared" si="34"/>
        <v>service 24 hour plumber</v>
      </c>
      <c r="P19" s="16" t="str">
        <f t="shared" si="34"/>
        <v>service burst pipe repair</v>
      </c>
      <c r="Q19" s="16" t="str">
        <f t="shared" si="34"/>
        <v>service leaking pipe repair</v>
      </c>
      <c r="R19" s="16" t="str">
        <f t="shared" si="34"/>
        <v>service leaking tap repair</v>
      </c>
      <c r="S19" s="16" t="str">
        <f t="shared" si="34"/>
        <v>service blocked toilet plumber</v>
      </c>
      <c r="T19" s="16" t="str">
        <f t="shared" si="34"/>
        <v>service toilet repair</v>
      </c>
      <c r="U19" s="16" t="str">
        <f t="shared" si="34"/>
        <v>service bathroom plumbing repair</v>
      </c>
      <c r="V19" s="16" t="str">
        <f t="shared" si="34"/>
        <v>service kitchen plumbing repair</v>
      </c>
      <c r="W19" s="16" t="str">
        <f t="shared" si="34"/>
        <v>service water leak repair</v>
      </c>
      <c r="X19" s="19" t="str">
        <f>IFERROR(__xludf.DUMMYFUNCTION("""COMPUTED_VALUE"""),"call out blocked toilet plumber")</f>
        <v>call out blocked toilet plumber</v>
      </c>
      <c r="Y19" s="9"/>
      <c r="Z19" s="9"/>
    </row>
    <row r="20">
      <c r="A20" s="15" t="s">
        <v>1317</v>
      </c>
      <c r="B20" s="16" t="str">
        <f t="shared" ref="B20:K20" si="35">IF($A20="","",IF(OR(ISNUMBER(SEARCH(LOWER($A20),LOWER(B$1))),AND(RIGHT(LOWER($A20),1)="s",ISNUMBER(SEARCH(LEFT(LOWER($A20),LEN($A20)-1),LOWER(B$1))))),B$1,B$1&amp;" "&amp;$A20))</f>
        <v>emergency plumber company</v>
      </c>
      <c r="C20" s="16" t="str">
        <f t="shared" si="35"/>
        <v>24 hour plumber company</v>
      </c>
      <c r="D20" s="16" t="str">
        <f t="shared" si="35"/>
        <v>burst pipe repair company</v>
      </c>
      <c r="E20" s="16" t="str">
        <f t="shared" si="35"/>
        <v>leaking pipe repair company</v>
      </c>
      <c r="F20" s="16" t="str">
        <f t="shared" si="35"/>
        <v>leaking tap repair company</v>
      </c>
      <c r="G20" s="16" t="str">
        <f t="shared" si="35"/>
        <v>blocked toilet plumber company</v>
      </c>
      <c r="H20" s="16" t="str">
        <f t="shared" si="35"/>
        <v>toilet repair company</v>
      </c>
      <c r="I20" s="16" t="str">
        <f t="shared" si="35"/>
        <v>bathroom plumbing repair company</v>
      </c>
      <c r="J20" s="16" t="str">
        <f t="shared" si="35"/>
        <v>kitchen plumbing repair company</v>
      </c>
      <c r="K20" s="16" t="str">
        <f t="shared" si="35"/>
        <v>water leak repair company</v>
      </c>
      <c r="L20" s="17" t="str">
        <f>IFERROR(__xludf.DUMMYFUNCTION("""COMPUTED_VALUE"""),"24 hour plumber service")</f>
        <v>24 hour plumber service</v>
      </c>
      <c r="M20" s="18"/>
      <c r="N20" s="16" t="str">
        <f t="shared" ref="N20:W20" si="36">IF($A20="","",IF(OR(ISNUMBER(SEARCH(LOWER($A20),LOWER(N$1))),AND(RIGHT(LOWER($A20),1)="s",ISNUMBER(SEARCH(LEFT(LOWER($A20),LEN($A20)-1),LOWER(N$1))))),N$1,$A20&amp;" "&amp;N$1))</f>
        <v>company emergency plumber</v>
      </c>
      <c r="O20" s="16" t="str">
        <f t="shared" si="36"/>
        <v>company 24 hour plumber</v>
      </c>
      <c r="P20" s="16" t="str">
        <f t="shared" si="36"/>
        <v>company burst pipe repair</v>
      </c>
      <c r="Q20" s="16" t="str">
        <f t="shared" si="36"/>
        <v>company leaking pipe repair</v>
      </c>
      <c r="R20" s="16" t="str">
        <f t="shared" si="36"/>
        <v>company leaking tap repair</v>
      </c>
      <c r="S20" s="16" t="str">
        <f t="shared" si="36"/>
        <v>company blocked toilet plumber</v>
      </c>
      <c r="T20" s="16" t="str">
        <f t="shared" si="36"/>
        <v>company toilet repair</v>
      </c>
      <c r="U20" s="16" t="str">
        <f t="shared" si="36"/>
        <v>company bathroom plumbing repair</v>
      </c>
      <c r="V20" s="16" t="str">
        <f t="shared" si="36"/>
        <v>company kitchen plumbing repair</v>
      </c>
      <c r="W20" s="16" t="str">
        <f t="shared" si="36"/>
        <v>company water leak repair</v>
      </c>
      <c r="X20" s="19" t="str">
        <f>IFERROR(__xludf.DUMMYFUNCTION("""COMPUTED_VALUE"""),"call out burst pipe repair")</f>
        <v>call out burst pipe repair</v>
      </c>
      <c r="Y20" s="9"/>
      <c r="Z20" s="9"/>
    </row>
    <row r="21">
      <c r="A21" s="15" t="s">
        <v>1389</v>
      </c>
      <c r="B21" s="16" t="str">
        <f t="shared" ref="B21:K21" si="37">IF($A21="","",IF(OR(ISNUMBER(SEARCH(LOWER($A21),LOWER(B$1))),AND(RIGHT(LOWER($A21),1)="s",ISNUMBER(SEARCH(LEFT(LOWER($A21),LEN($A21)-1),LOWER(B$1))))),B$1,B$1&amp;" "&amp;$A21))</f>
        <v>emergency plumber</v>
      </c>
      <c r="C21" s="16" t="str">
        <f t="shared" si="37"/>
        <v>24 hour plumber emergency</v>
      </c>
      <c r="D21" s="16" t="str">
        <f t="shared" si="37"/>
        <v>burst pipe repair emergency</v>
      </c>
      <c r="E21" s="16" t="str">
        <f t="shared" si="37"/>
        <v>leaking pipe repair emergency</v>
      </c>
      <c r="F21" s="16" t="str">
        <f t="shared" si="37"/>
        <v>leaking tap repair emergency</v>
      </c>
      <c r="G21" s="16" t="str">
        <f t="shared" si="37"/>
        <v>blocked toilet plumber emergency</v>
      </c>
      <c r="H21" s="16" t="str">
        <f t="shared" si="37"/>
        <v>toilet repair emergency</v>
      </c>
      <c r="I21" s="16" t="str">
        <f t="shared" si="37"/>
        <v>bathroom plumbing repair emergency</v>
      </c>
      <c r="J21" s="16" t="str">
        <f t="shared" si="37"/>
        <v>kitchen plumbing repair emergency</v>
      </c>
      <c r="K21" s="16" t="str">
        <f t="shared" si="37"/>
        <v>water leak repair emergency</v>
      </c>
      <c r="L21" s="17" t="str">
        <f>IFERROR(__xludf.DUMMYFUNCTION("""COMPUTED_VALUE"""),"24 hour plumber urgent")</f>
        <v>24 hour plumber urgent</v>
      </c>
      <c r="M21" s="18"/>
      <c r="N21" s="16" t="str">
        <f t="shared" ref="N21:W21" si="38">IF($A21="","",IF(OR(ISNUMBER(SEARCH(LOWER($A21),LOWER(N$1))),AND(RIGHT(LOWER($A21),1)="s",ISNUMBER(SEARCH(LEFT(LOWER($A21),LEN($A21)-1),LOWER(N$1))))),N$1,$A21&amp;" "&amp;N$1))</f>
        <v>emergency plumber</v>
      </c>
      <c r="O21" s="16" t="str">
        <f t="shared" si="38"/>
        <v>emergency 24 hour plumber</v>
      </c>
      <c r="P21" s="16" t="str">
        <f t="shared" si="38"/>
        <v>emergency burst pipe repair</v>
      </c>
      <c r="Q21" s="16" t="str">
        <f t="shared" si="38"/>
        <v>emergency leaking pipe repair</v>
      </c>
      <c r="R21" s="16" t="str">
        <f t="shared" si="38"/>
        <v>emergency leaking tap repair</v>
      </c>
      <c r="S21" s="16" t="str">
        <f t="shared" si="38"/>
        <v>emergency blocked toilet plumber</v>
      </c>
      <c r="T21" s="16" t="str">
        <f t="shared" si="38"/>
        <v>emergency toilet repair</v>
      </c>
      <c r="U21" s="16" t="str">
        <f t="shared" si="38"/>
        <v>emergency bathroom plumbing repair</v>
      </c>
      <c r="V21" s="16" t="str">
        <f t="shared" si="38"/>
        <v>emergency kitchen plumbing repair</v>
      </c>
      <c r="W21" s="16" t="str">
        <f t="shared" si="38"/>
        <v>emergency water leak repair</v>
      </c>
      <c r="X21" s="19" t="str">
        <f>IFERROR(__xludf.DUMMYFUNCTION("""COMPUTED_VALUE"""),"call out emergency plumber")</f>
        <v>call out emergency plumber</v>
      </c>
      <c r="Y21" s="9"/>
      <c r="Z21" s="9"/>
    </row>
    <row r="22">
      <c r="A22" s="15" t="s">
        <v>1454</v>
      </c>
      <c r="B22" s="16" t="str">
        <f t="shared" ref="B22:K22" si="39">IF($A22="","",IF(OR(ISNUMBER(SEARCH(LOWER($A22),LOWER(B$1))),AND(RIGHT(LOWER($A22),1)="s",ISNUMBER(SEARCH(LEFT(LOWER($A22),LEN($A22)-1),LOWER(B$1))))),B$1,B$1&amp;" "&amp;$A22))</f>
        <v>emergency plumber repair</v>
      </c>
      <c r="C22" s="16" t="str">
        <f t="shared" si="39"/>
        <v>24 hour plumber repair</v>
      </c>
      <c r="D22" s="16" t="str">
        <f t="shared" si="39"/>
        <v>burst pipe repair</v>
      </c>
      <c r="E22" s="16" t="str">
        <f t="shared" si="39"/>
        <v>leaking pipe repair</v>
      </c>
      <c r="F22" s="16" t="str">
        <f t="shared" si="39"/>
        <v>leaking tap repair</v>
      </c>
      <c r="G22" s="16" t="str">
        <f t="shared" si="39"/>
        <v>blocked toilet plumber repair</v>
      </c>
      <c r="H22" s="16" t="str">
        <f t="shared" si="39"/>
        <v>toilet repair</v>
      </c>
      <c r="I22" s="16" t="str">
        <f t="shared" si="39"/>
        <v>bathroom plumbing repair</v>
      </c>
      <c r="J22" s="16" t="str">
        <f t="shared" si="39"/>
        <v>kitchen plumbing repair</v>
      </c>
      <c r="K22" s="16" t="str">
        <f t="shared" si="39"/>
        <v>water leak repair</v>
      </c>
      <c r="L22" s="17" t="str">
        <f>IFERROR(__xludf.DUMMYFUNCTION("""COMPUTED_VALUE"""),"24 hour plumber weekend")</f>
        <v>24 hour plumber weekend</v>
      </c>
      <c r="M22" s="18"/>
      <c r="N22" s="16" t="str">
        <f t="shared" ref="N22:W22" si="40">IF($A22="","",IF(OR(ISNUMBER(SEARCH(LOWER($A22),LOWER(N$1))),AND(RIGHT(LOWER($A22),1)="s",ISNUMBER(SEARCH(LEFT(LOWER($A22),LEN($A22)-1),LOWER(N$1))))),N$1,$A22&amp;" "&amp;N$1))</f>
        <v>repair emergency plumber</v>
      </c>
      <c r="O22" s="16" t="str">
        <f t="shared" si="40"/>
        <v>repair 24 hour plumber</v>
      </c>
      <c r="P22" s="16" t="str">
        <f t="shared" si="40"/>
        <v>burst pipe repair</v>
      </c>
      <c r="Q22" s="16" t="str">
        <f t="shared" si="40"/>
        <v>leaking pipe repair</v>
      </c>
      <c r="R22" s="16" t="str">
        <f t="shared" si="40"/>
        <v>leaking tap repair</v>
      </c>
      <c r="S22" s="16" t="str">
        <f t="shared" si="40"/>
        <v>repair blocked toilet plumber</v>
      </c>
      <c r="T22" s="16" t="str">
        <f t="shared" si="40"/>
        <v>toilet repair</v>
      </c>
      <c r="U22" s="16" t="str">
        <f t="shared" si="40"/>
        <v>bathroom plumbing repair</v>
      </c>
      <c r="V22" s="16" t="str">
        <f t="shared" si="40"/>
        <v>kitchen plumbing repair</v>
      </c>
      <c r="W22" s="16" t="str">
        <f t="shared" si="40"/>
        <v>water leak repair</v>
      </c>
      <c r="X22" s="19" t="str">
        <f>IFERROR(__xludf.DUMMYFUNCTION("""COMPUTED_VALUE"""),"call out kitchen plumbing repair")</f>
        <v>call out kitchen plumbing repair</v>
      </c>
      <c r="Y22" s="9"/>
      <c r="Z22" s="9"/>
    </row>
    <row r="23">
      <c r="A23" s="20"/>
      <c r="B23" s="21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21" t="str">
        <f t="shared" si="41"/>
        <v/>
      </c>
      <c r="D23" s="21" t="str">
        <f t="shared" si="41"/>
        <v/>
      </c>
      <c r="E23" s="21" t="str">
        <f t="shared" si="41"/>
        <v/>
      </c>
      <c r="F23" s="21" t="str">
        <f t="shared" si="41"/>
        <v/>
      </c>
      <c r="G23" s="21" t="str">
        <f t="shared" si="41"/>
        <v/>
      </c>
      <c r="H23" s="21" t="str">
        <f t="shared" si="41"/>
        <v/>
      </c>
      <c r="I23" s="21" t="str">
        <f t="shared" si="41"/>
        <v/>
      </c>
      <c r="J23" s="21" t="str">
        <f t="shared" si="41"/>
        <v/>
      </c>
      <c r="K23" s="21" t="str">
        <f t="shared" si="41"/>
        <v/>
      </c>
      <c r="L23" s="17" t="str">
        <f>IFERROR(__xludf.DUMMYFUNCTION("""COMPUTED_VALUE"""),"bathroom plumbing repair")</f>
        <v>bathroom plumbing repair</v>
      </c>
      <c r="M23" s="18"/>
      <c r="N23" s="21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21" t="str">
        <f t="shared" si="42"/>
        <v/>
      </c>
      <c r="P23" s="21" t="str">
        <f t="shared" si="42"/>
        <v/>
      </c>
      <c r="Q23" s="21" t="str">
        <f t="shared" si="42"/>
        <v/>
      </c>
      <c r="R23" s="21" t="str">
        <f t="shared" si="42"/>
        <v/>
      </c>
      <c r="S23" s="21" t="str">
        <f t="shared" si="42"/>
        <v/>
      </c>
      <c r="T23" s="21" t="str">
        <f t="shared" si="42"/>
        <v/>
      </c>
      <c r="U23" s="21" t="str">
        <f t="shared" si="42"/>
        <v/>
      </c>
      <c r="V23" s="21" t="str">
        <f t="shared" si="42"/>
        <v/>
      </c>
      <c r="W23" s="21" t="str">
        <f t="shared" si="42"/>
        <v/>
      </c>
      <c r="X23" s="19" t="str">
        <f>IFERROR(__xludf.DUMMYFUNCTION("""COMPUTED_VALUE"""),"call out leaking pipe repair")</f>
        <v>call out leaking pipe repair</v>
      </c>
      <c r="Y23" s="9"/>
      <c r="Z23" s="9"/>
    </row>
    <row r="24">
      <c r="A24" s="20"/>
      <c r="B24" s="21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21" t="str">
        <f t="shared" si="43"/>
        <v/>
      </c>
      <c r="D24" s="21" t="str">
        <f t="shared" si="43"/>
        <v/>
      </c>
      <c r="E24" s="21" t="str">
        <f t="shared" si="43"/>
        <v/>
      </c>
      <c r="F24" s="21" t="str">
        <f t="shared" si="43"/>
        <v/>
      </c>
      <c r="G24" s="21" t="str">
        <f t="shared" si="43"/>
        <v/>
      </c>
      <c r="H24" s="21" t="str">
        <f t="shared" si="43"/>
        <v/>
      </c>
      <c r="I24" s="21" t="str">
        <f t="shared" si="43"/>
        <v/>
      </c>
      <c r="J24" s="21" t="str">
        <f t="shared" si="43"/>
        <v/>
      </c>
      <c r="K24" s="21" t="str">
        <f t="shared" si="43"/>
        <v/>
      </c>
      <c r="L24" s="17" t="str">
        <f>IFERROR(__xludf.DUMMYFUNCTION("""COMPUTED_VALUE"""),"bathroom plumbing repair after hours")</f>
        <v>bathroom plumbing repair after hours</v>
      </c>
      <c r="M24" s="18"/>
      <c r="N24" s="21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21" t="str">
        <f t="shared" si="44"/>
        <v/>
      </c>
      <c r="P24" s="21" t="str">
        <f t="shared" si="44"/>
        <v/>
      </c>
      <c r="Q24" s="21" t="str">
        <f t="shared" si="44"/>
        <v/>
      </c>
      <c r="R24" s="21" t="str">
        <f t="shared" si="44"/>
        <v/>
      </c>
      <c r="S24" s="21" t="str">
        <f t="shared" si="44"/>
        <v/>
      </c>
      <c r="T24" s="21" t="str">
        <f t="shared" si="44"/>
        <v/>
      </c>
      <c r="U24" s="21" t="str">
        <f t="shared" si="44"/>
        <v/>
      </c>
      <c r="V24" s="21" t="str">
        <f t="shared" si="44"/>
        <v/>
      </c>
      <c r="W24" s="21" t="str">
        <f t="shared" si="44"/>
        <v/>
      </c>
      <c r="X24" s="19" t="str">
        <f>IFERROR(__xludf.DUMMYFUNCTION("""COMPUTED_VALUE"""),"call out leaking tap repair")</f>
        <v>call out leaking tap repair</v>
      </c>
      <c r="Y24" s="9"/>
      <c r="Z24" s="9"/>
    </row>
    <row r="25">
      <c r="A25" s="20"/>
      <c r="B25" s="21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21" t="str">
        <f t="shared" si="45"/>
        <v/>
      </c>
      <c r="D25" s="21" t="str">
        <f t="shared" si="45"/>
        <v/>
      </c>
      <c r="E25" s="21" t="str">
        <f t="shared" si="45"/>
        <v/>
      </c>
      <c r="F25" s="21" t="str">
        <f t="shared" si="45"/>
        <v/>
      </c>
      <c r="G25" s="21" t="str">
        <f t="shared" si="45"/>
        <v/>
      </c>
      <c r="H25" s="21" t="str">
        <f t="shared" si="45"/>
        <v/>
      </c>
      <c r="I25" s="21" t="str">
        <f t="shared" si="45"/>
        <v/>
      </c>
      <c r="J25" s="21" t="str">
        <f t="shared" si="45"/>
        <v/>
      </c>
      <c r="K25" s="21" t="str">
        <f t="shared" si="45"/>
        <v/>
      </c>
      <c r="L25" s="17" t="str">
        <f>IFERROR(__xludf.DUMMYFUNCTION("""COMPUTED_VALUE"""),"bathroom plumbing repair call out")</f>
        <v>bathroom plumbing repair call out</v>
      </c>
      <c r="M25" s="18"/>
      <c r="N25" s="21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21" t="str">
        <f t="shared" si="46"/>
        <v/>
      </c>
      <c r="P25" s="21" t="str">
        <f t="shared" si="46"/>
        <v/>
      </c>
      <c r="Q25" s="21" t="str">
        <f t="shared" si="46"/>
        <v/>
      </c>
      <c r="R25" s="21" t="str">
        <f t="shared" si="46"/>
        <v/>
      </c>
      <c r="S25" s="21" t="str">
        <f t="shared" si="46"/>
        <v/>
      </c>
      <c r="T25" s="21" t="str">
        <f t="shared" si="46"/>
        <v/>
      </c>
      <c r="U25" s="21" t="str">
        <f t="shared" si="46"/>
        <v/>
      </c>
      <c r="V25" s="21" t="str">
        <f t="shared" si="46"/>
        <v/>
      </c>
      <c r="W25" s="21" t="str">
        <f t="shared" si="46"/>
        <v/>
      </c>
      <c r="X25" s="19" t="str">
        <f>IFERROR(__xludf.DUMMYFUNCTION("""COMPUTED_VALUE"""),"call out toilet repair")</f>
        <v>call out toilet repair</v>
      </c>
      <c r="Y25" s="9"/>
      <c r="Z25" s="9"/>
    </row>
    <row r="26">
      <c r="A26" s="20"/>
      <c r="B26" s="21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21" t="str">
        <f t="shared" si="47"/>
        <v/>
      </c>
      <c r="D26" s="21" t="str">
        <f t="shared" si="47"/>
        <v/>
      </c>
      <c r="E26" s="21" t="str">
        <f t="shared" si="47"/>
        <v/>
      </c>
      <c r="F26" s="21" t="str">
        <f t="shared" si="47"/>
        <v/>
      </c>
      <c r="G26" s="21" t="str">
        <f t="shared" si="47"/>
        <v/>
      </c>
      <c r="H26" s="21" t="str">
        <f t="shared" si="47"/>
        <v/>
      </c>
      <c r="I26" s="21" t="str">
        <f t="shared" si="47"/>
        <v/>
      </c>
      <c r="J26" s="21" t="str">
        <f t="shared" si="47"/>
        <v/>
      </c>
      <c r="K26" s="21" t="str">
        <f t="shared" si="47"/>
        <v/>
      </c>
      <c r="L26" s="17" t="str">
        <f>IFERROR(__xludf.DUMMYFUNCTION("""COMPUTED_VALUE"""),"bathroom plumbing repair cape town")</f>
        <v>bathroom plumbing repair cape town</v>
      </c>
      <c r="M26" s="18"/>
      <c r="N26" s="21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21" t="str">
        <f t="shared" si="48"/>
        <v/>
      </c>
      <c r="P26" s="21" t="str">
        <f t="shared" si="48"/>
        <v/>
      </c>
      <c r="Q26" s="21" t="str">
        <f t="shared" si="48"/>
        <v/>
      </c>
      <c r="R26" s="21" t="str">
        <f t="shared" si="48"/>
        <v/>
      </c>
      <c r="S26" s="21" t="str">
        <f t="shared" si="48"/>
        <v/>
      </c>
      <c r="T26" s="21" t="str">
        <f t="shared" si="48"/>
        <v/>
      </c>
      <c r="U26" s="21" t="str">
        <f t="shared" si="48"/>
        <v/>
      </c>
      <c r="V26" s="21" t="str">
        <f t="shared" si="48"/>
        <v/>
      </c>
      <c r="W26" s="21" t="str">
        <f t="shared" si="48"/>
        <v/>
      </c>
      <c r="X26" s="19" t="str">
        <f>IFERROR(__xludf.DUMMYFUNCTION("""COMPUTED_VALUE"""),"call out water leak repair")</f>
        <v>call out water leak repair</v>
      </c>
      <c r="Y26" s="9"/>
      <c r="Z26" s="9"/>
    </row>
    <row r="27">
      <c r="A27" s="20"/>
      <c r="B27" s="21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21" t="str">
        <f t="shared" si="49"/>
        <v/>
      </c>
      <c r="D27" s="21" t="str">
        <f t="shared" si="49"/>
        <v/>
      </c>
      <c r="E27" s="21" t="str">
        <f t="shared" si="49"/>
        <v/>
      </c>
      <c r="F27" s="21" t="str">
        <f t="shared" si="49"/>
        <v/>
      </c>
      <c r="G27" s="21" t="str">
        <f t="shared" si="49"/>
        <v/>
      </c>
      <c r="H27" s="21" t="str">
        <f t="shared" si="49"/>
        <v/>
      </c>
      <c r="I27" s="21" t="str">
        <f t="shared" si="49"/>
        <v/>
      </c>
      <c r="J27" s="21" t="str">
        <f t="shared" si="49"/>
        <v/>
      </c>
      <c r="K27" s="21" t="str">
        <f t="shared" si="49"/>
        <v/>
      </c>
      <c r="L27" s="17" t="str">
        <f>IFERROR(__xludf.DUMMYFUNCTION("""COMPUTED_VALUE"""),"bathroom plumbing repair commercial")</f>
        <v>bathroom plumbing repair commercial</v>
      </c>
      <c r="M27" s="18"/>
      <c r="N27" s="21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21" t="str">
        <f t="shared" si="50"/>
        <v/>
      </c>
      <c r="P27" s="21" t="str">
        <f t="shared" si="50"/>
        <v/>
      </c>
      <c r="Q27" s="21" t="str">
        <f t="shared" si="50"/>
        <v/>
      </c>
      <c r="R27" s="21" t="str">
        <f t="shared" si="50"/>
        <v/>
      </c>
      <c r="S27" s="21" t="str">
        <f t="shared" si="50"/>
        <v/>
      </c>
      <c r="T27" s="21" t="str">
        <f t="shared" si="50"/>
        <v/>
      </c>
      <c r="U27" s="21" t="str">
        <f t="shared" si="50"/>
        <v/>
      </c>
      <c r="V27" s="21" t="str">
        <f t="shared" si="50"/>
        <v/>
      </c>
      <c r="W27" s="21" t="str">
        <f t="shared" si="50"/>
        <v/>
      </c>
      <c r="X27" s="19" t="str">
        <f>IFERROR(__xludf.DUMMYFUNCTION("""COMPUTED_VALUE"""),"cape town 24 hour plumber")</f>
        <v>cape town 24 hour plumber</v>
      </c>
      <c r="Y27" s="9"/>
      <c r="Z27" s="9"/>
    </row>
    <row r="28">
      <c r="A28" s="20"/>
      <c r="B28" s="21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21" t="str">
        <f t="shared" si="51"/>
        <v/>
      </c>
      <c r="D28" s="21" t="str">
        <f t="shared" si="51"/>
        <v/>
      </c>
      <c r="E28" s="21" t="str">
        <f t="shared" si="51"/>
        <v/>
      </c>
      <c r="F28" s="21" t="str">
        <f t="shared" si="51"/>
        <v/>
      </c>
      <c r="G28" s="21" t="str">
        <f t="shared" si="51"/>
        <v/>
      </c>
      <c r="H28" s="21" t="str">
        <f t="shared" si="51"/>
        <v/>
      </c>
      <c r="I28" s="21" t="str">
        <f t="shared" si="51"/>
        <v/>
      </c>
      <c r="J28" s="21" t="str">
        <f t="shared" si="51"/>
        <v/>
      </c>
      <c r="K28" s="21" t="str">
        <f t="shared" si="51"/>
        <v/>
      </c>
      <c r="L28" s="17" t="str">
        <f>IFERROR(__xludf.DUMMYFUNCTION("""COMPUTED_VALUE"""),"bathroom plumbing repair company")</f>
        <v>bathroom plumbing repair company</v>
      </c>
      <c r="M28" s="18"/>
      <c r="N28" s="21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21" t="str">
        <f t="shared" si="52"/>
        <v/>
      </c>
      <c r="P28" s="21" t="str">
        <f t="shared" si="52"/>
        <v/>
      </c>
      <c r="Q28" s="21" t="str">
        <f t="shared" si="52"/>
        <v/>
      </c>
      <c r="R28" s="21" t="str">
        <f t="shared" si="52"/>
        <v/>
      </c>
      <c r="S28" s="21" t="str">
        <f t="shared" si="52"/>
        <v/>
      </c>
      <c r="T28" s="21" t="str">
        <f t="shared" si="52"/>
        <v/>
      </c>
      <c r="U28" s="21" t="str">
        <f t="shared" si="52"/>
        <v/>
      </c>
      <c r="V28" s="21" t="str">
        <f t="shared" si="52"/>
        <v/>
      </c>
      <c r="W28" s="21" t="str">
        <f t="shared" si="52"/>
        <v/>
      </c>
      <c r="X28" s="19" t="str">
        <f>IFERROR(__xludf.DUMMYFUNCTION("""COMPUTED_VALUE"""),"cape town bathroom plumbing repair")</f>
        <v>cape town bathroom plumbing repair</v>
      </c>
      <c r="Y28" s="9"/>
      <c r="Z28" s="9"/>
    </row>
    <row r="29">
      <c r="A29" s="20"/>
      <c r="B29" s="21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21" t="str">
        <f t="shared" si="53"/>
        <v/>
      </c>
      <c r="D29" s="21" t="str">
        <f t="shared" si="53"/>
        <v/>
      </c>
      <c r="E29" s="21" t="str">
        <f t="shared" si="53"/>
        <v/>
      </c>
      <c r="F29" s="21" t="str">
        <f t="shared" si="53"/>
        <v/>
      </c>
      <c r="G29" s="21" t="str">
        <f t="shared" si="53"/>
        <v/>
      </c>
      <c r="H29" s="21" t="str">
        <f t="shared" si="53"/>
        <v/>
      </c>
      <c r="I29" s="21" t="str">
        <f t="shared" si="53"/>
        <v/>
      </c>
      <c r="J29" s="21" t="str">
        <f t="shared" si="53"/>
        <v/>
      </c>
      <c r="K29" s="21" t="str">
        <f t="shared" si="53"/>
        <v/>
      </c>
      <c r="L29" s="17" t="str">
        <f>IFERROR(__xludf.DUMMYFUNCTION("""COMPUTED_VALUE"""),"bathroom plumbing repair cost")</f>
        <v>bathroom plumbing repair cost</v>
      </c>
      <c r="M29" s="18"/>
      <c r="N29" s="21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21" t="str">
        <f t="shared" si="54"/>
        <v/>
      </c>
      <c r="P29" s="21" t="str">
        <f t="shared" si="54"/>
        <v/>
      </c>
      <c r="Q29" s="21" t="str">
        <f t="shared" si="54"/>
        <v/>
      </c>
      <c r="R29" s="21" t="str">
        <f t="shared" si="54"/>
        <v/>
      </c>
      <c r="S29" s="21" t="str">
        <f t="shared" si="54"/>
        <v/>
      </c>
      <c r="T29" s="21" t="str">
        <f t="shared" si="54"/>
        <v/>
      </c>
      <c r="U29" s="21" t="str">
        <f t="shared" si="54"/>
        <v/>
      </c>
      <c r="V29" s="21" t="str">
        <f t="shared" si="54"/>
        <v/>
      </c>
      <c r="W29" s="21" t="str">
        <f t="shared" si="54"/>
        <v/>
      </c>
      <c r="X29" s="19" t="str">
        <f>IFERROR(__xludf.DUMMYFUNCTION("""COMPUTED_VALUE"""),"cape town blocked toilet plumber")</f>
        <v>cape town blocked toilet plumber</v>
      </c>
      <c r="Y29" s="9"/>
      <c r="Z29" s="9"/>
    </row>
    <row r="30">
      <c r="A30" s="20"/>
      <c r="B30" s="21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21" t="str">
        <f t="shared" si="55"/>
        <v/>
      </c>
      <c r="D30" s="21" t="str">
        <f t="shared" si="55"/>
        <v/>
      </c>
      <c r="E30" s="21" t="str">
        <f t="shared" si="55"/>
        <v/>
      </c>
      <c r="F30" s="21" t="str">
        <f t="shared" si="55"/>
        <v/>
      </c>
      <c r="G30" s="21" t="str">
        <f t="shared" si="55"/>
        <v/>
      </c>
      <c r="H30" s="21" t="str">
        <f t="shared" si="55"/>
        <v/>
      </c>
      <c r="I30" s="21" t="str">
        <f t="shared" si="55"/>
        <v/>
      </c>
      <c r="J30" s="21" t="str">
        <f t="shared" si="55"/>
        <v/>
      </c>
      <c r="K30" s="21" t="str">
        <f t="shared" si="55"/>
        <v/>
      </c>
      <c r="L30" s="17" t="str">
        <f>IFERROR(__xludf.DUMMYFUNCTION("""COMPUTED_VALUE"""),"bathroom plumbing repair emergency")</f>
        <v>bathroom plumbing repair emergency</v>
      </c>
      <c r="M30" s="18"/>
      <c r="N30" s="21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21" t="str">
        <f t="shared" si="56"/>
        <v/>
      </c>
      <c r="P30" s="21" t="str">
        <f t="shared" si="56"/>
        <v/>
      </c>
      <c r="Q30" s="21" t="str">
        <f t="shared" si="56"/>
        <v/>
      </c>
      <c r="R30" s="21" t="str">
        <f t="shared" si="56"/>
        <v/>
      </c>
      <c r="S30" s="21" t="str">
        <f t="shared" si="56"/>
        <v/>
      </c>
      <c r="T30" s="21" t="str">
        <f t="shared" si="56"/>
        <v/>
      </c>
      <c r="U30" s="21" t="str">
        <f t="shared" si="56"/>
        <v/>
      </c>
      <c r="V30" s="21" t="str">
        <f t="shared" si="56"/>
        <v/>
      </c>
      <c r="W30" s="21" t="str">
        <f t="shared" si="56"/>
        <v/>
      </c>
      <c r="X30" s="19" t="str">
        <f>IFERROR(__xludf.DUMMYFUNCTION("""COMPUTED_VALUE"""),"cape town burst pipe repair")</f>
        <v>cape town burst pipe repair</v>
      </c>
      <c r="Y30" s="9"/>
      <c r="Z30" s="9"/>
    </row>
    <row r="31">
      <c r="A31" s="20"/>
      <c r="B31" s="21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21" t="str">
        <f t="shared" si="57"/>
        <v/>
      </c>
      <c r="D31" s="21" t="str">
        <f t="shared" si="57"/>
        <v/>
      </c>
      <c r="E31" s="21" t="str">
        <f t="shared" si="57"/>
        <v/>
      </c>
      <c r="F31" s="21" t="str">
        <f t="shared" si="57"/>
        <v/>
      </c>
      <c r="G31" s="21" t="str">
        <f t="shared" si="57"/>
        <v/>
      </c>
      <c r="H31" s="21" t="str">
        <f t="shared" si="57"/>
        <v/>
      </c>
      <c r="I31" s="21" t="str">
        <f t="shared" si="57"/>
        <v/>
      </c>
      <c r="J31" s="21" t="str">
        <f t="shared" si="57"/>
        <v/>
      </c>
      <c r="K31" s="21" t="str">
        <f t="shared" si="57"/>
        <v/>
      </c>
      <c r="L31" s="17" t="str">
        <f>IFERROR(__xludf.DUMMYFUNCTION("""COMPUTED_VALUE"""),"bathroom plumbing repair fast")</f>
        <v>bathroom plumbing repair fast</v>
      </c>
      <c r="M31" s="18"/>
      <c r="N31" s="21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21" t="str">
        <f t="shared" si="58"/>
        <v/>
      </c>
      <c r="P31" s="21" t="str">
        <f t="shared" si="58"/>
        <v/>
      </c>
      <c r="Q31" s="21" t="str">
        <f t="shared" si="58"/>
        <v/>
      </c>
      <c r="R31" s="21" t="str">
        <f t="shared" si="58"/>
        <v/>
      </c>
      <c r="S31" s="21" t="str">
        <f t="shared" si="58"/>
        <v/>
      </c>
      <c r="T31" s="21" t="str">
        <f t="shared" si="58"/>
        <v/>
      </c>
      <c r="U31" s="21" t="str">
        <f t="shared" si="58"/>
        <v/>
      </c>
      <c r="V31" s="21" t="str">
        <f t="shared" si="58"/>
        <v/>
      </c>
      <c r="W31" s="21" t="str">
        <f t="shared" si="58"/>
        <v/>
      </c>
      <c r="X31" s="19" t="str">
        <f>IFERROR(__xludf.DUMMYFUNCTION("""COMPUTED_VALUE"""),"cape town emergency plumber")</f>
        <v>cape town emergency plumber</v>
      </c>
      <c r="Y31" s="9"/>
      <c r="Z31" s="9"/>
    </row>
    <row r="32">
      <c r="A32" s="20"/>
      <c r="B32" s="21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21" t="str">
        <f t="shared" si="59"/>
        <v/>
      </c>
      <c r="D32" s="21" t="str">
        <f t="shared" si="59"/>
        <v/>
      </c>
      <c r="E32" s="21" t="str">
        <f t="shared" si="59"/>
        <v/>
      </c>
      <c r="F32" s="21" t="str">
        <f t="shared" si="59"/>
        <v/>
      </c>
      <c r="G32" s="21" t="str">
        <f t="shared" si="59"/>
        <v/>
      </c>
      <c r="H32" s="21" t="str">
        <f t="shared" si="59"/>
        <v/>
      </c>
      <c r="I32" s="21" t="str">
        <f t="shared" si="59"/>
        <v/>
      </c>
      <c r="J32" s="21" t="str">
        <f t="shared" si="59"/>
        <v/>
      </c>
      <c r="K32" s="21" t="str">
        <f t="shared" si="59"/>
        <v/>
      </c>
      <c r="L32" s="17" t="str">
        <f>IFERROR(__xludf.DUMMYFUNCTION("""COMPUTED_VALUE"""),"bathroom plumbing repair local")</f>
        <v>bathroom plumbing repair local</v>
      </c>
      <c r="M32" s="18"/>
      <c r="N32" s="21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21" t="str">
        <f t="shared" si="60"/>
        <v/>
      </c>
      <c r="P32" s="21" t="str">
        <f t="shared" si="60"/>
        <v/>
      </c>
      <c r="Q32" s="21" t="str">
        <f t="shared" si="60"/>
        <v/>
      </c>
      <c r="R32" s="21" t="str">
        <f t="shared" si="60"/>
        <v/>
      </c>
      <c r="S32" s="21" t="str">
        <f t="shared" si="60"/>
        <v/>
      </c>
      <c r="T32" s="21" t="str">
        <f t="shared" si="60"/>
        <v/>
      </c>
      <c r="U32" s="21" t="str">
        <f t="shared" si="60"/>
        <v/>
      </c>
      <c r="V32" s="21" t="str">
        <f t="shared" si="60"/>
        <v/>
      </c>
      <c r="W32" s="21" t="str">
        <f t="shared" si="60"/>
        <v/>
      </c>
      <c r="X32" s="19" t="str">
        <f>IFERROR(__xludf.DUMMYFUNCTION("""COMPUTED_VALUE"""),"cape town kitchen plumbing repair")</f>
        <v>cape town kitchen plumbing repair</v>
      </c>
      <c r="Y32" s="9"/>
      <c r="Z32" s="9"/>
    </row>
    <row r="33">
      <c r="A33" s="20"/>
      <c r="B33" s="21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21" t="str">
        <f t="shared" si="61"/>
        <v/>
      </c>
      <c r="D33" s="21" t="str">
        <f t="shared" si="61"/>
        <v/>
      </c>
      <c r="E33" s="21" t="str">
        <f t="shared" si="61"/>
        <v/>
      </c>
      <c r="F33" s="21" t="str">
        <f t="shared" si="61"/>
        <v/>
      </c>
      <c r="G33" s="21" t="str">
        <f t="shared" si="61"/>
        <v/>
      </c>
      <c r="H33" s="21" t="str">
        <f t="shared" si="61"/>
        <v/>
      </c>
      <c r="I33" s="21" t="str">
        <f t="shared" si="61"/>
        <v/>
      </c>
      <c r="J33" s="21" t="str">
        <f t="shared" si="61"/>
        <v/>
      </c>
      <c r="K33" s="21" t="str">
        <f t="shared" si="61"/>
        <v/>
      </c>
      <c r="L33" s="17" t="str">
        <f>IFERROR(__xludf.DUMMYFUNCTION("""COMPUTED_VALUE"""),"bathroom plumbing repair near me")</f>
        <v>bathroom plumbing repair near me</v>
      </c>
      <c r="M33" s="18"/>
      <c r="N33" s="21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21" t="str">
        <f t="shared" si="62"/>
        <v/>
      </c>
      <c r="P33" s="21" t="str">
        <f t="shared" si="62"/>
        <v/>
      </c>
      <c r="Q33" s="21" t="str">
        <f t="shared" si="62"/>
        <v/>
      </c>
      <c r="R33" s="21" t="str">
        <f t="shared" si="62"/>
        <v/>
      </c>
      <c r="S33" s="21" t="str">
        <f t="shared" si="62"/>
        <v/>
      </c>
      <c r="T33" s="21" t="str">
        <f t="shared" si="62"/>
        <v/>
      </c>
      <c r="U33" s="21" t="str">
        <f t="shared" si="62"/>
        <v/>
      </c>
      <c r="V33" s="21" t="str">
        <f t="shared" si="62"/>
        <v/>
      </c>
      <c r="W33" s="21" t="str">
        <f t="shared" si="62"/>
        <v/>
      </c>
      <c r="X33" s="19" t="str">
        <f>IFERROR(__xludf.DUMMYFUNCTION("""COMPUTED_VALUE"""),"cape town leaking pipe repair")</f>
        <v>cape town leaking pipe repair</v>
      </c>
      <c r="Y33" s="9"/>
      <c r="Z33" s="9"/>
    </row>
    <row r="34">
      <c r="A34" s="20"/>
      <c r="B34" s="21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21" t="str">
        <f t="shared" si="63"/>
        <v/>
      </c>
      <c r="D34" s="21" t="str">
        <f t="shared" si="63"/>
        <v/>
      </c>
      <c r="E34" s="21" t="str">
        <f t="shared" si="63"/>
        <v/>
      </c>
      <c r="F34" s="21" t="str">
        <f t="shared" si="63"/>
        <v/>
      </c>
      <c r="G34" s="21" t="str">
        <f t="shared" si="63"/>
        <v/>
      </c>
      <c r="H34" s="21" t="str">
        <f t="shared" si="63"/>
        <v/>
      </c>
      <c r="I34" s="21" t="str">
        <f t="shared" si="63"/>
        <v/>
      </c>
      <c r="J34" s="21" t="str">
        <f t="shared" si="63"/>
        <v/>
      </c>
      <c r="K34" s="21" t="str">
        <f t="shared" si="63"/>
        <v/>
      </c>
      <c r="L34" s="17" t="str">
        <f>IFERROR(__xludf.DUMMYFUNCTION("""COMPUTED_VALUE"""),"bathroom plumbing repair plumber")</f>
        <v>bathroom plumbing repair plumber</v>
      </c>
      <c r="M34" s="18"/>
      <c r="N34" s="21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21" t="str">
        <f t="shared" si="64"/>
        <v/>
      </c>
      <c r="P34" s="21" t="str">
        <f t="shared" si="64"/>
        <v/>
      </c>
      <c r="Q34" s="21" t="str">
        <f t="shared" si="64"/>
        <v/>
      </c>
      <c r="R34" s="21" t="str">
        <f t="shared" si="64"/>
        <v/>
      </c>
      <c r="S34" s="21" t="str">
        <f t="shared" si="64"/>
        <v/>
      </c>
      <c r="T34" s="21" t="str">
        <f t="shared" si="64"/>
        <v/>
      </c>
      <c r="U34" s="21" t="str">
        <f t="shared" si="64"/>
        <v/>
      </c>
      <c r="V34" s="21" t="str">
        <f t="shared" si="64"/>
        <v/>
      </c>
      <c r="W34" s="21" t="str">
        <f t="shared" si="64"/>
        <v/>
      </c>
      <c r="X34" s="19" t="str">
        <f>IFERROR(__xludf.DUMMYFUNCTION("""COMPUTED_VALUE"""),"cape town leaking tap repair")</f>
        <v>cape town leaking tap repair</v>
      </c>
      <c r="Y34" s="9"/>
      <c r="Z34" s="9"/>
    </row>
    <row r="35">
      <c r="A35" s="20"/>
      <c r="B35" s="21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21" t="str">
        <f t="shared" si="65"/>
        <v/>
      </c>
      <c r="D35" s="21" t="str">
        <f t="shared" si="65"/>
        <v/>
      </c>
      <c r="E35" s="21" t="str">
        <f t="shared" si="65"/>
        <v/>
      </c>
      <c r="F35" s="21" t="str">
        <f t="shared" si="65"/>
        <v/>
      </c>
      <c r="G35" s="21" t="str">
        <f t="shared" si="65"/>
        <v/>
      </c>
      <c r="H35" s="21" t="str">
        <f t="shared" si="65"/>
        <v/>
      </c>
      <c r="I35" s="21" t="str">
        <f t="shared" si="65"/>
        <v/>
      </c>
      <c r="J35" s="21" t="str">
        <f t="shared" si="65"/>
        <v/>
      </c>
      <c r="K35" s="21" t="str">
        <f t="shared" si="65"/>
        <v/>
      </c>
      <c r="L35" s="17" t="str">
        <f>IFERROR(__xludf.DUMMYFUNCTION("""COMPUTED_VALUE"""),"bathroom plumbing repair professional")</f>
        <v>bathroom plumbing repair professional</v>
      </c>
      <c r="M35" s="18"/>
      <c r="N35" s="21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21" t="str">
        <f t="shared" si="66"/>
        <v/>
      </c>
      <c r="P35" s="21" t="str">
        <f t="shared" si="66"/>
        <v/>
      </c>
      <c r="Q35" s="21" t="str">
        <f t="shared" si="66"/>
        <v/>
      </c>
      <c r="R35" s="21" t="str">
        <f t="shared" si="66"/>
        <v/>
      </c>
      <c r="S35" s="21" t="str">
        <f t="shared" si="66"/>
        <v/>
      </c>
      <c r="T35" s="21" t="str">
        <f t="shared" si="66"/>
        <v/>
      </c>
      <c r="U35" s="21" t="str">
        <f t="shared" si="66"/>
        <v/>
      </c>
      <c r="V35" s="21" t="str">
        <f t="shared" si="66"/>
        <v/>
      </c>
      <c r="W35" s="21" t="str">
        <f t="shared" si="66"/>
        <v/>
      </c>
      <c r="X35" s="19" t="str">
        <f>IFERROR(__xludf.DUMMYFUNCTION("""COMPUTED_VALUE"""),"cape town toilet repair")</f>
        <v>cape town toilet repair</v>
      </c>
      <c r="Y35" s="9"/>
      <c r="Z35" s="9"/>
    </row>
    <row r="36">
      <c r="A36" s="20"/>
      <c r="B36" s="21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21" t="str">
        <f t="shared" si="67"/>
        <v/>
      </c>
      <c r="D36" s="21" t="str">
        <f t="shared" si="67"/>
        <v/>
      </c>
      <c r="E36" s="21" t="str">
        <f t="shared" si="67"/>
        <v/>
      </c>
      <c r="F36" s="21" t="str">
        <f t="shared" si="67"/>
        <v/>
      </c>
      <c r="G36" s="21" t="str">
        <f t="shared" si="67"/>
        <v/>
      </c>
      <c r="H36" s="21" t="str">
        <f t="shared" si="67"/>
        <v/>
      </c>
      <c r="I36" s="21" t="str">
        <f t="shared" si="67"/>
        <v/>
      </c>
      <c r="J36" s="21" t="str">
        <f t="shared" si="67"/>
        <v/>
      </c>
      <c r="K36" s="21" t="str">
        <f t="shared" si="67"/>
        <v/>
      </c>
      <c r="L36" s="17" t="str">
        <f>IFERROR(__xludf.DUMMYFUNCTION("""COMPUTED_VALUE"""),"bathroom plumbing repair quote")</f>
        <v>bathroom plumbing repair quote</v>
      </c>
      <c r="M36" s="18"/>
      <c r="N36" s="21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21" t="str">
        <f t="shared" si="68"/>
        <v/>
      </c>
      <c r="P36" s="21" t="str">
        <f t="shared" si="68"/>
        <v/>
      </c>
      <c r="Q36" s="21" t="str">
        <f t="shared" si="68"/>
        <v/>
      </c>
      <c r="R36" s="21" t="str">
        <f t="shared" si="68"/>
        <v/>
      </c>
      <c r="S36" s="21" t="str">
        <f t="shared" si="68"/>
        <v/>
      </c>
      <c r="T36" s="21" t="str">
        <f t="shared" si="68"/>
        <v/>
      </c>
      <c r="U36" s="21" t="str">
        <f t="shared" si="68"/>
        <v/>
      </c>
      <c r="V36" s="21" t="str">
        <f t="shared" si="68"/>
        <v/>
      </c>
      <c r="W36" s="21" t="str">
        <f t="shared" si="68"/>
        <v/>
      </c>
      <c r="X36" s="19" t="str">
        <f>IFERROR(__xludf.DUMMYFUNCTION("""COMPUTED_VALUE"""),"cape town water leak repair")</f>
        <v>cape town water leak repair</v>
      </c>
      <c r="Y36" s="9"/>
      <c r="Z36" s="9"/>
    </row>
    <row r="37">
      <c r="A37" s="20"/>
      <c r="B37" s="21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21" t="str">
        <f t="shared" si="69"/>
        <v/>
      </c>
      <c r="D37" s="21" t="str">
        <f t="shared" si="69"/>
        <v/>
      </c>
      <c r="E37" s="21" t="str">
        <f t="shared" si="69"/>
        <v/>
      </c>
      <c r="F37" s="21" t="str">
        <f t="shared" si="69"/>
        <v/>
      </c>
      <c r="G37" s="21" t="str">
        <f t="shared" si="69"/>
        <v/>
      </c>
      <c r="H37" s="21" t="str">
        <f t="shared" si="69"/>
        <v/>
      </c>
      <c r="I37" s="21" t="str">
        <f t="shared" si="69"/>
        <v/>
      </c>
      <c r="J37" s="21" t="str">
        <f t="shared" si="69"/>
        <v/>
      </c>
      <c r="K37" s="21" t="str">
        <f t="shared" si="69"/>
        <v/>
      </c>
      <c r="L37" s="17" t="str">
        <f>IFERROR(__xludf.DUMMYFUNCTION("""COMPUTED_VALUE"""),"bathroom plumbing repair reliable")</f>
        <v>bathroom plumbing repair reliable</v>
      </c>
      <c r="M37" s="18"/>
      <c r="N37" s="21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21" t="str">
        <f t="shared" si="70"/>
        <v/>
      </c>
      <c r="P37" s="21" t="str">
        <f t="shared" si="70"/>
        <v/>
      </c>
      <c r="Q37" s="21" t="str">
        <f t="shared" si="70"/>
        <v/>
      </c>
      <c r="R37" s="21" t="str">
        <f t="shared" si="70"/>
        <v/>
      </c>
      <c r="S37" s="21" t="str">
        <f t="shared" si="70"/>
        <v/>
      </c>
      <c r="T37" s="21" t="str">
        <f t="shared" si="70"/>
        <v/>
      </c>
      <c r="U37" s="21" t="str">
        <f t="shared" si="70"/>
        <v/>
      </c>
      <c r="V37" s="21" t="str">
        <f t="shared" si="70"/>
        <v/>
      </c>
      <c r="W37" s="21" t="str">
        <f t="shared" si="70"/>
        <v/>
      </c>
      <c r="X37" s="19" t="str">
        <f>IFERROR(__xludf.DUMMYFUNCTION("""COMPUTED_VALUE"""),"commercial 24 hour plumber")</f>
        <v>commercial 24 hour plumber</v>
      </c>
      <c r="Y37" s="9"/>
      <c r="Z37" s="9"/>
    </row>
    <row r="38">
      <c r="A38" s="20"/>
      <c r="B38" s="21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21" t="str">
        <f t="shared" si="71"/>
        <v/>
      </c>
      <c r="D38" s="21" t="str">
        <f t="shared" si="71"/>
        <v/>
      </c>
      <c r="E38" s="21" t="str">
        <f t="shared" si="71"/>
        <v/>
      </c>
      <c r="F38" s="21" t="str">
        <f t="shared" si="71"/>
        <v/>
      </c>
      <c r="G38" s="21" t="str">
        <f t="shared" si="71"/>
        <v/>
      </c>
      <c r="H38" s="21" t="str">
        <f t="shared" si="71"/>
        <v/>
      </c>
      <c r="I38" s="21" t="str">
        <f t="shared" si="71"/>
        <v/>
      </c>
      <c r="J38" s="21" t="str">
        <f t="shared" si="71"/>
        <v/>
      </c>
      <c r="K38" s="21" t="str">
        <f t="shared" si="71"/>
        <v/>
      </c>
      <c r="L38" s="17" t="str">
        <f>IFERROR(__xludf.DUMMYFUNCTION("""COMPUTED_VALUE"""),"bathroom plumbing repair residential")</f>
        <v>bathroom plumbing repair residential</v>
      </c>
      <c r="M38" s="18"/>
      <c r="N38" s="21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21" t="str">
        <f t="shared" si="72"/>
        <v/>
      </c>
      <c r="P38" s="21" t="str">
        <f t="shared" si="72"/>
        <v/>
      </c>
      <c r="Q38" s="21" t="str">
        <f t="shared" si="72"/>
        <v/>
      </c>
      <c r="R38" s="21" t="str">
        <f t="shared" si="72"/>
        <v/>
      </c>
      <c r="S38" s="21" t="str">
        <f t="shared" si="72"/>
        <v/>
      </c>
      <c r="T38" s="21" t="str">
        <f t="shared" si="72"/>
        <v/>
      </c>
      <c r="U38" s="21" t="str">
        <f t="shared" si="72"/>
        <v/>
      </c>
      <c r="V38" s="21" t="str">
        <f t="shared" si="72"/>
        <v/>
      </c>
      <c r="W38" s="21" t="str">
        <f t="shared" si="72"/>
        <v/>
      </c>
      <c r="X38" s="19" t="str">
        <f>IFERROR(__xludf.DUMMYFUNCTION("""COMPUTED_VALUE"""),"commercial bathroom plumbing repair")</f>
        <v>commercial bathroom plumbing repair</v>
      </c>
      <c r="Y38" s="9"/>
      <c r="Z38" s="9"/>
    </row>
    <row r="39">
      <c r="A39" s="20"/>
      <c r="B39" s="21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21" t="str">
        <f t="shared" si="73"/>
        <v/>
      </c>
      <c r="D39" s="21" t="str">
        <f t="shared" si="73"/>
        <v/>
      </c>
      <c r="E39" s="21" t="str">
        <f t="shared" si="73"/>
        <v/>
      </c>
      <c r="F39" s="21" t="str">
        <f t="shared" si="73"/>
        <v/>
      </c>
      <c r="G39" s="21" t="str">
        <f t="shared" si="73"/>
        <v/>
      </c>
      <c r="H39" s="21" t="str">
        <f t="shared" si="73"/>
        <v/>
      </c>
      <c r="I39" s="21" t="str">
        <f t="shared" si="73"/>
        <v/>
      </c>
      <c r="J39" s="21" t="str">
        <f t="shared" si="73"/>
        <v/>
      </c>
      <c r="K39" s="21" t="str">
        <f t="shared" si="73"/>
        <v/>
      </c>
      <c r="L39" s="17" t="str">
        <f>IFERROR(__xludf.DUMMYFUNCTION("""COMPUTED_VALUE"""),"bathroom plumbing repair same day")</f>
        <v>bathroom plumbing repair same day</v>
      </c>
      <c r="M39" s="18"/>
      <c r="N39" s="21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21" t="str">
        <f t="shared" si="74"/>
        <v/>
      </c>
      <c r="P39" s="21" t="str">
        <f t="shared" si="74"/>
        <v/>
      </c>
      <c r="Q39" s="21" t="str">
        <f t="shared" si="74"/>
        <v/>
      </c>
      <c r="R39" s="21" t="str">
        <f t="shared" si="74"/>
        <v/>
      </c>
      <c r="S39" s="21" t="str">
        <f t="shared" si="74"/>
        <v/>
      </c>
      <c r="T39" s="21" t="str">
        <f t="shared" si="74"/>
        <v/>
      </c>
      <c r="U39" s="21" t="str">
        <f t="shared" si="74"/>
        <v/>
      </c>
      <c r="V39" s="21" t="str">
        <f t="shared" si="74"/>
        <v/>
      </c>
      <c r="W39" s="21" t="str">
        <f t="shared" si="74"/>
        <v/>
      </c>
      <c r="X39" s="19" t="str">
        <f>IFERROR(__xludf.DUMMYFUNCTION("""COMPUTED_VALUE"""),"commercial blocked toilet plumber")</f>
        <v>commercial blocked toilet plumber</v>
      </c>
      <c r="Y39" s="9"/>
      <c r="Z39" s="9"/>
    </row>
    <row r="40">
      <c r="A40" s="20"/>
      <c r="B40" s="21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21" t="str">
        <f t="shared" si="75"/>
        <v/>
      </c>
      <c r="D40" s="21" t="str">
        <f t="shared" si="75"/>
        <v/>
      </c>
      <c r="E40" s="21" t="str">
        <f t="shared" si="75"/>
        <v/>
      </c>
      <c r="F40" s="21" t="str">
        <f t="shared" si="75"/>
        <v/>
      </c>
      <c r="G40" s="21" t="str">
        <f t="shared" si="75"/>
        <v/>
      </c>
      <c r="H40" s="21" t="str">
        <f t="shared" si="75"/>
        <v/>
      </c>
      <c r="I40" s="21" t="str">
        <f t="shared" si="75"/>
        <v/>
      </c>
      <c r="J40" s="21" t="str">
        <f t="shared" si="75"/>
        <v/>
      </c>
      <c r="K40" s="21" t="str">
        <f t="shared" si="75"/>
        <v/>
      </c>
      <c r="L40" s="17" t="str">
        <f>IFERROR(__xludf.DUMMYFUNCTION("""COMPUTED_VALUE"""),"bathroom plumbing repair service")</f>
        <v>bathroom plumbing repair service</v>
      </c>
      <c r="M40" s="18"/>
      <c r="N40" s="21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21" t="str">
        <f t="shared" si="76"/>
        <v/>
      </c>
      <c r="P40" s="21" t="str">
        <f t="shared" si="76"/>
        <v/>
      </c>
      <c r="Q40" s="21" t="str">
        <f t="shared" si="76"/>
        <v/>
      </c>
      <c r="R40" s="21" t="str">
        <f t="shared" si="76"/>
        <v/>
      </c>
      <c r="S40" s="21" t="str">
        <f t="shared" si="76"/>
        <v/>
      </c>
      <c r="T40" s="21" t="str">
        <f t="shared" si="76"/>
        <v/>
      </c>
      <c r="U40" s="21" t="str">
        <f t="shared" si="76"/>
        <v/>
      </c>
      <c r="V40" s="21" t="str">
        <f t="shared" si="76"/>
        <v/>
      </c>
      <c r="W40" s="21" t="str">
        <f t="shared" si="76"/>
        <v/>
      </c>
      <c r="X40" s="19" t="str">
        <f>IFERROR(__xludf.DUMMYFUNCTION("""COMPUTED_VALUE"""),"commercial burst pipe repair")</f>
        <v>commercial burst pipe repair</v>
      </c>
      <c r="Y40" s="9"/>
      <c r="Z40" s="9"/>
    </row>
    <row r="41">
      <c r="A41" s="20"/>
      <c r="B41" s="21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21" t="str">
        <f t="shared" si="77"/>
        <v/>
      </c>
      <c r="D41" s="21" t="str">
        <f t="shared" si="77"/>
        <v/>
      </c>
      <c r="E41" s="21" t="str">
        <f t="shared" si="77"/>
        <v/>
      </c>
      <c r="F41" s="21" t="str">
        <f t="shared" si="77"/>
        <v/>
      </c>
      <c r="G41" s="21" t="str">
        <f t="shared" si="77"/>
        <v/>
      </c>
      <c r="H41" s="21" t="str">
        <f t="shared" si="77"/>
        <v/>
      </c>
      <c r="I41" s="21" t="str">
        <f t="shared" si="77"/>
        <v/>
      </c>
      <c r="J41" s="21" t="str">
        <f t="shared" si="77"/>
        <v/>
      </c>
      <c r="K41" s="21" t="str">
        <f t="shared" si="77"/>
        <v/>
      </c>
      <c r="L41" s="17" t="str">
        <f>IFERROR(__xludf.DUMMYFUNCTION("""COMPUTED_VALUE"""),"bathroom plumbing repair urgent")</f>
        <v>bathroom plumbing repair urgent</v>
      </c>
      <c r="M41" s="18"/>
      <c r="N41" s="21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21" t="str">
        <f t="shared" si="78"/>
        <v/>
      </c>
      <c r="P41" s="21" t="str">
        <f t="shared" si="78"/>
        <v/>
      </c>
      <c r="Q41" s="21" t="str">
        <f t="shared" si="78"/>
        <v/>
      </c>
      <c r="R41" s="21" t="str">
        <f t="shared" si="78"/>
        <v/>
      </c>
      <c r="S41" s="21" t="str">
        <f t="shared" si="78"/>
        <v/>
      </c>
      <c r="T41" s="21" t="str">
        <f t="shared" si="78"/>
        <v/>
      </c>
      <c r="U41" s="21" t="str">
        <f t="shared" si="78"/>
        <v/>
      </c>
      <c r="V41" s="21" t="str">
        <f t="shared" si="78"/>
        <v/>
      </c>
      <c r="W41" s="21" t="str">
        <f t="shared" si="78"/>
        <v/>
      </c>
      <c r="X41" s="19" t="str">
        <f>IFERROR(__xludf.DUMMYFUNCTION("""COMPUTED_VALUE"""),"commercial emergency plumber")</f>
        <v>commercial emergency plumber</v>
      </c>
      <c r="Y41" s="9"/>
      <c r="Z41" s="9"/>
    </row>
    <row r="42">
      <c r="A42" s="20"/>
      <c r="B42" s="21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21" t="str">
        <f t="shared" si="79"/>
        <v/>
      </c>
      <c r="D42" s="21" t="str">
        <f t="shared" si="79"/>
        <v/>
      </c>
      <c r="E42" s="21" t="str">
        <f t="shared" si="79"/>
        <v/>
      </c>
      <c r="F42" s="21" t="str">
        <f t="shared" si="79"/>
        <v/>
      </c>
      <c r="G42" s="21" t="str">
        <f t="shared" si="79"/>
        <v/>
      </c>
      <c r="H42" s="21" t="str">
        <f t="shared" si="79"/>
        <v/>
      </c>
      <c r="I42" s="21" t="str">
        <f t="shared" si="79"/>
        <v/>
      </c>
      <c r="J42" s="21" t="str">
        <f t="shared" si="79"/>
        <v/>
      </c>
      <c r="K42" s="21" t="str">
        <f t="shared" si="79"/>
        <v/>
      </c>
      <c r="L42" s="17" t="str">
        <f>IFERROR(__xludf.DUMMYFUNCTION("""COMPUTED_VALUE"""),"bathroom plumbing repair weekend")</f>
        <v>bathroom plumbing repair weekend</v>
      </c>
      <c r="M42" s="18"/>
      <c r="N42" s="21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21" t="str">
        <f t="shared" si="80"/>
        <v/>
      </c>
      <c r="P42" s="21" t="str">
        <f t="shared" si="80"/>
        <v/>
      </c>
      <c r="Q42" s="21" t="str">
        <f t="shared" si="80"/>
        <v/>
      </c>
      <c r="R42" s="21" t="str">
        <f t="shared" si="80"/>
        <v/>
      </c>
      <c r="S42" s="21" t="str">
        <f t="shared" si="80"/>
        <v/>
      </c>
      <c r="T42" s="21" t="str">
        <f t="shared" si="80"/>
        <v/>
      </c>
      <c r="U42" s="21" t="str">
        <f t="shared" si="80"/>
        <v/>
      </c>
      <c r="V42" s="21" t="str">
        <f t="shared" si="80"/>
        <v/>
      </c>
      <c r="W42" s="21" t="str">
        <f t="shared" si="80"/>
        <v/>
      </c>
      <c r="X42" s="19" t="str">
        <f>IFERROR(__xludf.DUMMYFUNCTION("""COMPUTED_VALUE"""),"commercial kitchen plumbing repair")</f>
        <v>commercial kitchen plumbing repair</v>
      </c>
      <c r="Y42" s="9"/>
      <c r="Z42" s="9"/>
    </row>
    <row r="43">
      <c r="A43" s="20"/>
      <c r="B43" s="21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21" t="str">
        <f t="shared" si="81"/>
        <v/>
      </c>
      <c r="D43" s="21" t="str">
        <f t="shared" si="81"/>
        <v/>
      </c>
      <c r="E43" s="21" t="str">
        <f t="shared" si="81"/>
        <v/>
      </c>
      <c r="F43" s="21" t="str">
        <f t="shared" si="81"/>
        <v/>
      </c>
      <c r="G43" s="21" t="str">
        <f t="shared" si="81"/>
        <v/>
      </c>
      <c r="H43" s="21" t="str">
        <f t="shared" si="81"/>
        <v/>
      </c>
      <c r="I43" s="21" t="str">
        <f t="shared" si="81"/>
        <v/>
      </c>
      <c r="J43" s="21" t="str">
        <f t="shared" si="81"/>
        <v/>
      </c>
      <c r="K43" s="21" t="str">
        <f t="shared" si="81"/>
        <v/>
      </c>
      <c r="L43" s="17" t="str">
        <f>IFERROR(__xludf.DUMMYFUNCTION("""COMPUTED_VALUE"""),"blocked toilet plumber")</f>
        <v>blocked toilet plumber</v>
      </c>
      <c r="M43" s="18"/>
      <c r="N43" s="21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21" t="str">
        <f t="shared" si="82"/>
        <v/>
      </c>
      <c r="P43" s="21" t="str">
        <f t="shared" si="82"/>
        <v/>
      </c>
      <c r="Q43" s="21" t="str">
        <f t="shared" si="82"/>
        <v/>
      </c>
      <c r="R43" s="21" t="str">
        <f t="shared" si="82"/>
        <v/>
      </c>
      <c r="S43" s="21" t="str">
        <f t="shared" si="82"/>
        <v/>
      </c>
      <c r="T43" s="21" t="str">
        <f t="shared" si="82"/>
        <v/>
      </c>
      <c r="U43" s="21" t="str">
        <f t="shared" si="82"/>
        <v/>
      </c>
      <c r="V43" s="21" t="str">
        <f t="shared" si="82"/>
        <v/>
      </c>
      <c r="W43" s="21" t="str">
        <f t="shared" si="82"/>
        <v/>
      </c>
      <c r="X43" s="19" t="str">
        <f>IFERROR(__xludf.DUMMYFUNCTION("""COMPUTED_VALUE"""),"commercial leaking pipe repair")</f>
        <v>commercial leaking pipe repair</v>
      </c>
      <c r="Y43" s="9"/>
      <c r="Z43" s="9"/>
    </row>
    <row r="44">
      <c r="A44" s="20"/>
      <c r="B44" s="21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21" t="str">
        <f t="shared" si="83"/>
        <v/>
      </c>
      <c r="D44" s="21" t="str">
        <f t="shared" si="83"/>
        <v/>
      </c>
      <c r="E44" s="21" t="str">
        <f t="shared" si="83"/>
        <v/>
      </c>
      <c r="F44" s="21" t="str">
        <f t="shared" si="83"/>
        <v/>
      </c>
      <c r="G44" s="21" t="str">
        <f t="shared" si="83"/>
        <v/>
      </c>
      <c r="H44" s="21" t="str">
        <f t="shared" si="83"/>
        <v/>
      </c>
      <c r="I44" s="21" t="str">
        <f t="shared" si="83"/>
        <v/>
      </c>
      <c r="J44" s="21" t="str">
        <f t="shared" si="83"/>
        <v/>
      </c>
      <c r="K44" s="21" t="str">
        <f t="shared" si="83"/>
        <v/>
      </c>
      <c r="L44" s="17" t="str">
        <f>IFERROR(__xludf.DUMMYFUNCTION("""COMPUTED_VALUE"""),"blocked toilet plumber after hours")</f>
        <v>blocked toilet plumber after hours</v>
      </c>
      <c r="M44" s="18"/>
      <c r="N44" s="21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21" t="str">
        <f t="shared" si="84"/>
        <v/>
      </c>
      <c r="P44" s="21" t="str">
        <f t="shared" si="84"/>
        <v/>
      </c>
      <c r="Q44" s="21" t="str">
        <f t="shared" si="84"/>
        <v/>
      </c>
      <c r="R44" s="21" t="str">
        <f t="shared" si="84"/>
        <v/>
      </c>
      <c r="S44" s="21" t="str">
        <f t="shared" si="84"/>
        <v/>
      </c>
      <c r="T44" s="21" t="str">
        <f t="shared" si="84"/>
        <v/>
      </c>
      <c r="U44" s="21" t="str">
        <f t="shared" si="84"/>
        <v/>
      </c>
      <c r="V44" s="21" t="str">
        <f t="shared" si="84"/>
        <v/>
      </c>
      <c r="W44" s="21" t="str">
        <f t="shared" si="84"/>
        <v/>
      </c>
      <c r="X44" s="19" t="str">
        <f>IFERROR(__xludf.DUMMYFUNCTION("""COMPUTED_VALUE"""),"commercial leaking tap repair")</f>
        <v>commercial leaking tap repair</v>
      </c>
      <c r="Y44" s="9"/>
      <c r="Z44" s="9"/>
    </row>
    <row r="45">
      <c r="A45" s="20"/>
      <c r="B45" s="21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21" t="str">
        <f t="shared" si="85"/>
        <v/>
      </c>
      <c r="D45" s="21" t="str">
        <f t="shared" si="85"/>
        <v/>
      </c>
      <c r="E45" s="21" t="str">
        <f t="shared" si="85"/>
        <v/>
      </c>
      <c r="F45" s="21" t="str">
        <f t="shared" si="85"/>
        <v/>
      </c>
      <c r="G45" s="21" t="str">
        <f t="shared" si="85"/>
        <v/>
      </c>
      <c r="H45" s="21" t="str">
        <f t="shared" si="85"/>
        <v/>
      </c>
      <c r="I45" s="21" t="str">
        <f t="shared" si="85"/>
        <v/>
      </c>
      <c r="J45" s="21" t="str">
        <f t="shared" si="85"/>
        <v/>
      </c>
      <c r="K45" s="21" t="str">
        <f t="shared" si="85"/>
        <v/>
      </c>
      <c r="L45" s="17" t="str">
        <f>IFERROR(__xludf.DUMMYFUNCTION("""COMPUTED_VALUE"""),"blocked toilet plumber call out")</f>
        <v>blocked toilet plumber call out</v>
      </c>
      <c r="M45" s="18"/>
      <c r="N45" s="21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21" t="str">
        <f t="shared" si="86"/>
        <v/>
      </c>
      <c r="P45" s="21" t="str">
        <f t="shared" si="86"/>
        <v/>
      </c>
      <c r="Q45" s="21" t="str">
        <f t="shared" si="86"/>
        <v/>
      </c>
      <c r="R45" s="21" t="str">
        <f t="shared" si="86"/>
        <v/>
      </c>
      <c r="S45" s="21" t="str">
        <f t="shared" si="86"/>
        <v/>
      </c>
      <c r="T45" s="21" t="str">
        <f t="shared" si="86"/>
        <v/>
      </c>
      <c r="U45" s="21" t="str">
        <f t="shared" si="86"/>
        <v/>
      </c>
      <c r="V45" s="21" t="str">
        <f t="shared" si="86"/>
        <v/>
      </c>
      <c r="W45" s="21" t="str">
        <f t="shared" si="86"/>
        <v/>
      </c>
      <c r="X45" s="19" t="str">
        <f>IFERROR(__xludf.DUMMYFUNCTION("""COMPUTED_VALUE"""),"commercial toilet repair")</f>
        <v>commercial toilet repair</v>
      </c>
      <c r="Y45" s="9"/>
      <c r="Z45" s="9"/>
    </row>
    <row r="46">
      <c r="A46" s="20"/>
      <c r="B46" s="21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21" t="str">
        <f t="shared" si="87"/>
        <v/>
      </c>
      <c r="D46" s="21" t="str">
        <f t="shared" si="87"/>
        <v/>
      </c>
      <c r="E46" s="21" t="str">
        <f t="shared" si="87"/>
        <v/>
      </c>
      <c r="F46" s="21" t="str">
        <f t="shared" si="87"/>
        <v/>
      </c>
      <c r="G46" s="21" t="str">
        <f t="shared" si="87"/>
        <v/>
      </c>
      <c r="H46" s="21" t="str">
        <f t="shared" si="87"/>
        <v/>
      </c>
      <c r="I46" s="21" t="str">
        <f t="shared" si="87"/>
        <v/>
      </c>
      <c r="J46" s="21" t="str">
        <f t="shared" si="87"/>
        <v/>
      </c>
      <c r="K46" s="21" t="str">
        <f t="shared" si="87"/>
        <v/>
      </c>
      <c r="L46" s="17" t="str">
        <f>IFERROR(__xludf.DUMMYFUNCTION("""COMPUTED_VALUE"""),"blocked toilet plumber cape town")</f>
        <v>blocked toilet plumber cape town</v>
      </c>
      <c r="M46" s="18"/>
      <c r="N46" s="21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21" t="str">
        <f t="shared" si="88"/>
        <v/>
      </c>
      <c r="P46" s="21" t="str">
        <f t="shared" si="88"/>
        <v/>
      </c>
      <c r="Q46" s="21" t="str">
        <f t="shared" si="88"/>
        <v/>
      </c>
      <c r="R46" s="21" t="str">
        <f t="shared" si="88"/>
        <v/>
      </c>
      <c r="S46" s="21" t="str">
        <f t="shared" si="88"/>
        <v/>
      </c>
      <c r="T46" s="21" t="str">
        <f t="shared" si="88"/>
        <v/>
      </c>
      <c r="U46" s="21" t="str">
        <f t="shared" si="88"/>
        <v/>
      </c>
      <c r="V46" s="21" t="str">
        <f t="shared" si="88"/>
        <v/>
      </c>
      <c r="W46" s="21" t="str">
        <f t="shared" si="88"/>
        <v/>
      </c>
      <c r="X46" s="19" t="str">
        <f>IFERROR(__xludf.DUMMYFUNCTION("""COMPUTED_VALUE"""),"commercial water leak repair")</f>
        <v>commercial water leak repair</v>
      </c>
      <c r="Y46" s="9"/>
      <c r="Z46" s="9"/>
    </row>
    <row r="47">
      <c r="A47" s="20"/>
      <c r="B47" s="21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21" t="str">
        <f t="shared" si="89"/>
        <v/>
      </c>
      <c r="D47" s="21" t="str">
        <f t="shared" si="89"/>
        <v/>
      </c>
      <c r="E47" s="21" t="str">
        <f t="shared" si="89"/>
        <v/>
      </c>
      <c r="F47" s="21" t="str">
        <f t="shared" si="89"/>
        <v/>
      </c>
      <c r="G47" s="21" t="str">
        <f t="shared" si="89"/>
        <v/>
      </c>
      <c r="H47" s="21" t="str">
        <f t="shared" si="89"/>
        <v/>
      </c>
      <c r="I47" s="21" t="str">
        <f t="shared" si="89"/>
        <v/>
      </c>
      <c r="J47" s="21" t="str">
        <f t="shared" si="89"/>
        <v/>
      </c>
      <c r="K47" s="21" t="str">
        <f t="shared" si="89"/>
        <v/>
      </c>
      <c r="L47" s="17" t="str">
        <f>IFERROR(__xludf.DUMMYFUNCTION("""COMPUTED_VALUE"""),"blocked toilet plumber commercial")</f>
        <v>blocked toilet plumber commercial</v>
      </c>
      <c r="M47" s="18"/>
      <c r="N47" s="21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21" t="str">
        <f t="shared" si="90"/>
        <v/>
      </c>
      <c r="P47" s="21" t="str">
        <f t="shared" si="90"/>
        <v/>
      </c>
      <c r="Q47" s="21" t="str">
        <f t="shared" si="90"/>
        <v/>
      </c>
      <c r="R47" s="21" t="str">
        <f t="shared" si="90"/>
        <v/>
      </c>
      <c r="S47" s="21" t="str">
        <f t="shared" si="90"/>
        <v/>
      </c>
      <c r="T47" s="21" t="str">
        <f t="shared" si="90"/>
        <v/>
      </c>
      <c r="U47" s="21" t="str">
        <f t="shared" si="90"/>
        <v/>
      </c>
      <c r="V47" s="21" t="str">
        <f t="shared" si="90"/>
        <v/>
      </c>
      <c r="W47" s="21" t="str">
        <f t="shared" si="90"/>
        <v/>
      </c>
      <c r="X47" s="19" t="str">
        <f>IFERROR(__xludf.DUMMYFUNCTION("""COMPUTED_VALUE"""),"company 24 hour plumber")</f>
        <v>company 24 hour plumber</v>
      </c>
      <c r="Y47" s="9"/>
      <c r="Z47" s="9"/>
    </row>
    <row r="48">
      <c r="A48" s="20"/>
      <c r="B48" s="21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21" t="str">
        <f t="shared" si="91"/>
        <v/>
      </c>
      <c r="D48" s="21" t="str">
        <f t="shared" si="91"/>
        <v/>
      </c>
      <c r="E48" s="21" t="str">
        <f t="shared" si="91"/>
        <v/>
      </c>
      <c r="F48" s="21" t="str">
        <f t="shared" si="91"/>
        <v/>
      </c>
      <c r="G48" s="21" t="str">
        <f t="shared" si="91"/>
        <v/>
      </c>
      <c r="H48" s="21" t="str">
        <f t="shared" si="91"/>
        <v/>
      </c>
      <c r="I48" s="21" t="str">
        <f t="shared" si="91"/>
        <v/>
      </c>
      <c r="J48" s="21" t="str">
        <f t="shared" si="91"/>
        <v/>
      </c>
      <c r="K48" s="21" t="str">
        <f t="shared" si="91"/>
        <v/>
      </c>
      <c r="L48" s="17" t="str">
        <f>IFERROR(__xludf.DUMMYFUNCTION("""COMPUTED_VALUE"""),"blocked toilet plumber company")</f>
        <v>blocked toilet plumber company</v>
      </c>
      <c r="M48" s="18"/>
      <c r="N48" s="21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21" t="str">
        <f t="shared" si="92"/>
        <v/>
      </c>
      <c r="P48" s="21" t="str">
        <f t="shared" si="92"/>
        <v/>
      </c>
      <c r="Q48" s="21" t="str">
        <f t="shared" si="92"/>
        <v/>
      </c>
      <c r="R48" s="21" t="str">
        <f t="shared" si="92"/>
        <v/>
      </c>
      <c r="S48" s="21" t="str">
        <f t="shared" si="92"/>
        <v/>
      </c>
      <c r="T48" s="21" t="str">
        <f t="shared" si="92"/>
        <v/>
      </c>
      <c r="U48" s="21" t="str">
        <f t="shared" si="92"/>
        <v/>
      </c>
      <c r="V48" s="21" t="str">
        <f t="shared" si="92"/>
        <v/>
      </c>
      <c r="W48" s="21" t="str">
        <f t="shared" si="92"/>
        <v/>
      </c>
      <c r="X48" s="19" t="str">
        <f>IFERROR(__xludf.DUMMYFUNCTION("""COMPUTED_VALUE"""),"company bathroom plumbing repair")</f>
        <v>company bathroom plumbing repair</v>
      </c>
      <c r="Y48" s="9"/>
      <c r="Z48" s="9"/>
    </row>
    <row r="49">
      <c r="A49" s="20"/>
      <c r="B49" s="21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21" t="str">
        <f t="shared" si="93"/>
        <v/>
      </c>
      <c r="D49" s="21" t="str">
        <f t="shared" si="93"/>
        <v/>
      </c>
      <c r="E49" s="21" t="str">
        <f t="shared" si="93"/>
        <v/>
      </c>
      <c r="F49" s="21" t="str">
        <f t="shared" si="93"/>
        <v/>
      </c>
      <c r="G49" s="21" t="str">
        <f t="shared" si="93"/>
        <v/>
      </c>
      <c r="H49" s="21" t="str">
        <f t="shared" si="93"/>
        <v/>
      </c>
      <c r="I49" s="21" t="str">
        <f t="shared" si="93"/>
        <v/>
      </c>
      <c r="J49" s="21" t="str">
        <f t="shared" si="93"/>
        <v/>
      </c>
      <c r="K49" s="21" t="str">
        <f t="shared" si="93"/>
        <v/>
      </c>
      <c r="L49" s="17" t="str">
        <f>IFERROR(__xludf.DUMMYFUNCTION("""COMPUTED_VALUE"""),"blocked toilet plumber cost")</f>
        <v>blocked toilet plumber cost</v>
      </c>
      <c r="M49" s="18"/>
      <c r="N49" s="21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21" t="str">
        <f t="shared" si="94"/>
        <v/>
      </c>
      <c r="P49" s="21" t="str">
        <f t="shared" si="94"/>
        <v/>
      </c>
      <c r="Q49" s="21" t="str">
        <f t="shared" si="94"/>
        <v/>
      </c>
      <c r="R49" s="21" t="str">
        <f t="shared" si="94"/>
        <v/>
      </c>
      <c r="S49" s="21" t="str">
        <f t="shared" si="94"/>
        <v/>
      </c>
      <c r="T49" s="21" t="str">
        <f t="shared" si="94"/>
        <v/>
      </c>
      <c r="U49" s="21" t="str">
        <f t="shared" si="94"/>
        <v/>
      </c>
      <c r="V49" s="21" t="str">
        <f t="shared" si="94"/>
        <v/>
      </c>
      <c r="W49" s="21" t="str">
        <f t="shared" si="94"/>
        <v/>
      </c>
      <c r="X49" s="19" t="str">
        <f>IFERROR(__xludf.DUMMYFUNCTION("""COMPUTED_VALUE"""),"company blocked toilet plumber")</f>
        <v>company blocked toilet plumber</v>
      </c>
      <c r="Y49" s="9"/>
      <c r="Z49" s="9"/>
    </row>
    <row r="50">
      <c r="A50" s="20"/>
      <c r="B50" s="21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21" t="str">
        <f t="shared" si="95"/>
        <v/>
      </c>
      <c r="D50" s="21" t="str">
        <f t="shared" si="95"/>
        <v/>
      </c>
      <c r="E50" s="21" t="str">
        <f t="shared" si="95"/>
        <v/>
      </c>
      <c r="F50" s="21" t="str">
        <f t="shared" si="95"/>
        <v/>
      </c>
      <c r="G50" s="21" t="str">
        <f t="shared" si="95"/>
        <v/>
      </c>
      <c r="H50" s="21" t="str">
        <f t="shared" si="95"/>
        <v/>
      </c>
      <c r="I50" s="21" t="str">
        <f t="shared" si="95"/>
        <v/>
      </c>
      <c r="J50" s="21" t="str">
        <f t="shared" si="95"/>
        <v/>
      </c>
      <c r="K50" s="21" t="str">
        <f t="shared" si="95"/>
        <v/>
      </c>
      <c r="L50" s="17" t="str">
        <f>IFERROR(__xludf.DUMMYFUNCTION("""COMPUTED_VALUE"""),"blocked toilet plumber emergency")</f>
        <v>blocked toilet plumber emergency</v>
      </c>
      <c r="M50" s="18"/>
      <c r="N50" s="21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21" t="str">
        <f t="shared" si="96"/>
        <v/>
      </c>
      <c r="P50" s="21" t="str">
        <f t="shared" si="96"/>
        <v/>
      </c>
      <c r="Q50" s="21" t="str">
        <f t="shared" si="96"/>
        <v/>
      </c>
      <c r="R50" s="21" t="str">
        <f t="shared" si="96"/>
        <v/>
      </c>
      <c r="S50" s="21" t="str">
        <f t="shared" si="96"/>
        <v/>
      </c>
      <c r="T50" s="21" t="str">
        <f t="shared" si="96"/>
        <v/>
      </c>
      <c r="U50" s="21" t="str">
        <f t="shared" si="96"/>
        <v/>
      </c>
      <c r="V50" s="21" t="str">
        <f t="shared" si="96"/>
        <v/>
      </c>
      <c r="W50" s="21" t="str">
        <f t="shared" si="96"/>
        <v/>
      </c>
      <c r="X50" s="19" t="str">
        <f>IFERROR(__xludf.DUMMYFUNCTION("""COMPUTED_VALUE"""),"company burst pipe repair")</f>
        <v>company burst pipe repair</v>
      </c>
      <c r="Y50" s="9"/>
      <c r="Z50" s="9"/>
    </row>
    <row r="51">
      <c r="A51" s="20"/>
      <c r="B51" s="21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21" t="str">
        <f t="shared" si="97"/>
        <v/>
      </c>
      <c r="D51" s="21" t="str">
        <f t="shared" si="97"/>
        <v/>
      </c>
      <c r="E51" s="21" t="str">
        <f t="shared" si="97"/>
        <v/>
      </c>
      <c r="F51" s="21" t="str">
        <f t="shared" si="97"/>
        <v/>
      </c>
      <c r="G51" s="21" t="str">
        <f t="shared" si="97"/>
        <v/>
      </c>
      <c r="H51" s="21" t="str">
        <f t="shared" si="97"/>
        <v/>
      </c>
      <c r="I51" s="21" t="str">
        <f t="shared" si="97"/>
        <v/>
      </c>
      <c r="J51" s="21" t="str">
        <f t="shared" si="97"/>
        <v/>
      </c>
      <c r="K51" s="21" t="str">
        <f t="shared" si="97"/>
        <v/>
      </c>
      <c r="L51" s="17" t="str">
        <f>IFERROR(__xludf.DUMMYFUNCTION("""COMPUTED_VALUE"""),"blocked toilet plumber fast")</f>
        <v>blocked toilet plumber fast</v>
      </c>
      <c r="M51" s="18"/>
      <c r="N51" s="21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21" t="str">
        <f t="shared" si="98"/>
        <v/>
      </c>
      <c r="P51" s="21" t="str">
        <f t="shared" si="98"/>
        <v/>
      </c>
      <c r="Q51" s="21" t="str">
        <f t="shared" si="98"/>
        <v/>
      </c>
      <c r="R51" s="21" t="str">
        <f t="shared" si="98"/>
        <v/>
      </c>
      <c r="S51" s="21" t="str">
        <f t="shared" si="98"/>
        <v/>
      </c>
      <c r="T51" s="21" t="str">
        <f t="shared" si="98"/>
        <v/>
      </c>
      <c r="U51" s="21" t="str">
        <f t="shared" si="98"/>
        <v/>
      </c>
      <c r="V51" s="21" t="str">
        <f t="shared" si="98"/>
        <v/>
      </c>
      <c r="W51" s="21" t="str">
        <f t="shared" si="98"/>
        <v/>
      </c>
      <c r="X51" s="19" t="str">
        <f>IFERROR(__xludf.DUMMYFUNCTION("""COMPUTED_VALUE"""),"company emergency plumber")</f>
        <v>company emergency plumber</v>
      </c>
      <c r="Y51" s="9"/>
      <c r="Z51" s="9"/>
    </row>
    <row r="52">
      <c r="A52" s="20"/>
      <c r="B52" s="21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21" t="str">
        <f t="shared" si="99"/>
        <v/>
      </c>
      <c r="D52" s="21" t="str">
        <f t="shared" si="99"/>
        <v/>
      </c>
      <c r="E52" s="21" t="str">
        <f t="shared" si="99"/>
        <v/>
      </c>
      <c r="F52" s="21" t="str">
        <f t="shared" si="99"/>
        <v/>
      </c>
      <c r="G52" s="21" t="str">
        <f t="shared" si="99"/>
        <v/>
      </c>
      <c r="H52" s="21" t="str">
        <f t="shared" si="99"/>
        <v/>
      </c>
      <c r="I52" s="21" t="str">
        <f t="shared" si="99"/>
        <v/>
      </c>
      <c r="J52" s="21" t="str">
        <f t="shared" si="99"/>
        <v/>
      </c>
      <c r="K52" s="21" t="str">
        <f t="shared" si="99"/>
        <v/>
      </c>
      <c r="L52" s="17" t="str">
        <f>IFERROR(__xludf.DUMMYFUNCTION("""COMPUTED_VALUE"""),"blocked toilet plumber local")</f>
        <v>blocked toilet plumber local</v>
      </c>
      <c r="M52" s="18"/>
      <c r="N52" s="21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21" t="str">
        <f t="shared" si="100"/>
        <v/>
      </c>
      <c r="P52" s="21" t="str">
        <f t="shared" si="100"/>
        <v/>
      </c>
      <c r="Q52" s="21" t="str">
        <f t="shared" si="100"/>
        <v/>
      </c>
      <c r="R52" s="21" t="str">
        <f t="shared" si="100"/>
        <v/>
      </c>
      <c r="S52" s="21" t="str">
        <f t="shared" si="100"/>
        <v/>
      </c>
      <c r="T52" s="21" t="str">
        <f t="shared" si="100"/>
        <v/>
      </c>
      <c r="U52" s="21" t="str">
        <f t="shared" si="100"/>
        <v/>
      </c>
      <c r="V52" s="21" t="str">
        <f t="shared" si="100"/>
        <v/>
      </c>
      <c r="W52" s="21" t="str">
        <f t="shared" si="100"/>
        <v/>
      </c>
      <c r="X52" s="19" t="str">
        <f>IFERROR(__xludf.DUMMYFUNCTION("""COMPUTED_VALUE"""),"company kitchen plumbing repair")</f>
        <v>company kitchen plumbing repair</v>
      </c>
      <c r="Y52" s="9"/>
      <c r="Z52" s="9"/>
    </row>
    <row r="53">
      <c r="A53" s="20"/>
      <c r="B53" s="21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21" t="str">
        <f t="shared" si="101"/>
        <v/>
      </c>
      <c r="D53" s="21" t="str">
        <f t="shared" si="101"/>
        <v/>
      </c>
      <c r="E53" s="21" t="str">
        <f t="shared" si="101"/>
        <v/>
      </c>
      <c r="F53" s="21" t="str">
        <f t="shared" si="101"/>
        <v/>
      </c>
      <c r="G53" s="21" t="str">
        <f t="shared" si="101"/>
        <v/>
      </c>
      <c r="H53" s="21" t="str">
        <f t="shared" si="101"/>
        <v/>
      </c>
      <c r="I53" s="21" t="str">
        <f t="shared" si="101"/>
        <v/>
      </c>
      <c r="J53" s="21" t="str">
        <f t="shared" si="101"/>
        <v/>
      </c>
      <c r="K53" s="21" t="str">
        <f t="shared" si="101"/>
        <v/>
      </c>
      <c r="L53" s="17" t="str">
        <f>IFERROR(__xludf.DUMMYFUNCTION("""COMPUTED_VALUE"""),"blocked toilet plumber near me")</f>
        <v>blocked toilet plumber near me</v>
      </c>
      <c r="M53" s="18"/>
      <c r="N53" s="21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21" t="str">
        <f t="shared" si="102"/>
        <v/>
      </c>
      <c r="P53" s="21" t="str">
        <f t="shared" si="102"/>
        <v/>
      </c>
      <c r="Q53" s="21" t="str">
        <f t="shared" si="102"/>
        <v/>
      </c>
      <c r="R53" s="21" t="str">
        <f t="shared" si="102"/>
        <v/>
      </c>
      <c r="S53" s="21" t="str">
        <f t="shared" si="102"/>
        <v/>
      </c>
      <c r="T53" s="21" t="str">
        <f t="shared" si="102"/>
        <v/>
      </c>
      <c r="U53" s="21" t="str">
        <f t="shared" si="102"/>
        <v/>
      </c>
      <c r="V53" s="21" t="str">
        <f t="shared" si="102"/>
        <v/>
      </c>
      <c r="W53" s="21" t="str">
        <f t="shared" si="102"/>
        <v/>
      </c>
      <c r="X53" s="19" t="str">
        <f>IFERROR(__xludf.DUMMYFUNCTION("""COMPUTED_VALUE"""),"company leaking pipe repair")</f>
        <v>company leaking pipe repair</v>
      </c>
      <c r="Y53" s="9"/>
      <c r="Z53" s="9"/>
    </row>
    <row r="54">
      <c r="A54" s="20"/>
      <c r="B54" s="21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21" t="str">
        <f t="shared" si="103"/>
        <v/>
      </c>
      <c r="D54" s="21" t="str">
        <f t="shared" si="103"/>
        <v/>
      </c>
      <c r="E54" s="21" t="str">
        <f t="shared" si="103"/>
        <v/>
      </c>
      <c r="F54" s="21" t="str">
        <f t="shared" si="103"/>
        <v/>
      </c>
      <c r="G54" s="21" t="str">
        <f t="shared" si="103"/>
        <v/>
      </c>
      <c r="H54" s="21" t="str">
        <f t="shared" si="103"/>
        <v/>
      </c>
      <c r="I54" s="21" t="str">
        <f t="shared" si="103"/>
        <v/>
      </c>
      <c r="J54" s="21" t="str">
        <f t="shared" si="103"/>
        <v/>
      </c>
      <c r="K54" s="21" t="str">
        <f t="shared" si="103"/>
        <v/>
      </c>
      <c r="L54" s="17" t="str">
        <f>IFERROR(__xludf.DUMMYFUNCTION("""COMPUTED_VALUE"""),"blocked toilet plumber professional")</f>
        <v>blocked toilet plumber professional</v>
      </c>
      <c r="M54" s="18"/>
      <c r="N54" s="21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21" t="str">
        <f t="shared" si="104"/>
        <v/>
      </c>
      <c r="P54" s="21" t="str">
        <f t="shared" si="104"/>
        <v/>
      </c>
      <c r="Q54" s="21" t="str">
        <f t="shared" si="104"/>
        <v/>
      </c>
      <c r="R54" s="21" t="str">
        <f t="shared" si="104"/>
        <v/>
      </c>
      <c r="S54" s="21" t="str">
        <f t="shared" si="104"/>
        <v/>
      </c>
      <c r="T54" s="21" t="str">
        <f t="shared" si="104"/>
        <v/>
      </c>
      <c r="U54" s="21" t="str">
        <f t="shared" si="104"/>
        <v/>
      </c>
      <c r="V54" s="21" t="str">
        <f t="shared" si="104"/>
        <v/>
      </c>
      <c r="W54" s="21" t="str">
        <f t="shared" si="104"/>
        <v/>
      </c>
      <c r="X54" s="19" t="str">
        <f>IFERROR(__xludf.DUMMYFUNCTION("""COMPUTED_VALUE"""),"company leaking tap repair")</f>
        <v>company leaking tap repair</v>
      </c>
      <c r="Y54" s="9"/>
      <c r="Z54" s="9"/>
    </row>
    <row r="55">
      <c r="A55" s="20"/>
      <c r="B55" s="21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21" t="str">
        <f t="shared" si="105"/>
        <v/>
      </c>
      <c r="D55" s="21" t="str">
        <f t="shared" si="105"/>
        <v/>
      </c>
      <c r="E55" s="21" t="str">
        <f t="shared" si="105"/>
        <v/>
      </c>
      <c r="F55" s="21" t="str">
        <f t="shared" si="105"/>
        <v/>
      </c>
      <c r="G55" s="21" t="str">
        <f t="shared" si="105"/>
        <v/>
      </c>
      <c r="H55" s="21" t="str">
        <f t="shared" si="105"/>
        <v/>
      </c>
      <c r="I55" s="21" t="str">
        <f t="shared" si="105"/>
        <v/>
      </c>
      <c r="J55" s="21" t="str">
        <f t="shared" si="105"/>
        <v/>
      </c>
      <c r="K55" s="21" t="str">
        <f t="shared" si="105"/>
        <v/>
      </c>
      <c r="L55" s="17" t="str">
        <f>IFERROR(__xludf.DUMMYFUNCTION("""COMPUTED_VALUE"""),"blocked toilet plumber quote")</f>
        <v>blocked toilet plumber quote</v>
      </c>
      <c r="M55" s="18"/>
      <c r="N55" s="21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21" t="str">
        <f t="shared" si="106"/>
        <v/>
      </c>
      <c r="P55" s="21" t="str">
        <f t="shared" si="106"/>
        <v/>
      </c>
      <c r="Q55" s="21" t="str">
        <f t="shared" si="106"/>
        <v/>
      </c>
      <c r="R55" s="21" t="str">
        <f t="shared" si="106"/>
        <v/>
      </c>
      <c r="S55" s="21" t="str">
        <f t="shared" si="106"/>
        <v/>
      </c>
      <c r="T55" s="21" t="str">
        <f t="shared" si="106"/>
        <v/>
      </c>
      <c r="U55" s="21" t="str">
        <f t="shared" si="106"/>
        <v/>
      </c>
      <c r="V55" s="21" t="str">
        <f t="shared" si="106"/>
        <v/>
      </c>
      <c r="W55" s="21" t="str">
        <f t="shared" si="106"/>
        <v/>
      </c>
      <c r="X55" s="19" t="str">
        <f>IFERROR(__xludf.DUMMYFUNCTION("""COMPUTED_VALUE"""),"company toilet repair")</f>
        <v>company toilet repair</v>
      </c>
      <c r="Y55" s="9"/>
      <c r="Z55" s="9"/>
    </row>
    <row r="56">
      <c r="A56" s="20"/>
      <c r="B56" s="21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21" t="str">
        <f t="shared" si="107"/>
        <v/>
      </c>
      <c r="D56" s="21" t="str">
        <f t="shared" si="107"/>
        <v/>
      </c>
      <c r="E56" s="21" t="str">
        <f t="shared" si="107"/>
        <v/>
      </c>
      <c r="F56" s="21" t="str">
        <f t="shared" si="107"/>
        <v/>
      </c>
      <c r="G56" s="21" t="str">
        <f t="shared" si="107"/>
        <v/>
      </c>
      <c r="H56" s="21" t="str">
        <f t="shared" si="107"/>
        <v/>
      </c>
      <c r="I56" s="21" t="str">
        <f t="shared" si="107"/>
        <v/>
      </c>
      <c r="J56" s="21" t="str">
        <f t="shared" si="107"/>
        <v/>
      </c>
      <c r="K56" s="21" t="str">
        <f t="shared" si="107"/>
        <v/>
      </c>
      <c r="L56" s="17" t="str">
        <f>IFERROR(__xludf.DUMMYFUNCTION("""COMPUTED_VALUE"""),"blocked toilet plumber reliable")</f>
        <v>blocked toilet plumber reliable</v>
      </c>
      <c r="M56" s="18"/>
      <c r="N56" s="21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21" t="str">
        <f t="shared" si="108"/>
        <v/>
      </c>
      <c r="P56" s="21" t="str">
        <f t="shared" si="108"/>
        <v/>
      </c>
      <c r="Q56" s="21" t="str">
        <f t="shared" si="108"/>
        <v/>
      </c>
      <c r="R56" s="21" t="str">
        <f t="shared" si="108"/>
        <v/>
      </c>
      <c r="S56" s="21" t="str">
        <f t="shared" si="108"/>
        <v/>
      </c>
      <c r="T56" s="21" t="str">
        <f t="shared" si="108"/>
        <v/>
      </c>
      <c r="U56" s="21" t="str">
        <f t="shared" si="108"/>
        <v/>
      </c>
      <c r="V56" s="21" t="str">
        <f t="shared" si="108"/>
        <v/>
      </c>
      <c r="W56" s="21" t="str">
        <f t="shared" si="108"/>
        <v/>
      </c>
      <c r="X56" s="19" t="str">
        <f>IFERROR(__xludf.DUMMYFUNCTION("""COMPUTED_VALUE"""),"company water leak repair")</f>
        <v>company water leak repair</v>
      </c>
      <c r="Y56" s="9"/>
      <c r="Z56" s="9"/>
    </row>
    <row r="57">
      <c r="A57" s="20"/>
      <c r="B57" s="21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21" t="str">
        <f t="shared" si="109"/>
        <v/>
      </c>
      <c r="D57" s="21" t="str">
        <f t="shared" si="109"/>
        <v/>
      </c>
      <c r="E57" s="21" t="str">
        <f t="shared" si="109"/>
        <v/>
      </c>
      <c r="F57" s="21" t="str">
        <f t="shared" si="109"/>
        <v/>
      </c>
      <c r="G57" s="21" t="str">
        <f t="shared" si="109"/>
        <v/>
      </c>
      <c r="H57" s="21" t="str">
        <f t="shared" si="109"/>
        <v/>
      </c>
      <c r="I57" s="21" t="str">
        <f t="shared" si="109"/>
        <v/>
      </c>
      <c r="J57" s="21" t="str">
        <f t="shared" si="109"/>
        <v/>
      </c>
      <c r="K57" s="21" t="str">
        <f t="shared" si="109"/>
        <v/>
      </c>
      <c r="L57" s="17" t="str">
        <f>IFERROR(__xludf.DUMMYFUNCTION("""COMPUTED_VALUE"""),"blocked toilet plumber repair")</f>
        <v>blocked toilet plumber repair</v>
      </c>
      <c r="M57" s="18"/>
      <c r="N57" s="21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21" t="str">
        <f t="shared" si="110"/>
        <v/>
      </c>
      <c r="P57" s="21" t="str">
        <f t="shared" si="110"/>
        <v/>
      </c>
      <c r="Q57" s="21" t="str">
        <f t="shared" si="110"/>
        <v/>
      </c>
      <c r="R57" s="21" t="str">
        <f t="shared" si="110"/>
        <v/>
      </c>
      <c r="S57" s="21" t="str">
        <f t="shared" si="110"/>
        <v/>
      </c>
      <c r="T57" s="21" t="str">
        <f t="shared" si="110"/>
        <v/>
      </c>
      <c r="U57" s="21" t="str">
        <f t="shared" si="110"/>
        <v/>
      </c>
      <c r="V57" s="21" t="str">
        <f t="shared" si="110"/>
        <v/>
      </c>
      <c r="W57" s="21" t="str">
        <f t="shared" si="110"/>
        <v/>
      </c>
      <c r="X57" s="19" t="str">
        <f>IFERROR(__xludf.DUMMYFUNCTION("""COMPUTED_VALUE"""),"cost 24 hour plumber")</f>
        <v>cost 24 hour plumber</v>
      </c>
      <c r="Y57" s="9"/>
      <c r="Z57" s="9"/>
    </row>
    <row r="58">
      <c r="A58" s="20"/>
      <c r="B58" s="21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21" t="str">
        <f t="shared" si="111"/>
        <v/>
      </c>
      <c r="D58" s="21" t="str">
        <f t="shared" si="111"/>
        <v/>
      </c>
      <c r="E58" s="21" t="str">
        <f t="shared" si="111"/>
        <v/>
      </c>
      <c r="F58" s="21" t="str">
        <f t="shared" si="111"/>
        <v/>
      </c>
      <c r="G58" s="21" t="str">
        <f t="shared" si="111"/>
        <v/>
      </c>
      <c r="H58" s="21" t="str">
        <f t="shared" si="111"/>
        <v/>
      </c>
      <c r="I58" s="21" t="str">
        <f t="shared" si="111"/>
        <v/>
      </c>
      <c r="J58" s="21" t="str">
        <f t="shared" si="111"/>
        <v/>
      </c>
      <c r="K58" s="21" t="str">
        <f t="shared" si="111"/>
        <v/>
      </c>
      <c r="L58" s="17" t="str">
        <f>IFERROR(__xludf.DUMMYFUNCTION("""COMPUTED_VALUE"""),"blocked toilet plumber residential")</f>
        <v>blocked toilet plumber residential</v>
      </c>
      <c r="M58" s="18"/>
      <c r="N58" s="21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21" t="str">
        <f t="shared" si="112"/>
        <v/>
      </c>
      <c r="P58" s="21" t="str">
        <f t="shared" si="112"/>
        <v/>
      </c>
      <c r="Q58" s="21" t="str">
        <f t="shared" si="112"/>
        <v/>
      </c>
      <c r="R58" s="21" t="str">
        <f t="shared" si="112"/>
        <v/>
      </c>
      <c r="S58" s="21" t="str">
        <f t="shared" si="112"/>
        <v/>
      </c>
      <c r="T58" s="21" t="str">
        <f t="shared" si="112"/>
        <v/>
      </c>
      <c r="U58" s="21" t="str">
        <f t="shared" si="112"/>
        <v/>
      </c>
      <c r="V58" s="21" t="str">
        <f t="shared" si="112"/>
        <v/>
      </c>
      <c r="W58" s="21" t="str">
        <f t="shared" si="112"/>
        <v/>
      </c>
      <c r="X58" s="19" t="str">
        <f>IFERROR(__xludf.DUMMYFUNCTION("""COMPUTED_VALUE"""),"cost bathroom plumbing repair")</f>
        <v>cost bathroom plumbing repair</v>
      </c>
      <c r="Y58" s="9"/>
      <c r="Z58" s="9"/>
    </row>
    <row r="59">
      <c r="A59" s="20"/>
      <c r="B59" s="21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21" t="str">
        <f t="shared" si="113"/>
        <v/>
      </c>
      <c r="D59" s="21" t="str">
        <f t="shared" si="113"/>
        <v/>
      </c>
      <c r="E59" s="21" t="str">
        <f t="shared" si="113"/>
        <v/>
      </c>
      <c r="F59" s="21" t="str">
        <f t="shared" si="113"/>
        <v/>
      </c>
      <c r="G59" s="21" t="str">
        <f t="shared" si="113"/>
        <v/>
      </c>
      <c r="H59" s="21" t="str">
        <f t="shared" si="113"/>
        <v/>
      </c>
      <c r="I59" s="21" t="str">
        <f t="shared" si="113"/>
        <v/>
      </c>
      <c r="J59" s="21" t="str">
        <f t="shared" si="113"/>
        <v/>
      </c>
      <c r="K59" s="21" t="str">
        <f t="shared" si="113"/>
        <v/>
      </c>
      <c r="L59" s="17" t="str">
        <f>IFERROR(__xludf.DUMMYFUNCTION("""COMPUTED_VALUE"""),"blocked toilet plumber same day")</f>
        <v>blocked toilet plumber same day</v>
      </c>
      <c r="M59" s="18"/>
      <c r="N59" s="21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21" t="str">
        <f t="shared" si="114"/>
        <v/>
      </c>
      <c r="P59" s="21" t="str">
        <f t="shared" si="114"/>
        <v/>
      </c>
      <c r="Q59" s="21" t="str">
        <f t="shared" si="114"/>
        <v/>
      </c>
      <c r="R59" s="21" t="str">
        <f t="shared" si="114"/>
        <v/>
      </c>
      <c r="S59" s="21" t="str">
        <f t="shared" si="114"/>
        <v/>
      </c>
      <c r="T59" s="21" t="str">
        <f t="shared" si="114"/>
        <v/>
      </c>
      <c r="U59" s="21" t="str">
        <f t="shared" si="114"/>
        <v/>
      </c>
      <c r="V59" s="21" t="str">
        <f t="shared" si="114"/>
        <v/>
      </c>
      <c r="W59" s="21" t="str">
        <f t="shared" si="114"/>
        <v/>
      </c>
      <c r="X59" s="19" t="str">
        <f>IFERROR(__xludf.DUMMYFUNCTION("""COMPUTED_VALUE"""),"cost blocked toilet plumber")</f>
        <v>cost blocked toilet plumber</v>
      </c>
      <c r="Y59" s="9"/>
      <c r="Z59" s="9"/>
    </row>
    <row r="60">
      <c r="A60" s="20"/>
      <c r="B60" s="21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21" t="str">
        <f t="shared" si="115"/>
        <v/>
      </c>
      <c r="D60" s="21" t="str">
        <f t="shared" si="115"/>
        <v/>
      </c>
      <c r="E60" s="21" t="str">
        <f t="shared" si="115"/>
        <v/>
      </c>
      <c r="F60" s="21" t="str">
        <f t="shared" si="115"/>
        <v/>
      </c>
      <c r="G60" s="21" t="str">
        <f t="shared" si="115"/>
        <v/>
      </c>
      <c r="H60" s="21" t="str">
        <f t="shared" si="115"/>
        <v/>
      </c>
      <c r="I60" s="21" t="str">
        <f t="shared" si="115"/>
        <v/>
      </c>
      <c r="J60" s="21" t="str">
        <f t="shared" si="115"/>
        <v/>
      </c>
      <c r="K60" s="21" t="str">
        <f t="shared" si="115"/>
        <v/>
      </c>
      <c r="L60" s="17" t="str">
        <f>IFERROR(__xludf.DUMMYFUNCTION("""COMPUTED_VALUE"""),"blocked toilet plumber service")</f>
        <v>blocked toilet plumber service</v>
      </c>
      <c r="M60" s="18"/>
      <c r="N60" s="21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21" t="str">
        <f t="shared" si="116"/>
        <v/>
      </c>
      <c r="P60" s="21" t="str">
        <f t="shared" si="116"/>
        <v/>
      </c>
      <c r="Q60" s="21" t="str">
        <f t="shared" si="116"/>
        <v/>
      </c>
      <c r="R60" s="21" t="str">
        <f t="shared" si="116"/>
        <v/>
      </c>
      <c r="S60" s="21" t="str">
        <f t="shared" si="116"/>
        <v/>
      </c>
      <c r="T60" s="21" t="str">
        <f t="shared" si="116"/>
        <v/>
      </c>
      <c r="U60" s="21" t="str">
        <f t="shared" si="116"/>
        <v/>
      </c>
      <c r="V60" s="21" t="str">
        <f t="shared" si="116"/>
        <v/>
      </c>
      <c r="W60" s="21" t="str">
        <f t="shared" si="116"/>
        <v/>
      </c>
      <c r="X60" s="19" t="str">
        <f>IFERROR(__xludf.DUMMYFUNCTION("""COMPUTED_VALUE"""),"cost burst pipe repair")</f>
        <v>cost burst pipe repair</v>
      </c>
      <c r="Y60" s="9"/>
      <c r="Z60" s="9"/>
    </row>
    <row r="61">
      <c r="A61" s="20"/>
      <c r="B61" s="21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21" t="str">
        <f t="shared" si="117"/>
        <v/>
      </c>
      <c r="D61" s="21" t="str">
        <f t="shared" si="117"/>
        <v/>
      </c>
      <c r="E61" s="21" t="str">
        <f t="shared" si="117"/>
        <v/>
      </c>
      <c r="F61" s="21" t="str">
        <f t="shared" si="117"/>
        <v/>
      </c>
      <c r="G61" s="21" t="str">
        <f t="shared" si="117"/>
        <v/>
      </c>
      <c r="H61" s="21" t="str">
        <f t="shared" si="117"/>
        <v/>
      </c>
      <c r="I61" s="21" t="str">
        <f t="shared" si="117"/>
        <v/>
      </c>
      <c r="J61" s="21" t="str">
        <f t="shared" si="117"/>
        <v/>
      </c>
      <c r="K61" s="21" t="str">
        <f t="shared" si="117"/>
        <v/>
      </c>
      <c r="L61" s="17" t="str">
        <f>IFERROR(__xludf.DUMMYFUNCTION("""COMPUTED_VALUE"""),"blocked toilet plumber urgent")</f>
        <v>blocked toilet plumber urgent</v>
      </c>
      <c r="M61" s="18"/>
      <c r="N61" s="21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21" t="str">
        <f t="shared" si="118"/>
        <v/>
      </c>
      <c r="P61" s="21" t="str">
        <f t="shared" si="118"/>
        <v/>
      </c>
      <c r="Q61" s="21" t="str">
        <f t="shared" si="118"/>
        <v/>
      </c>
      <c r="R61" s="21" t="str">
        <f t="shared" si="118"/>
        <v/>
      </c>
      <c r="S61" s="21" t="str">
        <f t="shared" si="118"/>
        <v/>
      </c>
      <c r="T61" s="21" t="str">
        <f t="shared" si="118"/>
        <v/>
      </c>
      <c r="U61" s="21" t="str">
        <f t="shared" si="118"/>
        <v/>
      </c>
      <c r="V61" s="21" t="str">
        <f t="shared" si="118"/>
        <v/>
      </c>
      <c r="W61" s="21" t="str">
        <f t="shared" si="118"/>
        <v/>
      </c>
      <c r="X61" s="19" t="str">
        <f>IFERROR(__xludf.DUMMYFUNCTION("""COMPUTED_VALUE"""),"cost emergency plumber")</f>
        <v>cost emergency plumber</v>
      </c>
      <c r="Y61" s="9"/>
      <c r="Z61" s="9"/>
    </row>
    <row r="62">
      <c r="A62" s="20"/>
      <c r="B62" s="21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21" t="str">
        <f t="shared" si="119"/>
        <v/>
      </c>
      <c r="D62" s="21" t="str">
        <f t="shared" si="119"/>
        <v/>
      </c>
      <c r="E62" s="21" t="str">
        <f t="shared" si="119"/>
        <v/>
      </c>
      <c r="F62" s="21" t="str">
        <f t="shared" si="119"/>
        <v/>
      </c>
      <c r="G62" s="21" t="str">
        <f t="shared" si="119"/>
        <v/>
      </c>
      <c r="H62" s="21" t="str">
        <f t="shared" si="119"/>
        <v/>
      </c>
      <c r="I62" s="21" t="str">
        <f t="shared" si="119"/>
        <v/>
      </c>
      <c r="J62" s="21" t="str">
        <f t="shared" si="119"/>
        <v/>
      </c>
      <c r="K62" s="21" t="str">
        <f t="shared" si="119"/>
        <v/>
      </c>
      <c r="L62" s="17" t="str">
        <f>IFERROR(__xludf.DUMMYFUNCTION("""COMPUTED_VALUE"""),"blocked toilet plumber weekend")</f>
        <v>blocked toilet plumber weekend</v>
      </c>
      <c r="M62" s="18"/>
      <c r="N62" s="21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21" t="str">
        <f t="shared" si="120"/>
        <v/>
      </c>
      <c r="P62" s="21" t="str">
        <f t="shared" si="120"/>
        <v/>
      </c>
      <c r="Q62" s="21" t="str">
        <f t="shared" si="120"/>
        <v/>
      </c>
      <c r="R62" s="21" t="str">
        <f t="shared" si="120"/>
        <v/>
      </c>
      <c r="S62" s="21" t="str">
        <f t="shared" si="120"/>
        <v/>
      </c>
      <c r="T62" s="21" t="str">
        <f t="shared" si="120"/>
        <v/>
      </c>
      <c r="U62" s="21" t="str">
        <f t="shared" si="120"/>
        <v/>
      </c>
      <c r="V62" s="21" t="str">
        <f t="shared" si="120"/>
        <v/>
      </c>
      <c r="W62" s="21" t="str">
        <f t="shared" si="120"/>
        <v/>
      </c>
      <c r="X62" s="19" t="str">
        <f>IFERROR(__xludf.DUMMYFUNCTION("""COMPUTED_VALUE"""),"cost kitchen plumbing repair")</f>
        <v>cost kitchen plumbing repair</v>
      </c>
      <c r="Y62" s="9"/>
      <c r="Z62" s="9"/>
    </row>
    <row r="63">
      <c r="A63" s="20"/>
      <c r="B63" s="21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21" t="str">
        <f t="shared" si="121"/>
        <v/>
      </c>
      <c r="D63" s="21" t="str">
        <f t="shared" si="121"/>
        <v/>
      </c>
      <c r="E63" s="21" t="str">
        <f t="shared" si="121"/>
        <v/>
      </c>
      <c r="F63" s="21" t="str">
        <f t="shared" si="121"/>
        <v/>
      </c>
      <c r="G63" s="21" t="str">
        <f t="shared" si="121"/>
        <v/>
      </c>
      <c r="H63" s="21" t="str">
        <f t="shared" si="121"/>
        <v/>
      </c>
      <c r="I63" s="21" t="str">
        <f t="shared" si="121"/>
        <v/>
      </c>
      <c r="J63" s="21" t="str">
        <f t="shared" si="121"/>
        <v/>
      </c>
      <c r="K63" s="21" t="str">
        <f t="shared" si="121"/>
        <v/>
      </c>
      <c r="L63" s="17" t="str">
        <f>IFERROR(__xludf.DUMMYFUNCTION("""COMPUTED_VALUE"""),"burst pipe repair")</f>
        <v>burst pipe repair</v>
      </c>
      <c r="M63" s="18"/>
      <c r="N63" s="21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21" t="str">
        <f t="shared" si="122"/>
        <v/>
      </c>
      <c r="P63" s="21" t="str">
        <f t="shared" si="122"/>
        <v/>
      </c>
      <c r="Q63" s="21" t="str">
        <f t="shared" si="122"/>
        <v/>
      </c>
      <c r="R63" s="21" t="str">
        <f t="shared" si="122"/>
        <v/>
      </c>
      <c r="S63" s="21" t="str">
        <f t="shared" si="122"/>
        <v/>
      </c>
      <c r="T63" s="21" t="str">
        <f t="shared" si="122"/>
        <v/>
      </c>
      <c r="U63" s="21" t="str">
        <f t="shared" si="122"/>
        <v/>
      </c>
      <c r="V63" s="21" t="str">
        <f t="shared" si="122"/>
        <v/>
      </c>
      <c r="W63" s="21" t="str">
        <f t="shared" si="122"/>
        <v/>
      </c>
      <c r="X63" s="19" t="str">
        <f>IFERROR(__xludf.DUMMYFUNCTION("""COMPUTED_VALUE"""),"cost leaking pipe repair")</f>
        <v>cost leaking pipe repair</v>
      </c>
      <c r="Y63" s="9"/>
      <c r="Z63" s="9"/>
    </row>
    <row r="64">
      <c r="A64" s="20"/>
      <c r="B64" s="21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21" t="str">
        <f t="shared" si="123"/>
        <v/>
      </c>
      <c r="D64" s="21" t="str">
        <f t="shared" si="123"/>
        <v/>
      </c>
      <c r="E64" s="21" t="str">
        <f t="shared" si="123"/>
        <v/>
      </c>
      <c r="F64" s="21" t="str">
        <f t="shared" si="123"/>
        <v/>
      </c>
      <c r="G64" s="21" t="str">
        <f t="shared" si="123"/>
        <v/>
      </c>
      <c r="H64" s="21" t="str">
        <f t="shared" si="123"/>
        <v/>
      </c>
      <c r="I64" s="21" t="str">
        <f t="shared" si="123"/>
        <v/>
      </c>
      <c r="J64" s="21" t="str">
        <f t="shared" si="123"/>
        <v/>
      </c>
      <c r="K64" s="21" t="str">
        <f t="shared" si="123"/>
        <v/>
      </c>
      <c r="L64" s="17" t="str">
        <f>IFERROR(__xludf.DUMMYFUNCTION("""COMPUTED_VALUE"""),"burst pipe repair after hours")</f>
        <v>burst pipe repair after hours</v>
      </c>
      <c r="M64" s="18"/>
      <c r="N64" s="21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21" t="str">
        <f t="shared" si="124"/>
        <v/>
      </c>
      <c r="P64" s="21" t="str">
        <f t="shared" si="124"/>
        <v/>
      </c>
      <c r="Q64" s="21" t="str">
        <f t="shared" si="124"/>
        <v/>
      </c>
      <c r="R64" s="21" t="str">
        <f t="shared" si="124"/>
        <v/>
      </c>
      <c r="S64" s="21" t="str">
        <f t="shared" si="124"/>
        <v/>
      </c>
      <c r="T64" s="21" t="str">
        <f t="shared" si="124"/>
        <v/>
      </c>
      <c r="U64" s="21" t="str">
        <f t="shared" si="124"/>
        <v/>
      </c>
      <c r="V64" s="21" t="str">
        <f t="shared" si="124"/>
        <v/>
      </c>
      <c r="W64" s="21" t="str">
        <f t="shared" si="124"/>
        <v/>
      </c>
      <c r="X64" s="19" t="str">
        <f>IFERROR(__xludf.DUMMYFUNCTION("""COMPUTED_VALUE"""),"cost leaking tap repair")</f>
        <v>cost leaking tap repair</v>
      </c>
      <c r="Y64" s="9"/>
      <c r="Z64" s="9"/>
    </row>
    <row r="65">
      <c r="A65" s="20"/>
      <c r="B65" s="21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21" t="str">
        <f t="shared" si="125"/>
        <v/>
      </c>
      <c r="D65" s="21" t="str">
        <f t="shared" si="125"/>
        <v/>
      </c>
      <c r="E65" s="21" t="str">
        <f t="shared" si="125"/>
        <v/>
      </c>
      <c r="F65" s="21" t="str">
        <f t="shared" si="125"/>
        <v/>
      </c>
      <c r="G65" s="21" t="str">
        <f t="shared" si="125"/>
        <v/>
      </c>
      <c r="H65" s="21" t="str">
        <f t="shared" si="125"/>
        <v/>
      </c>
      <c r="I65" s="21" t="str">
        <f t="shared" si="125"/>
        <v/>
      </c>
      <c r="J65" s="21" t="str">
        <f t="shared" si="125"/>
        <v/>
      </c>
      <c r="K65" s="21" t="str">
        <f t="shared" si="125"/>
        <v/>
      </c>
      <c r="L65" s="17" t="str">
        <f>IFERROR(__xludf.DUMMYFUNCTION("""COMPUTED_VALUE"""),"burst pipe repair call out")</f>
        <v>burst pipe repair call out</v>
      </c>
      <c r="M65" s="18"/>
      <c r="N65" s="21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21" t="str">
        <f t="shared" si="126"/>
        <v/>
      </c>
      <c r="P65" s="21" t="str">
        <f t="shared" si="126"/>
        <v/>
      </c>
      <c r="Q65" s="21" t="str">
        <f t="shared" si="126"/>
        <v/>
      </c>
      <c r="R65" s="21" t="str">
        <f t="shared" si="126"/>
        <v/>
      </c>
      <c r="S65" s="21" t="str">
        <f t="shared" si="126"/>
        <v/>
      </c>
      <c r="T65" s="21" t="str">
        <f t="shared" si="126"/>
        <v/>
      </c>
      <c r="U65" s="21" t="str">
        <f t="shared" si="126"/>
        <v/>
      </c>
      <c r="V65" s="21" t="str">
        <f t="shared" si="126"/>
        <v/>
      </c>
      <c r="W65" s="21" t="str">
        <f t="shared" si="126"/>
        <v/>
      </c>
      <c r="X65" s="19" t="str">
        <f>IFERROR(__xludf.DUMMYFUNCTION("""COMPUTED_VALUE"""),"cost toilet repair")</f>
        <v>cost toilet repair</v>
      </c>
      <c r="Y65" s="9"/>
      <c r="Z65" s="9"/>
    </row>
    <row r="66">
      <c r="A66" s="20"/>
      <c r="B66" s="21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21" t="str">
        <f t="shared" si="127"/>
        <v/>
      </c>
      <c r="D66" s="21" t="str">
        <f t="shared" si="127"/>
        <v/>
      </c>
      <c r="E66" s="21" t="str">
        <f t="shared" si="127"/>
        <v/>
      </c>
      <c r="F66" s="21" t="str">
        <f t="shared" si="127"/>
        <v/>
      </c>
      <c r="G66" s="21" t="str">
        <f t="shared" si="127"/>
        <v/>
      </c>
      <c r="H66" s="21" t="str">
        <f t="shared" si="127"/>
        <v/>
      </c>
      <c r="I66" s="21" t="str">
        <f t="shared" si="127"/>
        <v/>
      </c>
      <c r="J66" s="21" t="str">
        <f t="shared" si="127"/>
        <v/>
      </c>
      <c r="K66" s="21" t="str">
        <f t="shared" si="127"/>
        <v/>
      </c>
      <c r="L66" s="17" t="str">
        <f>IFERROR(__xludf.DUMMYFUNCTION("""COMPUTED_VALUE"""),"burst pipe repair cape town")</f>
        <v>burst pipe repair cape town</v>
      </c>
      <c r="M66" s="18"/>
      <c r="N66" s="21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21" t="str">
        <f t="shared" si="128"/>
        <v/>
      </c>
      <c r="P66" s="21" t="str">
        <f t="shared" si="128"/>
        <v/>
      </c>
      <c r="Q66" s="21" t="str">
        <f t="shared" si="128"/>
        <v/>
      </c>
      <c r="R66" s="21" t="str">
        <f t="shared" si="128"/>
        <v/>
      </c>
      <c r="S66" s="21" t="str">
        <f t="shared" si="128"/>
        <v/>
      </c>
      <c r="T66" s="21" t="str">
        <f t="shared" si="128"/>
        <v/>
      </c>
      <c r="U66" s="21" t="str">
        <f t="shared" si="128"/>
        <v/>
      </c>
      <c r="V66" s="21" t="str">
        <f t="shared" si="128"/>
        <v/>
      </c>
      <c r="W66" s="21" t="str">
        <f t="shared" si="128"/>
        <v/>
      </c>
      <c r="X66" s="19" t="str">
        <f>IFERROR(__xludf.DUMMYFUNCTION("""COMPUTED_VALUE"""),"cost water leak repair")</f>
        <v>cost water leak repair</v>
      </c>
      <c r="Y66" s="9"/>
      <c r="Z66" s="9"/>
    </row>
    <row r="67">
      <c r="A67" s="20"/>
      <c r="B67" s="21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21" t="str">
        <f t="shared" si="129"/>
        <v/>
      </c>
      <c r="D67" s="21" t="str">
        <f t="shared" si="129"/>
        <v/>
      </c>
      <c r="E67" s="21" t="str">
        <f t="shared" si="129"/>
        <v/>
      </c>
      <c r="F67" s="21" t="str">
        <f t="shared" si="129"/>
        <v/>
      </c>
      <c r="G67" s="21" t="str">
        <f t="shared" si="129"/>
        <v/>
      </c>
      <c r="H67" s="21" t="str">
        <f t="shared" si="129"/>
        <v/>
      </c>
      <c r="I67" s="21" t="str">
        <f t="shared" si="129"/>
        <v/>
      </c>
      <c r="J67" s="21" t="str">
        <f t="shared" si="129"/>
        <v/>
      </c>
      <c r="K67" s="21" t="str">
        <f t="shared" si="129"/>
        <v/>
      </c>
      <c r="L67" s="17" t="str">
        <f>IFERROR(__xludf.DUMMYFUNCTION("""COMPUTED_VALUE"""),"burst pipe repair commercial")</f>
        <v>burst pipe repair commercial</v>
      </c>
      <c r="M67" s="18"/>
      <c r="N67" s="21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21" t="str">
        <f t="shared" si="130"/>
        <v/>
      </c>
      <c r="P67" s="21" t="str">
        <f t="shared" si="130"/>
        <v/>
      </c>
      <c r="Q67" s="21" t="str">
        <f t="shared" si="130"/>
        <v/>
      </c>
      <c r="R67" s="21" t="str">
        <f t="shared" si="130"/>
        <v/>
      </c>
      <c r="S67" s="21" t="str">
        <f t="shared" si="130"/>
        <v/>
      </c>
      <c r="T67" s="21" t="str">
        <f t="shared" si="130"/>
        <v/>
      </c>
      <c r="U67" s="21" t="str">
        <f t="shared" si="130"/>
        <v/>
      </c>
      <c r="V67" s="21" t="str">
        <f t="shared" si="130"/>
        <v/>
      </c>
      <c r="W67" s="21" t="str">
        <f t="shared" si="130"/>
        <v/>
      </c>
      <c r="X67" s="19" t="str">
        <f>IFERROR(__xludf.DUMMYFUNCTION("""COMPUTED_VALUE"""),"emergency 24 hour plumber")</f>
        <v>emergency 24 hour plumber</v>
      </c>
      <c r="Y67" s="9"/>
      <c r="Z67" s="9"/>
    </row>
    <row r="68">
      <c r="A68" s="20"/>
      <c r="B68" s="21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21" t="str">
        <f t="shared" si="131"/>
        <v/>
      </c>
      <c r="D68" s="21" t="str">
        <f t="shared" si="131"/>
        <v/>
      </c>
      <c r="E68" s="21" t="str">
        <f t="shared" si="131"/>
        <v/>
      </c>
      <c r="F68" s="21" t="str">
        <f t="shared" si="131"/>
        <v/>
      </c>
      <c r="G68" s="21" t="str">
        <f t="shared" si="131"/>
        <v/>
      </c>
      <c r="H68" s="21" t="str">
        <f t="shared" si="131"/>
        <v/>
      </c>
      <c r="I68" s="21" t="str">
        <f t="shared" si="131"/>
        <v/>
      </c>
      <c r="J68" s="21" t="str">
        <f t="shared" si="131"/>
        <v/>
      </c>
      <c r="K68" s="21" t="str">
        <f t="shared" si="131"/>
        <v/>
      </c>
      <c r="L68" s="17" t="str">
        <f>IFERROR(__xludf.DUMMYFUNCTION("""COMPUTED_VALUE"""),"burst pipe repair company")</f>
        <v>burst pipe repair company</v>
      </c>
      <c r="M68" s="18"/>
      <c r="N68" s="21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21" t="str">
        <f t="shared" si="132"/>
        <v/>
      </c>
      <c r="P68" s="21" t="str">
        <f t="shared" si="132"/>
        <v/>
      </c>
      <c r="Q68" s="21" t="str">
        <f t="shared" si="132"/>
        <v/>
      </c>
      <c r="R68" s="21" t="str">
        <f t="shared" si="132"/>
        <v/>
      </c>
      <c r="S68" s="21" t="str">
        <f t="shared" si="132"/>
        <v/>
      </c>
      <c r="T68" s="21" t="str">
        <f t="shared" si="132"/>
        <v/>
      </c>
      <c r="U68" s="21" t="str">
        <f t="shared" si="132"/>
        <v/>
      </c>
      <c r="V68" s="21" t="str">
        <f t="shared" si="132"/>
        <v/>
      </c>
      <c r="W68" s="21" t="str">
        <f t="shared" si="132"/>
        <v/>
      </c>
      <c r="X68" s="19" t="str">
        <f>IFERROR(__xludf.DUMMYFUNCTION("""COMPUTED_VALUE"""),"emergency bathroom plumbing repair")</f>
        <v>emergency bathroom plumbing repair</v>
      </c>
      <c r="Y68" s="9"/>
      <c r="Z68" s="9"/>
    </row>
    <row r="69">
      <c r="A69" s="20"/>
      <c r="B69" s="21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21" t="str">
        <f t="shared" si="133"/>
        <v/>
      </c>
      <c r="D69" s="21" t="str">
        <f t="shared" si="133"/>
        <v/>
      </c>
      <c r="E69" s="21" t="str">
        <f t="shared" si="133"/>
        <v/>
      </c>
      <c r="F69" s="21" t="str">
        <f t="shared" si="133"/>
        <v/>
      </c>
      <c r="G69" s="21" t="str">
        <f t="shared" si="133"/>
        <v/>
      </c>
      <c r="H69" s="21" t="str">
        <f t="shared" si="133"/>
        <v/>
      </c>
      <c r="I69" s="21" t="str">
        <f t="shared" si="133"/>
        <v/>
      </c>
      <c r="J69" s="21" t="str">
        <f t="shared" si="133"/>
        <v/>
      </c>
      <c r="K69" s="21" t="str">
        <f t="shared" si="133"/>
        <v/>
      </c>
      <c r="L69" s="17" t="str">
        <f>IFERROR(__xludf.DUMMYFUNCTION("""COMPUTED_VALUE"""),"burst pipe repair cost")</f>
        <v>burst pipe repair cost</v>
      </c>
      <c r="M69" s="18"/>
      <c r="N69" s="21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21" t="str">
        <f t="shared" si="134"/>
        <v/>
      </c>
      <c r="P69" s="21" t="str">
        <f t="shared" si="134"/>
        <v/>
      </c>
      <c r="Q69" s="21" t="str">
        <f t="shared" si="134"/>
        <v/>
      </c>
      <c r="R69" s="21" t="str">
        <f t="shared" si="134"/>
        <v/>
      </c>
      <c r="S69" s="21" t="str">
        <f t="shared" si="134"/>
        <v/>
      </c>
      <c r="T69" s="21" t="str">
        <f t="shared" si="134"/>
        <v/>
      </c>
      <c r="U69" s="21" t="str">
        <f t="shared" si="134"/>
        <v/>
      </c>
      <c r="V69" s="21" t="str">
        <f t="shared" si="134"/>
        <v/>
      </c>
      <c r="W69" s="21" t="str">
        <f t="shared" si="134"/>
        <v/>
      </c>
      <c r="X69" s="19" t="str">
        <f>IFERROR(__xludf.DUMMYFUNCTION("""COMPUTED_VALUE"""),"emergency blocked toilet plumber")</f>
        <v>emergency blocked toilet plumber</v>
      </c>
      <c r="Y69" s="9"/>
      <c r="Z69" s="9"/>
    </row>
    <row r="70">
      <c r="A70" s="20"/>
      <c r="B70" s="21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21" t="str">
        <f t="shared" si="135"/>
        <v/>
      </c>
      <c r="D70" s="21" t="str">
        <f t="shared" si="135"/>
        <v/>
      </c>
      <c r="E70" s="21" t="str">
        <f t="shared" si="135"/>
        <v/>
      </c>
      <c r="F70" s="21" t="str">
        <f t="shared" si="135"/>
        <v/>
      </c>
      <c r="G70" s="21" t="str">
        <f t="shared" si="135"/>
        <v/>
      </c>
      <c r="H70" s="21" t="str">
        <f t="shared" si="135"/>
        <v/>
      </c>
      <c r="I70" s="21" t="str">
        <f t="shared" si="135"/>
        <v/>
      </c>
      <c r="J70" s="21" t="str">
        <f t="shared" si="135"/>
        <v/>
      </c>
      <c r="K70" s="21" t="str">
        <f t="shared" si="135"/>
        <v/>
      </c>
      <c r="L70" s="17" t="str">
        <f>IFERROR(__xludf.DUMMYFUNCTION("""COMPUTED_VALUE"""),"burst pipe repair emergency")</f>
        <v>burst pipe repair emergency</v>
      </c>
      <c r="M70" s="18"/>
      <c r="N70" s="21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21" t="str">
        <f t="shared" si="136"/>
        <v/>
      </c>
      <c r="P70" s="21" t="str">
        <f t="shared" si="136"/>
        <v/>
      </c>
      <c r="Q70" s="21" t="str">
        <f t="shared" si="136"/>
        <v/>
      </c>
      <c r="R70" s="21" t="str">
        <f t="shared" si="136"/>
        <v/>
      </c>
      <c r="S70" s="21" t="str">
        <f t="shared" si="136"/>
        <v/>
      </c>
      <c r="T70" s="21" t="str">
        <f t="shared" si="136"/>
        <v/>
      </c>
      <c r="U70" s="21" t="str">
        <f t="shared" si="136"/>
        <v/>
      </c>
      <c r="V70" s="21" t="str">
        <f t="shared" si="136"/>
        <v/>
      </c>
      <c r="W70" s="21" t="str">
        <f t="shared" si="136"/>
        <v/>
      </c>
      <c r="X70" s="19" t="str">
        <f>IFERROR(__xludf.DUMMYFUNCTION("""COMPUTED_VALUE"""),"emergency burst pipe repair")</f>
        <v>emergency burst pipe repair</v>
      </c>
      <c r="Y70" s="9"/>
      <c r="Z70" s="9"/>
    </row>
    <row r="71">
      <c r="A71" s="20"/>
      <c r="B71" s="21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21" t="str">
        <f t="shared" si="137"/>
        <v/>
      </c>
      <c r="D71" s="21" t="str">
        <f t="shared" si="137"/>
        <v/>
      </c>
      <c r="E71" s="21" t="str">
        <f t="shared" si="137"/>
        <v/>
      </c>
      <c r="F71" s="21" t="str">
        <f t="shared" si="137"/>
        <v/>
      </c>
      <c r="G71" s="21" t="str">
        <f t="shared" si="137"/>
        <v/>
      </c>
      <c r="H71" s="21" t="str">
        <f t="shared" si="137"/>
        <v/>
      </c>
      <c r="I71" s="21" t="str">
        <f t="shared" si="137"/>
        <v/>
      </c>
      <c r="J71" s="21" t="str">
        <f t="shared" si="137"/>
        <v/>
      </c>
      <c r="K71" s="21" t="str">
        <f t="shared" si="137"/>
        <v/>
      </c>
      <c r="L71" s="17" t="str">
        <f>IFERROR(__xludf.DUMMYFUNCTION("""COMPUTED_VALUE"""),"burst pipe repair fast")</f>
        <v>burst pipe repair fast</v>
      </c>
      <c r="M71" s="18"/>
      <c r="N71" s="21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21" t="str">
        <f t="shared" si="138"/>
        <v/>
      </c>
      <c r="P71" s="21" t="str">
        <f t="shared" si="138"/>
        <v/>
      </c>
      <c r="Q71" s="21" t="str">
        <f t="shared" si="138"/>
        <v/>
      </c>
      <c r="R71" s="21" t="str">
        <f t="shared" si="138"/>
        <v/>
      </c>
      <c r="S71" s="21" t="str">
        <f t="shared" si="138"/>
        <v/>
      </c>
      <c r="T71" s="21" t="str">
        <f t="shared" si="138"/>
        <v/>
      </c>
      <c r="U71" s="21" t="str">
        <f t="shared" si="138"/>
        <v/>
      </c>
      <c r="V71" s="21" t="str">
        <f t="shared" si="138"/>
        <v/>
      </c>
      <c r="W71" s="21" t="str">
        <f t="shared" si="138"/>
        <v/>
      </c>
      <c r="X71" s="19" t="str">
        <f>IFERROR(__xludf.DUMMYFUNCTION("""COMPUTED_VALUE"""),"emergency kitchen plumbing repair")</f>
        <v>emergency kitchen plumbing repair</v>
      </c>
      <c r="Y71" s="9"/>
      <c r="Z71" s="9"/>
    </row>
    <row r="72">
      <c r="A72" s="20"/>
      <c r="B72" s="21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21" t="str">
        <f t="shared" si="139"/>
        <v/>
      </c>
      <c r="D72" s="21" t="str">
        <f t="shared" si="139"/>
        <v/>
      </c>
      <c r="E72" s="21" t="str">
        <f t="shared" si="139"/>
        <v/>
      </c>
      <c r="F72" s="21" t="str">
        <f t="shared" si="139"/>
        <v/>
      </c>
      <c r="G72" s="21" t="str">
        <f t="shared" si="139"/>
        <v/>
      </c>
      <c r="H72" s="21" t="str">
        <f t="shared" si="139"/>
        <v/>
      </c>
      <c r="I72" s="21" t="str">
        <f t="shared" si="139"/>
        <v/>
      </c>
      <c r="J72" s="21" t="str">
        <f t="shared" si="139"/>
        <v/>
      </c>
      <c r="K72" s="21" t="str">
        <f t="shared" si="139"/>
        <v/>
      </c>
      <c r="L72" s="17" t="str">
        <f>IFERROR(__xludf.DUMMYFUNCTION("""COMPUTED_VALUE"""),"burst pipe repair local")</f>
        <v>burst pipe repair local</v>
      </c>
      <c r="M72" s="18"/>
      <c r="N72" s="21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21" t="str">
        <f t="shared" si="140"/>
        <v/>
      </c>
      <c r="P72" s="21" t="str">
        <f t="shared" si="140"/>
        <v/>
      </c>
      <c r="Q72" s="21" t="str">
        <f t="shared" si="140"/>
        <v/>
      </c>
      <c r="R72" s="21" t="str">
        <f t="shared" si="140"/>
        <v/>
      </c>
      <c r="S72" s="21" t="str">
        <f t="shared" si="140"/>
        <v/>
      </c>
      <c r="T72" s="21" t="str">
        <f t="shared" si="140"/>
        <v/>
      </c>
      <c r="U72" s="21" t="str">
        <f t="shared" si="140"/>
        <v/>
      </c>
      <c r="V72" s="21" t="str">
        <f t="shared" si="140"/>
        <v/>
      </c>
      <c r="W72" s="21" t="str">
        <f t="shared" si="140"/>
        <v/>
      </c>
      <c r="X72" s="19" t="str">
        <f>IFERROR(__xludf.DUMMYFUNCTION("""COMPUTED_VALUE"""),"emergency leaking pipe repair")</f>
        <v>emergency leaking pipe repair</v>
      </c>
      <c r="Y72" s="9"/>
      <c r="Z72" s="9"/>
    </row>
    <row r="73">
      <c r="A73" s="20"/>
      <c r="B73" s="21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21" t="str">
        <f t="shared" si="141"/>
        <v/>
      </c>
      <c r="D73" s="21" t="str">
        <f t="shared" si="141"/>
        <v/>
      </c>
      <c r="E73" s="21" t="str">
        <f t="shared" si="141"/>
        <v/>
      </c>
      <c r="F73" s="21" t="str">
        <f t="shared" si="141"/>
        <v/>
      </c>
      <c r="G73" s="21" t="str">
        <f t="shared" si="141"/>
        <v/>
      </c>
      <c r="H73" s="21" t="str">
        <f t="shared" si="141"/>
        <v/>
      </c>
      <c r="I73" s="21" t="str">
        <f t="shared" si="141"/>
        <v/>
      </c>
      <c r="J73" s="21" t="str">
        <f t="shared" si="141"/>
        <v/>
      </c>
      <c r="K73" s="21" t="str">
        <f t="shared" si="141"/>
        <v/>
      </c>
      <c r="L73" s="17" t="str">
        <f>IFERROR(__xludf.DUMMYFUNCTION("""COMPUTED_VALUE"""),"burst pipe repair near me")</f>
        <v>burst pipe repair near me</v>
      </c>
      <c r="M73" s="18"/>
      <c r="N73" s="21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21" t="str">
        <f t="shared" si="142"/>
        <v/>
      </c>
      <c r="P73" s="21" t="str">
        <f t="shared" si="142"/>
        <v/>
      </c>
      <c r="Q73" s="21" t="str">
        <f t="shared" si="142"/>
        <v/>
      </c>
      <c r="R73" s="21" t="str">
        <f t="shared" si="142"/>
        <v/>
      </c>
      <c r="S73" s="21" t="str">
        <f t="shared" si="142"/>
        <v/>
      </c>
      <c r="T73" s="21" t="str">
        <f t="shared" si="142"/>
        <v/>
      </c>
      <c r="U73" s="21" t="str">
        <f t="shared" si="142"/>
        <v/>
      </c>
      <c r="V73" s="21" t="str">
        <f t="shared" si="142"/>
        <v/>
      </c>
      <c r="W73" s="21" t="str">
        <f t="shared" si="142"/>
        <v/>
      </c>
      <c r="X73" s="19" t="str">
        <f>IFERROR(__xludf.DUMMYFUNCTION("""COMPUTED_VALUE"""),"emergency leaking tap repair")</f>
        <v>emergency leaking tap repair</v>
      </c>
      <c r="Y73" s="9"/>
      <c r="Z73" s="9"/>
    </row>
    <row r="74">
      <c r="A74" s="20"/>
      <c r="B74" s="21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21" t="str">
        <f t="shared" si="143"/>
        <v/>
      </c>
      <c r="D74" s="21" t="str">
        <f t="shared" si="143"/>
        <v/>
      </c>
      <c r="E74" s="21" t="str">
        <f t="shared" si="143"/>
        <v/>
      </c>
      <c r="F74" s="21" t="str">
        <f t="shared" si="143"/>
        <v/>
      </c>
      <c r="G74" s="21" t="str">
        <f t="shared" si="143"/>
        <v/>
      </c>
      <c r="H74" s="21" t="str">
        <f t="shared" si="143"/>
        <v/>
      </c>
      <c r="I74" s="21" t="str">
        <f t="shared" si="143"/>
        <v/>
      </c>
      <c r="J74" s="21" t="str">
        <f t="shared" si="143"/>
        <v/>
      </c>
      <c r="K74" s="21" t="str">
        <f t="shared" si="143"/>
        <v/>
      </c>
      <c r="L74" s="17" t="str">
        <f>IFERROR(__xludf.DUMMYFUNCTION("""COMPUTED_VALUE"""),"burst pipe repair plumber")</f>
        <v>burst pipe repair plumber</v>
      </c>
      <c r="M74" s="18"/>
      <c r="N74" s="21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21" t="str">
        <f t="shared" si="144"/>
        <v/>
      </c>
      <c r="P74" s="21" t="str">
        <f t="shared" si="144"/>
        <v/>
      </c>
      <c r="Q74" s="21" t="str">
        <f t="shared" si="144"/>
        <v/>
      </c>
      <c r="R74" s="21" t="str">
        <f t="shared" si="144"/>
        <v/>
      </c>
      <c r="S74" s="21" t="str">
        <f t="shared" si="144"/>
        <v/>
      </c>
      <c r="T74" s="21" t="str">
        <f t="shared" si="144"/>
        <v/>
      </c>
      <c r="U74" s="21" t="str">
        <f t="shared" si="144"/>
        <v/>
      </c>
      <c r="V74" s="21" t="str">
        <f t="shared" si="144"/>
        <v/>
      </c>
      <c r="W74" s="21" t="str">
        <f t="shared" si="144"/>
        <v/>
      </c>
      <c r="X74" s="19" t="str">
        <f>IFERROR(__xludf.DUMMYFUNCTION("""COMPUTED_VALUE"""),"emergency plumber")</f>
        <v>emergency plumber</v>
      </c>
      <c r="Y74" s="9"/>
      <c r="Z74" s="9"/>
    </row>
    <row r="75">
      <c r="A75" s="20"/>
      <c r="B75" s="21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21" t="str">
        <f t="shared" si="145"/>
        <v/>
      </c>
      <c r="D75" s="21" t="str">
        <f t="shared" si="145"/>
        <v/>
      </c>
      <c r="E75" s="21" t="str">
        <f t="shared" si="145"/>
        <v/>
      </c>
      <c r="F75" s="21" t="str">
        <f t="shared" si="145"/>
        <v/>
      </c>
      <c r="G75" s="21" t="str">
        <f t="shared" si="145"/>
        <v/>
      </c>
      <c r="H75" s="21" t="str">
        <f t="shared" si="145"/>
        <v/>
      </c>
      <c r="I75" s="21" t="str">
        <f t="shared" si="145"/>
        <v/>
      </c>
      <c r="J75" s="21" t="str">
        <f t="shared" si="145"/>
        <v/>
      </c>
      <c r="K75" s="21" t="str">
        <f t="shared" si="145"/>
        <v/>
      </c>
      <c r="L75" s="17" t="str">
        <f>IFERROR(__xludf.DUMMYFUNCTION("""COMPUTED_VALUE"""),"burst pipe repair professional")</f>
        <v>burst pipe repair professional</v>
      </c>
      <c r="M75" s="18"/>
      <c r="N75" s="21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21" t="str">
        <f t="shared" si="146"/>
        <v/>
      </c>
      <c r="P75" s="21" t="str">
        <f t="shared" si="146"/>
        <v/>
      </c>
      <c r="Q75" s="21" t="str">
        <f t="shared" si="146"/>
        <v/>
      </c>
      <c r="R75" s="21" t="str">
        <f t="shared" si="146"/>
        <v/>
      </c>
      <c r="S75" s="21" t="str">
        <f t="shared" si="146"/>
        <v/>
      </c>
      <c r="T75" s="21" t="str">
        <f t="shared" si="146"/>
        <v/>
      </c>
      <c r="U75" s="21" t="str">
        <f t="shared" si="146"/>
        <v/>
      </c>
      <c r="V75" s="21" t="str">
        <f t="shared" si="146"/>
        <v/>
      </c>
      <c r="W75" s="21" t="str">
        <f t="shared" si="146"/>
        <v/>
      </c>
      <c r="X75" s="19" t="str">
        <f>IFERROR(__xludf.DUMMYFUNCTION("""COMPUTED_VALUE"""),"emergency toilet repair")</f>
        <v>emergency toilet repair</v>
      </c>
      <c r="Y75" s="9"/>
      <c r="Z75" s="9"/>
    </row>
    <row r="76">
      <c r="A76" s="20"/>
      <c r="B76" s="21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21" t="str">
        <f t="shared" si="147"/>
        <v/>
      </c>
      <c r="D76" s="21" t="str">
        <f t="shared" si="147"/>
        <v/>
      </c>
      <c r="E76" s="21" t="str">
        <f t="shared" si="147"/>
        <v/>
      </c>
      <c r="F76" s="21" t="str">
        <f t="shared" si="147"/>
        <v/>
      </c>
      <c r="G76" s="21" t="str">
        <f t="shared" si="147"/>
        <v/>
      </c>
      <c r="H76" s="21" t="str">
        <f t="shared" si="147"/>
        <v/>
      </c>
      <c r="I76" s="21" t="str">
        <f t="shared" si="147"/>
        <v/>
      </c>
      <c r="J76" s="21" t="str">
        <f t="shared" si="147"/>
        <v/>
      </c>
      <c r="K76" s="21" t="str">
        <f t="shared" si="147"/>
        <v/>
      </c>
      <c r="L76" s="17" t="str">
        <f>IFERROR(__xludf.DUMMYFUNCTION("""COMPUTED_VALUE"""),"burst pipe repair quote")</f>
        <v>burst pipe repair quote</v>
      </c>
      <c r="M76" s="18"/>
      <c r="N76" s="21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21" t="str">
        <f t="shared" si="148"/>
        <v/>
      </c>
      <c r="P76" s="21" t="str">
        <f t="shared" si="148"/>
        <v/>
      </c>
      <c r="Q76" s="21" t="str">
        <f t="shared" si="148"/>
        <v/>
      </c>
      <c r="R76" s="21" t="str">
        <f t="shared" si="148"/>
        <v/>
      </c>
      <c r="S76" s="21" t="str">
        <f t="shared" si="148"/>
        <v/>
      </c>
      <c r="T76" s="21" t="str">
        <f t="shared" si="148"/>
        <v/>
      </c>
      <c r="U76" s="21" t="str">
        <f t="shared" si="148"/>
        <v/>
      </c>
      <c r="V76" s="21" t="str">
        <f t="shared" si="148"/>
        <v/>
      </c>
      <c r="W76" s="21" t="str">
        <f t="shared" si="148"/>
        <v/>
      </c>
      <c r="X76" s="19" t="str">
        <f>IFERROR(__xludf.DUMMYFUNCTION("""COMPUTED_VALUE"""),"emergency water leak repair")</f>
        <v>emergency water leak repair</v>
      </c>
      <c r="Y76" s="9"/>
      <c r="Z76" s="9"/>
    </row>
    <row r="77">
      <c r="A77" s="20"/>
      <c r="B77" s="21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21" t="str">
        <f t="shared" si="149"/>
        <v/>
      </c>
      <c r="D77" s="21" t="str">
        <f t="shared" si="149"/>
        <v/>
      </c>
      <c r="E77" s="21" t="str">
        <f t="shared" si="149"/>
        <v/>
      </c>
      <c r="F77" s="21" t="str">
        <f t="shared" si="149"/>
        <v/>
      </c>
      <c r="G77" s="21" t="str">
        <f t="shared" si="149"/>
        <v/>
      </c>
      <c r="H77" s="21" t="str">
        <f t="shared" si="149"/>
        <v/>
      </c>
      <c r="I77" s="21" t="str">
        <f t="shared" si="149"/>
        <v/>
      </c>
      <c r="J77" s="21" t="str">
        <f t="shared" si="149"/>
        <v/>
      </c>
      <c r="K77" s="21" t="str">
        <f t="shared" si="149"/>
        <v/>
      </c>
      <c r="L77" s="17" t="str">
        <f>IFERROR(__xludf.DUMMYFUNCTION("""COMPUTED_VALUE"""),"burst pipe repair reliable")</f>
        <v>burst pipe repair reliable</v>
      </c>
      <c r="M77" s="18"/>
      <c r="N77" s="21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21" t="str">
        <f t="shared" si="150"/>
        <v/>
      </c>
      <c r="P77" s="21" t="str">
        <f t="shared" si="150"/>
        <v/>
      </c>
      <c r="Q77" s="21" t="str">
        <f t="shared" si="150"/>
        <v/>
      </c>
      <c r="R77" s="21" t="str">
        <f t="shared" si="150"/>
        <v/>
      </c>
      <c r="S77" s="21" t="str">
        <f t="shared" si="150"/>
        <v/>
      </c>
      <c r="T77" s="21" t="str">
        <f t="shared" si="150"/>
        <v/>
      </c>
      <c r="U77" s="21" t="str">
        <f t="shared" si="150"/>
        <v/>
      </c>
      <c r="V77" s="21" t="str">
        <f t="shared" si="150"/>
        <v/>
      </c>
      <c r="W77" s="21" t="str">
        <f t="shared" si="150"/>
        <v/>
      </c>
      <c r="X77" s="19" t="str">
        <f>IFERROR(__xludf.DUMMYFUNCTION("""COMPUTED_VALUE"""),"fast 24 hour plumber")</f>
        <v>fast 24 hour plumber</v>
      </c>
      <c r="Y77" s="9"/>
      <c r="Z77" s="9"/>
    </row>
    <row r="78">
      <c r="A78" s="20"/>
      <c r="B78" s="21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21" t="str">
        <f t="shared" si="151"/>
        <v/>
      </c>
      <c r="D78" s="21" t="str">
        <f t="shared" si="151"/>
        <v/>
      </c>
      <c r="E78" s="21" t="str">
        <f t="shared" si="151"/>
        <v/>
      </c>
      <c r="F78" s="21" t="str">
        <f t="shared" si="151"/>
        <v/>
      </c>
      <c r="G78" s="21" t="str">
        <f t="shared" si="151"/>
        <v/>
      </c>
      <c r="H78" s="21" t="str">
        <f t="shared" si="151"/>
        <v/>
      </c>
      <c r="I78" s="21" t="str">
        <f t="shared" si="151"/>
        <v/>
      </c>
      <c r="J78" s="21" t="str">
        <f t="shared" si="151"/>
        <v/>
      </c>
      <c r="K78" s="21" t="str">
        <f t="shared" si="151"/>
        <v/>
      </c>
      <c r="L78" s="17" t="str">
        <f>IFERROR(__xludf.DUMMYFUNCTION("""COMPUTED_VALUE"""),"burst pipe repair residential")</f>
        <v>burst pipe repair residential</v>
      </c>
      <c r="M78" s="18"/>
      <c r="N78" s="21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21" t="str">
        <f t="shared" si="152"/>
        <v/>
      </c>
      <c r="P78" s="21" t="str">
        <f t="shared" si="152"/>
        <v/>
      </c>
      <c r="Q78" s="21" t="str">
        <f t="shared" si="152"/>
        <v/>
      </c>
      <c r="R78" s="21" t="str">
        <f t="shared" si="152"/>
        <v/>
      </c>
      <c r="S78" s="21" t="str">
        <f t="shared" si="152"/>
        <v/>
      </c>
      <c r="T78" s="21" t="str">
        <f t="shared" si="152"/>
        <v/>
      </c>
      <c r="U78" s="21" t="str">
        <f t="shared" si="152"/>
        <v/>
      </c>
      <c r="V78" s="21" t="str">
        <f t="shared" si="152"/>
        <v/>
      </c>
      <c r="W78" s="21" t="str">
        <f t="shared" si="152"/>
        <v/>
      </c>
      <c r="X78" s="19" t="str">
        <f>IFERROR(__xludf.DUMMYFUNCTION("""COMPUTED_VALUE"""),"fast bathroom plumbing repair")</f>
        <v>fast bathroom plumbing repair</v>
      </c>
      <c r="Y78" s="9"/>
      <c r="Z78" s="9"/>
    </row>
    <row r="79">
      <c r="A79" s="20"/>
      <c r="B79" s="21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21" t="str">
        <f t="shared" si="153"/>
        <v/>
      </c>
      <c r="D79" s="21" t="str">
        <f t="shared" si="153"/>
        <v/>
      </c>
      <c r="E79" s="21" t="str">
        <f t="shared" si="153"/>
        <v/>
      </c>
      <c r="F79" s="21" t="str">
        <f t="shared" si="153"/>
        <v/>
      </c>
      <c r="G79" s="21" t="str">
        <f t="shared" si="153"/>
        <v/>
      </c>
      <c r="H79" s="21" t="str">
        <f t="shared" si="153"/>
        <v/>
      </c>
      <c r="I79" s="21" t="str">
        <f t="shared" si="153"/>
        <v/>
      </c>
      <c r="J79" s="21" t="str">
        <f t="shared" si="153"/>
        <v/>
      </c>
      <c r="K79" s="21" t="str">
        <f t="shared" si="153"/>
        <v/>
      </c>
      <c r="L79" s="17" t="str">
        <f>IFERROR(__xludf.DUMMYFUNCTION("""COMPUTED_VALUE"""),"burst pipe repair same day")</f>
        <v>burst pipe repair same day</v>
      </c>
      <c r="M79" s="18"/>
      <c r="N79" s="21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21" t="str">
        <f t="shared" si="154"/>
        <v/>
      </c>
      <c r="P79" s="21" t="str">
        <f t="shared" si="154"/>
        <v/>
      </c>
      <c r="Q79" s="21" t="str">
        <f t="shared" si="154"/>
        <v/>
      </c>
      <c r="R79" s="21" t="str">
        <f t="shared" si="154"/>
        <v/>
      </c>
      <c r="S79" s="21" t="str">
        <f t="shared" si="154"/>
        <v/>
      </c>
      <c r="T79" s="21" t="str">
        <f t="shared" si="154"/>
        <v/>
      </c>
      <c r="U79" s="21" t="str">
        <f t="shared" si="154"/>
        <v/>
      </c>
      <c r="V79" s="21" t="str">
        <f t="shared" si="154"/>
        <v/>
      </c>
      <c r="W79" s="21" t="str">
        <f t="shared" si="154"/>
        <v/>
      </c>
      <c r="X79" s="19" t="str">
        <f>IFERROR(__xludf.DUMMYFUNCTION("""COMPUTED_VALUE"""),"fast blocked toilet plumber")</f>
        <v>fast blocked toilet plumber</v>
      </c>
      <c r="Y79" s="9"/>
      <c r="Z79" s="9"/>
    </row>
    <row r="80">
      <c r="A80" s="20"/>
      <c r="B80" s="21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21" t="str">
        <f t="shared" si="155"/>
        <v/>
      </c>
      <c r="D80" s="21" t="str">
        <f t="shared" si="155"/>
        <v/>
      </c>
      <c r="E80" s="21" t="str">
        <f t="shared" si="155"/>
        <v/>
      </c>
      <c r="F80" s="21" t="str">
        <f t="shared" si="155"/>
        <v/>
      </c>
      <c r="G80" s="21" t="str">
        <f t="shared" si="155"/>
        <v/>
      </c>
      <c r="H80" s="21" t="str">
        <f t="shared" si="155"/>
        <v/>
      </c>
      <c r="I80" s="21" t="str">
        <f t="shared" si="155"/>
        <v/>
      </c>
      <c r="J80" s="21" t="str">
        <f t="shared" si="155"/>
        <v/>
      </c>
      <c r="K80" s="21" t="str">
        <f t="shared" si="155"/>
        <v/>
      </c>
      <c r="L80" s="17" t="str">
        <f>IFERROR(__xludf.DUMMYFUNCTION("""COMPUTED_VALUE"""),"burst pipe repair service")</f>
        <v>burst pipe repair service</v>
      </c>
      <c r="M80" s="18"/>
      <c r="N80" s="21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21" t="str">
        <f t="shared" si="156"/>
        <v/>
      </c>
      <c r="P80" s="21" t="str">
        <f t="shared" si="156"/>
        <v/>
      </c>
      <c r="Q80" s="21" t="str">
        <f t="shared" si="156"/>
        <v/>
      </c>
      <c r="R80" s="21" t="str">
        <f t="shared" si="156"/>
        <v/>
      </c>
      <c r="S80" s="21" t="str">
        <f t="shared" si="156"/>
        <v/>
      </c>
      <c r="T80" s="21" t="str">
        <f t="shared" si="156"/>
        <v/>
      </c>
      <c r="U80" s="21" t="str">
        <f t="shared" si="156"/>
        <v/>
      </c>
      <c r="V80" s="21" t="str">
        <f t="shared" si="156"/>
        <v/>
      </c>
      <c r="W80" s="21" t="str">
        <f t="shared" si="156"/>
        <v/>
      </c>
      <c r="X80" s="19" t="str">
        <f>IFERROR(__xludf.DUMMYFUNCTION("""COMPUTED_VALUE"""),"fast burst pipe repair")</f>
        <v>fast burst pipe repair</v>
      </c>
      <c r="Y80" s="9"/>
      <c r="Z80" s="9"/>
    </row>
    <row r="81">
      <c r="A81" s="20"/>
      <c r="B81" s="21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21" t="str">
        <f t="shared" si="157"/>
        <v/>
      </c>
      <c r="D81" s="21" t="str">
        <f t="shared" si="157"/>
        <v/>
      </c>
      <c r="E81" s="21" t="str">
        <f t="shared" si="157"/>
        <v/>
      </c>
      <c r="F81" s="21" t="str">
        <f t="shared" si="157"/>
        <v/>
      </c>
      <c r="G81" s="21" t="str">
        <f t="shared" si="157"/>
        <v/>
      </c>
      <c r="H81" s="21" t="str">
        <f t="shared" si="157"/>
        <v/>
      </c>
      <c r="I81" s="21" t="str">
        <f t="shared" si="157"/>
        <v/>
      </c>
      <c r="J81" s="21" t="str">
        <f t="shared" si="157"/>
        <v/>
      </c>
      <c r="K81" s="21" t="str">
        <f t="shared" si="157"/>
        <v/>
      </c>
      <c r="L81" s="17" t="str">
        <f>IFERROR(__xludf.DUMMYFUNCTION("""COMPUTED_VALUE"""),"burst pipe repair urgent")</f>
        <v>burst pipe repair urgent</v>
      </c>
      <c r="M81" s="18"/>
      <c r="N81" s="21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21" t="str">
        <f t="shared" si="158"/>
        <v/>
      </c>
      <c r="P81" s="21" t="str">
        <f t="shared" si="158"/>
        <v/>
      </c>
      <c r="Q81" s="21" t="str">
        <f t="shared" si="158"/>
        <v/>
      </c>
      <c r="R81" s="21" t="str">
        <f t="shared" si="158"/>
        <v/>
      </c>
      <c r="S81" s="21" t="str">
        <f t="shared" si="158"/>
        <v/>
      </c>
      <c r="T81" s="21" t="str">
        <f t="shared" si="158"/>
        <v/>
      </c>
      <c r="U81" s="21" t="str">
        <f t="shared" si="158"/>
        <v/>
      </c>
      <c r="V81" s="21" t="str">
        <f t="shared" si="158"/>
        <v/>
      </c>
      <c r="W81" s="21" t="str">
        <f t="shared" si="158"/>
        <v/>
      </c>
      <c r="X81" s="19" t="str">
        <f>IFERROR(__xludf.DUMMYFUNCTION("""COMPUTED_VALUE"""),"fast emergency plumber")</f>
        <v>fast emergency plumber</v>
      </c>
      <c r="Y81" s="9"/>
      <c r="Z81" s="9"/>
    </row>
    <row r="82">
      <c r="A82" s="20"/>
      <c r="B82" s="21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21" t="str">
        <f t="shared" si="159"/>
        <v/>
      </c>
      <c r="D82" s="21" t="str">
        <f t="shared" si="159"/>
        <v/>
      </c>
      <c r="E82" s="21" t="str">
        <f t="shared" si="159"/>
        <v/>
      </c>
      <c r="F82" s="21" t="str">
        <f t="shared" si="159"/>
        <v/>
      </c>
      <c r="G82" s="21" t="str">
        <f t="shared" si="159"/>
        <v/>
      </c>
      <c r="H82" s="21" t="str">
        <f t="shared" si="159"/>
        <v/>
      </c>
      <c r="I82" s="21" t="str">
        <f t="shared" si="159"/>
        <v/>
      </c>
      <c r="J82" s="21" t="str">
        <f t="shared" si="159"/>
        <v/>
      </c>
      <c r="K82" s="21" t="str">
        <f t="shared" si="159"/>
        <v/>
      </c>
      <c r="L82" s="17" t="str">
        <f>IFERROR(__xludf.DUMMYFUNCTION("""COMPUTED_VALUE"""),"burst pipe repair weekend")</f>
        <v>burst pipe repair weekend</v>
      </c>
      <c r="M82" s="18"/>
      <c r="N82" s="21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21" t="str">
        <f t="shared" si="160"/>
        <v/>
      </c>
      <c r="P82" s="21" t="str">
        <f t="shared" si="160"/>
        <v/>
      </c>
      <c r="Q82" s="21" t="str">
        <f t="shared" si="160"/>
        <v/>
      </c>
      <c r="R82" s="21" t="str">
        <f t="shared" si="160"/>
        <v/>
      </c>
      <c r="S82" s="21" t="str">
        <f t="shared" si="160"/>
        <v/>
      </c>
      <c r="T82" s="21" t="str">
        <f t="shared" si="160"/>
        <v/>
      </c>
      <c r="U82" s="21" t="str">
        <f t="shared" si="160"/>
        <v/>
      </c>
      <c r="V82" s="21" t="str">
        <f t="shared" si="160"/>
        <v/>
      </c>
      <c r="W82" s="21" t="str">
        <f t="shared" si="160"/>
        <v/>
      </c>
      <c r="X82" s="19" t="str">
        <f>IFERROR(__xludf.DUMMYFUNCTION("""COMPUTED_VALUE"""),"fast kitchen plumbing repair")</f>
        <v>fast kitchen plumbing repair</v>
      </c>
      <c r="Y82" s="9"/>
      <c r="Z82" s="9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7" t="str">
        <f>IFERROR(__xludf.DUMMYFUNCTION("""COMPUTED_VALUE"""),"emergency plumber")</f>
        <v>emergency plumber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 t="str">
        <f>IFERROR(__xludf.DUMMYFUNCTION("""COMPUTED_VALUE"""),"fast leaking pipe repair")</f>
        <v>fast leaking pipe repair</v>
      </c>
      <c r="Y83" s="9"/>
      <c r="Z83" s="9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7" t="str">
        <f>IFERROR(__xludf.DUMMYFUNCTION("""COMPUTED_VALUE"""),"emergency plumber after hours")</f>
        <v>emergency plumber after hours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 t="str">
        <f>IFERROR(__xludf.DUMMYFUNCTION("""COMPUTED_VALUE"""),"fast leaking tap repair")</f>
        <v>fast leaking tap repair</v>
      </c>
      <c r="Y84" s="9"/>
      <c r="Z84" s="9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 t="str">
        <f>IFERROR(__xludf.DUMMYFUNCTION("""COMPUTED_VALUE"""),"emergency plumber call out")</f>
        <v>emergency plumber call out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 t="str">
        <f>IFERROR(__xludf.DUMMYFUNCTION("""COMPUTED_VALUE"""),"fast toilet repair")</f>
        <v>fast toilet repair</v>
      </c>
      <c r="Y85" s="9"/>
      <c r="Z85" s="9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7" t="str">
        <f>IFERROR(__xludf.DUMMYFUNCTION("""COMPUTED_VALUE"""),"emergency plumber cape town")</f>
        <v>emergency plumber cape town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 t="str">
        <f>IFERROR(__xludf.DUMMYFUNCTION("""COMPUTED_VALUE"""),"fast water leak repair")</f>
        <v>fast water leak repair</v>
      </c>
      <c r="Y86" s="9"/>
      <c r="Z86" s="9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7" t="str">
        <f>IFERROR(__xludf.DUMMYFUNCTION("""COMPUTED_VALUE"""),"emergency plumber commercial")</f>
        <v>emergency plumber commercial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tr">
        <f>IFERROR(__xludf.DUMMYFUNCTION("""COMPUTED_VALUE"""),"kitchen plumbing repair")</f>
        <v>kitchen plumbing repair</v>
      </c>
      <c r="Y87" s="9"/>
      <c r="Z87" s="9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7" t="str">
        <f>IFERROR(__xludf.DUMMYFUNCTION("""COMPUTED_VALUE"""),"emergency plumber company")</f>
        <v>emergency plumber company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 t="str">
        <f>IFERROR(__xludf.DUMMYFUNCTION("""COMPUTED_VALUE"""),"leaking pipe repair")</f>
        <v>leaking pipe repair</v>
      </c>
      <c r="Y88" s="9"/>
      <c r="Z88" s="9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7" t="str">
        <f>IFERROR(__xludf.DUMMYFUNCTION("""COMPUTED_VALUE"""),"emergency plumber cost")</f>
        <v>emergency plumber cost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 t="str">
        <f>IFERROR(__xludf.DUMMYFUNCTION("""COMPUTED_VALUE"""),"leaking tap repair")</f>
        <v>leaking tap repair</v>
      </c>
      <c r="Y89" s="9"/>
      <c r="Z89" s="9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7" t="str">
        <f>IFERROR(__xludf.DUMMYFUNCTION("""COMPUTED_VALUE"""),"emergency plumber fast")</f>
        <v>emergency plumber fast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 t="str">
        <f>IFERROR(__xludf.DUMMYFUNCTION("""COMPUTED_VALUE"""),"local 24 hour plumber")</f>
        <v>local 24 hour plumber</v>
      </c>
      <c r="Y90" s="9"/>
      <c r="Z90" s="9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7" t="str">
        <f>IFERROR(__xludf.DUMMYFUNCTION("""COMPUTED_VALUE"""),"emergency plumber local")</f>
        <v>emergency plumber local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 t="str">
        <f>IFERROR(__xludf.DUMMYFUNCTION("""COMPUTED_VALUE"""),"local bathroom plumbing repair")</f>
        <v>local bathroom plumbing repair</v>
      </c>
      <c r="Y91" s="9"/>
      <c r="Z91" s="9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7" t="str">
        <f>IFERROR(__xludf.DUMMYFUNCTION("""COMPUTED_VALUE"""),"emergency plumber near me")</f>
        <v>emergency plumber near me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 t="str">
        <f>IFERROR(__xludf.DUMMYFUNCTION("""COMPUTED_VALUE"""),"local blocked toilet plumber")</f>
        <v>local blocked toilet plumber</v>
      </c>
      <c r="Y92" s="9"/>
      <c r="Z92" s="9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7" t="str">
        <f>IFERROR(__xludf.DUMMYFUNCTION("""COMPUTED_VALUE"""),"emergency plumber professional")</f>
        <v>emergency plumber professional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 t="str">
        <f>IFERROR(__xludf.DUMMYFUNCTION("""COMPUTED_VALUE"""),"local burst pipe repair")</f>
        <v>local burst pipe repair</v>
      </c>
      <c r="Y93" s="9"/>
      <c r="Z93" s="9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7" t="str">
        <f>IFERROR(__xludf.DUMMYFUNCTION("""COMPUTED_VALUE"""),"emergency plumber quote")</f>
        <v>emergency plumber quote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 t="str">
        <f>IFERROR(__xludf.DUMMYFUNCTION("""COMPUTED_VALUE"""),"local emergency plumber")</f>
        <v>local emergency plumber</v>
      </c>
      <c r="Y94" s="9"/>
      <c r="Z94" s="9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7" t="str">
        <f>IFERROR(__xludf.DUMMYFUNCTION("""COMPUTED_VALUE"""),"emergency plumber reliable")</f>
        <v>emergency plumber reliable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 t="str">
        <f>IFERROR(__xludf.DUMMYFUNCTION("""COMPUTED_VALUE"""),"local kitchen plumbing repair")</f>
        <v>local kitchen plumbing repair</v>
      </c>
      <c r="Y95" s="9"/>
      <c r="Z95" s="9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7" t="str">
        <f>IFERROR(__xludf.DUMMYFUNCTION("""COMPUTED_VALUE"""),"emergency plumber repair")</f>
        <v>emergency plumber repair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 t="str">
        <f>IFERROR(__xludf.DUMMYFUNCTION("""COMPUTED_VALUE"""),"local leaking pipe repair")</f>
        <v>local leaking pipe repair</v>
      </c>
      <c r="Y96" s="9"/>
      <c r="Z96" s="9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7" t="str">
        <f>IFERROR(__xludf.DUMMYFUNCTION("""COMPUTED_VALUE"""),"emergency plumber residential")</f>
        <v>emergency plumber residential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 t="str">
        <f>IFERROR(__xludf.DUMMYFUNCTION("""COMPUTED_VALUE"""),"local leaking tap repair")</f>
        <v>local leaking tap repair</v>
      </c>
      <c r="Y97" s="9"/>
      <c r="Z97" s="9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7" t="str">
        <f>IFERROR(__xludf.DUMMYFUNCTION("""COMPUTED_VALUE"""),"emergency plumber same day")</f>
        <v>emergency plumber same day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 t="str">
        <f>IFERROR(__xludf.DUMMYFUNCTION("""COMPUTED_VALUE"""),"local toilet repair")</f>
        <v>local toilet repair</v>
      </c>
      <c r="Y98" s="9"/>
      <c r="Z98" s="9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7" t="str">
        <f>IFERROR(__xludf.DUMMYFUNCTION("""COMPUTED_VALUE"""),"emergency plumber service")</f>
        <v>emergency plumber service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 t="str">
        <f>IFERROR(__xludf.DUMMYFUNCTION("""COMPUTED_VALUE"""),"local water leak repair")</f>
        <v>local water leak repair</v>
      </c>
      <c r="Y99" s="9"/>
      <c r="Z99" s="9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7" t="str">
        <f>IFERROR(__xludf.DUMMYFUNCTION("""COMPUTED_VALUE"""),"emergency plumber urgent")</f>
        <v>emergency plumber urgent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 t="str">
        <f>IFERROR(__xludf.DUMMYFUNCTION("""COMPUTED_VALUE"""),"near me 24 hour plumber")</f>
        <v>near me 24 hour plumber</v>
      </c>
      <c r="Y100" s="9"/>
      <c r="Z100" s="9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7" t="str">
        <f>IFERROR(__xludf.DUMMYFUNCTION("""COMPUTED_VALUE"""),"emergency plumber weekend")</f>
        <v>emergency plumber weekend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 t="str">
        <f>IFERROR(__xludf.DUMMYFUNCTION("""COMPUTED_VALUE"""),"near me bathroom plumbing repair")</f>
        <v>near me bathroom plumbing repair</v>
      </c>
      <c r="Y101" s="9"/>
      <c r="Z101" s="9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 t="str">
        <f>IFERROR(__xludf.DUMMYFUNCTION("""COMPUTED_VALUE"""),"kitchen plumbing repair")</f>
        <v>kitchen plumbing repair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 t="str">
        <f>IFERROR(__xludf.DUMMYFUNCTION("""COMPUTED_VALUE"""),"near me blocked toilet plumber")</f>
        <v>near me blocked toilet plumber</v>
      </c>
      <c r="Y102" s="9"/>
      <c r="Z102" s="9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 t="str">
        <f>IFERROR(__xludf.DUMMYFUNCTION("""COMPUTED_VALUE"""),"kitchen plumbing repair after hours")</f>
        <v>kitchen plumbing repair after hours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 t="str">
        <f>IFERROR(__xludf.DUMMYFUNCTION("""COMPUTED_VALUE"""),"near me burst pipe repair")</f>
        <v>near me burst pipe repair</v>
      </c>
      <c r="Y103" s="9"/>
      <c r="Z103" s="9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 t="str">
        <f>IFERROR(__xludf.DUMMYFUNCTION("""COMPUTED_VALUE"""),"kitchen plumbing repair call out")</f>
        <v>kitchen plumbing repair call out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 t="str">
        <f>IFERROR(__xludf.DUMMYFUNCTION("""COMPUTED_VALUE"""),"near me emergency plumber")</f>
        <v>near me emergency plumber</v>
      </c>
      <c r="Y104" s="9"/>
      <c r="Z104" s="9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 t="str">
        <f>IFERROR(__xludf.DUMMYFUNCTION("""COMPUTED_VALUE"""),"kitchen plumbing repair cape town")</f>
        <v>kitchen plumbing repair cape town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 t="str">
        <f>IFERROR(__xludf.DUMMYFUNCTION("""COMPUTED_VALUE"""),"near me kitchen plumbing repair")</f>
        <v>near me kitchen plumbing repair</v>
      </c>
      <c r="Y105" s="9"/>
      <c r="Z105" s="9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 t="str">
        <f>IFERROR(__xludf.DUMMYFUNCTION("""COMPUTED_VALUE"""),"kitchen plumbing repair commercial")</f>
        <v>kitchen plumbing repair commercial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 t="str">
        <f>IFERROR(__xludf.DUMMYFUNCTION("""COMPUTED_VALUE"""),"near me leaking pipe repair")</f>
        <v>near me leaking pipe repair</v>
      </c>
      <c r="Y106" s="9"/>
      <c r="Z106" s="9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 t="str">
        <f>IFERROR(__xludf.DUMMYFUNCTION("""COMPUTED_VALUE"""),"kitchen plumbing repair company")</f>
        <v>kitchen plumbing repair company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 t="str">
        <f>IFERROR(__xludf.DUMMYFUNCTION("""COMPUTED_VALUE"""),"near me leaking tap repair")</f>
        <v>near me leaking tap repair</v>
      </c>
      <c r="Y107" s="9"/>
      <c r="Z107" s="9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7" t="str">
        <f>IFERROR(__xludf.DUMMYFUNCTION("""COMPUTED_VALUE"""),"kitchen plumbing repair cost")</f>
        <v>kitchen plumbing repair cost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 t="str">
        <f>IFERROR(__xludf.DUMMYFUNCTION("""COMPUTED_VALUE"""),"near me toilet repair")</f>
        <v>near me toilet repair</v>
      </c>
      <c r="Y108" s="9"/>
      <c r="Z108" s="9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7" t="str">
        <f>IFERROR(__xludf.DUMMYFUNCTION("""COMPUTED_VALUE"""),"kitchen plumbing repair emergency")</f>
        <v>kitchen plumbing repair emergency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 t="str">
        <f>IFERROR(__xludf.DUMMYFUNCTION("""COMPUTED_VALUE"""),"near me water leak repair")</f>
        <v>near me water leak repair</v>
      </c>
      <c r="Y109" s="9"/>
      <c r="Z109" s="9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7" t="str">
        <f>IFERROR(__xludf.DUMMYFUNCTION("""COMPUTED_VALUE"""),"kitchen plumbing repair fast")</f>
        <v>kitchen plumbing repair fast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 t="str">
        <f>IFERROR(__xludf.DUMMYFUNCTION("""COMPUTED_VALUE"""),"plumber bathroom plumbing repair")</f>
        <v>plumber bathroom plumbing repair</v>
      </c>
      <c r="Y110" s="9"/>
      <c r="Z110" s="9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7" t="str">
        <f>IFERROR(__xludf.DUMMYFUNCTION("""COMPUTED_VALUE"""),"kitchen plumbing repair local")</f>
        <v>kitchen plumbing repair local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 t="str">
        <f>IFERROR(__xludf.DUMMYFUNCTION("""COMPUTED_VALUE"""),"plumber burst pipe repair")</f>
        <v>plumber burst pipe repair</v>
      </c>
      <c r="Y111" s="9"/>
      <c r="Z111" s="9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7" t="str">
        <f>IFERROR(__xludf.DUMMYFUNCTION("""COMPUTED_VALUE"""),"kitchen plumbing repair near me")</f>
        <v>kitchen plumbing repair near me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 t="str">
        <f>IFERROR(__xludf.DUMMYFUNCTION("""COMPUTED_VALUE"""),"plumber kitchen plumbing repair")</f>
        <v>plumber kitchen plumbing repair</v>
      </c>
      <c r="Y112" s="9"/>
      <c r="Z112" s="9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7" t="str">
        <f>IFERROR(__xludf.DUMMYFUNCTION("""COMPUTED_VALUE"""),"kitchen plumbing repair plumber")</f>
        <v>kitchen plumbing repair plumber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tr">
        <f>IFERROR(__xludf.DUMMYFUNCTION("""COMPUTED_VALUE"""),"plumber leaking pipe repair")</f>
        <v>plumber leaking pipe repair</v>
      </c>
      <c r="Y113" s="9"/>
      <c r="Z113" s="9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7" t="str">
        <f>IFERROR(__xludf.DUMMYFUNCTION("""COMPUTED_VALUE"""),"kitchen plumbing repair professional")</f>
        <v>kitchen plumbing repair professional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 t="str">
        <f>IFERROR(__xludf.DUMMYFUNCTION("""COMPUTED_VALUE"""),"plumber leaking tap repair")</f>
        <v>plumber leaking tap repair</v>
      </c>
      <c r="Y114" s="9"/>
      <c r="Z114" s="9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7" t="str">
        <f>IFERROR(__xludf.DUMMYFUNCTION("""COMPUTED_VALUE"""),"kitchen plumbing repair quote")</f>
        <v>kitchen plumbing repair quote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 t="str">
        <f>IFERROR(__xludf.DUMMYFUNCTION("""COMPUTED_VALUE"""),"plumber toilet repair")</f>
        <v>plumber toilet repair</v>
      </c>
      <c r="Y115" s="9"/>
      <c r="Z115" s="9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7" t="str">
        <f>IFERROR(__xludf.DUMMYFUNCTION("""COMPUTED_VALUE"""),"kitchen plumbing repair reliable")</f>
        <v>kitchen plumbing repair reliable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 t="str">
        <f>IFERROR(__xludf.DUMMYFUNCTION("""COMPUTED_VALUE"""),"plumber water leak repair")</f>
        <v>plumber water leak repair</v>
      </c>
      <c r="Y116" s="9"/>
      <c r="Z116" s="9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7" t="str">
        <f>IFERROR(__xludf.DUMMYFUNCTION("""COMPUTED_VALUE"""),"kitchen plumbing repair residential")</f>
        <v>kitchen plumbing repair residential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 t="str">
        <f>IFERROR(__xludf.DUMMYFUNCTION("""COMPUTED_VALUE"""),"professional 24 hour plumber")</f>
        <v>professional 24 hour plumber</v>
      </c>
      <c r="Y117" s="9"/>
      <c r="Z117" s="9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7" t="str">
        <f>IFERROR(__xludf.DUMMYFUNCTION("""COMPUTED_VALUE"""),"kitchen plumbing repair same day")</f>
        <v>kitchen plumbing repair same day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 t="str">
        <f>IFERROR(__xludf.DUMMYFUNCTION("""COMPUTED_VALUE"""),"professional bathroom plumbing repair")</f>
        <v>professional bathroom plumbing repair</v>
      </c>
      <c r="Y118" s="9"/>
      <c r="Z118" s="9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7" t="str">
        <f>IFERROR(__xludf.DUMMYFUNCTION("""COMPUTED_VALUE"""),"kitchen plumbing repair service")</f>
        <v>kitchen plumbing repair service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 t="str">
        <f>IFERROR(__xludf.DUMMYFUNCTION("""COMPUTED_VALUE"""),"professional blocked toilet plumber")</f>
        <v>professional blocked toilet plumber</v>
      </c>
      <c r="Y119" s="9"/>
      <c r="Z119" s="9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 t="str">
        <f>IFERROR(__xludf.DUMMYFUNCTION("""COMPUTED_VALUE"""),"kitchen plumbing repair urgent")</f>
        <v>kitchen plumbing repair urgent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6" t="str">
        <f>IFERROR(__xludf.DUMMYFUNCTION("""COMPUTED_VALUE"""),"professional burst pipe repair")</f>
        <v>professional burst pipe repair</v>
      </c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7" t="str">
        <f>IFERROR(__xludf.DUMMYFUNCTION("""COMPUTED_VALUE"""),"kitchen plumbing repair weekend")</f>
        <v>kitchen plumbing repair weekend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7" t="str">
        <f>IFERROR(__xludf.DUMMYFUNCTION("""COMPUTED_VALUE"""),"professional emergency plumber")</f>
        <v>professional emergency plumber</v>
      </c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7" t="str">
        <f>IFERROR(__xludf.DUMMYFUNCTION("""COMPUTED_VALUE"""),"leaking pipe repair")</f>
        <v>leaking pipe repair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7" t="str">
        <f>IFERROR(__xludf.DUMMYFUNCTION("""COMPUTED_VALUE"""),"professional kitchen plumbing repair")</f>
        <v>professional kitchen plumbing repair</v>
      </c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7" t="str">
        <f>IFERROR(__xludf.DUMMYFUNCTION("""COMPUTED_VALUE"""),"leaking pipe repair after hours")</f>
        <v>leaking pipe repair after hours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7" t="str">
        <f>IFERROR(__xludf.DUMMYFUNCTION("""COMPUTED_VALUE"""),"professional leaking pipe repair")</f>
        <v>professional leaking pipe repair</v>
      </c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7" t="str">
        <f>IFERROR(__xludf.DUMMYFUNCTION("""COMPUTED_VALUE"""),"leaking pipe repair call out")</f>
        <v>leaking pipe repair call out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tr">
        <f>IFERROR(__xludf.DUMMYFUNCTION("""COMPUTED_VALUE"""),"professional leaking tap repair")</f>
        <v>professional leaking tap repair</v>
      </c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7" t="str">
        <f>IFERROR(__xludf.DUMMYFUNCTION("""COMPUTED_VALUE"""),"leaking pipe repair cape town")</f>
        <v>leaking pipe repair cape town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7" t="str">
        <f>IFERROR(__xludf.DUMMYFUNCTION("""COMPUTED_VALUE"""),"professional toilet repair")</f>
        <v>professional toilet repair</v>
      </c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7" t="str">
        <f>IFERROR(__xludf.DUMMYFUNCTION("""COMPUTED_VALUE"""),"leaking pipe repair commercial")</f>
        <v>leaking pipe repair commercial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7" t="str">
        <f>IFERROR(__xludf.DUMMYFUNCTION("""COMPUTED_VALUE"""),"professional water leak repair")</f>
        <v>professional water leak repair</v>
      </c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7" t="str">
        <f>IFERROR(__xludf.DUMMYFUNCTION("""COMPUTED_VALUE"""),"leaking pipe repair company")</f>
        <v>leaking pipe repair company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7" t="str">
        <f>IFERROR(__xludf.DUMMYFUNCTION("""COMPUTED_VALUE"""),"quote 24 hour plumber")</f>
        <v>quote 24 hour plumber</v>
      </c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7" t="str">
        <f>IFERROR(__xludf.DUMMYFUNCTION("""COMPUTED_VALUE"""),"leaking pipe repair cost")</f>
        <v>leaking pipe repair cost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7" t="str">
        <f>IFERROR(__xludf.DUMMYFUNCTION("""COMPUTED_VALUE"""),"quote bathroom plumbing repair")</f>
        <v>quote bathroom plumbing repair</v>
      </c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7" t="str">
        <f>IFERROR(__xludf.DUMMYFUNCTION("""COMPUTED_VALUE"""),"leaking pipe repair emergency")</f>
        <v>leaking pipe repair emergency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7" t="str">
        <f>IFERROR(__xludf.DUMMYFUNCTION("""COMPUTED_VALUE"""),"quote blocked toilet plumber")</f>
        <v>quote blocked toilet plumber</v>
      </c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7" t="str">
        <f>IFERROR(__xludf.DUMMYFUNCTION("""COMPUTED_VALUE"""),"leaking pipe repair fast")</f>
        <v>leaking pipe repair fast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7" t="str">
        <f>IFERROR(__xludf.DUMMYFUNCTION("""COMPUTED_VALUE"""),"quote burst pipe repair")</f>
        <v>quote burst pipe repair</v>
      </c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7" t="str">
        <f>IFERROR(__xludf.DUMMYFUNCTION("""COMPUTED_VALUE"""),"leaking pipe repair local")</f>
        <v>leaking pipe repair local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7" t="str">
        <f>IFERROR(__xludf.DUMMYFUNCTION("""COMPUTED_VALUE"""),"quote emergency plumber")</f>
        <v>quote emergency plumber</v>
      </c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7" t="str">
        <f>IFERROR(__xludf.DUMMYFUNCTION("""COMPUTED_VALUE"""),"leaking pipe repair near me")</f>
        <v>leaking pipe repair near me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7" t="str">
        <f>IFERROR(__xludf.DUMMYFUNCTION("""COMPUTED_VALUE"""),"quote kitchen plumbing repair")</f>
        <v>quote kitchen plumbing repair</v>
      </c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7" t="str">
        <f>IFERROR(__xludf.DUMMYFUNCTION("""COMPUTED_VALUE"""),"leaking pipe repair plumber")</f>
        <v>leaking pipe repair plumber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7" t="str">
        <f>IFERROR(__xludf.DUMMYFUNCTION("""COMPUTED_VALUE"""),"quote leaking pipe repair")</f>
        <v>quote leaking pipe repair</v>
      </c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7" t="str">
        <f>IFERROR(__xludf.DUMMYFUNCTION("""COMPUTED_VALUE"""),"leaking pipe repair professional")</f>
        <v>leaking pipe repair professional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7" t="str">
        <f>IFERROR(__xludf.DUMMYFUNCTION("""COMPUTED_VALUE"""),"quote leaking tap repair")</f>
        <v>quote leaking tap repair</v>
      </c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7" t="str">
        <f>IFERROR(__xludf.DUMMYFUNCTION("""COMPUTED_VALUE"""),"leaking pipe repair quote")</f>
        <v>leaking pipe repair quote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7" t="str">
        <f>IFERROR(__xludf.DUMMYFUNCTION("""COMPUTED_VALUE"""),"quote toilet repair")</f>
        <v>quote toilet repair</v>
      </c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7" t="str">
        <f>IFERROR(__xludf.DUMMYFUNCTION("""COMPUTED_VALUE"""),"leaking pipe repair reliable")</f>
        <v>leaking pipe repair reliable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7" t="str">
        <f>IFERROR(__xludf.DUMMYFUNCTION("""COMPUTED_VALUE"""),"quote water leak repair")</f>
        <v>quote water leak repair</v>
      </c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7" t="str">
        <f>IFERROR(__xludf.DUMMYFUNCTION("""COMPUTED_VALUE"""),"leaking pipe repair residential")</f>
        <v>leaking pipe repair residential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7" t="str">
        <f>IFERROR(__xludf.DUMMYFUNCTION("""COMPUTED_VALUE"""),"reliable 24 hour plumber")</f>
        <v>reliable 24 hour plumber</v>
      </c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7" t="str">
        <f>IFERROR(__xludf.DUMMYFUNCTION("""COMPUTED_VALUE"""),"leaking pipe repair same day")</f>
        <v>leaking pipe repair same day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7" t="str">
        <f>IFERROR(__xludf.DUMMYFUNCTION("""COMPUTED_VALUE"""),"reliable bathroom plumbing repair")</f>
        <v>reliable bathroom plumbing repair</v>
      </c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7" t="str">
        <f>IFERROR(__xludf.DUMMYFUNCTION("""COMPUTED_VALUE"""),"leaking pipe repair service")</f>
        <v>leaking pipe repair service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7" t="str">
        <f>IFERROR(__xludf.DUMMYFUNCTION("""COMPUTED_VALUE"""),"reliable blocked toilet plumber")</f>
        <v>reliable blocked toilet plumber</v>
      </c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7" t="str">
        <f>IFERROR(__xludf.DUMMYFUNCTION("""COMPUTED_VALUE"""),"leaking pipe repair urgent")</f>
        <v>leaking pipe repair urgent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7" t="str">
        <f>IFERROR(__xludf.DUMMYFUNCTION("""COMPUTED_VALUE"""),"reliable burst pipe repair")</f>
        <v>reliable burst pipe repair</v>
      </c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7" t="str">
        <f>IFERROR(__xludf.DUMMYFUNCTION("""COMPUTED_VALUE"""),"leaking pipe repair weekend")</f>
        <v>leaking pipe repair weekend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7" t="str">
        <f>IFERROR(__xludf.DUMMYFUNCTION("""COMPUTED_VALUE"""),"reliable emergency plumber")</f>
        <v>reliable emergency plumber</v>
      </c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7" t="str">
        <f>IFERROR(__xludf.DUMMYFUNCTION("""COMPUTED_VALUE"""),"leaking tap repair")</f>
        <v>leaking tap repair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7" t="str">
        <f>IFERROR(__xludf.DUMMYFUNCTION("""COMPUTED_VALUE"""),"reliable kitchen plumbing repair")</f>
        <v>reliable kitchen plumbing repair</v>
      </c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7" t="str">
        <f>IFERROR(__xludf.DUMMYFUNCTION("""COMPUTED_VALUE"""),"leaking tap repair after hours")</f>
        <v>leaking tap repair after hours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7" t="str">
        <f>IFERROR(__xludf.DUMMYFUNCTION("""COMPUTED_VALUE"""),"reliable leaking pipe repair")</f>
        <v>reliable leaking pipe repair</v>
      </c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7" t="str">
        <f>IFERROR(__xludf.DUMMYFUNCTION("""COMPUTED_VALUE"""),"leaking tap repair call out")</f>
        <v>leaking tap repair call out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7" t="str">
        <f>IFERROR(__xludf.DUMMYFUNCTION("""COMPUTED_VALUE"""),"reliable leaking tap repair")</f>
        <v>reliable leaking tap repair</v>
      </c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7" t="str">
        <f>IFERROR(__xludf.DUMMYFUNCTION("""COMPUTED_VALUE"""),"leaking tap repair cape town")</f>
        <v>leaking tap repair cape town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7" t="str">
        <f>IFERROR(__xludf.DUMMYFUNCTION("""COMPUTED_VALUE"""),"reliable toilet repair")</f>
        <v>reliable toilet repair</v>
      </c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7" t="str">
        <f>IFERROR(__xludf.DUMMYFUNCTION("""COMPUTED_VALUE"""),"leaking tap repair commercial")</f>
        <v>leaking tap repair commercial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7" t="str">
        <f>IFERROR(__xludf.DUMMYFUNCTION("""COMPUTED_VALUE"""),"reliable water leak repair")</f>
        <v>reliable water leak repair</v>
      </c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7" t="str">
        <f>IFERROR(__xludf.DUMMYFUNCTION("""COMPUTED_VALUE"""),"leaking tap repair company")</f>
        <v>leaking tap repair company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7" t="str">
        <f>IFERROR(__xludf.DUMMYFUNCTION("""COMPUTED_VALUE"""),"repair 24 hour plumber")</f>
        <v>repair 24 hour plumber</v>
      </c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7" t="str">
        <f>IFERROR(__xludf.DUMMYFUNCTION("""COMPUTED_VALUE"""),"leaking tap repair cost")</f>
        <v>leaking tap repair cost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7" t="str">
        <f>IFERROR(__xludf.DUMMYFUNCTION("""COMPUTED_VALUE"""),"repair blocked toilet plumber")</f>
        <v>repair blocked toilet plumber</v>
      </c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7" t="str">
        <f>IFERROR(__xludf.DUMMYFUNCTION("""COMPUTED_VALUE"""),"leaking tap repair emergency")</f>
        <v>leaking tap repair emergency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7" t="str">
        <f>IFERROR(__xludf.DUMMYFUNCTION("""COMPUTED_VALUE"""),"repair emergency plumber")</f>
        <v>repair emergency plumber</v>
      </c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7" t="str">
        <f>IFERROR(__xludf.DUMMYFUNCTION("""COMPUTED_VALUE"""),"leaking tap repair fast")</f>
        <v>leaking tap repair fast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7" t="str">
        <f>IFERROR(__xludf.DUMMYFUNCTION("""COMPUTED_VALUE"""),"residential 24 hour plumber")</f>
        <v>residential 24 hour plumber</v>
      </c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7" t="str">
        <f>IFERROR(__xludf.DUMMYFUNCTION("""COMPUTED_VALUE"""),"leaking tap repair local")</f>
        <v>leaking tap repair local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7" t="str">
        <f>IFERROR(__xludf.DUMMYFUNCTION("""COMPUTED_VALUE"""),"residential bathroom plumbing repair")</f>
        <v>residential bathroom plumbing repair</v>
      </c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7" t="str">
        <f>IFERROR(__xludf.DUMMYFUNCTION("""COMPUTED_VALUE"""),"leaking tap repair near me")</f>
        <v>leaking tap repair near me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7" t="str">
        <f>IFERROR(__xludf.DUMMYFUNCTION("""COMPUTED_VALUE"""),"residential blocked toilet plumber")</f>
        <v>residential blocked toilet plumber</v>
      </c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7" t="str">
        <f>IFERROR(__xludf.DUMMYFUNCTION("""COMPUTED_VALUE"""),"leaking tap repair plumber")</f>
        <v>leaking tap repair plumber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7" t="str">
        <f>IFERROR(__xludf.DUMMYFUNCTION("""COMPUTED_VALUE"""),"residential burst pipe repair")</f>
        <v>residential burst pipe repair</v>
      </c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7" t="str">
        <f>IFERROR(__xludf.DUMMYFUNCTION("""COMPUTED_VALUE"""),"leaking tap repair professional")</f>
        <v>leaking tap repair professional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7" t="str">
        <f>IFERROR(__xludf.DUMMYFUNCTION("""COMPUTED_VALUE"""),"residential emergency plumber")</f>
        <v>residential emergency plumber</v>
      </c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7" t="str">
        <f>IFERROR(__xludf.DUMMYFUNCTION("""COMPUTED_VALUE"""),"leaking tap repair quote")</f>
        <v>leaking tap repair quote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7" t="str">
        <f>IFERROR(__xludf.DUMMYFUNCTION("""COMPUTED_VALUE"""),"residential kitchen plumbing repair")</f>
        <v>residential kitchen plumbing repair</v>
      </c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7" t="str">
        <f>IFERROR(__xludf.DUMMYFUNCTION("""COMPUTED_VALUE"""),"leaking tap repair reliable")</f>
        <v>leaking tap repair reliable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7" t="str">
        <f>IFERROR(__xludf.DUMMYFUNCTION("""COMPUTED_VALUE"""),"residential leaking pipe repair")</f>
        <v>residential leaking pipe repair</v>
      </c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7" t="str">
        <f>IFERROR(__xludf.DUMMYFUNCTION("""COMPUTED_VALUE"""),"leaking tap repair residential")</f>
        <v>leaking tap repair residential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7" t="str">
        <f>IFERROR(__xludf.DUMMYFUNCTION("""COMPUTED_VALUE"""),"residential leaking tap repair")</f>
        <v>residential leaking tap repair</v>
      </c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7" t="str">
        <f>IFERROR(__xludf.DUMMYFUNCTION("""COMPUTED_VALUE"""),"leaking tap repair same day")</f>
        <v>leaking tap repair same day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7" t="str">
        <f>IFERROR(__xludf.DUMMYFUNCTION("""COMPUTED_VALUE"""),"residential toilet repair")</f>
        <v>residential toilet repair</v>
      </c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7" t="str">
        <f>IFERROR(__xludf.DUMMYFUNCTION("""COMPUTED_VALUE"""),"leaking tap repair service")</f>
        <v>leaking tap repair service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7" t="str">
        <f>IFERROR(__xludf.DUMMYFUNCTION("""COMPUTED_VALUE"""),"residential water leak repair")</f>
        <v>residential water leak repair</v>
      </c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7" t="str">
        <f>IFERROR(__xludf.DUMMYFUNCTION("""COMPUTED_VALUE"""),"leaking tap repair urgent")</f>
        <v>leaking tap repair urgent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7" t="str">
        <f>IFERROR(__xludf.DUMMYFUNCTION("""COMPUTED_VALUE"""),"same day 24 hour plumber")</f>
        <v>same day 24 hour plumber</v>
      </c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7" t="str">
        <f>IFERROR(__xludf.DUMMYFUNCTION("""COMPUTED_VALUE"""),"leaking tap repair weekend")</f>
        <v>leaking tap repair weekend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7" t="str">
        <f>IFERROR(__xludf.DUMMYFUNCTION("""COMPUTED_VALUE"""),"same day bathroom plumbing repair")</f>
        <v>same day bathroom plumbing repair</v>
      </c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7" t="str">
        <f>IFERROR(__xludf.DUMMYFUNCTION("""COMPUTED_VALUE"""),"toilet repair")</f>
        <v>toilet repair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7" t="str">
        <f>IFERROR(__xludf.DUMMYFUNCTION("""COMPUTED_VALUE"""),"same day blocked toilet plumber")</f>
        <v>same day blocked toilet plumber</v>
      </c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7" t="str">
        <f>IFERROR(__xludf.DUMMYFUNCTION("""COMPUTED_VALUE"""),"toilet repair after hours")</f>
        <v>toilet repair after hours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7" t="str">
        <f>IFERROR(__xludf.DUMMYFUNCTION("""COMPUTED_VALUE"""),"same day burst pipe repair")</f>
        <v>same day burst pipe repair</v>
      </c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7" t="str">
        <f>IFERROR(__xludf.DUMMYFUNCTION("""COMPUTED_VALUE"""),"toilet repair call out")</f>
        <v>toilet repair call out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7" t="str">
        <f>IFERROR(__xludf.DUMMYFUNCTION("""COMPUTED_VALUE"""),"same day emergency plumber")</f>
        <v>same day emergency plumber</v>
      </c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7" t="str">
        <f>IFERROR(__xludf.DUMMYFUNCTION("""COMPUTED_VALUE"""),"toilet repair cape town")</f>
        <v>toilet repair cape town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7" t="str">
        <f>IFERROR(__xludf.DUMMYFUNCTION("""COMPUTED_VALUE"""),"same day kitchen plumbing repair")</f>
        <v>same day kitchen plumbing repair</v>
      </c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7" t="str">
        <f>IFERROR(__xludf.DUMMYFUNCTION("""COMPUTED_VALUE"""),"toilet repair commercial")</f>
        <v>toilet repair commercial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7" t="str">
        <f>IFERROR(__xludf.DUMMYFUNCTION("""COMPUTED_VALUE"""),"same day leaking pipe repair")</f>
        <v>same day leaking pipe repair</v>
      </c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7" t="str">
        <f>IFERROR(__xludf.DUMMYFUNCTION("""COMPUTED_VALUE"""),"toilet repair company")</f>
        <v>toilet repair company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7" t="str">
        <f>IFERROR(__xludf.DUMMYFUNCTION("""COMPUTED_VALUE"""),"same day leaking tap repair")</f>
        <v>same day leaking tap repair</v>
      </c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7" t="str">
        <f>IFERROR(__xludf.DUMMYFUNCTION("""COMPUTED_VALUE"""),"toilet repair cost")</f>
        <v>toilet repair cost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7" t="str">
        <f>IFERROR(__xludf.DUMMYFUNCTION("""COMPUTED_VALUE"""),"same day toilet repair")</f>
        <v>same day toilet repair</v>
      </c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7" t="str">
        <f>IFERROR(__xludf.DUMMYFUNCTION("""COMPUTED_VALUE"""),"toilet repair emergency")</f>
        <v>toilet repair emergency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7" t="str">
        <f>IFERROR(__xludf.DUMMYFUNCTION("""COMPUTED_VALUE"""),"same day water leak repair")</f>
        <v>same day water leak repair</v>
      </c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7" t="str">
        <f>IFERROR(__xludf.DUMMYFUNCTION("""COMPUTED_VALUE"""),"toilet repair fast")</f>
        <v>toilet repair fast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7" t="str">
        <f>IFERROR(__xludf.DUMMYFUNCTION("""COMPUTED_VALUE"""),"service 24 hour plumber")</f>
        <v>service 24 hour plumber</v>
      </c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7" t="str">
        <f>IFERROR(__xludf.DUMMYFUNCTION("""COMPUTED_VALUE"""),"toilet repair local")</f>
        <v>toilet repair local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7" t="str">
        <f>IFERROR(__xludf.DUMMYFUNCTION("""COMPUTED_VALUE"""),"service bathroom plumbing repair")</f>
        <v>service bathroom plumbing repair</v>
      </c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7" t="str">
        <f>IFERROR(__xludf.DUMMYFUNCTION("""COMPUTED_VALUE"""),"toilet repair near me")</f>
        <v>toilet repair near me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7" t="str">
        <f>IFERROR(__xludf.DUMMYFUNCTION("""COMPUTED_VALUE"""),"service blocked toilet plumber")</f>
        <v>service blocked toilet plumber</v>
      </c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7" t="str">
        <f>IFERROR(__xludf.DUMMYFUNCTION("""COMPUTED_VALUE"""),"toilet repair plumber")</f>
        <v>toilet repair plumber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7" t="str">
        <f>IFERROR(__xludf.DUMMYFUNCTION("""COMPUTED_VALUE"""),"service burst pipe repair")</f>
        <v>service burst pipe repair</v>
      </c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7" t="str">
        <f>IFERROR(__xludf.DUMMYFUNCTION("""COMPUTED_VALUE"""),"toilet repair professional")</f>
        <v>toilet repair professional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7" t="str">
        <f>IFERROR(__xludf.DUMMYFUNCTION("""COMPUTED_VALUE"""),"service emergency plumber")</f>
        <v>service emergency plumber</v>
      </c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7" t="str">
        <f>IFERROR(__xludf.DUMMYFUNCTION("""COMPUTED_VALUE"""),"toilet repair quote")</f>
        <v>toilet repair quote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7" t="str">
        <f>IFERROR(__xludf.DUMMYFUNCTION("""COMPUTED_VALUE"""),"service kitchen plumbing repair")</f>
        <v>service kitchen plumbing repair</v>
      </c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7" t="str">
        <f>IFERROR(__xludf.DUMMYFUNCTION("""COMPUTED_VALUE"""),"toilet repair reliable")</f>
        <v>toilet repair reliable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7" t="str">
        <f>IFERROR(__xludf.DUMMYFUNCTION("""COMPUTED_VALUE"""),"service leaking pipe repair")</f>
        <v>service leaking pipe repair</v>
      </c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7" t="str">
        <f>IFERROR(__xludf.DUMMYFUNCTION("""COMPUTED_VALUE"""),"toilet repair residential")</f>
        <v>toilet repair residential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7" t="str">
        <f>IFERROR(__xludf.DUMMYFUNCTION("""COMPUTED_VALUE"""),"service leaking tap repair")</f>
        <v>service leaking tap repair</v>
      </c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7" t="str">
        <f>IFERROR(__xludf.DUMMYFUNCTION("""COMPUTED_VALUE"""),"toilet repair same day")</f>
        <v>toilet repair same day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7" t="str">
        <f>IFERROR(__xludf.DUMMYFUNCTION("""COMPUTED_VALUE"""),"service toilet repair")</f>
        <v>service toilet repair</v>
      </c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7" t="str">
        <f>IFERROR(__xludf.DUMMYFUNCTION("""COMPUTED_VALUE"""),"toilet repair service")</f>
        <v>toilet repair service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7" t="str">
        <f>IFERROR(__xludf.DUMMYFUNCTION("""COMPUTED_VALUE"""),"service water leak repair")</f>
        <v>service water leak repair</v>
      </c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7" t="str">
        <f>IFERROR(__xludf.DUMMYFUNCTION("""COMPUTED_VALUE"""),"toilet repair urgent")</f>
        <v>toilet repair urgent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7" t="str">
        <f>IFERROR(__xludf.DUMMYFUNCTION("""COMPUTED_VALUE"""),"toilet repair")</f>
        <v>toilet repair</v>
      </c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7" t="str">
        <f>IFERROR(__xludf.DUMMYFUNCTION("""COMPUTED_VALUE"""),"toilet repair weekend")</f>
        <v>toilet repair weekend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7" t="str">
        <f>IFERROR(__xludf.DUMMYFUNCTION("""COMPUTED_VALUE"""),"urgent 24 hour plumber")</f>
        <v>urgent 24 hour plumber</v>
      </c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7" t="str">
        <f>IFERROR(__xludf.DUMMYFUNCTION("""COMPUTED_VALUE"""),"water leak repair")</f>
        <v>water leak repair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7" t="str">
        <f>IFERROR(__xludf.DUMMYFUNCTION("""COMPUTED_VALUE"""),"urgent bathroom plumbing repair")</f>
        <v>urgent bathroom plumbing repair</v>
      </c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7" t="str">
        <f>IFERROR(__xludf.DUMMYFUNCTION("""COMPUTED_VALUE"""),"water leak repair after hours")</f>
        <v>water leak repair after hours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7" t="str">
        <f>IFERROR(__xludf.DUMMYFUNCTION("""COMPUTED_VALUE"""),"urgent blocked toilet plumber")</f>
        <v>urgent blocked toilet plumber</v>
      </c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7" t="str">
        <f>IFERROR(__xludf.DUMMYFUNCTION("""COMPUTED_VALUE"""),"water leak repair call out")</f>
        <v>water leak repair call out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7" t="str">
        <f>IFERROR(__xludf.DUMMYFUNCTION("""COMPUTED_VALUE"""),"urgent burst pipe repair")</f>
        <v>urgent burst pipe repair</v>
      </c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7" t="str">
        <f>IFERROR(__xludf.DUMMYFUNCTION("""COMPUTED_VALUE"""),"water leak repair cape town")</f>
        <v>water leak repair cape town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7" t="str">
        <f>IFERROR(__xludf.DUMMYFUNCTION("""COMPUTED_VALUE"""),"urgent emergency plumber")</f>
        <v>urgent emergency plumber</v>
      </c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7" t="str">
        <f>IFERROR(__xludf.DUMMYFUNCTION("""COMPUTED_VALUE"""),"water leak repair commercial")</f>
        <v>water leak repair commercial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7" t="str">
        <f>IFERROR(__xludf.DUMMYFUNCTION("""COMPUTED_VALUE"""),"urgent kitchen plumbing repair")</f>
        <v>urgent kitchen plumbing repair</v>
      </c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7" t="str">
        <f>IFERROR(__xludf.DUMMYFUNCTION("""COMPUTED_VALUE"""),"water leak repair company")</f>
        <v>water leak repair company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7" t="str">
        <f>IFERROR(__xludf.DUMMYFUNCTION("""COMPUTED_VALUE"""),"urgent leaking pipe repair")</f>
        <v>urgent leaking pipe repair</v>
      </c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7" t="str">
        <f>IFERROR(__xludf.DUMMYFUNCTION("""COMPUTED_VALUE"""),"water leak repair cost")</f>
        <v>water leak repair cost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7" t="str">
        <f>IFERROR(__xludf.DUMMYFUNCTION("""COMPUTED_VALUE"""),"urgent leaking tap repair")</f>
        <v>urgent leaking tap repair</v>
      </c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7" t="str">
        <f>IFERROR(__xludf.DUMMYFUNCTION("""COMPUTED_VALUE"""),"water leak repair emergency")</f>
        <v>water leak repair emergency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7" t="str">
        <f>IFERROR(__xludf.DUMMYFUNCTION("""COMPUTED_VALUE"""),"urgent toilet repair")</f>
        <v>urgent toilet repair</v>
      </c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7" t="str">
        <f>IFERROR(__xludf.DUMMYFUNCTION("""COMPUTED_VALUE"""),"water leak repair fast")</f>
        <v>water leak repair fast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7" t="str">
        <f>IFERROR(__xludf.DUMMYFUNCTION("""COMPUTED_VALUE"""),"urgent water leak repair")</f>
        <v>urgent water leak repair</v>
      </c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7" t="str">
        <f>IFERROR(__xludf.DUMMYFUNCTION("""COMPUTED_VALUE"""),"water leak repair local")</f>
        <v>water leak repair local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7" t="str">
        <f>IFERROR(__xludf.DUMMYFUNCTION("""COMPUTED_VALUE"""),"water leak repair")</f>
        <v>water leak repair</v>
      </c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7" t="str">
        <f>IFERROR(__xludf.DUMMYFUNCTION("""COMPUTED_VALUE"""),"water leak repair near me")</f>
        <v>water leak repair near me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7" t="str">
        <f>IFERROR(__xludf.DUMMYFUNCTION("""COMPUTED_VALUE"""),"weekend 24 hour plumber")</f>
        <v>weekend 24 hour plumber</v>
      </c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7" t="str">
        <f>IFERROR(__xludf.DUMMYFUNCTION("""COMPUTED_VALUE"""),"water leak repair plumber")</f>
        <v>water leak repair plumber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7" t="str">
        <f>IFERROR(__xludf.DUMMYFUNCTION("""COMPUTED_VALUE"""),"weekend bathroom plumbing repair")</f>
        <v>weekend bathroom plumbing repair</v>
      </c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7" t="str">
        <f>IFERROR(__xludf.DUMMYFUNCTION("""COMPUTED_VALUE"""),"water leak repair professional")</f>
        <v>water leak repair professional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7" t="str">
        <f>IFERROR(__xludf.DUMMYFUNCTION("""COMPUTED_VALUE"""),"weekend blocked toilet plumber")</f>
        <v>weekend blocked toilet plumber</v>
      </c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7" t="str">
        <f>IFERROR(__xludf.DUMMYFUNCTION("""COMPUTED_VALUE"""),"water leak repair quote")</f>
        <v>water leak repair quote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7" t="str">
        <f>IFERROR(__xludf.DUMMYFUNCTION("""COMPUTED_VALUE"""),"weekend burst pipe repair")</f>
        <v>weekend burst pipe repair</v>
      </c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7" t="str">
        <f>IFERROR(__xludf.DUMMYFUNCTION("""COMPUTED_VALUE"""),"water leak repair reliable")</f>
        <v>water leak repair reliable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7" t="str">
        <f>IFERROR(__xludf.DUMMYFUNCTION("""COMPUTED_VALUE"""),"weekend emergency plumber")</f>
        <v>weekend emergency plumber</v>
      </c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7" t="str">
        <f>IFERROR(__xludf.DUMMYFUNCTION("""COMPUTED_VALUE"""),"water leak repair residential")</f>
        <v>water leak repair residential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7" t="str">
        <f>IFERROR(__xludf.DUMMYFUNCTION("""COMPUTED_VALUE"""),"weekend kitchen plumbing repair")</f>
        <v>weekend kitchen plumbing repair</v>
      </c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7" t="str">
        <f>IFERROR(__xludf.DUMMYFUNCTION("""COMPUTED_VALUE"""),"water leak repair same day")</f>
        <v>water leak repair same day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7" t="str">
        <f>IFERROR(__xludf.DUMMYFUNCTION("""COMPUTED_VALUE"""),"weekend leaking pipe repair")</f>
        <v>weekend leaking pipe repair</v>
      </c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7" t="str">
        <f>IFERROR(__xludf.DUMMYFUNCTION("""COMPUTED_VALUE"""),"water leak repair service")</f>
        <v>water leak repair service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7" t="str">
        <f>IFERROR(__xludf.DUMMYFUNCTION("""COMPUTED_VALUE"""),"weekend leaking tap repair")</f>
        <v>weekend leaking tap repair</v>
      </c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7" t="str">
        <f>IFERROR(__xludf.DUMMYFUNCTION("""COMPUTED_VALUE"""),"water leak repair urgent")</f>
        <v>water leak repair urgent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7" t="str">
        <f>IFERROR(__xludf.DUMMYFUNCTION("""COMPUTED_VALUE"""),"weekend toilet repair")</f>
        <v>weekend toilet repair</v>
      </c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7" t="str">
        <f>IFERROR(__xludf.DUMMYFUNCTION("""COMPUTED_VALUE"""),"water leak repair weekend")</f>
        <v>water leak repair weekend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7" t="str">
        <f>IFERROR(__xludf.DUMMYFUNCTION("""COMPUTED_VALUE"""),"weekend water leak repair")</f>
        <v>weekend water leak repair</v>
      </c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21</v>
      </c>
    </row>
    <row r="2">
      <c r="A2" s="1">
        <v>1.0</v>
      </c>
      <c r="B2" s="1" t="s">
        <v>10</v>
      </c>
      <c r="C2" s="1" t="s">
        <v>25</v>
      </c>
      <c r="D2" s="1">
        <v>0.0</v>
      </c>
      <c r="E2" s="1">
        <v>250.0</v>
      </c>
      <c r="F2" s="1">
        <v>1.5</v>
      </c>
      <c r="G2" s="1">
        <v>0.55</v>
      </c>
      <c r="H2" s="1" t="s">
        <v>28</v>
      </c>
      <c r="I2" s="4">
        <v>46217.466770833336</v>
      </c>
      <c r="J2" s="1" t="s">
        <v>31</v>
      </c>
      <c r="K2" s="1">
        <v>140000.0</v>
      </c>
      <c r="L2" s="1">
        <v>200.0</v>
      </c>
      <c r="M2" s="1">
        <v>200.0</v>
      </c>
      <c r="N2" s="5">
        <v>42258.0</v>
      </c>
      <c r="O2" s="1" t="s">
        <v>35</v>
      </c>
      <c r="P2" s="1" t="s">
        <v>36</v>
      </c>
      <c r="Q2" s="1" t="s">
        <v>38</v>
      </c>
      <c r="R2" s="1" t="s">
        <v>39</v>
      </c>
      <c r="S2" s="1" t="s">
        <v>40</v>
      </c>
    </row>
    <row r="3">
      <c r="A3" s="1">
        <v>2.0</v>
      </c>
      <c r="B3" s="1" t="s">
        <v>41</v>
      </c>
      <c r="C3" s="1" t="s">
        <v>25</v>
      </c>
      <c r="D3" s="1">
        <v>0.0</v>
      </c>
      <c r="E3" s="1">
        <v>150.0</v>
      </c>
      <c r="F3" s="1">
        <v>1.2</v>
      </c>
      <c r="H3" s="1" t="s">
        <v>43</v>
      </c>
      <c r="I3" s="4">
        <v>46214.59721064815</v>
      </c>
      <c r="J3" s="1" t="s">
        <v>45</v>
      </c>
      <c r="K3" s="1">
        <v>14000.0</v>
      </c>
      <c r="L3" s="1">
        <v>10.0</v>
      </c>
      <c r="M3" s="1">
        <v>10.0</v>
      </c>
      <c r="N3" s="5">
        <v>42421.0</v>
      </c>
      <c r="O3" s="1" t="s">
        <v>47</v>
      </c>
      <c r="P3" s="1" t="s">
        <v>36</v>
      </c>
      <c r="Q3" s="1" t="s">
        <v>49</v>
      </c>
      <c r="S3" s="1" t="s">
        <v>40</v>
      </c>
    </row>
    <row r="4">
      <c r="A4" s="1">
        <v>3.0</v>
      </c>
      <c r="B4" s="1" t="s">
        <v>50</v>
      </c>
      <c r="C4" s="1" t="s">
        <v>25</v>
      </c>
      <c r="D4" s="1">
        <v>13.0</v>
      </c>
      <c r="E4" s="1">
        <v>150.0</v>
      </c>
      <c r="F4" s="1">
        <v>1.6</v>
      </c>
      <c r="H4" s="1" t="s">
        <v>53</v>
      </c>
      <c r="I4" s="4">
        <v>46223.86341435185</v>
      </c>
      <c r="J4" s="1" t="s">
        <v>54</v>
      </c>
      <c r="K4" s="1">
        <v>101000.0</v>
      </c>
      <c r="L4" s="1">
        <v>80.0</v>
      </c>
      <c r="M4" s="1">
        <v>80.0</v>
      </c>
      <c r="N4" s="5">
        <v>43576.0</v>
      </c>
      <c r="O4" s="1" t="s">
        <v>47</v>
      </c>
      <c r="P4" s="1" t="s">
        <v>36</v>
      </c>
      <c r="Q4" s="1" t="s">
        <v>57</v>
      </c>
      <c r="S4" s="1" t="s">
        <v>40</v>
      </c>
    </row>
    <row r="5">
      <c r="A5" s="1">
        <v>4.0</v>
      </c>
      <c r="B5" s="1" t="s">
        <v>59</v>
      </c>
      <c r="C5" s="1" t="s">
        <v>25</v>
      </c>
      <c r="E5" s="1">
        <v>100.0</v>
      </c>
      <c r="F5" s="1">
        <v>1.2</v>
      </c>
      <c r="I5" s="4"/>
      <c r="K5" s="1">
        <v>100.0</v>
      </c>
      <c r="N5" s="5">
        <v>42472.0</v>
      </c>
      <c r="Q5" s="1" t="s">
        <v>63</v>
      </c>
    </row>
    <row r="6">
      <c r="A6" s="1">
        <v>5.0</v>
      </c>
      <c r="B6" s="1" t="s">
        <v>61</v>
      </c>
      <c r="C6" s="1" t="s">
        <v>25</v>
      </c>
      <c r="D6" s="1">
        <v>0.0</v>
      </c>
      <c r="E6" s="1">
        <v>100.0</v>
      </c>
      <c r="F6" s="1">
        <v>2.0</v>
      </c>
      <c r="H6" s="1" t="s">
        <v>61</v>
      </c>
      <c r="I6" s="4">
        <v>46202.36267361111</v>
      </c>
      <c r="J6" s="1" t="s">
        <v>68</v>
      </c>
      <c r="K6" s="1">
        <v>150.0</v>
      </c>
      <c r="L6" s="1">
        <v>20.0</v>
      </c>
      <c r="M6" s="1">
        <v>20.0</v>
      </c>
      <c r="N6" s="5">
        <v>42329.0</v>
      </c>
      <c r="O6" s="1" t="s">
        <v>35</v>
      </c>
      <c r="P6" s="1" t="s">
        <v>36</v>
      </c>
      <c r="Q6" s="1" t="s">
        <v>72</v>
      </c>
      <c r="S6" s="1" t="s">
        <v>40</v>
      </c>
    </row>
    <row r="7">
      <c r="A7" s="1">
        <v>6.0</v>
      </c>
      <c r="B7" s="1" t="s">
        <v>19</v>
      </c>
      <c r="C7" s="1" t="s">
        <v>25</v>
      </c>
      <c r="E7" s="1">
        <v>70.0</v>
      </c>
      <c r="I7" s="4"/>
      <c r="K7" s="1">
        <v>7500.0</v>
      </c>
      <c r="N7" s="5">
        <v>43844.0</v>
      </c>
      <c r="Q7" s="1" t="s">
        <v>88</v>
      </c>
    </row>
    <row r="8">
      <c r="A8" s="1">
        <v>7.0</v>
      </c>
      <c r="B8" s="1" t="s">
        <v>16</v>
      </c>
      <c r="C8" s="1" t="s">
        <v>25</v>
      </c>
      <c r="D8" s="1">
        <v>0.0</v>
      </c>
      <c r="E8" s="1">
        <v>70.0</v>
      </c>
      <c r="F8" s="1">
        <v>1.4</v>
      </c>
      <c r="G8" s="1">
        <v>0.63</v>
      </c>
      <c r="H8" s="1" t="s">
        <v>28</v>
      </c>
      <c r="I8" s="4">
        <v>46206.756574074076</v>
      </c>
      <c r="J8" s="1" t="s">
        <v>45</v>
      </c>
      <c r="K8" s="1">
        <v>14000.0</v>
      </c>
      <c r="L8" s="1">
        <v>250.0</v>
      </c>
      <c r="M8" s="1">
        <v>250.0</v>
      </c>
      <c r="N8" s="5">
        <v>42289.0</v>
      </c>
      <c r="O8" s="1" t="s">
        <v>35</v>
      </c>
      <c r="P8" s="1" t="s">
        <v>36</v>
      </c>
      <c r="Q8" s="1" t="s">
        <v>94</v>
      </c>
      <c r="R8" s="1" t="s">
        <v>95</v>
      </c>
      <c r="S8" s="1" t="s">
        <v>40</v>
      </c>
    </row>
    <row r="9">
      <c r="A9" s="1">
        <v>8.0</v>
      </c>
      <c r="B9" s="1" t="s">
        <v>33</v>
      </c>
      <c r="C9" s="1" t="s">
        <v>25</v>
      </c>
      <c r="E9" s="1">
        <v>60.0</v>
      </c>
      <c r="F9" s="1">
        <v>0.8</v>
      </c>
      <c r="I9" s="4"/>
      <c r="K9" s="1">
        <v>4900.0</v>
      </c>
      <c r="N9" s="5">
        <v>43631.0</v>
      </c>
      <c r="Q9" s="1" t="s">
        <v>99</v>
      </c>
    </row>
    <row r="10">
      <c r="A10" s="1">
        <v>9.0</v>
      </c>
      <c r="B10" s="1" t="s">
        <v>24</v>
      </c>
      <c r="C10" s="1" t="s">
        <v>25</v>
      </c>
      <c r="E10" s="1">
        <v>50.0</v>
      </c>
      <c r="I10" s="4"/>
      <c r="K10" s="1">
        <v>1300.0</v>
      </c>
      <c r="N10" s="5">
        <v>42603.0</v>
      </c>
      <c r="Q10" s="1" t="s">
        <v>103</v>
      </c>
    </row>
    <row r="11">
      <c r="A11" s="1">
        <v>10.0</v>
      </c>
      <c r="B11" s="1" t="s">
        <v>22</v>
      </c>
      <c r="C11" s="1" t="s">
        <v>25</v>
      </c>
      <c r="E11" s="1">
        <v>30.0</v>
      </c>
      <c r="F11" s="1">
        <v>0.35</v>
      </c>
      <c r="K11" s="1">
        <v>1800.0</v>
      </c>
      <c r="N11" s="5">
        <v>43858.0</v>
      </c>
      <c r="Q11" s="1" t="s">
        <v>109</v>
      </c>
    </row>
    <row r="12">
      <c r="A12" s="1">
        <v>11.0</v>
      </c>
      <c r="B12" s="1" t="s">
        <v>110</v>
      </c>
      <c r="C12" s="1" t="s">
        <v>25</v>
      </c>
      <c r="E12" s="1">
        <v>30.0</v>
      </c>
      <c r="I12" s="4"/>
      <c r="K12" s="1">
        <v>200.0</v>
      </c>
      <c r="N12" s="5">
        <v>42530.0</v>
      </c>
      <c r="Q12" s="1" t="s">
        <v>112</v>
      </c>
    </row>
    <row r="13">
      <c r="A13" s="1">
        <v>12.0</v>
      </c>
      <c r="B13" s="1" t="s">
        <v>26</v>
      </c>
      <c r="C13" s="1" t="s">
        <v>25</v>
      </c>
      <c r="E13" s="1">
        <v>30.0</v>
      </c>
      <c r="F13" s="1">
        <v>2.0</v>
      </c>
      <c r="K13" s="1">
        <v>2100.0</v>
      </c>
      <c r="N13" s="5">
        <v>42982.0</v>
      </c>
      <c r="Q13" s="1" t="s">
        <v>116</v>
      </c>
    </row>
    <row r="14">
      <c r="A14" s="1">
        <v>13.0</v>
      </c>
      <c r="B14" s="1" t="s">
        <v>27</v>
      </c>
      <c r="C14" s="1" t="s">
        <v>25</v>
      </c>
      <c r="D14" s="1">
        <v>1.0</v>
      </c>
      <c r="E14" s="1">
        <v>20.0</v>
      </c>
      <c r="F14" s="1">
        <v>0.5</v>
      </c>
      <c r="H14" s="1" t="s">
        <v>120</v>
      </c>
      <c r="I14" s="4">
        <v>46215.46802083333</v>
      </c>
      <c r="J14" s="1" t="s">
        <v>122</v>
      </c>
      <c r="K14" s="1">
        <v>19000.0</v>
      </c>
      <c r="L14" s="1">
        <v>250.0</v>
      </c>
      <c r="M14" s="1">
        <v>3900.0</v>
      </c>
      <c r="N14" s="5">
        <v>42464.0</v>
      </c>
      <c r="O14" s="1" t="s">
        <v>126</v>
      </c>
      <c r="P14" s="1" t="s">
        <v>36</v>
      </c>
      <c r="Q14" s="1" t="s">
        <v>128</v>
      </c>
      <c r="S14" s="1" t="s">
        <v>40</v>
      </c>
    </row>
    <row r="15">
      <c r="A15" s="1">
        <v>14.0</v>
      </c>
      <c r="B15" s="1" t="s">
        <v>129</v>
      </c>
      <c r="C15" s="1" t="s">
        <v>25</v>
      </c>
      <c r="E15" s="1">
        <v>20.0</v>
      </c>
      <c r="I15" s="4"/>
      <c r="K15" s="1">
        <v>500.0</v>
      </c>
      <c r="N15" s="5">
        <v>44109.0</v>
      </c>
      <c r="Q15" s="1" t="s">
        <v>135</v>
      </c>
    </row>
    <row r="16">
      <c r="A16" s="1">
        <v>15.0</v>
      </c>
      <c r="B16" s="1" t="s">
        <v>137</v>
      </c>
      <c r="C16" s="1" t="s">
        <v>25</v>
      </c>
      <c r="E16" s="1">
        <v>10.0</v>
      </c>
      <c r="I16" s="4"/>
      <c r="K16" s="1">
        <v>10.0</v>
      </c>
      <c r="N16" s="5">
        <v>45998.0</v>
      </c>
      <c r="Q16" s="1" t="s">
        <v>141</v>
      </c>
    </row>
    <row r="17">
      <c r="A17" s="1">
        <v>16.0</v>
      </c>
      <c r="B17" s="1" t="s">
        <v>143</v>
      </c>
      <c r="C17" s="1" t="s">
        <v>25</v>
      </c>
      <c r="E17" s="1">
        <v>10.0</v>
      </c>
      <c r="K17" s="1">
        <v>1100.0</v>
      </c>
      <c r="N17" s="5">
        <v>44275.0</v>
      </c>
      <c r="Q17" s="1" t="s">
        <v>147</v>
      </c>
    </row>
    <row r="18">
      <c r="A18" s="1">
        <v>17.0</v>
      </c>
      <c r="B18" s="1" t="s">
        <v>149</v>
      </c>
      <c r="C18" s="1" t="s">
        <v>25</v>
      </c>
      <c r="E18" s="1">
        <v>10.0</v>
      </c>
      <c r="F18" s="1">
        <v>0.7</v>
      </c>
      <c r="I18" s="4"/>
      <c r="K18" s="1">
        <v>4500.0</v>
      </c>
      <c r="N18" s="5">
        <v>43843.0</v>
      </c>
      <c r="Q18" s="1" t="s">
        <v>154</v>
      </c>
    </row>
    <row r="19">
      <c r="A19" s="1">
        <v>18.0</v>
      </c>
      <c r="B19" s="1" t="s">
        <v>155</v>
      </c>
      <c r="C19" s="1" t="s">
        <v>25</v>
      </c>
      <c r="I19" s="4"/>
      <c r="K19" s="1">
        <v>300.0</v>
      </c>
      <c r="N19" s="5">
        <v>43840.0</v>
      </c>
      <c r="Q19" s="1" t="s">
        <v>160</v>
      </c>
    </row>
    <row r="20">
      <c r="A20" s="1">
        <v>19.0</v>
      </c>
      <c r="B20" s="1" t="s">
        <v>161</v>
      </c>
      <c r="C20" s="1" t="s">
        <v>25</v>
      </c>
      <c r="K20" s="1">
        <v>2900.0</v>
      </c>
      <c r="N20" s="5">
        <v>43845.0</v>
      </c>
      <c r="Q20" s="1" t="s">
        <v>164</v>
      </c>
    </row>
    <row r="21">
      <c r="A21" s="1">
        <v>20.0</v>
      </c>
      <c r="B21" s="1" t="s">
        <v>166</v>
      </c>
      <c r="C21" s="1" t="s">
        <v>25</v>
      </c>
      <c r="K21" s="1">
        <v>70.0</v>
      </c>
      <c r="N21" s="5">
        <v>44351.0</v>
      </c>
      <c r="Q21" s="1" t="s">
        <v>169</v>
      </c>
    </row>
    <row r="22">
      <c r="A22" s="1">
        <v>21.0</v>
      </c>
      <c r="B22" s="1" t="s">
        <v>171</v>
      </c>
      <c r="C22" s="1" t="s">
        <v>25</v>
      </c>
      <c r="K22" s="1">
        <v>250.0</v>
      </c>
      <c r="N22" s="5">
        <v>45270.0</v>
      </c>
      <c r="Q22" s="1" t="s">
        <v>175</v>
      </c>
    </row>
    <row r="23">
      <c r="A23" s="1">
        <v>22.0</v>
      </c>
      <c r="B23" s="1" t="s">
        <v>177</v>
      </c>
      <c r="C23" s="1" t="s">
        <v>25</v>
      </c>
      <c r="K23" s="1">
        <v>100.0</v>
      </c>
      <c r="N23" s="5">
        <v>43715.0</v>
      </c>
      <c r="Q23" s="1" t="s">
        <v>180</v>
      </c>
    </row>
    <row r="24">
      <c r="A24" s="1">
        <v>23.0</v>
      </c>
      <c r="B24" s="1" t="s">
        <v>181</v>
      </c>
      <c r="C24" s="1" t="s">
        <v>25</v>
      </c>
      <c r="I24" s="4"/>
      <c r="K24" s="1">
        <v>100.0</v>
      </c>
      <c r="N24" s="5">
        <v>44089.0</v>
      </c>
      <c r="Q24" s="1" t="s">
        <v>185</v>
      </c>
    </row>
    <row r="25">
      <c r="A25" s="1">
        <v>24.0</v>
      </c>
      <c r="B25" s="1" t="s">
        <v>187</v>
      </c>
      <c r="C25" s="1" t="s">
        <v>25</v>
      </c>
      <c r="K25" s="1">
        <v>1200.0</v>
      </c>
      <c r="N25" s="5">
        <v>42801.0</v>
      </c>
      <c r="Q25" s="1" t="s">
        <v>191</v>
      </c>
    </row>
    <row r="26">
      <c r="A26" s="1">
        <v>25.0</v>
      </c>
      <c r="B26" s="1" t="s">
        <v>192</v>
      </c>
      <c r="C26" s="1" t="s">
        <v>25</v>
      </c>
      <c r="K26" s="1">
        <v>200.0</v>
      </c>
      <c r="N26" s="5">
        <v>44923.0</v>
      </c>
      <c r="Q26" s="1" t="s">
        <v>196</v>
      </c>
    </row>
    <row r="27">
      <c r="A27" s="1">
        <v>26.0</v>
      </c>
      <c r="B27" s="1" t="s">
        <v>198</v>
      </c>
      <c r="C27" s="1" t="s">
        <v>25</v>
      </c>
      <c r="F27" s="1">
        <v>1.7</v>
      </c>
      <c r="K27" s="1">
        <v>350.0</v>
      </c>
      <c r="N27" s="5">
        <v>43873.0</v>
      </c>
      <c r="Q27" s="1" t="s">
        <v>202</v>
      </c>
    </row>
    <row r="28">
      <c r="A28" s="1">
        <v>27.0</v>
      </c>
      <c r="B28" s="1" t="s">
        <v>204</v>
      </c>
      <c r="C28" s="1" t="s">
        <v>25</v>
      </c>
      <c r="K28" s="1">
        <v>100.0</v>
      </c>
      <c r="N28" s="5">
        <v>44065.0</v>
      </c>
      <c r="Q28" s="1" t="s">
        <v>210</v>
      </c>
    </row>
    <row r="29">
      <c r="A29" s="1">
        <v>28.0</v>
      </c>
      <c r="B29" s="1" t="s">
        <v>211</v>
      </c>
      <c r="C29" s="1" t="s">
        <v>25</v>
      </c>
      <c r="I29" s="4"/>
      <c r="N29" s="5">
        <v>46117.0</v>
      </c>
      <c r="Q29" s="1" t="s">
        <v>215</v>
      </c>
    </row>
    <row r="30">
      <c r="A30" s="1">
        <v>29.0</v>
      </c>
      <c r="B30" s="1" t="s">
        <v>216</v>
      </c>
      <c r="C30" s="1" t="s">
        <v>25</v>
      </c>
      <c r="I30" s="4"/>
      <c r="K30" s="1">
        <v>700.0</v>
      </c>
      <c r="N30" s="5">
        <v>43913.0</v>
      </c>
      <c r="Q30" s="1" t="s">
        <v>219</v>
      </c>
    </row>
    <row r="31">
      <c r="A31" s="1">
        <v>30.0</v>
      </c>
      <c r="B31" s="1" t="s">
        <v>221</v>
      </c>
      <c r="C31" s="1" t="s">
        <v>25</v>
      </c>
      <c r="K31" s="1">
        <v>150.0</v>
      </c>
      <c r="N31" s="5">
        <v>44074.0</v>
      </c>
      <c r="Q31" s="1" t="s">
        <v>224</v>
      </c>
    </row>
    <row r="32">
      <c r="A32" s="1">
        <v>31.0</v>
      </c>
      <c r="B32" s="1" t="s">
        <v>225</v>
      </c>
      <c r="C32" s="1" t="s">
        <v>25</v>
      </c>
      <c r="I32" s="4"/>
      <c r="K32" s="1">
        <v>150.0</v>
      </c>
      <c r="N32" s="5">
        <v>44166.0</v>
      </c>
      <c r="Q32" s="1" t="s">
        <v>230</v>
      </c>
    </row>
    <row r="33">
      <c r="A33" s="1">
        <v>32.0</v>
      </c>
      <c r="B33" s="1" t="s">
        <v>231</v>
      </c>
      <c r="C33" s="1" t="s">
        <v>25</v>
      </c>
      <c r="K33" s="1">
        <v>50.0</v>
      </c>
      <c r="N33" s="5">
        <v>45558.0</v>
      </c>
      <c r="Q33" s="1" t="s">
        <v>235</v>
      </c>
    </row>
    <row r="34">
      <c r="A34" s="1">
        <v>33.0</v>
      </c>
      <c r="B34" s="1" t="s">
        <v>237</v>
      </c>
      <c r="C34" s="1" t="s">
        <v>25</v>
      </c>
      <c r="F34" s="1">
        <v>1.3</v>
      </c>
      <c r="K34" s="1">
        <v>2500.0</v>
      </c>
      <c r="N34" s="5">
        <v>43864.0</v>
      </c>
      <c r="Q34" s="1" t="s">
        <v>241</v>
      </c>
    </row>
    <row r="35">
      <c r="A35" s="1">
        <v>34.0</v>
      </c>
      <c r="B35" s="1" t="s">
        <v>242</v>
      </c>
      <c r="C35" s="1" t="s">
        <v>25</v>
      </c>
      <c r="K35" s="1">
        <v>1600.0</v>
      </c>
      <c r="N35" s="5">
        <v>43870.0</v>
      </c>
      <c r="Q35" s="1" t="s">
        <v>245</v>
      </c>
    </row>
    <row r="36">
      <c r="A36" s="1">
        <v>35.0</v>
      </c>
      <c r="B36" s="1" t="s">
        <v>247</v>
      </c>
      <c r="C36" s="1" t="s">
        <v>25</v>
      </c>
      <c r="K36" s="1">
        <v>20.0</v>
      </c>
      <c r="N36" s="5">
        <v>45144.0</v>
      </c>
      <c r="Q36" s="1" t="s">
        <v>250</v>
      </c>
    </row>
    <row r="37">
      <c r="A37" s="1">
        <v>36.0</v>
      </c>
      <c r="B37" s="1" t="s">
        <v>253</v>
      </c>
      <c r="C37" s="1" t="s">
        <v>25</v>
      </c>
      <c r="I37" s="4"/>
      <c r="K37" s="1">
        <v>600.0</v>
      </c>
      <c r="N37" s="5">
        <v>44037.0</v>
      </c>
      <c r="Q37" s="1" t="s">
        <v>256</v>
      </c>
    </row>
    <row r="38">
      <c r="A38" s="1">
        <v>37.0</v>
      </c>
      <c r="B38" s="1" t="s">
        <v>259</v>
      </c>
      <c r="C38" s="1" t="s">
        <v>25</v>
      </c>
      <c r="N38" s="5">
        <v>45999.0</v>
      </c>
      <c r="Q38" s="1" t="s">
        <v>261</v>
      </c>
    </row>
    <row r="39">
      <c r="A39" s="1">
        <v>38.0</v>
      </c>
      <c r="B39" s="1" t="s">
        <v>264</v>
      </c>
      <c r="C39" s="1" t="s">
        <v>25</v>
      </c>
      <c r="I39" s="4"/>
      <c r="K39" s="1">
        <v>200.0</v>
      </c>
      <c r="N39" s="5">
        <v>43843.0</v>
      </c>
      <c r="Q39" s="1" t="s">
        <v>269</v>
      </c>
    </row>
    <row r="40">
      <c r="A40" s="1">
        <v>39.0</v>
      </c>
      <c r="B40" s="1" t="s">
        <v>29</v>
      </c>
      <c r="C40" s="1" t="s">
        <v>25</v>
      </c>
      <c r="I40" s="4"/>
      <c r="K40" s="1">
        <v>1600.0</v>
      </c>
      <c r="N40" s="5">
        <v>43854.0</v>
      </c>
      <c r="Q40" s="1" t="s">
        <v>274</v>
      </c>
    </row>
    <row r="41">
      <c r="A41" s="1">
        <v>40.0</v>
      </c>
      <c r="B41" s="1" t="s">
        <v>277</v>
      </c>
      <c r="C41" s="1" t="s">
        <v>25</v>
      </c>
      <c r="K41" s="1">
        <v>700.0</v>
      </c>
      <c r="N41" s="5">
        <v>43909.0</v>
      </c>
      <c r="Q41" s="1" t="s">
        <v>281</v>
      </c>
    </row>
    <row r="42">
      <c r="A42" s="1">
        <v>41.0</v>
      </c>
      <c r="B42" s="1" t="s">
        <v>282</v>
      </c>
      <c r="C42" s="1" t="s">
        <v>25</v>
      </c>
      <c r="K42" s="1">
        <v>150.0</v>
      </c>
      <c r="N42" s="5">
        <v>43867.0</v>
      </c>
      <c r="Q42" s="1" t="s">
        <v>287</v>
      </c>
    </row>
    <row r="43">
      <c r="A43" s="1">
        <v>42.0</v>
      </c>
      <c r="B43" s="1" t="s">
        <v>289</v>
      </c>
      <c r="C43" s="1" t="s">
        <v>25</v>
      </c>
      <c r="K43" s="1">
        <v>100.0</v>
      </c>
      <c r="N43" s="5">
        <v>44005.0</v>
      </c>
      <c r="Q43" s="1" t="s">
        <v>293</v>
      </c>
    </row>
    <row r="44">
      <c r="A44" s="1">
        <v>43.0</v>
      </c>
      <c r="B44" s="1" t="s">
        <v>295</v>
      </c>
      <c r="C44" s="1" t="s">
        <v>25</v>
      </c>
      <c r="K44" s="1">
        <v>40.0</v>
      </c>
      <c r="N44" s="5">
        <v>45070.0</v>
      </c>
      <c r="Q44" s="1" t="s">
        <v>298</v>
      </c>
    </row>
    <row r="45">
      <c r="A45" s="1">
        <v>44.0</v>
      </c>
      <c r="B45" s="1" t="s">
        <v>300</v>
      </c>
      <c r="C45" s="1" t="s">
        <v>25</v>
      </c>
      <c r="N45" s="5">
        <v>46103.0</v>
      </c>
      <c r="Q45" s="1" t="s">
        <v>303</v>
      </c>
    </row>
    <row r="46">
      <c r="A46" s="1">
        <v>45.0</v>
      </c>
      <c r="B46" s="1" t="s">
        <v>306</v>
      </c>
      <c r="C46" s="1" t="s">
        <v>25</v>
      </c>
      <c r="I46" s="4"/>
      <c r="K46" s="1">
        <v>100.0</v>
      </c>
      <c r="N46" s="5">
        <v>45419.0</v>
      </c>
      <c r="Q46" s="1" t="s">
        <v>309</v>
      </c>
    </row>
    <row r="47">
      <c r="A47" s="1">
        <v>46.0</v>
      </c>
      <c r="B47" s="1" t="s">
        <v>312</v>
      </c>
      <c r="C47" s="1" t="s">
        <v>25</v>
      </c>
      <c r="K47" s="1">
        <v>150.0</v>
      </c>
      <c r="N47" s="5">
        <v>45193.0</v>
      </c>
      <c r="Q47" s="1" t="s">
        <v>316</v>
      </c>
    </row>
    <row r="48">
      <c r="A48" s="1">
        <v>47.0</v>
      </c>
      <c r="B48" s="1" t="s">
        <v>319</v>
      </c>
      <c r="C48" s="1" t="s">
        <v>25</v>
      </c>
      <c r="K48" s="1">
        <v>90.0</v>
      </c>
      <c r="N48" s="5">
        <v>45274.0</v>
      </c>
      <c r="Q48" s="1" t="s">
        <v>322</v>
      </c>
    </row>
    <row r="49">
      <c r="A49" s="1">
        <v>48.0</v>
      </c>
      <c r="B49" s="1" t="s">
        <v>324</v>
      </c>
      <c r="C49" s="1" t="s">
        <v>25</v>
      </c>
      <c r="N49" s="5">
        <v>46092.0</v>
      </c>
      <c r="Q49" s="1" t="s">
        <v>326</v>
      </c>
    </row>
    <row r="50">
      <c r="A50" s="1">
        <v>49.0</v>
      </c>
      <c r="B50" s="1" t="s">
        <v>329</v>
      </c>
      <c r="C50" s="1" t="s">
        <v>25</v>
      </c>
      <c r="K50" s="1">
        <v>300.0</v>
      </c>
      <c r="N50" s="5">
        <v>44765.0</v>
      </c>
      <c r="Q50" s="1" t="s">
        <v>331</v>
      </c>
    </row>
    <row r="51">
      <c r="A51" s="1">
        <v>50.0</v>
      </c>
      <c r="B51" s="1" t="s">
        <v>30</v>
      </c>
      <c r="C51" s="1" t="s">
        <v>25</v>
      </c>
      <c r="K51" s="1">
        <v>1400.0</v>
      </c>
      <c r="N51" s="5">
        <v>42989.0</v>
      </c>
      <c r="Q51" s="1" t="s">
        <v>337</v>
      </c>
    </row>
    <row r="52">
      <c r="A52" s="1">
        <v>51.0</v>
      </c>
      <c r="B52" s="1" t="s">
        <v>338</v>
      </c>
      <c r="C52" s="1" t="s">
        <v>25</v>
      </c>
      <c r="K52" s="1">
        <v>150.0</v>
      </c>
      <c r="N52" s="5">
        <v>44367.0</v>
      </c>
      <c r="Q52" s="1" t="s">
        <v>345</v>
      </c>
    </row>
    <row r="53">
      <c r="A53" s="1">
        <v>52.0</v>
      </c>
      <c r="B53" s="1" t="s">
        <v>346</v>
      </c>
      <c r="C53" s="1" t="s">
        <v>25</v>
      </c>
      <c r="N53" s="5"/>
    </row>
    <row r="54">
      <c r="A54" s="1">
        <v>53.0</v>
      </c>
      <c r="B54" s="1" t="s">
        <v>349</v>
      </c>
      <c r="C54" s="1" t="s">
        <v>25</v>
      </c>
      <c r="N54" s="5"/>
    </row>
    <row r="55">
      <c r="A55" s="1">
        <v>54.0</v>
      </c>
      <c r="B55" s="1" t="s">
        <v>352</v>
      </c>
      <c r="C55" s="1" t="s">
        <v>25</v>
      </c>
      <c r="N55" s="5"/>
    </row>
    <row r="56">
      <c r="A56" s="1">
        <v>55.0</v>
      </c>
      <c r="B56" s="1" t="s">
        <v>355</v>
      </c>
      <c r="C56" s="1" t="s">
        <v>25</v>
      </c>
      <c r="N56" s="5"/>
    </row>
    <row r="57">
      <c r="A57" s="1">
        <v>56.0</v>
      </c>
      <c r="B57" s="1" t="s">
        <v>359</v>
      </c>
      <c r="C57" s="1" t="s">
        <v>25</v>
      </c>
      <c r="N57" s="5"/>
    </row>
    <row r="58">
      <c r="A58" s="1">
        <v>57.0</v>
      </c>
      <c r="B58" s="1" t="s">
        <v>364</v>
      </c>
      <c r="C58" s="1" t="s">
        <v>25</v>
      </c>
      <c r="N58" s="5"/>
    </row>
    <row r="59">
      <c r="A59" s="1">
        <v>58.0</v>
      </c>
      <c r="B59" s="1" t="s">
        <v>367</v>
      </c>
      <c r="C59" s="1" t="s">
        <v>25</v>
      </c>
      <c r="I59" s="4"/>
      <c r="N59" s="5"/>
    </row>
    <row r="60">
      <c r="A60" s="1">
        <v>59.0</v>
      </c>
      <c r="B60" s="1" t="s">
        <v>373</v>
      </c>
      <c r="C60" s="1" t="s">
        <v>25</v>
      </c>
      <c r="I60" s="4"/>
      <c r="N60" s="5"/>
    </row>
    <row r="61">
      <c r="A61" s="1">
        <v>60.0</v>
      </c>
      <c r="B61" s="1" t="s">
        <v>377</v>
      </c>
      <c r="C61" s="1" t="s">
        <v>25</v>
      </c>
      <c r="N61" s="5"/>
    </row>
    <row r="62">
      <c r="A62" s="1">
        <v>61.0</v>
      </c>
      <c r="B62" s="1" t="s">
        <v>381</v>
      </c>
      <c r="C62" s="1" t="s">
        <v>25</v>
      </c>
      <c r="N62" s="5"/>
    </row>
    <row r="63">
      <c r="A63" s="1">
        <v>62.0</v>
      </c>
      <c r="B63" s="1" t="s">
        <v>383</v>
      </c>
      <c r="C63" s="1" t="s">
        <v>25</v>
      </c>
      <c r="N63" s="5"/>
    </row>
    <row r="64">
      <c r="A64" s="1">
        <v>63.0</v>
      </c>
      <c r="B64" s="1" t="s">
        <v>387</v>
      </c>
      <c r="C64" s="1" t="s">
        <v>25</v>
      </c>
      <c r="I64" s="4"/>
      <c r="N64" s="5"/>
    </row>
    <row r="65">
      <c r="A65" s="1">
        <v>64.0</v>
      </c>
      <c r="B65" s="1" t="s">
        <v>391</v>
      </c>
      <c r="C65" s="1" t="s">
        <v>25</v>
      </c>
      <c r="N65" s="5"/>
    </row>
    <row r="66">
      <c r="A66" s="1">
        <v>65.0</v>
      </c>
      <c r="B66" s="1" t="s">
        <v>392</v>
      </c>
      <c r="C66" s="1" t="s">
        <v>25</v>
      </c>
      <c r="N66" s="5"/>
    </row>
    <row r="67">
      <c r="A67" s="1">
        <v>66.0</v>
      </c>
      <c r="B67" s="1" t="s">
        <v>395</v>
      </c>
      <c r="C67" s="1" t="s">
        <v>25</v>
      </c>
      <c r="N67" s="5"/>
    </row>
    <row r="68">
      <c r="A68" s="1">
        <v>67.0</v>
      </c>
      <c r="B68" s="1" t="s">
        <v>398</v>
      </c>
      <c r="C68" s="1" t="s">
        <v>25</v>
      </c>
      <c r="N68" s="5"/>
    </row>
    <row r="69">
      <c r="A69" s="1">
        <v>68.0</v>
      </c>
      <c r="B69" s="1" t="s">
        <v>399</v>
      </c>
      <c r="C69" s="1" t="s">
        <v>25</v>
      </c>
      <c r="N69" s="5"/>
    </row>
    <row r="70">
      <c r="A70" s="1">
        <v>69.0</v>
      </c>
      <c r="B70" s="1" t="s">
        <v>401</v>
      </c>
      <c r="C70" s="1" t="s">
        <v>25</v>
      </c>
      <c r="I70" s="4"/>
      <c r="N70" s="5"/>
    </row>
    <row r="71">
      <c r="A71" s="1">
        <v>70.0</v>
      </c>
      <c r="B71" s="1" t="s">
        <v>403</v>
      </c>
      <c r="C71" s="1" t="s">
        <v>25</v>
      </c>
      <c r="N71" s="5"/>
    </row>
    <row r="72">
      <c r="A72" s="1">
        <v>71.0</v>
      </c>
      <c r="B72" s="1" t="s">
        <v>404</v>
      </c>
      <c r="C72" s="1" t="s">
        <v>25</v>
      </c>
      <c r="N72" s="5"/>
    </row>
    <row r="73">
      <c r="A73" s="1">
        <v>72.0</v>
      </c>
      <c r="B73" s="1" t="s">
        <v>407</v>
      </c>
      <c r="C73" s="1" t="s">
        <v>25</v>
      </c>
      <c r="N73" s="5"/>
    </row>
    <row r="74">
      <c r="A74" s="1">
        <v>73.0</v>
      </c>
      <c r="B74" s="1" t="s">
        <v>409</v>
      </c>
      <c r="C74" s="1" t="s">
        <v>25</v>
      </c>
      <c r="N74" s="5"/>
    </row>
    <row r="75">
      <c r="A75" s="1">
        <v>74.0</v>
      </c>
      <c r="B75" s="1" t="s">
        <v>411</v>
      </c>
      <c r="C75" s="1" t="s">
        <v>25</v>
      </c>
      <c r="N75" s="5"/>
    </row>
    <row r="76">
      <c r="A76" s="1">
        <v>75.0</v>
      </c>
      <c r="B76" s="1" t="s">
        <v>414</v>
      </c>
      <c r="C76" s="1" t="s">
        <v>25</v>
      </c>
      <c r="N76" s="5"/>
    </row>
    <row r="77">
      <c r="A77" s="1">
        <v>76.0</v>
      </c>
      <c r="B77" s="1" t="s">
        <v>416</v>
      </c>
      <c r="C77" s="1" t="s">
        <v>25</v>
      </c>
      <c r="N77" s="5"/>
    </row>
    <row r="78">
      <c r="A78" s="1">
        <v>77.0</v>
      </c>
      <c r="B78" s="1" t="s">
        <v>418</v>
      </c>
      <c r="C78" s="1" t="s">
        <v>25</v>
      </c>
      <c r="I78" s="4"/>
      <c r="N78" s="5"/>
    </row>
    <row r="79">
      <c r="A79" s="1">
        <v>78.0</v>
      </c>
      <c r="B79" s="1" t="s">
        <v>421</v>
      </c>
      <c r="C79" s="1" t="s">
        <v>25</v>
      </c>
      <c r="N79" s="5"/>
    </row>
    <row r="80">
      <c r="A80" s="1">
        <v>79.0</v>
      </c>
      <c r="B80" s="1" t="s">
        <v>424</v>
      </c>
      <c r="C80" s="1" t="s">
        <v>25</v>
      </c>
      <c r="N80" s="5"/>
    </row>
    <row r="81">
      <c r="A81" s="1">
        <v>80.0</v>
      </c>
      <c r="B81" s="1" t="s">
        <v>426</v>
      </c>
      <c r="C81" s="1" t="s">
        <v>25</v>
      </c>
      <c r="N81" s="5"/>
    </row>
    <row r="82">
      <c r="A82" s="1">
        <v>81.0</v>
      </c>
      <c r="B82" s="1" t="s">
        <v>428</v>
      </c>
      <c r="C82" s="1" t="s">
        <v>25</v>
      </c>
      <c r="N82" s="5"/>
    </row>
    <row r="83">
      <c r="A83" s="1">
        <v>82.0</v>
      </c>
      <c r="B83" s="1" t="s">
        <v>431</v>
      </c>
      <c r="C83" s="1" t="s">
        <v>25</v>
      </c>
      <c r="N83" s="5"/>
    </row>
    <row r="84">
      <c r="A84" s="1">
        <v>83.0</v>
      </c>
      <c r="B84" s="1" t="s">
        <v>432</v>
      </c>
      <c r="C84" s="1" t="s">
        <v>25</v>
      </c>
      <c r="N84" s="5"/>
    </row>
    <row r="85">
      <c r="A85" s="1">
        <v>84.0</v>
      </c>
      <c r="B85" s="1" t="s">
        <v>435</v>
      </c>
      <c r="C85" s="1" t="s">
        <v>25</v>
      </c>
      <c r="N85" s="5"/>
    </row>
    <row r="86">
      <c r="A86" s="1">
        <v>85.0</v>
      </c>
      <c r="B86" s="1" t="s">
        <v>437</v>
      </c>
      <c r="C86" s="1" t="s">
        <v>25</v>
      </c>
      <c r="N86" s="5"/>
    </row>
    <row r="87">
      <c r="A87" s="1">
        <v>86.0</v>
      </c>
      <c r="B87" s="1" t="s">
        <v>439</v>
      </c>
      <c r="C87" s="1" t="s">
        <v>25</v>
      </c>
      <c r="N87" s="5"/>
    </row>
    <row r="88">
      <c r="A88" s="1">
        <v>87.0</v>
      </c>
      <c r="B88" s="1" t="s">
        <v>442</v>
      </c>
      <c r="C88" s="1" t="s">
        <v>25</v>
      </c>
      <c r="N88" s="5"/>
    </row>
    <row r="89">
      <c r="A89" s="1">
        <v>88.0</v>
      </c>
      <c r="B89" s="1" t="s">
        <v>445</v>
      </c>
      <c r="C89" s="1" t="s">
        <v>25</v>
      </c>
      <c r="N89" s="5"/>
    </row>
    <row r="90">
      <c r="A90" s="1">
        <v>89.0</v>
      </c>
      <c r="B90" s="1" t="s">
        <v>447</v>
      </c>
      <c r="C90" s="1" t="s">
        <v>25</v>
      </c>
      <c r="N90" s="5"/>
    </row>
    <row r="91">
      <c r="A91" s="1">
        <v>90.0</v>
      </c>
      <c r="B91" s="1" t="s">
        <v>449</v>
      </c>
      <c r="C91" s="1" t="s">
        <v>25</v>
      </c>
      <c r="N91" s="5"/>
    </row>
    <row r="92">
      <c r="A92" s="1">
        <v>91.0</v>
      </c>
      <c r="B92" s="1" t="s">
        <v>452</v>
      </c>
      <c r="C92" s="1" t="s">
        <v>25</v>
      </c>
      <c r="N92" s="5"/>
    </row>
    <row r="93">
      <c r="A93" s="1">
        <v>92.0</v>
      </c>
      <c r="B93" s="1" t="s">
        <v>454</v>
      </c>
      <c r="C93" s="1" t="s">
        <v>25</v>
      </c>
      <c r="N93" s="5"/>
    </row>
    <row r="94">
      <c r="A94" s="1">
        <v>93.0</v>
      </c>
      <c r="B94" s="1" t="s">
        <v>455</v>
      </c>
      <c r="C94" s="1" t="s">
        <v>25</v>
      </c>
      <c r="N94" s="5"/>
    </row>
    <row r="95">
      <c r="A95" s="1">
        <v>94.0</v>
      </c>
      <c r="B95" s="1" t="s">
        <v>458</v>
      </c>
      <c r="C95" s="1" t="s">
        <v>25</v>
      </c>
      <c r="N95" s="5"/>
    </row>
    <row r="96">
      <c r="A96" s="1">
        <v>95.0</v>
      </c>
      <c r="B96" s="1" t="s">
        <v>461</v>
      </c>
      <c r="C96" s="1" t="s">
        <v>25</v>
      </c>
      <c r="N96" s="5"/>
    </row>
    <row r="97">
      <c r="A97" s="1">
        <v>96.0</v>
      </c>
      <c r="B97" s="1" t="s">
        <v>462</v>
      </c>
      <c r="C97" s="1" t="s">
        <v>25</v>
      </c>
      <c r="N97" s="5"/>
    </row>
    <row r="98">
      <c r="A98" s="1">
        <v>97.0</v>
      </c>
      <c r="B98" s="1" t="s">
        <v>465</v>
      </c>
      <c r="C98" s="1" t="s">
        <v>25</v>
      </c>
      <c r="N98" s="5"/>
    </row>
    <row r="99">
      <c r="A99" s="1">
        <v>98.0</v>
      </c>
      <c r="B99" s="1" t="s">
        <v>467</v>
      </c>
      <c r="C99" s="1" t="s">
        <v>25</v>
      </c>
      <c r="N99" s="5"/>
    </row>
    <row r="100">
      <c r="A100" s="1">
        <v>99.0</v>
      </c>
      <c r="B100" s="1" t="s">
        <v>469</v>
      </c>
      <c r="C100" s="1" t="s">
        <v>25</v>
      </c>
      <c r="I100" s="4"/>
      <c r="N100" s="5"/>
    </row>
    <row r="101">
      <c r="A101" s="1">
        <v>100.0</v>
      </c>
      <c r="B101" s="1" t="s">
        <v>472</v>
      </c>
      <c r="C101" s="1" t="s">
        <v>25</v>
      </c>
      <c r="N101" s="5"/>
    </row>
    <row r="102">
      <c r="A102" s="1">
        <v>101.0</v>
      </c>
      <c r="B102" s="1" t="s">
        <v>474</v>
      </c>
      <c r="C102" s="1" t="s">
        <v>25</v>
      </c>
    </row>
    <row r="103">
      <c r="A103" s="1">
        <v>102.0</v>
      </c>
      <c r="B103" s="1" t="s">
        <v>476</v>
      </c>
      <c r="C103" s="1" t="s">
        <v>25</v>
      </c>
    </row>
    <row r="104">
      <c r="A104" s="1">
        <v>103.0</v>
      </c>
      <c r="B104" s="1" t="s">
        <v>479</v>
      </c>
      <c r="C104" s="1" t="s">
        <v>25</v>
      </c>
    </row>
    <row r="105">
      <c r="A105" s="1">
        <v>104.0</v>
      </c>
      <c r="B105" s="1" t="s">
        <v>480</v>
      </c>
      <c r="C105" s="1" t="s">
        <v>25</v>
      </c>
    </row>
    <row r="106">
      <c r="A106" s="1">
        <v>105.0</v>
      </c>
      <c r="B106" s="1" t="s">
        <v>483</v>
      </c>
      <c r="C106" s="1" t="s">
        <v>25</v>
      </c>
    </row>
    <row r="107">
      <c r="A107" s="1">
        <v>106.0</v>
      </c>
      <c r="B107" s="1" t="s">
        <v>485</v>
      </c>
      <c r="C107" s="1" t="s">
        <v>25</v>
      </c>
    </row>
    <row r="108">
      <c r="A108" s="1">
        <v>107.0</v>
      </c>
      <c r="B108" s="1" t="s">
        <v>487</v>
      </c>
      <c r="C108" s="1" t="s">
        <v>25</v>
      </c>
    </row>
    <row r="109">
      <c r="A109" s="1">
        <v>108.0</v>
      </c>
      <c r="B109" s="1" t="s">
        <v>489</v>
      </c>
      <c r="C109" s="1" t="s">
        <v>25</v>
      </c>
    </row>
    <row r="110">
      <c r="A110" s="1">
        <v>109.0</v>
      </c>
      <c r="B110" s="1" t="s">
        <v>491</v>
      </c>
      <c r="C110" s="1" t="s">
        <v>25</v>
      </c>
    </row>
    <row r="111">
      <c r="A111" s="1">
        <v>110.0</v>
      </c>
      <c r="B111" s="1" t="s">
        <v>493</v>
      </c>
      <c r="C111" s="1" t="s">
        <v>25</v>
      </c>
    </row>
    <row r="112">
      <c r="A112" s="1">
        <v>111.0</v>
      </c>
      <c r="B112" s="1" t="s">
        <v>495</v>
      </c>
      <c r="C112" s="1" t="s">
        <v>25</v>
      </c>
    </row>
    <row r="113">
      <c r="A113" s="1">
        <v>112.0</v>
      </c>
      <c r="B113" s="1" t="s">
        <v>496</v>
      </c>
      <c r="C113" s="1" t="s">
        <v>25</v>
      </c>
    </row>
    <row r="114">
      <c r="A114" s="1">
        <v>113.0</v>
      </c>
      <c r="B114" s="1" t="s">
        <v>497</v>
      </c>
      <c r="C114" s="1" t="s">
        <v>25</v>
      </c>
    </row>
    <row r="115">
      <c r="A115" s="1">
        <v>114.0</v>
      </c>
      <c r="B115" s="1" t="s">
        <v>499</v>
      </c>
      <c r="C115" s="1" t="s">
        <v>25</v>
      </c>
    </row>
    <row r="116">
      <c r="A116" s="1">
        <v>115.0</v>
      </c>
      <c r="B116" s="1" t="s">
        <v>501</v>
      </c>
      <c r="C116" s="1" t="s">
        <v>25</v>
      </c>
    </row>
    <row r="117">
      <c r="A117" s="1">
        <v>116.0</v>
      </c>
      <c r="B117" s="1" t="s">
        <v>504</v>
      </c>
      <c r="C117" s="1" t="s">
        <v>25</v>
      </c>
    </row>
    <row r="118">
      <c r="A118" s="1">
        <v>117.0</v>
      </c>
      <c r="B118" s="1" t="s">
        <v>506</v>
      </c>
      <c r="C118" s="1" t="s">
        <v>25</v>
      </c>
    </row>
    <row r="119">
      <c r="A119" s="1">
        <v>118.0</v>
      </c>
      <c r="B119" s="1" t="s">
        <v>508</v>
      </c>
      <c r="C119" s="1" t="s">
        <v>25</v>
      </c>
    </row>
    <row r="120">
      <c r="A120" s="1">
        <v>119.0</v>
      </c>
      <c r="B120" s="1" t="s">
        <v>511</v>
      </c>
      <c r="C120" s="1" t="s">
        <v>25</v>
      </c>
    </row>
    <row r="121">
      <c r="A121" s="1">
        <v>120.0</v>
      </c>
      <c r="B121" s="1" t="s">
        <v>512</v>
      </c>
      <c r="C121" s="1" t="s">
        <v>25</v>
      </c>
    </row>
    <row r="122">
      <c r="A122" s="1">
        <v>121.0</v>
      </c>
      <c r="B122" s="1" t="s">
        <v>514</v>
      </c>
      <c r="C122" s="1" t="s">
        <v>25</v>
      </c>
    </row>
    <row r="123">
      <c r="A123" s="1">
        <v>122.0</v>
      </c>
      <c r="B123" s="1" t="s">
        <v>516</v>
      </c>
      <c r="C123" s="1" t="s">
        <v>25</v>
      </c>
    </row>
    <row r="124">
      <c r="A124" s="1">
        <v>123.0</v>
      </c>
      <c r="B124" s="1" t="s">
        <v>518</v>
      </c>
      <c r="C124" s="1" t="s">
        <v>25</v>
      </c>
    </row>
    <row r="125">
      <c r="A125" s="1">
        <v>124.0</v>
      </c>
      <c r="B125" s="1" t="s">
        <v>520</v>
      </c>
      <c r="C125" s="1" t="s">
        <v>25</v>
      </c>
    </row>
    <row r="126">
      <c r="A126" s="1">
        <v>125.0</v>
      </c>
      <c r="B126" s="1" t="s">
        <v>523</v>
      </c>
      <c r="C126" s="1" t="s">
        <v>25</v>
      </c>
    </row>
    <row r="127">
      <c r="A127" s="1">
        <v>126.0</v>
      </c>
      <c r="B127" s="1" t="s">
        <v>525</v>
      </c>
      <c r="C127" s="1" t="s">
        <v>25</v>
      </c>
    </row>
    <row r="128">
      <c r="A128" s="1">
        <v>127.0</v>
      </c>
      <c r="B128" s="1" t="s">
        <v>527</v>
      </c>
      <c r="C128" s="1" t="s">
        <v>25</v>
      </c>
    </row>
    <row r="129">
      <c r="A129" s="1">
        <v>128.0</v>
      </c>
      <c r="B129" s="1" t="s">
        <v>531</v>
      </c>
      <c r="C129" s="1" t="s">
        <v>25</v>
      </c>
    </row>
    <row r="130">
      <c r="A130" s="1">
        <v>129.0</v>
      </c>
      <c r="B130" s="1" t="s">
        <v>533</v>
      </c>
      <c r="C130" s="1" t="s">
        <v>25</v>
      </c>
    </row>
    <row r="131">
      <c r="A131" s="1">
        <v>130.0</v>
      </c>
      <c r="B131" s="1" t="s">
        <v>535</v>
      </c>
      <c r="C131" s="1" t="s">
        <v>25</v>
      </c>
    </row>
    <row r="132">
      <c r="A132" s="1">
        <v>131.0</v>
      </c>
      <c r="B132" s="1" t="s">
        <v>537</v>
      </c>
      <c r="C132" s="1" t="s">
        <v>25</v>
      </c>
    </row>
    <row r="133">
      <c r="A133" s="1">
        <v>132.0</v>
      </c>
      <c r="B133" s="1" t="s">
        <v>538</v>
      </c>
      <c r="C133" s="1" t="s">
        <v>25</v>
      </c>
    </row>
    <row r="134">
      <c r="A134" s="1">
        <v>133.0</v>
      </c>
      <c r="B134" s="1" t="s">
        <v>540</v>
      </c>
      <c r="C134" s="1" t="s">
        <v>25</v>
      </c>
    </row>
    <row r="135">
      <c r="A135" s="1">
        <v>134.0</v>
      </c>
      <c r="B135" s="1" t="s">
        <v>542</v>
      </c>
      <c r="C135" s="1" t="s">
        <v>25</v>
      </c>
    </row>
    <row r="136">
      <c r="A136" s="1">
        <v>135.0</v>
      </c>
      <c r="B136" s="1" t="s">
        <v>544</v>
      </c>
      <c r="C136" s="1" t="s">
        <v>25</v>
      </c>
    </row>
    <row r="137">
      <c r="A137" s="1">
        <v>136.0</v>
      </c>
      <c r="B137" s="1" t="s">
        <v>547</v>
      </c>
      <c r="C137" s="1" t="s">
        <v>25</v>
      </c>
    </row>
    <row r="138">
      <c r="A138" s="1">
        <v>137.0</v>
      </c>
      <c r="B138" s="1" t="s">
        <v>549</v>
      </c>
      <c r="C138" s="1" t="s">
        <v>25</v>
      </c>
    </row>
    <row r="139">
      <c r="A139" s="1">
        <v>138.0</v>
      </c>
      <c r="B139" s="1" t="s">
        <v>553</v>
      </c>
      <c r="C139" s="1" t="s">
        <v>25</v>
      </c>
    </row>
    <row r="140">
      <c r="A140" s="1">
        <v>139.0</v>
      </c>
      <c r="B140" s="1" t="s">
        <v>555</v>
      </c>
      <c r="C140" s="1" t="s">
        <v>25</v>
      </c>
    </row>
    <row r="141">
      <c r="A141" s="1">
        <v>140.0</v>
      </c>
      <c r="B141" s="1" t="s">
        <v>557</v>
      </c>
      <c r="C141" s="1" t="s">
        <v>25</v>
      </c>
    </row>
    <row r="142">
      <c r="A142" s="1">
        <v>141.0</v>
      </c>
      <c r="B142" s="1" t="s">
        <v>559</v>
      </c>
      <c r="C142" s="1" t="s">
        <v>25</v>
      </c>
    </row>
    <row r="143">
      <c r="A143" s="1">
        <v>142.0</v>
      </c>
      <c r="B143" s="1" t="s">
        <v>562</v>
      </c>
      <c r="C143" s="1" t="s">
        <v>25</v>
      </c>
    </row>
    <row r="144">
      <c r="A144" s="1">
        <v>143.0</v>
      </c>
      <c r="B144" s="1" t="s">
        <v>563</v>
      </c>
      <c r="C144" s="1" t="s">
        <v>25</v>
      </c>
    </row>
    <row r="145">
      <c r="A145" s="1">
        <v>144.0</v>
      </c>
      <c r="B145" s="1" t="s">
        <v>565</v>
      </c>
      <c r="C145" s="1" t="s">
        <v>25</v>
      </c>
    </row>
    <row r="146">
      <c r="A146" s="1">
        <v>145.0</v>
      </c>
      <c r="B146" s="1" t="s">
        <v>568</v>
      </c>
      <c r="C146" s="1" t="s">
        <v>25</v>
      </c>
    </row>
    <row r="147">
      <c r="A147" s="1">
        <v>146.0</v>
      </c>
      <c r="B147" s="1" t="s">
        <v>570</v>
      </c>
      <c r="C147" s="1" t="s">
        <v>25</v>
      </c>
    </row>
    <row r="148">
      <c r="A148" s="1">
        <v>147.0</v>
      </c>
      <c r="B148" s="1" t="s">
        <v>572</v>
      </c>
      <c r="C148" s="1" t="s">
        <v>25</v>
      </c>
    </row>
    <row r="149">
      <c r="A149" s="1">
        <v>148.0</v>
      </c>
      <c r="B149" s="1" t="s">
        <v>574</v>
      </c>
      <c r="C149" s="1" t="s">
        <v>25</v>
      </c>
    </row>
    <row r="150">
      <c r="A150" s="1">
        <v>149.0</v>
      </c>
      <c r="B150" s="1" t="s">
        <v>576</v>
      </c>
      <c r="C150" s="1" t="s">
        <v>25</v>
      </c>
    </row>
    <row r="151">
      <c r="A151" s="1">
        <v>150.0</v>
      </c>
      <c r="B151" s="1" t="s">
        <v>578</v>
      </c>
      <c r="C151" s="1" t="s">
        <v>25</v>
      </c>
    </row>
    <row r="152">
      <c r="A152" s="1">
        <v>151.0</v>
      </c>
      <c r="B152" s="1" t="s">
        <v>581</v>
      </c>
      <c r="C152" s="1" t="s">
        <v>25</v>
      </c>
    </row>
    <row r="153">
      <c r="A153" s="1">
        <v>152.0</v>
      </c>
      <c r="B153" s="1" t="s">
        <v>583</v>
      </c>
      <c r="C153" s="1" t="s">
        <v>25</v>
      </c>
    </row>
    <row r="154">
      <c r="A154" s="1">
        <v>153.0</v>
      </c>
      <c r="B154" s="1" t="s">
        <v>585</v>
      </c>
      <c r="C154" s="1" t="s">
        <v>25</v>
      </c>
    </row>
    <row r="155">
      <c r="A155" s="1">
        <v>154.0</v>
      </c>
      <c r="B155" s="1" t="s">
        <v>587</v>
      </c>
      <c r="C155" s="1" t="s">
        <v>25</v>
      </c>
    </row>
    <row r="156">
      <c r="A156" s="1">
        <v>155.0</v>
      </c>
      <c r="B156" s="1" t="s">
        <v>590</v>
      </c>
      <c r="C156" s="1" t="s">
        <v>25</v>
      </c>
    </row>
    <row r="157">
      <c r="A157" s="1">
        <v>156.0</v>
      </c>
      <c r="B157" s="1" t="s">
        <v>592</v>
      </c>
      <c r="C157" s="1" t="s">
        <v>25</v>
      </c>
    </row>
    <row r="158">
      <c r="A158" s="1">
        <v>157.0</v>
      </c>
      <c r="B158" s="1" t="s">
        <v>595</v>
      </c>
      <c r="C158" s="1" t="s">
        <v>25</v>
      </c>
    </row>
    <row r="159">
      <c r="A159" s="1">
        <v>158.0</v>
      </c>
      <c r="B159" s="1" t="s">
        <v>597</v>
      </c>
      <c r="C159" s="1" t="s">
        <v>25</v>
      </c>
    </row>
    <row r="160">
      <c r="A160" s="1">
        <v>159.0</v>
      </c>
      <c r="B160" s="1" t="s">
        <v>600</v>
      </c>
      <c r="C160" s="1" t="s">
        <v>25</v>
      </c>
    </row>
    <row r="161">
      <c r="A161" s="1">
        <v>160.0</v>
      </c>
      <c r="B161" s="1" t="s">
        <v>602</v>
      </c>
      <c r="C161" s="1" t="s">
        <v>25</v>
      </c>
    </row>
    <row r="162">
      <c r="A162" s="1">
        <v>161.0</v>
      </c>
      <c r="B162" s="1" t="s">
        <v>603</v>
      </c>
      <c r="C162" s="1" t="s">
        <v>25</v>
      </c>
    </row>
    <row r="163">
      <c r="A163" s="1">
        <v>162.0</v>
      </c>
      <c r="B163" s="1" t="s">
        <v>605</v>
      </c>
      <c r="C163" s="1" t="s">
        <v>25</v>
      </c>
    </row>
    <row r="164">
      <c r="A164" s="1">
        <v>163.0</v>
      </c>
      <c r="B164" s="1" t="s">
        <v>608</v>
      </c>
      <c r="C164" s="1" t="s">
        <v>25</v>
      </c>
    </row>
    <row r="165">
      <c r="A165" s="1">
        <v>164.0</v>
      </c>
      <c r="B165" s="1" t="s">
        <v>610</v>
      </c>
      <c r="C165" s="1" t="s">
        <v>25</v>
      </c>
    </row>
    <row r="166">
      <c r="A166" s="1">
        <v>165.0</v>
      </c>
      <c r="B166" s="1" t="s">
        <v>612</v>
      </c>
      <c r="C166" s="1" t="s">
        <v>25</v>
      </c>
    </row>
    <row r="167">
      <c r="A167" s="1">
        <v>166.0</v>
      </c>
      <c r="B167" s="1" t="s">
        <v>615</v>
      </c>
      <c r="C167" s="1" t="s">
        <v>25</v>
      </c>
    </row>
    <row r="168">
      <c r="A168" s="1">
        <v>167.0</v>
      </c>
      <c r="B168" s="1" t="s">
        <v>617</v>
      </c>
      <c r="C168" s="1" t="s">
        <v>25</v>
      </c>
    </row>
    <row r="169">
      <c r="A169" s="1">
        <v>168.0</v>
      </c>
      <c r="B169" s="1" t="s">
        <v>619</v>
      </c>
      <c r="C169" s="1" t="s">
        <v>25</v>
      </c>
    </row>
    <row r="170">
      <c r="A170" s="1">
        <v>169.0</v>
      </c>
      <c r="B170" s="1" t="s">
        <v>621</v>
      </c>
      <c r="C170" s="1" t="s">
        <v>25</v>
      </c>
    </row>
    <row r="171">
      <c r="A171" s="1">
        <v>170.0</v>
      </c>
      <c r="B171" s="1" t="s">
        <v>623</v>
      </c>
      <c r="C171" s="1" t="s">
        <v>25</v>
      </c>
    </row>
    <row r="172">
      <c r="A172" s="1">
        <v>171.0</v>
      </c>
      <c r="B172" s="1" t="s">
        <v>625</v>
      </c>
      <c r="C172" s="1" t="s">
        <v>25</v>
      </c>
    </row>
    <row r="173">
      <c r="A173" s="1">
        <v>172.0</v>
      </c>
      <c r="B173" s="1" t="s">
        <v>628</v>
      </c>
      <c r="C173" s="1" t="s">
        <v>25</v>
      </c>
    </row>
    <row r="174">
      <c r="A174" s="1">
        <v>173.0</v>
      </c>
      <c r="B174" s="1" t="s">
        <v>629</v>
      </c>
      <c r="C174" s="1" t="s">
        <v>25</v>
      </c>
    </row>
    <row r="175">
      <c r="A175" s="1">
        <v>174.0</v>
      </c>
      <c r="B175" s="1" t="s">
        <v>632</v>
      </c>
      <c r="C175" s="1" t="s">
        <v>25</v>
      </c>
    </row>
    <row r="176">
      <c r="A176" s="1">
        <v>175.0</v>
      </c>
      <c r="B176" s="1" t="s">
        <v>634</v>
      </c>
      <c r="C176" s="1" t="s">
        <v>25</v>
      </c>
    </row>
    <row r="177">
      <c r="A177" s="1">
        <v>176.0</v>
      </c>
      <c r="B177" s="1" t="s">
        <v>636</v>
      </c>
      <c r="C177" s="1" t="s">
        <v>25</v>
      </c>
    </row>
    <row r="178">
      <c r="A178" s="1">
        <v>177.0</v>
      </c>
      <c r="B178" s="1" t="s">
        <v>639</v>
      </c>
      <c r="C178" s="1" t="s">
        <v>25</v>
      </c>
    </row>
    <row r="179">
      <c r="A179" s="1">
        <v>178.0</v>
      </c>
      <c r="B179" s="1" t="s">
        <v>640</v>
      </c>
      <c r="C179" s="1" t="s">
        <v>25</v>
      </c>
    </row>
    <row r="180">
      <c r="A180" s="1">
        <v>179.0</v>
      </c>
      <c r="B180" s="1" t="s">
        <v>643</v>
      </c>
      <c r="C180" s="1" t="s">
        <v>25</v>
      </c>
    </row>
    <row r="181">
      <c r="A181" s="1">
        <v>180.0</v>
      </c>
      <c r="B181" s="1" t="s">
        <v>645</v>
      </c>
      <c r="C181" s="1" t="s">
        <v>25</v>
      </c>
    </row>
    <row r="182">
      <c r="A182" s="1">
        <v>181.0</v>
      </c>
      <c r="B182" s="1" t="s">
        <v>647</v>
      </c>
      <c r="C182" s="1" t="s">
        <v>25</v>
      </c>
    </row>
    <row r="183">
      <c r="A183" s="1">
        <v>182.0</v>
      </c>
      <c r="B183" s="1" t="s">
        <v>650</v>
      </c>
      <c r="C183" s="1" t="s">
        <v>25</v>
      </c>
    </row>
    <row r="184">
      <c r="A184" s="1">
        <v>183.0</v>
      </c>
      <c r="B184" s="1" t="s">
        <v>652</v>
      </c>
      <c r="C184" s="1" t="s">
        <v>25</v>
      </c>
    </row>
    <row r="185">
      <c r="A185" s="1">
        <v>184.0</v>
      </c>
      <c r="B185" s="1" t="s">
        <v>654</v>
      </c>
      <c r="C185" s="1" t="s">
        <v>25</v>
      </c>
    </row>
    <row r="186">
      <c r="A186" s="1">
        <v>185.0</v>
      </c>
      <c r="B186" s="1" t="s">
        <v>656</v>
      </c>
      <c r="C186" s="1" t="s">
        <v>25</v>
      </c>
    </row>
    <row r="187">
      <c r="A187" s="1">
        <v>186.0</v>
      </c>
      <c r="B187" s="1" t="s">
        <v>658</v>
      </c>
      <c r="C187" s="1" t="s">
        <v>25</v>
      </c>
    </row>
    <row r="188">
      <c r="A188" s="1">
        <v>187.0</v>
      </c>
      <c r="B188" s="1" t="s">
        <v>660</v>
      </c>
      <c r="C188" s="1" t="s">
        <v>25</v>
      </c>
    </row>
    <row r="189">
      <c r="A189" s="1">
        <v>188.0</v>
      </c>
      <c r="B189" s="1" t="s">
        <v>662</v>
      </c>
      <c r="C189" s="1" t="s">
        <v>25</v>
      </c>
    </row>
    <row r="190">
      <c r="A190" s="1">
        <v>189.0</v>
      </c>
      <c r="B190" s="1" t="s">
        <v>664</v>
      </c>
      <c r="C190" s="1" t="s">
        <v>25</v>
      </c>
    </row>
    <row r="191">
      <c r="A191" s="1">
        <v>190.0</v>
      </c>
      <c r="B191" s="1" t="s">
        <v>667</v>
      </c>
      <c r="C191" s="1" t="s">
        <v>25</v>
      </c>
    </row>
    <row r="192">
      <c r="A192" s="1">
        <v>191.0</v>
      </c>
      <c r="B192" s="1" t="s">
        <v>669</v>
      </c>
      <c r="C192" s="1" t="s">
        <v>25</v>
      </c>
    </row>
    <row r="193">
      <c r="A193" s="1">
        <v>192.0</v>
      </c>
      <c r="B193" s="1" t="s">
        <v>672</v>
      </c>
      <c r="C193" s="1" t="s">
        <v>25</v>
      </c>
    </row>
    <row r="194">
      <c r="A194" s="1">
        <v>193.0</v>
      </c>
      <c r="B194" s="1" t="s">
        <v>673</v>
      </c>
      <c r="C194" s="1" t="s">
        <v>25</v>
      </c>
    </row>
    <row r="195">
      <c r="A195" s="1">
        <v>194.0</v>
      </c>
      <c r="B195" s="1" t="s">
        <v>675</v>
      </c>
      <c r="C195" s="1" t="s">
        <v>25</v>
      </c>
    </row>
    <row r="196">
      <c r="A196" s="1">
        <v>195.0</v>
      </c>
      <c r="B196" s="1" t="s">
        <v>677</v>
      </c>
      <c r="C196" s="1" t="s">
        <v>25</v>
      </c>
    </row>
    <row r="197">
      <c r="A197" s="1">
        <v>196.0</v>
      </c>
      <c r="B197" s="1" t="s">
        <v>679</v>
      </c>
      <c r="C197" s="1" t="s">
        <v>25</v>
      </c>
    </row>
    <row r="198">
      <c r="A198" s="1">
        <v>197.0</v>
      </c>
      <c r="B198" s="1" t="s">
        <v>681</v>
      </c>
      <c r="C198" s="1" t="s">
        <v>25</v>
      </c>
    </row>
    <row r="199">
      <c r="A199" s="1">
        <v>198.0</v>
      </c>
      <c r="B199" s="1" t="s">
        <v>683</v>
      </c>
      <c r="C199" s="1" t="s">
        <v>25</v>
      </c>
    </row>
    <row r="200">
      <c r="A200" s="1">
        <v>199.0</v>
      </c>
      <c r="B200" s="1" t="s">
        <v>686</v>
      </c>
      <c r="C200" s="1" t="s">
        <v>25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21</v>
      </c>
    </row>
    <row r="2">
      <c r="A2" s="1">
        <v>1.0</v>
      </c>
      <c r="B2" s="1" t="s">
        <v>10</v>
      </c>
      <c r="C2" s="1" t="s">
        <v>25</v>
      </c>
      <c r="D2" s="1">
        <v>0.0</v>
      </c>
      <c r="E2" s="1">
        <v>250.0</v>
      </c>
      <c r="F2" s="1">
        <v>1.5</v>
      </c>
      <c r="G2" s="1">
        <v>0.55</v>
      </c>
      <c r="H2" s="1" t="s">
        <v>28</v>
      </c>
      <c r="I2" s="4">
        <v>46217.466770833336</v>
      </c>
      <c r="J2" s="1" t="s">
        <v>31</v>
      </c>
      <c r="K2" s="1">
        <v>140000.0</v>
      </c>
      <c r="L2" s="1">
        <v>200.0</v>
      </c>
      <c r="M2" s="1">
        <v>200.0</v>
      </c>
      <c r="N2" s="5">
        <v>42258.0</v>
      </c>
      <c r="O2" s="1" t="s">
        <v>35</v>
      </c>
      <c r="P2" s="1" t="s">
        <v>36</v>
      </c>
      <c r="Q2" s="1" t="s">
        <v>38</v>
      </c>
      <c r="R2" s="1" t="s">
        <v>39</v>
      </c>
      <c r="S2" s="1" t="s">
        <v>40</v>
      </c>
    </row>
    <row r="3">
      <c r="A3" s="1">
        <v>2.0</v>
      </c>
      <c r="B3" s="1" t="s">
        <v>41</v>
      </c>
      <c r="C3" s="1" t="s">
        <v>25</v>
      </c>
      <c r="D3" s="1">
        <v>0.0</v>
      </c>
      <c r="E3" s="1">
        <v>150.0</v>
      </c>
      <c r="F3" s="1">
        <v>1.2</v>
      </c>
      <c r="H3" s="1" t="s">
        <v>43</v>
      </c>
      <c r="I3" s="4">
        <v>46214.59721064815</v>
      </c>
      <c r="J3" s="1" t="s">
        <v>45</v>
      </c>
      <c r="K3" s="1">
        <v>14000.0</v>
      </c>
      <c r="L3" s="1">
        <v>10.0</v>
      </c>
      <c r="M3" s="1">
        <v>10.0</v>
      </c>
      <c r="N3" s="5">
        <v>42421.0</v>
      </c>
      <c r="O3" s="1" t="s">
        <v>47</v>
      </c>
      <c r="P3" s="1" t="s">
        <v>36</v>
      </c>
      <c r="Q3" s="1" t="s">
        <v>49</v>
      </c>
      <c r="S3" s="1" t="s">
        <v>40</v>
      </c>
    </row>
    <row r="4">
      <c r="A4" s="1">
        <v>3.0</v>
      </c>
      <c r="B4" s="1" t="s">
        <v>50</v>
      </c>
      <c r="C4" s="1" t="s">
        <v>25</v>
      </c>
      <c r="D4" s="1">
        <v>13.0</v>
      </c>
      <c r="E4" s="1">
        <v>150.0</v>
      </c>
      <c r="F4" s="1">
        <v>1.6</v>
      </c>
      <c r="H4" s="1" t="s">
        <v>53</v>
      </c>
      <c r="I4" s="4">
        <v>46223.86341435185</v>
      </c>
      <c r="J4" s="1" t="s">
        <v>54</v>
      </c>
      <c r="K4" s="1">
        <v>101000.0</v>
      </c>
      <c r="L4" s="1">
        <v>80.0</v>
      </c>
      <c r="M4" s="1">
        <v>80.0</v>
      </c>
      <c r="N4" s="5">
        <v>43576.0</v>
      </c>
      <c r="O4" s="1" t="s">
        <v>47</v>
      </c>
      <c r="P4" s="1" t="s">
        <v>36</v>
      </c>
      <c r="Q4" s="1" t="s">
        <v>57</v>
      </c>
      <c r="S4" s="1" t="s">
        <v>40</v>
      </c>
    </row>
    <row r="5">
      <c r="A5" s="1">
        <v>4.0</v>
      </c>
      <c r="B5" s="1" t="s">
        <v>59</v>
      </c>
      <c r="C5" s="1" t="s">
        <v>25</v>
      </c>
      <c r="D5" s="1">
        <v>29.0</v>
      </c>
      <c r="E5" s="1">
        <v>100.0</v>
      </c>
      <c r="F5" s="1">
        <v>1.2</v>
      </c>
      <c r="H5" s="1" t="s">
        <v>61</v>
      </c>
      <c r="I5" s="4">
        <v>46237.50116898148</v>
      </c>
      <c r="K5" s="1">
        <v>100.0</v>
      </c>
      <c r="N5" s="5">
        <v>42472.0</v>
      </c>
      <c r="Q5" s="1" t="s">
        <v>63</v>
      </c>
    </row>
    <row r="6">
      <c r="A6" s="1">
        <v>5.0</v>
      </c>
      <c r="B6" s="1" t="s">
        <v>61</v>
      </c>
      <c r="C6" s="1" t="s">
        <v>25</v>
      </c>
      <c r="D6" s="1">
        <v>0.0</v>
      </c>
      <c r="E6" s="1">
        <v>100.0</v>
      </c>
      <c r="F6" s="1">
        <v>2.0</v>
      </c>
      <c r="H6" s="1" t="s">
        <v>61</v>
      </c>
      <c r="I6" s="4">
        <v>46202.36267361111</v>
      </c>
      <c r="J6" s="1" t="s">
        <v>68</v>
      </c>
      <c r="K6" s="1">
        <v>150.0</v>
      </c>
      <c r="L6" s="1">
        <v>20.0</v>
      </c>
      <c r="M6" s="1">
        <v>20.0</v>
      </c>
      <c r="N6" s="5">
        <v>42329.0</v>
      </c>
      <c r="O6" s="1" t="s">
        <v>35</v>
      </c>
      <c r="P6" s="1" t="s">
        <v>36</v>
      </c>
      <c r="Q6" s="1" t="s">
        <v>72</v>
      </c>
      <c r="S6" s="1" t="s">
        <v>40</v>
      </c>
    </row>
    <row r="7">
      <c r="A7" s="1">
        <v>6.0</v>
      </c>
      <c r="B7" s="1" t="s">
        <v>74</v>
      </c>
      <c r="C7" s="1" t="s">
        <v>25</v>
      </c>
      <c r="E7" s="1">
        <v>100.0</v>
      </c>
      <c r="I7" s="4"/>
      <c r="K7" s="1">
        <v>150.0</v>
      </c>
      <c r="N7" s="5">
        <v>43456.0</v>
      </c>
      <c r="Q7" s="1" t="s">
        <v>76</v>
      </c>
    </row>
    <row r="8">
      <c r="A8" s="1">
        <v>7.0</v>
      </c>
      <c r="B8" s="1" t="s">
        <v>78</v>
      </c>
      <c r="C8" s="1" t="s">
        <v>25</v>
      </c>
      <c r="D8" s="1">
        <v>1.0</v>
      </c>
      <c r="E8" s="1">
        <v>90.0</v>
      </c>
      <c r="H8" s="1" t="s">
        <v>78</v>
      </c>
      <c r="I8" s="4">
        <v>46229.66584490741</v>
      </c>
      <c r="J8" s="1" t="s">
        <v>45</v>
      </c>
      <c r="K8" s="1">
        <v>90.0</v>
      </c>
      <c r="L8" s="1">
        <v>30.0</v>
      </c>
      <c r="M8" s="1">
        <v>30.0</v>
      </c>
      <c r="N8" s="5">
        <v>42617.0</v>
      </c>
      <c r="O8" s="1" t="s">
        <v>47</v>
      </c>
      <c r="P8" s="1" t="s">
        <v>36</v>
      </c>
      <c r="Q8" s="1" t="s">
        <v>82</v>
      </c>
      <c r="S8" s="1" t="s">
        <v>40</v>
      </c>
    </row>
    <row r="9">
      <c r="A9" s="1">
        <v>8.0</v>
      </c>
      <c r="B9" s="1" t="s">
        <v>85</v>
      </c>
      <c r="C9" s="1" t="s">
        <v>25</v>
      </c>
      <c r="D9" s="1">
        <v>0.0</v>
      </c>
      <c r="E9" s="1">
        <v>70.0</v>
      </c>
      <c r="H9" s="1" t="s">
        <v>86</v>
      </c>
      <c r="I9" s="4">
        <v>46237.50077546296</v>
      </c>
      <c r="K9" s="1">
        <v>1600.0</v>
      </c>
      <c r="N9" s="5">
        <v>43854.0</v>
      </c>
      <c r="Q9" s="1" t="s">
        <v>91</v>
      </c>
    </row>
    <row r="10">
      <c r="A10" s="1">
        <v>9.0</v>
      </c>
      <c r="B10" s="1" t="s">
        <v>19</v>
      </c>
      <c r="C10" s="1" t="s">
        <v>25</v>
      </c>
      <c r="D10" s="1">
        <v>0.0</v>
      </c>
      <c r="E10" s="1">
        <v>70.0</v>
      </c>
      <c r="I10" s="4">
        <v>46237.50078703704</v>
      </c>
      <c r="K10" s="1">
        <v>7500.0</v>
      </c>
      <c r="N10" s="5">
        <v>43844.0</v>
      </c>
      <c r="Q10" s="1" t="s">
        <v>88</v>
      </c>
    </row>
    <row r="11">
      <c r="A11" s="1">
        <v>10.0</v>
      </c>
      <c r="B11" s="1" t="s">
        <v>16</v>
      </c>
      <c r="C11" s="1" t="s">
        <v>25</v>
      </c>
      <c r="D11" s="1">
        <v>0.0</v>
      </c>
      <c r="E11" s="1">
        <v>70.0</v>
      </c>
      <c r="F11" s="1">
        <v>1.4</v>
      </c>
      <c r="G11" s="1">
        <v>0.63</v>
      </c>
      <c r="H11" s="1" t="s">
        <v>28</v>
      </c>
      <c r="I11" s="4">
        <v>46206.756574074076</v>
      </c>
      <c r="J11" s="1" t="s">
        <v>45</v>
      </c>
      <c r="K11" s="1">
        <v>14000.0</v>
      </c>
      <c r="L11" s="1">
        <v>250.0</v>
      </c>
      <c r="M11" s="1">
        <v>250.0</v>
      </c>
      <c r="N11" s="5">
        <v>42289.0</v>
      </c>
      <c r="O11" s="1" t="s">
        <v>35</v>
      </c>
      <c r="P11" s="1" t="s">
        <v>36</v>
      </c>
      <c r="Q11" s="1" t="s">
        <v>94</v>
      </c>
      <c r="R11" s="1" t="s">
        <v>95</v>
      </c>
      <c r="S11" s="1" t="s">
        <v>40</v>
      </c>
    </row>
    <row r="12">
      <c r="A12" s="1">
        <v>11.0</v>
      </c>
      <c r="B12" s="1" t="s">
        <v>33</v>
      </c>
      <c r="C12" s="1" t="s">
        <v>25</v>
      </c>
      <c r="D12" s="1">
        <v>0.0</v>
      </c>
      <c r="E12" s="1">
        <v>60.0</v>
      </c>
      <c r="F12" s="1">
        <v>0.8</v>
      </c>
      <c r="H12" s="1" t="s">
        <v>104</v>
      </c>
      <c r="I12" s="4">
        <v>46237.50082175926</v>
      </c>
      <c r="K12" s="1">
        <v>4900.0</v>
      </c>
      <c r="N12" s="5">
        <v>43631.0</v>
      </c>
      <c r="Q12" s="1" t="s">
        <v>99</v>
      </c>
    </row>
    <row r="13">
      <c r="A13" s="1">
        <v>12.0</v>
      </c>
      <c r="B13" s="1" t="s">
        <v>24</v>
      </c>
      <c r="C13" s="1" t="s">
        <v>25</v>
      </c>
      <c r="D13" s="1">
        <v>1.0</v>
      </c>
      <c r="E13" s="1">
        <v>50.0</v>
      </c>
      <c r="H13" s="1" t="s">
        <v>115</v>
      </c>
      <c r="I13" s="4">
        <v>46237.50163194445</v>
      </c>
      <c r="K13" s="1">
        <v>1300.0</v>
      </c>
      <c r="N13" s="5">
        <v>42603.0</v>
      </c>
      <c r="Q13" s="1" t="s">
        <v>103</v>
      </c>
    </row>
    <row r="14">
      <c r="A14" s="1">
        <v>13.0</v>
      </c>
      <c r="B14" s="1" t="s">
        <v>119</v>
      </c>
      <c r="C14" s="1" t="s">
        <v>25</v>
      </c>
      <c r="E14" s="1">
        <v>50.0</v>
      </c>
      <c r="I14" s="4"/>
      <c r="K14" s="1">
        <v>50.0</v>
      </c>
      <c r="N14" s="5">
        <v>45840.0</v>
      </c>
      <c r="Q14" s="1" t="s">
        <v>123</v>
      </c>
    </row>
    <row r="15">
      <c r="A15" s="1">
        <v>14.0</v>
      </c>
      <c r="B15" s="1" t="s">
        <v>124</v>
      </c>
      <c r="C15" s="1" t="s">
        <v>25</v>
      </c>
      <c r="D15" s="1">
        <v>2.0</v>
      </c>
      <c r="E15" s="1">
        <v>40.0</v>
      </c>
      <c r="I15" s="4">
        <v>46237.50079861111</v>
      </c>
      <c r="K15" s="1">
        <v>40.0</v>
      </c>
      <c r="N15" s="5">
        <v>43427.0</v>
      </c>
      <c r="Q15" s="1" t="s">
        <v>130</v>
      </c>
    </row>
    <row r="16">
      <c r="A16" s="1">
        <v>15.0</v>
      </c>
      <c r="B16" s="1" t="s">
        <v>132</v>
      </c>
      <c r="C16" s="1" t="s">
        <v>25</v>
      </c>
      <c r="D16" s="1">
        <v>0.0</v>
      </c>
      <c r="E16" s="1">
        <v>40.0</v>
      </c>
      <c r="I16" s="4">
        <v>46237.50083333333</v>
      </c>
      <c r="K16" s="1">
        <v>40.0</v>
      </c>
      <c r="N16" s="5">
        <v>45816.0</v>
      </c>
      <c r="Q16" s="1" t="s">
        <v>138</v>
      </c>
    </row>
    <row r="17">
      <c r="A17" s="1">
        <v>16.0</v>
      </c>
      <c r="B17" s="1" t="s">
        <v>139</v>
      </c>
      <c r="C17" s="1" t="s">
        <v>25</v>
      </c>
      <c r="D17" s="1">
        <v>0.0</v>
      </c>
      <c r="E17" s="1">
        <v>40.0</v>
      </c>
      <c r="I17" s="4">
        <v>46237.50163194445</v>
      </c>
      <c r="K17" s="1">
        <v>40.0</v>
      </c>
      <c r="N17" s="5">
        <v>45585.0</v>
      </c>
      <c r="Q17" s="1" t="s">
        <v>144</v>
      </c>
    </row>
    <row r="18">
      <c r="A18" s="1">
        <v>17.0</v>
      </c>
      <c r="B18" s="1" t="s">
        <v>145</v>
      </c>
      <c r="C18" s="1" t="s">
        <v>25</v>
      </c>
      <c r="D18" s="1">
        <v>0.0</v>
      </c>
      <c r="E18" s="1">
        <v>40.0</v>
      </c>
      <c r="I18" s="4">
        <v>46237.500868055555</v>
      </c>
      <c r="K18" s="1">
        <v>70.0</v>
      </c>
      <c r="N18" s="5">
        <v>45599.0</v>
      </c>
      <c r="Q18" s="1" t="s">
        <v>150</v>
      </c>
    </row>
    <row r="19">
      <c r="A19" s="1">
        <v>18.0</v>
      </c>
      <c r="B19" s="1" t="s">
        <v>152</v>
      </c>
      <c r="C19" s="1" t="s">
        <v>25</v>
      </c>
      <c r="D19" s="1">
        <v>0.0</v>
      </c>
      <c r="E19" s="1">
        <v>40.0</v>
      </c>
      <c r="I19" s="4">
        <v>46237.50164351852</v>
      </c>
      <c r="K19" s="1">
        <v>40.0</v>
      </c>
      <c r="N19" s="5">
        <v>45918.0</v>
      </c>
      <c r="Q19" s="1" t="s">
        <v>157</v>
      </c>
    </row>
    <row r="20">
      <c r="A20" s="1">
        <v>19.0</v>
      </c>
      <c r="B20" s="1" t="s">
        <v>159</v>
      </c>
      <c r="C20" s="1" t="s">
        <v>25</v>
      </c>
      <c r="D20" s="1">
        <v>0.0</v>
      </c>
      <c r="E20" s="1">
        <v>40.0</v>
      </c>
      <c r="I20" s="4">
        <v>46237.50084490741</v>
      </c>
      <c r="K20" s="1">
        <v>50.0</v>
      </c>
      <c r="N20" s="5">
        <v>45816.0</v>
      </c>
      <c r="Q20" s="1" t="s">
        <v>163</v>
      </c>
    </row>
    <row r="21">
      <c r="A21" s="1">
        <v>20.0</v>
      </c>
      <c r="B21" s="1" t="s">
        <v>165</v>
      </c>
      <c r="C21" s="1" t="s">
        <v>25</v>
      </c>
      <c r="D21" s="1">
        <v>0.0</v>
      </c>
      <c r="E21" s="1">
        <v>30.0</v>
      </c>
      <c r="I21" s="4">
        <v>46237.501608796294</v>
      </c>
      <c r="K21" s="1">
        <v>40.0</v>
      </c>
      <c r="N21" s="5">
        <v>45588.0</v>
      </c>
      <c r="Q21" s="1" t="s">
        <v>170</v>
      </c>
    </row>
    <row r="22">
      <c r="A22" s="1">
        <v>21.0</v>
      </c>
      <c r="B22" s="1" t="s">
        <v>173</v>
      </c>
      <c r="C22" s="1" t="s">
        <v>25</v>
      </c>
      <c r="E22" s="1">
        <v>30.0</v>
      </c>
      <c r="K22" s="1">
        <v>30.0</v>
      </c>
      <c r="N22" s="5">
        <v>45675.0</v>
      </c>
      <c r="Q22" s="1" t="s">
        <v>176</v>
      </c>
    </row>
    <row r="23">
      <c r="A23" s="1">
        <v>22.0</v>
      </c>
      <c r="B23" s="1" t="s">
        <v>178</v>
      </c>
      <c r="C23" s="1" t="s">
        <v>25</v>
      </c>
      <c r="E23" s="1">
        <v>30.0</v>
      </c>
      <c r="I23" s="4"/>
      <c r="K23" s="1">
        <v>30.0</v>
      </c>
      <c r="N23" s="5">
        <v>45631.0</v>
      </c>
      <c r="Q23" s="1" t="s">
        <v>182</v>
      </c>
    </row>
    <row r="24">
      <c r="A24" s="1">
        <v>23.0</v>
      </c>
      <c r="B24" s="1" t="s">
        <v>184</v>
      </c>
      <c r="C24" s="1" t="s">
        <v>25</v>
      </c>
      <c r="E24" s="1">
        <v>30.0</v>
      </c>
      <c r="I24" s="4"/>
      <c r="K24" s="1">
        <v>30.0</v>
      </c>
      <c r="N24" s="5">
        <v>42350.0</v>
      </c>
      <c r="Q24" s="1" t="s">
        <v>189</v>
      </c>
    </row>
    <row r="25">
      <c r="A25" s="1">
        <v>24.0</v>
      </c>
      <c r="B25" s="1" t="s">
        <v>190</v>
      </c>
      <c r="C25" s="1" t="s">
        <v>25</v>
      </c>
      <c r="E25" s="1">
        <v>30.0</v>
      </c>
      <c r="K25" s="1">
        <v>30.0</v>
      </c>
      <c r="N25" s="5">
        <v>45607.0</v>
      </c>
      <c r="Q25" s="1" t="s">
        <v>193</v>
      </c>
    </row>
    <row r="26">
      <c r="A26" s="1">
        <v>25.0</v>
      </c>
      <c r="B26" s="1" t="s">
        <v>195</v>
      </c>
      <c r="C26" s="1" t="s">
        <v>25</v>
      </c>
      <c r="E26" s="1">
        <v>30.0</v>
      </c>
      <c r="I26" s="4"/>
      <c r="K26" s="1">
        <v>30.0</v>
      </c>
      <c r="N26" s="5">
        <v>45795.0</v>
      </c>
      <c r="Q26" s="1" t="s">
        <v>200</v>
      </c>
    </row>
    <row r="27">
      <c r="A27" s="1">
        <v>26.0</v>
      </c>
      <c r="B27" s="1" t="s">
        <v>201</v>
      </c>
      <c r="C27" s="1" t="s">
        <v>25</v>
      </c>
      <c r="D27" s="1">
        <v>0.0</v>
      </c>
      <c r="E27" s="1">
        <v>30.0</v>
      </c>
      <c r="I27" s="4">
        <v>46237.500868055555</v>
      </c>
      <c r="K27" s="1">
        <v>30.0</v>
      </c>
      <c r="N27" s="5">
        <v>45794.0</v>
      </c>
      <c r="Q27" s="1" t="s">
        <v>206</v>
      </c>
    </row>
    <row r="28">
      <c r="A28" s="1">
        <v>27.0</v>
      </c>
      <c r="B28" s="1" t="s">
        <v>208</v>
      </c>
      <c r="C28" s="1" t="s">
        <v>25</v>
      </c>
      <c r="D28" s="1">
        <v>0.0</v>
      </c>
      <c r="E28" s="1">
        <v>30.0</v>
      </c>
      <c r="H28" s="1" t="s">
        <v>10</v>
      </c>
      <c r="I28" s="4">
        <v>46237.500914351855</v>
      </c>
      <c r="K28" s="1">
        <v>1800.0</v>
      </c>
      <c r="N28" s="5">
        <v>42494.0</v>
      </c>
      <c r="Q28" s="1" t="s">
        <v>213</v>
      </c>
    </row>
    <row r="29">
      <c r="A29" s="1">
        <v>28.0</v>
      </c>
      <c r="B29" s="1" t="s">
        <v>110</v>
      </c>
      <c r="C29" s="1" t="s">
        <v>25</v>
      </c>
      <c r="E29" s="1">
        <v>30.0</v>
      </c>
      <c r="I29" s="4"/>
      <c r="K29" s="1">
        <v>200.0</v>
      </c>
      <c r="N29" s="5">
        <v>42530.0</v>
      </c>
      <c r="Q29" s="1" t="s">
        <v>112</v>
      </c>
    </row>
    <row r="30">
      <c r="A30" s="1">
        <v>29.0</v>
      </c>
      <c r="B30" s="1" t="s">
        <v>220</v>
      </c>
      <c r="C30" s="1" t="s">
        <v>25</v>
      </c>
      <c r="D30" s="1">
        <v>0.0</v>
      </c>
      <c r="E30" s="1">
        <v>30.0</v>
      </c>
      <c r="I30" s="4">
        <v>46237.50094907408</v>
      </c>
      <c r="K30" s="1">
        <v>30.0</v>
      </c>
      <c r="N30" s="5">
        <v>45650.0</v>
      </c>
      <c r="Q30" s="1" t="s">
        <v>226</v>
      </c>
    </row>
    <row r="31">
      <c r="A31" s="1">
        <v>30.0</v>
      </c>
      <c r="B31" s="1" t="s">
        <v>228</v>
      </c>
      <c r="C31" s="1" t="s">
        <v>25</v>
      </c>
      <c r="D31" s="1">
        <v>0.0</v>
      </c>
      <c r="E31" s="1">
        <v>30.0</v>
      </c>
      <c r="I31" s="4">
        <v>46237.50094907408</v>
      </c>
      <c r="K31" s="1">
        <v>30.0</v>
      </c>
      <c r="N31" s="5">
        <v>45826.0</v>
      </c>
      <c r="Q31" s="1" t="s">
        <v>233</v>
      </c>
    </row>
    <row r="32">
      <c r="A32" s="1">
        <v>31.0</v>
      </c>
      <c r="B32" s="1" t="s">
        <v>236</v>
      </c>
      <c r="C32" s="1" t="s">
        <v>25</v>
      </c>
      <c r="E32" s="1">
        <v>30.0</v>
      </c>
      <c r="I32" s="4"/>
      <c r="K32" s="1">
        <v>30.0</v>
      </c>
      <c r="N32" s="5">
        <v>45683.0</v>
      </c>
      <c r="Q32" s="1" t="s">
        <v>240</v>
      </c>
    </row>
    <row r="33">
      <c r="A33" s="1">
        <v>32.0</v>
      </c>
      <c r="B33" s="1" t="s">
        <v>26</v>
      </c>
      <c r="C33" s="1" t="s">
        <v>25</v>
      </c>
      <c r="E33" s="1">
        <v>30.0</v>
      </c>
      <c r="F33" s="1">
        <v>2.0</v>
      </c>
      <c r="K33" s="1">
        <v>2100.0</v>
      </c>
      <c r="N33" s="5">
        <v>42982.0</v>
      </c>
      <c r="Q33" s="1" t="s">
        <v>116</v>
      </c>
    </row>
    <row r="34">
      <c r="A34" s="1">
        <v>33.0</v>
      </c>
      <c r="B34" s="1" t="s">
        <v>246</v>
      </c>
      <c r="C34" s="1" t="s">
        <v>25</v>
      </c>
      <c r="E34" s="1">
        <v>30.0</v>
      </c>
      <c r="F34" s="1">
        <v>0.9</v>
      </c>
      <c r="I34" s="4"/>
      <c r="K34" s="1">
        <v>30.0</v>
      </c>
      <c r="N34" s="5">
        <v>42322.0</v>
      </c>
      <c r="Q34" s="1" t="s">
        <v>251</v>
      </c>
    </row>
    <row r="35">
      <c r="A35" s="1">
        <v>34.0</v>
      </c>
      <c r="B35" s="1" t="s">
        <v>252</v>
      </c>
      <c r="C35" s="1" t="s">
        <v>25</v>
      </c>
      <c r="D35" s="1">
        <v>0.0</v>
      </c>
      <c r="E35" s="1">
        <v>30.0</v>
      </c>
      <c r="I35" s="4">
        <v>46237.5009375</v>
      </c>
      <c r="K35" s="1">
        <v>30.0</v>
      </c>
      <c r="N35" s="5">
        <v>45795.0</v>
      </c>
      <c r="Q35" s="1" t="s">
        <v>257</v>
      </c>
    </row>
    <row r="36">
      <c r="A36" s="1">
        <v>35.0</v>
      </c>
      <c r="B36" s="1" t="s">
        <v>260</v>
      </c>
      <c r="C36" s="1" t="s">
        <v>25</v>
      </c>
      <c r="E36" s="1">
        <v>20.0</v>
      </c>
      <c r="I36" s="4"/>
      <c r="K36" s="1">
        <v>20.0</v>
      </c>
      <c r="N36" s="5">
        <v>45932.0</v>
      </c>
      <c r="Q36" s="1" t="s">
        <v>263</v>
      </c>
    </row>
    <row r="37">
      <c r="A37" s="1">
        <v>36.0</v>
      </c>
      <c r="B37" s="1" t="s">
        <v>266</v>
      </c>
      <c r="C37" s="1" t="s">
        <v>25</v>
      </c>
      <c r="D37" s="1">
        <v>0.0</v>
      </c>
      <c r="E37" s="1">
        <v>20.0</v>
      </c>
      <c r="I37" s="4">
        <v>46237.50096064815</v>
      </c>
      <c r="K37" s="1">
        <v>20.0</v>
      </c>
      <c r="N37" s="5">
        <v>45984.0</v>
      </c>
      <c r="Q37" s="1" t="s">
        <v>271</v>
      </c>
    </row>
    <row r="38">
      <c r="A38" s="1">
        <v>37.0</v>
      </c>
      <c r="B38" s="1" t="s">
        <v>272</v>
      </c>
      <c r="C38" s="1" t="s">
        <v>25</v>
      </c>
      <c r="E38" s="1">
        <v>20.0</v>
      </c>
      <c r="I38" s="4"/>
      <c r="K38" s="1">
        <v>100.0</v>
      </c>
      <c r="N38" s="5">
        <v>45396.0</v>
      </c>
      <c r="Q38" s="1" t="s">
        <v>276</v>
      </c>
    </row>
    <row r="39">
      <c r="A39" s="1">
        <v>38.0</v>
      </c>
      <c r="B39" s="1" t="s">
        <v>279</v>
      </c>
      <c r="C39" s="1" t="s">
        <v>25</v>
      </c>
      <c r="D39" s="1">
        <v>0.0</v>
      </c>
      <c r="E39" s="1">
        <v>20.0</v>
      </c>
      <c r="I39" s="4">
        <v>46237.50099537037</v>
      </c>
      <c r="K39" s="1">
        <v>40.0</v>
      </c>
      <c r="N39" s="5">
        <v>45054.0</v>
      </c>
      <c r="Q39" s="1" t="s">
        <v>284</v>
      </c>
    </row>
    <row r="40">
      <c r="A40" s="1">
        <v>39.0</v>
      </c>
      <c r="B40" s="1" t="s">
        <v>286</v>
      </c>
      <c r="C40" s="1" t="s">
        <v>25</v>
      </c>
      <c r="E40" s="1">
        <v>20.0</v>
      </c>
      <c r="I40" s="4"/>
      <c r="K40" s="1">
        <v>300.0</v>
      </c>
      <c r="N40" s="5">
        <v>42853.0</v>
      </c>
      <c r="Q40" s="1" t="s">
        <v>290</v>
      </c>
    </row>
    <row r="41">
      <c r="A41" s="1">
        <v>40.0</v>
      </c>
      <c r="B41" s="1" t="s">
        <v>292</v>
      </c>
      <c r="C41" s="1" t="s">
        <v>25</v>
      </c>
      <c r="E41" s="1">
        <v>20.0</v>
      </c>
      <c r="F41" s="1">
        <v>0.8</v>
      </c>
      <c r="K41" s="1">
        <v>1600.0</v>
      </c>
      <c r="N41" s="5">
        <v>42683.0</v>
      </c>
      <c r="O41" s="1" t="s">
        <v>35</v>
      </c>
      <c r="P41" s="1" t="s">
        <v>36</v>
      </c>
      <c r="Q41" s="1" t="s">
        <v>297</v>
      </c>
      <c r="S41" s="1" t="s">
        <v>40</v>
      </c>
    </row>
    <row r="42">
      <c r="A42" s="1">
        <v>41.0</v>
      </c>
      <c r="B42" s="1" t="s">
        <v>299</v>
      </c>
      <c r="C42" s="1" t="s">
        <v>25</v>
      </c>
      <c r="E42" s="1">
        <v>20.0</v>
      </c>
      <c r="K42" s="1">
        <v>200.0</v>
      </c>
      <c r="N42" s="5">
        <v>44076.0</v>
      </c>
      <c r="Q42" s="1" t="s">
        <v>302</v>
      </c>
    </row>
    <row r="43">
      <c r="A43" s="1">
        <v>42.0</v>
      </c>
      <c r="B43" s="1" t="s">
        <v>304</v>
      </c>
      <c r="C43" s="1" t="s">
        <v>25</v>
      </c>
      <c r="E43" s="1">
        <v>20.0</v>
      </c>
      <c r="I43" s="4"/>
      <c r="K43" s="1">
        <v>20.0</v>
      </c>
      <c r="N43" s="5">
        <v>42393.0</v>
      </c>
      <c r="Q43" s="1" t="s">
        <v>308</v>
      </c>
    </row>
    <row r="44">
      <c r="A44" s="1">
        <v>43.0</v>
      </c>
      <c r="B44" s="1" t="s">
        <v>311</v>
      </c>
      <c r="C44" s="1" t="s">
        <v>25</v>
      </c>
      <c r="E44" s="1">
        <v>20.0</v>
      </c>
      <c r="K44" s="1">
        <v>20.0</v>
      </c>
      <c r="N44" s="5">
        <v>43577.0</v>
      </c>
      <c r="Q44" s="1" t="s">
        <v>314</v>
      </c>
    </row>
    <row r="45">
      <c r="A45" s="1">
        <v>44.0</v>
      </c>
      <c r="B45" s="1" t="s">
        <v>317</v>
      </c>
      <c r="C45" s="1" t="s">
        <v>25</v>
      </c>
      <c r="E45" s="1">
        <v>20.0</v>
      </c>
      <c r="K45" s="1">
        <v>20.0</v>
      </c>
      <c r="N45" s="5">
        <v>45970.0</v>
      </c>
      <c r="Q45" s="1" t="s">
        <v>320</v>
      </c>
    </row>
    <row r="46">
      <c r="A46" s="1">
        <v>45.0</v>
      </c>
      <c r="B46" s="1" t="s">
        <v>129</v>
      </c>
      <c r="C46" s="1" t="s">
        <v>25</v>
      </c>
      <c r="E46" s="1">
        <v>20.0</v>
      </c>
      <c r="I46" s="4"/>
      <c r="K46" s="1">
        <v>500.0</v>
      </c>
      <c r="N46" s="5">
        <v>44109.0</v>
      </c>
      <c r="Q46" s="1" t="s">
        <v>135</v>
      </c>
    </row>
    <row r="47">
      <c r="A47" s="1">
        <v>46.0</v>
      </c>
      <c r="B47" s="1" t="s">
        <v>327</v>
      </c>
      <c r="C47" s="1" t="s">
        <v>25</v>
      </c>
      <c r="E47" s="1">
        <v>20.0</v>
      </c>
      <c r="K47" s="1">
        <v>150.0</v>
      </c>
      <c r="N47" s="5">
        <v>44339.0</v>
      </c>
      <c r="Q47" s="1" t="s">
        <v>330</v>
      </c>
    </row>
    <row r="48">
      <c r="A48" s="1">
        <v>47.0</v>
      </c>
      <c r="B48" s="1" t="s">
        <v>333</v>
      </c>
      <c r="C48" s="1" t="s">
        <v>25</v>
      </c>
      <c r="E48" s="1">
        <v>20.0</v>
      </c>
      <c r="I48" s="4"/>
      <c r="K48" s="1">
        <v>20.0</v>
      </c>
      <c r="N48" s="5">
        <v>42838.0</v>
      </c>
      <c r="Q48" s="1" t="s">
        <v>336</v>
      </c>
    </row>
    <row r="49">
      <c r="A49" s="1">
        <v>48.0</v>
      </c>
      <c r="B49" s="1" t="s">
        <v>340</v>
      </c>
      <c r="C49" s="1" t="s">
        <v>25</v>
      </c>
      <c r="E49" s="1">
        <v>20.0</v>
      </c>
      <c r="I49" s="4"/>
      <c r="K49" s="1">
        <v>20.0</v>
      </c>
      <c r="N49" s="5">
        <v>42788.0</v>
      </c>
      <c r="Q49" s="1" t="s">
        <v>342</v>
      </c>
    </row>
    <row r="50">
      <c r="A50" s="1">
        <v>49.0</v>
      </c>
      <c r="B50" s="1" t="s">
        <v>344</v>
      </c>
      <c r="C50" s="1" t="s">
        <v>25</v>
      </c>
      <c r="D50" s="1">
        <v>0.0</v>
      </c>
      <c r="E50" s="1">
        <v>10.0</v>
      </c>
      <c r="I50" s="4">
        <v>46237.50098379629</v>
      </c>
      <c r="K50" s="1">
        <v>10.0</v>
      </c>
      <c r="N50" s="5">
        <v>46042.0</v>
      </c>
      <c r="Q50" s="1" t="s">
        <v>347</v>
      </c>
    </row>
    <row r="51">
      <c r="A51" s="1">
        <v>50.0</v>
      </c>
      <c r="B51" s="1" t="s">
        <v>350</v>
      </c>
      <c r="C51" s="1" t="s">
        <v>25</v>
      </c>
      <c r="D51" s="1">
        <v>15.0</v>
      </c>
      <c r="E51" s="1">
        <v>10.0</v>
      </c>
      <c r="H51" s="1" t="s">
        <v>50</v>
      </c>
      <c r="I51" s="4">
        <v>46237.50103009259</v>
      </c>
      <c r="K51" s="1">
        <v>10.0</v>
      </c>
      <c r="N51" s="5">
        <v>46100.0</v>
      </c>
      <c r="Q51" s="1" t="s">
        <v>354</v>
      </c>
    </row>
    <row r="52">
      <c r="A52" s="1">
        <v>51.0</v>
      </c>
      <c r="B52" s="1" t="s">
        <v>357</v>
      </c>
      <c r="C52" s="1" t="s">
        <v>25</v>
      </c>
      <c r="E52" s="1">
        <v>10.0</v>
      </c>
      <c r="K52" s="1">
        <v>10.0</v>
      </c>
      <c r="N52" s="5">
        <v>43947.0</v>
      </c>
      <c r="Q52" s="1" t="s">
        <v>361</v>
      </c>
    </row>
    <row r="53">
      <c r="A53" s="1">
        <v>52.0</v>
      </c>
      <c r="B53" s="1" t="s">
        <v>363</v>
      </c>
      <c r="C53" s="1" t="s">
        <v>25</v>
      </c>
      <c r="E53" s="1">
        <v>10.0</v>
      </c>
      <c r="K53" s="1">
        <v>90.0</v>
      </c>
      <c r="N53" s="5">
        <v>43279.0</v>
      </c>
      <c r="Q53" s="1" t="s">
        <v>366</v>
      </c>
    </row>
    <row r="54">
      <c r="A54" s="1">
        <v>53.0</v>
      </c>
      <c r="B54" s="1" t="s">
        <v>369</v>
      </c>
      <c r="C54" s="1" t="s">
        <v>25</v>
      </c>
      <c r="E54" s="1">
        <v>10.0</v>
      </c>
      <c r="K54" s="1">
        <v>20.0</v>
      </c>
      <c r="N54" s="5">
        <v>44111.0</v>
      </c>
      <c r="Q54" s="1" t="s">
        <v>372</v>
      </c>
    </row>
    <row r="55">
      <c r="A55" s="1">
        <v>54.0</v>
      </c>
      <c r="B55" s="1" t="s">
        <v>374</v>
      </c>
      <c r="C55" s="1" t="s">
        <v>25</v>
      </c>
      <c r="E55" s="1">
        <v>10.0</v>
      </c>
      <c r="K55" s="1">
        <v>10.0</v>
      </c>
      <c r="N55" s="5">
        <v>43529.0</v>
      </c>
      <c r="Q55" s="1" t="s">
        <v>378</v>
      </c>
    </row>
    <row r="56">
      <c r="A56" s="1">
        <v>55.0</v>
      </c>
      <c r="B56" s="1" t="s">
        <v>23</v>
      </c>
      <c r="C56" s="1" t="s">
        <v>25</v>
      </c>
      <c r="E56" s="1">
        <v>10.0</v>
      </c>
      <c r="F56" s="1">
        <v>0.2</v>
      </c>
      <c r="K56" s="1">
        <v>200.0</v>
      </c>
      <c r="N56" s="5">
        <v>42558.0</v>
      </c>
      <c r="Q56" s="1" t="s">
        <v>32</v>
      </c>
    </row>
    <row r="57">
      <c r="A57" s="1">
        <v>56.0</v>
      </c>
      <c r="B57" s="1" t="s">
        <v>384</v>
      </c>
      <c r="C57" s="1" t="s">
        <v>25</v>
      </c>
      <c r="E57" s="1">
        <v>10.0</v>
      </c>
      <c r="K57" s="1">
        <v>1100.0</v>
      </c>
      <c r="N57" s="5">
        <v>43170.0</v>
      </c>
      <c r="O57" s="1" t="s">
        <v>47</v>
      </c>
      <c r="P57" s="1" t="s">
        <v>36</v>
      </c>
      <c r="Q57" s="1" t="s">
        <v>389</v>
      </c>
      <c r="S57" s="1" t="s">
        <v>40</v>
      </c>
    </row>
    <row r="58">
      <c r="A58" s="1">
        <v>57.0</v>
      </c>
      <c r="B58" s="1" t="s">
        <v>137</v>
      </c>
      <c r="C58" s="1" t="s">
        <v>25</v>
      </c>
      <c r="E58" s="1">
        <v>10.0</v>
      </c>
      <c r="K58" s="1">
        <v>10.0</v>
      </c>
      <c r="N58" s="5">
        <v>45998.0</v>
      </c>
      <c r="Q58" s="1" t="s">
        <v>141</v>
      </c>
    </row>
    <row r="59">
      <c r="A59" s="1">
        <v>58.0</v>
      </c>
      <c r="B59" s="1" t="s">
        <v>393</v>
      </c>
      <c r="C59" s="1" t="s">
        <v>25</v>
      </c>
      <c r="E59" s="1">
        <v>10.0</v>
      </c>
      <c r="I59" s="4"/>
      <c r="K59" s="1">
        <v>10.0</v>
      </c>
      <c r="N59" s="5">
        <v>45977.0</v>
      </c>
      <c r="Q59" s="1" t="s">
        <v>396</v>
      </c>
    </row>
    <row r="60">
      <c r="A60" s="1">
        <v>59.0</v>
      </c>
      <c r="B60" s="1" t="s">
        <v>397</v>
      </c>
      <c r="C60" s="1" t="s">
        <v>25</v>
      </c>
      <c r="E60" s="1">
        <v>10.0</v>
      </c>
      <c r="I60" s="4"/>
      <c r="K60" s="1">
        <v>1100.0</v>
      </c>
      <c r="N60" s="5">
        <v>42408.0</v>
      </c>
      <c r="Q60" s="1" t="s">
        <v>400</v>
      </c>
    </row>
    <row r="61">
      <c r="A61" s="1">
        <v>60.0</v>
      </c>
      <c r="B61" s="1" t="s">
        <v>143</v>
      </c>
      <c r="C61" s="1" t="s">
        <v>25</v>
      </c>
      <c r="E61" s="1">
        <v>10.0</v>
      </c>
      <c r="K61" s="1">
        <v>1100.0</v>
      </c>
      <c r="N61" s="5">
        <v>44275.0</v>
      </c>
      <c r="Q61" s="1" t="s">
        <v>147</v>
      </c>
    </row>
    <row r="62">
      <c r="A62" s="1">
        <v>61.0</v>
      </c>
      <c r="B62" s="1" t="s">
        <v>402</v>
      </c>
      <c r="C62" s="1" t="s">
        <v>25</v>
      </c>
      <c r="E62" s="1">
        <v>10.0</v>
      </c>
      <c r="I62" s="4"/>
      <c r="K62" s="1">
        <v>10.0</v>
      </c>
      <c r="N62" s="5">
        <v>46103.0</v>
      </c>
      <c r="Q62" s="1" t="s">
        <v>405</v>
      </c>
    </row>
    <row r="63">
      <c r="A63" s="1">
        <v>62.0</v>
      </c>
      <c r="B63" s="1" t="s">
        <v>406</v>
      </c>
      <c r="C63" s="1" t="s">
        <v>25</v>
      </c>
      <c r="E63" s="1">
        <v>10.0</v>
      </c>
      <c r="K63" s="1">
        <v>10.0</v>
      </c>
      <c r="N63" s="5">
        <v>45981.0</v>
      </c>
      <c r="Q63" s="1" t="s">
        <v>408</v>
      </c>
    </row>
    <row r="64">
      <c r="A64" s="1">
        <v>63.0</v>
      </c>
      <c r="B64" s="1" t="s">
        <v>410</v>
      </c>
      <c r="C64" s="1" t="s">
        <v>25</v>
      </c>
      <c r="E64" s="1">
        <v>10.0</v>
      </c>
      <c r="I64" s="4"/>
      <c r="K64" s="1">
        <v>150.0</v>
      </c>
      <c r="N64" s="5">
        <v>42280.0</v>
      </c>
      <c r="Q64" s="1" t="s">
        <v>412</v>
      </c>
    </row>
    <row r="65">
      <c r="A65" s="1">
        <v>64.0</v>
      </c>
      <c r="B65" s="1" t="s">
        <v>413</v>
      </c>
      <c r="C65" s="1" t="s">
        <v>25</v>
      </c>
      <c r="E65" s="1">
        <v>10.0</v>
      </c>
      <c r="K65" s="1">
        <v>10.0</v>
      </c>
      <c r="N65" s="5">
        <v>43192.0</v>
      </c>
      <c r="Q65" s="1" t="s">
        <v>415</v>
      </c>
    </row>
    <row r="66">
      <c r="A66" s="1">
        <v>65.0</v>
      </c>
      <c r="B66" s="1" t="s">
        <v>417</v>
      </c>
      <c r="C66" s="1" t="s">
        <v>25</v>
      </c>
      <c r="E66" s="1">
        <v>10.0</v>
      </c>
      <c r="K66" s="1">
        <v>10.0</v>
      </c>
      <c r="N66" s="5">
        <v>43469.0</v>
      </c>
      <c r="Q66" s="1" t="s">
        <v>419</v>
      </c>
    </row>
    <row r="67">
      <c r="A67" s="1">
        <v>66.0</v>
      </c>
      <c r="B67" s="1" t="s">
        <v>420</v>
      </c>
      <c r="C67" s="1" t="s">
        <v>25</v>
      </c>
      <c r="E67" s="1">
        <v>10.0</v>
      </c>
      <c r="K67" s="1">
        <v>350.0</v>
      </c>
      <c r="N67" s="5">
        <v>43889.0</v>
      </c>
      <c r="Q67" s="1" t="s">
        <v>422</v>
      </c>
    </row>
    <row r="68">
      <c r="A68" s="1">
        <v>67.0</v>
      </c>
      <c r="B68" s="1" t="s">
        <v>423</v>
      </c>
      <c r="C68" s="1" t="s">
        <v>25</v>
      </c>
      <c r="E68" s="1">
        <v>10.0</v>
      </c>
      <c r="K68" s="1">
        <v>10.0</v>
      </c>
      <c r="N68" s="5">
        <v>43965.0</v>
      </c>
      <c r="Q68" s="1" t="s">
        <v>425</v>
      </c>
    </row>
    <row r="69">
      <c r="A69" s="1">
        <v>68.0</v>
      </c>
      <c r="B69" s="1" t="s">
        <v>427</v>
      </c>
      <c r="C69" s="1" t="s">
        <v>25</v>
      </c>
      <c r="E69" s="1">
        <v>10.0</v>
      </c>
      <c r="K69" s="1">
        <v>700.0</v>
      </c>
      <c r="N69" s="5">
        <v>43856.0</v>
      </c>
      <c r="Q69" s="1" t="s">
        <v>429</v>
      </c>
    </row>
    <row r="70">
      <c r="A70" s="1">
        <v>69.0</v>
      </c>
      <c r="B70" s="1" t="s">
        <v>430</v>
      </c>
      <c r="C70" s="1" t="s">
        <v>25</v>
      </c>
      <c r="E70" s="1">
        <v>10.0</v>
      </c>
      <c r="I70" s="4"/>
      <c r="K70" s="1">
        <v>10.0</v>
      </c>
      <c r="N70" s="5">
        <v>42987.0</v>
      </c>
      <c r="Q70" s="1" t="s">
        <v>433</v>
      </c>
    </row>
    <row r="71">
      <c r="A71" s="1">
        <v>70.0</v>
      </c>
      <c r="B71" s="1" t="s">
        <v>434</v>
      </c>
      <c r="C71" s="1" t="s">
        <v>25</v>
      </c>
      <c r="E71" s="1">
        <v>10.0</v>
      </c>
      <c r="I71" s="4"/>
      <c r="K71" s="1">
        <v>10.0</v>
      </c>
      <c r="N71" s="5">
        <v>43087.0</v>
      </c>
      <c r="Q71" s="1" t="s">
        <v>436</v>
      </c>
    </row>
    <row r="72">
      <c r="A72" s="1">
        <v>71.0</v>
      </c>
      <c r="B72" s="1" t="s">
        <v>438</v>
      </c>
      <c r="C72" s="1" t="s">
        <v>25</v>
      </c>
      <c r="E72" s="1">
        <v>10.0</v>
      </c>
      <c r="K72" s="1">
        <v>10.0</v>
      </c>
      <c r="N72" s="5">
        <v>42981.0</v>
      </c>
      <c r="Q72" s="1" t="s">
        <v>440</v>
      </c>
    </row>
    <row r="73">
      <c r="A73" s="1">
        <v>72.0</v>
      </c>
      <c r="B73" s="1" t="s">
        <v>441</v>
      </c>
      <c r="C73" s="1" t="s">
        <v>25</v>
      </c>
      <c r="E73" s="1">
        <v>10.0</v>
      </c>
      <c r="K73" s="1">
        <v>10.0</v>
      </c>
      <c r="N73" s="5">
        <v>46102.0</v>
      </c>
      <c r="Q73" s="1" t="s">
        <v>443</v>
      </c>
    </row>
    <row r="74">
      <c r="A74" s="1">
        <v>73.0</v>
      </c>
      <c r="B74" s="1" t="s">
        <v>444</v>
      </c>
      <c r="C74" s="1" t="s">
        <v>25</v>
      </c>
      <c r="E74" s="1">
        <v>10.0</v>
      </c>
      <c r="K74" s="1">
        <v>10.0</v>
      </c>
      <c r="N74" s="5">
        <v>46102.0</v>
      </c>
      <c r="Q74" s="1" t="s">
        <v>446</v>
      </c>
    </row>
    <row r="75">
      <c r="A75" s="1">
        <v>74.0</v>
      </c>
      <c r="B75" s="1" t="s">
        <v>448</v>
      </c>
      <c r="C75" s="1" t="s">
        <v>25</v>
      </c>
      <c r="E75" s="1">
        <v>10.0</v>
      </c>
      <c r="K75" s="1">
        <v>150.0</v>
      </c>
      <c r="N75" s="5">
        <v>43964.0</v>
      </c>
      <c r="Q75" s="1" t="s">
        <v>450</v>
      </c>
    </row>
    <row r="76">
      <c r="A76" s="1">
        <v>75.0</v>
      </c>
      <c r="B76" s="1" t="s">
        <v>451</v>
      </c>
      <c r="C76" s="1" t="s">
        <v>25</v>
      </c>
      <c r="E76" s="1">
        <v>10.0</v>
      </c>
      <c r="K76" s="1">
        <v>10.0</v>
      </c>
      <c r="N76" s="5">
        <v>45974.0</v>
      </c>
      <c r="Q76" s="1" t="s">
        <v>453</v>
      </c>
    </row>
    <row r="77">
      <c r="A77" s="1">
        <v>76.0</v>
      </c>
      <c r="B77" s="1" t="s">
        <v>456</v>
      </c>
      <c r="C77" s="1" t="s">
        <v>25</v>
      </c>
      <c r="E77" s="1">
        <v>10.0</v>
      </c>
      <c r="K77" s="1">
        <v>10.0</v>
      </c>
      <c r="N77" s="5">
        <v>43373.0</v>
      </c>
      <c r="Q77" s="1" t="s">
        <v>459</v>
      </c>
    </row>
    <row r="78">
      <c r="A78" s="1">
        <v>77.0</v>
      </c>
      <c r="B78" s="1" t="s">
        <v>460</v>
      </c>
      <c r="C78" s="1" t="s">
        <v>25</v>
      </c>
      <c r="E78" s="1">
        <v>10.0</v>
      </c>
      <c r="I78" s="4"/>
      <c r="K78" s="1">
        <v>20.0</v>
      </c>
      <c r="N78" s="5">
        <v>45721.0</v>
      </c>
      <c r="Q78" s="1" t="s">
        <v>463</v>
      </c>
    </row>
    <row r="79">
      <c r="A79" s="1">
        <v>78.0</v>
      </c>
      <c r="B79" s="1" t="s">
        <v>464</v>
      </c>
      <c r="C79" s="1" t="s">
        <v>25</v>
      </c>
      <c r="E79" s="1">
        <v>10.0</v>
      </c>
      <c r="K79" s="1">
        <v>200.0</v>
      </c>
      <c r="N79" s="5">
        <v>44251.0</v>
      </c>
      <c r="Q79" s="1" t="s">
        <v>466</v>
      </c>
    </row>
    <row r="80">
      <c r="A80" s="1">
        <v>79.0</v>
      </c>
      <c r="B80" s="1" t="s">
        <v>468</v>
      </c>
      <c r="C80" s="1" t="s">
        <v>25</v>
      </c>
      <c r="E80" s="1">
        <v>10.0</v>
      </c>
      <c r="K80" s="1">
        <v>10.0</v>
      </c>
      <c r="N80" s="5">
        <v>42683.0</v>
      </c>
      <c r="Q80" s="1" t="s">
        <v>470</v>
      </c>
    </row>
    <row r="81">
      <c r="A81" s="1">
        <v>80.0</v>
      </c>
      <c r="B81" s="1" t="s">
        <v>471</v>
      </c>
      <c r="C81" s="1" t="s">
        <v>25</v>
      </c>
      <c r="E81" s="1">
        <v>10.0</v>
      </c>
      <c r="K81" s="1">
        <v>10.0</v>
      </c>
      <c r="N81" s="5">
        <v>45981.0</v>
      </c>
      <c r="Q81" s="1" t="s">
        <v>473</v>
      </c>
    </row>
    <row r="82">
      <c r="A82" s="1">
        <v>81.0</v>
      </c>
      <c r="B82" s="1" t="s">
        <v>475</v>
      </c>
      <c r="C82" s="1" t="s">
        <v>25</v>
      </c>
      <c r="E82" s="1">
        <v>10.0</v>
      </c>
      <c r="K82" s="1">
        <v>300.0</v>
      </c>
      <c r="N82" s="5">
        <v>42807.0</v>
      </c>
      <c r="Q82" s="1" t="s">
        <v>477</v>
      </c>
    </row>
    <row r="83">
      <c r="A83" s="1">
        <v>82.0</v>
      </c>
      <c r="B83" s="1" t="s">
        <v>478</v>
      </c>
      <c r="C83" s="1" t="s">
        <v>25</v>
      </c>
      <c r="E83" s="1">
        <v>10.0</v>
      </c>
      <c r="K83" s="1">
        <v>10.0</v>
      </c>
      <c r="N83" s="5">
        <v>44027.0</v>
      </c>
      <c r="Q83" s="1" t="s">
        <v>481</v>
      </c>
    </row>
    <row r="84">
      <c r="A84" s="1">
        <v>83.0</v>
      </c>
      <c r="B84" s="1" t="s">
        <v>482</v>
      </c>
      <c r="C84" s="1" t="s">
        <v>25</v>
      </c>
      <c r="K84" s="1">
        <v>30.0</v>
      </c>
      <c r="N84" s="5">
        <v>45162.0</v>
      </c>
      <c r="Q84" s="1" t="s">
        <v>484</v>
      </c>
    </row>
    <row r="85">
      <c r="A85" s="1">
        <v>84.0</v>
      </c>
      <c r="B85" s="1" t="s">
        <v>486</v>
      </c>
      <c r="C85" s="1" t="s">
        <v>25</v>
      </c>
      <c r="K85" s="1">
        <v>30.0</v>
      </c>
      <c r="N85" s="5">
        <v>44055.0</v>
      </c>
      <c r="Q85" s="1" t="s">
        <v>55</v>
      </c>
    </row>
    <row r="86">
      <c r="A86" s="1">
        <v>85.0</v>
      </c>
      <c r="B86" s="1" t="s">
        <v>488</v>
      </c>
      <c r="C86" s="1" t="s">
        <v>25</v>
      </c>
      <c r="K86" s="1">
        <v>200.0</v>
      </c>
      <c r="N86" s="5">
        <v>43843.0</v>
      </c>
      <c r="Q86" s="1" t="s">
        <v>490</v>
      </c>
    </row>
    <row r="87">
      <c r="A87" s="1">
        <v>86.0</v>
      </c>
      <c r="B87" s="1" t="s">
        <v>492</v>
      </c>
      <c r="C87" s="1" t="s">
        <v>25</v>
      </c>
      <c r="N87" s="5">
        <v>44592.0</v>
      </c>
      <c r="Q87" s="1" t="s">
        <v>55</v>
      </c>
    </row>
    <row r="88">
      <c r="A88" s="1">
        <v>87.0</v>
      </c>
      <c r="B88" s="1" t="s">
        <v>494</v>
      </c>
      <c r="C88" s="1" t="s">
        <v>25</v>
      </c>
      <c r="K88" s="1">
        <v>200.0</v>
      </c>
      <c r="N88" s="5">
        <v>43842.0</v>
      </c>
      <c r="Q88" s="1" t="s">
        <v>498</v>
      </c>
    </row>
    <row r="89">
      <c r="A89" s="1">
        <v>88.0</v>
      </c>
      <c r="B89" s="1" t="s">
        <v>500</v>
      </c>
      <c r="C89" s="1" t="s">
        <v>25</v>
      </c>
      <c r="K89" s="1">
        <v>80.0</v>
      </c>
      <c r="N89" s="5">
        <v>44039.0</v>
      </c>
      <c r="Q89" s="1" t="s">
        <v>502</v>
      </c>
    </row>
    <row r="90">
      <c r="A90" s="1">
        <v>89.0</v>
      </c>
      <c r="B90" s="1" t="s">
        <v>503</v>
      </c>
      <c r="C90" s="1" t="s">
        <v>25</v>
      </c>
      <c r="K90" s="1">
        <v>150.0</v>
      </c>
      <c r="N90" s="5">
        <v>43925.0</v>
      </c>
      <c r="Q90" s="1" t="s">
        <v>505</v>
      </c>
    </row>
    <row r="91">
      <c r="A91" s="1">
        <v>90.0</v>
      </c>
      <c r="B91" s="1" t="s">
        <v>507</v>
      </c>
      <c r="C91" s="1" t="s">
        <v>25</v>
      </c>
      <c r="K91" s="1">
        <v>150.0</v>
      </c>
      <c r="N91" s="5">
        <v>43866.0</v>
      </c>
      <c r="Q91" s="1" t="s">
        <v>509</v>
      </c>
    </row>
    <row r="92">
      <c r="A92" s="1">
        <v>91.0</v>
      </c>
      <c r="B92" s="1" t="s">
        <v>510</v>
      </c>
      <c r="C92" s="1" t="s">
        <v>25</v>
      </c>
      <c r="N92" s="5">
        <v>44234.0</v>
      </c>
      <c r="Q92" s="1" t="s">
        <v>55</v>
      </c>
    </row>
    <row r="93">
      <c r="A93" s="1">
        <v>92.0</v>
      </c>
      <c r="B93" s="1" t="s">
        <v>513</v>
      </c>
      <c r="C93" s="1" t="s">
        <v>25</v>
      </c>
      <c r="N93" s="5">
        <v>44037.0</v>
      </c>
      <c r="Q93" s="1" t="s">
        <v>55</v>
      </c>
    </row>
    <row r="94">
      <c r="A94" s="1">
        <v>93.0</v>
      </c>
      <c r="B94" s="1" t="s">
        <v>515</v>
      </c>
      <c r="C94" s="1" t="s">
        <v>25</v>
      </c>
      <c r="K94" s="1">
        <v>50.0</v>
      </c>
      <c r="N94" s="5">
        <v>44863.0</v>
      </c>
      <c r="Q94" s="1" t="s">
        <v>517</v>
      </c>
    </row>
    <row r="95">
      <c r="A95" s="1">
        <v>94.0</v>
      </c>
      <c r="B95" s="1" t="s">
        <v>519</v>
      </c>
      <c r="C95" s="1" t="s">
        <v>25</v>
      </c>
      <c r="K95" s="1">
        <v>60.0</v>
      </c>
      <c r="N95" s="5">
        <v>45693.0</v>
      </c>
      <c r="Q95" s="1" t="s">
        <v>521</v>
      </c>
    </row>
    <row r="96">
      <c r="A96" s="1">
        <v>95.0</v>
      </c>
      <c r="B96" s="1" t="s">
        <v>522</v>
      </c>
      <c r="C96" s="1" t="s">
        <v>25</v>
      </c>
      <c r="K96" s="1">
        <v>40.0</v>
      </c>
      <c r="N96" s="5">
        <v>44776.0</v>
      </c>
      <c r="Q96" s="1" t="s">
        <v>524</v>
      </c>
    </row>
    <row r="97">
      <c r="A97" s="1">
        <v>96.0</v>
      </c>
      <c r="B97" s="1" t="s">
        <v>526</v>
      </c>
      <c r="C97" s="1" t="s">
        <v>25</v>
      </c>
      <c r="K97" s="1">
        <v>50.0</v>
      </c>
      <c r="N97" s="5">
        <v>45574.0</v>
      </c>
      <c r="Q97" s="1" t="s">
        <v>529</v>
      </c>
    </row>
    <row r="98">
      <c r="A98" s="1">
        <v>97.0</v>
      </c>
      <c r="B98" s="1" t="s">
        <v>530</v>
      </c>
      <c r="C98" s="1" t="s">
        <v>25</v>
      </c>
      <c r="K98" s="1">
        <v>90.0</v>
      </c>
      <c r="N98" s="5">
        <v>44161.0</v>
      </c>
      <c r="Q98" s="1" t="s">
        <v>532</v>
      </c>
    </row>
    <row r="99">
      <c r="A99" s="1">
        <v>98.0</v>
      </c>
      <c r="B99" s="1" t="s">
        <v>534</v>
      </c>
      <c r="C99" s="1" t="s">
        <v>25</v>
      </c>
      <c r="K99" s="1">
        <v>150.0</v>
      </c>
      <c r="N99" s="5">
        <v>44089.0</v>
      </c>
      <c r="Q99" s="1" t="s">
        <v>536</v>
      </c>
    </row>
    <row r="100">
      <c r="A100" s="1">
        <v>99.0</v>
      </c>
      <c r="B100" s="1" t="s">
        <v>34</v>
      </c>
      <c r="C100" s="1" t="s">
        <v>25</v>
      </c>
      <c r="I100" s="4"/>
      <c r="N100" s="5">
        <v>45736.0</v>
      </c>
      <c r="Q100" s="1" t="s">
        <v>42</v>
      </c>
    </row>
    <row r="101">
      <c r="A101" s="1">
        <v>100.0</v>
      </c>
      <c r="B101" s="1" t="s">
        <v>539</v>
      </c>
      <c r="C101" s="1" t="s">
        <v>25</v>
      </c>
      <c r="K101" s="1">
        <v>150.0</v>
      </c>
      <c r="N101" s="5">
        <v>45167.0</v>
      </c>
      <c r="Q101" s="1" t="s">
        <v>541</v>
      </c>
    </row>
    <row r="102">
      <c r="A102" s="1">
        <v>101.0</v>
      </c>
      <c r="B102" s="1" t="s">
        <v>543</v>
      </c>
      <c r="C102" s="1" t="s">
        <v>25</v>
      </c>
      <c r="K102" s="1">
        <v>450.0</v>
      </c>
      <c r="N102" s="5">
        <v>43954.0</v>
      </c>
      <c r="Q102" s="1" t="s">
        <v>545</v>
      </c>
    </row>
    <row r="103">
      <c r="A103" s="1">
        <v>102.0</v>
      </c>
      <c r="B103" s="1" t="s">
        <v>546</v>
      </c>
      <c r="C103" s="1" t="s">
        <v>25</v>
      </c>
      <c r="K103" s="1">
        <v>10.0</v>
      </c>
      <c r="N103" s="5">
        <v>45580.0</v>
      </c>
      <c r="Q103" s="1" t="s">
        <v>548</v>
      </c>
    </row>
    <row r="104">
      <c r="A104" s="1">
        <v>103.0</v>
      </c>
      <c r="B104" s="1" t="s">
        <v>550</v>
      </c>
      <c r="C104" s="1" t="s">
        <v>25</v>
      </c>
      <c r="K104" s="1">
        <v>90.0</v>
      </c>
      <c r="N104" s="5">
        <v>44078.0</v>
      </c>
      <c r="Q104" s="1" t="s">
        <v>551</v>
      </c>
    </row>
    <row r="105">
      <c r="A105" s="1">
        <v>104.0</v>
      </c>
      <c r="B105" s="1" t="s">
        <v>552</v>
      </c>
      <c r="C105" s="1" t="s">
        <v>25</v>
      </c>
      <c r="N105" s="5">
        <v>44229.0</v>
      </c>
      <c r="Q105" s="1" t="s">
        <v>55</v>
      </c>
    </row>
    <row r="106">
      <c r="A106" s="1">
        <v>105.0</v>
      </c>
      <c r="B106" s="1" t="s">
        <v>554</v>
      </c>
      <c r="C106" s="1" t="s">
        <v>25</v>
      </c>
      <c r="K106" s="1">
        <v>40.0</v>
      </c>
      <c r="N106" s="5">
        <v>45395.0</v>
      </c>
      <c r="Q106" s="1" t="s">
        <v>556</v>
      </c>
    </row>
    <row r="107">
      <c r="A107" s="1">
        <v>106.0</v>
      </c>
      <c r="B107" s="1" t="s">
        <v>558</v>
      </c>
      <c r="C107" s="1" t="s">
        <v>25</v>
      </c>
      <c r="K107" s="1">
        <v>200.0</v>
      </c>
      <c r="N107" s="5">
        <v>44125.0</v>
      </c>
      <c r="Q107" s="1" t="s">
        <v>560</v>
      </c>
    </row>
    <row r="108">
      <c r="A108" s="1">
        <v>107.0</v>
      </c>
      <c r="B108" s="1" t="s">
        <v>561</v>
      </c>
      <c r="C108" s="1" t="s">
        <v>25</v>
      </c>
      <c r="K108" s="1">
        <v>10.0</v>
      </c>
      <c r="N108" s="5">
        <v>45221.0</v>
      </c>
      <c r="Q108" s="1" t="s">
        <v>55</v>
      </c>
    </row>
    <row r="109">
      <c r="A109" s="1">
        <v>108.0</v>
      </c>
      <c r="B109" s="1" t="s">
        <v>564</v>
      </c>
      <c r="C109" s="1" t="s">
        <v>25</v>
      </c>
      <c r="K109" s="1">
        <v>40.0</v>
      </c>
      <c r="N109" s="5">
        <v>45648.0</v>
      </c>
      <c r="Q109" s="1" t="s">
        <v>566</v>
      </c>
    </row>
    <row r="110">
      <c r="A110" s="1">
        <v>109.0</v>
      </c>
      <c r="B110" s="1" t="s">
        <v>567</v>
      </c>
      <c r="C110" s="1" t="s">
        <v>25</v>
      </c>
      <c r="K110" s="1">
        <v>60.0</v>
      </c>
      <c r="N110" s="5">
        <v>43919.0</v>
      </c>
      <c r="Q110" s="1" t="s">
        <v>569</v>
      </c>
    </row>
    <row r="111">
      <c r="A111" s="1">
        <v>110.0</v>
      </c>
      <c r="B111" s="1" t="s">
        <v>571</v>
      </c>
      <c r="C111" s="1" t="s">
        <v>25</v>
      </c>
      <c r="K111" s="1">
        <v>20.0</v>
      </c>
      <c r="N111" s="5">
        <v>44465.0</v>
      </c>
      <c r="Q111" s="1" t="s">
        <v>569</v>
      </c>
    </row>
    <row r="112">
      <c r="A112" s="1">
        <v>111.0</v>
      </c>
      <c r="B112" s="1" t="s">
        <v>573</v>
      </c>
      <c r="C112" s="1" t="s">
        <v>25</v>
      </c>
      <c r="K112" s="1">
        <v>30.0</v>
      </c>
      <c r="N112" s="5">
        <v>43872.0</v>
      </c>
      <c r="Q112" s="1" t="s">
        <v>575</v>
      </c>
    </row>
    <row r="113">
      <c r="A113" s="1">
        <v>112.0</v>
      </c>
      <c r="B113" s="1" t="s">
        <v>577</v>
      </c>
      <c r="C113" s="1" t="s">
        <v>25</v>
      </c>
      <c r="K113" s="1">
        <v>600.0</v>
      </c>
      <c r="N113" s="5">
        <v>43920.0</v>
      </c>
      <c r="Q113" s="1" t="s">
        <v>579</v>
      </c>
    </row>
    <row r="114">
      <c r="A114" s="1">
        <v>113.0</v>
      </c>
      <c r="B114" s="1" t="s">
        <v>580</v>
      </c>
      <c r="C114" s="1" t="s">
        <v>25</v>
      </c>
      <c r="K114" s="1">
        <v>10.0</v>
      </c>
      <c r="N114" s="5">
        <v>43608.0</v>
      </c>
      <c r="Q114" s="1" t="s">
        <v>582</v>
      </c>
    </row>
    <row r="115">
      <c r="A115" s="1">
        <v>114.0</v>
      </c>
      <c r="B115" s="1" t="s">
        <v>584</v>
      </c>
      <c r="C115" s="1" t="s">
        <v>25</v>
      </c>
      <c r="K115" s="1">
        <v>200.0</v>
      </c>
      <c r="N115" s="5">
        <v>43968.0</v>
      </c>
      <c r="Q115" s="1" t="s">
        <v>586</v>
      </c>
    </row>
    <row r="116">
      <c r="A116" s="1">
        <v>115.0</v>
      </c>
      <c r="B116" s="1" t="s">
        <v>588</v>
      </c>
      <c r="C116" s="1" t="s">
        <v>25</v>
      </c>
      <c r="K116" s="1">
        <v>60.0</v>
      </c>
      <c r="N116" s="5">
        <v>45404.0</v>
      </c>
      <c r="Q116" s="1" t="s">
        <v>589</v>
      </c>
    </row>
    <row r="117">
      <c r="A117" s="1">
        <v>116.0</v>
      </c>
      <c r="B117" s="1" t="s">
        <v>591</v>
      </c>
      <c r="C117" s="1" t="s">
        <v>25</v>
      </c>
      <c r="N117" s="5">
        <v>45803.0</v>
      </c>
      <c r="Q117" s="1" t="s">
        <v>593</v>
      </c>
    </row>
    <row r="118">
      <c r="A118" s="1">
        <v>117.0</v>
      </c>
      <c r="B118" s="1" t="s">
        <v>594</v>
      </c>
      <c r="C118" s="1" t="s">
        <v>25</v>
      </c>
      <c r="K118" s="1">
        <v>200.0</v>
      </c>
      <c r="N118" s="5">
        <v>45777.0</v>
      </c>
      <c r="Q118" s="1" t="s">
        <v>596</v>
      </c>
    </row>
    <row r="119">
      <c r="A119" s="1">
        <v>118.0</v>
      </c>
      <c r="B119" s="1" t="s">
        <v>598</v>
      </c>
      <c r="C119" s="1" t="s">
        <v>25</v>
      </c>
      <c r="N119" s="5">
        <v>44117.0</v>
      </c>
      <c r="Q119" s="1" t="s">
        <v>55</v>
      </c>
    </row>
    <row r="120">
      <c r="A120" s="1">
        <v>119.0</v>
      </c>
      <c r="B120" s="1" t="s">
        <v>601</v>
      </c>
      <c r="C120" s="1" t="s">
        <v>25</v>
      </c>
      <c r="N120" s="5">
        <v>44668.0</v>
      </c>
      <c r="Q120" s="1" t="s">
        <v>172</v>
      </c>
    </row>
    <row r="121">
      <c r="A121" s="1">
        <v>120.0</v>
      </c>
      <c r="B121" s="1" t="s">
        <v>604</v>
      </c>
      <c r="C121" s="1" t="s">
        <v>25</v>
      </c>
      <c r="K121" s="1">
        <v>50.0</v>
      </c>
      <c r="N121" s="5">
        <v>44663.0</v>
      </c>
      <c r="Q121" s="1" t="s">
        <v>606</v>
      </c>
    </row>
    <row r="122">
      <c r="A122" s="1">
        <v>121.0</v>
      </c>
      <c r="B122" s="1" t="s">
        <v>607</v>
      </c>
      <c r="C122" s="1" t="s">
        <v>25</v>
      </c>
      <c r="K122" s="1">
        <v>100.0</v>
      </c>
      <c r="N122" s="5">
        <v>44443.0</v>
      </c>
      <c r="Q122" s="1" t="s">
        <v>609</v>
      </c>
    </row>
    <row r="123">
      <c r="A123" s="1">
        <v>122.0</v>
      </c>
      <c r="B123" s="1" t="s">
        <v>611</v>
      </c>
      <c r="C123" s="1" t="s">
        <v>25</v>
      </c>
      <c r="K123" s="1">
        <v>30.0</v>
      </c>
      <c r="N123" s="5">
        <v>45706.0</v>
      </c>
      <c r="Q123" s="1" t="s">
        <v>613</v>
      </c>
    </row>
    <row r="124">
      <c r="A124" s="1">
        <v>123.0</v>
      </c>
      <c r="B124" s="1" t="s">
        <v>614</v>
      </c>
      <c r="C124" s="1" t="s">
        <v>25</v>
      </c>
      <c r="K124" s="1">
        <v>80.0</v>
      </c>
      <c r="N124" s="5">
        <v>44935.0</v>
      </c>
      <c r="Q124" s="1" t="s">
        <v>616</v>
      </c>
    </row>
    <row r="125">
      <c r="A125" s="1">
        <v>124.0</v>
      </c>
      <c r="B125" s="1" t="s">
        <v>618</v>
      </c>
      <c r="C125" s="1" t="s">
        <v>25</v>
      </c>
      <c r="K125" s="1">
        <v>30.0</v>
      </c>
      <c r="N125" s="5">
        <v>44328.0</v>
      </c>
      <c r="Q125" s="1" t="s">
        <v>80</v>
      </c>
    </row>
    <row r="126">
      <c r="A126" s="1">
        <v>125.0</v>
      </c>
      <c r="B126" s="1" t="s">
        <v>620</v>
      </c>
      <c r="C126" s="1" t="s">
        <v>25</v>
      </c>
      <c r="K126" s="1">
        <v>250.0</v>
      </c>
      <c r="N126" s="5">
        <v>45764.0</v>
      </c>
      <c r="Q126" s="1" t="s">
        <v>622</v>
      </c>
    </row>
    <row r="127">
      <c r="A127" s="1">
        <v>126.0</v>
      </c>
      <c r="B127" s="1" t="s">
        <v>624</v>
      </c>
      <c r="C127" s="1" t="s">
        <v>25</v>
      </c>
      <c r="K127" s="1">
        <v>60.0</v>
      </c>
      <c r="N127" s="5">
        <v>44244.0</v>
      </c>
      <c r="Q127" s="1" t="s">
        <v>626</v>
      </c>
    </row>
    <row r="128">
      <c r="A128" s="1">
        <v>127.0</v>
      </c>
      <c r="B128" s="1" t="s">
        <v>627</v>
      </c>
      <c r="C128" s="1" t="s">
        <v>25</v>
      </c>
      <c r="K128" s="1">
        <v>200.0</v>
      </c>
      <c r="N128" s="5">
        <v>43935.0</v>
      </c>
      <c r="Q128" s="1" t="s">
        <v>630</v>
      </c>
    </row>
    <row r="129">
      <c r="A129" s="1">
        <v>128.0</v>
      </c>
      <c r="B129" s="1" t="s">
        <v>631</v>
      </c>
      <c r="C129" s="1" t="s">
        <v>25</v>
      </c>
      <c r="K129" s="1">
        <v>10.0</v>
      </c>
      <c r="N129" s="5">
        <v>43943.0</v>
      </c>
      <c r="Q129" s="1" t="s">
        <v>633</v>
      </c>
    </row>
    <row r="130">
      <c r="A130" s="1">
        <v>129.0</v>
      </c>
      <c r="B130" s="1" t="s">
        <v>635</v>
      </c>
      <c r="C130" s="1" t="s">
        <v>25</v>
      </c>
      <c r="K130" s="1">
        <v>50.0</v>
      </c>
      <c r="N130" s="5">
        <v>45758.0</v>
      </c>
      <c r="Q130" s="1" t="s">
        <v>637</v>
      </c>
    </row>
    <row r="131">
      <c r="A131" s="1">
        <v>130.0</v>
      </c>
      <c r="B131" s="1" t="s">
        <v>638</v>
      </c>
      <c r="C131" s="1" t="s">
        <v>25</v>
      </c>
      <c r="K131" s="1">
        <v>20.0</v>
      </c>
      <c r="N131" s="5">
        <v>44243.0</v>
      </c>
      <c r="Q131" s="1" t="s">
        <v>641</v>
      </c>
    </row>
    <row r="132">
      <c r="A132" s="1">
        <v>131.0</v>
      </c>
      <c r="B132" s="1" t="s">
        <v>642</v>
      </c>
      <c r="C132" s="1" t="s">
        <v>25</v>
      </c>
      <c r="K132" s="1">
        <v>100.0</v>
      </c>
      <c r="N132" s="5">
        <v>43864.0</v>
      </c>
      <c r="Q132" s="1" t="s">
        <v>644</v>
      </c>
    </row>
    <row r="133">
      <c r="A133" s="1">
        <v>132.0</v>
      </c>
      <c r="B133" s="1" t="s">
        <v>646</v>
      </c>
      <c r="C133" s="1" t="s">
        <v>25</v>
      </c>
      <c r="K133" s="1">
        <v>350.0</v>
      </c>
      <c r="N133" s="5">
        <v>43974.0</v>
      </c>
      <c r="Q133" s="1" t="s">
        <v>648</v>
      </c>
    </row>
    <row r="134">
      <c r="A134" s="1">
        <v>133.0</v>
      </c>
      <c r="B134" s="1" t="s">
        <v>649</v>
      </c>
      <c r="C134" s="1" t="s">
        <v>25</v>
      </c>
      <c r="K134" s="1">
        <v>80.0</v>
      </c>
      <c r="N134" s="5">
        <v>43882.0</v>
      </c>
      <c r="Q134" s="1" t="s">
        <v>651</v>
      </c>
    </row>
    <row r="135">
      <c r="A135" s="1">
        <v>134.0</v>
      </c>
      <c r="B135" s="1" t="s">
        <v>653</v>
      </c>
      <c r="C135" s="1" t="s">
        <v>25</v>
      </c>
      <c r="K135" s="1">
        <v>10.0</v>
      </c>
      <c r="N135" s="5">
        <v>45158.0</v>
      </c>
      <c r="Q135" s="1" t="s">
        <v>55</v>
      </c>
    </row>
    <row r="136">
      <c r="A136" s="1">
        <v>135.0</v>
      </c>
      <c r="B136" s="1" t="s">
        <v>655</v>
      </c>
      <c r="C136" s="1" t="s">
        <v>25</v>
      </c>
      <c r="K136" s="1">
        <v>250.0</v>
      </c>
      <c r="N136" s="5">
        <v>45151.0</v>
      </c>
      <c r="Q136" s="1" t="s">
        <v>657</v>
      </c>
    </row>
    <row r="137">
      <c r="A137" s="1">
        <v>136.0</v>
      </c>
      <c r="B137" s="1" t="s">
        <v>659</v>
      </c>
      <c r="C137" s="1" t="s">
        <v>25</v>
      </c>
      <c r="K137" s="1">
        <v>20.0</v>
      </c>
      <c r="N137" s="5">
        <v>44362.0</v>
      </c>
      <c r="Q137" s="1" t="s">
        <v>55</v>
      </c>
    </row>
    <row r="138">
      <c r="A138" s="1">
        <v>137.0</v>
      </c>
      <c r="B138" s="1" t="s">
        <v>661</v>
      </c>
      <c r="C138" s="1" t="s">
        <v>25</v>
      </c>
      <c r="N138" s="5">
        <v>44626.0</v>
      </c>
      <c r="Q138" s="1" t="s">
        <v>55</v>
      </c>
    </row>
    <row r="139">
      <c r="A139" s="1">
        <v>138.0</v>
      </c>
      <c r="B139" s="1" t="s">
        <v>663</v>
      </c>
      <c r="C139" s="1" t="s">
        <v>25</v>
      </c>
      <c r="K139" s="1">
        <v>50.0</v>
      </c>
      <c r="N139" s="5">
        <v>44832.0</v>
      </c>
      <c r="Q139" s="1" t="s">
        <v>666</v>
      </c>
    </row>
    <row r="140">
      <c r="A140" s="1">
        <v>139.0</v>
      </c>
      <c r="B140" s="1" t="s">
        <v>668</v>
      </c>
      <c r="C140" s="1" t="s">
        <v>25</v>
      </c>
      <c r="N140" s="5">
        <v>45503.0</v>
      </c>
      <c r="Q140" s="1" t="s">
        <v>670</v>
      </c>
    </row>
    <row r="141">
      <c r="A141" s="1">
        <v>140.0</v>
      </c>
      <c r="B141" s="1" t="s">
        <v>671</v>
      </c>
      <c r="C141" s="1" t="s">
        <v>25</v>
      </c>
      <c r="K141" s="1">
        <v>70.0</v>
      </c>
      <c r="N141" s="5">
        <v>44041.0</v>
      </c>
      <c r="Q141" s="1" t="s">
        <v>55</v>
      </c>
    </row>
    <row r="142">
      <c r="A142" s="1">
        <v>141.0</v>
      </c>
      <c r="B142" s="1" t="s">
        <v>674</v>
      </c>
      <c r="C142" s="1" t="s">
        <v>25</v>
      </c>
      <c r="N142" s="5">
        <v>44683.0</v>
      </c>
      <c r="Q142" s="1" t="s">
        <v>55</v>
      </c>
    </row>
    <row r="143">
      <c r="A143" s="1">
        <v>142.0</v>
      </c>
      <c r="B143" s="1" t="s">
        <v>676</v>
      </c>
      <c r="C143" s="1" t="s">
        <v>25</v>
      </c>
      <c r="K143" s="1">
        <v>40.0</v>
      </c>
      <c r="N143" s="5">
        <v>44539.0</v>
      </c>
      <c r="Q143" s="1" t="s">
        <v>55</v>
      </c>
    </row>
    <row r="144">
      <c r="A144" s="1">
        <v>143.0</v>
      </c>
      <c r="B144" s="1" t="s">
        <v>678</v>
      </c>
      <c r="C144" s="1" t="s">
        <v>25</v>
      </c>
      <c r="K144" s="1">
        <v>10.0</v>
      </c>
      <c r="N144" s="5">
        <v>44351.0</v>
      </c>
      <c r="Q144" s="1" t="s">
        <v>680</v>
      </c>
    </row>
    <row r="145">
      <c r="A145" s="1">
        <v>144.0</v>
      </c>
      <c r="B145" s="1" t="s">
        <v>682</v>
      </c>
      <c r="C145" s="1" t="s">
        <v>25</v>
      </c>
      <c r="K145" s="1">
        <v>60.0</v>
      </c>
      <c r="N145" s="5">
        <v>45160.0</v>
      </c>
      <c r="Q145" s="1" t="s">
        <v>684</v>
      </c>
    </row>
    <row r="146">
      <c r="A146" s="1">
        <v>145.0</v>
      </c>
      <c r="B146" s="1" t="s">
        <v>685</v>
      </c>
      <c r="C146" s="1" t="s">
        <v>25</v>
      </c>
      <c r="K146" s="1">
        <v>40.0</v>
      </c>
      <c r="N146" s="5">
        <v>44280.0</v>
      </c>
      <c r="Q146" s="1" t="s">
        <v>55</v>
      </c>
    </row>
    <row r="147">
      <c r="A147" s="1">
        <v>146.0</v>
      </c>
      <c r="B147" s="1" t="s">
        <v>687</v>
      </c>
      <c r="C147" s="1" t="s">
        <v>25</v>
      </c>
      <c r="K147" s="1">
        <v>30.0</v>
      </c>
      <c r="N147" s="5">
        <v>43884.0</v>
      </c>
      <c r="Q147" s="1" t="s">
        <v>55</v>
      </c>
    </row>
    <row r="148">
      <c r="A148" s="1">
        <v>147.0</v>
      </c>
      <c r="B148" s="1" t="s">
        <v>688</v>
      </c>
      <c r="C148" s="1" t="s">
        <v>25</v>
      </c>
      <c r="K148" s="1">
        <v>60.0</v>
      </c>
      <c r="N148" s="5">
        <v>44126.0</v>
      </c>
      <c r="Q148" s="1" t="s">
        <v>689</v>
      </c>
    </row>
    <row r="149">
      <c r="A149" s="1">
        <v>148.0</v>
      </c>
      <c r="B149" s="1" t="s">
        <v>690</v>
      </c>
      <c r="C149" s="1" t="s">
        <v>25</v>
      </c>
      <c r="K149" s="1">
        <v>60.0</v>
      </c>
      <c r="N149" s="5">
        <v>43936.0</v>
      </c>
      <c r="Q149" s="1" t="s">
        <v>55</v>
      </c>
    </row>
    <row r="150">
      <c r="A150" s="1">
        <v>149.0</v>
      </c>
      <c r="B150" s="1" t="s">
        <v>691</v>
      </c>
      <c r="C150" s="1" t="s">
        <v>25</v>
      </c>
      <c r="K150" s="1">
        <v>40.0</v>
      </c>
      <c r="N150" s="5">
        <v>44662.0</v>
      </c>
      <c r="Q150" s="1" t="s">
        <v>692</v>
      </c>
    </row>
    <row r="151">
      <c r="A151" s="1">
        <v>150.0</v>
      </c>
      <c r="B151" s="1" t="s">
        <v>693</v>
      </c>
      <c r="C151" s="1" t="s">
        <v>25</v>
      </c>
      <c r="K151" s="1">
        <v>10.0</v>
      </c>
      <c r="N151" s="5">
        <v>44967.0</v>
      </c>
      <c r="Q151" s="1" t="s">
        <v>694</v>
      </c>
    </row>
    <row r="152">
      <c r="A152" s="1">
        <v>151.0</v>
      </c>
      <c r="B152" s="1" t="s">
        <v>695</v>
      </c>
      <c r="C152" s="1" t="s">
        <v>25</v>
      </c>
      <c r="K152" s="1">
        <v>200.0</v>
      </c>
      <c r="N152" s="5">
        <v>43919.0</v>
      </c>
      <c r="Q152" s="1" t="s">
        <v>696</v>
      </c>
    </row>
    <row r="153">
      <c r="A153" s="1">
        <v>152.0</v>
      </c>
      <c r="B153" s="1" t="s">
        <v>697</v>
      </c>
      <c r="C153" s="1" t="s">
        <v>25</v>
      </c>
      <c r="K153" s="1">
        <v>200.0</v>
      </c>
      <c r="N153" s="5">
        <v>44286.0</v>
      </c>
      <c r="Q153" s="1" t="s">
        <v>698</v>
      </c>
    </row>
    <row r="154">
      <c r="A154" s="1">
        <v>153.0</v>
      </c>
      <c r="B154" s="1" t="s">
        <v>699</v>
      </c>
      <c r="C154" s="1" t="s">
        <v>25</v>
      </c>
      <c r="N154" s="5">
        <v>44387.0</v>
      </c>
      <c r="Q154" s="1" t="s">
        <v>55</v>
      </c>
    </row>
    <row r="155">
      <c r="A155" s="1">
        <v>154.0</v>
      </c>
      <c r="B155" s="1" t="s">
        <v>700</v>
      </c>
      <c r="C155" s="1" t="s">
        <v>25</v>
      </c>
      <c r="N155" s="5">
        <v>45712.0</v>
      </c>
      <c r="Q155" s="1" t="s">
        <v>701</v>
      </c>
    </row>
    <row r="156">
      <c r="A156" s="1">
        <v>155.0</v>
      </c>
      <c r="B156" s="1" t="s">
        <v>702</v>
      </c>
      <c r="C156" s="1" t="s">
        <v>25</v>
      </c>
      <c r="N156" s="5">
        <v>44297.0</v>
      </c>
      <c r="Q156" s="1" t="s">
        <v>55</v>
      </c>
    </row>
    <row r="157">
      <c r="A157" s="1">
        <v>156.0</v>
      </c>
      <c r="B157" s="1" t="s">
        <v>703</v>
      </c>
      <c r="C157" s="1" t="s">
        <v>25</v>
      </c>
      <c r="K157" s="1">
        <v>100.0</v>
      </c>
      <c r="N157" s="5">
        <v>45126.0</v>
      </c>
      <c r="Q157" s="1" t="s">
        <v>704</v>
      </c>
    </row>
    <row r="158">
      <c r="A158" s="1">
        <v>157.0</v>
      </c>
      <c r="B158" s="1" t="s">
        <v>705</v>
      </c>
      <c r="C158" s="1" t="s">
        <v>25</v>
      </c>
      <c r="N158" s="5">
        <v>44638.0</v>
      </c>
      <c r="Q158" s="1" t="s">
        <v>172</v>
      </c>
    </row>
    <row r="159">
      <c r="A159" s="1">
        <v>158.0</v>
      </c>
      <c r="B159" s="1" t="s">
        <v>707</v>
      </c>
      <c r="C159" s="1" t="s">
        <v>25</v>
      </c>
      <c r="K159" s="1">
        <v>90.0</v>
      </c>
      <c r="N159" s="5">
        <v>43895.0</v>
      </c>
      <c r="Q159" s="1" t="s">
        <v>708</v>
      </c>
    </row>
    <row r="160">
      <c r="A160" s="1">
        <v>159.0</v>
      </c>
      <c r="B160" s="1" t="s">
        <v>709</v>
      </c>
      <c r="C160" s="1" t="s">
        <v>25</v>
      </c>
      <c r="N160" s="5">
        <v>45117.0</v>
      </c>
      <c r="Q160" s="1" t="s">
        <v>55</v>
      </c>
    </row>
    <row r="161">
      <c r="A161" s="1">
        <v>160.0</v>
      </c>
      <c r="B161" s="1" t="s">
        <v>710</v>
      </c>
      <c r="C161" s="1" t="s">
        <v>25</v>
      </c>
      <c r="N161" s="5">
        <v>44994.0</v>
      </c>
      <c r="Q161" s="1" t="s">
        <v>55</v>
      </c>
    </row>
    <row r="162">
      <c r="A162" s="1">
        <v>161.0</v>
      </c>
      <c r="B162" s="1" t="s">
        <v>711</v>
      </c>
      <c r="C162" s="1" t="s">
        <v>25</v>
      </c>
      <c r="N162" s="5">
        <v>44536.0</v>
      </c>
      <c r="Q162" s="1" t="s">
        <v>55</v>
      </c>
    </row>
    <row r="163">
      <c r="A163" s="1">
        <v>162.0</v>
      </c>
      <c r="B163" s="1" t="s">
        <v>712</v>
      </c>
      <c r="C163" s="1" t="s">
        <v>25</v>
      </c>
      <c r="K163" s="1">
        <v>150.0</v>
      </c>
      <c r="N163" s="5">
        <v>44546.0</v>
      </c>
      <c r="Q163" s="1" t="s">
        <v>713</v>
      </c>
    </row>
    <row r="164">
      <c r="A164" s="1">
        <v>163.0</v>
      </c>
      <c r="B164" s="1" t="s">
        <v>714</v>
      </c>
      <c r="C164" s="1" t="s">
        <v>25</v>
      </c>
      <c r="K164" s="1">
        <v>40.0</v>
      </c>
      <c r="N164" s="5">
        <v>45475.0</v>
      </c>
      <c r="Q164" s="1" t="s">
        <v>715</v>
      </c>
    </row>
    <row r="165">
      <c r="A165" s="1">
        <v>164.0</v>
      </c>
      <c r="B165" s="1" t="s">
        <v>716</v>
      </c>
      <c r="C165" s="1" t="s">
        <v>25</v>
      </c>
      <c r="N165" s="5">
        <v>44136.0</v>
      </c>
      <c r="Q165" s="1" t="s">
        <v>55</v>
      </c>
    </row>
    <row r="166">
      <c r="A166" s="1">
        <v>165.0</v>
      </c>
      <c r="B166" s="1" t="s">
        <v>717</v>
      </c>
      <c r="C166" s="1" t="s">
        <v>25</v>
      </c>
      <c r="K166" s="1">
        <v>30.0</v>
      </c>
      <c r="N166" s="5">
        <v>45133.0</v>
      </c>
      <c r="Q166" s="1" t="s">
        <v>718</v>
      </c>
    </row>
    <row r="167">
      <c r="A167" s="1">
        <v>166.0</v>
      </c>
      <c r="B167" s="1" t="s">
        <v>719</v>
      </c>
      <c r="C167" s="1" t="s">
        <v>25</v>
      </c>
      <c r="N167" s="5">
        <v>44271.0</v>
      </c>
      <c r="Q167" s="1" t="s">
        <v>55</v>
      </c>
    </row>
    <row r="168">
      <c r="A168" s="1">
        <v>167.0</v>
      </c>
      <c r="B168" s="1" t="s">
        <v>720</v>
      </c>
      <c r="C168" s="1" t="s">
        <v>25</v>
      </c>
      <c r="K168" s="1">
        <v>40.0</v>
      </c>
      <c r="N168" s="5">
        <v>44562.0</v>
      </c>
      <c r="Q168" s="1" t="s">
        <v>55</v>
      </c>
    </row>
    <row r="169">
      <c r="A169" s="1">
        <v>168.0</v>
      </c>
      <c r="B169" s="1" t="s">
        <v>721</v>
      </c>
      <c r="C169" s="1" t="s">
        <v>25</v>
      </c>
      <c r="K169" s="1">
        <v>30.0</v>
      </c>
      <c r="N169" s="5">
        <v>44465.0</v>
      </c>
      <c r="Q169" s="1" t="s">
        <v>718</v>
      </c>
    </row>
    <row r="170">
      <c r="A170" s="1">
        <v>169.0</v>
      </c>
      <c r="B170" s="1" t="s">
        <v>722</v>
      </c>
      <c r="C170" s="1" t="s">
        <v>25</v>
      </c>
      <c r="K170" s="1">
        <v>30.0</v>
      </c>
      <c r="N170" s="5">
        <v>45282.0</v>
      </c>
      <c r="Q170" s="1" t="s">
        <v>569</v>
      </c>
    </row>
    <row r="171">
      <c r="A171" s="1">
        <v>170.0</v>
      </c>
      <c r="B171" s="1" t="s">
        <v>723</v>
      </c>
      <c r="C171" s="1" t="s">
        <v>25</v>
      </c>
      <c r="K171" s="1">
        <v>150.0</v>
      </c>
      <c r="N171" s="5">
        <v>43865.0</v>
      </c>
      <c r="Q171" s="1" t="s">
        <v>724</v>
      </c>
    </row>
    <row r="172">
      <c r="A172" s="1">
        <v>171.0</v>
      </c>
      <c r="B172" s="1" t="s">
        <v>725</v>
      </c>
      <c r="C172" s="1" t="s">
        <v>25</v>
      </c>
      <c r="N172" s="5">
        <v>45058.0</v>
      </c>
      <c r="Q172" s="1" t="s">
        <v>726</v>
      </c>
    </row>
    <row r="173">
      <c r="A173" s="1">
        <v>172.0</v>
      </c>
      <c r="B173" s="1" t="s">
        <v>727</v>
      </c>
      <c r="C173" s="1" t="s">
        <v>25</v>
      </c>
      <c r="K173" s="1">
        <v>10.0</v>
      </c>
      <c r="N173" s="5">
        <v>45577.0</v>
      </c>
      <c r="Q173" s="1" t="s">
        <v>728</v>
      </c>
    </row>
    <row r="174">
      <c r="A174" s="1">
        <v>173.0</v>
      </c>
      <c r="B174" s="1" t="s">
        <v>729</v>
      </c>
      <c r="C174" s="1" t="s">
        <v>25</v>
      </c>
      <c r="K174" s="1">
        <v>100.0</v>
      </c>
      <c r="N174" s="5">
        <v>45250.0</v>
      </c>
      <c r="Q174" s="1" t="s">
        <v>730</v>
      </c>
    </row>
    <row r="175">
      <c r="A175" s="1">
        <v>174.0</v>
      </c>
      <c r="B175" s="1" t="s">
        <v>731</v>
      </c>
      <c r="C175" s="1" t="s">
        <v>25</v>
      </c>
      <c r="K175" s="1">
        <v>10.0</v>
      </c>
      <c r="N175" s="5">
        <v>44314.0</v>
      </c>
      <c r="Q175" s="1" t="s">
        <v>55</v>
      </c>
    </row>
    <row r="176">
      <c r="A176" s="1">
        <v>175.0</v>
      </c>
      <c r="B176" s="1" t="s">
        <v>732</v>
      </c>
      <c r="C176" s="1" t="s">
        <v>25</v>
      </c>
      <c r="K176" s="1">
        <v>10.0</v>
      </c>
      <c r="N176" s="5">
        <v>45218.0</v>
      </c>
      <c r="Q176" s="1" t="s">
        <v>55</v>
      </c>
    </row>
    <row r="177">
      <c r="A177" s="1">
        <v>176.0</v>
      </c>
      <c r="B177" s="1" t="s">
        <v>733</v>
      </c>
      <c r="C177" s="1" t="s">
        <v>25</v>
      </c>
      <c r="K177" s="1">
        <v>30.0</v>
      </c>
      <c r="N177" s="5">
        <v>44639.0</v>
      </c>
      <c r="Q177" s="1" t="s">
        <v>734</v>
      </c>
    </row>
    <row r="178">
      <c r="A178" s="1">
        <v>177.0</v>
      </c>
      <c r="B178" s="1" t="s">
        <v>735</v>
      </c>
      <c r="C178" s="1" t="s">
        <v>25</v>
      </c>
      <c r="K178" s="1">
        <v>30.0</v>
      </c>
      <c r="N178" s="5">
        <v>45707.0</v>
      </c>
      <c r="Q178" s="1" t="s">
        <v>736</v>
      </c>
    </row>
    <row r="179">
      <c r="A179" s="1">
        <v>178.0</v>
      </c>
      <c r="B179" s="1" t="s">
        <v>737</v>
      </c>
      <c r="C179" s="1" t="s">
        <v>25</v>
      </c>
      <c r="K179" s="1">
        <v>40.0</v>
      </c>
      <c r="N179" s="5">
        <v>44355.0</v>
      </c>
      <c r="Q179" s="1" t="s">
        <v>738</v>
      </c>
    </row>
    <row r="180">
      <c r="A180" s="1">
        <v>179.0</v>
      </c>
      <c r="B180" s="1" t="s">
        <v>739</v>
      </c>
      <c r="C180" s="1" t="s">
        <v>25</v>
      </c>
      <c r="K180" s="1">
        <v>150.0</v>
      </c>
      <c r="N180" s="5">
        <v>44396.0</v>
      </c>
      <c r="Q180" s="1" t="s">
        <v>740</v>
      </c>
    </row>
    <row r="181">
      <c r="A181" s="1">
        <v>180.0</v>
      </c>
      <c r="B181" s="1" t="s">
        <v>741</v>
      </c>
      <c r="C181" s="1" t="s">
        <v>25</v>
      </c>
      <c r="K181" s="1">
        <v>10.0</v>
      </c>
      <c r="N181" s="5">
        <v>45788.0</v>
      </c>
      <c r="Q181" s="1" t="s">
        <v>742</v>
      </c>
    </row>
    <row r="182">
      <c r="A182" s="1">
        <v>181.0</v>
      </c>
      <c r="B182" s="1" t="s">
        <v>743</v>
      </c>
      <c r="C182" s="1" t="s">
        <v>25</v>
      </c>
      <c r="N182" s="5">
        <v>45465.0</v>
      </c>
      <c r="Q182" s="1" t="s">
        <v>46</v>
      </c>
    </row>
    <row r="183">
      <c r="A183" s="1">
        <v>182.0</v>
      </c>
      <c r="B183" s="1" t="s">
        <v>44</v>
      </c>
      <c r="C183" s="1" t="s">
        <v>25</v>
      </c>
      <c r="K183" s="1">
        <v>100.0</v>
      </c>
      <c r="N183" s="5">
        <v>44257.0</v>
      </c>
      <c r="Q183" s="1" t="s">
        <v>46</v>
      </c>
    </row>
    <row r="184">
      <c r="A184" s="1">
        <v>183.0</v>
      </c>
      <c r="B184" s="1" t="s">
        <v>744</v>
      </c>
      <c r="C184" s="1" t="s">
        <v>25</v>
      </c>
      <c r="K184" s="1">
        <v>50.0</v>
      </c>
      <c r="N184" s="5">
        <v>46039.0</v>
      </c>
      <c r="Q184" s="1" t="s">
        <v>745</v>
      </c>
    </row>
    <row r="185">
      <c r="A185" s="1">
        <v>184.0</v>
      </c>
      <c r="B185" s="1" t="s">
        <v>746</v>
      </c>
      <c r="C185" s="1" t="s">
        <v>25</v>
      </c>
      <c r="N185" s="5">
        <v>44295.0</v>
      </c>
      <c r="Q185" s="1" t="s">
        <v>55</v>
      </c>
    </row>
    <row r="186">
      <c r="A186" s="1">
        <v>185.0</v>
      </c>
      <c r="B186" s="1" t="s">
        <v>747</v>
      </c>
      <c r="C186" s="1" t="s">
        <v>25</v>
      </c>
      <c r="K186" s="1">
        <v>200.0</v>
      </c>
      <c r="N186" s="5">
        <v>43312.0</v>
      </c>
      <c r="Q186" s="1" t="s">
        <v>748</v>
      </c>
    </row>
    <row r="187">
      <c r="A187" s="1">
        <v>186.0</v>
      </c>
      <c r="B187" s="1" t="s">
        <v>750</v>
      </c>
      <c r="C187" s="1" t="s">
        <v>25</v>
      </c>
      <c r="K187" s="1">
        <v>200.0</v>
      </c>
      <c r="N187" s="5">
        <v>43926.0</v>
      </c>
      <c r="Q187" s="1" t="s">
        <v>751</v>
      </c>
    </row>
    <row r="188">
      <c r="A188" s="1">
        <v>187.0</v>
      </c>
      <c r="B188" s="1" t="s">
        <v>753</v>
      </c>
      <c r="C188" s="1" t="s">
        <v>25</v>
      </c>
      <c r="K188" s="1">
        <v>40.0</v>
      </c>
      <c r="N188" s="5">
        <v>44345.0</v>
      </c>
      <c r="Q188" s="1" t="s">
        <v>55</v>
      </c>
    </row>
    <row r="189">
      <c r="A189" s="1">
        <v>188.0</v>
      </c>
      <c r="B189" s="1" t="s">
        <v>755</v>
      </c>
      <c r="C189" s="1" t="s">
        <v>25</v>
      </c>
      <c r="K189" s="1">
        <v>250.0</v>
      </c>
      <c r="N189" s="5">
        <v>45246.0</v>
      </c>
      <c r="Q189" s="1" t="s">
        <v>758</v>
      </c>
    </row>
    <row r="190">
      <c r="A190" s="1">
        <v>189.0</v>
      </c>
      <c r="B190" s="1" t="s">
        <v>760</v>
      </c>
      <c r="C190" s="1" t="s">
        <v>25</v>
      </c>
      <c r="K190" s="1">
        <v>30.0</v>
      </c>
      <c r="N190" s="5">
        <v>44832.0</v>
      </c>
      <c r="Q190" s="1" t="s">
        <v>762</v>
      </c>
    </row>
    <row r="191">
      <c r="A191" s="1">
        <v>190.0</v>
      </c>
      <c r="B191" s="1" t="s">
        <v>763</v>
      </c>
      <c r="C191" s="1" t="s">
        <v>25</v>
      </c>
      <c r="K191" s="1">
        <v>10.0</v>
      </c>
      <c r="N191" s="5">
        <v>44090.0</v>
      </c>
      <c r="Q191" s="1" t="s">
        <v>316</v>
      </c>
    </row>
    <row r="192">
      <c r="A192" s="1">
        <v>191.0</v>
      </c>
      <c r="B192" s="1" t="s">
        <v>766</v>
      </c>
      <c r="C192" s="1" t="s">
        <v>25</v>
      </c>
      <c r="K192" s="1">
        <v>350.0</v>
      </c>
      <c r="N192" s="5">
        <v>43898.0</v>
      </c>
      <c r="Q192" s="1" t="s">
        <v>768</v>
      </c>
    </row>
    <row r="193">
      <c r="A193" s="1">
        <v>192.0</v>
      </c>
      <c r="B193" s="1" t="s">
        <v>769</v>
      </c>
      <c r="C193" s="1" t="s">
        <v>25</v>
      </c>
      <c r="K193" s="1">
        <v>20.0</v>
      </c>
      <c r="N193" s="5">
        <v>44377.0</v>
      </c>
      <c r="Q193" s="1" t="s">
        <v>55</v>
      </c>
    </row>
    <row r="194">
      <c r="A194" s="1">
        <v>193.0</v>
      </c>
      <c r="B194" s="1" t="s">
        <v>48</v>
      </c>
      <c r="C194" s="1" t="s">
        <v>25</v>
      </c>
      <c r="K194" s="1">
        <v>10.0</v>
      </c>
      <c r="N194" s="5">
        <v>44012.0</v>
      </c>
      <c r="Q194" s="1" t="s">
        <v>51</v>
      </c>
    </row>
    <row r="195">
      <c r="A195" s="1">
        <v>194.0</v>
      </c>
      <c r="B195" s="1" t="s">
        <v>773</v>
      </c>
      <c r="C195" s="1" t="s">
        <v>25</v>
      </c>
      <c r="K195" s="1">
        <v>20.0</v>
      </c>
      <c r="N195" s="5">
        <v>43851.0</v>
      </c>
      <c r="Q195" s="1" t="s">
        <v>774</v>
      </c>
    </row>
    <row r="196">
      <c r="A196" s="1">
        <v>195.0</v>
      </c>
      <c r="B196" s="1" t="s">
        <v>776</v>
      </c>
      <c r="C196" s="1" t="s">
        <v>25</v>
      </c>
      <c r="N196" s="5">
        <v>44058.0</v>
      </c>
      <c r="Q196" s="1" t="s">
        <v>55</v>
      </c>
    </row>
    <row r="197">
      <c r="A197" s="1">
        <v>196.0</v>
      </c>
      <c r="B197" s="1" t="s">
        <v>777</v>
      </c>
      <c r="C197" s="1" t="s">
        <v>25</v>
      </c>
      <c r="N197" s="5">
        <v>44954.0</v>
      </c>
      <c r="Q197" s="1" t="s">
        <v>55</v>
      </c>
    </row>
    <row r="198">
      <c r="A198" s="1">
        <v>197.0</v>
      </c>
      <c r="B198" s="1" t="s">
        <v>782</v>
      </c>
      <c r="C198" s="1" t="s">
        <v>25</v>
      </c>
      <c r="K198" s="1">
        <v>10.0</v>
      </c>
      <c r="N198" s="5">
        <v>44747.0</v>
      </c>
      <c r="Q198" s="1" t="s">
        <v>55</v>
      </c>
    </row>
    <row r="199">
      <c r="A199" s="1">
        <v>198.0</v>
      </c>
      <c r="B199" s="1" t="s">
        <v>783</v>
      </c>
      <c r="C199" s="1" t="s">
        <v>25</v>
      </c>
      <c r="K199" s="1">
        <v>80.0</v>
      </c>
      <c r="N199" s="5">
        <v>44289.0</v>
      </c>
      <c r="Q199" s="1" t="s">
        <v>785</v>
      </c>
    </row>
    <row r="200">
      <c r="A200" s="1">
        <v>199.0</v>
      </c>
      <c r="B200" s="1" t="s">
        <v>786</v>
      </c>
      <c r="C200" s="1" t="s">
        <v>25</v>
      </c>
      <c r="K200" s="1">
        <v>800.0</v>
      </c>
      <c r="N200" s="5">
        <v>43844.0</v>
      </c>
      <c r="Q200" s="1" t="s">
        <v>789</v>
      </c>
    </row>
    <row r="201">
      <c r="A201" s="1">
        <v>200.0</v>
      </c>
      <c r="B201" s="1" t="s">
        <v>790</v>
      </c>
      <c r="C201" s="1" t="s">
        <v>25</v>
      </c>
      <c r="K201" s="1">
        <v>20.0</v>
      </c>
      <c r="N201" s="5">
        <v>44062.0</v>
      </c>
      <c r="Q201" s="1" t="s">
        <v>792</v>
      </c>
    </row>
    <row r="202">
      <c r="A202" s="1">
        <v>201.0</v>
      </c>
      <c r="B202" s="1" t="s">
        <v>793</v>
      </c>
      <c r="C202" s="1" t="s">
        <v>25</v>
      </c>
      <c r="N202" s="5">
        <v>44310.0</v>
      </c>
      <c r="Q202" s="1" t="s">
        <v>55</v>
      </c>
    </row>
    <row r="203">
      <c r="A203" s="1">
        <v>202.0</v>
      </c>
      <c r="B203" s="1" t="s">
        <v>794</v>
      </c>
      <c r="C203" s="1" t="s">
        <v>25</v>
      </c>
      <c r="K203" s="1">
        <v>60.0</v>
      </c>
      <c r="N203" s="5">
        <v>45190.0</v>
      </c>
      <c r="Q203" s="1" t="s">
        <v>796</v>
      </c>
    </row>
    <row r="204">
      <c r="A204" s="1">
        <v>203.0</v>
      </c>
      <c r="B204" s="1" t="s">
        <v>798</v>
      </c>
      <c r="C204" s="1" t="s">
        <v>25</v>
      </c>
      <c r="N204" s="5">
        <v>44731.0</v>
      </c>
      <c r="Q204" s="1" t="s">
        <v>55</v>
      </c>
    </row>
    <row r="205">
      <c r="A205" s="1">
        <v>204.0</v>
      </c>
      <c r="B205" s="1" t="s">
        <v>800</v>
      </c>
      <c r="C205" s="1" t="s">
        <v>25</v>
      </c>
      <c r="K205" s="1">
        <v>150.0</v>
      </c>
      <c r="N205" s="5">
        <v>44275.0</v>
      </c>
      <c r="Q205" s="1" t="s">
        <v>801</v>
      </c>
    </row>
    <row r="206">
      <c r="A206" s="1">
        <v>205.0</v>
      </c>
      <c r="B206" s="1" t="s">
        <v>802</v>
      </c>
      <c r="C206" s="1" t="s">
        <v>25</v>
      </c>
      <c r="K206" s="1">
        <v>60.0</v>
      </c>
      <c r="N206" s="5">
        <v>45643.0</v>
      </c>
      <c r="Q206" s="1" t="s">
        <v>803</v>
      </c>
    </row>
    <row r="207">
      <c r="A207" s="1">
        <v>206.0</v>
      </c>
      <c r="B207" s="1" t="s">
        <v>806</v>
      </c>
      <c r="C207" s="1" t="s">
        <v>25</v>
      </c>
      <c r="K207" s="1">
        <v>100.0</v>
      </c>
      <c r="N207" s="5">
        <v>45450.0</v>
      </c>
      <c r="Q207" s="1" t="s">
        <v>808</v>
      </c>
    </row>
    <row r="208">
      <c r="A208" s="1">
        <v>207.0</v>
      </c>
      <c r="B208" s="1" t="s">
        <v>809</v>
      </c>
      <c r="C208" s="1" t="s">
        <v>25</v>
      </c>
      <c r="K208" s="1">
        <v>700.0</v>
      </c>
      <c r="N208" s="5">
        <v>43860.0</v>
      </c>
      <c r="Q208" s="1" t="s">
        <v>810</v>
      </c>
    </row>
    <row r="209">
      <c r="A209" s="1">
        <v>208.0</v>
      </c>
      <c r="B209" s="1" t="s">
        <v>811</v>
      </c>
      <c r="C209" s="1" t="s">
        <v>25</v>
      </c>
      <c r="K209" s="1">
        <v>200.0</v>
      </c>
      <c r="N209" s="5">
        <v>43872.0</v>
      </c>
      <c r="Q209" s="1" t="s">
        <v>813</v>
      </c>
    </row>
    <row r="210">
      <c r="A210" s="1">
        <v>209.0</v>
      </c>
      <c r="B210" s="1" t="s">
        <v>815</v>
      </c>
      <c r="C210" s="1" t="s">
        <v>25</v>
      </c>
      <c r="K210" s="1">
        <v>60.0</v>
      </c>
      <c r="N210" s="5">
        <v>44239.0</v>
      </c>
      <c r="Q210" s="1" t="s">
        <v>817</v>
      </c>
    </row>
    <row r="211">
      <c r="A211" s="1">
        <v>210.0</v>
      </c>
      <c r="B211" s="1" t="s">
        <v>818</v>
      </c>
      <c r="C211" s="1" t="s">
        <v>25</v>
      </c>
      <c r="K211" s="1">
        <v>10.0</v>
      </c>
      <c r="N211" s="5">
        <v>44047.0</v>
      </c>
      <c r="Q211" s="1" t="s">
        <v>55</v>
      </c>
    </row>
    <row r="212">
      <c r="A212" s="1">
        <v>211.0</v>
      </c>
      <c r="B212" s="1" t="s">
        <v>820</v>
      </c>
      <c r="C212" s="1" t="s">
        <v>25</v>
      </c>
      <c r="K212" s="1">
        <v>450.0</v>
      </c>
      <c r="N212" s="5">
        <v>43690.0</v>
      </c>
      <c r="Q212" s="1" t="s">
        <v>823</v>
      </c>
    </row>
    <row r="213">
      <c r="A213" s="1">
        <v>212.0</v>
      </c>
      <c r="B213" s="1" t="s">
        <v>824</v>
      </c>
      <c r="C213" s="1" t="s">
        <v>25</v>
      </c>
      <c r="K213" s="1">
        <v>30.0</v>
      </c>
      <c r="N213" s="5">
        <v>44138.0</v>
      </c>
      <c r="Q213" s="1" t="s">
        <v>826</v>
      </c>
    </row>
    <row r="214">
      <c r="A214" s="1">
        <v>213.0</v>
      </c>
      <c r="B214" s="1" t="s">
        <v>827</v>
      </c>
      <c r="C214" s="1" t="s">
        <v>25</v>
      </c>
      <c r="K214" s="1">
        <v>40.0</v>
      </c>
      <c r="N214" s="5">
        <v>44479.0</v>
      </c>
      <c r="Q214" s="1" t="s">
        <v>55</v>
      </c>
    </row>
    <row r="215">
      <c r="A215" s="1">
        <v>214.0</v>
      </c>
      <c r="B215" s="1" t="s">
        <v>829</v>
      </c>
      <c r="C215" s="1" t="s">
        <v>25</v>
      </c>
      <c r="K215" s="1">
        <v>20.0</v>
      </c>
      <c r="N215" s="5">
        <v>44310.0</v>
      </c>
      <c r="Q215" s="1" t="s">
        <v>93</v>
      </c>
    </row>
    <row r="216">
      <c r="A216" s="1">
        <v>215.0</v>
      </c>
      <c r="B216" s="1" t="s">
        <v>832</v>
      </c>
      <c r="C216" s="1" t="s">
        <v>25</v>
      </c>
      <c r="K216" s="1">
        <v>70.0</v>
      </c>
      <c r="N216" s="5">
        <v>45354.0</v>
      </c>
      <c r="Q216" s="1" t="s">
        <v>345</v>
      </c>
    </row>
    <row r="217">
      <c r="A217" s="1">
        <v>216.0</v>
      </c>
      <c r="B217" s="1" t="s">
        <v>834</v>
      </c>
      <c r="C217" s="1" t="s">
        <v>25</v>
      </c>
      <c r="K217" s="1">
        <v>10.0</v>
      </c>
      <c r="N217" s="5">
        <v>45456.0</v>
      </c>
      <c r="Q217" s="1" t="s">
        <v>835</v>
      </c>
    </row>
    <row r="218">
      <c r="A218" s="1">
        <v>217.0</v>
      </c>
      <c r="B218" s="1" t="s">
        <v>836</v>
      </c>
      <c r="C218" s="1" t="s">
        <v>25</v>
      </c>
      <c r="K218" s="1">
        <v>70.0</v>
      </c>
      <c r="N218" s="5">
        <v>44251.0</v>
      </c>
      <c r="Q218" s="1" t="s">
        <v>838</v>
      </c>
    </row>
    <row r="219">
      <c r="A219" s="1">
        <v>218.0</v>
      </c>
      <c r="B219" s="1" t="s">
        <v>155</v>
      </c>
      <c r="C219" s="1" t="s">
        <v>25</v>
      </c>
      <c r="K219" s="1">
        <v>300.0</v>
      </c>
      <c r="N219" s="5">
        <v>43840.0</v>
      </c>
      <c r="Q219" s="1" t="s">
        <v>160</v>
      </c>
    </row>
    <row r="220">
      <c r="A220" s="1">
        <v>219.0</v>
      </c>
      <c r="B220" s="1" t="s">
        <v>842</v>
      </c>
      <c r="C220" s="1" t="s">
        <v>25</v>
      </c>
      <c r="K220" s="1">
        <v>40.0</v>
      </c>
      <c r="N220" s="5">
        <v>44272.0</v>
      </c>
      <c r="Q220" s="1" t="s">
        <v>55</v>
      </c>
    </row>
    <row r="221">
      <c r="A221" s="1">
        <v>220.0</v>
      </c>
      <c r="B221" s="1" t="s">
        <v>843</v>
      </c>
      <c r="C221" s="1" t="s">
        <v>25</v>
      </c>
      <c r="K221" s="1">
        <v>250.0</v>
      </c>
      <c r="N221" s="5">
        <v>44126.0</v>
      </c>
      <c r="Q221" s="1" t="s">
        <v>844</v>
      </c>
    </row>
    <row r="222">
      <c r="A222" s="1">
        <v>221.0</v>
      </c>
      <c r="B222" s="1" t="s">
        <v>845</v>
      </c>
      <c r="C222" s="1" t="s">
        <v>25</v>
      </c>
      <c r="K222" s="1">
        <v>40.0</v>
      </c>
      <c r="N222" s="5">
        <v>43944.0</v>
      </c>
      <c r="Q222" s="1" t="s">
        <v>846</v>
      </c>
    </row>
    <row r="223">
      <c r="A223" s="1">
        <v>222.0</v>
      </c>
      <c r="B223" s="1" t="s">
        <v>848</v>
      </c>
      <c r="C223" s="1" t="s">
        <v>25</v>
      </c>
      <c r="K223" s="1">
        <v>10.0</v>
      </c>
      <c r="N223" s="5">
        <v>45221.0</v>
      </c>
      <c r="Q223" s="1" t="s">
        <v>849</v>
      </c>
    </row>
    <row r="224">
      <c r="A224" s="1">
        <v>223.0</v>
      </c>
      <c r="B224" s="1" t="s">
        <v>850</v>
      </c>
      <c r="C224" s="1" t="s">
        <v>25</v>
      </c>
      <c r="K224" s="1">
        <v>40.0</v>
      </c>
      <c r="N224" s="5">
        <v>44223.0</v>
      </c>
      <c r="Q224" s="1" t="s">
        <v>851</v>
      </c>
    </row>
    <row r="225">
      <c r="A225" s="1">
        <v>224.0</v>
      </c>
      <c r="B225" s="1" t="s">
        <v>853</v>
      </c>
      <c r="C225" s="1" t="s">
        <v>25</v>
      </c>
      <c r="K225" s="1">
        <v>200.0</v>
      </c>
      <c r="N225" s="5">
        <v>43973.0</v>
      </c>
      <c r="Q225" s="1" t="s">
        <v>856</v>
      </c>
    </row>
    <row r="226">
      <c r="A226" s="1">
        <v>225.0</v>
      </c>
      <c r="B226" s="1" t="s">
        <v>857</v>
      </c>
      <c r="C226" s="1" t="s">
        <v>25</v>
      </c>
      <c r="N226" s="5">
        <v>44005.0</v>
      </c>
      <c r="Q226" s="1" t="s">
        <v>55</v>
      </c>
    </row>
    <row r="227">
      <c r="A227" s="1">
        <v>226.0</v>
      </c>
      <c r="B227" s="1" t="s">
        <v>858</v>
      </c>
      <c r="C227" s="1" t="s">
        <v>25</v>
      </c>
      <c r="K227" s="1">
        <v>100.0</v>
      </c>
      <c r="N227" s="5">
        <v>43840.0</v>
      </c>
      <c r="Q227" s="1" t="s">
        <v>859</v>
      </c>
    </row>
    <row r="228">
      <c r="A228" s="1">
        <v>227.0</v>
      </c>
      <c r="B228" s="1" t="s">
        <v>860</v>
      </c>
      <c r="C228" s="1" t="s">
        <v>25</v>
      </c>
      <c r="N228" s="5">
        <v>44543.0</v>
      </c>
      <c r="Q228" s="1" t="s">
        <v>55</v>
      </c>
    </row>
    <row r="229">
      <c r="A229" s="1">
        <v>228.0</v>
      </c>
      <c r="B229" s="1" t="s">
        <v>864</v>
      </c>
      <c r="C229" s="1" t="s">
        <v>25</v>
      </c>
      <c r="N229" s="5">
        <v>46098.0</v>
      </c>
      <c r="Q229" s="1" t="s">
        <v>865</v>
      </c>
    </row>
    <row r="230">
      <c r="A230" s="1">
        <v>229.0</v>
      </c>
      <c r="B230" s="1" t="s">
        <v>866</v>
      </c>
      <c r="C230" s="1" t="s">
        <v>25</v>
      </c>
      <c r="K230" s="1">
        <v>150.0</v>
      </c>
      <c r="N230" s="5">
        <v>44456.0</v>
      </c>
      <c r="Q230" s="1" t="s">
        <v>867</v>
      </c>
    </row>
    <row r="231">
      <c r="A231" s="1">
        <v>230.0</v>
      </c>
      <c r="B231" s="1" t="s">
        <v>869</v>
      </c>
      <c r="C231" s="1" t="s">
        <v>25</v>
      </c>
      <c r="N231" s="5">
        <v>44888.0</v>
      </c>
      <c r="Q231" s="1" t="s">
        <v>55</v>
      </c>
    </row>
    <row r="232">
      <c r="A232" s="1">
        <v>231.0</v>
      </c>
      <c r="B232" s="1" t="s">
        <v>870</v>
      </c>
      <c r="C232" s="1" t="s">
        <v>25</v>
      </c>
      <c r="K232" s="1">
        <v>60.0</v>
      </c>
      <c r="N232" s="5">
        <v>45725.0</v>
      </c>
      <c r="Q232" s="1" t="s">
        <v>873</v>
      </c>
    </row>
    <row r="233">
      <c r="A233" s="1">
        <v>232.0</v>
      </c>
      <c r="B233" s="1" t="s">
        <v>875</v>
      </c>
      <c r="C233" s="1" t="s">
        <v>25</v>
      </c>
      <c r="N233" s="5">
        <v>44446.0</v>
      </c>
      <c r="Q233" s="1" t="s">
        <v>55</v>
      </c>
    </row>
    <row r="234">
      <c r="A234" s="1">
        <v>233.0</v>
      </c>
      <c r="B234" s="1" t="s">
        <v>876</v>
      </c>
      <c r="C234" s="1" t="s">
        <v>25</v>
      </c>
      <c r="K234" s="1">
        <v>150.0</v>
      </c>
      <c r="N234" s="5">
        <v>45452.0</v>
      </c>
      <c r="Q234" s="1" t="s">
        <v>878</v>
      </c>
    </row>
    <row r="235">
      <c r="A235" s="1">
        <v>234.0</v>
      </c>
      <c r="B235" s="1" t="s">
        <v>879</v>
      </c>
      <c r="C235" s="1" t="s">
        <v>25</v>
      </c>
      <c r="K235" s="1">
        <v>10.0</v>
      </c>
      <c r="N235" s="5">
        <v>45172.0</v>
      </c>
      <c r="Q235" s="1" t="s">
        <v>55</v>
      </c>
    </row>
    <row r="236">
      <c r="A236" s="1">
        <v>235.0</v>
      </c>
      <c r="B236" s="1" t="s">
        <v>883</v>
      </c>
      <c r="C236" s="1" t="s">
        <v>25</v>
      </c>
      <c r="K236" s="1">
        <v>30.0</v>
      </c>
      <c r="N236" s="5">
        <v>43968.0</v>
      </c>
      <c r="Q236" s="1" t="s">
        <v>884</v>
      </c>
    </row>
    <row r="237">
      <c r="A237" s="1">
        <v>236.0</v>
      </c>
      <c r="B237" s="1" t="s">
        <v>885</v>
      </c>
      <c r="C237" s="1" t="s">
        <v>25</v>
      </c>
      <c r="N237" s="5">
        <v>45156.0</v>
      </c>
      <c r="Q237" s="1" t="s">
        <v>80</v>
      </c>
    </row>
    <row r="238">
      <c r="A238" s="1">
        <v>237.0</v>
      </c>
      <c r="B238" s="1" t="s">
        <v>887</v>
      </c>
      <c r="C238" s="1" t="s">
        <v>25</v>
      </c>
      <c r="K238" s="1">
        <v>100.0</v>
      </c>
      <c r="N238" s="5">
        <v>45596.0</v>
      </c>
      <c r="Q238" s="1" t="s">
        <v>890</v>
      </c>
    </row>
    <row r="239">
      <c r="A239" s="1">
        <v>238.0</v>
      </c>
      <c r="B239" s="1" t="s">
        <v>892</v>
      </c>
      <c r="C239" s="1" t="s">
        <v>25</v>
      </c>
      <c r="N239" s="5">
        <v>45286.0</v>
      </c>
      <c r="Q239" s="1" t="s">
        <v>80</v>
      </c>
    </row>
    <row r="240">
      <c r="A240" s="1">
        <v>239.0</v>
      </c>
      <c r="B240" s="1" t="s">
        <v>893</v>
      </c>
      <c r="C240" s="1" t="s">
        <v>25</v>
      </c>
      <c r="K240" s="1">
        <v>40.0</v>
      </c>
      <c r="N240" s="5">
        <v>45676.0</v>
      </c>
      <c r="Q240" s="1" t="s">
        <v>894</v>
      </c>
    </row>
    <row r="241">
      <c r="A241" s="1">
        <v>240.0</v>
      </c>
      <c r="B241" s="1" t="s">
        <v>895</v>
      </c>
      <c r="C241" s="1" t="s">
        <v>25</v>
      </c>
      <c r="K241" s="1">
        <v>250.0</v>
      </c>
      <c r="N241" s="5">
        <v>43924.0</v>
      </c>
      <c r="Q241" s="1" t="s">
        <v>899</v>
      </c>
    </row>
    <row r="242">
      <c r="A242" s="1">
        <v>241.0</v>
      </c>
      <c r="B242" s="1" t="s">
        <v>900</v>
      </c>
      <c r="C242" s="1" t="s">
        <v>25</v>
      </c>
      <c r="N242" s="5">
        <v>44005.0</v>
      </c>
      <c r="Q242" s="1" t="s">
        <v>55</v>
      </c>
    </row>
    <row r="243">
      <c r="A243" s="1">
        <v>242.0</v>
      </c>
      <c r="B243" s="1" t="s">
        <v>903</v>
      </c>
      <c r="C243" s="1" t="s">
        <v>25</v>
      </c>
      <c r="K243" s="1">
        <v>70.0</v>
      </c>
      <c r="N243" s="5">
        <v>44312.0</v>
      </c>
      <c r="Q243" s="1" t="s">
        <v>904</v>
      </c>
    </row>
    <row r="244">
      <c r="A244" s="1">
        <v>243.0</v>
      </c>
      <c r="B244" s="1" t="s">
        <v>905</v>
      </c>
      <c r="C244" s="1" t="s">
        <v>25</v>
      </c>
      <c r="N244" s="5">
        <v>43948.0</v>
      </c>
      <c r="Q244" s="1" t="s">
        <v>55</v>
      </c>
    </row>
    <row r="245">
      <c r="A245" s="1">
        <v>244.0</v>
      </c>
      <c r="B245" s="1" t="s">
        <v>909</v>
      </c>
      <c r="C245" s="1" t="s">
        <v>25</v>
      </c>
      <c r="N245" s="5">
        <v>44061.0</v>
      </c>
      <c r="Q245" s="1" t="s">
        <v>55</v>
      </c>
    </row>
    <row r="246">
      <c r="A246" s="1">
        <v>245.0</v>
      </c>
      <c r="B246" s="1" t="s">
        <v>911</v>
      </c>
      <c r="C246" s="1" t="s">
        <v>25</v>
      </c>
      <c r="N246" s="5">
        <v>44067.0</v>
      </c>
      <c r="Q246" s="1" t="s">
        <v>55</v>
      </c>
    </row>
    <row r="247">
      <c r="A247" s="1">
        <v>246.0</v>
      </c>
      <c r="B247" s="1" t="s">
        <v>913</v>
      </c>
      <c r="C247" s="1" t="s">
        <v>25</v>
      </c>
      <c r="K247" s="1">
        <v>150.0</v>
      </c>
      <c r="N247" s="5">
        <v>43583.0</v>
      </c>
      <c r="Q247" s="1" t="s">
        <v>916</v>
      </c>
    </row>
    <row r="248">
      <c r="A248" s="1">
        <v>247.0</v>
      </c>
      <c r="B248" s="1" t="s">
        <v>917</v>
      </c>
      <c r="C248" s="1" t="s">
        <v>25</v>
      </c>
      <c r="K248" s="1">
        <v>80.0</v>
      </c>
      <c r="N248" s="5">
        <v>45305.0</v>
      </c>
      <c r="Q248" s="1" t="s">
        <v>918</v>
      </c>
    </row>
    <row r="249">
      <c r="A249" s="1">
        <v>248.0</v>
      </c>
      <c r="B249" s="1" t="s">
        <v>919</v>
      </c>
      <c r="C249" s="1" t="s">
        <v>25</v>
      </c>
      <c r="K249" s="1">
        <v>70.0</v>
      </c>
      <c r="N249" s="5">
        <v>45649.0</v>
      </c>
      <c r="Q249" s="1" t="s">
        <v>920</v>
      </c>
    </row>
    <row r="250">
      <c r="A250" s="1">
        <v>249.0</v>
      </c>
      <c r="B250" s="1" t="s">
        <v>921</v>
      </c>
      <c r="C250" s="1" t="s">
        <v>25</v>
      </c>
      <c r="K250" s="1">
        <v>200.0</v>
      </c>
      <c r="N250" s="5">
        <v>43850.0</v>
      </c>
      <c r="Q250" s="1" t="s">
        <v>924</v>
      </c>
    </row>
    <row r="251">
      <c r="A251" s="1">
        <v>250.0</v>
      </c>
      <c r="B251" s="1" t="s">
        <v>925</v>
      </c>
      <c r="C251" s="1" t="s">
        <v>25</v>
      </c>
      <c r="N251" s="5">
        <v>44401.0</v>
      </c>
      <c r="Q251" s="1" t="s">
        <v>55</v>
      </c>
    </row>
    <row r="252">
      <c r="A252" s="1">
        <v>251.0</v>
      </c>
      <c r="B252" s="1" t="s">
        <v>926</v>
      </c>
      <c r="C252" s="1" t="s">
        <v>25</v>
      </c>
      <c r="K252" s="1">
        <v>150.0</v>
      </c>
      <c r="N252" s="5">
        <v>43882.0</v>
      </c>
      <c r="Q252" s="1" t="s">
        <v>927</v>
      </c>
    </row>
    <row r="253">
      <c r="A253" s="1">
        <v>252.0</v>
      </c>
      <c r="B253" s="1" t="s">
        <v>929</v>
      </c>
      <c r="C253" s="1" t="s">
        <v>25</v>
      </c>
      <c r="K253" s="1">
        <v>150.0</v>
      </c>
      <c r="N253" s="5">
        <v>43893.0</v>
      </c>
      <c r="Q253" s="1" t="s">
        <v>931</v>
      </c>
    </row>
    <row r="254">
      <c r="A254" s="1">
        <v>253.0</v>
      </c>
      <c r="B254" s="1" t="s">
        <v>932</v>
      </c>
      <c r="C254" s="1" t="s">
        <v>25</v>
      </c>
      <c r="K254" s="1">
        <v>90.0</v>
      </c>
      <c r="N254" s="5">
        <v>44272.0</v>
      </c>
      <c r="Q254" s="1" t="s">
        <v>934</v>
      </c>
    </row>
    <row r="255">
      <c r="A255" s="1">
        <v>254.0</v>
      </c>
      <c r="B255" s="1" t="s">
        <v>935</v>
      </c>
      <c r="C255" s="1" t="s">
        <v>25</v>
      </c>
      <c r="K255" s="1">
        <v>30.0</v>
      </c>
      <c r="N255" s="5">
        <v>44681.0</v>
      </c>
      <c r="Q255" s="1" t="s">
        <v>125</v>
      </c>
    </row>
    <row r="256">
      <c r="A256" s="1">
        <v>255.0</v>
      </c>
      <c r="B256" s="1" t="s">
        <v>939</v>
      </c>
      <c r="C256" s="1" t="s">
        <v>25</v>
      </c>
      <c r="N256" s="5">
        <v>44305.0</v>
      </c>
      <c r="Q256" s="1" t="s">
        <v>55</v>
      </c>
    </row>
    <row r="257">
      <c r="A257" s="1">
        <v>256.0</v>
      </c>
      <c r="B257" s="1" t="s">
        <v>161</v>
      </c>
      <c r="C257" s="1" t="s">
        <v>25</v>
      </c>
      <c r="K257" s="1">
        <v>2900.0</v>
      </c>
      <c r="N257" s="5">
        <v>43845.0</v>
      </c>
      <c r="Q257" s="1" t="s">
        <v>164</v>
      </c>
    </row>
    <row r="258">
      <c r="A258" s="1">
        <v>257.0</v>
      </c>
      <c r="B258" s="1" t="s">
        <v>940</v>
      </c>
      <c r="C258" s="1" t="s">
        <v>25</v>
      </c>
      <c r="N258" s="5">
        <v>45179.0</v>
      </c>
      <c r="Q258" s="1" t="s">
        <v>80</v>
      </c>
    </row>
    <row r="259">
      <c r="A259" s="1">
        <v>258.0</v>
      </c>
      <c r="B259" s="1" t="s">
        <v>942</v>
      </c>
      <c r="C259" s="1" t="s">
        <v>25</v>
      </c>
      <c r="N259" s="5">
        <v>44350.0</v>
      </c>
      <c r="Q259" s="1" t="s">
        <v>55</v>
      </c>
    </row>
    <row r="260">
      <c r="A260" s="1">
        <v>259.0</v>
      </c>
      <c r="B260" s="1" t="s">
        <v>943</v>
      </c>
      <c r="C260" s="1" t="s">
        <v>25</v>
      </c>
      <c r="N260" s="5">
        <v>43892.0</v>
      </c>
      <c r="Q260" s="1" t="s">
        <v>55</v>
      </c>
    </row>
    <row r="261">
      <c r="A261" s="1">
        <v>260.0</v>
      </c>
      <c r="B261" s="1" t="s">
        <v>944</v>
      </c>
      <c r="C261" s="1" t="s">
        <v>25</v>
      </c>
      <c r="I261" s="4"/>
      <c r="N261" s="5">
        <v>44230.0</v>
      </c>
      <c r="Q261" s="1" t="s">
        <v>55</v>
      </c>
    </row>
    <row r="262">
      <c r="A262" s="1">
        <v>261.0</v>
      </c>
      <c r="B262" s="1" t="s">
        <v>946</v>
      </c>
      <c r="C262" s="1" t="s">
        <v>25</v>
      </c>
      <c r="N262" s="5">
        <v>44587.0</v>
      </c>
      <c r="Q262" s="1" t="s">
        <v>55</v>
      </c>
    </row>
    <row r="263">
      <c r="A263" s="1">
        <v>262.0</v>
      </c>
      <c r="B263" s="1" t="s">
        <v>947</v>
      </c>
      <c r="C263" s="1" t="s">
        <v>25</v>
      </c>
      <c r="K263" s="1">
        <v>1200.0</v>
      </c>
      <c r="N263" s="5">
        <v>43854.0</v>
      </c>
      <c r="Q263" s="1" t="s">
        <v>948</v>
      </c>
    </row>
    <row r="264">
      <c r="A264" s="1">
        <v>263.0</v>
      </c>
      <c r="B264" s="1" t="s">
        <v>949</v>
      </c>
      <c r="C264" s="1" t="s">
        <v>25</v>
      </c>
      <c r="N264" s="5">
        <v>44340.0</v>
      </c>
      <c r="Q264" s="1" t="s">
        <v>55</v>
      </c>
    </row>
    <row r="265">
      <c r="A265" s="1">
        <v>264.0</v>
      </c>
      <c r="B265" s="1" t="s">
        <v>952</v>
      </c>
      <c r="C265" s="1" t="s">
        <v>25</v>
      </c>
      <c r="K265" s="1">
        <v>10.0</v>
      </c>
      <c r="N265" s="5">
        <v>44906.0</v>
      </c>
      <c r="Q265" s="1" t="s">
        <v>172</v>
      </c>
    </row>
    <row r="266">
      <c r="A266" s="1">
        <v>265.0</v>
      </c>
      <c r="B266" s="1" t="s">
        <v>954</v>
      </c>
      <c r="C266" s="1" t="s">
        <v>25</v>
      </c>
      <c r="K266" s="1">
        <v>70.0</v>
      </c>
      <c r="N266" s="5">
        <v>44451.0</v>
      </c>
      <c r="Q266" s="1" t="s">
        <v>956</v>
      </c>
    </row>
    <row r="267">
      <c r="A267" s="1">
        <v>266.0</v>
      </c>
      <c r="B267" s="1" t="s">
        <v>958</v>
      </c>
      <c r="C267" s="1" t="s">
        <v>25</v>
      </c>
      <c r="N267" s="5">
        <v>45716.0</v>
      </c>
      <c r="Q267" s="1" t="s">
        <v>959</v>
      </c>
    </row>
    <row r="268">
      <c r="A268" s="1">
        <v>267.0</v>
      </c>
      <c r="B268" s="1" t="s">
        <v>960</v>
      </c>
      <c r="C268" s="1" t="s">
        <v>25</v>
      </c>
      <c r="N268" s="5">
        <v>44143.0</v>
      </c>
      <c r="Q268" s="1" t="s">
        <v>55</v>
      </c>
    </row>
    <row r="269">
      <c r="A269" s="1">
        <v>268.0</v>
      </c>
      <c r="B269" s="1" t="s">
        <v>961</v>
      </c>
      <c r="C269" s="1" t="s">
        <v>25</v>
      </c>
      <c r="K269" s="1">
        <v>150.0</v>
      </c>
      <c r="N269" s="5">
        <v>44606.0</v>
      </c>
      <c r="Q269" s="1" t="s">
        <v>606</v>
      </c>
    </row>
    <row r="270">
      <c r="A270" s="1">
        <v>269.0</v>
      </c>
      <c r="B270" s="1" t="s">
        <v>962</v>
      </c>
      <c r="C270" s="1" t="s">
        <v>25</v>
      </c>
      <c r="K270" s="1">
        <v>40.0</v>
      </c>
      <c r="N270" s="5">
        <v>44417.0</v>
      </c>
      <c r="Q270" s="1" t="s">
        <v>965</v>
      </c>
    </row>
    <row r="271">
      <c r="A271" s="1">
        <v>270.0</v>
      </c>
      <c r="B271" s="1" t="s">
        <v>966</v>
      </c>
      <c r="C271" s="1" t="s">
        <v>25</v>
      </c>
      <c r="K271" s="1">
        <v>70.0</v>
      </c>
      <c r="N271" s="5">
        <v>45382.0</v>
      </c>
      <c r="Q271" s="1" t="s">
        <v>97</v>
      </c>
    </row>
    <row r="272">
      <c r="A272" s="1">
        <v>271.0</v>
      </c>
      <c r="B272" s="1" t="s">
        <v>967</v>
      </c>
      <c r="C272" s="1" t="s">
        <v>25</v>
      </c>
      <c r="K272" s="1">
        <v>60.0</v>
      </c>
      <c r="N272" s="5">
        <v>43844.0</v>
      </c>
      <c r="Q272" s="1" t="s">
        <v>970</v>
      </c>
    </row>
    <row r="273">
      <c r="A273" s="1">
        <v>272.0</v>
      </c>
      <c r="B273" s="1" t="s">
        <v>971</v>
      </c>
      <c r="C273" s="1" t="s">
        <v>25</v>
      </c>
      <c r="K273" s="1">
        <v>10.0</v>
      </c>
      <c r="N273" s="5">
        <v>44787.0</v>
      </c>
      <c r="Q273" s="1" t="s">
        <v>93</v>
      </c>
    </row>
    <row r="274">
      <c r="A274" s="1">
        <v>273.0</v>
      </c>
      <c r="B274" s="1" t="s">
        <v>972</v>
      </c>
      <c r="C274" s="1" t="s">
        <v>25</v>
      </c>
      <c r="K274" s="1">
        <v>60.0</v>
      </c>
      <c r="N274" s="5">
        <v>44119.0</v>
      </c>
      <c r="Q274" s="1" t="s">
        <v>974</v>
      </c>
    </row>
    <row r="275">
      <c r="A275" s="1">
        <v>274.0</v>
      </c>
      <c r="B275" s="1" t="s">
        <v>975</v>
      </c>
      <c r="C275" s="1" t="s">
        <v>25</v>
      </c>
      <c r="K275" s="1">
        <v>50.0</v>
      </c>
      <c r="N275" s="5">
        <v>44415.0</v>
      </c>
      <c r="Q275" s="1" t="s">
        <v>978</v>
      </c>
    </row>
    <row r="276">
      <c r="A276" s="1">
        <v>275.0</v>
      </c>
      <c r="B276" s="1" t="s">
        <v>980</v>
      </c>
      <c r="C276" s="1" t="s">
        <v>25</v>
      </c>
      <c r="N276" s="5">
        <v>43842.0</v>
      </c>
      <c r="Q276" s="1" t="s">
        <v>93</v>
      </c>
    </row>
    <row r="277">
      <c r="A277" s="1">
        <v>276.0</v>
      </c>
      <c r="B277" s="1" t="s">
        <v>981</v>
      </c>
      <c r="C277" s="1" t="s">
        <v>25</v>
      </c>
      <c r="K277" s="1">
        <v>10.0</v>
      </c>
      <c r="N277" s="5">
        <v>44010.0</v>
      </c>
      <c r="Q277" s="1" t="s">
        <v>982</v>
      </c>
    </row>
    <row r="278">
      <c r="A278" s="1">
        <v>277.0</v>
      </c>
      <c r="B278" s="1" t="s">
        <v>983</v>
      </c>
      <c r="C278" s="1" t="s">
        <v>25</v>
      </c>
      <c r="K278" s="1">
        <v>10.0</v>
      </c>
      <c r="N278" s="5">
        <v>45263.0</v>
      </c>
      <c r="Q278" s="1" t="s">
        <v>55</v>
      </c>
    </row>
    <row r="279">
      <c r="A279" s="1">
        <v>278.0</v>
      </c>
      <c r="B279" s="1" t="s">
        <v>987</v>
      </c>
      <c r="C279" s="1" t="s">
        <v>25</v>
      </c>
      <c r="K279" s="1">
        <v>150.0</v>
      </c>
      <c r="N279" s="5">
        <v>44473.0</v>
      </c>
      <c r="Q279" s="1" t="s">
        <v>988</v>
      </c>
    </row>
    <row r="280">
      <c r="A280" s="1">
        <v>279.0</v>
      </c>
      <c r="B280" s="1" t="s">
        <v>989</v>
      </c>
      <c r="C280" s="1" t="s">
        <v>25</v>
      </c>
      <c r="K280" s="1">
        <v>30.0</v>
      </c>
      <c r="N280" s="5">
        <v>43993.0</v>
      </c>
      <c r="Q280" s="1" t="s">
        <v>55</v>
      </c>
    </row>
    <row r="281">
      <c r="A281" s="1">
        <v>280.0</v>
      </c>
      <c r="B281" s="1" t="s">
        <v>990</v>
      </c>
      <c r="C281" s="1" t="s">
        <v>25</v>
      </c>
      <c r="K281" s="1">
        <v>250.0</v>
      </c>
      <c r="N281" s="5">
        <v>44120.0</v>
      </c>
      <c r="Q281" s="1" t="s">
        <v>992</v>
      </c>
    </row>
    <row r="282">
      <c r="A282" s="1">
        <v>281.0</v>
      </c>
      <c r="B282" s="1" t="s">
        <v>994</v>
      </c>
      <c r="C282" s="1" t="s">
        <v>25</v>
      </c>
      <c r="K282" s="1">
        <v>80.0</v>
      </c>
      <c r="N282" s="5">
        <v>45077.0</v>
      </c>
      <c r="Q282" s="1" t="s">
        <v>606</v>
      </c>
    </row>
    <row r="283">
      <c r="A283" s="1">
        <v>282.0</v>
      </c>
      <c r="B283" s="1" t="s">
        <v>995</v>
      </c>
      <c r="C283" s="1" t="s">
        <v>25</v>
      </c>
      <c r="N283" s="5">
        <v>44788.0</v>
      </c>
      <c r="Q283" s="1" t="s">
        <v>851</v>
      </c>
    </row>
    <row r="284">
      <c r="A284" s="1">
        <v>283.0</v>
      </c>
      <c r="B284" s="1" t="s">
        <v>996</v>
      </c>
      <c r="C284" s="1" t="s">
        <v>25</v>
      </c>
      <c r="K284" s="1">
        <v>60.0</v>
      </c>
      <c r="N284" s="5">
        <v>44328.0</v>
      </c>
      <c r="Q284" s="1" t="s">
        <v>999</v>
      </c>
    </row>
    <row r="285">
      <c r="A285" s="1">
        <v>284.0</v>
      </c>
      <c r="B285" s="1" t="s">
        <v>1000</v>
      </c>
      <c r="C285" s="1" t="s">
        <v>25</v>
      </c>
      <c r="N285" s="5">
        <v>44284.0</v>
      </c>
      <c r="Q285" s="1" t="s">
        <v>55</v>
      </c>
    </row>
    <row r="286">
      <c r="A286" s="1">
        <v>285.0</v>
      </c>
      <c r="B286" s="1" t="s">
        <v>1001</v>
      </c>
      <c r="C286" s="1" t="s">
        <v>25</v>
      </c>
      <c r="N286" s="5">
        <v>43945.0</v>
      </c>
      <c r="Q286" s="1" t="s">
        <v>55</v>
      </c>
    </row>
    <row r="287">
      <c r="A287" s="1">
        <v>286.0</v>
      </c>
      <c r="B287" s="1" t="s">
        <v>1002</v>
      </c>
      <c r="C287" s="1" t="s">
        <v>25</v>
      </c>
      <c r="K287" s="1">
        <v>20.0</v>
      </c>
      <c r="N287" s="5">
        <v>45728.0</v>
      </c>
      <c r="Q287" s="1" t="s">
        <v>1005</v>
      </c>
    </row>
    <row r="288">
      <c r="A288" s="1">
        <v>287.0</v>
      </c>
      <c r="B288" s="1" t="s">
        <v>1007</v>
      </c>
      <c r="C288" s="1" t="s">
        <v>25</v>
      </c>
      <c r="N288" s="5">
        <v>44704.0</v>
      </c>
      <c r="Q288" s="1" t="s">
        <v>55</v>
      </c>
    </row>
    <row r="289">
      <c r="A289" s="1">
        <v>288.0</v>
      </c>
      <c r="B289" s="1" t="s">
        <v>1008</v>
      </c>
      <c r="C289" s="1" t="s">
        <v>25</v>
      </c>
      <c r="N289" s="5">
        <v>44054.0</v>
      </c>
      <c r="Q289" s="1" t="s">
        <v>55</v>
      </c>
    </row>
    <row r="290">
      <c r="A290" s="1">
        <v>289.0</v>
      </c>
      <c r="B290" s="1" t="s">
        <v>1010</v>
      </c>
      <c r="C290" s="1" t="s">
        <v>25</v>
      </c>
      <c r="K290" s="1">
        <v>20.0</v>
      </c>
      <c r="N290" s="5">
        <v>45906.0</v>
      </c>
      <c r="Q290" s="1" t="s">
        <v>1011</v>
      </c>
    </row>
    <row r="291">
      <c r="A291" s="1">
        <v>290.0</v>
      </c>
      <c r="B291" s="1" t="s">
        <v>1012</v>
      </c>
      <c r="C291" s="1" t="s">
        <v>25</v>
      </c>
      <c r="K291" s="1">
        <v>450.0</v>
      </c>
      <c r="N291" s="5">
        <v>44067.0</v>
      </c>
      <c r="Q291" s="1" t="s">
        <v>1013</v>
      </c>
    </row>
    <row r="292">
      <c r="A292" s="1">
        <v>291.0</v>
      </c>
      <c r="B292" s="1" t="s">
        <v>1014</v>
      </c>
      <c r="C292" s="1" t="s">
        <v>25</v>
      </c>
      <c r="K292" s="1">
        <v>10.0</v>
      </c>
      <c r="N292" s="5">
        <v>44648.0</v>
      </c>
      <c r="Q292" s="1" t="s">
        <v>55</v>
      </c>
    </row>
    <row r="293">
      <c r="A293" s="1">
        <v>292.0</v>
      </c>
      <c r="B293" s="1" t="s">
        <v>1016</v>
      </c>
      <c r="C293" s="1" t="s">
        <v>25</v>
      </c>
      <c r="N293" s="5">
        <v>44053.0</v>
      </c>
      <c r="Q293" s="1" t="s">
        <v>55</v>
      </c>
    </row>
    <row r="294">
      <c r="A294" s="1">
        <v>293.0</v>
      </c>
      <c r="B294" s="1" t="s">
        <v>1017</v>
      </c>
      <c r="C294" s="1" t="s">
        <v>25</v>
      </c>
      <c r="K294" s="1">
        <v>30.0</v>
      </c>
      <c r="N294" s="5">
        <v>44443.0</v>
      </c>
      <c r="Q294" s="1" t="s">
        <v>1019</v>
      </c>
    </row>
    <row r="295">
      <c r="A295" s="1">
        <v>294.0</v>
      </c>
      <c r="B295" s="1" t="s">
        <v>1021</v>
      </c>
      <c r="C295" s="1" t="s">
        <v>25</v>
      </c>
      <c r="K295" s="1">
        <v>70.0</v>
      </c>
      <c r="N295" s="5">
        <v>44100.0</v>
      </c>
      <c r="Q295" s="1" t="s">
        <v>1022</v>
      </c>
    </row>
    <row r="296">
      <c r="A296" s="1">
        <v>295.0</v>
      </c>
      <c r="B296" s="1" t="s">
        <v>1024</v>
      </c>
      <c r="C296" s="1" t="s">
        <v>25</v>
      </c>
      <c r="K296" s="1">
        <v>70.0</v>
      </c>
      <c r="N296" s="5">
        <v>45393.0</v>
      </c>
      <c r="Q296" s="1" t="s">
        <v>55</v>
      </c>
    </row>
    <row r="297">
      <c r="A297" s="1">
        <v>296.0</v>
      </c>
      <c r="B297" s="1" t="s">
        <v>1027</v>
      </c>
      <c r="C297" s="1" t="s">
        <v>25</v>
      </c>
      <c r="K297" s="1">
        <v>90.0</v>
      </c>
      <c r="N297" s="5">
        <v>43850.0</v>
      </c>
      <c r="Q297" s="1" t="s">
        <v>1031</v>
      </c>
    </row>
    <row r="298">
      <c r="A298" s="1">
        <v>297.0</v>
      </c>
      <c r="B298" s="1" t="s">
        <v>1033</v>
      </c>
      <c r="C298" s="1" t="s">
        <v>25</v>
      </c>
      <c r="K298" s="1">
        <v>60.0</v>
      </c>
      <c r="N298" s="5">
        <v>45658.0</v>
      </c>
      <c r="Q298" s="1" t="s">
        <v>1034</v>
      </c>
    </row>
    <row r="299">
      <c r="A299" s="1">
        <v>298.0</v>
      </c>
      <c r="B299" s="1" t="s">
        <v>1036</v>
      </c>
      <c r="C299" s="1" t="s">
        <v>25</v>
      </c>
      <c r="K299" s="1">
        <v>100.0</v>
      </c>
      <c r="N299" s="5">
        <v>44512.0</v>
      </c>
      <c r="Q299" s="1" t="s">
        <v>1038</v>
      </c>
    </row>
    <row r="300">
      <c r="A300" s="1">
        <v>299.0</v>
      </c>
      <c r="B300" s="1" t="s">
        <v>1042</v>
      </c>
      <c r="C300" s="1" t="s">
        <v>25</v>
      </c>
      <c r="K300" s="1">
        <v>150.0</v>
      </c>
      <c r="N300" s="5">
        <v>44642.0</v>
      </c>
      <c r="Q300" s="1" t="s">
        <v>1044</v>
      </c>
    </row>
    <row r="301">
      <c r="A301" s="1">
        <v>300.0</v>
      </c>
      <c r="B301" s="1" t="s">
        <v>1045</v>
      </c>
      <c r="C301" s="1" t="s">
        <v>25</v>
      </c>
      <c r="K301" s="1">
        <v>50.0</v>
      </c>
      <c r="N301" s="5">
        <v>44523.0</v>
      </c>
      <c r="Q301" s="1" t="s">
        <v>1047</v>
      </c>
    </row>
    <row r="302">
      <c r="A302" s="1">
        <v>301.0</v>
      </c>
      <c r="B302" s="1" t="s">
        <v>1048</v>
      </c>
      <c r="C302" s="1" t="s">
        <v>25</v>
      </c>
      <c r="N302" s="5">
        <v>44170.0</v>
      </c>
      <c r="Q302" s="1" t="s">
        <v>55</v>
      </c>
    </row>
    <row r="303">
      <c r="A303" s="1">
        <v>302.0</v>
      </c>
      <c r="B303" s="1" t="s">
        <v>1052</v>
      </c>
      <c r="C303" s="1" t="s">
        <v>25</v>
      </c>
      <c r="K303" s="1">
        <v>100.0</v>
      </c>
      <c r="N303" s="5">
        <v>44069.0</v>
      </c>
      <c r="Q303" s="1" t="s">
        <v>55</v>
      </c>
    </row>
    <row r="304">
      <c r="A304" s="1">
        <v>303.0</v>
      </c>
      <c r="B304" s="1" t="s">
        <v>1054</v>
      </c>
      <c r="C304" s="1" t="s">
        <v>25</v>
      </c>
      <c r="N304" s="5">
        <v>45654.0</v>
      </c>
      <c r="Q304" s="1" t="s">
        <v>1055</v>
      </c>
    </row>
    <row r="305">
      <c r="A305" s="1">
        <v>304.0</v>
      </c>
      <c r="B305" s="1" t="s">
        <v>1056</v>
      </c>
      <c r="C305" s="1" t="s">
        <v>25</v>
      </c>
      <c r="K305" s="1">
        <v>30.0</v>
      </c>
      <c r="N305" s="5">
        <v>44396.0</v>
      </c>
      <c r="Q305" s="1" t="s">
        <v>569</v>
      </c>
    </row>
    <row r="306">
      <c r="A306" s="1">
        <v>305.0</v>
      </c>
      <c r="B306" s="1" t="s">
        <v>1058</v>
      </c>
      <c r="C306" s="1" t="s">
        <v>25</v>
      </c>
      <c r="N306" s="5">
        <v>44262.0</v>
      </c>
      <c r="Q306" s="1" t="s">
        <v>55</v>
      </c>
    </row>
    <row r="307">
      <c r="A307" s="1">
        <v>306.0</v>
      </c>
      <c r="B307" s="1" t="s">
        <v>1059</v>
      </c>
      <c r="C307" s="1" t="s">
        <v>25</v>
      </c>
      <c r="K307" s="1">
        <v>30.0</v>
      </c>
      <c r="N307" s="5">
        <v>44591.0</v>
      </c>
      <c r="Q307" s="1" t="s">
        <v>55</v>
      </c>
    </row>
    <row r="308">
      <c r="A308" s="1">
        <v>307.0</v>
      </c>
      <c r="B308" s="1" t="s">
        <v>1060</v>
      </c>
      <c r="C308" s="1" t="s">
        <v>25</v>
      </c>
      <c r="N308" s="5">
        <v>45661.0</v>
      </c>
      <c r="Q308" s="1" t="s">
        <v>1062</v>
      </c>
    </row>
    <row r="309">
      <c r="A309" s="1">
        <v>308.0</v>
      </c>
      <c r="B309" s="1" t="s">
        <v>1064</v>
      </c>
      <c r="C309" s="1" t="s">
        <v>25</v>
      </c>
      <c r="K309" s="1">
        <v>40.0</v>
      </c>
      <c r="N309" s="5">
        <v>43866.0</v>
      </c>
      <c r="Q309" s="1" t="s">
        <v>1066</v>
      </c>
    </row>
    <row r="310">
      <c r="A310" s="1">
        <v>309.0</v>
      </c>
      <c r="B310" s="1" t="s">
        <v>1067</v>
      </c>
      <c r="C310" s="1" t="s">
        <v>25</v>
      </c>
      <c r="N310" s="5">
        <v>45536.0</v>
      </c>
      <c r="Q310" s="1" t="s">
        <v>1069</v>
      </c>
    </row>
    <row r="311">
      <c r="A311" s="1">
        <v>310.0</v>
      </c>
      <c r="B311" s="1" t="s">
        <v>1070</v>
      </c>
      <c r="C311" s="1" t="s">
        <v>25</v>
      </c>
      <c r="K311" s="1">
        <v>90.0</v>
      </c>
      <c r="N311" s="5">
        <v>44286.0</v>
      </c>
      <c r="Q311" s="1" t="s">
        <v>1072</v>
      </c>
    </row>
    <row r="312">
      <c r="A312" s="1">
        <v>311.0</v>
      </c>
      <c r="B312" s="1" t="s">
        <v>1074</v>
      </c>
      <c r="C312" s="1" t="s">
        <v>25</v>
      </c>
      <c r="K312" s="1">
        <v>100.0</v>
      </c>
      <c r="N312" s="5">
        <v>43924.0</v>
      </c>
      <c r="Q312" s="1" t="s">
        <v>1075</v>
      </c>
    </row>
    <row r="313">
      <c r="A313" s="1">
        <v>312.0</v>
      </c>
      <c r="B313" s="1" t="s">
        <v>1077</v>
      </c>
      <c r="C313" s="1" t="s">
        <v>25</v>
      </c>
      <c r="K313" s="1">
        <v>300.0</v>
      </c>
      <c r="N313" s="5">
        <v>42381.0</v>
      </c>
      <c r="Q313" s="1" t="s">
        <v>1078</v>
      </c>
    </row>
    <row r="314">
      <c r="A314" s="1">
        <v>313.0</v>
      </c>
      <c r="B314" s="1" t="s">
        <v>1079</v>
      </c>
      <c r="C314" s="1" t="s">
        <v>25</v>
      </c>
      <c r="N314" s="5">
        <v>45370.0</v>
      </c>
      <c r="Q314" s="1" t="s">
        <v>55</v>
      </c>
    </row>
    <row r="315">
      <c r="A315" s="1">
        <v>314.0</v>
      </c>
      <c r="B315" s="1" t="s">
        <v>52</v>
      </c>
      <c r="C315" s="1" t="s">
        <v>25</v>
      </c>
      <c r="N315" s="5">
        <v>44256.0</v>
      </c>
      <c r="Q315" s="1" t="s">
        <v>55</v>
      </c>
    </row>
    <row r="316">
      <c r="A316" s="1">
        <v>315.0</v>
      </c>
      <c r="B316" s="1" t="s">
        <v>1082</v>
      </c>
      <c r="C316" s="1" t="s">
        <v>25</v>
      </c>
      <c r="K316" s="1">
        <v>50.0</v>
      </c>
      <c r="N316" s="5">
        <v>44465.0</v>
      </c>
      <c r="Q316" s="1" t="s">
        <v>1083</v>
      </c>
    </row>
    <row r="317">
      <c r="A317" s="1">
        <v>316.0</v>
      </c>
      <c r="B317" s="1" t="s">
        <v>1085</v>
      </c>
      <c r="C317" s="1" t="s">
        <v>25</v>
      </c>
      <c r="K317" s="1">
        <v>200.0</v>
      </c>
      <c r="N317" s="5">
        <v>44548.0</v>
      </c>
      <c r="Q317" s="1" t="s">
        <v>1087</v>
      </c>
    </row>
    <row r="318">
      <c r="A318" s="1">
        <v>317.0</v>
      </c>
      <c r="B318" s="1" t="s">
        <v>1088</v>
      </c>
      <c r="C318" s="1" t="s">
        <v>25</v>
      </c>
      <c r="K318" s="1">
        <v>10.0</v>
      </c>
      <c r="N318" s="5">
        <v>45616.0</v>
      </c>
      <c r="Q318" s="1" t="s">
        <v>1089</v>
      </c>
    </row>
    <row r="319">
      <c r="A319" s="1">
        <v>318.0</v>
      </c>
      <c r="B319" s="1" t="s">
        <v>1090</v>
      </c>
      <c r="C319" s="1" t="s">
        <v>25</v>
      </c>
      <c r="K319" s="1">
        <v>40.0</v>
      </c>
      <c r="N319" s="5">
        <v>45526.0</v>
      </c>
      <c r="Q319" s="1" t="s">
        <v>1092</v>
      </c>
    </row>
    <row r="320">
      <c r="A320" s="1">
        <v>319.0</v>
      </c>
      <c r="B320" s="1" t="s">
        <v>1094</v>
      </c>
      <c r="C320" s="1" t="s">
        <v>25</v>
      </c>
      <c r="K320" s="1">
        <v>100.0</v>
      </c>
      <c r="N320" s="5">
        <v>45159.0</v>
      </c>
      <c r="Q320" s="1" t="s">
        <v>1095</v>
      </c>
    </row>
    <row r="321">
      <c r="A321" s="1">
        <v>320.0</v>
      </c>
      <c r="B321" s="1" t="s">
        <v>1097</v>
      </c>
      <c r="C321" s="1" t="s">
        <v>25</v>
      </c>
      <c r="K321" s="1">
        <v>50.0</v>
      </c>
      <c r="N321" s="5">
        <v>45481.0</v>
      </c>
      <c r="Q321" s="1" t="s">
        <v>46</v>
      </c>
    </row>
    <row r="322">
      <c r="A322" s="1">
        <v>321.0</v>
      </c>
      <c r="B322" s="1" t="s">
        <v>1099</v>
      </c>
      <c r="C322" s="1" t="s">
        <v>25</v>
      </c>
      <c r="N322" s="5">
        <v>44728.0</v>
      </c>
      <c r="Q322" s="1" t="s">
        <v>1102</v>
      </c>
    </row>
    <row r="323">
      <c r="A323" s="1">
        <v>322.0</v>
      </c>
      <c r="B323" s="1" t="s">
        <v>1103</v>
      </c>
      <c r="C323" s="1" t="s">
        <v>25</v>
      </c>
      <c r="N323" s="5">
        <v>44576.0</v>
      </c>
      <c r="Q323" s="1" t="s">
        <v>80</v>
      </c>
    </row>
    <row r="324">
      <c r="A324" s="1">
        <v>323.0</v>
      </c>
      <c r="B324" s="1" t="s">
        <v>166</v>
      </c>
      <c r="C324" s="1" t="s">
        <v>25</v>
      </c>
      <c r="K324" s="1">
        <v>70.0</v>
      </c>
      <c r="N324" s="5">
        <v>44351.0</v>
      </c>
      <c r="Q324" s="1" t="s">
        <v>169</v>
      </c>
    </row>
    <row r="325">
      <c r="A325" s="1">
        <v>324.0</v>
      </c>
      <c r="B325" s="1" t="s">
        <v>1106</v>
      </c>
      <c r="C325" s="1" t="s">
        <v>25</v>
      </c>
      <c r="K325" s="1">
        <v>80.0</v>
      </c>
      <c r="N325" s="5">
        <v>44246.0</v>
      </c>
      <c r="Q325" s="1" t="s">
        <v>851</v>
      </c>
    </row>
    <row r="326">
      <c r="A326" s="1">
        <v>325.0</v>
      </c>
      <c r="B326" s="1" t="s">
        <v>1108</v>
      </c>
      <c r="C326" s="1" t="s">
        <v>25</v>
      </c>
      <c r="K326" s="1">
        <v>150.0</v>
      </c>
      <c r="N326" s="5">
        <v>45547.0</v>
      </c>
      <c r="Q326" s="1" t="s">
        <v>1109</v>
      </c>
    </row>
    <row r="327">
      <c r="A327" s="1">
        <v>326.0</v>
      </c>
      <c r="B327" s="1" t="s">
        <v>1110</v>
      </c>
      <c r="C327" s="1" t="s">
        <v>25</v>
      </c>
      <c r="K327" s="1">
        <v>60.0</v>
      </c>
      <c r="N327" s="5">
        <v>45663.0</v>
      </c>
      <c r="Q327" s="1" t="s">
        <v>1112</v>
      </c>
    </row>
    <row r="328">
      <c r="A328" s="1">
        <v>327.0</v>
      </c>
      <c r="B328" s="1" t="s">
        <v>1114</v>
      </c>
      <c r="C328" s="1" t="s">
        <v>25</v>
      </c>
      <c r="N328" s="5">
        <v>45465.0</v>
      </c>
      <c r="Q328" s="1" t="s">
        <v>606</v>
      </c>
    </row>
    <row r="329">
      <c r="A329" s="1">
        <v>328.0</v>
      </c>
      <c r="B329" s="1" t="s">
        <v>1116</v>
      </c>
      <c r="C329" s="1" t="s">
        <v>25</v>
      </c>
      <c r="K329" s="1">
        <v>150.0</v>
      </c>
      <c r="N329" s="5">
        <v>44842.0</v>
      </c>
      <c r="Q329" s="1" t="s">
        <v>1117</v>
      </c>
    </row>
    <row r="330">
      <c r="A330" s="1">
        <v>329.0</v>
      </c>
      <c r="B330" s="1" t="s">
        <v>1118</v>
      </c>
      <c r="C330" s="1" t="s">
        <v>25</v>
      </c>
      <c r="K330" s="1">
        <v>200.0</v>
      </c>
      <c r="N330" s="5">
        <v>43923.0</v>
      </c>
      <c r="Q330" s="1" t="s">
        <v>1120</v>
      </c>
    </row>
    <row r="331">
      <c r="A331" s="1">
        <v>330.0</v>
      </c>
      <c r="B331" s="1" t="s">
        <v>1122</v>
      </c>
      <c r="C331" s="1" t="s">
        <v>25</v>
      </c>
      <c r="K331" s="1">
        <v>40.0</v>
      </c>
      <c r="N331" s="5">
        <v>44459.0</v>
      </c>
      <c r="Q331" s="1" t="s">
        <v>172</v>
      </c>
    </row>
    <row r="332">
      <c r="A332" s="1">
        <v>331.0</v>
      </c>
      <c r="B332" s="1" t="s">
        <v>1123</v>
      </c>
      <c r="C332" s="1" t="s">
        <v>25</v>
      </c>
      <c r="K332" s="1">
        <v>30.0</v>
      </c>
      <c r="N332" s="5">
        <v>44535.0</v>
      </c>
      <c r="Q332" s="1" t="s">
        <v>1125</v>
      </c>
    </row>
    <row r="333">
      <c r="A333" s="1">
        <v>332.0</v>
      </c>
      <c r="B333" s="1" t="s">
        <v>1126</v>
      </c>
      <c r="C333" s="1" t="s">
        <v>25</v>
      </c>
      <c r="K333" s="1">
        <v>150.0</v>
      </c>
      <c r="N333" s="5">
        <v>44118.0</v>
      </c>
      <c r="Q333" s="1" t="s">
        <v>1127</v>
      </c>
    </row>
    <row r="334">
      <c r="A334" s="1">
        <v>333.0</v>
      </c>
      <c r="B334" s="1" t="s">
        <v>1128</v>
      </c>
      <c r="C334" s="1" t="s">
        <v>25</v>
      </c>
      <c r="K334" s="1">
        <v>10.0</v>
      </c>
      <c r="N334" s="5">
        <v>44238.0</v>
      </c>
      <c r="Q334" s="1" t="s">
        <v>55</v>
      </c>
    </row>
    <row r="335">
      <c r="A335" s="1">
        <v>334.0</v>
      </c>
      <c r="B335" s="1" t="s">
        <v>1129</v>
      </c>
      <c r="C335" s="1" t="s">
        <v>25</v>
      </c>
      <c r="N335" s="5">
        <v>43211.0</v>
      </c>
      <c r="Q335" s="1" t="s">
        <v>55</v>
      </c>
    </row>
    <row r="336">
      <c r="A336" s="1">
        <v>335.0</v>
      </c>
      <c r="B336" s="1" t="s">
        <v>1131</v>
      </c>
      <c r="C336" s="1" t="s">
        <v>25</v>
      </c>
      <c r="K336" s="1">
        <v>60.0</v>
      </c>
      <c r="N336" s="5">
        <v>43931.0</v>
      </c>
      <c r="Q336" s="1" t="s">
        <v>93</v>
      </c>
    </row>
    <row r="337">
      <c r="A337" s="1">
        <v>336.0</v>
      </c>
      <c r="B337" s="1" t="s">
        <v>1133</v>
      </c>
      <c r="C337" s="1" t="s">
        <v>25</v>
      </c>
      <c r="K337" s="1">
        <v>200.0</v>
      </c>
      <c r="N337" s="5">
        <v>43944.0</v>
      </c>
      <c r="Q337" s="1" t="s">
        <v>1134</v>
      </c>
    </row>
    <row r="338">
      <c r="A338" s="1">
        <v>337.0</v>
      </c>
      <c r="B338" s="1" t="s">
        <v>1136</v>
      </c>
      <c r="C338" s="1" t="s">
        <v>25</v>
      </c>
      <c r="K338" s="1">
        <v>150.0</v>
      </c>
      <c r="N338" s="5">
        <v>43886.0</v>
      </c>
      <c r="Q338" s="1" t="s">
        <v>1138</v>
      </c>
    </row>
    <row r="339">
      <c r="A339" s="1">
        <v>338.0</v>
      </c>
      <c r="B339" s="1" t="s">
        <v>1139</v>
      </c>
      <c r="C339" s="1" t="s">
        <v>25</v>
      </c>
      <c r="K339" s="1">
        <v>70.0</v>
      </c>
      <c r="N339" s="5">
        <v>45181.0</v>
      </c>
      <c r="Q339" s="1" t="s">
        <v>1141</v>
      </c>
    </row>
    <row r="340">
      <c r="A340" s="1">
        <v>339.0</v>
      </c>
      <c r="B340" s="1" t="s">
        <v>1142</v>
      </c>
      <c r="C340" s="1" t="s">
        <v>25</v>
      </c>
      <c r="K340" s="1">
        <v>10.0</v>
      </c>
      <c r="N340" s="5">
        <v>44176.0</v>
      </c>
      <c r="Q340" s="1" t="s">
        <v>55</v>
      </c>
    </row>
    <row r="341">
      <c r="A341" s="1">
        <v>340.0</v>
      </c>
      <c r="B341" s="1" t="s">
        <v>1145</v>
      </c>
      <c r="C341" s="1" t="s">
        <v>25</v>
      </c>
      <c r="N341" s="5">
        <v>45226.0</v>
      </c>
      <c r="Q341" s="1" t="s">
        <v>633</v>
      </c>
    </row>
    <row r="342">
      <c r="A342" s="1">
        <v>341.0</v>
      </c>
      <c r="B342" s="1" t="s">
        <v>1146</v>
      </c>
      <c r="C342" s="1" t="s">
        <v>25</v>
      </c>
      <c r="N342" s="5">
        <v>44084.0</v>
      </c>
      <c r="Q342" s="1" t="s">
        <v>55</v>
      </c>
    </row>
    <row r="343">
      <c r="A343" s="1">
        <v>342.0</v>
      </c>
      <c r="B343" s="1" t="s">
        <v>56</v>
      </c>
      <c r="C343" s="1" t="s">
        <v>25</v>
      </c>
      <c r="N343" s="5">
        <v>45070.0</v>
      </c>
      <c r="Q343" s="1" t="s">
        <v>58</v>
      </c>
    </row>
    <row r="344">
      <c r="A344" s="1">
        <v>343.0</v>
      </c>
      <c r="B344" s="1" t="s">
        <v>1148</v>
      </c>
      <c r="C344" s="1" t="s">
        <v>25</v>
      </c>
      <c r="K344" s="1">
        <v>60.0</v>
      </c>
      <c r="N344" s="5">
        <v>44041.0</v>
      </c>
      <c r="Q344" s="1" t="s">
        <v>172</v>
      </c>
    </row>
    <row r="345">
      <c r="A345" s="1">
        <v>344.0</v>
      </c>
      <c r="B345" s="1" t="s">
        <v>1150</v>
      </c>
      <c r="C345" s="1" t="s">
        <v>25</v>
      </c>
      <c r="K345" s="1">
        <v>10.0</v>
      </c>
      <c r="N345" s="5">
        <v>45201.0</v>
      </c>
      <c r="Q345" s="1" t="s">
        <v>55</v>
      </c>
    </row>
    <row r="346">
      <c r="A346" s="1">
        <v>345.0</v>
      </c>
      <c r="B346" s="1" t="s">
        <v>1152</v>
      </c>
      <c r="C346" s="1" t="s">
        <v>25</v>
      </c>
      <c r="K346" s="1">
        <v>20.0</v>
      </c>
      <c r="N346" s="5">
        <v>44465.0</v>
      </c>
      <c r="Q346" s="1" t="s">
        <v>55</v>
      </c>
    </row>
    <row r="347">
      <c r="A347" s="1">
        <v>346.0</v>
      </c>
      <c r="B347" s="1" t="s">
        <v>1155</v>
      </c>
      <c r="C347" s="1" t="s">
        <v>25</v>
      </c>
      <c r="K347" s="1">
        <v>10.0</v>
      </c>
      <c r="N347" s="5">
        <v>45684.0</v>
      </c>
      <c r="Q347" s="1" t="s">
        <v>1156</v>
      </c>
    </row>
    <row r="348">
      <c r="A348" s="1">
        <v>347.0</v>
      </c>
      <c r="B348" s="1" t="s">
        <v>1157</v>
      </c>
      <c r="C348" s="1" t="s">
        <v>25</v>
      </c>
      <c r="K348" s="1">
        <v>60.0</v>
      </c>
      <c r="N348" s="5">
        <v>45535.0</v>
      </c>
      <c r="Q348" s="1" t="s">
        <v>1160</v>
      </c>
    </row>
    <row r="349">
      <c r="A349" s="1">
        <v>348.0</v>
      </c>
      <c r="B349" s="1" t="s">
        <v>1161</v>
      </c>
      <c r="C349" s="1" t="s">
        <v>25</v>
      </c>
      <c r="K349" s="1">
        <v>10.0</v>
      </c>
      <c r="N349" s="5">
        <v>45638.0</v>
      </c>
      <c r="Q349" s="1" t="s">
        <v>1162</v>
      </c>
    </row>
    <row r="350">
      <c r="A350" s="1">
        <v>349.0</v>
      </c>
      <c r="B350" s="1" t="s">
        <v>1163</v>
      </c>
      <c r="C350" s="1" t="s">
        <v>25</v>
      </c>
      <c r="K350" s="1">
        <v>10.0</v>
      </c>
      <c r="N350" s="5">
        <v>45108.0</v>
      </c>
      <c r="Q350" s="1" t="s">
        <v>55</v>
      </c>
    </row>
    <row r="351">
      <c r="A351" s="1">
        <v>350.0</v>
      </c>
      <c r="B351" s="1" t="s">
        <v>1165</v>
      </c>
      <c r="C351" s="1" t="s">
        <v>25</v>
      </c>
      <c r="K351" s="1">
        <v>70.0</v>
      </c>
      <c r="N351" s="5">
        <v>45788.0</v>
      </c>
      <c r="Q351" s="1" t="s">
        <v>1167</v>
      </c>
    </row>
    <row r="352">
      <c r="A352" s="1">
        <v>351.0</v>
      </c>
      <c r="B352" s="1" t="s">
        <v>1168</v>
      </c>
      <c r="C352" s="1" t="s">
        <v>25</v>
      </c>
      <c r="N352" s="5">
        <v>46101.0</v>
      </c>
      <c r="Q352" s="1" t="s">
        <v>1169</v>
      </c>
    </row>
    <row r="353">
      <c r="A353" s="1">
        <v>352.0</v>
      </c>
      <c r="B353" s="1" t="s">
        <v>1170</v>
      </c>
      <c r="C353" s="1" t="s">
        <v>25</v>
      </c>
      <c r="K353" s="1">
        <v>150.0</v>
      </c>
      <c r="N353" s="5">
        <v>44166.0</v>
      </c>
      <c r="Q353" s="1" t="s">
        <v>55</v>
      </c>
    </row>
    <row r="354">
      <c r="A354" s="1">
        <v>353.0</v>
      </c>
      <c r="B354" s="1" t="s">
        <v>1173</v>
      </c>
      <c r="C354" s="1" t="s">
        <v>25</v>
      </c>
      <c r="K354" s="1">
        <v>30.0</v>
      </c>
      <c r="N354" s="5">
        <v>44908.0</v>
      </c>
      <c r="Q354" s="1" t="s">
        <v>125</v>
      </c>
    </row>
    <row r="355">
      <c r="A355" s="1">
        <v>354.0</v>
      </c>
      <c r="B355" s="1" t="s">
        <v>1175</v>
      </c>
      <c r="C355" s="1" t="s">
        <v>25</v>
      </c>
      <c r="K355" s="1">
        <v>100.0</v>
      </c>
      <c r="N355" s="5">
        <v>44288.0</v>
      </c>
      <c r="Q355" s="1" t="s">
        <v>1177</v>
      </c>
    </row>
    <row r="356">
      <c r="A356" s="1">
        <v>355.0</v>
      </c>
      <c r="B356" s="1" t="s">
        <v>1179</v>
      </c>
      <c r="C356" s="1" t="s">
        <v>25</v>
      </c>
      <c r="K356" s="1">
        <v>150.0</v>
      </c>
      <c r="N356" s="5">
        <v>44059.0</v>
      </c>
      <c r="Q356" s="1" t="s">
        <v>1180</v>
      </c>
    </row>
    <row r="357">
      <c r="A357" s="1">
        <v>356.0</v>
      </c>
      <c r="B357" s="1" t="s">
        <v>1181</v>
      </c>
      <c r="C357" s="1" t="s">
        <v>25</v>
      </c>
      <c r="N357" s="5">
        <v>44564.0</v>
      </c>
      <c r="Q357" s="1" t="s">
        <v>55</v>
      </c>
    </row>
    <row r="358">
      <c r="A358" s="1">
        <v>357.0</v>
      </c>
      <c r="B358" s="1" t="s">
        <v>1182</v>
      </c>
      <c r="C358" s="1" t="s">
        <v>25</v>
      </c>
      <c r="N358" s="5">
        <v>46101.0</v>
      </c>
      <c r="Q358" s="1" t="s">
        <v>1185</v>
      </c>
    </row>
    <row r="359">
      <c r="A359" s="1">
        <v>358.0</v>
      </c>
      <c r="B359" s="1" t="s">
        <v>1186</v>
      </c>
      <c r="C359" s="1" t="s">
        <v>25</v>
      </c>
      <c r="N359" s="5">
        <v>45355.0</v>
      </c>
      <c r="Q359" s="1" t="s">
        <v>1187</v>
      </c>
    </row>
    <row r="360">
      <c r="A360" s="1">
        <v>359.0</v>
      </c>
      <c r="B360" s="1" t="s">
        <v>1188</v>
      </c>
      <c r="C360" s="1" t="s">
        <v>25</v>
      </c>
      <c r="K360" s="1">
        <v>150.0</v>
      </c>
      <c r="N360" s="5">
        <v>44025.0</v>
      </c>
      <c r="Q360" s="1" t="s">
        <v>1190</v>
      </c>
    </row>
    <row r="361">
      <c r="A361" s="1">
        <v>360.0</v>
      </c>
      <c r="B361" s="1" t="s">
        <v>1192</v>
      </c>
      <c r="C361" s="1" t="s">
        <v>25</v>
      </c>
      <c r="K361" s="1">
        <v>100.0</v>
      </c>
      <c r="N361" s="5">
        <v>45584.0</v>
      </c>
      <c r="Q361" s="1" t="s">
        <v>1195</v>
      </c>
    </row>
    <row r="362">
      <c r="A362" s="1">
        <v>361.0</v>
      </c>
      <c r="B362" s="1" t="s">
        <v>1197</v>
      </c>
      <c r="C362" s="1" t="s">
        <v>25</v>
      </c>
      <c r="K362" s="1">
        <v>10.0</v>
      </c>
      <c r="N362" s="5">
        <v>44524.0</v>
      </c>
      <c r="Q362" s="1" t="s">
        <v>1198</v>
      </c>
    </row>
    <row r="363">
      <c r="A363" s="1">
        <v>362.0</v>
      </c>
      <c r="B363" s="1" t="s">
        <v>1199</v>
      </c>
      <c r="C363" s="1" t="s">
        <v>25</v>
      </c>
      <c r="K363" s="1">
        <v>60.0</v>
      </c>
      <c r="N363" s="5">
        <v>44900.0</v>
      </c>
      <c r="Q363" s="1" t="s">
        <v>1200</v>
      </c>
    </row>
    <row r="364">
      <c r="A364" s="1">
        <v>363.0</v>
      </c>
      <c r="B364" s="1" t="s">
        <v>1201</v>
      </c>
      <c r="C364" s="1" t="s">
        <v>25</v>
      </c>
      <c r="N364" s="5">
        <v>44421.0</v>
      </c>
      <c r="Q364" s="1" t="s">
        <v>55</v>
      </c>
    </row>
    <row r="365">
      <c r="A365" s="1">
        <v>364.0</v>
      </c>
      <c r="B365" s="1" t="s">
        <v>1204</v>
      </c>
      <c r="C365" s="1" t="s">
        <v>25</v>
      </c>
      <c r="K365" s="1">
        <v>10.0</v>
      </c>
      <c r="N365" s="5">
        <v>45179.0</v>
      </c>
      <c r="Q365" s="1" t="s">
        <v>55</v>
      </c>
    </row>
    <row r="366">
      <c r="A366" s="1">
        <v>365.0</v>
      </c>
      <c r="B366" s="1" t="s">
        <v>1205</v>
      </c>
      <c r="C366" s="1" t="s">
        <v>25</v>
      </c>
      <c r="K366" s="1">
        <v>40.0</v>
      </c>
      <c r="N366" s="5">
        <v>44297.0</v>
      </c>
      <c r="Q366" s="1" t="s">
        <v>55</v>
      </c>
    </row>
    <row r="367">
      <c r="A367" s="1">
        <v>366.0</v>
      </c>
      <c r="B367" s="1" t="s">
        <v>1207</v>
      </c>
      <c r="C367" s="1" t="s">
        <v>25</v>
      </c>
      <c r="K367" s="1">
        <v>90.0</v>
      </c>
      <c r="N367" s="5">
        <v>45846.0</v>
      </c>
      <c r="Q367" s="1" t="s">
        <v>1209</v>
      </c>
    </row>
    <row r="368">
      <c r="A368" s="1">
        <v>367.0</v>
      </c>
      <c r="B368" s="1" t="s">
        <v>1211</v>
      </c>
      <c r="C368" s="1" t="s">
        <v>25</v>
      </c>
      <c r="K368" s="1">
        <v>150.0</v>
      </c>
      <c r="N368" s="5">
        <v>45728.0</v>
      </c>
      <c r="Q368" s="1" t="s">
        <v>1212</v>
      </c>
    </row>
    <row r="369">
      <c r="A369" s="1">
        <v>368.0</v>
      </c>
      <c r="B369" s="1" t="s">
        <v>1214</v>
      </c>
      <c r="C369" s="1" t="s">
        <v>25</v>
      </c>
      <c r="N369" s="5">
        <v>44856.0</v>
      </c>
      <c r="Q369" s="1" t="s">
        <v>55</v>
      </c>
    </row>
    <row r="370">
      <c r="A370" s="1">
        <v>369.0</v>
      </c>
      <c r="B370" s="1" t="s">
        <v>60</v>
      </c>
      <c r="C370" s="1" t="s">
        <v>25</v>
      </c>
      <c r="K370" s="1">
        <v>50.0</v>
      </c>
      <c r="N370" s="5">
        <v>45080.0</v>
      </c>
      <c r="Q370" s="1" t="s">
        <v>62</v>
      </c>
    </row>
    <row r="371">
      <c r="A371" s="1">
        <v>370.0</v>
      </c>
      <c r="B371" s="1" t="s">
        <v>1215</v>
      </c>
      <c r="C371" s="1" t="s">
        <v>25</v>
      </c>
      <c r="N371" s="5">
        <v>44801.0</v>
      </c>
      <c r="Q371" s="1" t="s">
        <v>55</v>
      </c>
    </row>
    <row r="372">
      <c r="A372" s="1">
        <v>371.0</v>
      </c>
      <c r="B372" s="1" t="s">
        <v>1216</v>
      </c>
      <c r="C372" s="1" t="s">
        <v>25</v>
      </c>
      <c r="K372" s="1">
        <v>200.0</v>
      </c>
      <c r="N372" s="5">
        <v>43915.0</v>
      </c>
      <c r="Q372" s="1" t="s">
        <v>1218</v>
      </c>
    </row>
    <row r="373">
      <c r="A373" s="1">
        <v>372.0</v>
      </c>
      <c r="B373" s="1" t="s">
        <v>1219</v>
      </c>
      <c r="C373" s="1" t="s">
        <v>25</v>
      </c>
      <c r="K373" s="1">
        <v>100.0</v>
      </c>
      <c r="N373" s="5">
        <v>44651.0</v>
      </c>
      <c r="Q373" s="1" t="s">
        <v>172</v>
      </c>
    </row>
    <row r="374">
      <c r="A374" s="1">
        <v>373.0</v>
      </c>
      <c r="B374" s="1" t="s">
        <v>1222</v>
      </c>
      <c r="C374" s="1" t="s">
        <v>25</v>
      </c>
      <c r="N374" s="5">
        <v>44771.0</v>
      </c>
      <c r="Q374" s="1" t="s">
        <v>55</v>
      </c>
    </row>
    <row r="375">
      <c r="A375" s="1">
        <v>374.0</v>
      </c>
      <c r="B375" s="1" t="s">
        <v>1225</v>
      </c>
      <c r="C375" s="1" t="s">
        <v>25</v>
      </c>
      <c r="N375" s="5">
        <v>45471.0</v>
      </c>
      <c r="Q375" s="1" t="s">
        <v>1226</v>
      </c>
    </row>
    <row r="376">
      <c r="A376" s="1">
        <v>375.0</v>
      </c>
      <c r="B376" s="1" t="s">
        <v>1227</v>
      </c>
      <c r="C376" s="1" t="s">
        <v>25</v>
      </c>
      <c r="K376" s="1">
        <v>20.0</v>
      </c>
      <c r="N376" s="5">
        <v>45665.0</v>
      </c>
      <c r="Q376" s="1" t="s">
        <v>1229</v>
      </c>
    </row>
    <row r="377">
      <c r="A377" s="1">
        <v>376.0</v>
      </c>
      <c r="B377" s="1" t="s">
        <v>1230</v>
      </c>
      <c r="C377" s="1" t="s">
        <v>25</v>
      </c>
      <c r="K377" s="1">
        <v>100.0</v>
      </c>
      <c r="N377" s="5">
        <v>43973.0</v>
      </c>
      <c r="Q377" s="1" t="s">
        <v>569</v>
      </c>
    </row>
    <row r="378">
      <c r="A378" s="1">
        <v>377.0</v>
      </c>
      <c r="B378" s="1" t="s">
        <v>1233</v>
      </c>
      <c r="C378" s="1" t="s">
        <v>25</v>
      </c>
      <c r="K378" s="1">
        <v>150.0</v>
      </c>
      <c r="N378" s="5">
        <v>44341.0</v>
      </c>
      <c r="Q378" s="1" t="s">
        <v>55</v>
      </c>
    </row>
    <row r="379">
      <c r="A379" s="1">
        <v>378.0</v>
      </c>
      <c r="B379" s="1" t="s">
        <v>1234</v>
      </c>
      <c r="C379" s="1" t="s">
        <v>25</v>
      </c>
      <c r="K379" s="1">
        <v>10.0</v>
      </c>
      <c r="N379" s="5">
        <v>46173.0</v>
      </c>
      <c r="Q379" s="1" t="s">
        <v>1235</v>
      </c>
    </row>
    <row r="380">
      <c r="A380" s="1">
        <v>379.0</v>
      </c>
      <c r="B380" s="1" t="s">
        <v>1237</v>
      </c>
      <c r="C380" s="1" t="s">
        <v>25</v>
      </c>
      <c r="K380" s="1">
        <v>50.0</v>
      </c>
      <c r="N380" s="5">
        <v>44321.0</v>
      </c>
      <c r="Q380" s="1" t="s">
        <v>55</v>
      </c>
    </row>
    <row r="381">
      <c r="A381" s="1">
        <v>380.0</v>
      </c>
      <c r="B381" s="1" t="s">
        <v>1239</v>
      </c>
      <c r="C381" s="1" t="s">
        <v>25</v>
      </c>
      <c r="K381" s="1">
        <v>10.0</v>
      </c>
      <c r="N381" s="5">
        <v>45597.0</v>
      </c>
      <c r="Q381" s="1" t="s">
        <v>1241</v>
      </c>
    </row>
    <row r="382">
      <c r="A382" s="1">
        <v>381.0</v>
      </c>
      <c r="B382" s="1" t="s">
        <v>1242</v>
      </c>
      <c r="C382" s="1" t="s">
        <v>25</v>
      </c>
      <c r="K382" s="1">
        <v>30.0</v>
      </c>
      <c r="N382" s="5">
        <v>43880.0</v>
      </c>
      <c r="Q382" s="1" t="s">
        <v>55</v>
      </c>
    </row>
    <row r="383">
      <c r="A383" s="1">
        <v>382.0</v>
      </c>
      <c r="B383" s="1" t="s">
        <v>1245</v>
      </c>
      <c r="C383" s="1" t="s">
        <v>25</v>
      </c>
      <c r="K383" s="1">
        <v>70.0</v>
      </c>
      <c r="N383" s="5">
        <v>44239.0</v>
      </c>
      <c r="Q383" s="1" t="s">
        <v>1246</v>
      </c>
    </row>
    <row r="384">
      <c r="A384" s="1">
        <v>383.0</v>
      </c>
      <c r="B384" s="1" t="s">
        <v>1248</v>
      </c>
      <c r="C384" s="1" t="s">
        <v>25</v>
      </c>
      <c r="K384" s="1">
        <v>100.0</v>
      </c>
      <c r="N384" s="5">
        <v>44159.0</v>
      </c>
      <c r="Q384" s="1" t="s">
        <v>1250</v>
      </c>
    </row>
    <row r="385">
      <c r="A385" s="1">
        <v>384.0</v>
      </c>
      <c r="B385" s="1" t="s">
        <v>1251</v>
      </c>
      <c r="C385" s="1" t="s">
        <v>25</v>
      </c>
      <c r="K385" s="1">
        <v>90.0</v>
      </c>
      <c r="N385" s="5">
        <v>44606.0</v>
      </c>
      <c r="Q385" s="1" t="s">
        <v>125</v>
      </c>
    </row>
    <row r="386">
      <c r="A386" s="1">
        <v>385.0</v>
      </c>
      <c r="B386" s="1" t="s">
        <v>1254</v>
      </c>
      <c r="C386" s="1" t="s">
        <v>25</v>
      </c>
      <c r="K386" s="1">
        <v>150.0</v>
      </c>
      <c r="N386" s="5">
        <v>44504.0</v>
      </c>
      <c r="Q386" s="1" t="s">
        <v>1256</v>
      </c>
    </row>
    <row r="387">
      <c r="A387" s="1">
        <v>386.0</v>
      </c>
      <c r="B387" s="1" t="s">
        <v>1257</v>
      </c>
      <c r="C387" s="1" t="s">
        <v>25</v>
      </c>
      <c r="K387" s="1">
        <v>100.0</v>
      </c>
      <c r="N387" s="5">
        <v>43885.0</v>
      </c>
      <c r="Q387" s="1" t="s">
        <v>1260</v>
      </c>
    </row>
    <row r="388">
      <c r="A388" s="1">
        <v>387.0</v>
      </c>
      <c r="B388" s="1" t="s">
        <v>1261</v>
      </c>
      <c r="C388" s="1" t="s">
        <v>25</v>
      </c>
      <c r="K388" s="1">
        <v>200.0</v>
      </c>
      <c r="N388" s="5">
        <v>43914.0</v>
      </c>
      <c r="Q388" s="1" t="s">
        <v>1263</v>
      </c>
    </row>
    <row r="389">
      <c r="A389" s="1">
        <v>388.0</v>
      </c>
      <c r="B389" s="1" t="s">
        <v>1264</v>
      </c>
      <c r="C389" s="1" t="s">
        <v>25</v>
      </c>
      <c r="K389" s="1">
        <v>90.0</v>
      </c>
      <c r="N389" s="5">
        <v>43843.0</v>
      </c>
      <c r="Q389" s="1" t="s">
        <v>851</v>
      </c>
    </row>
    <row r="390">
      <c r="A390" s="1">
        <v>389.0</v>
      </c>
      <c r="B390" s="1" t="s">
        <v>1265</v>
      </c>
      <c r="C390" s="1" t="s">
        <v>25</v>
      </c>
      <c r="N390" s="5">
        <v>44335.0</v>
      </c>
      <c r="Q390" s="1" t="s">
        <v>55</v>
      </c>
    </row>
    <row r="391">
      <c r="A391" s="1">
        <v>390.0</v>
      </c>
      <c r="B391" s="1" t="s">
        <v>1268</v>
      </c>
      <c r="C391" s="1" t="s">
        <v>25</v>
      </c>
      <c r="N391" s="5">
        <v>44044.0</v>
      </c>
      <c r="Q391" s="1" t="s">
        <v>55</v>
      </c>
    </row>
    <row r="392">
      <c r="A392" s="1">
        <v>391.0</v>
      </c>
      <c r="B392" s="1" t="s">
        <v>1270</v>
      </c>
      <c r="C392" s="1" t="s">
        <v>25</v>
      </c>
      <c r="K392" s="1">
        <v>40.0</v>
      </c>
      <c r="N392" s="5">
        <v>44748.0</v>
      </c>
      <c r="Q392" s="1" t="s">
        <v>1271</v>
      </c>
    </row>
    <row r="393">
      <c r="A393" s="1">
        <v>392.0</v>
      </c>
      <c r="B393" s="1" t="s">
        <v>1272</v>
      </c>
      <c r="C393" s="1" t="s">
        <v>25</v>
      </c>
      <c r="K393" s="1">
        <v>70.0</v>
      </c>
      <c r="N393" s="5">
        <v>44386.0</v>
      </c>
      <c r="Q393" s="1" t="s">
        <v>1275</v>
      </c>
    </row>
    <row r="394">
      <c r="A394" s="1">
        <v>393.0</v>
      </c>
      <c r="B394" s="1" t="s">
        <v>1276</v>
      </c>
      <c r="C394" s="1" t="s">
        <v>25</v>
      </c>
      <c r="K394" s="1">
        <v>80.0</v>
      </c>
      <c r="N394" s="5">
        <v>44620.0</v>
      </c>
      <c r="Q394" s="1" t="s">
        <v>1278</v>
      </c>
    </row>
    <row r="395">
      <c r="A395" s="1">
        <v>394.0</v>
      </c>
      <c r="B395" s="1" t="s">
        <v>1279</v>
      </c>
      <c r="C395" s="1" t="s">
        <v>25</v>
      </c>
      <c r="K395" s="1">
        <v>400.0</v>
      </c>
      <c r="N395" s="5">
        <v>43984.0</v>
      </c>
      <c r="Q395" s="1" t="s">
        <v>1281</v>
      </c>
    </row>
    <row r="396">
      <c r="A396" s="1">
        <v>395.0</v>
      </c>
      <c r="B396" s="1" t="s">
        <v>1282</v>
      </c>
      <c r="C396" s="1" t="s">
        <v>25</v>
      </c>
      <c r="K396" s="1">
        <v>10.0</v>
      </c>
      <c r="N396" s="5">
        <v>45559.0</v>
      </c>
      <c r="Q396" s="1" t="s">
        <v>1284</v>
      </c>
    </row>
    <row r="397">
      <c r="A397" s="1">
        <v>396.0</v>
      </c>
      <c r="B397" s="1" t="s">
        <v>1286</v>
      </c>
      <c r="C397" s="1" t="s">
        <v>25</v>
      </c>
      <c r="K397" s="1">
        <v>600.0</v>
      </c>
      <c r="N397" s="5">
        <v>45792.0</v>
      </c>
      <c r="Q397" s="1" t="s">
        <v>1287</v>
      </c>
    </row>
    <row r="398">
      <c r="A398" s="1">
        <v>397.0</v>
      </c>
      <c r="B398" s="1" t="s">
        <v>1288</v>
      </c>
      <c r="C398" s="1" t="s">
        <v>25</v>
      </c>
      <c r="K398" s="1">
        <v>150.0</v>
      </c>
      <c r="N398" s="5">
        <v>45069.0</v>
      </c>
      <c r="Q398" s="1" t="s">
        <v>1291</v>
      </c>
    </row>
    <row r="399">
      <c r="A399" s="1">
        <v>398.0</v>
      </c>
      <c r="B399" s="1" t="s">
        <v>1292</v>
      </c>
      <c r="C399" s="1" t="s">
        <v>25</v>
      </c>
      <c r="N399" s="5">
        <v>44267.0</v>
      </c>
      <c r="Q399" s="1" t="s">
        <v>55</v>
      </c>
    </row>
    <row r="400">
      <c r="A400" s="1">
        <v>399.0</v>
      </c>
      <c r="B400" s="1" t="s">
        <v>1294</v>
      </c>
      <c r="C400" s="1" t="s">
        <v>25</v>
      </c>
      <c r="K400" s="1">
        <v>150.0</v>
      </c>
      <c r="N400" s="5">
        <v>44201.0</v>
      </c>
      <c r="Q400" s="1" t="s">
        <v>1295</v>
      </c>
    </row>
    <row r="401">
      <c r="A401" s="1">
        <v>400.0</v>
      </c>
      <c r="B401" s="1" t="s">
        <v>1297</v>
      </c>
      <c r="C401" s="1" t="s">
        <v>25</v>
      </c>
      <c r="N401" s="5">
        <v>44274.0</v>
      </c>
      <c r="Q401" s="1" t="s">
        <v>55</v>
      </c>
    </row>
    <row r="402">
      <c r="A402" s="1">
        <v>401.0</v>
      </c>
      <c r="B402" s="1" t="s">
        <v>1299</v>
      </c>
      <c r="C402" s="1" t="s">
        <v>25</v>
      </c>
      <c r="K402" s="1">
        <v>70.0</v>
      </c>
      <c r="N402" s="5">
        <v>43944.0</v>
      </c>
      <c r="Q402" s="1" t="s">
        <v>1301</v>
      </c>
    </row>
    <row r="403">
      <c r="A403" s="1">
        <v>402.0</v>
      </c>
      <c r="B403" s="1" t="s">
        <v>1302</v>
      </c>
      <c r="C403" s="1" t="s">
        <v>25</v>
      </c>
      <c r="N403" s="5">
        <v>44125.0</v>
      </c>
      <c r="Q403" s="1" t="s">
        <v>55</v>
      </c>
    </row>
    <row r="404">
      <c r="A404" s="1">
        <v>403.0</v>
      </c>
      <c r="B404" s="1" t="s">
        <v>1304</v>
      </c>
      <c r="C404" s="1" t="s">
        <v>25</v>
      </c>
      <c r="K404" s="1">
        <v>80.0</v>
      </c>
      <c r="N404" s="5">
        <v>44636.0</v>
      </c>
      <c r="Q404" s="1" t="s">
        <v>1306</v>
      </c>
    </row>
    <row r="405">
      <c r="A405" s="1">
        <v>404.0</v>
      </c>
      <c r="B405" s="1" t="s">
        <v>1307</v>
      </c>
      <c r="C405" s="1" t="s">
        <v>25</v>
      </c>
      <c r="K405" s="1">
        <v>20.0</v>
      </c>
      <c r="N405" s="5">
        <v>45684.0</v>
      </c>
      <c r="Q405" s="1" t="s">
        <v>1308</v>
      </c>
    </row>
    <row r="406">
      <c r="A406" s="1">
        <v>405.0</v>
      </c>
      <c r="B406" s="1" t="s">
        <v>1309</v>
      </c>
      <c r="C406" s="1" t="s">
        <v>25</v>
      </c>
      <c r="K406" s="1">
        <v>60.0</v>
      </c>
      <c r="N406" s="5">
        <v>43985.0</v>
      </c>
      <c r="Q406" s="1" t="s">
        <v>1312</v>
      </c>
    </row>
    <row r="407">
      <c r="A407" s="1">
        <v>406.0</v>
      </c>
      <c r="B407" s="1" t="s">
        <v>1313</v>
      </c>
      <c r="C407" s="1" t="s">
        <v>25</v>
      </c>
      <c r="K407" s="1">
        <v>150.0</v>
      </c>
      <c r="N407" s="5">
        <v>43890.0</v>
      </c>
      <c r="Q407" s="1" t="s">
        <v>125</v>
      </c>
    </row>
    <row r="408">
      <c r="A408" s="1">
        <v>407.0</v>
      </c>
      <c r="B408" s="1" t="s">
        <v>1314</v>
      </c>
      <c r="C408" s="1" t="s">
        <v>25</v>
      </c>
      <c r="K408" s="1">
        <v>50.0</v>
      </c>
      <c r="N408" s="5">
        <v>45204.0</v>
      </c>
      <c r="Q408" s="1" t="s">
        <v>1316</v>
      </c>
    </row>
    <row r="409">
      <c r="A409" s="1">
        <v>408.0</v>
      </c>
      <c r="B409" s="1" t="s">
        <v>1319</v>
      </c>
      <c r="C409" s="1" t="s">
        <v>25</v>
      </c>
      <c r="K409" s="1">
        <v>50.0</v>
      </c>
      <c r="N409" s="5">
        <v>43894.0</v>
      </c>
      <c r="Q409" s="1" t="s">
        <v>55</v>
      </c>
    </row>
    <row r="410">
      <c r="A410" s="1">
        <v>409.0</v>
      </c>
      <c r="B410" s="1" t="s">
        <v>1320</v>
      </c>
      <c r="C410" s="1" t="s">
        <v>25</v>
      </c>
      <c r="K410" s="1">
        <v>10.0</v>
      </c>
      <c r="N410" s="5">
        <v>45263.0</v>
      </c>
      <c r="Q410" s="1" t="s">
        <v>684</v>
      </c>
    </row>
    <row r="411">
      <c r="A411" s="1">
        <v>410.0</v>
      </c>
      <c r="B411" s="1" t="s">
        <v>1322</v>
      </c>
      <c r="C411" s="1" t="s">
        <v>25</v>
      </c>
      <c r="K411" s="1">
        <v>40.0</v>
      </c>
      <c r="N411" s="5">
        <v>44300.0</v>
      </c>
      <c r="Q411" s="1" t="s">
        <v>172</v>
      </c>
    </row>
    <row r="412">
      <c r="A412" s="1">
        <v>411.0</v>
      </c>
      <c r="B412" s="1" t="s">
        <v>1325</v>
      </c>
      <c r="C412" s="1" t="s">
        <v>25</v>
      </c>
      <c r="K412" s="1">
        <v>30.0</v>
      </c>
      <c r="N412" s="5">
        <v>44420.0</v>
      </c>
      <c r="Q412" s="1" t="s">
        <v>1326</v>
      </c>
    </row>
    <row r="413">
      <c r="A413" s="1">
        <v>412.0</v>
      </c>
      <c r="B413" s="1" t="s">
        <v>1327</v>
      </c>
      <c r="C413" s="1" t="s">
        <v>25</v>
      </c>
      <c r="K413" s="1">
        <v>150.0</v>
      </c>
      <c r="N413" s="5">
        <v>43961.0</v>
      </c>
      <c r="Q413" s="1" t="s">
        <v>1329</v>
      </c>
    </row>
    <row r="414">
      <c r="A414" s="1">
        <v>413.0</v>
      </c>
      <c r="B414" s="1" t="s">
        <v>1330</v>
      </c>
      <c r="C414" s="1" t="s">
        <v>25</v>
      </c>
      <c r="N414" s="5">
        <v>44006.0</v>
      </c>
      <c r="Q414" s="1" t="s">
        <v>55</v>
      </c>
    </row>
    <row r="415">
      <c r="A415" s="1">
        <v>414.0</v>
      </c>
      <c r="B415" s="1" t="s">
        <v>1332</v>
      </c>
      <c r="C415" s="1" t="s">
        <v>25</v>
      </c>
      <c r="N415" s="5">
        <v>45284.0</v>
      </c>
      <c r="Q415" s="1" t="s">
        <v>55</v>
      </c>
    </row>
    <row r="416">
      <c r="A416" s="1">
        <v>415.0</v>
      </c>
      <c r="B416" s="1" t="s">
        <v>1334</v>
      </c>
      <c r="C416" s="1" t="s">
        <v>25</v>
      </c>
      <c r="K416" s="1">
        <v>50.0</v>
      </c>
      <c r="N416" s="5">
        <v>44411.0</v>
      </c>
      <c r="Q416" s="1" t="s">
        <v>569</v>
      </c>
    </row>
    <row r="417">
      <c r="A417" s="1">
        <v>416.0</v>
      </c>
      <c r="B417" s="1" t="s">
        <v>1337</v>
      </c>
      <c r="C417" s="1" t="s">
        <v>25</v>
      </c>
      <c r="N417" s="5">
        <v>44479.0</v>
      </c>
      <c r="Q417" s="1" t="s">
        <v>172</v>
      </c>
    </row>
    <row r="418">
      <c r="A418" s="1">
        <v>417.0</v>
      </c>
      <c r="B418" s="1" t="s">
        <v>1340</v>
      </c>
      <c r="C418" s="1" t="s">
        <v>25</v>
      </c>
      <c r="K418" s="1">
        <v>200.0</v>
      </c>
      <c r="N418" s="5">
        <v>44611.0</v>
      </c>
      <c r="Q418" s="1" t="s">
        <v>1342</v>
      </c>
    </row>
    <row r="419">
      <c r="A419" s="1">
        <v>418.0</v>
      </c>
      <c r="B419" s="1" t="s">
        <v>1343</v>
      </c>
      <c r="C419" s="1" t="s">
        <v>25</v>
      </c>
      <c r="N419" s="5">
        <v>44829.0</v>
      </c>
      <c r="Q419" s="1" t="s">
        <v>55</v>
      </c>
    </row>
    <row r="420">
      <c r="A420" s="1">
        <v>419.0</v>
      </c>
      <c r="B420" s="1" t="s">
        <v>1347</v>
      </c>
      <c r="C420" s="1" t="s">
        <v>25</v>
      </c>
      <c r="N420" s="5">
        <v>44265.0</v>
      </c>
      <c r="Q420" s="1" t="s">
        <v>55</v>
      </c>
    </row>
    <row r="421">
      <c r="A421" s="1">
        <v>420.0</v>
      </c>
      <c r="B421" s="1" t="s">
        <v>1348</v>
      </c>
      <c r="C421" s="1" t="s">
        <v>25</v>
      </c>
      <c r="N421" s="5">
        <v>43916.0</v>
      </c>
      <c r="Q421" s="1" t="s">
        <v>55</v>
      </c>
    </row>
    <row r="422">
      <c r="A422" s="1">
        <v>421.0</v>
      </c>
      <c r="B422" s="1" t="s">
        <v>1349</v>
      </c>
      <c r="C422" s="1" t="s">
        <v>25</v>
      </c>
      <c r="N422" s="5">
        <v>44231.0</v>
      </c>
      <c r="Q422" s="1" t="s">
        <v>55</v>
      </c>
    </row>
    <row r="423">
      <c r="A423" s="1">
        <v>422.0</v>
      </c>
      <c r="B423" s="1" t="s">
        <v>64</v>
      </c>
      <c r="C423" s="1" t="s">
        <v>25</v>
      </c>
      <c r="K423" s="1">
        <v>150.0</v>
      </c>
      <c r="N423" s="5">
        <v>43980.0</v>
      </c>
      <c r="Q423" s="1" t="s">
        <v>66</v>
      </c>
    </row>
    <row r="424">
      <c r="A424" s="1">
        <v>423.0</v>
      </c>
      <c r="B424" s="1" t="s">
        <v>1352</v>
      </c>
      <c r="C424" s="1" t="s">
        <v>25</v>
      </c>
      <c r="K424" s="1">
        <v>100.0</v>
      </c>
      <c r="N424" s="5">
        <v>45777.0</v>
      </c>
      <c r="Q424" s="1" t="s">
        <v>1353</v>
      </c>
    </row>
    <row r="425">
      <c r="A425" s="1">
        <v>424.0</v>
      </c>
      <c r="B425" s="1" t="s">
        <v>1355</v>
      </c>
      <c r="C425" s="1" t="s">
        <v>25</v>
      </c>
      <c r="N425" s="5">
        <v>44709.0</v>
      </c>
      <c r="Q425" s="1" t="s">
        <v>55</v>
      </c>
    </row>
    <row r="426">
      <c r="A426" s="1">
        <v>425.0</v>
      </c>
      <c r="B426" s="1" t="s">
        <v>1357</v>
      </c>
      <c r="C426" s="1" t="s">
        <v>25</v>
      </c>
      <c r="K426" s="1">
        <v>20.0</v>
      </c>
      <c r="N426" s="5">
        <v>44420.0</v>
      </c>
      <c r="Q426" s="1" t="s">
        <v>1359</v>
      </c>
    </row>
    <row r="427">
      <c r="A427" s="1">
        <v>426.0</v>
      </c>
      <c r="B427" s="1" t="s">
        <v>1360</v>
      </c>
      <c r="C427" s="1" t="s">
        <v>25</v>
      </c>
      <c r="K427" s="1">
        <v>30.0</v>
      </c>
      <c r="N427" s="5">
        <v>42874.0</v>
      </c>
      <c r="Q427" s="1" t="s">
        <v>1362</v>
      </c>
    </row>
    <row r="428">
      <c r="A428" s="1">
        <v>427.0</v>
      </c>
      <c r="B428" s="1" t="s">
        <v>1364</v>
      </c>
      <c r="C428" s="1" t="s">
        <v>25</v>
      </c>
      <c r="K428" s="1">
        <v>70.0</v>
      </c>
      <c r="N428" s="5">
        <v>44214.0</v>
      </c>
      <c r="Q428" s="1" t="s">
        <v>1365</v>
      </c>
    </row>
    <row r="429">
      <c r="A429" s="1">
        <v>428.0</v>
      </c>
      <c r="B429" s="1" t="s">
        <v>1366</v>
      </c>
      <c r="C429" s="1" t="s">
        <v>25</v>
      </c>
      <c r="K429" s="1">
        <v>90.0</v>
      </c>
      <c r="N429" s="5">
        <v>45174.0</v>
      </c>
      <c r="Q429" s="1" t="s">
        <v>1367</v>
      </c>
    </row>
    <row r="430">
      <c r="A430" s="1">
        <v>429.0</v>
      </c>
      <c r="B430" s="1" t="s">
        <v>1368</v>
      </c>
      <c r="C430" s="1" t="s">
        <v>25</v>
      </c>
      <c r="K430" s="1">
        <v>250.0</v>
      </c>
      <c r="N430" s="5">
        <v>44078.0</v>
      </c>
      <c r="Q430" s="1" t="s">
        <v>1371</v>
      </c>
    </row>
    <row r="431">
      <c r="A431" s="1">
        <v>430.0</v>
      </c>
      <c r="B431" s="1" t="s">
        <v>1372</v>
      </c>
      <c r="C431" s="1" t="s">
        <v>25</v>
      </c>
      <c r="N431" s="5">
        <v>44710.0</v>
      </c>
      <c r="Q431" s="1" t="s">
        <v>55</v>
      </c>
    </row>
    <row r="432">
      <c r="A432" s="1">
        <v>431.0</v>
      </c>
      <c r="B432" s="1" t="s">
        <v>1373</v>
      </c>
      <c r="C432" s="1" t="s">
        <v>25</v>
      </c>
      <c r="K432" s="1">
        <v>40.0</v>
      </c>
      <c r="N432" s="5">
        <v>45600.0</v>
      </c>
      <c r="Q432" s="1" t="s">
        <v>1374</v>
      </c>
    </row>
    <row r="433">
      <c r="A433" s="1">
        <v>432.0</v>
      </c>
      <c r="B433" s="1" t="s">
        <v>1376</v>
      </c>
      <c r="C433" s="1" t="s">
        <v>25</v>
      </c>
      <c r="K433" s="1">
        <v>450.0</v>
      </c>
      <c r="N433" s="5">
        <v>44040.0</v>
      </c>
      <c r="Q433" s="1" t="s">
        <v>1379</v>
      </c>
    </row>
    <row r="434">
      <c r="A434" s="1">
        <v>433.0</v>
      </c>
      <c r="B434" s="1" t="s">
        <v>1380</v>
      </c>
      <c r="C434" s="1" t="s">
        <v>25</v>
      </c>
      <c r="K434" s="1">
        <v>30.0</v>
      </c>
      <c r="N434" s="5">
        <v>44516.0</v>
      </c>
      <c r="Q434" s="1" t="s">
        <v>1381</v>
      </c>
    </row>
    <row r="435">
      <c r="A435" s="1">
        <v>434.0</v>
      </c>
      <c r="B435" s="1" t="s">
        <v>1382</v>
      </c>
      <c r="C435" s="1" t="s">
        <v>25</v>
      </c>
      <c r="N435" s="5">
        <v>44729.0</v>
      </c>
      <c r="Q435" s="1" t="s">
        <v>55</v>
      </c>
    </row>
    <row r="436">
      <c r="A436" s="1">
        <v>435.0</v>
      </c>
      <c r="B436" s="1" t="s">
        <v>1383</v>
      </c>
      <c r="C436" s="1" t="s">
        <v>25</v>
      </c>
      <c r="K436" s="1">
        <v>90.0</v>
      </c>
      <c r="N436" s="5">
        <v>44244.0</v>
      </c>
      <c r="Q436" s="1" t="s">
        <v>93</v>
      </c>
    </row>
    <row r="437">
      <c r="A437" s="1">
        <v>436.0</v>
      </c>
      <c r="B437" s="1" t="s">
        <v>1386</v>
      </c>
      <c r="C437" s="1" t="s">
        <v>25</v>
      </c>
      <c r="K437" s="1">
        <v>80.0</v>
      </c>
      <c r="N437" s="5">
        <v>45003.0</v>
      </c>
      <c r="Q437" s="1" t="s">
        <v>1387</v>
      </c>
    </row>
    <row r="438">
      <c r="A438" s="1">
        <v>437.0</v>
      </c>
      <c r="B438" s="1" t="s">
        <v>1388</v>
      </c>
      <c r="C438" s="1" t="s">
        <v>25</v>
      </c>
      <c r="K438" s="1">
        <v>10.0</v>
      </c>
      <c r="N438" s="5">
        <v>45656.0</v>
      </c>
      <c r="Q438" s="1" t="s">
        <v>1390</v>
      </c>
    </row>
    <row r="439">
      <c r="A439" s="1">
        <v>438.0</v>
      </c>
      <c r="B439" s="1" t="s">
        <v>1393</v>
      </c>
      <c r="C439" s="1" t="s">
        <v>25</v>
      </c>
      <c r="K439" s="1">
        <v>150.0</v>
      </c>
      <c r="N439" s="5">
        <v>44289.0</v>
      </c>
      <c r="Q439" s="1" t="s">
        <v>708</v>
      </c>
    </row>
    <row r="440">
      <c r="A440" s="1">
        <v>439.0</v>
      </c>
      <c r="B440" s="1" t="s">
        <v>1395</v>
      </c>
      <c r="C440" s="1" t="s">
        <v>25</v>
      </c>
      <c r="K440" s="1">
        <v>20.0</v>
      </c>
      <c r="N440" s="5">
        <v>44081.0</v>
      </c>
      <c r="Q440" s="1" t="s">
        <v>1396</v>
      </c>
    </row>
    <row r="441">
      <c r="A441" s="1">
        <v>440.0</v>
      </c>
      <c r="B441" s="1" t="s">
        <v>1397</v>
      </c>
      <c r="C441" s="1" t="s">
        <v>25</v>
      </c>
      <c r="K441" s="1">
        <v>10.0</v>
      </c>
      <c r="N441" s="5">
        <v>45739.0</v>
      </c>
      <c r="Q441" s="1" t="s">
        <v>1399</v>
      </c>
    </row>
    <row r="442">
      <c r="A442" s="1">
        <v>441.0</v>
      </c>
      <c r="B442" s="1" t="s">
        <v>1400</v>
      </c>
      <c r="C442" s="1" t="s">
        <v>25</v>
      </c>
      <c r="K442" s="1">
        <v>30.0</v>
      </c>
      <c r="N442" s="5">
        <v>44768.0</v>
      </c>
      <c r="Q442" s="1" t="s">
        <v>1403</v>
      </c>
    </row>
    <row r="443">
      <c r="A443" s="1">
        <v>442.0</v>
      </c>
      <c r="B443" s="1" t="s">
        <v>1405</v>
      </c>
      <c r="C443" s="1" t="s">
        <v>25</v>
      </c>
      <c r="N443" s="5">
        <v>44517.0</v>
      </c>
      <c r="Q443" s="1" t="s">
        <v>55</v>
      </c>
    </row>
    <row r="444">
      <c r="A444" s="1">
        <v>443.0</v>
      </c>
      <c r="B444" s="1" t="s">
        <v>1407</v>
      </c>
      <c r="C444" s="1" t="s">
        <v>25</v>
      </c>
      <c r="K444" s="1">
        <v>40.0</v>
      </c>
      <c r="N444" s="5">
        <v>45632.0</v>
      </c>
      <c r="Q444" s="1" t="s">
        <v>1410</v>
      </c>
    </row>
    <row r="445">
      <c r="A445" s="1">
        <v>444.0</v>
      </c>
      <c r="B445" s="1" t="s">
        <v>1411</v>
      </c>
      <c r="C445" s="1" t="s">
        <v>25</v>
      </c>
      <c r="N445" s="5">
        <v>44317.0</v>
      </c>
      <c r="Q445" s="1" t="s">
        <v>55</v>
      </c>
    </row>
    <row r="446">
      <c r="A446" s="1">
        <v>445.0</v>
      </c>
      <c r="B446" s="1" t="s">
        <v>1413</v>
      </c>
      <c r="C446" s="1" t="s">
        <v>25</v>
      </c>
      <c r="K446" s="1">
        <v>60.0</v>
      </c>
      <c r="N446" s="5">
        <v>43873.0</v>
      </c>
      <c r="Q446" s="1" t="s">
        <v>1414</v>
      </c>
    </row>
    <row r="447">
      <c r="A447" s="1">
        <v>446.0</v>
      </c>
      <c r="B447" s="1" t="s">
        <v>1416</v>
      </c>
      <c r="C447" s="1" t="s">
        <v>25</v>
      </c>
      <c r="K447" s="1">
        <v>70.0</v>
      </c>
      <c r="N447" s="5">
        <v>44958.0</v>
      </c>
      <c r="Q447" s="1" t="s">
        <v>1066</v>
      </c>
    </row>
    <row r="448">
      <c r="A448" s="1">
        <v>447.0</v>
      </c>
      <c r="B448" s="1" t="s">
        <v>1418</v>
      </c>
      <c r="C448" s="1" t="s">
        <v>25</v>
      </c>
      <c r="K448" s="1">
        <v>200.0</v>
      </c>
      <c r="N448" s="5">
        <v>45619.0</v>
      </c>
      <c r="Q448" s="1" t="s">
        <v>1419</v>
      </c>
    </row>
    <row r="449">
      <c r="A449" s="1">
        <v>448.0</v>
      </c>
      <c r="B449" s="1" t="s">
        <v>1420</v>
      </c>
      <c r="C449" s="1" t="s">
        <v>25</v>
      </c>
      <c r="N449" s="5">
        <v>44001.0</v>
      </c>
      <c r="Q449" s="1" t="s">
        <v>55</v>
      </c>
    </row>
    <row r="450">
      <c r="A450" s="1">
        <v>449.0</v>
      </c>
      <c r="B450" s="1" t="s">
        <v>1422</v>
      </c>
      <c r="C450" s="1" t="s">
        <v>25</v>
      </c>
      <c r="K450" s="1">
        <v>90.0</v>
      </c>
      <c r="N450" s="5">
        <v>43882.0</v>
      </c>
      <c r="Q450" s="1" t="s">
        <v>1424</v>
      </c>
    </row>
    <row r="451">
      <c r="A451" s="1">
        <v>450.0</v>
      </c>
      <c r="B451" s="1" t="s">
        <v>1425</v>
      </c>
      <c r="C451" s="1" t="s">
        <v>25</v>
      </c>
      <c r="K451" s="1">
        <v>60.0</v>
      </c>
      <c r="N451" s="5">
        <v>45145.0</v>
      </c>
      <c r="Q451" s="1" t="s">
        <v>1426</v>
      </c>
    </row>
    <row r="452">
      <c r="A452" s="1">
        <v>451.0</v>
      </c>
      <c r="B452" s="1" t="s">
        <v>1427</v>
      </c>
      <c r="C452" s="1" t="s">
        <v>25</v>
      </c>
      <c r="K452" s="1">
        <v>10.0</v>
      </c>
      <c r="N452" s="5">
        <v>44873.0</v>
      </c>
      <c r="Q452" s="1" t="s">
        <v>1430</v>
      </c>
    </row>
    <row r="453">
      <c r="A453" s="1">
        <v>452.0</v>
      </c>
      <c r="B453" s="1" t="s">
        <v>1431</v>
      </c>
      <c r="C453" s="1" t="s">
        <v>25</v>
      </c>
      <c r="K453" s="1">
        <v>20.0</v>
      </c>
      <c r="N453" s="5">
        <v>43950.0</v>
      </c>
      <c r="Q453" s="1" t="s">
        <v>1433</v>
      </c>
    </row>
    <row r="454">
      <c r="A454" s="1">
        <v>453.0</v>
      </c>
      <c r="B454" s="1" t="s">
        <v>1434</v>
      </c>
      <c r="C454" s="1" t="s">
        <v>25</v>
      </c>
      <c r="N454" s="5">
        <v>44567.0</v>
      </c>
      <c r="Q454" s="1" t="s">
        <v>1436</v>
      </c>
    </row>
    <row r="455">
      <c r="A455" s="1">
        <v>454.0</v>
      </c>
      <c r="B455" s="1" t="s">
        <v>1437</v>
      </c>
      <c r="C455" s="1" t="s">
        <v>25</v>
      </c>
      <c r="K455" s="1">
        <v>80.0</v>
      </c>
      <c r="N455" s="5">
        <v>45448.0</v>
      </c>
      <c r="Q455" s="1" t="s">
        <v>1438</v>
      </c>
    </row>
    <row r="456">
      <c r="A456" s="1">
        <v>455.0</v>
      </c>
      <c r="B456" s="1" t="s">
        <v>1440</v>
      </c>
      <c r="C456" s="1" t="s">
        <v>25</v>
      </c>
      <c r="K456" s="1">
        <v>70.0</v>
      </c>
      <c r="N456" s="5">
        <v>43894.0</v>
      </c>
      <c r="Q456" s="1" t="s">
        <v>569</v>
      </c>
    </row>
    <row r="457">
      <c r="A457" s="1">
        <v>456.0</v>
      </c>
      <c r="B457" s="1" t="s">
        <v>1442</v>
      </c>
      <c r="C457" s="1" t="s">
        <v>25</v>
      </c>
      <c r="K457" s="1">
        <v>20.0</v>
      </c>
      <c r="N457" s="5">
        <v>43972.0</v>
      </c>
      <c r="Q457" s="1" t="s">
        <v>1396</v>
      </c>
    </row>
    <row r="458">
      <c r="A458" s="1">
        <v>457.0</v>
      </c>
      <c r="B458" s="1" t="s">
        <v>1444</v>
      </c>
      <c r="C458" s="1" t="s">
        <v>25</v>
      </c>
      <c r="K458" s="1">
        <v>200.0</v>
      </c>
      <c r="N458" s="5">
        <v>44533.0</v>
      </c>
      <c r="Q458" s="1" t="s">
        <v>1445</v>
      </c>
    </row>
    <row r="459">
      <c r="A459" s="1">
        <v>458.0</v>
      </c>
      <c r="B459" s="1" t="s">
        <v>1446</v>
      </c>
      <c r="C459" s="1" t="s">
        <v>25</v>
      </c>
      <c r="K459" s="1">
        <v>150.0</v>
      </c>
      <c r="N459" s="5">
        <v>44050.0</v>
      </c>
      <c r="Q459" s="1" t="s">
        <v>1448</v>
      </c>
    </row>
    <row r="460">
      <c r="A460" s="1">
        <v>459.0</v>
      </c>
      <c r="B460" s="1" t="s">
        <v>1449</v>
      </c>
      <c r="C460" s="1" t="s">
        <v>25</v>
      </c>
      <c r="K460" s="1">
        <v>20.0</v>
      </c>
      <c r="N460" s="5">
        <v>44209.0</v>
      </c>
      <c r="Q460" s="1" t="s">
        <v>1451</v>
      </c>
    </row>
    <row r="461">
      <c r="A461" s="1">
        <v>460.0</v>
      </c>
      <c r="B461" s="1" t="s">
        <v>1452</v>
      </c>
      <c r="C461" s="1" t="s">
        <v>25</v>
      </c>
      <c r="K461" s="1">
        <v>100.0</v>
      </c>
      <c r="N461" s="5">
        <v>43848.0</v>
      </c>
      <c r="Q461" s="1" t="s">
        <v>1453</v>
      </c>
    </row>
    <row r="462">
      <c r="A462" s="1">
        <v>461.0</v>
      </c>
      <c r="B462" s="1" t="s">
        <v>1456</v>
      </c>
      <c r="C462" s="1" t="s">
        <v>25</v>
      </c>
      <c r="N462" s="5">
        <v>44111.0</v>
      </c>
      <c r="Q462" s="1" t="s">
        <v>55</v>
      </c>
    </row>
    <row r="463">
      <c r="A463" s="1">
        <v>462.0</v>
      </c>
      <c r="B463" s="1" t="s">
        <v>1458</v>
      </c>
      <c r="C463" s="1" t="s">
        <v>25</v>
      </c>
      <c r="K463" s="1">
        <v>80.0</v>
      </c>
      <c r="N463" s="5">
        <v>44063.0</v>
      </c>
      <c r="Q463" s="1" t="s">
        <v>1459</v>
      </c>
    </row>
    <row r="464">
      <c r="A464" s="1">
        <v>463.0</v>
      </c>
      <c r="B464" s="1" t="s">
        <v>1460</v>
      </c>
      <c r="C464" s="1" t="s">
        <v>25</v>
      </c>
      <c r="K464" s="1">
        <v>30.0</v>
      </c>
      <c r="N464" s="5">
        <v>45229.0</v>
      </c>
      <c r="Q464" s="1" t="s">
        <v>1462</v>
      </c>
    </row>
    <row r="465">
      <c r="A465" s="1">
        <v>464.0</v>
      </c>
      <c r="B465" s="1" t="s">
        <v>1463</v>
      </c>
      <c r="C465" s="1" t="s">
        <v>25</v>
      </c>
      <c r="K465" s="1">
        <v>60.0</v>
      </c>
      <c r="N465" s="5">
        <v>45686.0</v>
      </c>
      <c r="Q465" s="1" t="s">
        <v>1465</v>
      </c>
    </row>
    <row r="466">
      <c r="A466" s="1">
        <v>465.0</v>
      </c>
      <c r="B466" s="1" t="s">
        <v>67</v>
      </c>
      <c r="C466" s="1" t="s">
        <v>25</v>
      </c>
      <c r="K466" s="1">
        <v>20.0</v>
      </c>
      <c r="N466" s="5">
        <v>45962.0</v>
      </c>
      <c r="Q466" s="1" t="s">
        <v>69</v>
      </c>
    </row>
    <row r="467">
      <c r="A467" s="1">
        <v>466.0</v>
      </c>
      <c r="B467" s="1" t="s">
        <v>1468</v>
      </c>
      <c r="C467" s="1" t="s">
        <v>25</v>
      </c>
      <c r="K467" s="1">
        <v>60.0</v>
      </c>
      <c r="N467" s="5">
        <v>44384.0</v>
      </c>
      <c r="Q467" s="1" t="s">
        <v>1471</v>
      </c>
    </row>
    <row r="468">
      <c r="A468" s="1">
        <v>467.0</v>
      </c>
      <c r="B468" s="1" t="s">
        <v>1472</v>
      </c>
      <c r="C468" s="1" t="s">
        <v>25</v>
      </c>
      <c r="K468" s="1">
        <v>30.0</v>
      </c>
      <c r="N468" s="5">
        <v>44592.0</v>
      </c>
      <c r="Q468" s="1" t="s">
        <v>1474</v>
      </c>
    </row>
    <row r="469">
      <c r="A469" s="1">
        <v>468.0</v>
      </c>
      <c r="B469" s="1" t="s">
        <v>1475</v>
      </c>
      <c r="C469" s="1" t="s">
        <v>25</v>
      </c>
      <c r="K469" s="1">
        <v>100.0</v>
      </c>
      <c r="N469" s="5">
        <v>45727.0</v>
      </c>
      <c r="Q469" s="1" t="s">
        <v>1477</v>
      </c>
    </row>
    <row r="470">
      <c r="A470" s="1">
        <v>469.0</v>
      </c>
      <c r="B470" s="1" t="s">
        <v>1478</v>
      </c>
      <c r="C470" s="1" t="s">
        <v>25</v>
      </c>
      <c r="K470" s="1">
        <v>100.0</v>
      </c>
      <c r="N470" s="5">
        <v>44131.0</v>
      </c>
      <c r="Q470" s="1" t="s">
        <v>55</v>
      </c>
    </row>
    <row r="471">
      <c r="A471" s="1">
        <v>470.0</v>
      </c>
      <c r="B471" s="1" t="s">
        <v>1480</v>
      </c>
      <c r="C471" s="1" t="s">
        <v>25</v>
      </c>
      <c r="K471" s="1">
        <v>300.0</v>
      </c>
      <c r="N471" s="5">
        <v>45795.0</v>
      </c>
      <c r="Q471" s="1" t="s">
        <v>1481</v>
      </c>
    </row>
    <row r="472">
      <c r="A472" s="1">
        <v>471.0</v>
      </c>
      <c r="B472" s="1" t="s">
        <v>1483</v>
      </c>
      <c r="C472" s="1" t="s">
        <v>25</v>
      </c>
      <c r="K472" s="1">
        <v>150.0</v>
      </c>
      <c r="N472" s="5">
        <v>44931.0</v>
      </c>
      <c r="Q472" s="1" t="s">
        <v>55</v>
      </c>
    </row>
    <row r="473">
      <c r="A473" s="1">
        <v>472.0</v>
      </c>
      <c r="B473" s="1" t="s">
        <v>1485</v>
      </c>
      <c r="C473" s="1" t="s">
        <v>25</v>
      </c>
      <c r="N473" s="5">
        <v>44341.0</v>
      </c>
      <c r="Q473" s="1" t="s">
        <v>55</v>
      </c>
    </row>
    <row r="474">
      <c r="A474" s="1">
        <v>473.0</v>
      </c>
      <c r="B474" s="1" t="s">
        <v>1487</v>
      </c>
      <c r="C474" s="1" t="s">
        <v>25</v>
      </c>
      <c r="K474" s="1">
        <v>60.0</v>
      </c>
      <c r="N474" s="5">
        <v>45703.0</v>
      </c>
      <c r="Q474" s="1" t="s">
        <v>1488</v>
      </c>
    </row>
    <row r="475">
      <c r="A475" s="1">
        <v>474.0</v>
      </c>
      <c r="B475" s="1" t="s">
        <v>1490</v>
      </c>
      <c r="C475" s="1" t="s">
        <v>25</v>
      </c>
      <c r="K475" s="1">
        <v>150.0</v>
      </c>
      <c r="N475" s="5">
        <v>44007.0</v>
      </c>
      <c r="Q475" s="1" t="s">
        <v>1492</v>
      </c>
    </row>
    <row r="476">
      <c r="A476" s="1">
        <v>475.0</v>
      </c>
      <c r="B476" s="1" t="s">
        <v>1493</v>
      </c>
      <c r="C476" s="1" t="s">
        <v>25</v>
      </c>
      <c r="N476" s="5">
        <v>44661.0</v>
      </c>
      <c r="Q476" s="1" t="s">
        <v>55</v>
      </c>
    </row>
    <row r="477">
      <c r="A477" s="1">
        <v>476.0</v>
      </c>
      <c r="B477" s="1" t="s">
        <v>1494</v>
      </c>
      <c r="C477" s="1" t="s">
        <v>25</v>
      </c>
      <c r="K477" s="1">
        <v>60.0</v>
      </c>
      <c r="N477" s="5">
        <v>44306.0</v>
      </c>
      <c r="Q477" s="1" t="s">
        <v>55</v>
      </c>
    </row>
    <row r="478">
      <c r="A478" s="1">
        <v>477.0</v>
      </c>
      <c r="B478" s="1" t="s">
        <v>1497</v>
      </c>
      <c r="C478" s="1" t="s">
        <v>25</v>
      </c>
      <c r="N478" s="5">
        <v>44823.0</v>
      </c>
      <c r="Q478" s="1" t="s">
        <v>55</v>
      </c>
    </row>
    <row r="479">
      <c r="A479" s="1">
        <v>478.0</v>
      </c>
      <c r="B479" s="1" t="s">
        <v>1499</v>
      </c>
      <c r="C479" s="1" t="s">
        <v>25</v>
      </c>
      <c r="K479" s="1">
        <v>300.0</v>
      </c>
      <c r="N479" s="5">
        <v>43890.0</v>
      </c>
      <c r="Q479" s="1" t="s">
        <v>1500</v>
      </c>
    </row>
    <row r="480">
      <c r="A480" s="1">
        <v>479.0</v>
      </c>
      <c r="B480" s="1" t="s">
        <v>1502</v>
      </c>
      <c r="C480" s="1" t="s">
        <v>25</v>
      </c>
      <c r="K480" s="1">
        <v>150.0</v>
      </c>
      <c r="N480" s="5">
        <v>45294.0</v>
      </c>
      <c r="Q480" s="1" t="s">
        <v>1504</v>
      </c>
    </row>
    <row r="481">
      <c r="A481" s="1">
        <v>480.0</v>
      </c>
      <c r="B481" s="1" t="s">
        <v>1505</v>
      </c>
      <c r="C481" s="1" t="s">
        <v>25</v>
      </c>
      <c r="K481" s="1">
        <v>30.0</v>
      </c>
      <c r="N481" s="5">
        <v>45686.0</v>
      </c>
      <c r="Q481" s="1" t="s">
        <v>1507</v>
      </c>
    </row>
    <row r="482">
      <c r="A482" s="1">
        <v>481.0</v>
      </c>
      <c r="B482" s="1" t="s">
        <v>1508</v>
      </c>
      <c r="C482" s="1" t="s">
        <v>25</v>
      </c>
      <c r="K482" s="1">
        <v>20.0</v>
      </c>
      <c r="N482" s="5">
        <v>44287.0</v>
      </c>
      <c r="Q482" s="1" t="s">
        <v>55</v>
      </c>
    </row>
    <row r="483">
      <c r="A483" s="1">
        <v>482.0</v>
      </c>
      <c r="B483" s="1" t="s">
        <v>1511</v>
      </c>
      <c r="C483" s="1" t="s">
        <v>25</v>
      </c>
      <c r="K483" s="1">
        <v>30.0</v>
      </c>
      <c r="N483" s="5">
        <v>45796.0</v>
      </c>
      <c r="Q483" s="1" t="s">
        <v>1513</v>
      </c>
    </row>
    <row r="484">
      <c r="A484" s="1">
        <v>483.0</v>
      </c>
      <c r="B484" s="1" t="s">
        <v>1514</v>
      </c>
      <c r="C484" s="1" t="s">
        <v>25</v>
      </c>
      <c r="N484" s="5">
        <v>45081.0</v>
      </c>
      <c r="Q484" s="1" t="s">
        <v>1515</v>
      </c>
    </row>
    <row r="485">
      <c r="A485" s="1">
        <v>484.0</v>
      </c>
      <c r="B485" s="1" t="s">
        <v>1517</v>
      </c>
      <c r="C485" s="1" t="s">
        <v>25</v>
      </c>
      <c r="K485" s="1">
        <v>150.0</v>
      </c>
      <c r="N485" s="5">
        <v>44144.0</v>
      </c>
      <c r="Q485" s="1" t="s">
        <v>1518</v>
      </c>
    </row>
    <row r="486">
      <c r="A486" s="1">
        <v>485.0</v>
      </c>
      <c r="B486" s="1" t="s">
        <v>1519</v>
      </c>
      <c r="C486" s="1" t="s">
        <v>25</v>
      </c>
      <c r="K486" s="1">
        <v>80.0</v>
      </c>
      <c r="N486" s="5">
        <v>45480.0</v>
      </c>
      <c r="Q486" s="1" t="s">
        <v>1520</v>
      </c>
    </row>
    <row r="487">
      <c r="A487" s="1">
        <v>486.0</v>
      </c>
      <c r="B487" s="1" t="s">
        <v>1521</v>
      </c>
      <c r="C487" s="1" t="s">
        <v>25</v>
      </c>
      <c r="N487" s="5">
        <v>44303.0</v>
      </c>
      <c r="Q487" s="1" t="s">
        <v>55</v>
      </c>
    </row>
    <row r="488">
      <c r="A488" s="1">
        <v>487.0</v>
      </c>
      <c r="B488" s="1" t="s">
        <v>1524</v>
      </c>
      <c r="C488" s="1" t="s">
        <v>25</v>
      </c>
      <c r="K488" s="1">
        <v>150.0</v>
      </c>
      <c r="N488" s="5">
        <v>43935.0</v>
      </c>
      <c r="Q488" s="1" t="s">
        <v>1525</v>
      </c>
    </row>
    <row r="489">
      <c r="A489" s="1">
        <v>488.0</v>
      </c>
      <c r="B489" s="1" t="s">
        <v>1526</v>
      </c>
      <c r="C489" s="1" t="s">
        <v>25</v>
      </c>
      <c r="K489" s="1">
        <v>80.0</v>
      </c>
      <c r="N489" s="5">
        <v>44321.0</v>
      </c>
      <c r="Q489" s="1" t="s">
        <v>1527</v>
      </c>
    </row>
    <row r="490">
      <c r="A490" s="1">
        <v>489.0</v>
      </c>
      <c r="B490" s="1" t="s">
        <v>1528</v>
      </c>
      <c r="C490" s="1" t="s">
        <v>25</v>
      </c>
      <c r="N490" s="5">
        <v>44287.0</v>
      </c>
      <c r="Q490" s="1" t="s">
        <v>55</v>
      </c>
    </row>
    <row r="491">
      <c r="A491" s="1">
        <v>490.0</v>
      </c>
      <c r="B491" s="1" t="s">
        <v>1530</v>
      </c>
      <c r="C491" s="1" t="s">
        <v>25</v>
      </c>
      <c r="N491" s="5">
        <v>44724.0</v>
      </c>
      <c r="Q491" s="1" t="s">
        <v>55</v>
      </c>
    </row>
    <row r="492">
      <c r="A492" s="1">
        <v>491.0</v>
      </c>
      <c r="B492" s="1" t="s">
        <v>1532</v>
      </c>
      <c r="C492" s="1" t="s">
        <v>25</v>
      </c>
      <c r="K492" s="1">
        <v>40.0</v>
      </c>
      <c r="N492" s="5">
        <v>43930.0</v>
      </c>
      <c r="Q492" s="1" t="s">
        <v>55</v>
      </c>
    </row>
    <row r="493">
      <c r="A493" s="1">
        <v>492.0</v>
      </c>
      <c r="B493" s="1" t="s">
        <v>1535</v>
      </c>
      <c r="C493" s="1" t="s">
        <v>25</v>
      </c>
      <c r="K493" s="1">
        <v>200.0</v>
      </c>
      <c r="N493" s="5">
        <v>45713.0</v>
      </c>
      <c r="Q493" s="1" t="s">
        <v>1537</v>
      </c>
    </row>
    <row r="494">
      <c r="A494" s="1">
        <v>493.0</v>
      </c>
      <c r="B494" s="1" t="s">
        <v>1539</v>
      </c>
      <c r="C494" s="1" t="s">
        <v>25</v>
      </c>
      <c r="N494" s="5">
        <v>44318.0</v>
      </c>
      <c r="Q494" s="1" t="s">
        <v>55</v>
      </c>
    </row>
    <row r="495">
      <c r="A495" s="1">
        <v>494.0</v>
      </c>
      <c r="B495" s="1" t="s">
        <v>1544</v>
      </c>
      <c r="C495" s="1" t="s">
        <v>25</v>
      </c>
      <c r="F495" s="1">
        <v>0.35</v>
      </c>
      <c r="K495" s="1">
        <v>300.0</v>
      </c>
      <c r="N495" s="5">
        <v>43392.0</v>
      </c>
      <c r="Q495" s="1" t="s">
        <v>1547</v>
      </c>
    </row>
    <row r="496">
      <c r="A496" s="1">
        <v>495.0</v>
      </c>
      <c r="B496" s="1" t="s">
        <v>1548</v>
      </c>
      <c r="C496" s="1" t="s">
        <v>25</v>
      </c>
      <c r="K496" s="1">
        <v>60.0</v>
      </c>
      <c r="N496" s="5">
        <v>45723.0</v>
      </c>
      <c r="Q496" s="1" t="s">
        <v>1550</v>
      </c>
    </row>
    <row r="497">
      <c r="A497" s="1">
        <v>496.0</v>
      </c>
      <c r="B497" s="1" t="s">
        <v>71</v>
      </c>
      <c r="C497" s="1" t="s">
        <v>25</v>
      </c>
      <c r="N497" s="5">
        <v>44000.0</v>
      </c>
      <c r="Q497" s="1" t="s">
        <v>55</v>
      </c>
    </row>
    <row r="498">
      <c r="A498" s="1">
        <v>497.0</v>
      </c>
      <c r="B498" s="1" t="s">
        <v>1552</v>
      </c>
      <c r="C498" s="1" t="s">
        <v>25</v>
      </c>
      <c r="N498" s="5">
        <v>44876.0</v>
      </c>
      <c r="Q498" s="1" t="s">
        <v>55</v>
      </c>
    </row>
    <row r="499">
      <c r="A499" s="1">
        <v>498.0</v>
      </c>
      <c r="B499" s="1" t="s">
        <v>1555</v>
      </c>
      <c r="C499" s="1" t="s">
        <v>25</v>
      </c>
      <c r="K499" s="1">
        <v>20.0</v>
      </c>
      <c r="N499" s="5">
        <v>44420.0</v>
      </c>
      <c r="Q499" s="1" t="s">
        <v>93</v>
      </c>
    </row>
    <row r="500">
      <c r="A500" s="1">
        <v>499.0</v>
      </c>
      <c r="B500" s="1" t="s">
        <v>1559</v>
      </c>
      <c r="C500" s="1" t="s">
        <v>25</v>
      </c>
      <c r="K500" s="1">
        <v>30.0</v>
      </c>
      <c r="N500" s="5">
        <v>44480.0</v>
      </c>
      <c r="Q500" s="1" t="s">
        <v>55</v>
      </c>
    </row>
    <row r="501">
      <c r="A501" s="1">
        <v>500.0</v>
      </c>
      <c r="B501" s="1" t="s">
        <v>1563</v>
      </c>
      <c r="C501" s="1" t="s">
        <v>25</v>
      </c>
      <c r="N501" s="5">
        <v>44727.0</v>
      </c>
      <c r="Q501" s="1" t="s">
        <v>851</v>
      </c>
    </row>
    <row r="502">
      <c r="A502" s="1">
        <v>501.0</v>
      </c>
      <c r="B502" s="1" t="s">
        <v>1565</v>
      </c>
      <c r="C502" s="1" t="s">
        <v>25</v>
      </c>
      <c r="K502" s="1">
        <v>40.0</v>
      </c>
      <c r="N502" s="5">
        <v>44067.0</v>
      </c>
      <c r="Q502" s="1" t="s">
        <v>1568</v>
      </c>
    </row>
    <row r="503">
      <c r="A503" s="1">
        <v>502.0</v>
      </c>
      <c r="B503" s="1" t="s">
        <v>1569</v>
      </c>
      <c r="C503" s="1" t="s">
        <v>25</v>
      </c>
      <c r="K503" s="1">
        <v>800.0</v>
      </c>
      <c r="N503" s="5">
        <v>43889.0</v>
      </c>
      <c r="Q503" s="1" t="s">
        <v>1570</v>
      </c>
    </row>
    <row r="504">
      <c r="A504" s="1">
        <v>503.0</v>
      </c>
      <c r="B504" s="1" t="s">
        <v>1572</v>
      </c>
      <c r="C504" s="1" t="s">
        <v>25</v>
      </c>
      <c r="K504" s="1">
        <v>80.0</v>
      </c>
      <c r="N504" s="5">
        <v>45445.0</v>
      </c>
      <c r="Q504" s="1" t="s">
        <v>1574</v>
      </c>
    </row>
    <row r="505">
      <c r="A505" s="1">
        <v>504.0</v>
      </c>
      <c r="B505" s="1" t="s">
        <v>1575</v>
      </c>
      <c r="C505" s="1" t="s">
        <v>25</v>
      </c>
      <c r="K505" s="1">
        <v>80.0</v>
      </c>
      <c r="N505" s="5">
        <v>44611.0</v>
      </c>
      <c r="Q505" s="1" t="s">
        <v>1578</v>
      </c>
    </row>
    <row r="506">
      <c r="A506" s="1">
        <v>505.0</v>
      </c>
      <c r="B506" s="1" t="s">
        <v>1579</v>
      </c>
      <c r="C506" s="1" t="s">
        <v>25</v>
      </c>
      <c r="N506" s="5">
        <v>45120.0</v>
      </c>
      <c r="Q506" s="1" t="s">
        <v>55</v>
      </c>
    </row>
    <row r="507">
      <c r="A507" s="1">
        <v>506.0</v>
      </c>
      <c r="B507" s="1" t="s">
        <v>1583</v>
      </c>
      <c r="C507" s="1" t="s">
        <v>25</v>
      </c>
      <c r="K507" s="1">
        <v>40.0</v>
      </c>
      <c r="N507" s="5">
        <v>43865.0</v>
      </c>
      <c r="Q507" s="1" t="s">
        <v>55</v>
      </c>
    </row>
    <row r="508">
      <c r="A508" s="1">
        <v>507.0</v>
      </c>
      <c r="B508" s="1" t="s">
        <v>1586</v>
      </c>
      <c r="C508" s="1" t="s">
        <v>25</v>
      </c>
      <c r="K508" s="1">
        <v>50.0</v>
      </c>
      <c r="N508" s="5">
        <v>44006.0</v>
      </c>
      <c r="Q508" s="1" t="s">
        <v>203</v>
      </c>
    </row>
    <row r="509">
      <c r="A509" s="1">
        <v>508.0</v>
      </c>
      <c r="B509" s="1" t="s">
        <v>1589</v>
      </c>
      <c r="C509" s="1" t="s">
        <v>25</v>
      </c>
      <c r="K509" s="1">
        <v>20.0</v>
      </c>
      <c r="N509" s="5">
        <v>43843.0</v>
      </c>
      <c r="Q509" s="1" t="s">
        <v>1591</v>
      </c>
    </row>
    <row r="510">
      <c r="A510" s="1">
        <v>509.0</v>
      </c>
      <c r="B510" s="1" t="s">
        <v>75</v>
      </c>
      <c r="C510" s="1" t="s">
        <v>25</v>
      </c>
      <c r="K510" s="1">
        <v>40.0</v>
      </c>
      <c r="N510" s="5">
        <v>44272.0</v>
      </c>
      <c r="Q510" s="1" t="s">
        <v>77</v>
      </c>
    </row>
    <row r="511">
      <c r="A511" s="1">
        <v>510.0</v>
      </c>
      <c r="B511" s="1" t="s">
        <v>1595</v>
      </c>
      <c r="C511" s="1" t="s">
        <v>25</v>
      </c>
      <c r="K511" s="1">
        <v>150.0</v>
      </c>
      <c r="N511" s="5">
        <v>43951.0</v>
      </c>
      <c r="Q511" s="1" t="s">
        <v>1597</v>
      </c>
    </row>
    <row r="512">
      <c r="A512" s="1">
        <v>511.0</v>
      </c>
      <c r="B512" s="1" t="s">
        <v>1600</v>
      </c>
      <c r="C512" s="1" t="s">
        <v>25</v>
      </c>
      <c r="K512" s="1">
        <v>50.0</v>
      </c>
      <c r="N512" s="5">
        <v>45516.0</v>
      </c>
      <c r="Q512" s="1" t="s">
        <v>1601</v>
      </c>
    </row>
    <row r="513">
      <c r="A513" s="1">
        <v>512.0</v>
      </c>
      <c r="B513" s="1" t="s">
        <v>1602</v>
      </c>
      <c r="C513" s="1" t="s">
        <v>25</v>
      </c>
      <c r="K513" s="1">
        <v>30.0</v>
      </c>
      <c r="N513" s="5">
        <v>45636.0</v>
      </c>
      <c r="Q513" s="1" t="s">
        <v>1603</v>
      </c>
    </row>
    <row r="514">
      <c r="A514" s="1">
        <v>513.0</v>
      </c>
      <c r="B514" s="1" t="s">
        <v>1604</v>
      </c>
      <c r="C514" s="1" t="s">
        <v>25</v>
      </c>
      <c r="N514" s="5">
        <v>43994.0</v>
      </c>
      <c r="Q514" s="1" t="s">
        <v>55</v>
      </c>
    </row>
    <row r="515">
      <c r="A515" s="1">
        <v>514.0</v>
      </c>
      <c r="B515" s="1" t="s">
        <v>1605</v>
      </c>
      <c r="C515" s="1" t="s">
        <v>25</v>
      </c>
      <c r="K515" s="1">
        <v>10.0</v>
      </c>
      <c r="N515" s="5">
        <v>45263.0</v>
      </c>
      <c r="Q515" s="1" t="s">
        <v>904</v>
      </c>
    </row>
    <row r="516">
      <c r="A516" s="1">
        <v>515.0</v>
      </c>
      <c r="B516" s="1" t="s">
        <v>1606</v>
      </c>
      <c r="C516" s="1" t="s">
        <v>25</v>
      </c>
      <c r="K516" s="1">
        <v>250.0</v>
      </c>
      <c r="N516" s="5">
        <v>43970.0</v>
      </c>
      <c r="Q516" s="1" t="s">
        <v>1607</v>
      </c>
    </row>
    <row r="517">
      <c r="A517" s="1">
        <v>516.0</v>
      </c>
      <c r="B517" s="1" t="s">
        <v>1608</v>
      </c>
      <c r="C517" s="1" t="s">
        <v>25</v>
      </c>
      <c r="K517" s="1">
        <v>200.0</v>
      </c>
      <c r="N517" s="5">
        <v>44700.0</v>
      </c>
      <c r="Q517" s="1" t="s">
        <v>1609</v>
      </c>
    </row>
    <row r="518">
      <c r="A518" s="1">
        <v>517.0</v>
      </c>
      <c r="B518" s="1" t="s">
        <v>1610</v>
      </c>
      <c r="C518" s="1" t="s">
        <v>25</v>
      </c>
      <c r="K518" s="1">
        <v>30.0</v>
      </c>
      <c r="N518" s="5">
        <v>44668.0</v>
      </c>
      <c r="Q518" s="1" t="s">
        <v>1611</v>
      </c>
    </row>
    <row r="519">
      <c r="A519" s="1">
        <v>518.0</v>
      </c>
      <c r="B519" s="1" t="s">
        <v>1612</v>
      </c>
      <c r="C519" s="1" t="s">
        <v>25</v>
      </c>
      <c r="K519" s="1">
        <v>350.0</v>
      </c>
      <c r="N519" s="5">
        <v>43905.0</v>
      </c>
      <c r="Q519" s="1" t="s">
        <v>1613</v>
      </c>
    </row>
    <row r="520">
      <c r="A520" s="1">
        <v>519.0</v>
      </c>
      <c r="B520" s="1" t="s">
        <v>1614</v>
      </c>
      <c r="C520" s="1" t="s">
        <v>25</v>
      </c>
      <c r="K520" s="1">
        <v>10.0</v>
      </c>
      <c r="N520" s="5">
        <v>44332.0</v>
      </c>
      <c r="Q520" s="1" t="s">
        <v>55</v>
      </c>
    </row>
    <row r="521">
      <c r="A521" s="1">
        <v>520.0</v>
      </c>
      <c r="B521" s="1" t="s">
        <v>1615</v>
      </c>
      <c r="C521" s="1" t="s">
        <v>25</v>
      </c>
      <c r="K521" s="1">
        <v>60.0</v>
      </c>
      <c r="N521" s="5">
        <v>45172.0</v>
      </c>
      <c r="Q521" s="1" t="s">
        <v>1616</v>
      </c>
    </row>
    <row r="522">
      <c r="A522" s="1">
        <v>521.0</v>
      </c>
      <c r="B522" s="1" t="s">
        <v>1617</v>
      </c>
      <c r="C522" s="1" t="s">
        <v>25</v>
      </c>
      <c r="K522" s="1">
        <v>100.0</v>
      </c>
      <c r="N522" s="5">
        <v>44585.0</v>
      </c>
      <c r="Q522" s="1" t="s">
        <v>55</v>
      </c>
    </row>
    <row r="523">
      <c r="A523" s="1">
        <v>522.0</v>
      </c>
      <c r="B523" s="1" t="s">
        <v>1618</v>
      </c>
      <c r="C523" s="1" t="s">
        <v>25</v>
      </c>
      <c r="K523" s="1">
        <v>10.0</v>
      </c>
      <c r="N523" s="5">
        <v>45670.0</v>
      </c>
      <c r="Q523" s="1" t="s">
        <v>633</v>
      </c>
    </row>
    <row r="524">
      <c r="A524" s="1">
        <v>523.0</v>
      </c>
      <c r="B524" s="1" t="s">
        <v>1619</v>
      </c>
      <c r="C524" s="1" t="s">
        <v>25</v>
      </c>
      <c r="K524" s="1">
        <v>20.0</v>
      </c>
      <c r="N524" s="5">
        <v>44473.0</v>
      </c>
      <c r="Q524" s="1" t="s">
        <v>1620</v>
      </c>
    </row>
    <row r="525">
      <c r="A525" s="1">
        <v>524.0</v>
      </c>
      <c r="B525" s="1" t="s">
        <v>1621</v>
      </c>
      <c r="C525" s="1" t="s">
        <v>25</v>
      </c>
      <c r="K525" s="1">
        <v>60.0</v>
      </c>
      <c r="N525" s="5">
        <v>43850.0</v>
      </c>
      <c r="Q525" s="1" t="s">
        <v>1622</v>
      </c>
    </row>
    <row r="526">
      <c r="A526" s="1">
        <v>525.0</v>
      </c>
      <c r="B526" s="1" t="s">
        <v>1623</v>
      </c>
      <c r="C526" s="1" t="s">
        <v>25</v>
      </c>
      <c r="K526" s="1">
        <v>10.0</v>
      </c>
      <c r="N526" s="5">
        <v>45636.0</v>
      </c>
      <c r="Q526" s="1" t="s">
        <v>1624</v>
      </c>
    </row>
    <row r="527">
      <c r="A527" s="1">
        <v>526.0</v>
      </c>
      <c r="B527" s="1" t="s">
        <v>1625</v>
      </c>
      <c r="C527" s="1" t="s">
        <v>25</v>
      </c>
      <c r="K527" s="1">
        <v>200.0</v>
      </c>
      <c r="N527" s="5">
        <v>43841.0</v>
      </c>
      <c r="Q527" s="1" t="s">
        <v>1626</v>
      </c>
    </row>
    <row r="528">
      <c r="A528" s="1">
        <v>527.0</v>
      </c>
      <c r="B528" s="1" t="s">
        <v>1627</v>
      </c>
      <c r="C528" s="1" t="s">
        <v>25</v>
      </c>
      <c r="K528" s="1">
        <v>100.0</v>
      </c>
      <c r="N528" s="5">
        <v>43987.0</v>
      </c>
      <c r="Q528" s="1" t="s">
        <v>1628</v>
      </c>
    </row>
    <row r="529">
      <c r="A529" s="1">
        <v>528.0</v>
      </c>
      <c r="B529" s="1" t="s">
        <v>1629</v>
      </c>
      <c r="C529" s="1" t="s">
        <v>25</v>
      </c>
      <c r="N529" s="5">
        <v>44357.0</v>
      </c>
      <c r="Q529" s="1" t="s">
        <v>55</v>
      </c>
    </row>
    <row r="530">
      <c r="A530" s="1">
        <v>529.0</v>
      </c>
      <c r="B530" s="1" t="s">
        <v>79</v>
      </c>
      <c r="C530" s="1" t="s">
        <v>25</v>
      </c>
      <c r="N530" s="5">
        <v>45365.0</v>
      </c>
      <c r="Q530" s="1" t="s">
        <v>80</v>
      </c>
    </row>
    <row r="531">
      <c r="A531" s="1">
        <v>530.0</v>
      </c>
      <c r="B531" s="1" t="s">
        <v>1630</v>
      </c>
      <c r="C531" s="1" t="s">
        <v>25</v>
      </c>
      <c r="K531" s="1">
        <v>250.0</v>
      </c>
      <c r="N531" s="5">
        <v>43873.0</v>
      </c>
      <c r="Q531" s="1" t="s">
        <v>1631</v>
      </c>
    </row>
    <row r="532">
      <c r="A532" s="1">
        <v>531.0</v>
      </c>
      <c r="B532" s="1" t="s">
        <v>1632</v>
      </c>
      <c r="C532" s="1" t="s">
        <v>25</v>
      </c>
      <c r="K532" s="1">
        <v>200.0</v>
      </c>
      <c r="N532" s="5">
        <v>44346.0</v>
      </c>
      <c r="Q532" s="1" t="s">
        <v>974</v>
      </c>
    </row>
    <row r="533">
      <c r="A533" s="1">
        <v>532.0</v>
      </c>
      <c r="B533" s="1" t="s">
        <v>1633</v>
      </c>
      <c r="C533" s="1" t="s">
        <v>25</v>
      </c>
      <c r="N533" s="5">
        <v>44654.0</v>
      </c>
      <c r="Q533" s="1" t="s">
        <v>55</v>
      </c>
    </row>
    <row r="534">
      <c r="A534" s="1">
        <v>533.0</v>
      </c>
      <c r="B534" s="1" t="s">
        <v>1634</v>
      </c>
      <c r="C534" s="1" t="s">
        <v>25</v>
      </c>
      <c r="N534" s="5">
        <v>43936.0</v>
      </c>
      <c r="Q534" s="1" t="s">
        <v>55</v>
      </c>
    </row>
    <row r="535">
      <c r="A535" s="1">
        <v>534.0</v>
      </c>
      <c r="B535" s="1" t="s">
        <v>1635</v>
      </c>
      <c r="C535" s="1" t="s">
        <v>25</v>
      </c>
      <c r="N535" s="5">
        <v>45470.0</v>
      </c>
      <c r="Q535" s="1" t="s">
        <v>1636</v>
      </c>
    </row>
    <row r="536">
      <c r="A536" s="1">
        <v>535.0</v>
      </c>
      <c r="B536" s="1" t="s">
        <v>1637</v>
      </c>
      <c r="C536" s="1" t="s">
        <v>25</v>
      </c>
      <c r="N536" s="5">
        <v>45303.0</v>
      </c>
      <c r="Q536" s="1" t="s">
        <v>1638</v>
      </c>
    </row>
    <row r="537">
      <c r="A537" s="1">
        <v>536.0</v>
      </c>
      <c r="B537" s="1" t="s">
        <v>1639</v>
      </c>
      <c r="C537" s="1" t="s">
        <v>25</v>
      </c>
      <c r="K537" s="1">
        <v>70.0</v>
      </c>
      <c r="N537" s="5">
        <v>43996.0</v>
      </c>
      <c r="Q537" s="1" t="s">
        <v>1640</v>
      </c>
    </row>
    <row r="538">
      <c r="A538" s="1">
        <v>537.0</v>
      </c>
      <c r="B538" s="1" t="s">
        <v>1641</v>
      </c>
      <c r="C538" s="1" t="s">
        <v>25</v>
      </c>
      <c r="K538" s="1">
        <v>100.0</v>
      </c>
      <c r="N538" s="5">
        <v>44117.0</v>
      </c>
      <c r="Q538" s="1" t="s">
        <v>694</v>
      </c>
    </row>
    <row r="539">
      <c r="A539" s="1">
        <v>538.0</v>
      </c>
      <c r="B539" s="1" t="s">
        <v>1642</v>
      </c>
      <c r="C539" s="1" t="s">
        <v>25</v>
      </c>
      <c r="K539" s="1">
        <v>150.0</v>
      </c>
      <c r="N539" s="5">
        <v>44629.0</v>
      </c>
      <c r="Q539" s="1" t="s">
        <v>55</v>
      </c>
    </row>
    <row r="540">
      <c r="A540" s="1">
        <v>539.0</v>
      </c>
      <c r="B540" s="1" t="s">
        <v>1643</v>
      </c>
      <c r="C540" s="1" t="s">
        <v>25</v>
      </c>
      <c r="N540" s="5">
        <v>44086.0</v>
      </c>
      <c r="Q540" s="1" t="s">
        <v>55</v>
      </c>
    </row>
    <row r="541">
      <c r="A541" s="1">
        <v>540.0</v>
      </c>
      <c r="B541" s="1" t="s">
        <v>1644</v>
      </c>
      <c r="C541" s="1" t="s">
        <v>25</v>
      </c>
      <c r="K541" s="1">
        <v>50.0</v>
      </c>
      <c r="N541" s="5">
        <v>44052.0</v>
      </c>
      <c r="Q541" s="1" t="s">
        <v>1645</v>
      </c>
    </row>
    <row r="542">
      <c r="A542" s="1">
        <v>541.0</v>
      </c>
      <c r="B542" s="1" t="s">
        <v>1646</v>
      </c>
      <c r="C542" s="1" t="s">
        <v>25</v>
      </c>
      <c r="K542" s="1">
        <v>20.0</v>
      </c>
      <c r="N542" s="5">
        <v>44578.0</v>
      </c>
      <c r="Q542" s="1" t="s">
        <v>55</v>
      </c>
    </row>
    <row r="543">
      <c r="A543" s="1">
        <v>542.0</v>
      </c>
      <c r="B543" s="1" t="s">
        <v>1647</v>
      </c>
      <c r="C543" s="1" t="s">
        <v>25</v>
      </c>
      <c r="N543" s="5">
        <v>45124.0</v>
      </c>
      <c r="Q543" s="1" t="s">
        <v>55</v>
      </c>
    </row>
    <row r="544">
      <c r="A544" s="1">
        <v>543.0</v>
      </c>
      <c r="B544" s="1" t="s">
        <v>1648</v>
      </c>
      <c r="C544" s="1" t="s">
        <v>25</v>
      </c>
      <c r="K544" s="1">
        <v>20.0</v>
      </c>
      <c r="N544" s="5">
        <v>43912.0</v>
      </c>
      <c r="Q544" s="1" t="s">
        <v>1312</v>
      </c>
    </row>
    <row r="545">
      <c r="A545" s="1">
        <v>544.0</v>
      </c>
      <c r="B545" s="1" t="s">
        <v>1649</v>
      </c>
      <c r="C545" s="1" t="s">
        <v>25</v>
      </c>
      <c r="K545" s="1">
        <v>50.0</v>
      </c>
      <c r="N545" s="5">
        <v>44921.0</v>
      </c>
      <c r="Q545" s="1" t="s">
        <v>1650</v>
      </c>
    </row>
    <row r="546">
      <c r="A546" s="1">
        <v>545.0</v>
      </c>
      <c r="B546" s="1" t="s">
        <v>1651</v>
      </c>
      <c r="C546" s="1" t="s">
        <v>25</v>
      </c>
      <c r="K546" s="1">
        <v>300.0</v>
      </c>
      <c r="N546" s="5">
        <v>43874.0</v>
      </c>
      <c r="Q546" s="1" t="s">
        <v>1652</v>
      </c>
    </row>
    <row r="547">
      <c r="A547" s="1">
        <v>546.0</v>
      </c>
      <c r="B547" s="1" t="s">
        <v>1653</v>
      </c>
      <c r="C547" s="1" t="s">
        <v>25</v>
      </c>
      <c r="K547" s="1">
        <v>20.0</v>
      </c>
      <c r="N547" s="5">
        <v>44426.0</v>
      </c>
      <c r="Q547" s="1" t="s">
        <v>55</v>
      </c>
    </row>
    <row r="548">
      <c r="A548" s="1">
        <v>547.0</v>
      </c>
      <c r="B548" s="1" t="s">
        <v>1654</v>
      </c>
      <c r="C548" s="1" t="s">
        <v>25</v>
      </c>
      <c r="K548" s="1">
        <v>150.0</v>
      </c>
      <c r="N548" s="5">
        <v>44058.0</v>
      </c>
      <c r="Q548" s="1" t="s">
        <v>1655</v>
      </c>
    </row>
    <row r="549">
      <c r="A549" s="1">
        <v>548.0</v>
      </c>
      <c r="B549" s="1" t="s">
        <v>1656</v>
      </c>
      <c r="C549" s="1" t="s">
        <v>25</v>
      </c>
      <c r="K549" s="1">
        <v>250.0</v>
      </c>
      <c r="N549" s="5">
        <v>43888.0</v>
      </c>
      <c r="Q549" s="1" t="s">
        <v>1657</v>
      </c>
    </row>
    <row r="550">
      <c r="A550" s="1">
        <v>549.0</v>
      </c>
      <c r="B550" s="1" t="s">
        <v>1658</v>
      </c>
      <c r="C550" s="1" t="s">
        <v>25</v>
      </c>
      <c r="N550" s="5">
        <v>44256.0</v>
      </c>
      <c r="Q550" s="1" t="s">
        <v>55</v>
      </c>
    </row>
    <row r="551">
      <c r="A551" s="1">
        <v>550.0</v>
      </c>
      <c r="B551" s="1" t="s">
        <v>1659</v>
      </c>
      <c r="C551" s="1" t="s">
        <v>25</v>
      </c>
      <c r="K551" s="1">
        <v>10.0</v>
      </c>
      <c r="N551" s="5">
        <v>44446.0</v>
      </c>
      <c r="Q551" s="1" t="s">
        <v>55</v>
      </c>
    </row>
    <row r="552">
      <c r="A552" s="1">
        <v>551.0</v>
      </c>
      <c r="B552" s="1" t="s">
        <v>1660</v>
      </c>
      <c r="C552" s="1" t="s">
        <v>25</v>
      </c>
      <c r="N552" s="5">
        <v>44398.0</v>
      </c>
      <c r="Q552" s="1" t="s">
        <v>55</v>
      </c>
    </row>
    <row r="553">
      <c r="A553" s="1">
        <v>552.0</v>
      </c>
      <c r="B553" s="1" t="s">
        <v>1661</v>
      </c>
      <c r="C553" s="1" t="s">
        <v>25</v>
      </c>
      <c r="K553" s="1">
        <v>30.0</v>
      </c>
      <c r="N553" s="5">
        <v>44078.0</v>
      </c>
      <c r="Q553" s="1" t="s">
        <v>1662</v>
      </c>
    </row>
    <row r="554">
      <c r="A554" s="1">
        <v>553.0</v>
      </c>
      <c r="B554" s="1" t="s">
        <v>1663</v>
      </c>
      <c r="C554" s="1" t="s">
        <v>25</v>
      </c>
      <c r="N554" s="5">
        <v>44481.0</v>
      </c>
      <c r="Q554" s="1" t="s">
        <v>55</v>
      </c>
    </row>
    <row r="555">
      <c r="A555" s="1">
        <v>554.0</v>
      </c>
      <c r="B555" s="1" t="s">
        <v>1664</v>
      </c>
      <c r="C555" s="1" t="s">
        <v>25</v>
      </c>
      <c r="K555" s="1">
        <v>30.0</v>
      </c>
      <c r="N555" s="5">
        <v>44716.0</v>
      </c>
      <c r="Q555" s="1" t="s">
        <v>55</v>
      </c>
    </row>
    <row r="556">
      <c r="A556" s="1">
        <v>555.0</v>
      </c>
      <c r="B556" s="1" t="s">
        <v>1665</v>
      </c>
      <c r="C556" s="1" t="s">
        <v>25</v>
      </c>
      <c r="K556" s="1">
        <v>20.0</v>
      </c>
      <c r="N556" s="5">
        <v>44131.0</v>
      </c>
      <c r="Q556" s="1" t="s">
        <v>1666</v>
      </c>
    </row>
    <row r="557">
      <c r="A557" s="1">
        <v>556.0</v>
      </c>
      <c r="B557" s="1" t="s">
        <v>1667</v>
      </c>
      <c r="C557" s="1" t="s">
        <v>25</v>
      </c>
      <c r="K557" s="1">
        <v>70.0</v>
      </c>
      <c r="N557" s="5">
        <v>43923.0</v>
      </c>
      <c r="Q557" s="1" t="s">
        <v>1668</v>
      </c>
    </row>
    <row r="558">
      <c r="A558" s="1">
        <v>557.0</v>
      </c>
      <c r="B558" s="1" t="s">
        <v>1669</v>
      </c>
      <c r="C558" s="1" t="s">
        <v>25</v>
      </c>
      <c r="K558" s="1">
        <v>10.0</v>
      </c>
      <c r="N558" s="5">
        <v>45343.0</v>
      </c>
      <c r="Q558" s="1" t="s">
        <v>1670</v>
      </c>
    </row>
    <row r="559">
      <c r="A559" s="1">
        <v>558.0</v>
      </c>
      <c r="B559" s="1" t="s">
        <v>1671</v>
      </c>
      <c r="C559" s="1" t="s">
        <v>25</v>
      </c>
      <c r="K559" s="1">
        <v>70.0</v>
      </c>
      <c r="N559" s="5">
        <v>44324.0</v>
      </c>
      <c r="Q559" s="1" t="s">
        <v>1672</v>
      </c>
    </row>
    <row r="560">
      <c r="A560" s="1">
        <v>559.0</v>
      </c>
      <c r="B560" s="1" t="s">
        <v>1673</v>
      </c>
      <c r="C560" s="1" t="s">
        <v>25</v>
      </c>
      <c r="K560" s="1">
        <v>40.0</v>
      </c>
      <c r="N560" s="5">
        <v>45180.0</v>
      </c>
      <c r="Q560" s="1" t="s">
        <v>1674</v>
      </c>
    </row>
    <row r="561">
      <c r="A561" s="1">
        <v>560.0</v>
      </c>
      <c r="B561" s="1" t="s">
        <v>1675</v>
      </c>
      <c r="C561" s="1" t="s">
        <v>25</v>
      </c>
      <c r="K561" s="1">
        <v>50.0</v>
      </c>
      <c r="N561" s="5">
        <v>44345.0</v>
      </c>
      <c r="Q561" s="1" t="s">
        <v>1676</v>
      </c>
    </row>
    <row r="562">
      <c r="A562" s="1">
        <v>561.0</v>
      </c>
      <c r="B562" s="1" t="s">
        <v>1677</v>
      </c>
      <c r="C562" s="1" t="s">
        <v>25</v>
      </c>
      <c r="K562" s="1">
        <v>70.0</v>
      </c>
      <c r="N562" s="5">
        <v>43887.0</v>
      </c>
      <c r="Q562" s="1" t="s">
        <v>1678</v>
      </c>
    </row>
    <row r="563">
      <c r="A563" s="1">
        <v>562.0</v>
      </c>
      <c r="B563" s="1" t="s">
        <v>1679</v>
      </c>
      <c r="C563" s="1" t="s">
        <v>25</v>
      </c>
      <c r="N563" s="5">
        <v>44297.0</v>
      </c>
      <c r="Q563" s="1" t="s">
        <v>55</v>
      </c>
    </row>
    <row r="564">
      <c r="A564" s="1">
        <v>563.0</v>
      </c>
      <c r="B564" s="1" t="s">
        <v>1680</v>
      </c>
      <c r="C564" s="1" t="s">
        <v>25</v>
      </c>
      <c r="N564" s="5">
        <v>45405.0</v>
      </c>
      <c r="Q564" s="1" t="s">
        <v>606</v>
      </c>
    </row>
    <row r="565">
      <c r="A565" s="1">
        <v>564.0</v>
      </c>
      <c r="B565" s="1" t="s">
        <v>1681</v>
      </c>
      <c r="C565" s="1" t="s">
        <v>25</v>
      </c>
      <c r="N565" s="5">
        <v>44054.0</v>
      </c>
      <c r="Q565" s="1" t="s">
        <v>55</v>
      </c>
    </row>
    <row r="566">
      <c r="A566" s="1">
        <v>565.0</v>
      </c>
      <c r="B566" s="1" t="s">
        <v>1682</v>
      </c>
      <c r="C566" s="1" t="s">
        <v>25</v>
      </c>
      <c r="K566" s="1">
        <v>40.0</v>
      </c>
      <c r="N566" s="5">
        <v>44248.0</v>
      </c>
      <c r="Q566" s="1" t="s">
        <v>55</v>
      </c>
    </row>
    <row r="567">
      <c r="A567" s="1">
        <v>566.0</v>
      </c>
      <c r="B567" s="1" t="s">
        <v>1683</v>
      </c>
      <c r="C567" s="1" t="s">
        <v>25</v>
      </c>
      <c r="K567" s="1">
        <v>100.0</v>
      </c>
      <c r="N567" s="5">
        <v>43989.0</v>
      </c>
      <c r="Q567" s="1" t="s">
        <v>1684</v>
      </c>
    </row>
    <row r="568">
      <c r="A568" s="1">
        <v>567.0</v>
      </c>
      <c r="B568" s="1" t="s">
        <v>1685</v>
      </c>
      <c r="C568" s="1" t="s">
        <v>25</v>
      </c>
      <c r="N568" s="5">
        <v>44561.0</v>
      </c>
      <c r="Q568" s="1" t="s">
        <v>851</v>
      </c>
    </row>
    <row r="569">
      <c r="A569" s="1">
        <v>568.0</v>
      </c>
      <c r="B569" s="1" t="s">
        <v>84</v>
      </c>
      <c r="C569" s="1" t="s">
        <v>25</v>
      </c>
      <c r="K569" s="1">
        <v>200.0</v>
      </c>
      <c r="N569" s="5">
        <v>44315.0</v>
      </c>
      <c r="Q569" s="1" t="s">
        <v>87</v>
      </c>
    </row>
    <row r="570">
      <c r="A570" s="1">
        <v>569.0</v>
      </c>
      <c r="B570" s="1" t="s">
        <v>1686</v>
      </c>
      <c r="C570" s="1" t="s">
        <v>25</v>
      </c>
      <c r="K570" s="1">
        <v>50.0</v>
      </c>
      <c r="N570" s="5">
        <v>44617.0</v>
      </c>
      <c r="Q570" s="1" t="s">
        <v>569</v>
      </c>
    </row>
    <row r="571">
      <c r="A571" s="1">
        <v>570.0</v>
      </c>
      <c r="B571" s="1" t="s">
        <v>81</v>
      </c>
      <c r="C571" s="1" t="s">
        <v>25</v>
      </c>
      <c r="K571" s="1">
        <v>20.0</v>
      </c>
      <c r="N571" s="5">
        <v>44871.0</v>
      </c>
      <c r="Q571" s="1" t="s">
        <v>83</v>
      </c>
    </row>
    <row r="572">
      <c r="A572" s="1">
        <v>571.0</v>
      </c>
      <c r="B572" s="1" t="s">
        <v>1687</v>
      </c>
      <c r="C572" s="1" t="s">
        <v>25</v>
      </c>
      <c r="K572" s="1">
        <v>20.0</v>
      </c>
      <c r="N572" s="5">
        <v>44255.0</v>
      </c>
      <c r="Q572" s="1" t="s">
        <v>55</v>
      </c>
    </row>
    <row r="573">
      <c r="A573" s="1">
        <v>572.0</v>
      </c>
      <c r="B573" s="1" t="s">
        <v>1688</v>
      </c>
      <c r="C573" s="1" t="s">
        <v>25</v>
      </c>
      <c r="N573" s="5">
        <v>44419.0</v>
      </c>
      <c r="Q573" s="1" t="s">
        <v>55</v>
      </c>
    </row>
    <row r="574">
      <c r="A574" s="1">
        <v>573.0</v>
      </c>
      <c r="B574" s="1" t="s">
        <v>1689</v>
      </c>
      <c r="C574" s="1" t="s">
        <v>25</v>
      </c>
      <c r="K574" s="1">
        <v>40.0</v>
      </c>
      <c r="N574" s="5">
        <v>45498.0</v>
      </c>
      <c r="Q574" s="1" t="s">
        <v>1690</v>
      </c>
    </row>
    <row r="575">
      <c r="A575" s="1">
        <v>574.0</v>
      </c>
      <c r="B575" s="1" t="s">
        <v>1691</v>
      </c>
      <c r="C575" s="1" t="s">
        <v>25</v>
      </c>
      <c r="K575" s="1">
        <v>30.0</v>
      </c>
      <c r="N575" s="5">
        <v>44398.0</v>
      </c>
      <c r="Q575" s="1" t="s">
        <v>1692</v>
      </c>
    </row>
    <row r="576">
      <c r="A576" s="1">
        <v>575.0</v>
      </c>
      <c r="B576" s="1" t="s">
        <v>1693</v>
      </c>
      <c r="C576" s="1" t="s">
        <v>25</v>
      </c>
      <c r="K576" s="1">
        <v>70.0</v>
      </c>
      <c r="N576" s="5">
        <v>44683.0</v>
      </c>
      <c r="Q576" s="1" t="s">
        <v>55</v>
      </c>
    </row>
    <row r="577">
      <c r="A577" s="1">
        <v>576.0</v>
      </c>
      <c r="B577" s="1" t="s">
        <v>1694</v>
      </c>
      <c r="C577" s="1" t="s">
        <v>25</v>
      </c>
      <c r="K577" s="1">
        <v>200.0</v>
      </c>
      <c r="N577" s="5">
        <v>45778.0</v>
      </c>
      <c r="Q577" s="1" t="s">
        <v>1695</v>
      </c>
    </row>
    <row r="578">
      <c r="A578" s="1">
        <v>577.0</v>
      </c>
      <c r="B578" s="1" t="s">
        <v>1696</v>
      </c>
      <c r="C578" s="1" t="s">
        <v>25</v>
      </c>
      <c r="N578" s="5">
        <v>44353.0</v>
      </c>
      <c r="Q578" s="1" t="s">
        <v>55</v>
      </c>
    </row>
    <row r="579">
      <c r="A579" s="1">
        <v>578.0</v>
      </c>
      <c r="B579" s="1" t="s">
        <v>1697</v>
      </c>
      <c r="C579" s="1" t="s">
        <v>25</v>
      </c>
      <c r="K579" s="1">
        <v>40.0</v>
      </c>
      <c r="N579" s="5">
        <v>44464.0</v>
      </c>
      <c r="Q579" s="1" t="s">
        <v>1698</v>
      </c>
    </row>
    <row r="580">
      <c r="A580" s="1">
        <v>579.0</v>
      </c>
      <c r="B580" s="1" t="s">
        <v>1699</v>
      </c>
      <c r="C580" s="1" t="s">
        <v>25</v>
      </c>
      <c r="K580" s="1">
        <v>100.0</v>
      </c>
      <c r="N580" s="5">
        <v>45247.0</v>
      </c>
      <c r="Q580" s="1" t="s">
        <v>1700</v>
      </c>
    </row>
    <row r="581">
      <c r="A581" s="1">
        <v>580.0</v>
      </c>
      <c r="B581" s="1" t="s">
        <v>1701</v>
      </c>
      <c r="C581" s="1" t="s">
        <v>25</v>
      </c>
      <c r="K581" s="1">
        <v>30.0</v>
      </c>
      <c r="N581" s="5">
        <v>45722.0</v>
      </c>
      <c r="Q581" s="1" t="s">
        <v>1702</v>
      </c>
    </row>
    <row r="582">
      <c r="A582" s="1">
        <v>581.0</v>
      </c>
      <c r="B582" s="1" t="s">
        <v>1703</v>
      </c>
      <c r="C582" s="1" t="s">
        <v>25</v>
      </c>
      <c r="N582" s="5">
        <v>45712.0</v>
      </c>
      <c r="Q582" s="1" t="s">
        <v>1704</v>
      </c>
    </row>
    <row r="583">
      <c r="A583" s="1">
        <v>582.0</v>
      </c>
      <c r="B583" s="1" t="s">
        <v>1705</v>
      </c>
      <c r="C583" s="1" t="s">
        <v>25</v>
      </c>
      <c r="N583" s="5">
        <v>44023.0</v>
      </c>
      <c r="Q583" s="1" t="s">
        <v>55</v>
      </c>
    </row>
    <row r="584">
      <c r="A584" s="1">
        <v>583.0</v>
      </c>
      <c r="B584" s="1" t="s">
        <v>1706</v>
      </c>
      <c r="C584" s="1" t="s">
        <v>25</v>
      </c>
      <c r="N584" s="5">
        <v>44146.0</v>
      </c>
      <c r="Q584" s="1" t="s">
        <v>93</v>
      </c>
    </row>
    <row r="585">
      <c r="A585" s="1">
        <v>584.0</v>
      </c>
      <c r="B585" s="1" t="s">
        <v>1707</v>
      </c>
      <c r="C585" s="1" t="s">
        <v>25</v>
      </c>
      <c r="N585" s="5">
        <v>44425.0</v>
      </c>
      <c r="Q585" s="1" t="s">
        <v>55</v>
      </c>
    </row>
    <row r="586">
      <c r="A586" s="1">
        <v>585.0</v>
      </c>
      <c r="B586" s="1" t="s">
        <v>1708</v>
      </c>
      <c r="C586" s="1" t="s">
        <v>25</v>
      </c>
      <c r="K586" s="1">
        <v>150.0</v>
      </c>
      <c r="N586" s="5">
        <v>44486.0</v>
      </c>
      <c r="Q586" s="1" t="s">
        <v>1709</v>
      </c>
    </row>
    <row r="587">
      <c r="A587" s="1">
        <v>586.0</v>
      </c>
      <c r="B587" s="1" t="s">
        <v>1710</v>
      </c>
      <c r="C587" s="1" t="s">
        <v>25</v>
      </c>
      <c r="K587" s="1">
        <v>150.0</v>
      </c>
      <c r="N587" s="5">
        <v>44011.0</v>
      </c>
      <c r="Q587" s="1" t="s">
        <v>1711</v>
      </c>
    </row>
    <row r="588">
      <c r="A588" s="1">
        <v>587.0</v>
      </c>
      <c r="B588" s="1" t="s">
        <v>1712</v>
      </c>
      <c r="C588" s="1" t="s">
        <v>25</v>
      </c>
      <c r="K588" s="1">
        <v>80.0</v>
      </c>
      <c r="N588" s="5">
        <v>44265.0</v>
      </c>
      <c r="Q588" s="1" t="s">
        <v>1713</v>
      </c>
    </row>
    <row r="589">
      <c r="A589" s="1">
        <v>588.0</v>
      </c>
      <c r="B589" s="1" t="s">
        <v>1714</v>
      </c>
      <c r="C589" s="1" t="s">
        <v>25</v>
      </c>
      <c r="K589" s="1">
        <v>60.0</v>
      </c>
      <c r="N589" s="5">
        <v>44375.0</v>
      </c>
      <c r="Q589" s="1" t="s">
        <v>93</v>
      </c>
    </row>
    <row r="590">
      <c r="A590" s="1">
        <v>589.0</v>
      </c>
      <c r="B590" s="1" t="s">
        <v>1715</v>
      </c>
      <c r="C590" s="1" t="s">
        <v>25</v>
      </c>
      <c r="K590" s="1">
        <v>50.0</v>
      </c>
      <c r="N590" s="5">
        <v>43846.0</v>
      </c>
      <c r="Q590" s="1" t="s">
        <v>1716</v>
      </c>
    </row>
    <row r="591">
      <c r="A591" s="1">
        <v>590.0</v>
      </c>
      <c r="B591" s="1" t="s">
        <v>1717</v>
      </c>
      <c r="C591" s="1" t="s">
        <v>25</v>
      </c>
      <c r="K591" s="1">
        <v>250.0</v>
      </c>
      <c r="N591" s="5">
        <v>44436.0</v>
      </c>
      <c r="Q591" s="1" t="s">
        <v>1718</v>
      </c>
    </row>
    <row r="592">
      <c r="A592" s="1">
        <v>591.0</v>
      </c>
      <c r="B592" s="1" t="s">
        <v>1719</v>
      </c>
      <c r="C592" s="1" t="s">
        <v>25</v>
      </c>
      <c r="K592" s="1">
        <v>40.0</v>
      </c>
      <c r="N592" s="5">
        <v>44167.0</v>
      </c>
      <c r="Q592" s="1" t="s">
        <v>1720</v>
      </c>
    </row>
    <row r="593">
      <c r="A593" s="1">
        <v>592.0</v>
      </c>
      <c r="B593" s="1" t="s">
        <v>1721</v>
      </c>
      <c r="C593" s="1" t="s">
        <v>25</v>
      </c>
      <c r="K593" s="1">
        <v>60.0</v>
      </c>
      <c r="N593" s="5">
        <v>44619.0</v>
      </c>
      <c r="Q593" s="1" t="s">
        <v>1387</v>
      </c>
    </row>
    <row r="594">
      <c r="A594" s="1">
        <v>593.0</v>
      </c>
      <c r="B594" s="1" t="s">
        <v>1722</v>
      </c>
      <c r="C594" s="1" t="s">
        <v>25</v>
      </c>
      <c r="N594" s="5">
        <v>44760.0</v>
      </c>
      <c r="Q594" s="1" t="s">
        <v>55</v>
      </c>
    </row>
    <row r="595">
      <c r="A595" s="1">
        <v>594.0</v>
      </c>
      <c r="B595" s="1" t="s">
        <v>1723</v>
      </c>
      <c r="C595" s="1" t="s">
        <v>25</v>
      </c>
      <c r="K595" s="1">
        <v>30.0</v>
      </c>
      <c r="N595" s="5">
        <v>44749.0</v>
      </c>
      <c r="Q595" s="1" t="s">
        <v>1724</v>
      </c>
    </row>
    <row r="596">
      <c r="A596" s="1">
        <v>595.0</v>
      </c>
      <c r="B596" s="1" t="s">
        <v>1725</v>
      </c>
      <c r="C596" s="1" t="s">
        <v>25</v>
      </c>
      <c r="K596" s="1">
        <v>20.0</v>
      </c>
      <c r="N596" s="5">
        <v>44789.0</v>
      </c>
      <c r="Q596" s="1" t="s">
        <v>1726</v>
      </c>
    </row>
    <row r="597">
      <c r="A597" s="1">
        <v>596.0</v>
      </c>
      <c r="B597" s="1" t="s">
        <v>1727</v>
      </c>
      <c r="C597" s="1" t="s">
        <v>25</v>
      </c>
      <c r="K597" s="1">
        <v>50.0</v>
      </c>
      <c r="N597" s="5">
        <v>44250.0</v>
      </c>
      <c r="Q597" s="1" t="s">
        <v>55</v>
      </c>
    </row>
    <row r="598">
      <c r="A598" s="1">
        <v>597.0</v>
      </c>
      <c r="B598" s="1" t="s">
        <v>1728</v>
      </c>
      <c r="C598" s="1" t="s">
        <v>25</v>
      </c>
      <c r="K598" s="1">
        <v>70.0</v>
      </c>
      <c r="N598" s="5">
        <v>44134.0</v>
      </c>
      <c r="Q598" s="1" t="s">
        <v>1729</v>
      </c>
    </row>
    <row r="599">
      <c r="A599" s="1">
        <v>598.0</v>
      </c>
      <c r="B599" s="1" t="s">
        <v>1730</v>
      </c>
      <c r="C599" s="1" t="s">
        <v>25</v>
      </c>
      <c r="K599" s="1">
        <v>20.0</v>
      </c>
      <c r="N599" s="5">
        <v>45426.0</v>
      </c>
      <c r="Q599" s="1" t="s">
        <v>1731</v>
      </c>
    </row>
    <row r="600">
      <c r="A600" s="1">
        <v>599.0</v>
      </c>
      <c r="B600" s="1" t="s">
        <v>1732</v>
      </c>
      <c r="C600" s="1" t="s">
        <v>25</v>
      </c>
      <c r="K600" s="1">
        <v>70.0</v>
      </c>
      <c r="N600" s="5">
        <v>45683.0</v>
      </c>
      <c r="Q600" s="1" t="s">
        <v>1733</v>
      </c>
    </row>
    <row r="601">
      <c r="A601" s="1">
        <v>600.0</v>
      </c>
      <c r="B601" s="1" t="s">
        <v>1734</v>
      </c>
      <c r="C601" s="1" t="s">
        <v>25</v>
      </c>
      <c r="N601" s="5">
        <v>44495.0</v>
      </c>
      <c r="Q601" s="1" t="s">
        <v>55</v>
      </c>
    </row>
    <row r="602">
      <c r="A602" s="1">
        <v>601.0</v>
      </c>
      <c r="B602" s="1" t="s">
        <v>1735</v>
      </c>
      <c r="C602" s="1" t="s">
        <v>25</v>
      </c>
      <c r="K602" s="1">
        <v>150.0</v>
      </c>
      <c r="N602" s="5">
        <v>44375.0</v>
      </c>
      <c r="Q602" s="1" t="s">
        <v>1736</v>
      </c>
    </row>
    <row r="603">
      <c r="A603" s="1">
        <v>602.0</v>
      </c>
      <c r="B603" s="1" t="s">
        <v>1737</v>
      </c>
      <c r="C603" s="1" t="s">
        <v>25</v>
      </c>
      <c r="K603" s="1">
        <v>20.0</v>
      </c>
      <c r="N603" s="5">
        <v>44321.0</v>
      </c>
      <c r="Q603" s="1" t="s">
        <v>1738</v>
      </c>
    </row>
    <row r="604">
      <c r="A604" s="1">
        <v>603.0</v>
      </c>
      <c r="B604" s="1" t="s">
        <v>1739</v>
      </c>
      <c r="C604" s="1" t="s">
        <v>25</v>
      </c>
      <c r="K604" s="1">
        <v>40.0</v>
      </c>
      <c r="N604" s="5">
        <v>44785.0</v>
      </c>
      <c r="Q604" s="1" t="s">
        <v>1740</v>
      </c>
    </row>
    <row r="605">
      <c r="A605" s="1">
        <v>604.0</v>
      </c>
      <c r="B605" s="1" t="s">
        <v>1741</v>
      </c>
      <c r="C605" s="1" t="s">
        <v>25</v>
      </c>
      <c r="K605" s="1">
        <v>100.0</v>
      </c>
      <c r="N605" s="5">
        <v>44831.0</v>
      </c>
      <c r="Q605" s="1" t="s">
        <v>345</v>
      </c>
    </row>
    <row r="606">
      <c r="A606" s="1">
        <v>605.0</v>
      </c>
      <c r="B606" s="1" t="s">
        <v>1742</v>
      </c>
      <c r="C606" s="1" t="s">
        <v>25</v>
      </c>
      <c r="K606" s="1">
        <v>40.0</v>
      </c>
      <c r="N606" s="5">
        <v>44721.0</v>
      </c>
      <c r="Q606" s="1" t="s">
        <v>569</v>
      </c>
    </row>
    <row r="607">
      <c r="A607" s="1">
        <v>606.0</v>
      </c>
      <c r="B607" s="1" t="s">
        <v>1743</v>
      </c>
      <c r="C607" s="1" t="s">
        <v>25</v>
      </c>
      <c r="N607" s="5">
        <v>43925.0</v>
      </c>
      <c r="Q607" s="1" t="s">
        <v>55</v>
      </c>
    </row>
    <row r="608">
      <c r="A608" s="1">
        <v>607.0</v>
      </c>
      <c r="B608" s="1" t="s">
        <v>1744</v>
      </c>
      <c r="C608" s="1" t="s">
        <v>25</v>
      </c>
      <c r="K608" s="1">
        <v>100.0</v>
      </c>
      <c r="N608" s="5">
        <v>44355.0</v>
      </c>
      <c r="Q608" s="1" t="s">
        <v>1745</v>
      </c>
    </row>
    <row r="609">
      <c r="A609" s="1">
        <v>608.0</v>
      </c>
      <c r="B609" s="1" t="s">
        <v>1746</v>
      </c>
      <c r="C609" s="1" t="s">
        <v>25</v>
      </c>
      <c r="K609" s="1">
        <v>300.0</v>
      </c>
      <c r="N609" s="5">
        <v>45081.0</v>
      </c>
      <c r="Q609" s="1" t="s">
        <v>1747</v>
      </c>
    </row>
    <row r="610">
      <c r="A610" s="1">
        <v>609.0</v>
      </c>
      <c r="B610" s="1" t="s">
        <v>1748</v>
      </c>
      <c r="C610" s="1" t="s">
        <v>25</v>
      </c>
      <c r="K610" s="1">
        <v>50.0</v>
      </c>
      <c r="N610" s="5">
        <v>44444.0</v>
      </c>
      <c r="Q610" s="1" t="s">
        <v>1749</v>
      </c>
    </row>
    <row r="611">
      <c r="A611" s="1">
        <v>610.0</v>
      </c>
      <c r="B611" s="1" t="s">
        <v>1750</v>
      </c>
      <c r="C611" s="1" t="s">
        <v>25</v>
      </c>
      <c r="N611" s="5">
        <v>45443.0</v>
      </c>
      <c r="Q611" s="1" t="s">
        <v>851</v>
      </c>
    </row>
    <row r="612">
      <c r="A612" s="1">
        <v>611.0</v>
      </c>
      <c r="B612" s="1" t="s">
        <v>1751</v>
      </c>
      <c r="C612" s="1" t="s">
        <v>25</v>
      </c>
      <c r="K612" s="1">
        <v>100.0</v>
      </c>
      <c r="N612" s="5">
        <v>45791.0</v>
      </c>
      <c r="Q612" s="1" t="s">
        <v>1752</v>
      </c>
    </row>
    <row r="613">
      <c r="A613" s="1">
        <v>612.0</v>
      </c>
      <c r="B613" s="1" t="s">
        <v>1753</v>
      </c>
      <c r="C613" s="1" t="s">
        <v>25</v>
      </c>
      <c r="K613" s="1">
        <v>90.0</v>
      </c>
      <c r="N613" s="5">
        <v>44967.0</v>
      </c>
      <c r="Q613" s="1" t="s">
        <v>1754</v>
      </c>
    </row>
    <row r="614">
      <c r="A614" s="1">
        <v>613.0</v>
      </c>
      <c r="B614" s="1" t="s">
        <v>1755</v>
      </c>
      <c r="C614" s="1" t="s">
        <v>25</v>
      </c>
      <c r="K614" s="1">
        <v>450.0</v>
      </c>
      <c r="N614" s="5">
        <v>44727.0</v>
      </c>
      <c r="Q614" s="1" t="s">
        <v>1756</v>
      </c>
    </row>
    <row r="615">
      <c r="A615" s="1">
        <v>614.0</v>
      </c>
      <c r="B615" s="1" t="s">
        <v>1757</v>
      </c>
      <c r="C615" s="1" t="s">
        <v>25</v>
      </c>
      <c r="N615" s="5">
        <v>45697.0</v>
      </c>
      <c r="Q615" s="1" t="s">
        <v>1758</v>
      </c>
    </row>
    <row r="616">
      <c r="A616" s="1">
        <v>615.0</v>
      </c>
      <c r="B616" s="1" t="s">
        <v>1759</v>
      </c>
      <c r="C616" s="1" t="s">
        <v>25</v>
      </c>
      <c r="I616" s="4"/>
      <c r="K616" s="1">
        <v>20.0</v>
      </c>
      <c r="N616" s="5">
        <v>45635.0</v>
      </c>
      <c r="Q616" s="1" t="s">
        <v>1760</v>
      </c>
    </row>
    <row r="617">
      <c r="A617" s="1">
        <v>616.0</v>
      </c>
      <c r="B617" s="1" t="s">
        <v>1761</v>
      </c>
      <c r="C617" s="1" t="s">
        <v>25</v>
      </c>
      <c r="K617" s="1">
        <v>40.0</v>
      </c>
      <c r="N617" s="5">
        <v>44107.0</v>
      </c>
      <c r="Q617" s="1" t="s">
        <v>316</v>
      </c>
    </row>
    <row r="618">
      <c r="A618" s="1">
        <v>617.0</v>
      </c>
      <c r="B618" s="1" t="s">
        <v>1762</v>
      </c>
      <c r="C618" s="1" t="s">
        <v>25</v>
      </c>
      <c r="K618" s="1">
        <v>150.0</v>
      </c>
      <c r="N618" s="5">
        <v>45600.0</v>
      </c>
      <c r="Q618" s="1" t="s">
        <v>1763</v>
      </c>
    </row>
    <row r="619">
      <c r="A619" s="1">
        <v>618.0</v>
      </c>
      <c r="B619" s="1" t="s">
        <v>1764</v>
      </c>
      <c r="C619" s="1" t="s">
        <v>25</v>
      </c>
      <c r="N619" s="5">
        <v>43854.0</v>
      </c>
      <c r="Q619" s="1" t="s">
        <v>55</v>
      </c>
    </row>
    <row r="620">
      <c r="A620" s="1">
        <v>619.0</v>
      </c>
      <c r="B620" s="1" t="s">
        <v>1765</v>
      </c>
      <c r="C620" s="1" t="s">
        <v>25</v>
      </c>
      <c r="N620" s="5">
        <v>44117.0</v>
      </c>
      <c r="Q620" s="1" t="s">
        <v>55</v>
      </c>
    </row>
    <row r="621">
      <c r="A621" s="1">
        <v>620.0</v>
      </c>
      <c r="B621" s="1" t="s">
        <v>1766</v>
      </c>
      <c r="C621" s="1" t="s">
        <v>25</v>
      </c>
      <c r="K621" s="1">
        <v>20.0</v>
      </c>
      <c r="N621" s="5">
        <v>44861.0</v>
      </c>
      <c r="Q621" s="1" t="s">
        <v>93</v>
      </c>
    </row>
    <row r="622">
      <c r="A622" s="1">
        <v>621.0</v>
      </c>
      <c r="B622" s="1" t="s">
        <v>1767</v>
      </c>
      <c r="C622" s="1" t="s">
        <v>25</v>
      </c>
      <c r="K622" s="1">
        <v>100.0</v>
      </c>
      <c r="N622" s="5">
        <v>44238.0</v>
      </c>
      <c r="Q622" s="1" t="s">
        <v>1768</v>
      </c>
    </row>
    <row r="623">
      <c r="A623" s="1">
        <v>622.0</v>
      </c>
      <c r="B623" s="1" t="s">
        <v>1769</v>
      </c>
      <c r="C623" s="1" t="s">
        <v>25</v>
      </c>
      <c r="K623" s="1">
        <v>10.0</v>
      </c>
      <c r="N623" s="5">
        <v>44266.0</v>
      </c>
      <c r="Q623" s="1" t="s">
        <v>93</v>
      </c>
    </row>
    <row r="624">
      <c r="A624" s="1">
        <v>623.0</v>
      </c>
      <c r="B624" s="1" t="s">
        <v>1770</v>
      </c>
      <c r="C624" s="1" t="s">
        <v>25</v>
      </c>
      <c r="K624" s="1">
        <v>150.0</v>
      </c>
      <c r="N624" s="5">
        <v>44260.0</v>
      </c>
      <c r="Q624" s="1" t="s">
        <v>1771</v>
      </c>
    </row>
    <row r="625">
      <c r="A625" s="1">
        <v>624.0</v>
      </c>
      <c r="B625" s="1" t="s">
        <v>1772</v>
      </c>
      <c r="C625" s="1" t="s">
        <v>25</v>
      </c>
      <c r="K625" s="1">
        <v>10.0</v>
      </c>
      <c r="N625" s="5">
        <v>44096.0</v>
      </c>
      <c r="Q625" s="1" t="s">
        <v>55</v>
      </c>
    </row>
    <row r="626">
      <c r="A626" s="1">
        <v>625.0</v>
      </c>
      <c r="B626" s="1" t="s">
        <v>1773</v>
      </c>
      <c r="C626" s="1" t="s">
        <v>25</v>
      </c>
      <c r="N626" s="5">
        <v>44240.0</v>
      </c>
      <c r="Q626" s="1" t="s">
        <v>55</v>
      </c>
    </row>
    <row r="627">
      <c r="A627" s="1">
        <v>626.0</v>
      </c>
      <c r="B627" s="1" t="s">
        <v>1774</v>
      </c>
      <c r="C627" s="1" t="s">
        <v>25</v>
      </c>
      <c r="K627" s="1">
        <v>30.0</v>
      </c>
      <c r="N627" s="5">
        <v>44824.0</v>
      </c>
      <c r="Q627" s="1" t="s">
        <v>125</v>
      </c>
    </row>
    <row r="628">
      <c r="A628" s="1">
        <v>627.0</v>
      </c>
      <c r="B628" s="1" t="s">
        <v>1775</v>
      </c>
      <c r="C628" s="1" t="s">
        <v>25</v>
      </c>
      <c r="K628" s="1">
        <v>10.0</v>
      </c>
      <c r="N628" s="5">
        <v>44148.0</v>
      </c>
      <c r="Q628" s="1" t="s">
        <v>55</v>
      </c>
    </row>
    <row r="629">
      <c r="A629" s="1">
        <v>628.0</v>
      </c>
      <c r="B629" s="1" t="s">
        <v>1776</v>
      </c>
      <c r="C629" s="1" t="s">
        <v>25</v>
      </c>
      <c r="K629" s="1">
        <v>10.0</v>
      </c>
      <c r="N629" s="5">
        <v>44190.0</v>
      </c>
      <c r="Q629" s="1" t="s">
        <v>203</v>
      </c>
    </row>
    <row r="630">
      <c r="A630" s="1">
        <v>629.0</v>
      </c>
      <c r="B630" s="1" t="s">
        <v>1777</v>
      </c>
      <c r="C630" s="1" t="s">
        <v>25</v>
      </c>
      <c r="K630" s="1">
        <v>700.0</v>
      </c>
      <c r="N630" s="5">
        <v>44173.0</v>
      </c>
      <c r="Q630" s="1" t="s">
        <v>1778</v>
      </c>
    </row>
    <row r="631">
      <c r="A631" s="1">
        <v>630.0</v>
      </c>
      <c r="B631" s="1" t="s">
        <v>1779</v>
      </c>
      <c r="C631" s="1" t="s">
        <v>25</v>
      </c>
      <c r="N631" s="5">
        <v>44265.0</v>
      </c>
      <c r="Q631" s="1" t="s">
        <v>55</v>
      </c>
    </row>
    <row r="632">
      <c r="A632" s="1">
        <v>631.0</v>
      </c>
      <c r="B632" s="1" t="s">
        <v>1780</v>
      </c>
      <c r="C632" s="1" t="s">
        <v>25</v>
      </c>
      <c r="K632" s="1">
        <v>40.0</v>
      </c>
      <c r="N632" s="5">
        <v>44553.0</v>
      </c>
      <c r="Q632" s="1" t="s">
        <v>55</v>
      </c>
    </row>
    <row r="633">
      <c r="A633" s="1">
        <v>632.0</v>
      </c>
      <c r="B633" s="1" t="s">
        <v>1781</v>
      </c>
      <c r="C633" s="1" t="s">
        <v>25</v>
      </c>
      <c r="N633" s="5">
        <v>43975.0</v>
      </c>
      <c r="Q633" s="1" t="s">
        <v>55</v>
      </c>
    </row>
    <row r="634">
      <c r="A634" s="1">
        <v>633.0</v>
      </c>
      <c r="B634" s="1" t="s">
        <v>1782</v>
      </c>
      <c r="C634" s="1" t="s">
        <v>25</v>
      </c>
      <c r="K634" s="1">
        <v>250.0</v>
      </c>
      <c r="N634" s="5">
        <v>44606.0</v>
      </c>
      <c r="Q634" s="1" t="s">
        <v>1783</v>
      </c>
    </row>
    <row r="635">
      <c r="A635" s="1">
        <v>634.0</v>
      </c>
      <c r="B635" s="1" t="s">
        <v>1784</v>
      </c>
      <c r="C635" s="1" t="s">
        <v>25</v>
      </c>
      <c r="N635" s="5">
        <v>45157.0</v>
      </c>
      <c r="Q635" s="1" t="s">
        <v>55</v>
      </c>
    </row>
    <row r="636">
      <c r="A636" s="1">
        <v>635.0</v>
      </c>
      <c r="B636" s="1" t="s">
        <v>1785</v>
      </c>
      <c r="C636" s="1" t="s">
        <v>25</v>
      </c>
      <c r="N636" s="5">
        <v>44322.0</v>
      </c>
      <c r="Q636" s="1" t="s">
        <v>55</v>
      </c>
    </row>
    <row r="637">
      <c r="A637" s="1">
        <v>636.0</v>
      </c>
      <c r="B637" s="1" t="s">
        <v>1786</v>
      </c>
      <c r="C637" s="1" t="s">
        <v>25</v>
      </c>
      <c r="K637" s="1">
        <v>20.0</v>
      </c>
      <c r="N637" s="5">
        <v>45690.0</v>
      </c>
      <c r="Q637" s="1" t="s">
        <v>1787</v>
      </c>
    </row>
    <row r="638">
      <c r="A638" s="1">
        <v>637.0</v>
      </c>
      <c r="B638" s="1" t="s">
        <v>1788</v>
      </c>
      <c r="C638" s="1" t="s">
        <v>25</v>
      </c>
      <c r="K638" s="1">
        <v>100.0</v>
      </c>
      <c r="N638" s="5">
        <v>44859.0</v>
      </c>
      <c r="Q638" s="1" t="s">
        <v>1789</v>
      </c>
    </row>
    <row r="639">
      <c r="A639" s="1">
        <v>638.0</v>
      </c>
      <c r="B639" s="1" t="s">
        <v>1790</v>
      </c>
      <c r="C639" s="1" t="s">
        <v>25</v>
      </c>
      <c r="K639" s="1">
        <v>60.0</v>
      </c>
      <c r="N639" s="5">
        <v>44251.0</v>
      </c>
      <c r="Q639" s="1" t="s">
        <v>1791</v>
      </c>
    </row>
    <row r="640">
      <c r="A640" s="1">
        <v>639.0</v>
      </c>
      <c r="B640" s="1" t="s">
        <v>1792</v>
      </c>
      <c r="C640" s="1" t="s">
        <v>25</v>
      </c>
      <c r="N640" s="5">
        <v>45713.0</v>
      </c>
      <c r="Q640" s="1" t="s">
        <v>1793</v>
      </c>
    </row>
    <row r="641">
      <c r="A641" s="1">
        <v>640.0</v>
      </c>
      <c r="B641" s="1" t="s">
        <v>1794</v>
      </c>
      <c r="C641" s="1" t="s">
        <v>25</v>
      </c>
      <c r="N641" s="5">
        <v>46101.0</v>
      </c>
      <c r="Q641" s="1" t="s">
        <v>1795</v>
      </c>
    </row>
    <row r="642">
      <c r="A642" s="1">
        <v>641.0</v>
      </c>
      <c r="B642" s="1" t="s">
        <v>1796</v>
      </c>
      <c r="C642" s="1" t="s">
        <v>25</v>
      </c>
      <c r="K642" s="1">
        <v>150.0</v>
      </c>
      <c r="N642" s="5">
        <v>45707.0</v>
      </c>
      <c r="Q642" s="1" t="s">
        <v>1797</v>
      </c>
    </row>
    <row r="643">
      <c r="A643" s="1">
        <v>642.0</v>
      </c>
      <c r="B643" s="1" t="s">
        <v>1798</v>
      </c>
      <c r="C643" s="1" t="s">
        <v>25</v>
      </c>
      <c r="N643" s="5">
        <v>44853.0</v>
      </c>
      <c r="Q643" s="1" t="s">
        <v>55</v>
      </c>
    </row>
    <row r="644">
      <c r="A644" s="1">
        <v>643.0</v>
      </c>
      <c r="B644" s="1" t="s">
        <v>1799</v>
      </c>
      <c r="C644" s="1" t="s">
        <v>25</v>
      </c>
      <c r="K644" s="1">
        <v>70.0</v>
      </c>
      <c r="N644" s="5">
        <v>44292.0</v>
      </c>
      <c r="Q644" s="1" t="s">
        <v>1800</v>
      </c>
    </row>
    <row r="645">
      <c r="A645" s="1">
        <v>644.0</v>
      </c>
      <c r="B645" s="1" t="s">
        <v>1801</v>
      </c>
      <c r="C645" s="1" t="s">
        <v>25</v>
      </c>
      <c r="N645" s="5">
        <v>44344.0</v>
      </c>
      <c r="Q645" s="1" t="s">
        <v>55</v>
      </c>
    </row>
    <row r="646">
      <c r="A646" s="1">
        <v>645.0</v>
      </c>
      <c r="B646" s="1" t="s">
        <v>1802</v>
      </c>
      <c r="C646" s="1" t="s">
        <v>25</v>
      </c>
      <c r="K646" s="1">
        <v>60.0</v>
      </c>
      <c r="N646" s="5">
        <v>44962.0</v>
      </c>
      <c r="Q646" s="1" t="s">
        <v>1436</v>
      </c>
    </row>
    <row r="647">
      <c r="A647" s="1">
        <v>646.0</v>
      </c>
      <c r="B647" s="1" t="s">
        <v>1803</v>
      </c>
      <c r="C647" s="1" t="s">
        <v>25</v>
      </c>
      <c r="K647" s="1">
        <v>40.0</v>
      </c>
      <c r="N647" s="5">
        <v>45635.0</v>
      </c>
      <c r="Q647" s="1" t="s">
        <v>1804</v>
      </c>
    </row>
    <row r="648">
      <c r="A648" s="1">
        <v>647.0</v>
      </c>
      <c r="B648" s="1" t="s">
        <v>1805</v>
      </c>
      <c r="C648" s="1" t="s">
        <v>25</v>
      </c>
      <c r="K648" s="1">
        <v>100.0</v>
      </c>
      <c r="N648" s="5">
        <v>44651.0</v>
      </c>
      <c r="Q648" s="1" t="s">
        <v>55</v>
      </c>
    </row>
    <row r="649">
      <c r="A649" s="1">
        <v>648.0</v>
      </c>
      <c r="B649" s="1" t="s">
        <v>1806</v>
      </c>
      <c r="C649" s="1" t="s">
        <v>25</v>
      </c>
      <c r="N649" s="5">
        <v>44921.0</v>
      </c>
      <c r="Q649" s="1" t="s">
        <v>46</v>
      </c>
    </row>
    <row r="650">
      <c r="A650" s="1">
        <v>649.0</v>
      </c>
      <c r="B650" s="1" t="s">
        <v>1807</v>
      </c>
      <c r="C650" s="1" t="s">
        <v>25</v>
      </c>
      <c r="K650" s="1">
        <v>200.0</v>
      </c>
      <c r="N650" s="5">
        <v>45776.0</v>
      </c>
      <c r="Q650" s="1" t="s">
        <v>1808</v>
      </c>
    </row>
    <row r="651">
      <c r="A651" s="1">
        <v>650.0</v>
      </c>
      <c r="B651" s="1" t="s">
        <v>1809</v>
      </c>
      <c r="C651" s="1" t="s">
        <v>25</v>
      </c>
      <c r="K651" s="1">
        <v>100.0</v>
      </c>
      <c r="N651" s="5">
        <v>45140.0</v>
      </c>
      <c r="Q651" s="1" t="s">
        <v>1810</v>
      </c>
    </row>
    <row r="652">
      <c r="A652" s="1">
        <v>651.0</v>
      </c>
      <c r="B652" s="1" t="s">
        <v>1811</v>
      </c>
      <c r="C652" s="1" t="s">
        <v>25</v>
      </c>
      <c r="K652" s="1">
        <v>40.0</v>
      </c>
      <c r="N652" s="5">
        <v>44571.0</v>
      </c>
      <c r="Q652" s="1" t="s">
        <v>55</v>
      </c>
    </row>
    <row r="653">
      <c r="A653" s="1">
        <v>652.0</v>
      </c>
      <c r="B653" s="1" t="s">
        <v>89</v>
      </c>
      <c r="C653" s="1" t="s">
        <v>25</v>
      </c>
      <c r="K653" s="1">
        <v>10.0</v>
      </c>
      <c r="N653" s="5">
        <v>44261.0</v>
      </c>
      <c r="Q653" s="1" t="s">
        <v>55</v>
      </c>
    </row>
    <row r="654">
      <c r="A654" s="1">
        <v>653.0</v>
      </c>
      <c r="B654" s="1" t="s">
        <v>1812</v>
      </c>
      <c r="C654" s="1" t="s">
        <v>25</v>
      </c>
      <c r="N654" s="5">
        <v>45582.0</v>
      </c>
      <c r="Q654" s="1" t="s">
        <v>1813</v>
      </c>
    </row>
    <row r="655">
      <c r="A655" s="1">
        <v>654.0</v>
      </c>
      <c r="B655" s="1" t="s">
        <v>1814</v>
      </c>
      <c r="C655" s="1" t="s">
        <v>25</v>
      </c>
      <c r="K655" s="1">
        <v>70.0</v>
      </c>
      <c r="N655" s="5">
        <v>45148.0</v>
      </c>
      <c r="Q655" s="1" t="s">
        <v>1815</v>
      </c>
    </row>
    <row r="656">
      <c r="A656" s="1">
        <v>655.0</v>
      </c>
      <c r="B656" s="1" t="s">
        <v>1816</v>
      </c>
      <c r="C656" s="1" t="s">
        <v>25</v>
      </c>
      <c r="K656" s="1">
        <v>10.0</v>
      </c>
      <c r="N656" s="5">
        <v>45224.0</v>
      </c>
      <c r="Q656" s="1" t="s">
        <v>1396</v>
      </c>
    </row>
    <row r="657">
      <c r="A657" s="1">
        <v>656.0</v>
      </c>
      <c r="B657" s="1" t="s">
        <v>1817</v>
      </c>
      <c r="C657" s="1" t="s">
        <v>25</v>
      </c>
      <c r="K657" s="1">
        <v>20.0</v>
      </c>
      <c r="N657" s="5">
        <v>43959.0</v>
      </c>
      <c r="Q657" s="1" t="s">
        <v>1818</v>
      </c>
    </row>
    <row r="658">
      <c r="A658" s="1">
        <v>657.0</v>
      </c>
      <c r="B658" s="1" t="s">
        <v>1819</v>
      </c>
      <c r="C658" s="1" t="s">
        <v>25</v>
      </c>
      <c r="K658" s="1">
        <v>10.0</v>
      </c>
      <c r="N658" s="5">
        <v>44608.0</v>
      </c>
      <c r="Q658" s="1" t="s">
        <v>1820</v>
      </c>
    </row>
    <row r="659">
      <c r="A659" s="1">
        <v>658.0</v>
      </c>
      <c r="B659" s="1" t="s">
        <v>1821</v>
      </c>
      <c r="C659" s="1" t="s">
        <v>25</v>
      </c>
      <c r="K659" s="1">
        <v>100.0</v>
      </c>
      <c r="N659" s="5">
        <v>45154.0</v>
      </c>
      <c r="Q659" s="1" t="s">
        <v>1822</v>
      </c>
    </row>
    <row r="660">
      <c r="A660" s="1">
        <v>659.0</v>
      </c>
      <c r="B660" s="1" t="s">
        <v>1823</v>
      </c>
      <c r="C660" s="1" t="s">
        <v>25</v>
      </c>
      <c r="K660" s="1">
        <v>150.0</v>
      </c>
      <c r="N660" s="5">
        <v>45400.0</v>
      </c>
      <c r="Q660" s="1" t="s">
        <v>1824</v>
      </c>
    </row>
    <row r="661">
      <c r="A661" s="1">
        <v>660.0</v>
      </c>
      <c r="B661" s="1" t="s">
        <v>1825</v>
      </c>
      <c r="C661" s="1" t="s">
        <v>25</v>
      </c>
      <c r="K661" s="1">
        <v>80.0</v>
      </c>
      <c r="N661" s="5">
        <v>44155.0</v>
      </c>
      <c r="Q661" s="1" t="s">
        <v>1826</v>
      </c>
    </row>
    <row r="662">
      <c r="A662" s="1">
        <v>661.0</v>
      </c>
      <c r="B662" s="1" t="s">
        <v>1827</v>
      </c>
      <c r="C662" s="1" t="s">
        <v>25</v>
      </c>
      <c r="K662" s="1">
        <v>90.0</v>
      </c>
      <c r="N662" s="5">
        <v>45173.0</v>
      </c>
      <c r="Q662" s="1" t="s">
        <v>1066</v>
      </c>
    </row>
    <row r="663">
      <c r="A663" s="1">
        <v>662.0</v>
      </c>
      <c r="B663" s="1" t="s">
        <v>1828</v>
      </c>
      <c r="C663" s="1" t="s">
        <v>25</v>
      </c>
      <c r="K663" s="1">
        <v>60.0</v>
      </c>
      <c r="N663" s="5">
        <v>45098.0</v>
      </c>
      <c r="Q663" s="1" t="s">
        <v>1829</v>
      </c>
    </row>
    <row r="664">
      <c r="A664" s="1">
        <v>663.0</v>
      </c>
      <c r="B664" s="1" t="s">
        <v>1830</v>
      </c>
      <c r="C664" s="1" t="s">
        <v>25</v>
      </c>
      <c r="K664" s="1">
        <v>40.0</v>
      </c>
      <c r="N664" s="5">
        <v>45602.0</v>
      </c>
      <c r="Q664" s="1" t="s">
        <v>1831</v>
      </c>
    </row>
    <row r="665">
      <c r="A665" s="1">
        <v>664.0</v>
      </c>
      <c r="B665" s="1" t="s">
        <v>1832</v>
      </c>
      <c r="C665" s="1" t="s">
        <v>25</v>
      </c>
      <c r="K665" s="1">
        <v>500.0</v>
      </c>
      <c r="N665" s="5">
        <v>43930.0</v>
      </c>
      <c r="Q665" s="1" t="s">
        <v>1833</v>
      </c>
    </row>
    <row r="666">
      <c r="A666" s="1">
        <v>665.0</v>
      </c>
      <c r="B666" s="1" t="s">
        <v>1834</v>
      </c>
      <c r="C666" s="1" t="s">
        <v>25</v>
      </c>
      <c r="N666" s="5">
        <v>44118.0</v>
      </c>
      <c r="Q666" s="1" t="s">
        <v>55</v>
      </c>
    </row>
    <row r="667">
      <c r="A667" s="1">
        <v>666.0</v>
      </c>
      <c r="B667" s="1" t="s">
        <v>1835</v>
      </c>
      <c r="C667" s="1" t="s">
        <v>25</v>
      </c>
      <c r="K667" s="1">
        <v>200.0</v>
      </c>
      <c r="N667" s="5">
        <v>44673.0</v>
      </c>
      <c r="Q667" s="1" t="s">
        <v>1836</v>
      </c>
    </row>
    <row r="668">
      <c r="A668" s="1">
        <v>667.0</v>
      </c>
      <c r="B668" s="1" t="s">
        <v>1837</v>
      </c>
      <c r="C668" s="1" t="s">
        <v>25</v>
      </c>
      <c r="K668" s="1">
        <v>200.0</v>
      </c>
      <c r="N668" s="5">
        <v>45714.0</v>
      </c>
      <c r="Q668" s="1" t="s">
        <v>1838</v>
      </c>
    </row>
    <row r="669">
      <c r="A669" s="1">
        <v>668.0</v>
      </c>
      <c r="B669" s="1" t="s">
        <v>1839</v>
      </c>
      <c r="C669" s="1" t="s">
        <v>25</v>
      </c>
      <c r="K669" s="1">
        <v>40.0</v>
      </c>
      <c r="N669" s="5">
        <v>44110.0</v>
      </c>
      <c r="Q669" s="1" t="s">
        <v>55</v>
      </c>
    </row>
    <row r="670">
      <c r="A670" s="1">
        <v>669.0</v>
      </c>
      <c r="B670" s="1" t="s">
        <v>1840</v>
      </c>
      <c r="C670" s="1" t="s">
        <v>25</v>
      </c>
      <c r="K670" s="1">
        <v>100.0</v>
      </c>
      <c r="N670" s="5">
        <v>43939.0</v>
      </c>
      <c r="Q670" s="1" t="s">
        <v>1841</v>
      </c>
    </row>
    <row r="671">
      <c r="A671" s="1">
        <v>670.0</v>
      </c>
      <c r="B671" s="1" t="s">
        <v>1842</v>
      </c>
      <c r="C671" s="1" t="s">
        <v>25</v>
      </c>
      <c r="K671" s="1">
        <v>150.0</v>
      </c>
      <c r="N671" s="5">
        <v>44418.0</v>
      </c>
      <c r="Q671" s="1" t="s">
        <v>1843</v>
      </c>
    </row>
    <row r="672">
      <c r="A672" s="1">
        <v>671.0</v>
      </c>
      <c r="B672" s="1" t="s">
        <v>1844</v>
      </c>
      <c r="C672" s="1" t="s">
        <v>25</v>
      </c>
      <c r="N672" s="5">
        <v>45412.0</v>
      </c>
      <c r="Q672" s="1" t="s">
        <v>46</v>
      </c>
    </row>
    <row r="673">
      <c r="A673" s="1">
        <v>672.0</v>
      </c>
      <c r="B673" s="1" t="s">
        <v>1845</v>
      </c>
      <c r="C673" s="1" t="s">
        <v>25</v>
      </c>
      <c r="K673" s="1">
        <v>350.0</v>
      </c>
      <c r="N673" s="5">
        <v>43858.0</v>
      </c>
      <c r="Q673" s="1" t="s">
        <v>1846</v>
      </c>
    </row>
    <row r="674">
      <c r="A674" s="1">
        <v>673.0</v>
      </c>
      <c r="B674" s="1" t="s">
        <v>1847</v>
      </c>
      <c r="C674" s="1" t="s">
        <v>25</v>
      </c>
      <c r="K674" s="1">
        <v>100.0</v>
      </c>
      <c r="N674" s="5">
        <v>43852.0</v>
      </c>
      <c r="Q674" s="1" t="s">
        <v>1848</v>
      </c>
    </row>
    <row r="675">
      <c r="A675" s="1">
        <v>674.0</v>
      </c>
      <c r="B675" s="1" t="s">
        <v>1849</v>
      </c>
      <c r="C675" s="1" t="s">
        <v>25</v>
      </c>
      <c r="K675" s="1">
        <v>60.0</v>
      </c>
      <c r="N675" s="5">
        <v>45652.0</v>
      </c>
      <c r="Q675" s="1" t="s">
        <v>1850</v>
      </c>
    </row>
    <row r="676">
      <c r="A676" s="1">
        <v>675.0</v>
      </c>
      <c r="B676" s="1" t="s">
        <v>1851</v>
      </c>
      <c r="C676" s="1" t="s">
        <v>25</v>
      </c>
      <c r="N676" s="5">
        <v>46103.0</v>
      </c>
      <c r="Q676" s="1" t="s">
        <v>1852</v>
      </c>
    </row>
    <row r="677">
      <c r="A677" s="1">
        <v>676.0</v>
      </c>
      <c r="B677" s="1" t="s">
        <v>1853</v>
      </c>
      <c r="C677" s="1" t="s">
        <v>25</v>
      </c>
      <c r="K677" s="1">
        <v>50.0</v>
      </c>
      <c r="N677" s="5">
        <v>44415.0</v>
      </c>
      <c r="Q677" s="1" t="s">
        <v>1854</v>
      </c>
    </row>
    <row r="678">
      <c r="A678" s="1">
        <v>677.0</v>
      </c>
      <c r="B678" s="1" t="s">
        <v>1855</v>
      </c>
      <c r="C678" s="1" t="s">
        <v>25</v>
      </c>
      <c r="N678" s="5">
        <v>45330.0</v>
      </c>
      <c r="Q678" s="1" t="s">
        <v>1856</v>
      </c>
    </row>
    <row r="679">
      <c r="A679" s="1">
        <v>678.0</v>
      </c>
      <c r="B679" s="1" t="s">
        <v>1857</v>
      </c>
      <c r="C679" s="1" t="s">
        <v>25</v>
      </c>
      <c r="K679" s="1">
        <v>30.0</v>
      </c>
      <c r="N679" s="5">
        <v>44305.0</v>
      </c>
      <c r="Q679" s="1" t="s">
        <v>1858</v>
      </c>
    </row>
    <row r="680">
      <c r="A680" s="1">
        <v>679.0</v>
      </c>
      <c r="B680" s="1" t="s">
        <v>1859</v>
      </c>
      <c r="C680" s="1" t="s">
        <v>25</v>
      </c>
      <c r="K680" s="1">
        <v>30.0</v>
      </c>
      <c r="N680" s="5">
        <v>44845.0</v>
      </c>
      <c r="Q680" s="1" t="s">
        <v>1860</v>
      </c>
    </row>
    <row r="681">
      <c r="A681" s="1">
        <v>680.0</v>
      </c>
      <c r="B681" s="1" t="s">
        <v>1861</v>
      </c>
      <c r="C681" s="1" t="s">
        <v>25</v>
      </c>
      <c r="K681" s="1">
        <v>150.0</v>
      </c>
      <c r="N681" s="5">
        <v>45208.0</v>
      </c>
      <c r="Q681" s="1" t="s">
        <v>1862</v>
      </c>
    </row>
    <row r="682">
      <c r="A682" s="1">
        <v>681.0</v>
      </c>
      <c r="B682" s="1" t="s">
        <v>1863</v>
      </c>
      <c r="C682" s="1" t="s">
        <v>25</v>
      </c>
      <c r="N682" s="5">
        <v>44762.0</v>
      </c>
      <c r="Q682" s="1" t="s">
        <v>55</v>
      </c>
    </row>
    <row r="683">
      <c r="A683" s="1">
        <v>682.0</v>
      </c>
      <c r="B683" s="1" t="s">
        <v>1864</v>
      </c>
      <c r="C683" s="1" t="s">
        <v>25</v>
      </c>
      <c r="K683" s="1">
        <v>10.0</v>
      </c>
      <c r="N683" s="5">
        <v>44604.0</v>
      </c>
      <c r="Q683" s="1" t="s">
        <v>55</v>
      </c>
    </row>
    <row r="684">
      <c r="A684" s="1">
        <v>683.0</v>
      </c>
      <c r="B684" s="1" t="s">
        <v>1865</v>
      </c>
      <c r="C684" s="1" t="s">
        <v>25</v>
      </c>
      <c r="N684" s="5">
        <v>44006.0</v>
      </c>
      <c r="Q684" s="1" t="s">
        <v>55</v>
      </c>
    </row>
    <row r="685">
      <c r="A685" s="1">
        <v>684.0</v>
      </c>
      <c r="B685" s="1" t="s">
        <v>1866</v>
      </c>
      <c r="C685" s="1" t="s">
        <v>25</v>
      </c>
      <c r="K685" s="1">
        <v>30.0</v>
      </c>
      <c r="N685" s="5">
        <v>44802.0</v>
      </c>
      <c r="Q685" s="1" t="s">
        <v>345</v>
      </c>
    </row>
    <row r="686">
      <c r="A686" s="1">
        <v>685.0</v>
      </c>
      <c r="B686" s="1" t="s">
        <v>1867</v>
      </c>
      <c r="C686" s="1" t="s">
        <v>25</v>
      </c>
      <c r="K686" s="1">
        <v>90.0</v>
      </c>
      <c r="N686" s="5">
        <v>44127.0</v>
      </c>
      <c r="Q686" s="1" t="s">
        <v>1868</v>
      </c>
    </row>
    <row r="687">
      <c r="A687" s="1">
        <v>686.0</v>
      </c>
      <c r="B687" s="1" t="s">
        <v>1869</v>
      </c>
      <c r="C687" s="1" t="s">
        <v>25</v>
      </c>
      <c r="K687" s="1">
        <v>150.0</v>
      </c>
      <c r="N687" s="5">
        <v>45704.0</v>
      </c>
      <c r="Q687" s="1" t="s">
        <v>1870</v>
      </c>
    </row>
    <row r="688">
      <c r="A688" s="1">
        <v>687.0</v>
      </c>
      <c r="B688" s="1" t="s">
        <v>1871</v>
      </c>
      <c r="C688" s="1" t="s">
        <v>25</v>
      </c>
      <c r="N688" s="5">
        <v>44344.0</v>
      </c>
      <c r="Q688" s="1" t="s">
        <v>55</v>
      </c>
    </row>
    <row r="689">
      <c r="A689" s="1">
        <v>688.0</v>
      </c>
      <c r="B689" s="1" t="s">
        <v>1872</v>
      </c>
      <c r="C689" s="1" t="s">
        <v>25</v>
      </c>
      <c r="N689" s="5">
        <v>43999.0</v>
      </c>
      <c r="Q689" s="1" t="s">
        <v>55</v>
      </c>
    </row>
    <row r="690">
      <c r="A690" s="1">
        <v>689.0</v>
      </c>
      <c r="B690" s="1" t="s">
        <v>1873</v>
      </c>
      <c r="C690" s="1" t="s">
        <v>25</v>
      </c>
      <c r="K690" s="1">
        <v>60.0</v>
      </c>
      <c r="N690" s="5">
        <v>45528.0</v>
      </c>
      <c r="Q690" s="1" t="s">
        <v>1874</v>
      </c>
    </row>
    <row r="691">
      <c r="A691" s="1">
        <v>690.0</v>
      </c>
      <c r="B691" s="1" t="s">
        <v>1875</v>
      </c>
      <c r="C691" s="1" t="s">
        <v>25</v>
      </c>
      <c r="K691" s="1">
        <v>50.0</v>
      </c>
      <c r="N691" s="5">
        <v>44553.0</v>
      </c>
      <c r="Q691" s="1" t="s">
        <v>1876</v>
      </c>
    </row>
    <row r="692">
      <c r="A692" s="1">
        <v>691.0</v>
      </c>
      <c r="B692" s="1" t="s">
        <v>1877</v>
      </c>
      <c r="C692" s="1" t="s">
        <v>25</v>
      </c>
      <c r="K692" s="1">
        <v>40.0</v>
      </c>
      <c r="N692" s="5">
        <v>44491.0</v>
      </c>
      <c r="Q692" s="1" t="s">
        <v>55</v>
      </c>
    </row>
    <row r="693">
      <c r="A693" s="1">
        <v>692.0</v>
      </c>
      <c r="B693" s="1" t="s">
        <v>1878</v>
      </c>
      <c r="C693" s="1" t="s">
        <v>25</v>
      </c>
      <c r="K693" s="1">
        <v>10.0</v>
      </c>
      <c r="N693" s="5">
        <v>45343.0</v>
      </c>
      <c r="Q693" s="1" t="s">
        <v>55</v>
      </c>
    </row>
    <row r="694">
      <c r="A694" s="1">
        <v>693.0</v>
      </c>
      <c r="B694" s="1" t="s">
        <v>1879</v>
      </c>
      <c r="C694" s="1" t="s">
        <v>25</v>
      </c>
      <c r="K694" s="1">
        <v>40.0</v>
      </c>
      <c r="N694" s="5">
        <v>44027.0</v>
      </c>
      <c r="Q694" s="1" t="s">
        <v>55</v>
      </c>
    </row>
    <row r="695">
      <c r="A695" s="1">
        <v>694.0</v>
      </c>
      <c r="B695" s="1" t="s">
        <v>1880</v>
      </c>
      <c r="C695" s="1" t="s">
        <v>25</v>
      </c>
      <c r="K695" s="1">
        <v>40.0</v>
      </c>
      <c r="N695" s="5">
        <v>45610.0</v>
      </c>
      <c r="Q695" s="1" t="s">
        <v>1881</v>
      </c>
    </row>
    <row r="696">
      <c r="A696" s="1">
        <v>695.0</v>
      </c>
      <c r="B696" s="1" t="s">
        <v>1882</v>
      </c>
      <c r="C696" s="1" t="s">
        <v>25</v>
      </c>
      <c r="K696" s="1">
        <v>10.0</v>
      </c>
      <c r="N696" s="5">
        <v>44499.0</v>
      </c>
      <c r="Q696" s="1" t="s">
        <v>55</v>
      </c>
    </row>
    <row r="697">
      <c r="A697" s="1">
        <v>696.0</v>
      </c>
      <c r="B697" s="1" t="s">
        <v>1883</v>
      </c>
      <c r="C697" s="1" t="s">
        <v>25</v>
      </c>
      <c r="N697" s="5">
        <v>44222.0</v>
      </c>
      <c r="Q697" s="1" t="s">
        <v>55</v>
      </c>
    </row>
    <row r="698">
      <c r="A698" s="1">
        <v>697.0</v>
      </c>
      <c r="B698" s="1" t="s">
        <v>92</v>
      </c>
      <c r="C698" s="1" t="s">
        <v>25</v>
      </c>
      <c r="K698" s="1">
        <v>40.0</v>
      </c>
      <c r="N698" s="5">
        <v>44491.0</v>
      </c>
      <c r="Q698" s="1" t="s">
        <v>93</v>
      </c>
    </row>
    <row r="699">
      <c r="A699" s="1">
        <v>698.0</v>
      </c>
      <c r="B699" s="1" t="s">
        <v>1884</v>
      </c>
      <c r="C699" s="1" t="s">
        <v>25</v>
      </c>
      <c r="K699" s="1">
        <v>30.0</v>
      </c>
      <c r="N699" s="5">
        <v>44232.0</v>
      </c>
      <c r="Q699" s="1" t="s">
        <v>1885</v>
      </c>
    </row>
    <row r="700">
      <c r="A700" s="1">
        <v>699.0</v>
      </c>
      <c r="B700" s="1" t="s">
        <v>1886</v>
      </c>
      <c r="C700" s="1" t="s">
        <v>25</v>
      </c>
      <c r="K700" s="1">
        <v>20.0</v>
      </c>
      <c r="N700" s="5">
        <v>44598.0</v>
      </c>
      <c r="Q700" s="1" t="s">
        <v>55</v>
      </c>
    </row>
    <row r="701">
      <c r="A701" s="1">
        <v>700.0</v>
      </c>
      <c r="B701" s="1" t="s">
        <v>1887</v>
      </c>
      <c r="C701" s="1" t="s">
        <v>25</v>
      </c>
      <c r="K701" s="1">
        <v>60.0</v>
      </c>
      <c r="N701" s="5">
        <v>45096.0</v>
      </c>
      <c r="Q701" s="1" t="s">
        <v>633</v>
      </c>
    </row>
    <row r="702">
      <c r="A702" s="1">
        <v>701.0</v>
      </c>
      <c r="B702" s="1" t="s">
        <v>1888</v>
      </c>
      <c r="C702" s="1" t="s">
        <v>25</v>
      </c>
      <c r="K702" s="1">
        <v>10.0</v>
      </c>
      <c r="N702" s="5">
        <v>44006.0</v>
      </c>
      <c r="Q702" s="1" t="s">
        <v>569</v>
      </c>
    </row>
    <row r="703">
      <c r="A703" s="1">
        <v>702.0</v>
      </c>
      <c r="B703" s="1" t="s">
        <v>1889</v>
      </c>
      <c r="C703" s="1" t="s">
        <v>25</v>
      </c>
      <c r="K703" s="1">
        <v>10.0</v>
      </c>
      <c r="N703" s="5">
        <v>44447.0</v>
      </c>
      <c r="Q703" s="1" t="s">
        <v>1890</v>
      </c>
    </row>
    <row r="704">
      <c r="A704" s="1">
        <v>703.0</v>
      </c>
      <c r="B704" s="1" t="s">
        <v>1891</v>
      </c>
      <c r="C704" s="1" t="s">
        <v>25</v>
      </c>
      <c r="K704" s="1">
        <v>450.0</v>
      </c>
      <c r="N704" s="5">
        <v>43952.0</v>
      </c>
      <c r="Q704" s="1" t="s">
        <v>1892</v>
      </c>
    </row>
    <row r="705">
      <c r="A705" s="1">
        <v>704.0</v>
      </c>
      <c r="B705" s="1" t="s">
        <v>1893</v>
      </c>
      <c r="C705" s="1" t="s">
        <v>25</v>
      </c>
      <c r="N705" s="5">
        <v>45596.0</v>
      </c>
      <c r="Q705" s="1" t="s">
        <v>1724</v>
      </c>
    </row>
    <row r="706">
      <c r="A706" s="1">
        <v>705.0</v>
      </c>
      <c r="B706" s="1" t="s">
        <v>1894</v>
      </c>
      <c r="C706" s="1" t="s">
        <v>25</v>
      </c>
      <c r="K706" s="1">
        <v>90.0</v>
      </c>
      <c r="N706" s="5">
        <v>44246.0</v>
      </c>
      <c r="Q706" s="1" t="s">
        <v>1895</v>
      </c>
    </row>
    <row r="707">
      <c r="A707" s="1">
        <v>706.0</v>
      </c>
      <c r="B707" s="1" t="s">
        <v>1896</v>
      </c>
      <c r="C707" s="1" t="s">
        <v>25</v>
      </c>
      <c r="K707" s="1">
        <v>100.0</v>
      </c>
      <c r="N707" s="5">
        <v>45680.0</v>
      </c>
      <c r="Q707" s="1" t="s">
        <v>1897</v>
      </c>
    </row>
    <row r="708">
      <c r="A708" s="1">
        <v>707.0</v>
      </c>
      <c r="B708" s="1" t="s">
        <v>1898</v>
      </c>
      <c r="C708" s="1" t="s">
        <v>25</v>
      </c>
      <c r="N708" s="5">
        <v>44056.0</v>
      </c>
      <c r="Q708" s="1" t="s">
        <v>55</v>
      </c>
    </row>
    <row r="709">
      <c r="A709" s="1">
        <v>708.0</v>
      </c>
      <c r="B709" s="1" t="s">
        <v>96</v>
      </c>
      <c r="C709" s="1" t="s">
        <v>25</v>
      </c>
      <c r="K709" s="1">
        <v>40.0</v>
      </c>
      <c r="N709" s="5">
        <v>45095.0</v>
      </c>
      <c r="Q709" s="1" t="s">
        <v>97</v>
      </c>
    </row>
    <row r="710">
      <c r="A710" s="1">
        <v>709.0</v>
      </c>
      <c r="B710" s="1" t="s">
        <v>1899</v>
      </c>
      <c r="C710" s="1" t="s">
        <v>25</v>
      </c>
      <c r="N710" s="5">
        <v>44835.0</v>
      </c>
      <c r="Q710" s="1" t="s">
        <v>1387</v>
      </c>
    </row>
    <row r="711">
      <c r="A711" s="1">
        <v>710.0</v>
      </c>
      <c r="B711" s="1" t="s">
        <v>1900</v>
      </c>
      <c r="C711" s="1" t="s">
        <v>25</v>
      </c>
      <c r="K711" s="1">
        <v>150.0</v>
      </c>
      <c r="N711" s="5">
        <v>43968.0</v>
      </c>
      <c r="Q711" s="1" t="s">
        <v>1901</v>
      </c>
    </row>
    <row r="712">
      <c r="A712" s="1">
        <v>711.0</v>
      </c>
      <c r="B712" s="1" t="s">
        <v>1902</v>
      </c>
      <c r="C712" s="1" t="s">
        <v>25</v>
      </c>
      <c r="K712" s="1">
        <v>10.0</v>
      </c>
      <c r="N712" s="5">
        <v>44715.0</v>
      </c>
      <c r="Q712" s="1" t="s">
        <v>55</v>
      </c>
    </row>
    <row r="713">
      <c r="A713" s="1">
        <v>712.0</v>
      </c>
      <c r="B713" s="1" t="s">
        <v>1903</v>
      </c>
      <c r="C713" s="1" t="s">
        <v>25</v>
      </c>
      <c r="K713" s="1">
        <v>90.0</v>
      </c>
      <c r="N713" s="5">
        <v>44604.0</v>
      </c>
      <c r="Q713" s="1" t="s">
        <v>46</v>
      </c>
    </row>
    <row r="714">
      <c r="A714" s="1">
        <v>713.0</v>
      </c>
      <c r="B714" s="1" t="s">
        <v>1904</v>
      </c>
      <c r="C714" s="1" t="s">
        <v>25</v>
      </c>
      <c r="N714" s="5">
        <v>44079.0</v>
      </c>
      <c r="Q714" s="1" t="s">
        <v>125</v>
      </c>
    </row>
    <row r="715">
      <c r="A715" s="1">
        <v>714.0</v>
      </c>
      <c r="B715" s="1" t="s">
        <v>1905</v>
      </c>
      <c r="C715" s="1" t="s">
        <v>25</v>
      </c>
      <c r="K715" s="1">
        <v>100.0</v>
      </c>
      <c r="N715" s="5">
        <v>45685.0</v>
      </c>
      <c r="Q715" s="1" t="s">
        <v>1906</v>
      </c>
    </row>
    <row r="716">
      <c r="A716" s="1">
        <v>715.0</v>
      </c>
      <c r="B716" s="1" t="s">
        <v>1907</v>
      </c>
      <c r="C716" s="1" t="s">
        <v>25</v>
      </c>
      <c r="K716" s="1">
        <v>30.0</v>
      </c>
      <c r="N716" s="5">
        <v>44512.0</v>
      </c>
      <c r="Q716" s="1" t="s">
        <v>55</v>
      </c>
    </row>
    <row r="717">
      <c r="A717" s="1">
        <v>716.0</v>
      </c>
      <c r="B717" s="1" t="s">
        <v>1908</v>
      </c>
      <c r="C717" s="1" t="s">
        <v>25</v>
      </c>
      <c r="N717" s="5">
        <v>43939.0</v>
      </c>
      <c r="Q717" s="1" t="s">
        <v>55</v>
      </c>
    </row>
    <row r="718">
      <c r="A718" s="1">
        <v>717.0</v>
      </c>
      <c r="B718" s="1" t="s">
        <v>1909</v>
      </c>
      <c r="C718" s="1" t="s">
        <v>25</v>
      </c>
      <c r="N718" s="5">
        <v>46103.0</v>
      </c>
      <c r="Q718" s="1" t="s">
        <v>1910</v>
      </c>
    </row>
    <row r="719">
      <c r="A719" s="1">
        <v>718.0</v>
      </c>
      <c r="B719" s="1" t="s">
        <v>1911</v>
      </c>
      <c r="C719" s="1" t="s">
        <v>25</v>
      </c>
      <c r="K719" s="1">
        <v>20.0</v>
      </c>
      <c r="N719" s="5">
        <v>45577.0</v>
      </c>
      <c r="Q719" s="1" t="s">
        <v>1912</v>
      </c>
    </row>
    <row r="720">
      <c r="A720" s="1">
        <v>719.0</v>
      </c>
      <c r="B720" s="1" t="s">
        <v>1913</v>
      </c>
      <c r="C720" s="1" t="s">
        <v>25</v>
      </c>
      <c r="K720" s="1">
        <v>90.0</v>
      </c>
      <c r="N720" s="5">
        <v>45590.0</v>
      </c>
      <c r="Q720" s="1" t="s">
        <v>1914</v>
      </c>
    </row>
    <row r="721">
      <c r="A721" s="1">
        <v>720.0</v>
      </c>
      <c r="B721" s="1" t="s">
        <v>1915</v>
      </c>
      <c r="C721" s="1" t="s">
        <v>25</v>
      </c>
      <c r="K721" s="1">
        <v>100.0</v>
      </c>
      <c r="N721" s="5">
        <v>45153.0</v>
      </c>
      <c r="Q721" s="1" t="s">
        <v>1724</v>
      </c>
    </row>
    <row r="722">
      <c r="A722" s="1">
        <v>721.0</v>
      </c>
      <c r="B722" s="1" t="s">
        <v>1916</v>
      </c>
      <c r="C722" s="1" t="s">
        <v>25</v>
      </c>
      <c r="K722" s="1">
        <v>10.0</v>
      </c>
      <c r="N722" s="5">
        <v>43975.0</v>
      </c>
      <c r="Q722" s="1" t="s">
        <v>55</v>
      </c>
    </row>
    <row r="723">
      <c r="A723" s="1">
        <v>722.0</v>
      </c>
      <c r="B723" s="1" t="s">
        <v>1917</v>
      </c>
      <c r="C723" s="1" t="s">
        <v>25</v>
      </c>
      <c r="K723" s="1">
        <v>100.0</v>
      </c>
      <c r="N723" s="5">
        <v>44222.0</v>
      </c>
      <c r="Q723" s="1" t="s">
        <v>203</v>
      </c>
    </row>
    <row r="724">
      <c r="A724" s="1">
        <v>723.0</v>
      </c>
      <c r="B724" s="1" t="s">
        <v>181</v>
      </c>
      <c r="C724" s="1" t="s">
        <v>25</v>
      </c>
      <c r="K724" s="1">
        <v>100.0</v>
      </c>
      <c r="N724" s="5">
        <v>44089.0</v>
      </c>
      <c r="Q724" s="1" t="s">
        <v>185</v>
      </c>
    </row>
    <row r="725">
      <c r="A725" s="1">
        <v>724.0</v>
      </c>
      <c r="B725" s="1" t="s">
        <v>1918</v>
      </c>
      <c r="C725" s="1" t="s">
        <v>25</v>
      </c>
      <c r="K725" s="1">
        <v>50.0</v>
      </c>
      <c r="N725" s="5">
        <v>44342.0</v>
      </c>
      <c r="Q725" s="1" t="s">
        <v>172</v>
      </c>
    </row>
    <row r="726">
      <c r="A726" s="1">
        <v>725.0</v>
      </c>
      <c r="B726" s="1" t="s">
        <v>1919</v>
      </c>
      <c r="C726" s="1" t="s">
        <v>25</v>
      </c>
      <c r="K726" s="1">
        <v>80.0</v>
      </c>
      <c r="N726" s="5">
        <v>44607.0</v>
      </c>
      <c r="Q726" s="1" t="s">
        <v>1678</v>
      </c>
    </row>
    <row r="727">
      <c r="A727" s="1">
        <v>726.0</v>
      </c>
      <c r="B727" s="1" t="s">
        <v>1920</v>
      </c>
      <c r="C727" s="1" t="s">
        <v>25</v>
      </c>
      <c r="K727" s="1">
        <v>250.0</v>
      </c>
      <c r="N727" s="5">
        <v>43840.0</v>
      </c>
      <c r="Q727" s="1" t="s">
        <v>1921</v>
      </c>
    </row>
    <row r="728">
      <c r="A728" s="1">
        <v>727.0</v>
      </c>
      <c r="B728" s="1" t="s">
        <v>1922</v>
      </c>
      <c r="C728" s="1" t="s">
        <v>25</v>
      </c>
      <c r="K728" s="1">
        <v>40.0</v>
      </c>
      <c r="N728" s="5">
        <v>44280.0</v>
      </c>
      <c r="Q728" s="1" t="s">
        <v>1923</v>
      </c>
    </row>
    <row r="729">
      <c r="A729" s="1">
        <v>728.0</v>
      </c>
      <c r="B729" s="1" t="s">
        <v>1924</v>
      </c>
      <c r="C729" s="1" t="s">
        <v>25</v>
      </c>
      <c r="K729" s="1">
        <v>200.0</v>
      </c>
      <c r="N729" s="5">
        <v>43871.0</v>
      </c>
      <c r="Q729" s="1" t="s">
        <v>1925</v>
      </c>
    </row>
    <row r="730">
      <c r="A730" s="1">
        <v>729.0</v>
      </c>
      <c r="B730" s="1" t="s">
        <v>1926</v>
      </c>
      <c r="C730" s="1" t="s">
        <v>25</v>
      </c>
      <c r="K730" s="1">
        <v>20.0</v>
      </c>
      <c r="N730" s="5">
        <v>44257.0</v>
      </c>
      <c r="Q730" s="1" t="s">
        <v>125</v>
      </c>
    </row>
    <row r="731">
      <c r="A731" s="1">
        <v>730.0</v>
      </c>
      <c r="B731" s="1" t="s">
        <v>1927</v>
      </c>
      <c r="C731" s="1" t="s">
        <v>25</v>
      </c>
      <c r="N731" s="5">
        <v>44179.0</v>
      </c>
      <c r="Q731" s="1" t="s">
        <v>55</v>
      </c>
    </row>
    <row r="732">
      <c r="A732" s="1">
        <v>731.0</v>
      </c>
      <c r="B732" s="1" t="s">
        <v>1928</v>
      </c>
      <c r="C732" s="1" t="s">
        <v>25</v>
      </c>
      <c r="N732" s="5">
        <v>42576.0</v>
      </c>
      <c r="Q732" s="1" t="s">
        <v>1929</v>
      </c>
    </row>
    <row r="733">
      <c r="A733" s="1">
        <v>732.0</v>
      </c>
      <c r="B733" s="1" t="s">
        <v>1930</v>
      </c>
      <c r="C733" s="1" t="s">
        <v>25</v>
      </c>
      <c r="K733" s="1">
        <v>150.0</v>
      </c>
      <c r="N733" s="5">
        <v>44272.0</v>
      </c>
      <c r="Q733" s="1" t="s">
        <v>1931</v>
      </c>
    </row>
    <row r="734">
      <c r="A734" s="1">
        <v>733.0</v>
      </c>
      <c r="B734" s="1" t="s">
        <v>1932</v>
      </c>
      <c r="C734" s="1" t="s">
        <v>25</v>
      </c>
      <c r="K734" s="1">
        <v>80.0</v>
      </c>
      <c r="N734" s="5">
        <v>43928.0</v>
      </c>
      <c r="Q734" s="1" t="s">
        <v>125</v>
      </c>
    </row>
    <row r="735">
      <c r="A735" s="1">
        <v>734.0</v>
      </c>
      <c r="B735" s="1" t="s">
        <v>1933</v>
      </c>
      <c r="C735" s="1" t="s">
        <v>25</v>
      </c>
      <c r="K735" s="1">
        <v>150.0</v>
      </c>
      <c r="N735" s="5">
        <v>45733.0</v>
      </c>
      <c r="Q735" s="1" t="s">
        <v>1934</v>
      </c>
    </row>
    <row r="736">
      <c r="A736" s="1">
        <v>735.0</v>
      </c>
      <c r="B736" s="1" t="s">
        <v>1935</v>
      </c>
      <c r="C736" s="1" t="s">
        <v>25</v>
      </c>
      <c r="N736" s="5">
        <v>45697.0</v>
      </c>
      <c r="Q736" s="1" t="s">
        <v>1936</v>
      </c>
    </row>
    <row r="737">
      <c r="A737" s="1">
        <v>736.0</v>
      </c>
      <c r="B737" s="1" t="s">
        <v>1937</v>
      </c>
      <c r="C737" s="1" t="s">
        <v>25</v>
      </c>
      <c r="K737" s="1">
        <v>250.0</v>
      </c>
      <c r="N737" s="5">
        <v>45075.0</v>
      </c>
      <c r="Q737" s="1" t="s">
        <v>1938</v>
      </c>
    </row>
    <row r="738">
      <c r="A738" s="1">
        <v>737.0</v>
      </c>
      <c r="B738" s="1" t="s">
        <v>1939</v>
      </c>
      <c r="C738" s="1" t="s">
        <v>25</v>
      </c>
      <c r="K738" s="1">
        <v>50.0</v>
      </c>
      <c r="N738" s="5">
        <v>44719.0</v>
      </c>
      <c r="Q738" s="1" t="s">
        <v>1940</v>
      </c>
    </row>
    <row r="739">
      <c r="A739" s="1">
        <v>738.0</v>
      </c>
      <c r="B739" s="1" t="s">
        <v>1941</v>
      </c>
      <c r="C739" s="1" t="s">
        <v>25</v>
      </c>
      <c r="K739" s="1">
        <v>70.0</v>
      </c>
      <c r="N739" s="5">
        <v>44156.0</v>
      </c>
      <c r="Q739" s="1" t="s">
        <v>1942</v>
      </c>
    </row>
    <row r="740">
      <c r="A740" s="1">
        <v>739.0</v>
      </c>
      <c r="B740" s="1" t="s">
        <v>187</v>
      </c>
      <c r="C740" s="1" t="s">
        <v>25</v>
      </c>
      <c r="K740" s="1">
        <v>1200.0</v>
      </c>
      <c r="N740" s="5">
        <v>42801.0</v>
      </c>
      <c r="Q740" s="1" t="s">
        <v>191</v>
      </c>
    </row>
    <row r="741">
      <c r="A741" s="1">
        <v>740.0</v>
      </c>
      <c r="B741" s="1" t="s">
        <v>1943</v>
      </c>
      <c r="C741" s="1" t="s">
        <v>25</v>
      </c>
      <c r="N741" s="5">
        <v>44442.0</v>
      </c>
      <c r="Q741" s="1" t="s">
        <v>55</v>
      </c>
    </row>
    <row r="742">
      <c r="A742" s="1">
        <v>741.0</v>
      </c>
      <c r="B742" s="1" t="s">
        <v>1944</v>
      </c>
      <c r="C742" s="1" t="s">
        <v>25</v>
      </c>
      <c r="N742" s="5">
        <v>44271.0</v>
      </c>
      <c r="Q742" s="1" t="s">
        <v>55</v>
      </c>
    </row>
    <row r="743">
      <c r="A743" s="1">
        <v>742.0</v>
      </c>
      <c r="B743" s="1" t="s">
        <v>1945</v>
      </c>
      <c r="C743" s="1" t="s">
        <v>25</v>
      </c>
      <c r="K743" s="1">
        <v>20.0</v>
      </c>
      <c r="N743" s="5">
        <v>44052.0</v>
      </c>
      <c r="Q743" s="1" t="s">
        <v>1946</v>
      </c>
    </row>
    <row r="744">
      <c r="A744" s="1">
        <v>743.0</v>
      </c>
      <c r="B744" s="1" t="s">
        <v>1947</v>
      </c>
      <c r="C744" s="1" t="s">
        <v>25</v>
      </c>
      <c r="K744" s="1">
        <v>150.0</v>
      </c>
      <c r="N744" s="5">
        <v>44692.0</v>
      </c>
      <c r="Q744" s="1" t="s">
        <v>1948</v>
      </c>
    </row>
    <row r="745">
      <c r="A745" s="1">
        <v>744.0</v>
      </c>
      <c r="B745" s="1" t="s">
        <v>1949</v>
      </c>
      <c r="C745" s="1" t="s">
        <v>25</v>
      </c>
      <c r="K745" s="1">
        <v>100.0</v>
      </c>
      <c r="N745" s="5">
        <v>45567.0</v>
      </c>
      <c r="Q745" s="1" t="s">
        <v>1950</v>
      </c>
    </row>
    <row r="746">
      <c r="A746" s="1">
        <v>745.0</v>
      </c>
      <c r="B746" s="1" t="s">
        <v>1951</v>
      </c>
      <c r="C746" s="1" t="s">
        <v>25</v>
      </c>
      <c r="K746" s="1">
        <v>40.0</v>
      </c>
      <c r="N746" s="5">
        <v>45639.0</v>
      </c>
      <c r="Q746" s="1" t="s">
        <v>1952</v>
      </c>
    </row>
    <row r="747">
      <c r="A747" s="1">
        <v>746.0</v>
      </c>
      <c r="B747" s="1" t="s">
        <v>1953</v>
      </c>
      <c r="C747" s="1" t="s">
        <v>25</v>
      </c>
      <c r="K747" s="1">
        <v>10.0</v>
      </c>
      <c r="N747" s="5">
        <v>44208.0</v>
      </c>
      <c r="Q747" s="1" t="s">
        <v>55</v>
      </c>
    </row>
    <row r="748">
      <c r="A748" s="1">
        <v>747.0</v>
      </c>
      <c r="B748" s="1" t="s">
        <v>1954</v>
      </c>
      <c r="C748" s="1" t="s">
        <v>25</v>
      </c>
      <c r="K748" s="1">
        <v>30.0</v>
      </c>
      <c r="N748" s="5">
        <v>45546.0</v>
      </c>
      <c r="Q748" s="1" t="s">
        <v>1955</v>
      </c>
    </row>
    <row r="749">
      <c r="A749" s="1">
        <v>748.0</v>
      </c>
      <c r="B749" s="1" t="s">
        <v>1956</v>
      </c>
      <c r="C749" s="1" t="s">
        <v>25</v>
      </c>
      <c r="K749" s="1">
        <v>30.0</v>
      </c>
      <c r="N749" s="5">
        <v>43957.0</v>
      </c>
      <c r="Q749" s="1" t="s">
        <v>1957</v>
      </c>
    </row>
    <row r="750">
      <c r="A750" s="1">
        <v>749.0</v>
      </c>
      <c r="B750" s="1" t="s">
        <v>1958</v>
      </c>
      <c r="C750" s="1" t="s">
        <v>25</v>
      </c>
      <c r="N750" s="5">
        <v>44074.0</v>
      </c>
      <c r="Q750" s="1" t="s">
        <v>55</v>
      </c>
    </row>
    <row r="751">
      <c r="A751" s="1">
        <v>750.0</v>
      </c>
      <c r="B751" s="1" t="s">
        <v>1959</v>
      </c>
      <c r="C751" s="1" t="s">
        <v>25</v>
      </c>
      <c r="K751" s="1">
        <v>10.0</v>
      </c>
      <c r="N751" s="5">
        <v>43958.0</v>
      </c>
      <c r="Q751" s="1" t="s">
        <v>1960</v>
      </c>
    </row>
    <row r="752">
      <c r="A752" s="1">
        <v>751.0</v>
      </c>
      <c r="B752" s="1" t="s">
        <v>1961</v>
      </c>
      <c r="C752" s="1" t="s">
        <v>25</v>
      </c>
      <c r="K752" s="1">
        <v>20.0</v>
      </c>
      <c r="N752" s="5">
        <v>44641.0</v>
      </c>
      <c r="Q752" s="1" t="s">
        <v>1962</v>
      </c>
    </row>
    <row r="753">
      <c r="A753" s="1">
        <v>752.0</v>
      </c>
      <c r="B753" s="1" t="s">
        <v>1963</v>
      </c>
      <c r="C753" s="1" t="s">
        <v>25</v>
      </c>
      <c r="K753" s="1">
        <v>10.0</v>
      </c>
      <c r="N753" s="5">
        <v>45425.0</v>
      </c>
      <c r="Q753" s="1" t="s">
        <v>1964</v>
      </c>
    </row>
    <row r="754">
      <c r="A754" s="1">
        <v>753.0</v>
      </c>
      <c r="B754" s="1" t="s">
        <v>1965</v>
      </c>
      <c r="C754" s="1" t="s">
        <v>25</v>
      </c>
      <c r="K754" s="1">
        <v>150.0</v>
      </c>
      <c r="N754" s="5">
        <v>43984.0</v>
      </c>
      <c r="Q754" s="1" t="s">
        <v>569</v>
      </c>
    </row>
    <row r="755">
      <c r="A755" s="1">
        <v>754.0</v>
      </c>
      <c r="B755" s="1" t="s">
        <v>1966</v>
      </c>
      <c r="C755" s="1" t="s">
        <v>25</v>
      </c>
      <c r="K755" s="1">
        <v>50.0</v>
      </c>
      <c r="N755" s="5">
        <v>44374.0</v>
      </c>
      <c r="Q755" s="1" t="s">
        <v>1141</v>
      </c>
    </row>
    <row r="756">
      <c r="A756" s="1">
        <v>755.0</v>
      </c>
      <c r="B756" s="1" t="s">
        <v>1967</v>
      </c>
      <c r="C756" s="1" t="s">
        <v>25</v>
      </c>
      <c r="N756" s="5">
        <v>44293.0</v>
      </c>
      <c r="Q756" s="1" t="s">
        <v>55</v>
      </c>
    </row>
    <row r="757">
      <c r="A757" s="1">
        <v>756.0</v>
      </c>
      <c r="B757" s="1" t="s">
        <v>1968</v>
      </c>
      <c r="C757" s="1" t="s">
        <v>25</v>
      </c>
      <c r="K757" s="1">
        <v>90.0</v>
      </c>
      <c r="N757" s="5">
        <v>44032.0</v>
      </c>
      <c r="Q757" s="1" t="s">
        <v>1969</v>
      </c>
    </row>
    <row r="758">
      <c r="A758" s="1">
        <v>757.0</v>
      </c>
      <c r="B758" s="1" t="s">
        <v>1970</v>
      </c>
      <c r="C758" s="1" t="s">
        <v>25</v>
      </c>
      <c r="K758" s="1">
        <v>10.0</v>
      </c>
      <c r="N758" s="5">
        <v>45271.0</v>
      </c>
      <c r="Q758" s="1" t="s">
        <v>1971</v>
      </c>
    </row>
    <row r="759">
      <c r="A759" s="1">
        <v>758.0</v>
      </c>
      <c r="B759" s="1" t="s">
        <v>1972</v>
      </c>
      <c r="C759" s="1" t="s">
        <v>25</v>
      </c>
      <c r="K759" s="1">
        <v>150.0</v>
      </c>
      <c r="N759" s="5">
        <v>45542.0</v>
      </c>
      <c r="Q759" s="1" t="s">
        <v>1973</v>
      </c>
    </row>
    <row r="760">
      <c r="A760" s="1">
        <v>759.0</v>
      </c>
      <c r="B760" s="1" t="s">
        <v>1974</v>
      </c>
      <c r="C760" s="1" t="s">
        <v>25</v>
      </c>
      <c r="N760" s="5">
        <v>45740.0</v>
      </c>
      <c r="Q760" s="1" t="s">
        <v>1975</v>
      </c>
    </row>
    <row r="761">
      <c r="A761" s="1">
        <v>760.0</v>
      </c>
      <c r="B761" s="1" t="s">
        <v>1976</v>
      </c>
      <c r="C761" s="1" t="s">
        <v>25</v>
      </c>
      <c r="K761" s="1">
        <v>700.0</v>
      </c>
      <c r="N761" s="5">
        <v>44073.0</v>
      </c>
      <c r="Q761" s="1" t="s">
        <v>1977</v>
      </c>
    </row>
    <row r="762">
      <c r="A762" s="1">
        <v>761.0</v>
      </c>
      <c r="B762" s="1" t="s">
        <v>1978</v>
      </c>
      <c r="C762" s="1" t="s">
        <v>25</v>
      </c>
      <c r="K762" s="1">
        <v>300.0</v>
      </c>
      <c r="N762" s="5">
        <v>44600.0</v>
      </c>
      <c r="Q762" s="1" t="s">
        <v>1979</v>
      </c>
    </row>
    <row r="763">
      <c r="A763" s="1">
        <v>762.0</v>
      </c>
      <c r="B763" s="1" t="s">
        <v>1980</v>
      </c>
      <c r="C763" s="1" t="s">
        <v>25</v>
      </c>
      <c r="N763" s="5">
        <v>44253.0</v>
      </c>
      <c r="Q763" s="1" t="s">
        <v>55</v>
      </c>
    </row>
    <row r="764">
      <c r="A764" s="1">
        <v>763.0</v>
      </c>
      <c r="B764" s="1" t="s">
        <v>1981</v>
      </c>
      <c r="C764" s="1" t="s">
        <v>25</v>
      </c>
      <c r="K764" s="1">
        <v>150.0</v>
      </c>
      <c r="N764" s="5">
        <v>43991.0</v>
      </c>
      <c r="Q764" s="1" t="s">
        <v>1982</v>
      </c>
    </row>
    <row r="765">
      <c r="A765" s="1">
        <v>764.0</v>
      </c>
      <c r="B765" s="1" t="s">
        <v>1983</v>
      </c>
      <c r="C765" s="1" t="s">
        <v>25</v>
      </c>
      <c r="K765" s="1">
        <v>20.0</v>
      </c>
      <c r="N765" s="5">
        <v>44342.0</v>
      </c>
      <c r="Q765" s="1" t="s">
        <v>55</v>
      </c>
    </row>
    <row r="766">
      <c r="A766" s="1">
        <v>765.0</v>
      </c>
      <c r="B766" s="1" t="s">
        <v>1984</v>
      </c>
      <c r="C766" s="1" t="s">
        <v>25</v>
      </c>
      <c r="K766" s="1">
        <v>400.0</v>
      </c>
      <c r="N766" s="5">
        <v>45633.0</v>
      </c>
      <c r="Q766" s="1" t="s">
        <v>1760</v>
      </c>
    </row>
    <row r="767">
      <c r="A767" s="1">
        <v>766.0</v>
      </c>
      <c r="B767" s="1" t="s">
        <v>1985</v>
      </c>
      <c r="C767" s="1" t="s">
        <v>25</v>
      </c>
      <c r="N767" s="5">
        <v>45624.0</v>
      </c>
      <c r="Q767" s="1" t="s">
        <v>1986</v>
      </c>
    </row>
    <row r="768">
      <c r="A768" s="1">
        <v>767.0</v>
      </c>
      <c r="B768" s="1" t="s">
        <v>1987</v>
      </c>
      <c r="C768" s="1" t="s">
        <v>25</v>
      </c>
      <c r="N768" s="5">
        <v>44400.0</v>
      </c>
      <c r="Q768" s="1" t="s">
        <v>55</v>
      </c>
    </row>
    <row r="769">
      <c r="A769" s="1">
        <v>768.0</v>
      </c>
      <c r="B769" s="1" t="s">
        <v>1988</v>
      </c>
      <c r="C769" s="1" t="s">
        <v>25</v>
      </c>
      <c r="K769" s="1">
        <v>10.0</v>
      </c>
      <c r="N769" s="5">
        <v>45636.0</v>
      </c>
      <c r="Q769" s="1" t="s">
        <v>1989</v>
      </c>
    </row>
    <row r="770">
      <c r="A770" s="1">
        <v>769.0</v>
      </c>
      <c r="B770" s="1" t="s">
        <v>1990</v>
      </c>
      <c r="C770" s="1" t="s">
        <v>25</v>
      </c>
      <c r="K770" s="1">
        <v>60.0</v>
      </c>
      <c r="N770" s="5">
        <v>45745.0</v>
      </c>
      <c r="Q770" s="1" t="s">
        <v>1991</v>
      </c>
    </row>
    <row r="771">
      <c r="A771" s="1">
        <v>770.0</v>
      </c>
      <c r="B771" s="1" t="s">
        <v>1992</v>
      </c>
      <c r="C771" s="1" t="s">
        <v>25</v>
      </c>
      <c r="K771" s="1">
        <v>100.0</v>
      </c>
      <c r="N771" s="5">
        <v>43968.0</v>
      </c>
      <c r="Q771" s="1" t="s">
        <v>1993</v>
      </c>
    </row>
    <row r="772">
      <c r="A772" s="1">
        <v>771.0</v>
      </c>
      <c r="B772" s="1" t="s">
        <v>1994</v>
      </c>
      <c r="C772" s="1" t="s">
        <v>25</v>
      </c>
      <c r="K772" s="1">
        <v>60.0</v>
      </c>
      <c r="N772" s="5">
        <v>44028.0</v>
      </c>
      <c r="Q772" s="1" t="s">
        <v>1995</v>
      </c>
    </row>
    <row r="773">
      <c r="A773" s="1">
        <v>772.0</v>
      </c>
      <c r="B773" s="1" t="s">
        <v>1996</v>
      </c>
      <c r="C773" s="1" t="s">
        <v>25</v>
      </c>
      <c r="N773" s="5">
        <v>44838.0</v>
      </c>
      <c r="Q773" s="1" t="s">
        <v>55</v>
      </c>
    </row>
    <row r="774">
      <c r="A774" s="1">
        <v>773.0</v>
      </c>
      <c r="B774" s="1" t="s">
        <v>1997</v>
      </c>
      <c r="C774" s="1" t="s">
        <v>25</v>
      </c>
      <c r="K774" s="1">
        <v>500.0</v>
      </c>
      <c r="N774" s="5">
        <v>43889.0</v>
      </c>
      <c r="Q774" s="1" t="s">
        <v>1998</v>
      </c>
    </row>
    <row r="775">
      <c r="A775" s="1">
        <v>774.0</v>
      </c>
      <c r="B775" s="1" t="s">
        <v>1999</v>
      </c>
      <c r="C775" s="1" t="s">
        <v>25</v>
      </c>
      <c r="N775" s="5">
        <v>45313.0</v>
      </c>
      <c r="Q775" s="1" t="s">
        <v>2000</v>
      </c>
    </row>
    <row r="776">
      <c r="A776" s="1">
        <v>775.0</v>
      </c>
      <c r="B776" s="1" t="s">
        <v>2001</v>
      </c>
      <c r="C776" s="1" t="s">
        <v>25</v>
      </c>
      <c r="K776" s="1">
        <v>20.0</v>
      </c>
      <c r="N776" s="5">
        <v>44473.0</v>
      </c>
      <c r="Q776" s="1" t="s">
        <v>2002</v>
      </c>
    </row>
    <row r="777">
      <c r="A777" s="1">
        <v>776.0</v>
      </c>
      <c r="B777" s="1" t="s">
        <v>2003</v>
      </c>
      <c r="C777" s="1" t="s">
        <v>25</v>
      </c>
      <c r="N777" s="5">
        <v>42342.0</v>
      </c>
      <c r="Q777" s="1" t="s">
        <v>55</v>
      </c>
    </row>
    <row r="778">
      <c r="A778" s="1">
        <v>777.0</v>
      </c>
      <c r="B778" s="1" t="s">
        <v>2004</v>
      </c>
      <c r="C778" s="1" t="s">
        <v>25</v>
      </c>
      <c r="K778" s="1">
        <v>40.0</v>
      </c>
      <c r="N778" s="5">
        <v>45633.0</v>
      </c>
      <c r="Q778" s="1" t="s">
        <v>2005</v>
      </c>
    </row>
    <row r="779">
      <c r="A779" s="1">
        <v>778.0</v>
      </c>
      <c r="B779" s="1" t="s">
        <v>2006</v>
      </c>
      <c r="C779" s="1" t="s">
        <v>25</v>
      </c>
      <c r="N779" s="5">
        <v>44260.0</v>
      </c>
      <c r="Q779" s="1" t="s">
        <v>55</v>
      </c>
    </row>
    <row r="780">
      <c r="A780" s="1">
        <v>779.0</v>
      </c>
      <c r="B780" s="1" t="s">
        <v>2007</v>
      </c>
      <c r="C780" s="1" t="s">
        <v>25</v>
      </c>
      <c r="N780" s="5">
        <v>44639.0</v>
      </c>
      <c r="Q780" s="1" t="s">
        <v>55</v>
      </c>
    </row>
    <row r="781">
      <c r="A781" s="1">
        <v>780.0</v>
      </c>
      <c r="B781" s="1" t="s">
        <v>2008</v>
      </c>
      <c r="C781" s="1" t="s">
        <v>25</v>
      </c>
      <c r="N781" s="5">
        <v>44208.0</v>
      </c>
      <c r="Q781" s="1" t="s">
        <v>55</v>
      </c>
    </row>
    <row r="782">
      <c r="A782" s="1">
        <v>781.0</v>
      </c>
      <c r="B782" s="1" t="s">
        <v>2009</v>
      </c>
      <c r="C782" s="1" t="s">
        <v>25</v>
      </c>
      <c r="K782" s="1">
        <v>10.0</v>
      </c>
      <c r="N782" s="5">
        <v>45188.0</v>
      </c>
      <c r="Q782" s="1" t="s">
        <v>55</v>
      </c>
    </row>
    <row r="783">
      <c r="A783" s="1">
        <v>782.0</v>
      </c>
      <c r="B783" s="1" t="s">
        <v>2010</v>
      </c>
      <c r="C783" s="1" t="s">
        <v>25</v>
      </c>
      <c r="N783" s="5">
        <v>46103.0</v>
      </c>
      <c r="Q783" s="1" t="s">
        <v>2011</v>
      </c>
    </row>
    <row r="784">
      <c r="A784" s="1">
        <v>783.0</v>
      </c>
      <c r="B784" s="1" t="s">
        <v>2012</v>
      </c>
      <c r="C784" s="1" t="s">
        <v>25</v>
      </c>
      <c r="K784" s="1">
        <v>100.0</v>
      </c>
      <c r="N784" s="5">
        <v>45792.0</v>
      </c>
      <c r="Q784" s="1" t="s">
        <v>2013</v>
      </c>
    </row>
    <row r="785">
      <c r="A785" s="1">
        <v>784.0</v>
      </c>
      <c r="B785" s="1" t="s">
        <v>2014</v>
      </c>
      <c r="C785" s="1" t="s">
        <v>25</v>
      </c>
      <c r="N785" s="5">
        <v>43856.0</v>
      </c>
      <c r="Q785" s="1" t="s">
        <v>55</v>
      </c>
    </row>
    <row r="786">
      <c r="A786" s="1">
        <v>785.0</v>
      </c>
      <c r="B786" s="1" t="s">
        <v>2015</v>
      </c>
      <c r="C786" s="1" t="s">
        <v>25</v>
      </c>
      <c r="K786" s="1">
        <v>100.0</v>
      </c>
      <c r="N786" s="5">
        <v>45174.0</v>
      </c>
      <c r="Q786" s="1" t="s">
        <v>2016</v>
      </c>
    </row>
    <row r="787">
      <c r="A787" s="1">
        <v>786.0</v>
      </c>
      <c r="B787" s="1" t="s">
        <v>2017</v>
      </c>
      <c r="C787" s="1" t="s">
        <v>25</v>
      </c>
      <c r="K787" s="1">
        <v>700.0</v>
      </c>
      <c r="N787" s="5">
        <v>43855.0</v>
      </c>
      <c r="Q787" s="1" t="s">
        <v>2018</v>
      </c>
    </row>
    <row r="788">
      <c r="A788" s="1">
        <v>787.0</v>
      </c>
      <c r="B788" s="1" t="s">
        <v>2019</v>
      </c>
      <c r="C788" s="1" t="s">
        <v>25</v>
      </c>
      <c r="K788" s="1">
        <v>150.0</v>
      </c>
      <c r="N788" s="5">
        <v>44062.0</v>
      </c>
      <c r="Q788" s="1" t="s">
        <v>1381</v>
      </c>
    </row>
    <row r="789">
      <c r="A789" s="1">
        <v>788.0</v>
      </c>
      <c r="B789" s="1" t="s">
        <v>2020</v>
      </c>
      <c r="C789" s="1" t="s">
        <v>25</v>
      </c>
      <c r="K789" s="1">
        <v>30.0</v>
      </c>
      <c r="N789" s="5">
        <v>44244.0</v>
      </c>
      <c r="Q789" s="1" t="s">
        <v>1670</v>
      </c>
    </row>
    <row r="790">
      <c r="A790" s="1">
        <v>789.0</v>
      </c>
      <c r="B790" s="1" t="s">
        <v>2021</v>
      </c>
      <c r="C790" s="1" t="s">
        <v>25</v>
      </c>
      <c r="K790" s="1">
        <v>150.0</v>
      </c>
      <c r="N790" s="5">
        <v>44900.0</v>
      </c>
      <c r="Q790" s="1" t="s">
        <v>2022</v>
      </c>
    </row>
    <row r="791">
      <c r="A791" s="1">
        <v>790.0</v>
      </c>
      <c r="B791" s="1" t="s">
        <v>2023</v>
      </c>
      <c r="C791" s="1" t="s">
        <v>25</v>
      </c>
      <c r="K791" s="1">
        <v>40.0</v>
      </c>
      <c r="N791" s="5">
        <v>43920.0</v>
      </c>
      <c r="Q791" s="1" t="s">
        <v>1218</v>
      </c>
    </row>
    <row r="792">
      <c r="A792" s="1">
        <v>791.0</v>
      </c>
      <c r="B792" s="1" t="s">
        <v>2024</v>
      </c>
      <c r="C792" s="1" t="s">
        <v>25</v>
      </c>
      <c r="N792" s="5">
        <v>42731.0</v>
      </c>
      <c r="Q792" s="1" t="s">
        <v>55</v>
      </c>
    </row>
    <row r="793">
      <c r="A793" s="1">
        <v>792.0</v>
      </c>
      <c r="B793" s="1" t="s">
        <v>2025</v>
      </c>
      <c r="C793" s="1" t="s">
        <v>25</v>
      </c>
      <c r="K793" s="1">
        <v>90.0</v>
      </c>
      <c r="N793" s="5">
        <v>44445.0</v>
      </c>
      <c r="Q793" s="1" t="s">
        <v>2026</v>
      </c>
    </row>
    <row r="794">
      <c r="A794" s="1">
        <v>793.0</v>
      </c>
      <c r="B794" s="1" t="s">
        <v>2027</v>
      </c>
      <c r="C794" s="1" t="s">
        <v>25</v>
      </c>
      <c r="N794" s="5">
        <v>43972.0</v>
      </c>
      <c r="Q794" s="1" t="s">
        <v>55</v>
      </c>
    </row>
    <row r="795">
      <c r="A795" s="1">
        <v>794.0</v>
      </c>
      <c r="B795" s="1" t="s">
        <v>2028</v>
      </c>
      <c r="C795" s="1" t="s">
        <v>25</v>
      </c>
      <c r="K795" s="1">
        <v>10.0</v>
      </c>
      <c r="N795" s="5">
        <v>45235.0</v>
      </c>
      <c r="Q795" s="1" t="s">
        <v>55</v>
      </c>
    </row>
    <row r="796">
      <c r="A796" s="1">
        <v>795.0</v>
      </c>
      <c r="B796" s="1" t="s">
        <v>2029</v>
      </c>
      <c r="C796" s="1" t="s">
        <v>25</v>
      </c>
      <c r="K796" s="1">
        <v>100.0</v>
      </c>
      <c r="N796" s="5">
        <v>45273.0</v>
      </c>
      <c r="Q796" s="1" t="s">
        <v>2030</v>
      </c>
    </row>
    <row r="797">
      <c r="A797" s="1">
        <v>796.0</v>
      </c>
      <c r="B797" s="1" t="s">
        <v>2031</v>
      </c>
      <c r="C797" s="1" t="s">
        <v>25</v>
      </c>
      <c r="N797" s="5">
        <v>44571.0</v>
      </c>
      <c r="Q797" s="1" t="s">
        <v>2032</v>
      </c>
    </row>
    <row r="798">
      <c r="A798" s="1">
        <v>797.0</v>
      </c>
      <c r="B798" s="1" t="s">
        <v>2033</v>
      </c>
      <c r="C798" s="1" t="s">
        <v>25</v>
      </c>
      <c r="K798" s="1">
        <v>70.0</v>
      </c>
      <c r="N798" s="5">
        <v>44324.0</v>
      </c>
      <c r="Q798" s="1" t="s">
        <v>2034</v>
      </c>
    </row>
    <row r="799">
      <c r="A799" s="1">
        <v>798.0</v>
      </c>
      <c r="B799" s="1" t="s">
        <v>2035</v>
      </c>
      <c r="C799" s="1" t="s">
        <v>25</v>
      </c>
      <c r="K799" s="1">
        <v>60.0</v>
      </c>
      <c r="N799" s="5">
        <v>44676.0</v>
      </c>
      <c r="Q799" s="1" t="s">
        <v>2036</v>
      </c>
    </row>
    <row r="800">
      <c r="A800" s="1">
        <v>799.0</v>
      </c>
      <c r="B800" s="1" t="s">
        <v>2037</v>
      </c>
      <c r="C800" s="1" t="s">
        <v>25</v>
      </c>
      <c r="K800" s="1">
        <v>300.0</v>
      </c>
      <c r="N800" s="5">
        <v>45640.0</v>
      </c>
      <c r="Q800" s="1" t="s">
        <v>2038</v>
      </c>
    </row>
    <row r="801">
      <c r="A801" s="1">
        <v>800.0</v>
      </c>
      <c r="B801" s="1" t="s">
        <v>2039</v>
      </c>
      <c r="C801" s="1" t="s">
        <v>25</v>
      </c>
      <c r="K801" s="1">
        <v>90.0</v>
      </c>
      <c r="N801" s="5">
        <v>44018.0</v>
      </c>
      <c r="Q801" s="1" t="s">
        <v>2040</v>
      </c>
    </row>
    <row r="802">
      <c r="A802" s="1">
        <v>801.0</v>
      </c>
      <c r="B802" s="1" t="s">
        <v>2041</v>
      </c>
      <c r="C802" s="1" t="s">
        <v>25</v>
      </c>
      <c r="K802" s="1">
        <v>100.0</v>
      </c>
      <c r="N802" s="5">
        <v>43859.0</v>
      </c>
      <c r="Q802" s="1" t="s">
        <v>2042</v>
      </c>
    </row>
    <row r="803">
      <c r="A803" s="1">
        <v>802.0</v>
      </c>
      <c r="B803" s="1" t="s">
        <v>2043</v>
      </c>
      <c r="C803" s="1" t="s">
        <v>25</v>
      </c>
      <c r="N803" s="5">
        <v>44067.0</v>
      </c>
      <c r="Q803" s="1" t="s">
        <v>55</v>
      </c>
    </row>
    <row r="804">
      <c r="A804" s="1">
        <v>803.0</v>
      </c>
      <c r="B804" s="1" t="s">
        <v>2044</v>
      </c>
      <c r="C804" s="1" t="s">
        <v>25</v>
      </c>
      <c r="K804" s="1">
        <v>20.0</v>
      </c>
      <c r="N804" s="5">
        <v>44641.0</v>
      </c>
      <c r="Q804" s="1" t="s">
        <v>2045</v>
      </c>
    </row>
    <row r="805">
      <c r="A805" s="1">
        <v>804.0</v>
      </c>
      <c r="B805" s="1" t="s">
        <v>2046</v>
      </c>
      <c r="C805" s="1" t="s">
        <v>25</v>
      </c>
      <c r="N805" s="5">
        <v>44275.0</v>
      </c>
      <c r="Q805" s="1" t="s">
        <v>55</v>
      </c>
    </row>
    <row r="806">
      <c r="A806" s="1">
        <v>805.0</v>
      </c>
      <c r="B806" s="1" t="s">
        <v>2047</v>
      </c>
      <c r="C806" s="1" t="s">
        <v>25</v>
      </c>
      <c r="K806" s="1">
        <v>200.0</v>
      </c>
      <c r="N806" s="5">
        <v>43923.0</v>
      </c>
      <c r="Q806" s="1" t="s">
        <v>2048</v>
      </c>
    </row>
    <row r="807">
      <c r="A807" s="1">
        <v>806.0</v>
      </c>
      <c r="B807" s="1" t="s">
        <v>2049</v>
      </c>
      <c r="C807" s="1" t="s">
        <v>25</v>
      </c>
      <c r="K807" s="1">
        <v>80.0</v>
      </c>
      <c r="N807" s="5">
        <v>44449.0</v>
      </c>
      <c r="Q807" s="1" t="s">
        <v>2050</v>
      </c>
    </row>
    <row r="808">
      <c r="A808" s="1">
        <v>807.0</v>
      </c>
      <c r="B808" s="1" t="s">
        <v>2051</v>
      </c>
      <c r="C808" s="1" t="s">
        <v>25</v>
      </c>
      <c r="K808" s="1">
        <v>80.0</v>
      </c>
      <c r="N808" s="5">
        <v>44881.0</v>
      </c>
      <c r="Q808" s="1" t="s">
        <v>55</v>
      </c>
    </row>
    <row r="809">
      <c r="A809" s="1">
        <v>808.0</v>
      </c>
      <c r="B809" s="1" t="s">
        <v>2052</v>
      </c>
      <c r="C809" s="1" t="s">
        <v>25</v>
      </c>
      <c r="K809" s="1">
        <v>10.0</v>
      </c>
      <c r="N809" s="5">
        <v>45172.0</v>
      </c>
      <c r="Q809" s="1" t="s">
        <v>55</v>
      </c>
    </row>
    <row r="810">
      <c r="A810" s="1">
        <v>809.0</v>
      </c>
      <c r="B810" s="1" t="s">
        <v>2053</v>
      </c>
      <c r="C810" s="1" t="s">
        <v>25</v>
      </c>
      <c r="N810" s="5">
        <v>44723.0</v>
      </c>
      <c r="Q810" s="1" t="s">
        <v>55</v>
      </c>
    </row>
    <row r="811">
      <c r="A811" s="1">
        <v>810.0</v>
      </c>
      <c r="B811" s="1" t="s">
        <v>2054</v>
      </c>
      <c r="C811" s="1" t="s">
        <v>25</v>
      </c>
      <c r="K811" s="1">
        <v>150.0</v>
      </c>
      <c r="N811" s="5">
        <v>43845.0</v>
      </c>
      <c r="Q811" s="1" t="s">
        <v>2055</v>
      </c>
    </row>
    <row r="812">
      <c r="A812" s="1">
        <v>811.0</v>
      </c>
      <c r="B812" s="1" t="s">
        <v>2056</v>
      </c>
      <c r="C812" s="1" t="s">
        <v>25</v>
      </c>
      <c r="K812" s="1">
        <v>70.0</v>
      </c>
      <c r="N812" s="5">
        <v>43964.0</v>
      </c>
      <c r="Q812" s="1" t="s">
        <v>2057</v>
      </c>
    </row>
    <row r="813">
      <c r="A813" s="1">
        <v>812.0</v>
      </c>
      <c r="B813" s="1" t="s">
        <v>2058</v>
      </c>
      <c r="C813" s="1" t="s">
        <v>25</v>
      </c>
      <c r="K813" s="1">
        <v>40.0</v>
      </c>
      <c r="N813" s="5">
        <v>45632.0</v>
      </c>
      <c r="Q813" s="1" t="s">
        <v>2059</v>
      </c>
    </row>
    <row r="814">
      <c r="A814" s="1">
        <v>813.0</v>
      </c>
      <c r="B814" s="1" t="s">
        <v>2060</v>
      </c>
      <c r="C814" s="1" t="s">
        <v>25</v>
      </c>
      <c r="N814" s="5">
        <v>45576.0</v>
      </c>
      <c r="Q814" s="1" t="s">
        <v>548</v>
      </c>
    </row>
    <row r="815">
      <c r="A815" s="1">
        <v>814.0</v>
      </c>
      <c r="B815" s="1" t="s">
        <v>2061</v>
      </c>
      <c r="C815" s="1" t="s">
        <v>25</v>
      </c>
      <c r="N815" s="5">
        <v>44172.0</v>
      </c>
      <c r="Q815" s="1" t="s">
        <v>569</v>
      </c>
    </row>
    <row r="816">
      <c r="A816" s="1">
        <v>815.0</v>
      </c>
      <c r="B816" s="1" t="s">
        <v>2062</v>
      </c>
      <c r="C816" s="1" t="s">
        <v>25</v>
      </c>
      <c r="K816" s="1">
        <v>50.0</v>
      </c>
      <c r="N816" s="5">
        <v>45604.0</v>
      </c>
      <c r="Q816" s="1" t="s">
        <v>2063</v>
      </c>
    </row>
    <row r="817">
      <c r="A817" s="1">
        <v>816.0</v>
      </c>
      <c r="B817" s="1" t="s">
        <v>2064</v>
      </c>
      <c r="C817" s="1" t="s">
        <v>25</v>
      </c>
      <c r="K817" s="1">
        <v>150.0</v>
      </c>
      <c r="N817" s="5">
        <v>44620.0</v>
      </c>
      <c r="Q817" s="1" t="s">
        <v>2065</v>
      </c>
    </row>
    <row r="818">
      <c r="A818" s="1">
        <v>817.0</v>
      </c>
      <c r="B818" s="1" t="s">
        <v>2066</v>
      </c>
      <c r="C818" s="1" t="s">
        <v>25</v>
      </c>
      <c r="K818" s="1">
        <v>150.0</v>
      </c>
      <c r="N818" s="5">
        <v>44090.0</v>
      </c>
      <c r="Q818" s="1" t="s">
        <v>2067</v>
      </c>
    </row>
    <row r="819">
      <c r="A819" s="1">
        <v>818.0</v>
      </c>
      <c r="B819" s="1" t="s">
        <v>2068</v>
      </c>
      <c r="C819" s="1" t="s">
        <v>25</v>
      </c>
      <c r="K819" s="1">
        <v>100.0</v>
      </c>
      <c r="N819" s="5">
        <v>45687.0</v>
      </c>
      <c r="Q819" s="1" t="s">
        <v>1229</v>
      </c>
    </row>
    <row r="820">
      <c r="A820" s="1">
        <v>819.0</v>
      </c>
      <c r="B820" s="1" t="s">
        <v>2069</v>
      </c>
      <c r="C820" s="1" t="s">
        <v>25</v>
      </c>
      <c r="K820" s="1">
        <v>60.0</v>
      </c>
      <c r="N820" s="5">
        <v>45715.0</v>
      </c>
      <c r="Q820" s="1" t="s">
        <v>2070</v>
      </c>
    </row>
    <row r="821">
      <c r="A821" s="1">
        <v>820.0</v>
      </c>
      <c r="B821" s="1" t="s">
        <v>2071</v>
      </c>
      <c r="C821" s="1" t="s">
        <v>25</v>
      </c>
      <c r="K821" s="1">
        <v>20.0</v>
      </c>
      <c r="N821" s="5">
        <v>44602.0</v>
      </c>
      <c r="Q821" s="1" t="s">
        <v>2072</v>
      </c>
    </row>
    <row r="822">
      <c r="A822" s="1">
        <v>821.0</v>
      </c>
      <c r="B822" s="1" t="s">
        <v>2073</v>
      </c>
      <c r="C822" s="1" t="s">
        <v>25</v>
      </c>
      <c r="K822" s="1">
        <v>30.0</v>
      </c>
      <c r="N822" s="5">
        <v>44466.0</v>
      </c>
      <c r="Q822" s="1" t="s">
        <v>2074</v>
      </c>
    </row>
    <row r="823">
      <c r="A823" s="1">
        <v>822.0</v>
      </c>
      <c r="B823" s="1" t="s">
        <v>2075</v>
      </c>
      <c r="C823" s="1" t="s">
        <v>25</v>
      </c>
      <c r="K823" s="1">
        <v>250.0</v>
      </c>
      <c r="N823" s="5">
        <v>43862.0</v>
      </c>
      <c r="Q823" s="1" t="s">
        <v>2076</v>
      </c>
    </row>
    <row r="824">
      <c r="A824" s="1">
        <v>823.0</v>
      </c>
      <c r="B824" s="1" t="s">
        <v>2077</v>
      </c>
      <c r="C824" s="1" t="s">
        <v>25</v>
      </c>
      <c r="K824" s="1">
        <v>20.0</v>
      </c>
      <c r="N824" s="5">
        <v>44488.0</v>
      </c>
      <c r="Q824" s="1" t="s">
        <v>55</v>
      </c>
    </row>
    <row r="825">
      <c r="A825" s="1">
        <v>824.0</v>
      </c>
      <c r="B825" s="1" t="s">
        <v>2078</v>
      </c>
      <c r="C825" s="1" t="s">
        <v>25</v>
      </c>
      <c r="K825" s="1">
        <v>30.0</v>
      </c>
      <c r="N825" s="5">
        <v>45427.0</v>
      </c>
      <c r="Q825" s="1" t="s">
        <v>1616</v>
      </c>
    </row>
    <row r="826">
      <c r="A826" s="1">
        <v>825.0</v>
      </c>
      <c r="B826" s="1" t="s">
        <v>2079</v>
      </c>
      <c r="C826" s="1" t="s">
        <v>25</v>
      </c>
      <c r="N826" s="5">
        <v>45538.0</v>
      </c>
      <c r="Q826" s="1" t="s">
        <v>2080</v>
      </c>
    </row>
    <row r="827">
      <c r="A827" s="1">
        <v>826.0</v>
      </c>
      <c r="B827" s="1" t="s">
        <v>2081</v>
      </c>
      <c r="C827" s="1" t="s">
        <v>25</v>
      </c>
      <c r="K827" s="1">
        <v>100.0</v>
      </c>
      <c r="N827" s="5">
        <v>43945.0</v>
      </c>
      <c r="Q827" s="1" t="s">
        <v>2082</v>
      </c>
    </row>
    <row r="828">
      <c r="A828" s="1">
        <v>827.0</v>
      </c>
      <c r="B828" s="1" t="s">
        <v>2083</v>
      </c>
      <c r="C828" s="1" t="s">
        <v>25</v>
      </c>
      <c r="K828" s="1">
        <v>40.0</v>
      </c>
      <c r="N828" s="5">
        <v>45660.0</v>
      </c>
      <c r="Q828" s="1" t="s">
        <v>2084</v>
      </c>
    </row>
    <row r="829">
      <c r="A829" s="1">
        <v>828.0</v>
      </c>
      <c r="B829" s="1" t="s">
        <v>2085</v>
      </c>
      <c r="C829" s="1" t="s">
        <v>25</v>
      </c>
      <c r="K829" s="1">
        <v>150.0</v>
      </c>
      <c r="N829" s="5">
        <v>44253.0</v>
      </c>
      <c r="Q829" s="1" t="s">
        <v>606</v>
      </c>
    </row>
    <row r="830">
      <c r="A830" s="1">
        <v>829.0</v>
      </c>
      <c r="B830" s="1" t="s">
        <v>2086</v>
      </c>
      <c r="C830" s="1" t="s">
        <v>25</v>
      </c>
      <c r="K830" s="1">
        <v>50.0</v>
      </c>
      <c r="N830" s="5">
        <v>44060.0</v>
      </c>
      <c r="Q830" s="1" t="s">
        <v>93</v>
      </c>
    </row>
    <row r="831">
      <c r="A831" s="1">
        <v>830.0</v>
      </c>
      <c r="B831" s="1" t="s">
        <v>2087</v>
      </c>
      <c r="C831" s="1" t="s">
        <v>25</v>
      </c>
      <c r="K831" s="1">
        <v>20.0</v>
      </c>
      <c r="N831" s="5">
        <v>43981.0</v>
      </c>
      <c r="Q831" s="1" t="s">
        <v>2088</v>
      </c>
    </row>
    <row r="832">
      <c r="A832" s="1">
        <v>831.0</v>
      </c>
      <c r="B832" s="1" t="s">
        <v>2089</v>
      </c>
      <c r="C832" s="1" t="s">
        <v>25</v>
      </c>
      <c r="N832" s="5">
        <v>43956.0</v>
      </c>
      <c r="Q832" s="1" t="s">
        <v>55</v>
      </c>
    </row>
    <row r="833">
      <c r="A833" s="1">
        <v>832.0</v>
      </c>
      <c r="B833" s="1" t="s">
        <v>2090</v>
      </c>
      <c r="C833" s="1" t="s">
        <v>25</v>
      </c>
      <c r="K833" s="1">
        <v>20.0</v>
      </c>
      <c r="N833" s="5">
        <v>45387.0</v>
      </c>
      <c r="Q833" s="1" t="s">
        <v>2091</v>
      </c>
    </row>
    <row r="834">
      <c r="A834" s="1">
        <v>833.0</v>
      </c>
      <c r="B834" s="1" t="s">
        <v>98</v>
      </c>
      <c r="C834" s="1" t="s">
        <v>25</v>
      </c>
      <c r="K834" s="1">
        <v>50.0</v>
      </c>
      <c r="N834" s="5">
        <v>45328.0</v>
      </c>
      <c r="Q834" s="1" t="s">
        <v>100</v>
      </c>
    </row>
    <row r="835">
      <c r="A835" s="1">
        <v>834.0</v>
      </c>
      <c r="B835" s="1" t="s">
        <v>2092</v>
      </c>
      <c r="C835" s="1" t="s">
        <v>25</v>
      </c>
      <c r="N835" s="5">
        <v>44178.0</v>
      </c>
      <c r="Q835" s="1" t="s">
        <v>55</v>
      </c>
    </row>
    <row r="836">
      <c r="A836" s="1">
        <v>835.0</v>
      </c>
      <c r="B836" s="1" t="s">
        <v>2093</v>
      </c>
      <c r="C836" s="1" t="s">
        <v>25</v>
      </c>
      <c r="K836" s="1">
        <v>200.0</v>
      </c>
      <c r="N836" s="5">
        <v>44001.0</v>
      </c>
      <c r="Q836" s="1" t="s">
        <v>2094</v>
      </c>
    </row>
    <row r="837">
      <c r="A837" s="1">
        <v>836.0</v>
      </c>
      <c r="B837" s="1" t="s">
        <v>2095</v>
      </c>
      <c r="C837" s="1" t="s">
        <v>25</v>
      </c>
      <c r="N837" s="5">
        <v>44065.0</v>
      </c>
      <c r="Q837" s="1" t="s">
        <v>55</v>
      </c>
    </row>
    <row r="838">
      <c r="A838" s="1">
        <v>837.0</v>
      </c>
      <c r="B838" s="1" t="s">
        <v>2096</v>
      </c>
      <c r="C838" s="1" t="s">
        <v>25</v>
      </c>
      <c r="K838" s="1">
        <v>200.0</v>
      </c>
      <c r="N838" s="5">
        <v>44058.0</v>
      </c>
      <c r="Q838" s="1" t="s">
        <v>2097</v>
      </c>
    </row>
    <row r="839">
      <c r="A839" s="1">
        <v>838.0</v>
      </c>
      <c r="B839" s="1" t="s">
        <v>2098</v>
      </c>
      <c r="C839" s="1" t="s">
        <v>25</v>
      </c>
      <c r="N839" s="5">
        <v>44187.0</v>
      </c>
      <c r="Q839" s="1" t="s">
        <v>55</v>
      </c>
    </row>
    <row r="840">
      <c r="A840" s="1">
        <v>839.0</v>
      </c>
      <c r="B840" s="1" t="s">
        <v>2099</v>
      </c>
      <c r="C840" s="1" t="s">
        <v>25</v>
      </c>
      <c r="K840" s="1">
        <v>20.0</v>
      </c>
      <c r="N840" s="5">
        <v>44490.0</v>
      </c>
      <c r="Q840" s="1" t="s">
        <v>100</v>
      </c>
    </row>
    <row r="841">
      <c r="A841" s="1">
        <v>840.0</v>
      </c>
      <c r="B841" s="1" t="s">
        <v>2100</v>
      </c>
      <c r="C841" s="1" t="s">
        <v>25</v>
      </c>
      <c r="K841" s="1">
        <v>60.0</v>
      </c>
      <c r="N841" s="5">
        <v>44297.0</v>
      </c>
      <c r="Q841" s="1" t="s">
        <v>2101</v>
      </c>
    </row>
    <row r="842">
      <c r="A842" s="1">
        <v>841.0</v>
      </c>
      <c r="B842" s="1" t="s">
        <v>2102</v>
      </c>
      <c r="C842" s="1" t="s">
        <v>25</v>
      </c>
      <c r="K842" s="1">
        <v>60.0</v>
      </c>
      <c r="N842" s="5">
        <v>45719.0</v>
      </c>
      <c r="Q842" s="1" t="s">
        <v>2103</v>
      </c>
    </row>
    <row r="843">
      <c r="A843" s="1">
        <v>842.0</v>
      </c>
      <c r="B843" s="1" t="s">
        <v>2104</v>
      </c>
      <c r="C843" s="1" t="s">
        <v>25</v>
      </c>
      <c r="N843" s="5">
        <v>45247.0</v>
      </c>
      <c r="Q843" s="1" t="s">
        <v>851</v>
      </c>
    </row>
    <row r="844">
      <c r="A844" s="1">
        <v>843.0</v>
      </c>
      <c r="B844" s="1" t="s">
        <v>2105</v>
      </c>
      <c r="C844" s="1" t="s">
        <v>25</v>
      </c>
      <c r="K844" s="1">
        <v>30.0</v>
      </c>
      <c r="N844" s="5">
        <v>45372.0</v>
      </c>
      <c r="Q844" s="1" t="s">
        <v>2106</v>
      </c>
    </row>
    <row r="845">
      <c r="A845" s="1">
        <v>844.0</v>
      </c>
      <c r="B845" s="1" t="s">
        <v>2107</v>
      </c>
      <c r="C845" s="1" t="s">
        <v>25</v>
      </c>
      <c r="K845" s="1">
        <v>40.0</v>
      </c>
      <c r="N845" s="5">
        <v>44896.0</v>
      </c>
      <c r="Q845" s="1" t="s">
        <v>2108</v>
      </c>
    </row>
    <row r="846">
      <c r="A846" s="1">
        <v>845.0</v>
      </c>
      <c r="B846" s="1" t="s">
        <v>2109</v>
      </c>
      <c r="C846" s="1" t="s">
        <v>25</v>
      </c>
      <c r="N846" s="5">
        <v>44304.0</v>
      </c>
      <c r="Q846" s="1" t="s">
        <v>55</v>
      </c>
    </row>
    <row r="847">
      <c r="A847" s="1">
        <v>846.0</v>
      </c>
      <c r="B847" s="1" t="s">
        <v>2110</v>
      </c>
      <c r="C847" s="1" t="s">
        <v>25</v>
      </c>
      <c r="K847" s="1">
        <v>150.0</v>
      </c>
      <c r="N847" s="5">
        <v>43893.0</v>
      </c>
      <c r="Q847" s="1" t="s">
        <v>2111</v>
      </c>
    </row>
    <row r="848">
      <c r="A848" s="1">
        <v>847.0</v>
      </c>
      <c r="B848" s="1" t="s">
        <v>2112</v>
      </c>
      <c r="C848" s="1" t="s">
        <v>25</v>
      </c>
      <c r="N848" s="5">
        <v>44443.0</v>
      </c>
      <c r="Q848" s="1" t="s">
        <v>55</v>
      </c>
    </row>
    <row r="849">
      <c r="A849" s="1">
        <v>848.0</v>
      </c>
      <c r="B849" s="1" t="s">
        <v>2113</v>
      </c>
      <c r="C849" s="1" t="s">
        <v>25</v>
      </c>
      <c r="K849" s="1">
        <v>30.0</v>
      </c>
      <c r="N849" s="5">
        <v>44442.0</v>
      </c>
      <c r="Q849" s="1" t="s">
        <v>93</v>
      </c>
    </row>
    <row r="850">
      <c r="A850" s="1">
        <v>849.0</v>
      </c>
      <c r="B850" s="1" t="s">
        <v>2114</v>
      </c>
      <c r="C850" s="1" t="s">
        <v>25</v>
      </c>
      <c r="K850" s="1">
        <v>50.0</v>
      </c>
      <c r="N850" s="5">
        <v>44727.0</v>
      </c>
      <c r="Q850" s="1" t="s">
        <v>1678</v>
      </c>
    </row>
    <row r="851">
      <c r="A851" s="1">
        <v>850.0</v>
      </c>
      <c r="B851" s="1" t="s">
        <v>2115</v>
      </c>
      <c r="C851" s="1" t="s">
        <v>25</v>
      </c>
      <c r="K851" s="1">
        <v>150.0</v>
      </c>
      <c r="N851" s="5">
        <v>44111.0</v>
      </c>
      <c r="Q851" s="1" t="s">
        <v>2116</v>
      </c>
    </row>
    <row r="852">
      <c r="A852" s="1">
        <v>851.0</v>
      </c>
      <c r="B852" s="1" t="s">
        <v>2117</v>
      </c>
      <c r="C852" s="1" t="s">
        <v>25</v>
      </c>
      <c r="N852" s="5">
        <v>44311.0</v>
      </c>
      <c r="Q852" s="1" t="s">
        <v>55</v>
      </c>
    </row>
    <row r="853">
      <c r="A853" s="1">
        <v>852.0</v>
      </c>
      <c r="B853" s="1" t="s">
        <v>2118</v>
      </c>
      <c r="C853" s="1" t="s">
        <v>25</v>
      </c>
      <c r="K853" s="1">
        <v>30.0</v>
      </c>
      <c r="N853" s="5">
        <v>45756.0</v>
      </c>
      <c r="Q853" s="1" t="s">
        <v>2119</v>
      </c>
    </row>
    <row r="854">
      <c r="A854" s="1">
        <v>853.0</v>
      </c>
      <c r="B854" s="1" t="s">
        <v>2120</v>
      </c>
      <c r="C854" s="1" t="s">
        <v>25</v>
      </c>
      <c r="K854" s="1">
        <v>50.0</v>
      </c>
      <c r="N854" s="5">
        <v>43906.0</v>
      </c>
      <c r="Q854" s="1" t="s">
        <v>55</v>
      </c>
    </row>
    <row r="855">
      <c r="A855" s="1">
        <v>854.0</v>
      </c>
      <c r="B855" s="1" t="s">
        <v>2121</v>
      </c>
      <c r="C855" s="1" t="s">
        <v>25</v>
      </c>
      <c r="N855" s="5">
        <v>44265.0</v>
      </c>
      <c r="Q855" s="1" t="s">
        <v>55</v>
      </c>
    </row>
    <row r="856">
      <c r="A856" s="1">
        <v>855.0</v>
      </c>
      <c r="B856" s="1" t="s">
        <v>2122</v>
      </c>
      <c r="C856" s="1" t="s">
        <v>25</v>
      </c>
      <c r="K856" s="1">
        <v>100.0</v>
      </c>
      <c r="N856" s="5">
        <v>44736.0</v>
      </c>
      <c r="Q856" s="1" t="s">
        <v>2123</v>
      </c>
    </row>
    <row r="857">
      <c r="A857" s="1">
        <v>856.0</v>
      </c>
      <c r="B857" s="1" t="s">
        <v>2124</v>
      </c>
      <c r="C857" s="1" t="s">
        <v>25</v>
      </c>
      <c r="K857" s="1">
        <v>600.0</v>
      </c>
      <c r="N857" s="5">
        <v>43843.0</v>
      </c>
      <c r="Q857" s="1" t="s">
        <v>2125</v>
      </c>
    </row>
    <row r="858">
      <c r="A858" s="1">
        <v>857.0</v>
      </c>
      <c r="B858" s="1" t="s">
        <v>2126</v>
      </c>
      <c r="C858" s="1" t="s">
        <v>25</v>
      </c>
      <c r="K858" s="1">
        <v>150.0</v>
      </c>
      <c r="N858" s="5">
        <v>44386.0</v>
      </c>
      <c r="Q858" s="1" t="s">
        <v>904</v>
      </c>
    </row>
    <row r="859">
      <c r="A859" s="1">
        <v>858.0</v>
      </c>
      <c r="B859" s="1" t="s">
        <v>2127</v>
      </c>
      <c r="C859" s="1" t="s">
        <v>25</v>
      </c>
      <c r="N859" s="5">
        <v>44245.0</v>
      </c>
      <c r="Q859" s="1" t="s">
        <v>55</v>
      </c>
    </row>
    <row r="860">
      <c r="A860" s="1">
        <v>859.0</v>
      </c>
      <c r="B860" s="1" t="s">
        <v>2128</v>
      </c>
      <c r="C860" s="1" t="s">
        <v>25</v>
      </c>
      <c r="K860" s="1">
        <v>150.0</v>
      </c>
      <c r="N860" s="5">
        <v>43887.0</v>
      </c>
      <c r="Q860" s="1" t="s">
        <v>2129</v>
      </c>
    </row>
    <row r="861">
      <c r="A861" s="1">
        <v>860.0</v>
      </c>
      <c r="B861" s="1" t="s">
        <v>2130</v>
      </c>
      <c r="C861" s="1" t="s">
        <v>25</v>
      </c>
      <c r="N861" s="5">
        <v>44365.0</v>
      </c>
      <c r="Q861" s="1" t="s">
        <v>55</v>
      </c>
    </row>
    <row r="862">
      <c r="A862" s="1">
        <v>861.0</v>
      </c>
      <c r="B862" s="1" t="s">
        <v>2131</v>
      </c>
      <c r="C862" s="1" t="s">
        <v>25</v>
      </c>
      <c r="K862" s="1">
        <v>20.0</v>
      </c>
      <c r="N862" s="5">
        <v>45575.0</v>
      </c>
      <c r="Q862" s="1" t="s">
        <v>2132</v>
      </c>
    </row>
    <row r="863">
      <c r="A863" s="1">
        <v>862.0</v>
      </c>
      <c r="B863" s="1" t="s">
        <v>2133</v>
      </c>
      <c r="C863" s="1" t="s">
        <v>25</v>
      </c>
      <c r="K863" s="1">
        <v>150.0</v>
      </c>
      <c r="N863" s="5">
        <v>44329.0</v>
      </c>
      <c r="Q863" s="1" t="s">
        <v>2134</v>
      </c>
    </row>
    <row r="864">
      <c r="A864" s="1">
        <v>863.0</v>
      </c>
      <c r="B864" s="1" t="s">
        <v>2135</v>
      </c>
      <c r="C864" s="1" t="s">
        <v>25</v>
      </c>
      <c r="K864" s="1">
        <v>50.0</v>
      </c>
      <c r="N864" s="5">
        <v>44967.0</v>
      </c>
      <c r="Q864" s="1" t="s">
        <v>1125</v>
      </c>
    </row>
    <row r="865">
      <c r="A865" s="1">
        <v>864.0</v>
      </c>
      <c r="B865" s="1" t="s">
        <v>2136</v>
      </c>
      <c r="C865" s="1" t="s">
        <v>25</v>
      </c>
      <c r="K865" s="1">
        <v>30.0</v>
      </c>
      <c r="N865" s="5">
        <v>45600.0</v>
      </c>
      <c r="Q865" s="1" t="s">
        <v>2137</v>
      </c>
    </row>
    <row r="866">
      <c r="A866" s="1">
        <v>865.0</v>
      </c>
      <c r="B866" s="1" t="s">
        <v>2138</v>
      </c>
      <c r="C866" s="1" t="s">
        <v>25</v>
      </c>
      <c r="K866" s="1">
        <v>100.0</v>
      </c>
      <c r="N866" s="5">
        <v>43853.0</v>
      </c>
      <c r="Q866" s="1" t="s">
        <v>2139</v>
      </c>
    </row>
    <row r="867">
      <c r="A867" s="1">
        <v>866.0</v>
      </c>
      <c r="B867" s="1" t="s">
        <v>2140</v>
      </c>
      <c r="C867" s="1" t="s">
        <v>25</v>
      </c>
      <c r="N867" s="5">
        <v>43893.0</v>
      </c>
      <c r="Q867" s="1" t="s">
        <v>55</v>
      </c>
    </row>
    <row r="868">
      <c r="A868" s="1">
        <v>867.0</v>
      </c>
      <c r="B868" s="1" t="s">
        <v>2141</v>
      </c>
      <c r="C868" s="1" t="s">
        <v>25</v>
      </c>
      <c r="K868" s="1">
        <v>70.0</v>
      </c>
      <c r="N868" s="5">
        <v>43840.0</v>
      </c>
      <c r="Q868" s="1" t="s">
        <v>2142</v>
      </c>
    </row>
    <row r="869">
      <c r="A869" s="1">
        <v>868.0</v>
      </c>
      <c r="B869" s="1" t="s">
        <v>2143</v>
      </c>
      <c r="C869" s="1" t="s">
        <v>25</v>
      </c>
      <c r="K869" s="1">
        <v>10.0</v>
      </c>
      <c r="N869" s="5">
        <v>45496.0</v>
      </c>
      <c r="Q869" s="1" t="s">
        <v>2144</v>
      </c>
    </row>
    <row r="870">
      <c r="A870" s="1">
        <v>869.0</v>
      </c>
      <c r="B870" s="1" t="s">
        <v>2145</v>
      </c>
      <c r="C870" s="1" t="s">
        <v>25</v>
      </c>
      <c r="K870" s="1">
        <v>80.0</v>
      </c>
      <c r="N870" s="5">
        <v>44415.0</v>
      </c>
      <c r="Q870" s="1" t="s">
        <v>2146</v>
      </c>
    </row>
    <row r="871">
      <c r="A871" s="1">
        <v>870.0</v>
      </c>
      <c r="B871" s="1" t="s">
        <v>2147</v>
      </c>
      <c r="C871" s="1" t="s">
        <v>25</v>
      </c>
      <c r="N871" s="5">
        <v>45070.0</v>
      </c>
      <c r="Q871" s="1" t="s">
        <v>55</v>
      </c>
    </row>
    <row r="872">
      <c r="A872" s="1">
        <v>871.0</v>
      </c>
      <c r="B872" s="1" t="s">
        <v>2148</v>
      </c>
      <c r="C872" s="1" t="s">
        <v>25</v>
      </c>
      <c r="K872" s="1">
        <v>20.0</v>
      </c>
      <c r="N872" s="5">
        <v>45635.0</v>
      </c>
      <c r="Q872" s="1" t="s">
        <v>1624</v>
      </c>
    </row>
    <row r="873">
      <c r="A873" s="1">
        <v>872.0</v>
      </c>
      <c r="B873" s="1" t="s">
        <v>2149</v>
      </c>
      <c r="C873" s="1" t="s">
        <v>25</v>
      </c>
      <c r="K873" s="1">
        <v>100.0</v>
      </c>
      <c r="N873" s="5">
        <v>43941.0</v>
      </c>
      <c r="Q873" s="1" t="s">
        <v>2150</v>
      </c>
    </row>
    <row r="874">
      <c r="A874" s="1">
        <v>873.0</v>
      </c>
      <c r="B874" s="1" t="s">
        <v>2151</v>
      </c>
      <c r="C874" s="1" t="s">
        <v>25</v>
      </c>
      <c r="K874" s="1">
        <v>50.0</v>
      </c>
      <c r="N874" s="5">
        <v>43956.0</v>
      </c>
      <c r="Q874" s="1" t="s">
        <v>2152</v>
      </c>
    </row>
    <row r="875">
      <c r="A875" s="1">
        <v>874.0</v>
      </c>
      <c r="B875" s="1" t="s">
        <v>2153</v>
      </c>
      <c r="C875" s="1" t="s">
        <v>25</v>
      </c>
      <c r="N875" s="5">
        <v>44672.0</v>
      </c>
      <c r="Q875" s="1" t="s">
        <v>55</v>
      </c>
    </row>
    <row r="876">
      <c r="A876" s="1">
        <v>875.0</v>
      </c>
      <c r="B876" s="1" t="s">
        <v>2154</v>
      </c>
      <c r="C876" s="1" t="s">
        <v>25</v>
      </c>
      <c r="K876" s="1">
        <v>150.0</v>
      </c>
      <c r="N876" s="5">
        <v>44585.0</v>
      </c>
      <c r="Q876" s="1" t="s">
        <v>55</v>
      </c>
    </row>
    <row r="877">
      <c r="A877" s="1">
        <v>876.0</v>
      </c>
      <c r="B877" s="1" t="s">
        <v>2155</v>
      </c>
      <c r="C877" s="1" t="s">
        <v>25</v>
      </c>
      <c r="N877" s="5">
        <v>45491.0</v>
      </c>
      <c r="Q877" s="1" t="s">
        <v>1666</v>
      </c>
    </row>
    <row r="878">
      <c r="A878" s="1">
        <v>877.0</v>
      </c>
      <c r="B878" s="1" t="s">
        <v>2156</v>
      </c>
      <c r="C878" s="1" t="s">
        <v>25</v>
      </c>
      <c r="K878" s="1">
        <v>30.0</v>
      </c>
      <c r="N878" s="5">
        <v>45496.0</v>
      </c>
      <c r="Q878" s="1" t="s">
        <v>2157</v>
      </c>
    </row>
    <row r="879">
      <c r="A879" s="1">
        <v>878.0</v>
      </c>
      <c r="B879" s="1" t="s">
        <v>2158</v>
      </c>
      <c r="C879" s="1" t="s">
        <v>25</v>
      </c>
      <c r="K879" s="1">
        <v>100.0</v>
      </c>
      <c r="N879" s="5">
        <v>44734.0</v>
      </c>
      <c r="Q879" s="1" t="s">
        <v>2159</v>
      </c>
    </row>
    <row r="880">
      <c r="A880" s="1">
        <v>879.0</v>
      </c>
      <c r="B880" s="1" t="s">
        <v>2160</v>
      </c>
      <c r="C880" s="1" t="s">
        <v>25</v>
      </c>
      <c r="K880" s="1">
        <v>30.0</v>
      </c>
      <c r="N880" s="5">
        <v>45327.0</v>
      </c>
      <c r="Q880" s="1" t="s">
        <v>2161</v>
      </c>
    </row>
    <row r="881">
      <c r="A881" s="1">
        <v>880.0</v>
      </c>
      <c r="B881" s="1" t="s">
        <v>2162</v>
      </c>
      <c r="C881" s="1" t="s">
        <v>25</v>
      </c>
      <c r="K881" s="1">
        <v>60.0</v>
      </c>
      <c r="N881" s="5">
        <v>45657.0</v>
      </c>
      <c r="Q881" s="1" t="s">
        <v>2163</v>
      </c>
    </row>
    <row r="882">
      <c r="A882" s="1">
        <v>881.0</v>
      </c>
      <c r="B882" s="1" t="s">
        <v>2164</v>
      </c>
      <c r="C882" s="1" t="s">
        <v>25</v>
      </c>
      <c r="K882" s="1">
        <v>40.0</v>
      </c>
      <c r="N882" s="5">
        <v>45209.0</v>
      </c>
      <c r="Q882" s="1" t="s">
        <v>2165</v>
      </c>
    </row>
    <row r="883">
      <c r="A883" s="1">
        <v>882.0</v>
      </c>
      <c r="B883" s="1" t="s">
        <v>2166</v>
      </c>
      <c r="C883" s="1" t="s">
        <v>25</v>
      </c>
      <c r="K883" s="1">
        <v>100.0</v>
      </c>
      <c r="N883" s="5">
        <v>43897.0</v>
      </c>
      <c r="Q883" s="1" t="s">
        <v>2167</v>
      </c>
    </row>
    <row r="884">
      <c r="A884" s="1">
        <v>883.0</v>
      </c>
      <c r="B884" s="1" t="s">
        <v>2168</v>
      </c>
      <c r="C884" s="1" t="s">
        <v>25</v>
      </c>
      <c r="K884" s="1">
        <v>40.0</v>
      </c>
      <c r="N884" s="5">
        <v>45382.0</v>
      </c>
      <c r="Q884" s="1" t="s">
        <v>2169</v>
      </c>
    </row>
    <row r="885">
      <c r="A885" s="1">
        <v>884.0</v>
      </c>
      <c r="B885" s="1" t="s">
        <v>2170</v>
      </c>
      <c r="C885" s="1" t="s">
        <v>25</v>
      </c>
      <c r="N885" s="5">
        <v>44284.0</v>
      </c>
      <c r="Q885" s="1" t="s">
        <v>55</v>
      </c>
    </row>
    <row r="886">
      <c r="A886" s="1">
        <v>885.0</v>
      </c>
      <c r="B886" s="1" t="s">
        <v>2171</v>
      </c>
      <c r="C886" s="1" t="s">
        <v>25</v>
      </c>
      <c r="K886" s="1">
        <v>50.0</v>
      </c>
      <c r="N886" s="5">
        <v>44614.0</v>
      </c>
      <c r="Q886" s="1" t="s">
        <v>2172</v>
      </c>
    </row>
    <row r="887">
      <c r="A887" s="1">
        <v>886.0</v>
      </c>
      <c r="B887" s="1" t="s">
        <v>2173</v>
      </c>
      <c r="C887" s="1" t="s">
        <v>25</v>
      </c>
      <c r="K887" s="1">
        <v>150.0</v>
      </c>
      <c r="N887" s="5">
        <v>44003.0</v>
      </c>
      <c r="Q887" s="1" t="s">
        <v>2174</v>
      </c>
    </row>
    <row r="888">
      <c r="A888" s="1">
        <v>887.0</v>
      </c>
      <c r="B888" s="1" t="s">
        <v>2175</v>
      </c>
      <c r="C888" s="1" t="s">
        <v>25</v>
      </c>
      <c r="K888" s="1">
        <v>70.0</v>
      </c>
      <c r="N888" s="5">
        <v>44643.0</v>
      </c>
      <c r="Q888" s="1" t="s">
        <v>2176</v>
      </c>
    </row>
    <row r="889">
      <c r="A889" s="1">
        <v>888.0</v>
      </c>
      <c r="B889" s="1" t="s">
        <v>2177</v>
      </c>
      <c r="C889" s="1" t="s">
        <v>25</v>
      </c>
      <c r="N889" s="5">
        <v>45261.0</v>
      </c>
      <c r="Q889" s="1" t="s">
        <v>227</v>
      </c>
    </row>
    <row r="890">
      <c r="A890" s="1">
        <v>889.0</v>
      </c>
      <c r="B890" s="1" t="s">
        <v>2178</v>
      </c>
      <c r="C890" s="1" t="s">
        <v>25</v>
      </c>
      <c r="K890" s="1">
        <v>150.0</v>
      </c>
      <c r="N890" s="5">
        <v>44329.0</v>
      </c>
      <c r="Q890" s="1" t="s">
        <v>2179</v>
      </c>
    </row>
    <row r="891">
      <c r="A891" s="1">
        <v>890.0</v>
      </c>
      <c r="B891" s="1" t="s">
        <v>2180</v>
      </c>
      <c r="C891" s="1" t="s">
        <v>25</v>
      </c>
      <c r="K891" s="1">
        <v>80.0</v>
      </c>
      <c r="N891" s="5">
        <v>44022.0</v>
      </c>
      <c r="Q891" s="1" t="s">
        <v>2181</v>
      </c>
    </row>
    <row r="892">
      <c r="A892" s="1">
        <v>891.0</v>
      </c>
      <c r="B892" s="1" t="s">
        <v>2182</v>
      </c>
      <c r="C892" s="1" t="s">
        <v>25</v>
      </c>
      <c r="K892" s="1">
        <v>150.0</v>
      </c>
      <c r="N892" s="5">
        <v>44275.0</v>
      </c>
      <c r="Q892" s="1" t="s">
        <v>2183</v>
      </c>
    </row>
    <row r="893">
      <c r="A893" s="1">
        <v>892.0</v>
      </c>
      <c r="B893" s="1" t="s">
        <v>2184</v>
      </c>
      <c r="C893" s="1" t="s">
        <v>25</v>
      </c>
      <c r="N893" s="5">
        <v>44417.0</v>
      </c>
      <c r="Q893" s="1" t="s">
        <v>55</v>
      </c>
    </row>
    <row r="894">
      <c r="A894" s="1">
        <v>893.0</v>
      </c>
      <c r="B894" s="1" t="s">
        <v>2185</v>
      </c>
      <c r="C894" s="1" t="s">
        <v>25</v>
      </c>
      <c r="N894" s="5">
        <v>44635.0</v>
      </c>
      <c r="Q894" s="1" t="s">
        <v>55</v>
      </c>
    </row>
    <row r="895">
      <c r="A895" s="1">
        <v>894.0</v>
      </c>
      <c r="B895" s="1" t="s">
        <v>2186</v>
      </c>
      <c r="C895" s="1" t="s">
        <v>25</v>
      </c>
      <c r="K895" s="1">
        <v>10.0</v>
      </c>
      <c r="N895" s="5">
        <v>44072.0</v>
      </c>
      <c r="Q895" s="1" t="s">
        <v>2187</v>
      </c>
    </row>
    <row r="896">
      <c r="A896" s="1">
        <v>895.0</v>
      </c>
      <c r="B896" s="1" t="s">
        <v>2188</v>
      </c>
      <c r="C896" s="1" t="s">
        <v>25</v>
      </c>
      <c r="K896" s="1">
        <v>70.0</v>
      </c>
      <c r="N896" s="5">
        <v>43917.0</v>
      </c>
      <c r="Q896" s="1" t="s">
        <v>2189</v>
      </c>
    </row>
    <row r="897">
      <c r="A897" s="1">
        <v>896.0</v>
      </c>
      <c r="B897" s="1" t="s">
        <v>2190</v>
      </c>
      <c r="C897" s="1" t="s">
        <v>25</v>
      </c>
      <c r="N897" s="5">
        <v>44629.0</v>
      </c>
      <c r="Q897" s="1" t="s">
        <v>55</v>
      </c>
    </row>
    <row r="898">
      <c r="A898" s="1">
        <v>897.0</v>
      </c>
      <c r="B898" s="1" t="s">
        <v>2191</v>
      </c>
      <c r="C898" s="1" t="s">
        <v>25</v>
      </c>
      <c r="K898" s="1">
        <v>20.0</v>
      </c>
      <c r="N898" s="5">
        <v>44061.0</v>
      </c>
      <c r="Q898" s="1" t="s">
        <v>55</v>
      </c>
    </row>
    <row r="899">
      <c r="A899" s="1">
        <v>898.0</v>
      </c>
      <c r="B899" s="1" t="s">
        <v>2192</v>
      </c>
      <c r="C899" s="1" t="s">
        <v>25</v>
      </c>
      <c r="N899" s="5">
        <v>44341.0</v>
      </c>
      <c r="Q899" s="1" t="s">
        <v>55</v>
      </c>
    </row>
    <row r="900">
      <c r="A900" s="1">
        <v>899.0</v>
      </c>
      <c r="B900" s="1" t="s">
        <v>2193</v>
      </c>
      <c r="C900" s="1" t="s">
        <v>25</v>
      </c>
      <c r="N900" s="5">
        <v>44994.0</v>
      </c>
      <c r="Q900" s="1" t="s">
        <v>55</v>
      </c>
    </row>
    <row r="901">
      <c r="A901" s="1">
        <v>900.0</v>
      </c>
      <c r="B901" s="1" t="s">
        <v>2194</v>
      </c>
      <c r="C901" s="1" t="s">
        <v>25</v>
      </c>
      <c r="K901" s="1">
        <v>200.0</v>
      </c>
      <c r="N901" s="5">
        <v>43848.0</v>
      </c>
      <c r="Q901" s="1" t="s">
        <v>2195</v>
      </c>
    </row>
    <row r="902">
      <c r="A902" s="1">
        <v>901.0</v>
      </c>
      <c r="B902" s="1" t="s">
        <v>2196</v>
      </c>
      <c r="C902" s="1" t="s">
        <v>25</v>
      </c>
      <c r="K902" s="1">
        <v>100.0</v>
      </c>
      <c r="N902" s="5">
        <v>45368.0</v>
      </c>
      <c r="Q902" s="1" t="s">
        <v>2197</v>
      </c>
    </row>
    <row r="903">
      <c r="A903" s="1">
        <v>902.0</v>
      </c>
      <c r="B903" s="1" t="s">
        <v>2198</v>
      </c>
      <c r="C903" s="1" t="s">
        <v>25</v>
      </c>
      <c r="N903" s="5">
        <v>44648.0</v>
      </c>
      <c r="Q903" s="1" t="s">
        <v>55</v>
      </c>
    </row>
    <row r="904">
      <c r="A904" s="1">
        <v>903.0</v>
      </c>
      <c r="B904" s="1" t="s">
        <v>2199</v>
      </c>
      <c r="C904" s="1" t="s">
        <v>25</v>
      </c>
      <c r="K904" s="1">
        <v>60.0</v>
      </c>
      <c r="N904" s="5">
        <v>44809.0</v>
      </c>
      <c r="Q904" s="1" t="s">
        <v>1724</v>
      </c>
    </row>
    <row r="905">
      <c r="A905" s="1">
        <v>904.0</v>
      </c>
      <c r="B905" s="1" t="s">
        <v>2200</v>
      </c>
      <c r="C905" s="1" t="s">
        <v>25</v>
      </c>
      <c r="N905" s="5">
        <v>43842.0</v>
      </c>
      <c r="Q905" s="1" t="s">
        <v>55</v>
      </c>
    </row>
    <row r="906">
      <c r="A906" s="1">
        <v>905.0</v>
      </c>
      <c r="B906" s="1" t="s">
        <v>2201</v>
      </c>
      <c r="C906" s="1" t="s">
        <v>25</v>
      </c>
      <c r="N906" s="5">
        <v>44641.0</v>
      </c>
      <c r="Q906" s="1" t="s">
        <v>55</v>
      </c>
    </row>
    <row r="907">
      <c r="A907" s="1">
        <v>906.0</v>
      </c>
      <c r="B907" s="1" t="s">
        <v>2202</v>
      </c>
      <c r="C907" s="1" t="s">
        <v>25</v>
      </c>
      <c r="K907" s="1">
        <v>30.0</v>
      </c>
      <c r="N907" s="5">
        <v>44304.0</v>
      </c>
      <c r="Q907" s="1" t="s">
        <v>2203</v>
      </c>
    </row>
    <row r="908">
      <c r="A908" s="1">
        <v>907.0</v>
      </c>
      <c r="B908" s="1" t="s">
        <v>2204</v>
      </c>
      <c r="C908" s="1" t="s">
        <v>25</v>
      </c>
      <c r="K908" s="1">
        <v>150.0</v>
      </c>
      <c r="N908" s="5">
        <v>44051.0</v>
      </c>
      <c r="Q908" s="1" t="s">
        <v>1436</v>
      </c>
    </row>
    <row r="909">
      <c r="A909" s="1">
        <v>908.0</v>
      </c>
      <c r="B909" s="1" t="s">
        <v>2205</v>
      </c>
      <c r="C909" s="1" t="s">
        <v>25</v>
      </c>
      <c r="N909" s="5">
        <v>44125.0</v>
      </c>
      <c r="Q909" s="1" t="s">
        <v>55</v>
      </c>
    </row>
    <row r="910">
      <c r="A910" s="1">
        <v>909.0</v>
      </c>
      <c r="B910" s="1" t="s">
        <v>2206</v>
      </c>
      <c r="C910" s="1" t="s">
        <v>25</v>
      </c>
      <c r="K910" s="1">
        <v>60.0</v>
      </c>
      <c r="N910" s="5">
        <v>45597.0</v>
      </c>
      <c r="Q910" s="1" t="s">
        <v>2207</v>
      </c>
    </row>
    <row r="911">
      <c r="A911" s="1">
        <v>910.0</v>
      </c>
      <c r="B911" s="1" t="s">
        <v>2208</v>
      </c>
      <c r="C911" s="1" t="s">
        <v>25</v>
      </c>
      <c r="K911" s="1">
        <v>10.0</v>
      </c>
      <c r="N911" s="5">
        <v>45617.0</v>
      </c>
      <c r="Q911" s="1" t="s">
        <v>2209</v>
      </c>
    </row>
    <row r="912">
      <c r="A912" s="1">
        <v>911.0</v>
      </c>
      <c r="B912" s="1" t="s">
        <v>2210</v>
      </c>
      <c r="C912" s="1" t="s">
        <v>25</v>
      </c>
      <c r="K912" s="1">
        <v>60.0</v>
      </c>
      <c r="N912" s="5">
        <v>45702.0</v>
      </c>
      <c r="Q912" s="1" t="s">
        <v>1711</v>
      </c>
    </row>
    <row r="913">
      <c r="A913" s="1">
        <v>912.0</v>
      </c>
      <c r="B913" s="1" t="s">
        <v>2211</v>
      </c>
      <c r="C913" s="1" t="s">
        <v>25</v>
      </c>
      <c r="K913" s="1">
        <v>90.0</v>
      </c>
      <c r="N913" s="5">
        <v>44006.0</v>
      </c>
      <c r="Q913" s="1" t="s">
        <v>2212</v>
      </c>
    </row>
    <row r="914">
      <c r="A914" s="1">
        <v>913.0</v>
      </c>
      <c r="B914" s="1" t="s">
        <v>2213</v>
      </c>
      <c r="C914" s="1" t="s">
        <v>25</v>
      </c>
      <c r="N914" s="5">
        <v>44652.0</v>
      </c>
      <c r="Q914" s="1" t="s">
        <v>55</v>
      </c>
    </row>
    <row r="915">
      <c r="A915" s="1">
        <v>914.0</v>
      </c>
      <c r="B915" s="1" t="s">
        <v>2214</v>
      </c>
      <c r="C915" s="1" t="s">
        <v>25</v>
      </c>
      <c r="K915" s="1">
        <v>100.0</v>
      </c>
      <c r="N915" s="5">
        <v>43863.0</v>
      </c>
      <c r="Q915" s="1" t="s">
        <v>2215</v>
      </c>
    </row>
    <row r="916">
      <c r="A916" s="1">
        <v>915.0</v>
      </c>
      <c r="B916" s="1" t="s">
        <v>2216</v>
      </c>
      <c r="C916" s="1" t="s">
        <v>25</v>
      </c>
      <c r="K916" s="1">
        <v>60.0</v>
      </c>
      <c r="N916" s="5">
        <v>43984.0</v>
      </c>
      <c r="Q916" s="1" t="s">
        <v>55</v>
      </c>
    </row>
    <row r="917">
      <c r="A917" s="1">
        <v>916.0</v>
      </c>
      <c r="B917" s="1" t="s">
        <v>2217</v>
      </c>
      <c r="C917" s="1" t="s">
        <v>25</v>
      </c>
      <c r="N917" s="5">
        <v>44662.0</v>
      </c>
      <c r="Q917" s="1" t="s">
        <v>851</v>
      </c>
    </row>
    <row r="918">
      <c r="A918" s="1">
        <v>917.0</v>
      </c>
      <c r="B918" s="1" t="s">
        <v>2218</v>
      </c>
      <c r="C918" s="1" t="s">
        <v>25</v>
      </c>
      <c r="K918" s="1">
        <v>100.0</v>
      </c>
      <c r="N918" s="5">
        <v>43950.0</v>
      </c>
      <c r="Q918" s="1" t="s">
        <v>2219</v>
      </c>
    </row>
    <row r="919">
      <c r="A919" s="1">
        <v>918.0</v>
      </c>
      <c r="B919" s="1" t="s">
        <v>2220</v>
      </c>
      <c r="C919" s="1" t="s">
        <v>25</v>
      </c>
      <c r="K919" s="1">
        <v>40.0</v>
      </c>
      <c r="N919" s="5">
        <v>44556.0</v>
      </c>
      <c r="Q919" s="1" t="s">
        <v>2221</v>
      </c>
    </row>
    <row r="920">
      <c r="A920" s="1">
        <v>919.0</v>
      </c>
      <c r="B920" s="1" t="s">
        <v>2222</v>
      </c>
      <c r="C920" s="1" t="s">
        <v>25</v>
      </c>
      <c r="K920" s="1">
        <v>80.0</v>
      </c>
      <c r="N920" s="5">
        <v>44121.0</v>
      </c>
      <c r="Q920" s="1" t="s">
        <v>2223</v>
      </c>
    </row>
    <row r="921">
      <c r="A921" s="1">
        <v>920.0</v>
      </c>
      <c r="B921" s="1" t="s">
        <v>2224</v>
      </c>
      <c r="C921" s="1" t="s">
        <v>25</v>
      </c>
      <c r="K921" s="1">
        <v>70.0</v>
      </c>
      <c r="N921" s="5">
        <v>43951.0</v>
      </c>
      <c r="Q921" s="1" t="s">
        <v>2225</v>
      </c>
    </row>
    <row r="922">
      <c r="A922" s="1">
        <v>921.0</v>
      </c>
      <c r="B922" s="1" t="s">
        <v>2226</v>
      </c>
      <c r="C922" s="1" t="s">
        <v>25</v>
      </c>
      <c r="K922" s="1">
        <v>40.0</v>
      </c>
      <c r="N922" s="5">
        <v>45614.0</v>
      </c>
      <c r="Q922" s="1" t="s">
        <v>2227</v>
      </c>
    </row>
    <row r="923">
      <c r="A923" s="1">
        <v>922.0</v>
      </c>
      <c r="B923" s="1" t="s">
        <v>2228</v>
      </c>
      <c r="C923" s="1" t="s">
        <v>25</v>
      </c>
      <c r="K923" s="1">
        <v>30.0</v>
      </c>
      <c r="N923" s="5">
        <v>44255.0</v>
      </c>
      <c r="Q923" s="1" t="s">
        <v>569</v>
      </c>
    </row>
    <row r="924">
      <c r="A924" s="1">
        <v>923.0</v>
      </c>
      <c r="B924" s="1" t="s">
        <v>2229</v>
      </c>
      <c r="C924" s="1" t="s">
        <v>25</v>
      </c>
      <c r="N924" s="5">
        <v>44863.0</v>
      </c>
      <c r="Q924" s="1" t="s">
        <v>851</v>
      </c>
    </row>
    <row r="925">
      <c r="A925" s="1">
        <v>924.0</v>
      </c>
      <c r="B925" s="1" t="s">
        <v>2230</v>
      </c>
      <c r="C925" s="1" t="s">
        <v>25</v>
      </c>
      <c r="K925" s="1">
        <v>150.0</v>
      </c>
      <c r="N925" s="5">
        <v>45428.0</v>
      </c>
      <c r="Q925" s="1" t="s">
        <v>2231</v>
      </c>
    </row>
    <row r="926">
      <c r="A926" s="1">
        <v>925.0</v>
      </c>
      <c r="B926" s="1" t="s">
        <v>2232</v>
      </c>
      <c r="C926" s="1" t="s">
        <v>25</v>
      </c>
      <c r="N926" s="5">
        <v>42652.0</v>
      </c>
      <c r="Q926" s="1" t="s">
        <v>55</v>
      </c>
    </row>
    <row r="927">
      <c r="A927" s="1">
        <v>926.0</v>
      </c>
      <c r="B927" s="1" t="s">
        <v>2233</v>
      </c>
      <c r="C927" s="1" t="s">
        <v>25</v>
      </c>
      <c r="K927" s="1">
        <v>200.0</v>
      </c>
      <c r="N927" s="5">
        <v>43862.0</v>
      </c>
      <c r="Q927" s="1" t="s">
        <v>2234</v>
      </c>
    </row>
    <row r="928">
      <c r="A928" s="1">
        <v>927.0</v>
      </c>
      <c r="B928" s="1" t="s">
        <v>2235</v>
      </c>
      <c r="C928" s="1" t="s">
        <v>25</v>
      </c>
      <c r="K928" s="1">
        <v>10.0</v>
      </c>
      <c r="N928" s="5">
        <v>45027.0</v>
      </c>
      <c r="Q928" s="1" t="s">
        <v>172</v>
      </c>
    </row>
    <row r="929">
      <c r="A929" s="1">
        <v>928.0</v>
      </c>
      <c r="B929" s="1" t="s">
        <v>2236</v>
      </c>
      <c r="C929" s="1" t="s">
        <v>25</v>
      </c>
      <c r="K929" s="1">
        <v>10.0</v>
      </c>
      <c r="N929" s="5">
        <v>44577.0</v>
      </c>
      <c r="Q929" s="1" t="s">
        <v>2237</v>
      </c>
    </row>
    <row r="930">
      <c r="A930" s="1">
        <v>929.0</v>
      </c>
      <c r="B930" s="1" t="s">
        <v>2238</v>
      </c>
      <c r="C930" s="1" t="s">
        <v>25</v>
      </c>
      <c r="K930" s="1">
        <v>20.0</v>
      </c>
      <c r="N930" s="5">
        <v>44652.0</v>
      </c>
      <c r="Q930" s="1" t="s">
        <v>2239</v>
      </c>
    </row>
    <row r="931">
      <c r="A931" s="1">
        <v>930.0</v>
      </c>
      <c r="B931" s="1" t="s">
        <v>2240</v>
      </c>
      <c r="C931" s="1" t="s">
        <v>25</v>
      </c>
      <c r="K931" s="1">
        <v>10.0</v>
      </c>
      <c r="N931" s="5">
        <v>44719.0</v>
      </c>
      <c r="Q931" s="1" t="s">
        <v>569</v>
      </c>
    </row>
    <row r="932">
      <c r="A932" s="1">
        <v>931.0</v>
      </c>
      <c r="B932" s="1" t="s">
        <v>2241</v>
      </c>
      <c r="C932" s="1" t="s">
        <v>25</v>
      </c>
      <c r="N932" s="5">
        <v>44448.0</v>
      </c>
      <c r="Q932" s="1" t="s">
        <v>55</v>
      </c>
    </row>
    <row r="933">
      <c r="A933" s="1">
        <v>932.0</v>
      </c>
      <c r="B933" s="1" t="s">
        <v>2242</v>
      </c>
      <c r="C933" s="1" t="s">
        <v>25</v>
      </c>
      <c r="K933" s="1">
        <v>10.0</v>
      </c>
      <c r="N933" s="5">
        <v>44072.0</v>
      </c>
      <c r="Q933" s="1" t="s">
        <v>1218</v>
      </c>
    </row>
    <row r="934">
      <c r="A934" s="1">
        <v>933.0</v>
      </c>
      <c r="B934" s="1" t="s">
        <v>2243</v>
      </c>
      <c r="C934" s="1" t="s">
        <v>25</v>
      </c>
      <c r="K934" s="1">
        <v>30.0</v>
      </c>
      <c r="N934" s="5">
        <v>44312.0</v>
      </c>
      <c r="Q934" s="1" t="s">
        <v>2244</v>
      </c>
    </row>
    <row r="935">
      <c r="A935" s="1">
        <v>934.0</v>
      </c>
      <c r="B935" s="1" t="s">
        <v>2245</v>
      </c>
      <c r="C935" s="1" t="s">
        <v>25</v>
      </c>
      <c r="K935" s="1">
        <v>150.0</v>
      </c>
      <c r="N935" s="5">
        <v>43845.0</v>
      </c>
      <c r="Q935" s="1" t="s">
        <v>2246</v>
      </c>
    </row>
    <row r="936">
      <c r="A936" s="1">
        <v>935.0</v>
      </c>
      <c r="B936" s="1" t="s">
        <v>2247</v>
      </c>
      <c r="C936" s="1" t="s">
        <v>25</v>
      </c>
      <c r="K936" s="1">
        <v>100.0</v>
      </c>
      <c r="N936" s="5">
        <v>45776.0</v>
      </c>
      <c r="Q936" s="1" t="s">
        <v>2119</v>
      </c>
    </row>
    <row r="937">
      <c r="A937" s="1">
        <v>936.0</v>
      </c>
      <c r="B937" s="1" t="s">
        <v>2248</v>
      </c>
      <c r="C937" s="1" t="s">
        <v>25</v>
      </c>
      <c r="K937" s="1">
        <v>100.0</v>
      </c>
      <c r="N937" s="5">
        <v>44408.0</v>
      </c>
      <c r="Q937" s="1" t="s">
        <v>2249</v>
      </c>
    </row>
    <row r="938">
      <c r="A938" s="1">
        <v>937.0</v>
      </c>
      <c r="B938" s="1" t="s">
        <v>2250</v>
      </c>
      <c r="C938" s="1" t="s">
        <v>25</v>
      </c>
      <c r="K938" s="1">
        <v>60.0</v>
      </c>
      <c r="N938" s="5">
        <v>45092.0</v>
      </c>
      <c r="Q938" s="1" t="s">
        <v>2251</v>
      </c>
    </row>
    <row r="939">
      <c r="A939" s="1">
        <v>938.0</v>
      </c>
      <c r="B939" s="1" t="s">
        <v>2252</v>
      </c>
      <c r="C939" s="1" t="s">
        <v>25</v>
      </c>
      <c r="K939" s="1">
        <v>20.0</v>
      </c>
      <c r="N939" s="5">
        <v>45654.0</v>
      </c>
      <c r="Q939" s="1" t="s">
        <v>2253</v>
      </c>
    </row>
    <row r="940">
      <c r="A940" s="1">
        <v>939.0</v>
      </c>
      <c r="B940" s="1" t="s">
        <v>2254</v>
      </c>
      <c r="C940" s="1" t="s">
        <v>25</v>
      </c>
      <c r="K940" s="1">
        <v>10.0</v>
      </c>
      <c r="N940" s="5">
        <v>45459.0</v>
      </c>
      <c r="Q940" s="1" t="s">
        <v>2255</v>
      </c>
    </row>
    <row r="941">
      <c r="A941" s="1">
        <v>940.0</v>
      </c>
      <c r="B941" s="1" t="s">
        <v>2256</v>
      </c>
      <c r="C941" s="1" t="s">
        <v>25</v>
      </c>
      <c r="N941" s="5">
        <v>44094.0</v>
      </c>
      <c r="Q941" s="1" t="s">
        <v>55</v>
      </c>
    </row>
    <row r="942">
      <c r="A942" s="1">
        <v>941.0</v>
      </c>
      <c r="B942" s="1" t="s">
        <v>2257</v>
      </c>
      <c r="C942" s="1" t="s">
        <v>25</v>
      </c>
      <c r="K942" s="1">
        <v>70.0</v>
      </c>
      <c r="N942" s="5">
        <v>44693.0</v>
      </c>
      <c r="Q942" s="1" t="s">
        <v>2258</v>
      </c>
    </row>
    <row r="943">
      <c r="A943" s="1">
        <v>942.0</v>
      </c>
      <c r="B943" s="1" t="s">
        <v>2259</v>
      </c>
      <c r="C943" s="1" t="s">
        <v>25</v>
      </c>
      <c r="K943" s="1">
        <v>40.0</v>
      </c>
      <c r="N943" s="5">
        <v>44152.0</v>
      </c>
      <c r="Q943" s="1" t="s">
        <v>55</v>
      </c>
    </row>
    <row r="944">
      <c r="A944" s="1">
        <v>943.0</v>
      </c>
      <c r="B944" s="1" t="s">
        <v>2260</v>
      </c>
      <c r="C944" s="1" t="s">
        <v>25</v>
      </c>
      <c r="N944" s="5">
        <v>45531.0</v>
      </c>
      <c r="Q944" s="1" t="s">
        <v>2261</v>
      </c>
    </row>
    <row r="945">
      <c r="A945" s="1">
        <v>944.0</v>
      </c>
      <c r="B945" s="1" t="s">
        <v>2262</v>
      </c>
      <c r="C945" s="1" t="s">
        <v>25</v>
      </c>
      <c r="K945" s="1">
        <v>30.0</v>
      </c>
      <c r="N945" s="5">
        <v>44788.0</v>
      </c>
      <c r="Q945" s="1" t="s">
        <v>2263</v>
      </c>
    </row>
    <row r="946">
      <c r="A946" s="1">
        <v>945.0</v>
      </c>
      <c r="B946" s="1" t="s">
        <v>2264</v>
      </c>
      <c r="C946" s="1" t="s">
        <v>25</v>
      </c>
      <c r="K946" s="1">
        <v>10.0</v>
      </c>
      <c r="N946" s="5">
        <v>45679.0</v>
      </c>
      <c r="Q946" s="1" t="s">
        <v>2265</v>
      </c>
    </row>
    <row r="947">
      <c r="A947" s="1">
        <v>946.0</v>
      </c>
      <c r="B947" s="1" t="s">
        <v>2266</v>
      </c>
      <c r="C947" s="1" t="s">
        <v>25</v>
      </c>
      <c r="K947" s="1">
        <v>200.0</v>
      </c>
      <c r="N947" s="5">
        <v>44623.0</v>
      </c>
      <c r="Q947" s="1" t="s">
        <v>2267</v>
      </c>
    </row>
    <row r="948">
      <c r="A948" s="1">
        <v>947.0</v>
      </c>
      <c r="B948" s="1" t="s">
        <v>2268</v>
      </c>
      <c r="C948" s="1" t="s">
        <v>25</v>
      </c>
      <c r="K948" s="1">
        <v>10.0</v>
      </c>
      <c r="N948" s="5">
        <v>43950.0</v>
      </c>
      <c r="Q948" s="1" t="s">
        <v>609</v>
      </c>
    </row>
    <row r="949">
      <c r="A949" s="1">
        <v>948.0</v>
      </c>
      <c r="B949" s="1" t="s">
        <v>2269</v>
      </c>
      <c r="C949" s="1" t="s">
        <v>25</v>
      </c>
      <c r="K949" s="1">
        <v>70.0</v>
      </c>
      <c r="N949" s="5">
        <v>44126.0</v>
      </c>
      <c r="Q949" s="1" t="s">
        <v>2270</v>
      </c>
    </row>
    <row r="950">
      <c r="A950" s="1">
        <v>949.0</v>
      </c>
      <c r="B950" s="1" t="s">
        <v>2271</v>
      </c>
      <c r="C950" s="1" t="s">
        <v>25</v>
      </c>
      <c r="N950" s="5">
        <v>44331.0</v>
      </c>
      <c r="Q950" s="1" t="s">
        <v>55</v>
      </c>
    </row>
    <row r="951">
      <c r="A951" s="1">
        <v>950.0</v>
      </c>
      <c r="B951" s="1" t="s">
        <v>2272</v>
      </c>
      <c r="C951" s="1" t="s">
        <v>25</v>
      </c>
      <c r="K951" s="1">
        <v>70.0</v>
      </c>
      <c r="N951" s="5">
        <v>45413.0</v>
      </c>
      <c r="Q951" s="1" t="s">
        <v>2273</v>
      </c>
    </row>
    <row r="952">
      <c r="A952" s="1">
        <v>951.0</v>
      </c>
      <c r="B952" s="1" t="s">
        <v>2274</v>
      </c>
      <c r="C952" s="1" t="s">
        <v>25</v>
      </c>
      <c r="N952" s="5">
        <v>44085.0</v>
      </c>
      <c r="Q952" s="1" t="s">
        <v>55</v>
      </c>
    </row>
    <row r="953">
      <c r="A953" s="1">
        <v>952.0</v>
      </c>
      <c r="B953" s="1" t="s">
        <v>2275</v>
      </c>
      <c r="C953" s="1" t="s">
        <v>25</v>
      </c>
      <c r="N953" s="5">
        <v>45433.0</v>
      </c>
      <c r="Q953" s="1" t="s">
        <v>55</v>
      </c>
    </row>
    <row r="954">
      <c r="A954" s="1">
        <v>953.0</v>
      </c>
      <c r="B954" s="1" t="s">
        <v>2276</v>
      </c>
      <c r="C954" s="1" t="s">
        <v>25</v>
      </c>
      <c r="K954" s="1">
        <v>20.0</v>
      </c>
      <c r="N954" s="5">
        <v>43936.0</v>
      </c>
      <c r="Q954" s="1" t="s">
        <v>55</v>
      </c>
    </row>
    <row r="955">
      <c r="A955" s="1">
        <v>954.0</v>
      </c>
      <c r="B955" s="1" t="s">
        <v>2277</v>
      </c>
      <c r="C955" s="1" t="s">
        <v>25</v>
      </c>
      <c r="K955" s="1">
        <v>150.0</v>
      </c>
      <c r="N955" s="5">
        <v>44291.0</v>
      </c>
      <c r="Q955" s="1" t="s">
        <v>2278</v>
      </c>
    </row>
    <row r="956">
      <c r="A956" s="1">
        <v>955.0</v>
      </c>
      <c r="B956" s="1" t="s">
        <v>2279</v>
      </c>
      <c r="C956" s="1" t="s">
        <v>25</v>
      </c>
      <c r="K956" s="1">
        <v>10.0</v>
      </c>
      <c r="N956" s="5">
        <v>45217.0</v>
      </c>
      <c r="Q956" s="1" t="s">
        <v>55</v>
      </c>
    </row>
    <row r="957">
      <c r="A957" s="1">
        <v>956.0</v>
      </c>
      <c r="B957" s="1" t="s">
        <v>2280</v>
      </c>
      <c r="C957" s="1" t="s">
        <v>25</v>
      </c>
      <c r="K957" s="1">
        <v>80.0</v>
      </c>
      <c r="N957" s="5">
        <v>44895.0</v>
      </c>
      <c r="Q957" s="1" t="s">
        <v>974</v>
      </c>
    </row>
    <row r="958">
      <c r="A958" s="1">
        <v>957.0</v>
      </c>
      <c r="B958" s="1" t="s">
        <v>2281</v>
      </c>
      <c r="C958" s="1" t="s">
        <v>25</v>
      </c>
      <c r="K958" s="1">
        <v>100.0</v>
      </c>
      <c r="N958" s="5">
        <v>44602.0</v>
      </c>
      <c r="Q958" s="1" t="s">
        <v>2282</v>
      </c>
    </row>
    <row r="959">
      <c r="A959" s="1">
        <v>958.0</v>
      </c>
      <c r="B959" s="1" t="s">
        <v>2283</v>
      </c>
      <c r="C959" s="1" t="s">
        <v>25</v>
      </c>
      <c r="K959" s="1">
        <v>200.0</v>
      </c>
      <c r="N959" s="5">
        <v>44303.0</v>
      </c>
      <c r="Q959" s="1" t="s">
        <v>2284</v>
      </c>
    </row>
    <row r="960">
      <c r="A960" s="1">
        <v>959.0</v>
      </c>
      <c r="B960" s="1" t="s">
        <v>2285</v>
      </c>
      <c r="C960" s="1" t="s">
        <v>25</v>
      </c>
      <c r="K960" s="1">
        <v>150.0</v>
      </c>
      <c r="N960" s="5">
        <v>44088.0</v>
      </c>
      <c r="Q960" s="1" t="s">
        <v>2286</v>
      </c>
    </row>
    <row r="961">
      <c r="A961" s="1">
        <v>960.0</v>
      </c>
      <c r="B961" s="1" t="s">
        <v>2287</v>
      </c>
      <c r="C961" s="1" t="s">
        <v>25</v>
      </c>
      <c r="K961" s="1">
        <v>20.0</v>
      </c>
      <c r="N961" s="5">
        <v>43962.0</v>
      </c>
      <c r="Q961" s="1" t="s">
        <v>2288</v>
      </c>
    </row>
    <row r="962">
      <c r="A962" s="1">
        <v>961.0</v>
      </c>
      <c r="B962" s="1" t="s">
        <v>2289</v>
      </c>
      <c r="C962" s="1" t="s">
        <v>25</v>
      </c>
      <c r="K962" s="1">
        <v>250.0</v>
      </c>
      <c r="N962" s="5">
        <v>43909.0</v>
      </c>
      <c r="Q962" s="1" t="s">
        <v>2290</v>
      </c>
    </row>
    <row r="963">
      <c r="A963" s="1">
        <v>962.0</v>
      </c>
      <c r="B963" s="1" t="s">
        <v>2291</v>
      </c>
      <c r="C963" s="1" t="s">
        <v>25</v>
      </c>
      <c r="K963" s="1">
        <v>60.0</v>
      </c>
      <c r="N963" s="5">
        <v>44092.0</v>
      </c>
      <c r="Q963" s="1" t="s">
        <v>2292</v>
      </c>
    </row>
    <row r="964">
      <c r="A964" s="1">
        <v>963.0</v>
      </c>
      <c r="B964" s="1" t="s">
        <v>2293</v>
      </c>
      <c r="C964" s="1" t="s">
        <v>25</v>
      </c>
      <c r="N964" s="5">
        <v>45088.0</v>
      </c>
      <c r="Q964" s="1" t="s">
        <v>55</v>
      </c>
    </row>
    <row r="965">
      <c r="A965" s="1">
        <v>964.0</v>
      </c>
      <c r="B965" s="1" t="s">
        <v>2294</v>
      </c>
      <c r="C965" s="1" t="s">
        <v>25</v>
      </c>
      <c r="K965" s="1">
        <v>100.0</v>
      </c>
      <c r="N965" s="5">
        <v>45722.0</v>
      </c>
      <c r="Q965" s="1" t="s">
        <v>509</v>
      </c>
    </row>
    <row r="966">
      <c r="A966" s="1">
        <v>965.0</v>
      </c>
      <c r="B966" s="1" t="s">
        <v>2295</v>
      </c>
      <c r="C966" s="1" t="s">
        <v>25</v>
      </c>
      <c r="K966" s="1">
        <v>70.0</v>
      </c>
      <c r="N966" s="5">
        <v>45735.0</v>
      </c>
      <c r="Q966" s="1" t="s">
        <v>2296</v>
      </c>
    </row>
    <row r="967">
      <c r="A967" s="1">
        <v>966.0</v>
      </c>
      <c r="B967" s="1" t="s">
        <v>2297</v>
      </c>
      <c r="C967" s="1" t="s">
        <v>25</v>
      </c>
      <c r="K967" s="1">
        <v>80.0</v>
      </c>
      <c r="N967" s="5">
        <v>44406.0</v>
      </c>
      <c r="Q967" s="1" t="s">
        <v>2298</v>
      </c>
    </row>
    <row r="968">
      <c r="A968" s="1">
        <v>967.0</v>
      </c>
      <c r="B968" s="1" t="s">
        <v>2299</v>
      </c>
      <c r="C968" s="1" t="s">
        <v>25</v>
      </c>
      <c r="K968" s="1">
        <v>150.0</v>
      </c>
      <c r="N968" s="5">
        <v>45811.0</v>
      </c>
      <c r="Q968" s="1" t="s">
        <v>2300</v>
      </c>
    </row>
    <row r="969">
      <c r="A969" s="1">
        <v>968.0</v>
      </c>
      <c r="B969" s="1" t="s">
        <v>2301</v>
      </c>
      <c r="C969" s="1" t="s">
        <v>25</v>
      </c>
      <c r="K969" s="1">
        <v>150.0</v>
      </c>
      <c r="N969" s="5">
        <v>44437.0</v>
      </c>
      <c r="Q969" s="1" t="s">
        <v>93</v>
      </c>
    </row>
    <row r="970">
      <c r="A970" s="1">
        <v>969.0</v>
      </c>
      <c r="B970" s="1" t="s">
        <v>2302</v>
      </c>
      <c r="C970" s="1" t="s">
        <v>25</v>
      </c>
      <c r="K970" s="1">
        <v>60.0</v>
      </c>
      <c r="N970" s="5">
        <v>44565.0</v>
      </c>
      <c r="Q970" s="1" t="s">
        <v>2303</v>
      </c>
    </row>
    <row r="971">
      <c r="A971" s="1">
        <v>970.0</v>
      </c>
      <c r="B971" s="1" t="s">
        <v>2304</v>
      </c>
      <c r="C971" s="1" t="s">
        <v>25</v>
      </c>
      <c r="K971" s="1">
        <v>20.0</v>
      </c>
      <c r="N971" s="5">
        <v>44719.0</v>
      </c>
      <c r="Q971" s="1" t="s">
        <v>569</v>
      </c>
    </row>
    <row r="972">
      <c r="A972" s="1">
        <v>971.0</v>
      </c>
      <c r="B972" s="1" t="s">
        <v>2305</v>
      </c>
      <c r="C972" s="1" t="s">
        <v>25</v>
      </c>
      <c r="N972" s="5">
        <v>43950.0</v>
      </c>
      <c r="Q972" s="1" t="s">
        <v>55</v>
      </c>
    </row>
    <row r="973">
      <c r="A973" s="1">
        <v>972.0</v>
      </c>
      <c r="B973" s="1" t="s">
        <v>2306</v>
      </c>
      <c r="C973" s="1" t="s">
        <v>25</v>
      </c>
      <c r="K973" s="1">
        <v>60.0</v>
      </c>
      <c r="N973" s="5">
        <v>44276.0</v>
      </c>
      <c r="Q973" s="1" t="s">
        <v>826</v>
      </c>
    </row>
    <row r="974">
      <c r="A974" s="1">
        <v>973.0</v>
      </c>
      <c r="B974" s="1" t="s">
        <v>2307</v>
      </c>
      <c r="C974" s="1" t="s">
        <v>25</v>
      </c>
      <c r="N974" s="5">
        <v>44446.0</v>
      </c>
      <c r="Q974" s="1" t="s">
        <v>55</v>
      </c>
    </row>
    <row r="975">
      <c r="A975" s="1">
        <v>974.0</v>
      </c>
      <c r="B975" s="1" t="s">
        <v>2308</v>
      </c>
      <c r="C975" s="1" t="s">
        <v>25</v>
      </c>
      <c r="K975" s="1">
        <v>150.0</v>
      </c>
      <c r="N975" s="5">
        <v>44268.0</v>
      </c>
      <c r="Q975" s="1" t="s">
        <v>1426</v>
      </c>
    </row>
    <row r="976">
      <c r="A976" s="1">
        <v>975.0</v>
      </c>
      <c r="B976" s="1" t="s">
        <v>2309</v>
      </c>
      <c r="C976" s="1" t="s">
        <v>25</v>
      </c>
      <c r="K976" s="1">
        <v>60.0</v>
      </c>
      <c r="N976" s="5">
        <v>44543.0</v>
      </c>
      <c r="Q976" s="1" t="s">
        <v>2310</v>
      </c>
    </row>
    <row r="977">
      <c r="A977" s="1">
        <v>976.0</v>
      </c>
      <c r="B977" s="1" t="s">
        <v>2311</v>
      </c>
      <c r="C977" s="1" t="s">
        <v>25</v>
      </c>
      <c r="K977" s="1">
        <v>40.0</v>
      </c>
      <c r="N977" s="5">
        <v>43978.0</v>
      </c>
      <c r="Q977" s="1" t="s">
        <v>2312</v>
      </c>
    </row>
    <row r="978">
      <c r="A978" s="1">
        <v>977.0</v>
      </c>
      <c r="B978" s="1" t="s">
        <v>2313</v>
      </c>
      <c r="C978" s="1" t="s">
        <v>25</v>
      </c>
      <c r="K978" s="1">
        <v>200.0</v>
      </c>
      <c r="N978" s="5">
        <v>45386.0</v>
      </c>
      <c r="Q978" s="1" t="s">
        <v>2314</v>
      </c>
    </row>
    <row r="979">
      <c r="A979" s="1">
        <v>978.0</v>
      </c>
      <c r="B979" s="1" t="s">
        <v>2315</v>
      </c>
      <c r="C979" s="1" t="s">
        <v>25</v>
      </c>
      <c r="K979" s="1">
        <v>20.0</v>
      </c>
      <c r="N979" s="5">
        <v>43960.0</v>
      </c>
      <c r="Q979" s="1" t="s">
        <v>46</v>
      </c>
    </row>
    <row r="980">
      <c r="A980" s="1">
        <v>979.0</v>
      </c>
      <c r="B980" s="1" t="s">
        <v>2316</v>
      </c>
      <c r="C980" s="1" t="s">
        <v>25</v>
      </c>
      <c r="K980" s="1">
        <v>60.0</v>
      </c>
      <c r="N980" s="5">
        <v>45730.0</v>
      </c>
      <c r="Q980" s="1" t="s">
        <v>2317</v>
      </c>
    </row>
    <row r="981">
      <c r="A981" s="1">
        <v>980.0</v>
      </c>
      <c r="B981" s="1" t="s">
        <v>2318</v>
      </c>
      <c r="C981" s="1" t="s">
        <v>25</v>
      </c>
      <c r="K981" s="1">
        <v>200.0</v>
      </c>
      <c r="N981" s="5">
        <v>44606.0</v>
      </c>
      <c r="Q981" s="1" t="s">
        <v>566</v>
      </c>
    </row>
    <row r="982">
      <c r="A982" s="1">
        <v>981.0</v>
      </c>
      <c r="B982" s="1" t="s">
        <v>2319</v>
      </c>
      <c r="C982" s="1" t="s">
        <v>25</v>
      </c>
      <c r="K982" s="1">
        <v>40.0</v>
      </c>
      <c r="N982" s="5">
        <v>44292.0</v>
      </c>
      <c r="Q982" s="1" t="s">
        <v>796</v>
      </c>
    </row>
    <row r="983">
      <c r="A983" s="1">
        <v>982.0</v>
      </c>
      <c r="B983" s="1" t="s">
        <v>2320</v>
      </c>
      <c r="C983" s="1" t="s">
        <v>25</v>
      </c>
      <c r="K983" s="1">
        <v>60.0</v>
      </c>
      <c r="N983" s="5">
        <v>45719.0</v>
      </c>
      <c r="Q983" s="1" t="s">
        <v>2321</v>
      </c>
    </row>
    <row r="984">
      <c r="A984" s="1">
        <v>983.0</v>
      </c>
      <c r="B984" s="1" t="s">
        <v>2322</v>
      </c>
      <c r="C984" s="1" t="s">
        <v>25</v>
      </c>
      <c r="K984" s="1">
        <v>200.0</v>
      </c>
      <c r="N984" s="5">
        <v>44272.0</v>
      </c>
      <c r="Q984" s="1" t="s">
        <v>2323</v>
      </c>
    </row>
    <row r="985">
      <c r="A985" s="1">
        <v>984.0</v>
      </c>
      <c r="B985" s="1" t="s">
        <v>2324</v>
      </c>
      <c r="C985" s="1" t="s">
        <v>25</v>
      </c>
      <c r="K985" s="1">
        <v>150.0</v>
      </c>
      <c r="N985" s="5">
        <v>44729.0</v>
      </c>
      <c r="Q985" s="1" t="s">
        <v>2325</v>
      </c>
    </row>
    <row r="986">
      <c r="A986" s="1">
        <v>985.0</v>
      </c>
      <c r="B986" s="1" t="s">
        <v>2326</v>
      </c>
      <c r="C986" s="1" t="s">
        <v>25</v>
      </c>
      <c r="K986" s="1">
        <v>30.0</v>
      </c>
      <c r="N986" s="5">
        <v>45201.0</v>
      </c>
      <c r="Q986" s="1" t="s">
        <v>2327</v>
      </c>
    </row>
    <row r="987">
      <c r="A987" s="1">
        <v>986.0</v>
      </c>
      <c r="B987" s="1" t="s">
        <v>2328</v>
      </c>
      <c r="C987" s="1" t="s">
        <v>25</v>
      </c>
      <c r="K987" s="1">
        <v>10.0</v>
      </c>
      <c r="N987" s="5">
        <v>44028.0</v>
      </c>
      <c r="Q987" s="1" t="s">
        <v>2329</v>
      </c>
    </row>
    <row r="988">
      <c r="A988" s="1">
        <v>987.0</v>
      </c>
      <c r="B988" s="1" t="s">
        <v>2330</v>
      </c>
      <c r="C988" s="1" t="s">
        <v>25</v>
      </c>
      <c r="K988" s="1">
        <v>100.0</v>
      </c>
      <c r="N988" s="5">
        <v>45688.0</v>
      </c>
      <c r="Q988" s="1" t="s">
        <v>2331</v>
      </c>
    </row>
    <row r="989">
      <c r="A989" s="1">
        <v>988.0</v>
      </c>
      <c r="B989" s="1" t="s">
        <v>2332</v>
      </c>
      <c r="C989" s="1" t="s">
        <v>25</v>
      </c>
      <c r="K989" s="1">
        <v>10.0</v>
      </c>
      <c r="N989" s="5">
        <v>45307.0</v>
      </c>
      <c r="Q989" s="1" t="s">
        <v>55</v>
      </c>
    </row>
    <row r="990">
      <c r="A990" s="1">
        <v>989.0</v>
      </c>
      <c r="B990" s="1" t="s">
        <v>2333</v>
      </c>
      <c r="C990" s="1" t="s">
        <v>25</v>
      </c>
      <c r="N990" s="5">
        <v>44388.0</v>
      </c>
      <c r="Q990" s="1" t="s">
        <v>55</v>
      </c>
    </row>
    <row r="991">
      <c r="A991" s="1">
        <v>990.0</v>
      </c>
      <c r="B991" s="1" t="s">
        <v>2334</v>
      </c>
      <c r="C991" s="1" t="s">
        <v>25</v>
      </c>
      <c r="K991" s="1">
        <v>10.0</v>
      </c>
      <c r="N991" s="5">
        <v>44448.0</v>
      </c>
      <c r="Q991" s="1" t="s">
        <v>93</v>
      </c>
    </row>
    <row r="992">
      <c r="A992" s="1">
        <v>991.0</v>
      </c>
      <c r="B992" s="1" t="s">
        <v>2335</v>
      </c>
      <c r="C992" s="1" t="s">
        <v>25</v>
      </c>
      <c r="K992" s="1">
        <v>10.0</v>
      </c>
      <c r="N992" s="5">
        <v>45179.0</v>
      </c>
      <c r="Q992" s="1" t="s">
        <v>55</v>
      </c>
    </row>
    <row r="993">
      <c r="A993" s="1">
        <v>992.0</v>
      </c>
      <c r="B993" s="1" t="s">
        <v>2336</v>
      </c>
      <c r="C993" s="1" t="s">
        <v>25</v>
      </c>
      <c r="K993" s="1">
        <v>10.0</v>
      </c>
      <c r="N993" s="5">
        <v>45389.0</v>
      </c>
      <c r="Q993" s="1" t="s">
        <v>2337</v>
      </c>
    </row>
    <row r="994">
      <c r="A994" s="1">
        <v>993.0</v>
      </c>
      <c r="B994" s="1" t="s">
        <v>2338</v>
      </c>
      <c r="C994" s="1" t="s">
        <v>25</v>
      </c>
      <c r="K994" s="1">
        <v>50.0</v>
      </c>
      <c r="N994" s="5">
        <v>44044.0</v>
      </c>
      <c r="Q994" s="1" t="s">
        <v>55</v>
      </c>
    </row>
    <row r="995">
      <c r="A995" s="1">
        <v>994.0</v>
      </c>
      <c r="B995" s="1" t="s">
        <v>2339</v>
      </c>
      <c r="C995" s="1" t="s">
        <v>25</v>
      </c>
      <c r="N995" s="5">
        <v>44192.0</v>
      </c>
      <c r="Q995" s="1" t="s">
        <v>55</v>
      </c>
    </row>
    <row r="996">
      <c r="A996" s="1">
        <v>995.0</v>
      </c>
      <c r="B996" s="1" t="s">
        <v>2340</v>
      </c>
      <c r="C996" s="1" t="s">
        <v>25</v>
      </c>
      <c r="K996" s="1">
        <v>1700.0</v>
      </c>
      <c r="N996" s="5">
        <v>43840.0</v>
      </c>
      <c r="Q996" s="1" t="s">
        <v>2341</v>
      </c>
    </row>
    <row r="997">
      <c r="A997" s="1">
        <v>996.0</v>
      </c>
      <c r="B997" s="1" t="s">
        <v>2342</v>
      </c>
      <c r="C997" s="1" t="s">
        <v>25</v>
      </c>
      <c r="N997" s="5">
        <v>44191.0</v>
      </c>
      <c r="Q997" s="1" t="s">
        <v>851</v>
      </c>
    </row>
    <row r="998">
      <c r="A998" s="1">
        <v>997.0</v>
      </c>
      <c r="B998" s="1" t="s">
        <v>2343</v>
      </c>
      <c r="C998" s="1" t="s">
        <v>25</v>
      </c>
      <c r="N998" s="5">
        <v>44127.0</v>
      </c>
      <c r="Q998" s="1" t="s">
        <v>55</v>
      </c>
    </row>
    <row r="999">
      <c r="A999" s="1">
        <v>998.0</v>
      </c>
      <c r="B999" s="1" t="s">
        <v>2344</v>
      </c>
      <c r="C999" s="1" t="s">
        <v>25</v>
      </c>
      <c r="K999" s="1">
        <v>40.0</v>
      </c>
      <c r="N999" s="5">
        <v>44189.0</v>
      </c>
      <c r="Q999" s="1" t="s">
        <v>55</v>
      </c>
    </row>
    <row r="1000">
      <c r="A1000" s="1">
        <v>999.0</v>
      </c>
      <c r="B1000" s="1" t="s">
        <v>2345</v>
      </c>
      <c r="C1000" s="1" t="s">
        <v>25</v>
      </c>
      <c r="K1000" s="1">
        <v>10.0</v>
      </c>
      <c r="N1000" s="5">
        <v>45172.0</v>
      </c>
      <c r="Q1000" s="1" t="s">
        <v>55</v>
      </c>
    </row>
    <row r="1001">
      <c r="A1001" s="1">
        <v>1000.0</v>
      </c>
      <c r="B1001" s="1" t="s">
        <v>2346</v>
      </c>
      <c r="C1001" s="1" t="s">
        <v>25</v>
      </c>
      <c r="K1001" s="1">
        <v>10.0</v>
      </c>
      <c r="N1001" s="5">
        <v>45557.0</v>
      </c>
      <c r="Q1001" s="1" t="s">
        <v>167</v>
      </c>
    </row>
    <row r="1002">
      <c r="A1002" s="1">
        <v>1001.0</v>
      </c>
      <c r="B1002" s="1" t="s">
        <v>2347</v>
      </c>
      <c r="C1002" s="1" t="s">
        <v>25</v>
      </c>
      <c r="K1002" s="1">
        <v>200.0</v>
      </c>
      <c r="N1002" s="5">
        <v>45176.0</v>
      </c>
      <c r="Q1002" s="1" t="s">
        <v>2348</v>
      </c>
    </row>
    <row r="1003">
      <c r="A1003" s="1">
        <v>1002.0</v>
      </c>
      <c r="B1003" s="1" t="s">
        <v>2349</v>
      </c>
      <c r="C1003" s="1" t="s">
        <v>25</v>
      </c>
      <c r="K1003" s="1">
        <v>200.0</v>
      </c>
      <c r="N1003" s="5">
        <v>45249.0</v>
      </c>
      <c r="Q1003" s="1" t="s">
        <v>2350</v>
      </c>
    </row>
    <row r="1004">
      <c r="A1004" s="1">
        <v>1003.0</v>
      </c>
      <c r="B1004" s="1" t="s">
        <v>2351</v>
      </c>
      <c r="C1004" s="1" t="s">
        <v>25</v>
      </c>
      <c r="N1004" s="5">
        <v>45258.0</v>
      </c>
      <c r="Q1004" s="1" t="s">
        <v>517</v>
      </c>
    </row>
    <row r="1005">
      <c r="A1005" s="1">
        <v>1004.0</v>
      </c>
      <c r="B1005" s="1" t="s">
        <v>2352</v>
      </c>
      <c r="C1005" s="1" t="s">
        <v>25</v>
      </c>
      <c r="N1005" s="5">
        <v>44281.0</v>
      </c>
      <c r="Q1005" s="1" t="s">
        <v>55</v>
      </c>
    </row>
    <row r="1006">
      <c r="A1006" s="1">
        <v>1005.0</v>
      </c>
      <c r="B1006" s="1" t="s">
        <v>2353</v>
      </c>
      <c r="C1006" s="1" t="s">
        <v>25</v>
      </c>
      <c r="K1006" s="1">
        <v>200.0</v>
      </c>
      <c r="N1006" s="5">
        <v>44321.0</v>
      </c>
      <c r="Q1006" s="1" t="s">
        <v>2354</v>
      </c>
    </row>
    <row r="1007">
      <c r="A1007" s="1">
        <v>1006.0</v>
      </c>
      <c r="B1007" s="1" t="s">
        <v>2355</v>
      </c>
      <c r="C1007" s="1" t="s">
        <v>25</v>
      </c>
      <c r="K1007" s="1">
        <v>60.0</v>
      </c>
      <c r="N1007" s="5">
        <v>44030.0</v>
      </c>
      <c r="Q1007" s="1" t="s">
        <v>1066</v>
      </c>
    </row>
    <row r="1008">
      <c r="A1008" s="1">
        <v>1007.0</v>
      </c>
      <c r="B1008" s="1" t="s">
        <v>2356</v>
      </c>
      <c r="C1008" s="1" t="s">
        <v>25</v>
      </c>
      <c r="K1008" s="1">
        <v>350.0</v>
      </c>
      <c r="N1008" s="5">
        <v>45447.0</v>
      </c>
      <c r="Q1008" s="1" t="s">
        <v>2357</v>
      </c>
    </row>
    <row r="1009">
      <c r="A1009" s="1">
        <v>1008.0</v>
      </c>
      <c r="B1009" s="1" t="s">
        <v>2358</v>
      </c>
      <c r="C1009" s="1" t="s">
        <v>25</v>
      </c>
      <c r="K1009" s="1">
        <v>40.0</v>
      </c>
      <c r="N1009" s="5">
        <v>45599.0</v>
      </c>
      <c r="Q1009" s="1" t="s">
        <v>2359</v>
      </c>
    </row>
    <row r="1010">
      <c r="A1010" s="1">
        <v>1009.0</v>
      </c>
      <c r="B1010" s="1" t="s">
        <v>2360</v>
      </c>
      <c r="C1010" s="1" t="s">
        <v>25</v>
      </c>
      <c r="K1010" s="1">
        <v>40.0</v>
      </c>
      <c r="N1010" s="5">
        <v>45408.0</v>
      </c>
      <c r="Q1010" s="1" t="s">
        <v>2361</v>
      </c>
    </row>
    <row r="1011">
      <c r="A1011" s="1">
        <v>1010.0</v>
      </c>
      <c r="B1011" s="1" t="s">
        <v>2362</v>
      </c>
      <c r="C1011" s="1" t="s">
        <v>25</v>
      </c>
      <c r="K1011" s="1">
        <v>150.0</v>
      </c>
      <c r="N1011" s="5">
        <v>45280.0</v>
      </c>
      <c r="Q1011" s="1" t="s">
        <v>2363</v>
      </c>
    </row>
    <row r="1012">
      <c r="A1012" s="1">
        <v>1011.0</v>
      </c>
      <c r="B1012" s="1" t="s">
        <v>2364</v>
      </c>
      <c r="C1012" s="1" t="s">
        <v>25</v>
      </c>
      <c r="K1012" s="1">
        <v>60.0</v>
      </c>
      <c r="N1012" s="5">
        <v>44314.0</v>
      </c>
      <c r="Q1012" s="1" t="s">
        <v>2365</v>
      </c>
    </row>
    <row r="1013">
      <c r="A1013" s="1">
        <v>1012.0</v>
      </c>
      <c r="B1013" s="1" t="s">
        <v>2366</v>
      </c>
      <c r="C1013" s="1" t="s">
        <v>25</v>
      </c>
      <c r="K1013" s="1">
        <v>20.0</v>
      </c>
      <c r="N1013" s="5">
        <v>44319.0</v>
      </c>
      <c r="Q1013" s="1" t="s">
        <v>2367</v>
      </c>
    </row>
    <row r="1014">
      <c r="A1014" s="1">
        <v>1013.0</v>
      </c>
      <c r="B1014" s="1" t="s">
        <v>2368</v>
      </c>
      <c r="C1014" s="1" t="s">
        <v>25</v>
      </c>
      <c r="K1014" s="1">
        <v>40.0</v>
      </c>
      <c r="N1014" s="5">
        <v>45017.0</v>
      </c>
      <c r="Q1014" s="1" t="s">
        <v>125</v>
      </c>
    </row>
    <row r="1015">
      <c r="A1015" s="1">
        <v>1014.0</v>
      </c>
      <c r="B1015" s="1" t="s">
        <v>102</v>
      </c>
      <c r="C1015" s="1" t="s">
        <v>25</v>
      </c>
      <c r="K1015" s="1">
        <v>30.0</v>
      </c>
      <c r="N1015" s="5">
        <v>44545.0</v>
      </c>
      <c r="Q1015" s="1" t="s">
        <v>105</v>
      </c>
    </row>
    <row r="1016">
      <c r="A1016" s="1">
        <v>1015.0</v>
      </c>
      <c r="B1016" s="1" t="s">
        <v>2369</v>
      </c>
      <c r="C1016" s="1" t="s">
        <v>25</v>
      </c>
      <c r="K1016" s="1">
        <v>60.0</v>
      </c>
      <c r="N1016" s="5">
        <v>44351.0</v>
      </c>
      <c r="Q1016" s="1" t="s">
        <v>55</v>
      </c>
    </row>
    <row r="1017">
      <c r="A1017" s="1">
        <v>1016.0</v>
      </c>
      <c r="B1017" s="1" t="s">
        <v>2370</v>
      </c>
      <c r="C1017" s="1" t="s">
        <v>25</v>
      </c>
      <c r="N1017" s="5">
        <v>44672.0</v>
      </c>
      <c r="Q1017" s="1" t="s">
        <v>55</v>
      </c>
    </row>
    <row r="1018">
      <c r="A1018" s="1">
        <v>1017.0</v>
      </c>
      <c r="B1018" s="1" t="s">
        <v>2371</v>
      </c>
      <c r="C1018" s="1" t="s">
        <v>25</v>
      </c>
      <c r="N1018" s="5">
        <v>44587.0</v>
      </c>
      <c r="Q1018" s="1" t="s">
        <v>55</v>
      </c>
    </row>
    <row r="1019">
      <c r="A1019" s="1">
        <v>1018.0</v>
      </c>
      <c r="B1019" s="1" t="s">
        <v>2372</v>
      </c>
      <c r="C1019" s="1" t="s">
        <v>25</v>
      </c>
      <c r="K1019" s="1">
        <v>80.0</v>
      </c>
      <c r="N1019" s="5">
        <v>43852.0</v>
      </c>
      <c r="Q1019" s="1" t="s">
        <v>1218</v>
      </c>
    </row>
    <row r="1020">
      <c r="A1020" s="1">
        <v>1019.0</v>
      </c>
      <c r="B1020" s="1" t="s">
        <v>2373</v>
      </c>
      <c r="C1020" s="1" t="s">
        <v>25</v>
      </c>
      <c r="K1020" s="1">
        <v>150.0</v>
      </c>
      <c r="N1020" s="5">
        <v>45536.0</v>
      </c>
      <c r="Q1020" s="1" t="s">
        <v>1638</v>
      </c>
    </row>
    <row r="1021">
      <c r="A1021" s="1">
        <v>1020.0</v>
      </c>
      <c r="B1021" s="1" t="s">
        <v>192</v>
      </c>
      <c r="C1021" s="1" t="s">
        <v>25</v>
      </c>
      <c r="K1021" s="1">
        <v>200.0</v>
      </c>
      <c r="N1021" s="5">
        <v>44923.0</v>
      </c>
      <c r="Q1021" s="1" t="s">
        <v>196</v>
      </c>
    </row>
    <row r="1022">
      <c r="A1022" s="1">
        <v>1021.0</v>
      </c>
      <c r="B1022" s="1" t="s">
        <v>2374</v>
      </c>
      <c r="C1022" s="1" t="s">
        <v>25</v>
      </c>
      <c r="K1022" s="1">
        <v>50.0</v>
      </c>
      <c r="N1022" s="5">
        <v>44819.0</v>
      </c>
      <c r="Q1022" s="1" t="s">
        <v>2375</v>
      </c>
    </row>
    <row r="1023">
      <c r="A1023" s="1">
        <v>1022.0</v>
      </c>
      <c r="B1023" s="1" t="s">
        <v>2376</v>
      </c>
      <c r="C1023" s="1" t="s">
        <v>25</v>
      </c>
      <c r="N1023" s="5">
        <v>44155.0</v>
      </c>
      <c r="Q1023" s="1" t="s">
        <v>55</v>
      </c>
    </row>
    <row r="1024">
      <c r="A1024" s="1">
        <v>1023.0</v>
      </c>
      <c r="B1024" s="1" t="s">
        <v>2377</v>
      </c>
      <c r="C1024" s="1" t="s">
        <v>25</v>
      </c>
      <c r="K1024" s="1">
        <v>200.0</v>
      </c>
      <c r="N1024" s="5">
        <v>44272.0</v>
      </c>
      <c r="Q1024" s="1" t="s">
        <v>2378</v>
      </c>
    </row>
    <row r="1025">
      <c r="A1025" s="1">
        <v>1024.0</v>
      </c>
      <c r="B1025" s="1" t="s">
        <v>2379</v>
      </c>
      <c r="C1025" s="1" t="s">
        <v>25</v>
      </c>
      <c r="K1025" s="1">
        <v>60.0</v>
      </c>
      <c r="N1025" s="5">
        <v>43990.0</v>
      </c>
      <c r="Q1025" s="1" t="s">
        <v>1312</v>
      </c>
    </row>
    <row r="1026">
      <c r="A1026" s="1">
        <v>1025.0</v>
      </c>
      <c r="B1026" s="1" t="s">
        <v>2380</v>
      </c>
      <c r="C1026" s="1" t="s">
        <v>25</v>
      </c>
      <c r="K1026" s="1">
        <v>50.0</v>
      </c>
      <c r="N1026" s="5">
        <v>44385.0</v>
      </c>
      <c r="Q1026" s="1" t="s">
        <v>606</v>
      </c>
    </row>
    <row r="1027">
      <c r="A1027" s="1">
        <v>1026.0</v>
      </c>
      <c r="B1027" s="1" t="s">
        <v>2381</v>
      </c>
      <c r="C1027" s="1" t="s">
        <v>25</v>
      </c>
      <c r="N1027" s="5">
        <v>44138.0</v>
      </c>
      <c r="Q1027" s="1" t="s">
        <v>55</v>
      </c>
    </row>
    <row r="1028">
      <c r="A1028" s="1">
        <v>1027.0</v>
      </c>
      <c r="B1028" s="1" t="s">
        <v>2382</v>
      </c>
      <c r="C1028" s="1" t="s">
        <v>25</v>
      </c>
      <c r="K1028" s="1">
        <v>250.0</v>
      </c>
      <c r="N1028" s="5">
        <v>43863.0</v>
      </c>
      <c r="Q1028" s="1" t="s">
        <v>2383</v>
      </c>
    </row>
    <row r="1029">
      <c r="A1029" s="1">
        <v>1028.0</v>
      </c>
      <c r="B1029" s="1" t="s">
        <v>2384</v>
      </c>
      <c r="C1029" s="1" t="s">
        <v>25</v>
      </c>
      <c r="K1029" s="1">
        <v>200.0</v>
      </c>
      <c r="N1029" s="5">
        <v>44028.0</v>
      </c>
      <c r="Q1029" s="1" t="s">
        <v>2183</v>
      </c>
    </row>
    <row r="1030">
      <c r="A1030" s="1">
        <v>1029.0</v>
      </c>
      <c r="B1030" s="1" t="s">
        <v>2385</v>
      </c>
      <c r="C1030" s="1" t="s">
        <v>25</v>
      </c>
      <c r="K1030" s="1">
        <v>200.0</v>
      </c>
      <c r="N1030" s="5">
        <v>44259.0</v>
      </c>
      <c r="Q1030" s="1" t="s">
        <v>203</v>
      </c>
    </row>
    <row r="1031">
      <c r="A1031" s="1">
        <v>1030.0</v>
      </c>
      <c r="B1031" s="1" t="s">
        <v>2386</v>
      </c>
      <c r="C1031" s="1" t="s">
        <v>25</v>
      </c>
      <c r="N1031" s="5">
        <v>44803.0</v>
      </c>
      <c r="Q1031" s="1" t="s">
        <v>55</v>
      </c>
    </row>
    <row r="1032">
      <c r="A1032" s="1">
        <v>1031.0</v>
      </c>
      <c r="B1032" s="1" t="s">
        <v>2387</v>
      </c>
      <c r="C1032" s="1" t="s">
        <v>25</v>
      </c>
      <c r="K1032" s="1">
        <v>150.0</v>
      </c>
      <c r="N1032" s="5">
        <v>43951.0</v>
      </c>
      <c r="Q1032" s="1" t="s">
        <v>2388</v>
      </c>
    </row>
    <row r="1033">
      <c r="A1033" s="1">
        <v>1032.0</v>
      </c>
      <c r="B1033" s="1" t="s">
        <v>2389</v>
      </c>
      <c r="C1033" s="1" t="s">
        <v>25</v>
      </c>
      <c r="N1033" s="5">
        <v>44742.0</v>
      </c>
      <c r="Q1033" s="1" t="s">
        <v>55</v>
      </c>
    </row>
    <row r="1034">
      <c r="A1034" s="1">
        <v>1033.0</v>
      </c>
      <c r="B1034" s="1" t="s">
        <v>2390</v>
      </c>
      <c r="C1034" s="1" t="s">
        <v>25</v>
      </c>
      <c r="K1034" s="1">
        <v>100.0</v>
      </c>
      <c r="N1034" s="5">
        <v>43853.0</v>
      </c>
      <c r="Q1034" s="1" t="s">
        <v>2391</v>
      </c>
    </row>
    <row r="1035">
      <c r="A1035" s="1">
        <v>1034.0</v>
      </c>
      <c r="B1035" s="1" t="s">
        <v>2392</v>
      </c>
      <c r="C1035" s="1" t="s">
        <v>25</v>
      </c>
      <c r="K1035" s="1">
        <v>30.0</v>
      </c>
      <c r="N1035" s="5">
        <v>44348.0</v>
      </c>
      <c r="Q1035" s="1" t="s">
        <v>55</v>
      </c>
    </row>
    <row r="1036">
      <c r="A1036" s="1">
        <v>1035.0</v>
      </c>
      <c r="B1036" s="1" t="s">
        <v>2393</v>
      </c>
      <c r="C1036" s="1" t="s">
        <v>25</v>
      </c>
      <c r="K1036" s="1">
        <v>80.0</v>
      </c>
      <c r="N1036" s="5">
        <v>44200.0</v>
      </c>
      <c r="Q1036" s="1" t="s">
        <v>55</v>
      </c>
    </row>
    <row r="1037">
      <c r="A1037" s="1">
        <v>1036.0</v>
      </c>
      <c r="B1037" s="1" t="s">
        <v>2394</v>
      </c>
      <c r="C1037" s="1" t="s">
        <v>25</v>
      </c>
      <c r="K1037" s="1">
        <v>60.0</v>
      </c>
      <c r="N1037" s="5">
        <v>44955.0</v>
      </c>
      <c r="Q1037" s="1" t="s">
        <v>2395</v>
      </c>
    </row>
    <row r="1038">
      <c r="A1038" s="1">
        <v>1037.0</v>
      </c>
      <c r="B1038" s="1" t="s">
        <v>2396</v>
      </c>
      <c r="C1038" s="1" t="s">
        <v>25</v>
      </c>
      <c r="K1038" s="1">
        <v>200.0</v>
      </c>
      <c r="N1038" s="5">
        <v>44514.0</v>
      </c>
      <c r="Q1038" s="1" t="s">
        <v>2397</v>
      </c>
    </row>
    <row r="1039">
      <c r="A1039" s="1">
        <v>1038.0</v>
      </c>
      <c r="B1039" s="1" t="s">
        <v>198</v>
      </c>
      <c r="C1039" s="1" t="s">
        <v>25</v>
      </c>
      <c r="F1039" s="1">
        <v>1.7</v>
      </c>
      <c r="K1039" s="1">
        <v>350.0</v>
      </c>
      <c r="N1039" s="5">
        <v>43873.0</v>
      </c>
      <c r="Q1039" s="1" t="s">
        <v>202</v>
      </c>
    </row>
    <row r="1040">
      <c r="A1040" s="1">
        <v>1039.0</v>
      </c>
      <c r="B1040" s="1" t="s">
        <v>2398</v>
      </c>
      <c r="C1040" s="1" t="s">
        <v>25</v>
      </c>
      <c r="K1040" s="1">
        <v>40.0</v>
      </c>
      <c r="N1040" s="5">
        <v>44588.0</v>
      </c>
      <c r="Q1040" s="1" t="s">
        <v>55</v>
      </c>
    </row>
    <row r="1041">
      <c r="A1041" s="1">
        <v>1040.0</v>
      </c>
      <c r="B1041" s="1" t="s">
        <v>2399</v>
      </c>
      <c r="C1041" s="1" t="s">
        <v>25</v>
      </c>
      <c r="N1041" s="5">
        <v>45216.0</v>
      </c>
      <c r="Q1041" s="1" t="s">
        <v>55</v>
      </c>
    </row>
    <row r="1042">
      <c r="A1042" s="1">
        <v>1041.0</v>
      </c>
      <c r="B1042" s="1" t="s">
        <v>2400</v>
      </c>
      <c r="C1042" s="1" t="s">
        <v>25</v>
      </c>
      <c r="K1042" s="1">
        <v>20.0</v>
      </c>
      <c r="N1042" s="5">
        <v>44272.0</v>
      </c>
      <c r="Q1042" s="1" t="s">
        <v>2401</v>
      </c>
    </row>
    <row r="1043">
      <c r="A1043" s="1">
        <v>1042.0</v>
      </c>
      <c r="B1043" s="1" t="s">
        <v>2402</v>
      </c>
      <c r="C1043" s="1" t="s">
        <v>25</v>
      </c>
      <c r="K1043" s="1">
        <v>30.0</v>
      </c>
      <c r="N1043" s="5">
        <v>44370.0</v>
      </c>
      <c r="Q1043" s="1" t="s">
        <v>2403</v>
      </c>
    </row>
    <row r="1044">
      <c r="A1044" s="1">
        <v>1043.0</v>
      </c>
      <c r="B1044" s="1" t="s">
        <v>2404</v>
      </c>
      <c r="C1044" s="1" t="s">
        <v>25</v>
      </c>
      <c r="K1044" s="1">
        <v>150.0</v>
      </c>
      <c r="N1044" s="5">
        <v>44533.0</v>
      </c>
      <c r="Q1044" s="1" t="s">
        <v>2405</v>
      </c>
    </row>
    <row r="1045">
      <c r="A1045" s="1">
        <v>1044.0</v>
      </c>
      <c r="B1045" s="1" t="s">
        <v>2406</v>
      </c>
      <c r="C1045" s="1" t="s">
        <v>25</v>
      </c>
      <c r="K1045" s="1">
        <v>40.0</v>
      </c>
      <c r="N1045" s="5">
        <v>44221.0</v>
      </c>
      <c r="Q1045" s="1" t="s">
        <v>606</v>
      </c>
    </row>
    <row r="1046">
      <c r="A1046" s="1">
        <v>1045.0</v>
      </c>
      <c r="B1046" s="1" t="s">
        <v>2407</v>
      </c>
      <c r="C1046" s="1" t="s">
        <v>25</v>
      </c>
      <c r="N1046" s="5">
        <v>43989.0</v>
      </c>
      <c r="Q1046" s="1" t="s">
        <v>55</v>
      </c>
    </row>
    <row r="1047">
      <c r="A1047" s="1">
        <v>1046.0</v>
      </c>
      <c r="B1047" s="1" t="s">
        <v>2408</v>
      </c>
      <c r="C1047" s="1" t="s">
        <v>25</v>
      </c>
      <c r="N1047" s="5">
        <v>44729.0</v>
      </c>
      <c r="Q1047" s="1" t="s">
        <v>55</v>
      </c>
    </row>
    <row r="1048">
      <c r="A1048" s="1">
        <v>1047.0</v>
      </c>
      <c r="B1048" s="1" t="s">
        <v>2409</v>
      </c>
      <c r="C1048" s="1" t="s">
        <v>25</v>
      </c>
      <c r="K1048" s="1">
        <v>70.0</v>
      </c>
      <c r="N1048" s="5">
        <v>43923.0</v>
      </c>
      <c r="Q1048" s="1" t="s">
        <v>2410</v>
      </c>
    </row>
    <row r="1049">
      <c r="A1049" s="1">
        <v>1048.0</v>
      </c>
      <c r="B1049" s="1" t="s">
        <v>2411</v>
      </c>
      <c r="C1049" s="1" t="s">
        <v>25</v>
      </c>
      <c r="K1049" s="1">
        <v>30.0</v>
      </c>
      <c r="N1049" s="5">
        <v>44521.0</v>
      </c>
      <c r="Q1049" s="1" t="s">
        <v>55</v>
      </c>
    </row>
    <row r="1050">
      <c r="A1050" s="1">
        <v>1049.0</v>
      </c>
      <c r="B1050" s="1" t="s">
        <v>2412</v>
      </c>
      <c r="C1050" s="1" t="s">
        <v>25</v>
      </c>
      <c r="K1050" s="1">
        <v>10.0</v>
      </c>
      <c r="N1050" s="5">
        <v>45594.0</v>
      </c>
      <c r="Q1050" s="1" t="s">
        <v>2413</v>
      </c>
    </row>
    <row r="1051">
      <c r="A1051" s="1">
        <v>1050.0</v>
      </c>
      <c r="B1051" s="1" t="s">
        <v>2414</v>
      </c>
      <c r="C1051" s="1" t="s">
        <v>25</v>
      </c>
      <c r="K1051" s="1">
        <v>40.0</v>
      </c>
      <c r="N1051" s="5">
        <v>44347.0</v>
      </c>
      <c r="Q1051" s="1" t="s">
        <v>172</v>
      </c>
    </row>
    <row r="1052">
      <c r="A1052" s="1">
        <v>1051.0</v>
      </c>
      <c r="B1052" s="1" t="s">
        <v>2415</v>
      </c>
      <c r="C1052" s="1" t="s">
        <v>25</v>
      </c>
      <c r="K1052" s="1">
        <v>60.0</v>
      </c>
      <c r="N1052" s="5">
        <v>44368.0</v>
      </c>
      <c r="Q1052" s="1" t="s">
        <v>1724</v>
      </c>
    </row>
    <row r="1053">
      <c r="A1053" s="1">
        <v>1052.0</v>
      </c>
      <c r="B1053" s="1" t="s">
        <v>2416</v>
      </c>
      <c r="C1053" s="1" t="s">
        <v>25</v>
      </c>
      <c r="K1053" s="1">
        <v>300.0</v>
      </c>
      <c r="N1053" s="5">
        <v>43956.0</v>
      </c>
      <c r="Q1053" s="1" t="s">
        <v>2417</v>
      </c>
    </row>
    <row r="1054">
      <c r="A1054" s="1">
        <v>1053.0</v>
      </c>
      <c r="B1054" s="1" t="s">
        <v>106</v>
      </c>
      <c r="C1054" s="1" t="s">
        <v>25</v>
      </c>
      <c r="K1054" s="1">
        <v>30.0</v>
      </c>
      <c r="N1054" s="5">
        <v>45317.0</v>
      </c>
      <c r="Q1054" s="1" t="s">
        <v>107</v>
      </c>
    </row>
    <row r="1055">
      <c r="A1055" s="1">
        <v>1054.0</v>
      </c>
      <c r="B1055" s="1" t="s">
        <v>2418</v>
      </c>
      <c r="C1055" s="1" t="s">
        <v>25</v>
      </c>
      <c r="K1055" s="1">
        <v>10.0</v>
      </c>
      <c r="N1055" s="5">
        <v>43986.0</v>
      </c>
      <c r="Q1055" s="1" t="s">
        <v>55</v>
      </c>
    </row>
    <row r="1056">
      <c r="A1056" s="1">
        <v>1055.0</v>
      </c>
      <c r="B1056" s="1" t="s">
        <v>2419</v>
      </c>
      <c r="C1056" s="1" t="s">
        <v>25</v>
      </c>
      <c r="K1056" s="1">
        <v>60.0</v>
      </c>
      <c r="N1056" s="5">
        <v>45655.0</v>
      </c>
      <c r="Q1056" s="1" t="s">
        <v>2420</v>
      </c>
    </row>
    <row r="1057">
      <c r="A1057" s="1">
        <v>1056.0</v>
      </c>
      <c r="B1057" s="1" t="s">
        <v>2421</v>
      </c>
      <c r="C1057" s="1" t="s">
        <v>25</v>
      </c>
      <c r="K1057" s="1">
        <v>150.0</v>
      </c>
      <c r="N1057" s="5">
        <v>44341.0</v>
      </c>
      <c r="Q1057" s="1" t="s">
        <v>2422</v>
      </c>
    </row>
    <row r="1058">
      <c r="A1058" s="1">
        <v>1057.0</v>
      </c>
      <c r="B1058" s="1" t="s">
        <v>2423</v>
      </c>
      <c r="C1058" s="1" t="s">
        <v>25</v>
      </c>
      <c r="K1058" s="1">
        <v>10.0</v>
      </c>
      <c r="N1058" s="5">
        <v>45375.0</v>
      </c>
      <c r="Q1058" s="1" t="s">
        <v>2424</v>
      </c>
    </row>
    <row r="1059">
      <c r="A1059" s="1">
        <v>1058.0</v>
      </c>
      <c r="B1059" s="1" t="s">
        <v>2425</v>
      </c>
      <c r="C1059" s="1" t="s">
        <v>25</v>
      </c>
      <c r="K1059" s="1">
        <v>150.0</v>
      </c>
      <c r="N1059" s="5">
        <v>45382.0</v>
      </c>
      <c r="Q1059" s="1" t="s">
        <v>2426</v>
      </c>
    </row>
    <row r="1060">
      <c r="A1060" s="1">
        <v>1059.0</v>
      </c>
      <c r="B1060" s="1" t="s">
        <v>2427</v>
      </c>
      <c r="C1060" s="1" t="s">
        <v>25</v>
      </c>
      <c r="K1060" s="1">
        <v>80.0</v>
      </c>
      <c r="N1060" s="5">
        <v>44873.0</v>
      </c>
      <c r="Q1060" s="1" t="s">
        <v>2428</v>
      </c>
    </row>
    <row r="1061">
      <c r="A1061" s="1">
        <v>1060.0</v>
      </c>
      <c r="B1061" s="1" t="s">
        <v>2429</v>
      </c>
      <c r="C1061" s="1" t="s">
        <v>25</v>
      </c>
      <c r="K1061" s="1">
        <v>70.0</v>
      </c>
      <c r="N1061" s="5">
        <v>44210.0</v>
      </c>
      <c r="Q1061" s="1" t="s">
        <v>2430</v>
      </c>
    </row>
    <row r="1062">
      <c r="A1062" s="1">
        <v>1061.0</v>
      </c>
      <c r="B1062" s="1" t="s">
        <v>2431</v>
      </c>
      <c r="C1062" s="1" t="s">
        <v>25</v>
      </c>
      <c r="K1062" s="1">
        <v>20.0</v>
      </c>
      <c r="N1062" s="5">
        <v>44273.0</v>
      </c>
      <c r="Q1062" s="1" t="s">
        <v>2432</v>
      </c>
    </row>
    <row r="1063">
      <c r="A1063" s="1">
        <v>1062.0</v>
      </c>
      <c r="B1063" s="1" t="s">
        <v>2433</v>
      </c>
      <c r="C1063" s="1" t="s">
        <v>25</v>
      </c>
      <c r="K1063" s="1">
        <v>20.0</v>
      </c>
      <c r="N1063" s="5">
        <v>44621.0</v>
      </c>
      <c r="Q1063" s="1" t="s">
        <v>55</v>
      </c>
    </row>
    <row r="1064">
      <c r="A1064" s="1">
        <v>1063.0</v>
      </c>
      <c r="B1064" s="1" t="s">
        <v>2434</v>
      </c>
      <c r="C1064" s="1" t="s">
        <v>25</v>
      </c>
      <c r="K1064" s="1">
        <v>150.0</v>
      </c>
      <c r="N1064" s="5">
        <v>44636.0</v>
      </c>
      <c r="Q1064" s="1" t="s">
        <v>2435</v>
      </c>
    </row>
    <row r="1065">
      <c r="A1065" s="1">
        <v>1064.0</v>
      </c>
      <c r="B1065" s="1" t="s">
        <v>2436</v>
      </c>
      <c r="C1065" s="1" t="s">
        <v>25</v>
      </c>
      <c r="N1065" s="5">
        <v>44186.0</v>
      </c>
      <c r="Q1065" s="1" t="s">
        <v>55</v>
      </c>
    </row>
    <row r="1066">
      <c r="A1066" s="1">
        <v>1065.0</v>
      </c>
      <c r="B1066" s="1" t="s">
        <v>2437</v>
      </c>
      <c r="C1066" s="1" t="s">
        <v>25</v>
      </c>
      <c r="K1066" s="1">
        <v>50.0</v>
      </c>
      <c r="N1066" s="5">
        <v>44759.0</v>
      </c>
      <c r="Q1066" s="1" t="s">
        <v>2438</v>
      </c>
    </row>
    <row r="1067">
      <c r="A1067" s="1">
        <v>1066.0</v>
      </c>
      <c r="B1067" s="1" t="s">
        <v>2439</v>
      </c>
      <c r="C1067" s="1" t="s">
        <v>25</v>
      </c>
      <c r="K1067" s="1">
        <v>10.0</v>
      </c>
      <c r="N1067" s="5">
        <v>45296.0</v>
      </c>
      <c r="Q1067" s="1" t="s">
        <v>55</v>
      </c>
    </row>
    <row r="1068">
      <c r="A1068" s="1">
        <v>1067.0</v>
      </c>
      <c r="B1068" s="1" t="s">
        <v>2440</v>
      </c>
      <c r="C1068" s="1" t="s">
        <v>25</v>
      </c>
      <c r="N1068" s="5">
        <v>45400.0</v>
      </c>
      <c r="Q1068" s="1" t="s">
        <v>2441</v>
      </c>
    </row>
    <row r="1069">
      <c r="A1069" s="1">
        <v>1068.0</v>
      </c>
      <c r="B1069" s="1" t="s">
        <v>108</v>
      </c>
      <c r="C1069" s="1" t="s">
        <v>25</v>
      </c>
      <c r="K1069" s="1">
        <v>40.0</v>
      </c>
      <c r="N1069" s="5">
        <v>45307.0</v>
      </c>
      <c r="Q1069" s="1" t="s">
        <v>55</v>
      </c>
    </row>
    <row r="1070">
      <c r="A1070" s="1">
        <v>1069.0</v>
      </c>
      <c r="B1070" s="1" t="s">
        <v>2442</v>
      </c>
      <c r="C1070" s="1" t="s">
        <v>25</v>
      </c>
      <c r="K1070" s="1">
        <v>10.0</v>
      </c>
      <c r="N1070" s="5">
        <v>44250.0</v>
      </c>
      <c r="Q1070" s="1" t="s">
        <v>2443</v>
      </c>
    </row>
    <row r="1071">
      <c r="A1071" s="1">
        <v>1070.0</v>
      </c>
      <c r="B1071" s="1" t="s">
        <v>2444</v>
      </c>
      <c r="C1071" s="1" t="s">
        <v>25</v>
      </c>
      <c r="K1071" s="1">
        <v>150.0</v>
      </c>
      <c r="N1071" s="5">
        <v>44564.0</v>
      </c>
      <c r="Q1071" s="1" t="s">
        <v>2445</v>
      </c>
    </row>
    <row r="1072">
      <c r="A1072" s="1">
        <v>1071.0</v>
      </c>
      <c r="B1072" s="1" t="s">
        <v>2446</v>
      </c>
      <c r="C1072" s="1" t="s">
        <v>25</v>
      </c>
      <c r="K1072" s="1">
        <v>200.0</v>
      </c>
      <c r="N1072" s="5">
        <v>44003.0</v>
      </c>
      <c r="Q1072" s="1" t="s">
        <v>2447</v>
      </c>
    </row>
    <row r="1073">
      <c r="A1073" s="1">
        <v>1072.0</v>
      </c>
      <c r="B1073" s="1" t="s">
        <v>2448</v>
      </c>
      <c r="C1073" s="1" t="s">
        <v>25</v>
      </c>
      <c r="K1073" s="1">
        <v>30.0</v>
      </c>
      <c r="N1073" s="5">
        <v>45285.0</v>
      </c>
      <c r="Q1073" s="1" t="s">
        <v>1791</v>
      </c>
    </row>
    <row r="1074">
      <c r="A1074" s="1">
        <v>1073.0</v>
      </c>
      <c r="B1074" s="1" t="s">
        <v>2449</v>
      </c>
      <c r="C1074" s="1" t="s">
        <v>25</v>
      </c>
      <c r="K1074" s="1">
        <v>40.0</v>
      </c>
      <c r="N1074" s="5">
        <v>44396.0</v>
      </c>
      <c r="Q1074" s="1" t="s">
        <v>172</v>
      </c>
    </row>
    <row r="1075">
      <c r="A1075" s="1">
        <v>1074.0</v>
      </c>
      <c r="B1075" s="1" t="s">
        <v>2450</v>
      </c>
      <c r="C1075" s="1" t="s">
        <v>25</v>
      </c>
      <c r="K1075" s="1">
        <v>150.0</v>
      </c>
      <c r="N1075" s="5">
        <v>43885.0</v>
      </c>
      <c r="Q1075" s="1" t="s">
        <v>2451</v>
      </c>
    </row>
    <row r="1076">
      <c r="A1076" s="1">
        <v>1075.0</v>
      </c>
      <c r="B1076" s="1" t="s">
        <v>2452</v>
      </c>
      <c r="C1076" s="1" t="s">
        <v>25</v>
      </c>
      <c r="K1076" s="1">
        <v>40.0</v>
      </c>
      <c r="N1076" s="5">
        <v>45498.0</v>
      </c>
      <c r="Q1076" s="1" t="s">
        <v>2453</v>
      </c>
    </row>
    <row r="1077">
      <c r="A1077" s="1">
        <v>1076.0</v>
      </c>
      <c r="B1077" s="1" t="s">
        <v>2454</v>
      </c>
      <c r="C1077" s="1" t="s">
        <v>25</v>
      </c>
      <c r="K1077" s="1">
        <v>10.0</v>
      </c>
      <c r="N1077" s="5">
        <v>44700.0</v>
      </c>
      <c r="Q1077" s="1" t="s">
        <v>316</v>
      </c>
    </row>
    <row r="1078">
      <c r="A1078" s="1">
        <v>1077.0</v>
      </c>
      <c r="B1078" s="1" t="s">
        <v>2455</v>
      </c>
      <c r="C1078" s="1" t="s">
        <v>25</v>
      </c>
      <c r="K1078" s="1">
        <v>40.0</v>
      </c>
      <c r="N1078" s="5">
        <v>44115.0</v>
      </c>
      <c r="Q1078" s="1" t="s">
        <v>2456</v>
      </c>
    </row>
    <row r="1079">
      <c r="A1079" s="1">
        <v>1078.0</v>
      </c>
      <c r="B1079" s="1" t="s">
        <v>2457</v>
      </c>
      <c r="C1079" s="1" t="s">
        <v>25</v>
      </c>
      <c r="N1079" s="5">
        <v>44012.0</v>
      </c>
      <c r="Q1079" s="1" t="s">
        <v>55</v>
      </c>
    </row>
    <row r="1080">
      <c r="A1080" s="1">
        <v>1079.0</v>
      </c>
      <c r="B1080" s="1" t="s">
        <v>2458</v>
      </c>
      <c r="C1080" s="1" t="s">
        <v>25</v>
      </c>
      <c r="K1080" s="1">
        <v>100.0</v>
      </c>
      <c r="N1080" s="5">
        <v>43975.0</v>
      </c>
      <c r="Q1080" s="1" t="s">
        <v>2459</v>
      </c>
    </row>
    <row r="1081">
      <c r="A1081" s="1">
        <v>1080.0</v>
      </c>
      <c r="B1081" s="1" t="s">
        <v>2460</v>
      </c>
      <c r="C1081" s="1" t="s">
        <v>25</v>
      </c>
      <c r="K1081" s="1">
        <v>150.0</v>
      </c>
      <c r="N1081" s="5">
        <v>43929.0</v>
      </c>
      <c r="Q1081" s="1" t="s">
        <v>1066</v>
      </c>
    </row>
    <row r="1082">
      <c r="A1082" s="1">
        <v>1081.0</v>
      </c>
      <c r="B1082" s="1" t="s">
        <v>2461</v>
      </c>
      <c r="C1082" s="1" t="s">
        <v>25</v>
      </c>
      <c r="K1082" s="1">
        <v>80.0</v>
      </c>
      <c r="N1082" s="5">
        <v>44103.0</v>
      </c>
      <c r="Q1082" s="1" t="s">
        <v>2462</v>
      </c>
    </row>
    <row r="1083">
      <c r="A1083" s="1">
        <v>1082.0</v>
      </c>
      <c r="B1083" s="1" t="s">
        <v>2463</v>
      </c>
      <c r="C1083" s="1" t="s">
        <v>25</v>
      </c>
      <c r="N1083" s="5">
        <v>44173.0</v>
      </c>
      <c r="Q1083" s="1" t="s">
        <v>55</v>
      </c>
    </row>
    <row r="1084">
      <c r="A1084" s="1">
        <v>1083.0</v>
      </c>
      <c r="B1084" s="1" t="s">
        <v>111</v>
      </c>
      <c r="C1084" s="1" t="s">
        <v>25</v>
      </c>
      <c r="K1084" s="1">
        <v>40.0</v>
      </c>
      <c r="N1084" s="5">
        <v>42305.0</v>
      </c>
      <c r="Q1084" s="1" t="s">
        <v>113</v>
      </c>
    </row>
    <row r="1085">
      <c r="A1085" s="1">
        <v>1084.0</v>
      </c>
      <c r="B1085" s="1" t="s">
        <v>2464</v>
      </c>
      <c r="C1085" s="1" t="s">
        <v>25</v>
      </c>
      <c r="N1085" s="5">
        <v>44169.0</v>
      </c>
      <c r="Q1085" s="1" t="s">
        <v>55</v>
      </c>
    </row>
    <row r="1086">
      <c r="A1086" s="1">
        <v>1085.0</v>
      </c>
      <c r="B1086" s="1" t="s">
        <v>2465</v>
      </c>
      <c r="C1086" s="1" t="s">
        <v>25</v>
      </c>
      <c r="K1086" s="1">
        <v>150.0</v>
      </c>
      <c r="N1086" s="5">
        <v>43941.0</v>
      </c>
      <c r="Q1086" s="1" t="s">
        <v>2466</v>
      </c>
    </row>
    <row r="1087">
      <c r="A1087" s="1">
        <v>1086.0</v>
      </c>
      <c r="B1087" s="1" t="s">
        <v>2467</v>
      </c>
      <c r="C1087" s="1" t="s">
        <v>25</v>
      </c>
      <c r="N1087" s="5">
        <v>43990.0</v>
      </c>
      <c r="Q1087" s="1" t="s">
        <v>55</v>
      </c>
    </row>
    <row r="1088">
      <c r="A1088" s="1">
        <v>1087.0</v>
      </c>
      <c r="B1088" s="1" t="s">
        <v>114</v>
      </c>
      <c r="C1088" s="1" t="s">
        <v>25</v>
      </c>
      <c r="K1088" s="1">
        <v>30.0</v>
      </c>
      <c r="N1088" s="5">
        <v>42573.0</v>
      </c>
      <c r="Q1088" s="1" t="s">
        <v>117</v>
      </c>
    </row>
    <row r="1089">
      <c r="A1089" s="1">
        <v>1088.0</v>
      </c>
      <c r="B1089" s="1" t="s">
        <v>2468</v>
      </c>
      <c r="C1089" s="1" t="s">
        <v>25</v>
      </c>
      <c r="K1089" s="1">
        <v>70.0</v>
      </c>
      <c r="N1089" s="5">
        <v>43991.0</v>
      </c>
      <c r="Q1089" s="1" t="s">
        <v>2469</v>
      </c>
    </row>
    <row r="1090">
      <c r="A1090" s="1">
        <v>1089.0</v>
      </c>
      <c r="B1090" s="1" t="s">
        <v>2470</v>
      </c>
      <c r="C1090" s="1" t="s">
        <v>25</v>
      </c>
      <c r="K1090" s="1">
        <v>70.0</v>
      </c>
      <c r="N1090" s="5">
        <v>43892.0</v>
      </c>
      <c r="Q1090" s="1" t="s">
        <v>2471</v>
      </c>
    </row>
    <row r="1091">
      <c r="A1091" s="1">
        <v>1090.0</v>
      </c>
      <c r="B1091" s="1" t="s">
        <v>2472</v>
      </c>
      <c r="C1091" s="1" t="s">
        <v>25</v>
      </c>
      <c r="K1091" s="1">
        <v>150.0</v>
      </c>
      <c r="N1091" s="5">
        <v>44033.0</v>
      </c>
      <c r="Q1091" s="1" t="s">
        <v>2473</v>
      </c>
    </row>
    <row r="1092">
      <c r="A1092" s="1">
        <v>1091.0</v>
      </c>
      <c r="B1092" s="1" t="s">
        <v>2474</v>
      </c>
      <c r="C1092" s="1" t="s">
        <v>25</v>
      </c>
      <c r="N1092" s="5">
        <v>44123.0</v>
      </c>
      <c r="Q1092" s="1" t="s">
        <v>55</v>
      </c>
    </row>
    <row r="1093">
      <c r="A1093" s="1">
        <v>1092.0</v>
      </c>
      <c r="B1093" s="1" t="s">
        <v>2475</v>
      </c>
      <c r="C1093" s="1" t="s">
        <v>25</v>
      </c>
      <c r="K1093" s="1">
        <v>20.0</v>
      </c>
      <c r="N1093" s="5">
        <v>44903.0</v>
      </c>
      <c r="Q1093" s="1" t="s">
        <v>2476</v>
      </c>
    </row>
    <row r="1094">
      <c r="A1094" s="1">
        <v>1093.0</v>
      </c>
      <c r="B1094" s="1" t="s">
        <v>2477</v>
      </c>
      <c r="C1094" s="1" t="s">
        <v>25</v>
      </c>
      <c r="N1094" s="5">
        <v>44219.0</v>
      </c>
      <c r="Q1094" s="1" t="s">
        <v>55</v>
      </c>
    </row>
    <row r="1095">
      <c r="A1095" s="1">
        <v>1094.0</v>
      </c>
      <c r="B1095" s="1" t="s">
        <v>2478</v>
      </c>
      <c r="C1095" s="1" t="s">
        <v>25</v>
      </c>
      <c r="N1095" s="5">
        <v>44319.0</v>
      </c>
      <c r="Q1095" s="1" t="s">
        <v>55</v>
      </c>
    </row>
    <row r="1096">
      <c r="A1096" s="1">
        <v>1095.0</v>
      </c>
      <c r="B1096" s="1" t="s">
        <v>2479</v>
      </c>
      <c r="C1096" s="1" t="s">
        <v>25</v>
      </c>
      <c r="K1096" s="1">
        <v>400.0</v>
      </c>
      <c r="N1096" s="5">
        <v>43857.0</v>
      </c>
      <c r="Q1096" s="1" t="s">
        <v>2480</v>
      </c>
    </row>
    <row r="1097">
      <c r="A1097" s="1">
        <v>1096.0</v>
      </c>
      <c r="B1097" s="1" t="s">
        <v>2481</v>
      </c>
      <c r="C1097" s="1" t="s">
        <v>25</v>
      </c>
      <c r="K1097" s="1">
        <v>80.0</v>
      </c>
      <c r="N1097" s="5">
        <v>44961.0</v>
      </c>
      <c r="Q1097" s="1" t="s">
        <v>2482</v>
      </c>
    </row>
    <row r="1098">
      <c r="A1098" s="1">
        <v>1097.0</v>
      </c>
      <c r="B1098" s="1" t="s">
        <v>2483</v>
      </c>
      <c r="C1098" s="1" t="s">
        <v>25</v>
      </c>
      <c r="K1098" s="1">
        <v>50.0</v>
      </c>
      <c r="N1098" s="5">
        <v>44569.0</v>
      </c>
      <c r="Q1098" s="1" t="s">
        <v>1448</v>
      </c>
    </row>
    <row r="1099">
      <c r="A1099" s="1">
        <v>1098.0</v>
      </c>
      <c r="B1099" s="1" t="s">
        <v>2484</v>
      </c>
      <c r="C1099" s="1" t="s">
        <v>25</v>
      </c>
      <c r="K1099" s="1">
        <v>10.0</v>
      </c>
      <c r="N1099" s="5">
        <v>45615.0</v>
      </c>
      <c r="Q1099" s="1" t="s">
        <v>2485</v>
      </c>
    </row>
    <row r="1100">
      <c r="A1100" s="1">
        <v>1099.0</v>
      </c>
      <c r="B1100" s="1" t="s">
        <v>2486</v>
      </c>
      <c r="C1100" s="1" t="s">
        <v>25</v>
      </c>
      <c r="K1100" s="1">
        <v>300.0</v>
      </c>
      <c r="N1100" s="5">
        <v>45773.0</v>
      </c>
      <c r="Q1100" s="1" t="s">
        <v>2487</v>
      </c>
    </row>
    <row r="1101">
      <c r="A1101" s="1">
        <v>1100.0</v>
      </c>
      <c r="B1101" s="1" t="s">
        <v>2488</v>
      </c>
      <c r="C1101" s="1" t="s">
        <v>25</v>
      </c>
      <c r="N1101" s="5">
        <v>44396.0</v>
      </c>
      <c r="Q1101" s="1" t="s">
        <v>55</v>
      </c>
    </row>
    <row r="1102">
      <c r="A1102" s="1">
        <v>1101.0</v>
      </c>
      <c r="B1102" s="1" t="s">
        <v>2489</v>
      </c>
      <c r="C1102" s="1" t="s">
        <v>25</v>
      </c>
      <c r="K1102" s="1">
        <v>50.0</v>
      </c>
      <c r="N1102" s="5">
        <v>44277.0</v>
      </c>
      <c r="Q1102" s="1" t="s">
        <v>718</v>
      </c>
    </row>
    <row r="1103">
      <c r="A1103" s="1">
        <v>1102.0</v>
      </c>
      <c r="B1103" s="1" t="s">
        <v>2490</v>
      </c>
      <c r="C1103" s="1" t="s">
        <v>25</v>
      </c>
      <c r="K1103" s="1">
        <v>10.0</v>
      </c>
      <c r="N1103" s="5">
        <v>45614.0</v>
      </c>
      <c r="Q1103" s="1" t="s">
        <v>2491</v>
      </c>
    </row>
    <row r="1104">
      <c r="A1104" s="1">
        <v>1103.0</v>
      </c>
      <c r="B1104" s="1" t="s">
        <v>2492</v>
      </c>
      <c r="C1104" s="1" t="s">
        <v>25</v>
      </c>
      <c r="K1104" s="1">
        <v>60.0</v>
      </c>
      <c r="N1104" s="5">
        <v>44193.0</v>
      </c>
      <c r="Q1104" s="1" t="s">
        <v>2493</v>
      </c>
    </row>
    <row r="1105">
      <c r="A1105" s="1">
        <v>1104.0</v>
      </c>
      <c r="B1105" s="1" t="s">
        <v>2494</v>
      </c>
      <c r="C1105" s="1" t="s">
        <v>25</v>
      </c>
      <c r="K1105" s="1">
        <v>350.0</v>
      </c>
      <c r="N1105" s="5">
        <v>43971.0</v>
      </c>
      <c r="Q1105" s="1" t="s">
        <v>2495</v>
      </c>
    </row>
    <row r="1106">
      <c r="A1106" s="1">
        <v>1105.0</v>
      </c>
      <c r="B1106" s="1" t="s">
        <v>2496</v>
      </c>
      <c r="C1106" s="1" t="s">
        <v>25</v>
      </c>
      <c r="K1106" s="1">
        <v>10.0</v>
      </c>
      <c r="N1106" s="5">
        <v>45340.0</v>
      </c>
      <c r="Q1106" s="1" t="s">
        <v>55</v>
      </c>
    </row>
    <row r="1107">
      <c r="A1107" s="1">
        <v>1106.0</v>
      </c>
      <c r="B1107" s="1" t="s">
        <v>2497</v>
      </c>
      <c r="C1107" s="1" t="s">
        <v>25</v>
      </c>
      <c r="K1107" s="1">
        <v>10.0</v>
      </c>
      <c r="N1107" s="5">
        <v>45411.0</v>
      </c>
      <c r="Q1107" s="1" t="s">
        <v>2498</v>
      </c>
    </row>
    <row r="1108">
      <c r="A1108" s="1">
        <v>1107.0</v>
      </c>
      <c r="B1108" s="1" t="s">
        <v>2499</v>
      </c>
      <c r="C1108" s="1" t="s">
        <v>25</v>
      </c>
      <c r="K1108" s="1">
        <v>400.0</v>
      </c>
      <c r="N1108" s="5">
        <v>45199.0</v>
      </c>
      <c r="Q1108" s="1" t="s">
        <v>2500</v>
      </c>
    </row>
    <row r="1109">
      <c r="A1109" s="1">
        <v>1108.0</v>
      </c>
      <c r="B1109" s="1" t="s">
        <v>2501</v>
      </c>
      <c r="C1109" s="1" t="s">
        <v>25</v>
      </c>
      <c r="K1109" s="1">
        <v>50.0</v>
      </c>
      <c r="N1109" s="5">
        <v>44438.0</v>
      </c>
      <c r="Q1109" s="1" t="s">
        <v>2502</v>
      </c>
    </row>
    <row r="1110">
      <c r="A1110" s="1">
        <v>1109.0</v>
      </c>
      <c r="B1110" s="1" t="s">
        <v>2503</v>
      </c>
      <c r="C1110" s="1" t="s">
        <v>25</v>
      </c>
      <c r="K1110" s="1">
        <v>20.0</v>
      </c>
      <c r="N1110" s="5">
        <v>43931.0</v>
      </c>
      <c r="Q1110" s="1" t="s">
        <v>1515</v>
      </c>
    </row>
    <row r="1111">
      <c r="A1111" s="1">
        <v>1110.0</v>
      </c>
      <c r="B1111" s="1" t="s">
        <v>2504</v>
      </c>
      <c r="C1111" s="1" t="s">
        <v>25</v>
      </c>
      <c r="N1111" s="5">
        <v>44191.0</v>
      </c>
      <c r="Q1111" s="1" t="s">
        <v>55</v>
      </c>
    </row>
    <row r="1112">
      <c r="A1112" s="1">
        <v>1111.0</v>
      </c>
      <c r="B1112" s="1" t="s">
        <v>2505</v>
      </c>
      <c r="C1112" s="1" t="s">
        <v>25</v>
      </c>
      <c r="K1112" s="1">
        <v>300.0</v>
      </c>
      <c r="N1112" s="5">
        <v>44190.0</v>
      </c>
      <c r="Q1112" s="1" t="s">
        <v>2506</v>
      </c>
    </row>
    <row r="1113">
      <c r="A1113" s="1">
        <v>1112.0</v>
      </c>
      <c r="B1113" s="1" t="s">
        <v>2507</v>
      </c>
      <c r="C1113" s="1" t="s">
        <v>25</v>
      </c>
      <c r="K1113" s="1">
        <v>60.0</v>
      </c>
      <c r="N1113" s="5">
        <v>45657.0</v>
      </c>
      <c r="Q1113" s="1" t="s">
        <v>2508</v>
      </c>
    </row>
    <row r="1114">
      <c r="A1114" s="1">
        <v>1113.0</v>
      </c>
      <c r="B1114" s="1" t="s">
        <v>2509</v>
      </c>
      <c r="C1114" s="1" t="s">
        <v>25</v>
      </c>
      <c r="N1114" s="5">
        <v>44203.0</v>
      </c>
      <c r="Q1114" s="1" t="s">
        <v>55</v>
      </c>
    </row>
    <row r="1115">
      <c r="A1115" s="1">
        <v>1114.0</v>
      </c>
      <c r="B1115" s="1" t="s">
        <v>2510</v>
      </c>
      <c r="C1115" s="1" t="s">
        <v>25</v>
      </c>
      <c r="K1115" s="1">
        <v>100.0</v>
      </c>
      <c r="N1115" s="5">
        <v>44197.0</v>
      </c>
      <c r="Q1115" s="1" t="s">
        <v>46</v>
      </c>
    </row>
    <row r="1116">
      <c r="A1116" s="1">
        <v>1115.0</v>
      </c>
      <c r="B1116" s="1" t="s">
        <v>2511</v>
      </c>
      <c r="C1116" s="1" t="s">
        <v>25</v>
      </c>
      <c r="K1116" s="1">
        <v>20.0</v>
      </c>
      <c r="N1116" s="5">
        <v>45528.0</v>
      </c>
      <c r="Q1116" s="1" t="s">
        <v>1187</v>
      </c>
    </row>
    <row r="1117">
      <c r="A1117" s="1">
        <v>1116.0</v>
      </c>
      <c r="B1117" s="1" t="s">
        <v>2512</v>
      </c>
      <c r="C1117" s="1" t="s">
        <v>25</v>
      </c>
      <c r="K1117" s="1">
        <v>40.0</v>
      </c>
      <c r="N1117" s="5">
        <v>43842.0</v>
      </c>
      <c r="Q1117" s="1" t="s">
        <v>55</v>
      </c>
    </row>
    <row r="1118">
      <c r="A1118" s="1">
        <v>1117.0</v>
      </c>
      <c r="B1118" s="1" t="s">
        <v>2513</v>
      </c>
      <c r="C1118" s="1" t="s">
        <v>25</v>
      </c>
      <c r="K1118" s="1">
        <v>400.0</v>
      </c>
      <c r="N1118" s="5">
        <v>43943.0</v>
      </c>
      <c r="Q1118" s="1" t="s">
        <v>2514</v>
      </c>
    </row>
    <row r="1119">
      <c r="A1119" s="1">
        <v>1118.0</v>
      </c>
      <c r="B1119" s="1" t="s">
        <v>2515</v>
      </c>
      <c r="C1119" s="1" t="s">
        <v>25</v>
      </c>
      <c r="K1119" s="1">
        <v>150.0</v>
      </c>
      <c r="N1119" s="5">
        <v>43841.0</v>
      </c>
      <c r="Q1119" s="1" t="s">
        <v>2516</v>
      </c>
    </row>
    <row r="1120">
      <c r="A1120" s="1">
        <v>1119.0</v>
      </c>
      <c r="B1120" s="1" t="s">
        <v>2517</v>
      </c>
      <c r="C1120" s="1" t="s">
        <v>25</v>
      </c>
      <c r="N1120" s="5">
        <v>44333.0</v>
      </c>
      <c r="Q1120" s="1" t="s">
        <v>55</v>
      </c>
    </row>
    <row r="1121">
      <c r="A1121" s="1">
        <v>1120.0</v>
      </c>
      <c r="B1121" s="1" t="s">
        <v>118</v>
      </c>
      <c r="C1121" s="1" t="s">
        <v>25</v>
      </c>
      <c r="N1121" s="5">
        <v>44923.0</v>
      </c>
      <c r="Q1121" s="1" t="s">
        <v>55</v>
      </c>
    </row>
    <row r="1122">
      <c r="A1122" s="1">
        <v>1121.0</v>
      </c>
      <c r="B1122" s="1" t="s">
        <v>2518</v>
      </c>
      <c r="C1122" s="1" t="s">
        <v>25</v>
      </c>
      <c r="K1122" s="1">
        <v>300.0</v>
      </c>
      <c r="N1122" s="5">
        <v>44163.0</v>
      </c>
      <c r="Q1122" s="1" t="s">
        <v>1662</v>
      </c>
    </row>
    <row r="1123">
      <c r="A1123" s="1">
        <v>1122.0</v>
      </c>
      <c r="B1123" s="1" t="s">
        <v>2519</v>
      </c>
      <c r="C1123" s="1" t="s">
        <v>25</v>
      </c>
      <c r="K1123" s="1">
        <v>10.0</v>
      </c>
      <c r="N1123" s="5">
        <v>45273.0</v>
      </c>
      <c r="Q1123" s="1" t="s">
        <v>2520</v>
      </c>
    </row>
    <row r="1124">
      <c r="A1124" s="1">
        <v>1123.0</v>
      </c>
      <c r="B1124" s="1" t="s">
        <v>2521</v>
      </c>
      <c r="C1124" s="1" t="s">
        <v>25</v>
      </c>
      <c r="K1124" s="1">
        <v>450.0</v>
      </c>
      <c r="N1124" s="5">
        <v>43871.0</v>
      </c>
      <c r="Q1124" s="1" t="s">
        <v>2522</v>
      </c>
    </row>
    <row r="1125">
      <c r="A1125" s="1">
        <v>1124.0</v>
      </c>
      <c r="B1125" s="1" t="s">
        <v>2523</v>
      </c>
      <c r="C1125" s="1" t="s">
        <v>25</v>
      </c>
      <c r="K1125" s="1">
        <v>200.0</v>
      </c>
      <c r="N1125" s="5">
        <v>44068.0</v>
      </c>
      <c r="Q1125" s="1" t="s">
        <v>2524</v>
      </c>
    </row>
    <row r="1126">
      <c r="A1126" s="1">
        <v>1125.0</v>
      </c>
      <c r="B1126" s="1" t="s">
        <v>2525</v>
      </c>
      <c r="C1126" s="1" t="s">
        <v>25</v>
      </c>
      <c r="N1126" s="5">
        <v>44704.0</v>
      </c>
      <c r="Q1126" s="1" t="s">
        <v>55</v>
      </c>
    </row>
    <row r="1127">
      <c r="A1127" s="1">
        <v>1126.0</v>
      </c>
      <c r="B1127" s="1" t="s">
        <v>2526</v>
      </c>
      <c r="C1127" s="1" t="s">
        <v>25</v>
      </c>
      <c r="N1127" s="5">
        <v>44406.0</v>
      </c>
      <c r="Q1127" s="1" t="s">
        <v>55</v>
      </c>
    </row>
    <row r="1128">
      <c r="A1128" s="1">
        <v>1127.0</v>
      </c>
      <c r="B1128" s="1" t="s">
        <v>2527</v>
      </c>
      <c r="C1128" s="1" t="s">
        <v>25</v>
      </c>
      <c r="K1128" s="1">
        <v>100.0</v>
      </c>
      <c r="N1128" s="5">
        <v>44128.0</v>
      </c>
      <c r="Q1128" s="1" t="s">
        <v>2528</v>
      </c>
    </row>
    <row r="1129">
      <c r="A1129" s="1">
        <v>1128.0</v>
      </c>
      <c r="B1129" s="1" t="s">
        <v>2529</v>
      </c>
      <c r="C1129" s="1" t="s">
        <v>25</v>
      </c>
      <c r="K1129" s="1">
        <v>30.0</v>
      </c>
      <c r="N1129" s="5">
        <v>44285.0</v>
      </c>
      <c r="Q1129" s="1" t="s">
        <v>55</v>
      </c>
    </row>
    <row r="1130">
      <c r="A1130" s="1">
        <v>1129.0</v>
      </c>
      <c r="B1130" s="1" t="s">
        <v>2530</v>
      </c>
      <c r="C1130" s="1" t="s">
        <v>25</v>
      </c>
      <c r="K1130" s="1">
        <v>100.0</v>
      </c>
      <c r="N1130" s="5">
        <v>44260.0</v>
      </c>
      <c r="Q1130" s="1" t="s">
        <v>93</v>
      </c>
    </row>
    <row r="1131">
      <c r="A1131" s="1">
        <v>1130.0</v>
      </c>
      <c r="B1131" s="1" t="s">
        <v>2531</v>
      </c>
      <c r="C1131" s="1" t="s">
        <v>25</v>
      </c>
      <c r="K1131" s="1">
        <v>20.0</v>
      </c>
      <c r="N1131" s="5">
        <v>44831.0</v>
      </c>
      <c r="Q1131" s="1" t="s">
        <v>2532</v>
      </c>
    </row>
    <row r="1132">
      <c r="A1132" s="1">
        <v>1131.0</v>
      </c>
      <c r="B1132" s="1" t="s">
        <v>2533</v>
      </c>
      <c r="C1132" s="1" t="s">
        <v>25</v>
      </c>
      <c r="K1132" s="1">
        <v>30.0</v>
      </c>
      <c r="N1132" s="5">
        <v>44452.0</v>
      </c>
      <c r="Q1132" s="1" t="s">
        <v>2534</v>
      </c>
    </row>
    <row r="1133">
      <c r="A1133" s="1">
        <v>1132.0</v>
      </c>
      <c r="B1133" s="1" t="s">
        <v>2535</v>
      </c>
      <c r="C1133" s="1" t="s">
        <v>25</v>
      </c>
      <c r="K1133" s="1">
        <v>100.0</v>
      </c>
      <c r="N1133" s="5">
        <v>44639.0</v>
      </c>
      <c r="Q1133" s="1" t="s">
        <v>2536</v>
      </c>
    </row>
    <row r="1134">
      <c r="A1134" s="1">
        <v>1133.0</v>
      </c>
      <c r="B1134" s="1" t="s">
        <v>2537</v>
      </c>
      <c r="C1134" s="1" t="s">
        <v>25</v>
      </c>
      <c r="N1134" s="5">
        <v>43875.0</v>
      </c>
      <c r="Q1134" s="1" t="s">
        <v>80</v>
      </c>
    </row>
    <row r="1135">
      <c r="A1135" s="1">
        <v>1134.0</v>
      </c>
      <c r="B1135" s="1" t="s">
        <v>2538</v>
      </c>
      <c r="C1135" s="1" t="s">
        <v>25</v>
      </c>
      <c r="K1135" s="1">
        <v>150.0</v>
      </c>
      <c r="N1135" s="5">
        <v>45389.0</v>
      </c>
      <c r="Q1135" s="1" t="s">
        <v>2539</v>
      </c>
    </row>
    <row r="1136">
      <c r="A1136" s="1">
        <v>1135.0</v>
      </c>
      <c r="B1136" s="1" t="s">
        <v>2540</v>
      </c>
      <c r="C1136" s="1" t="s">
        <v>25</v>
      </c>
      <c r="K1136" s="1">
        <v>10.0</v>
      </c>
      <c r="N1136" s="5">
        <v>44975.0</v>
      </c>
      <c r="Q1136" s="1" t="s">
        <v>851</v>
      </c>
    </row>
    <row r="1137">
      <c r="A1137" s="1">
        <v>1136.0</v>
      </c>
      <c r="B1137" s="1" t="s">
        <v>2541</v>
      </c>
      <c r="C1137" s="1" t="s">
        <v>25</v>
      </c>
      <c r="N1137" s="5">
        <v>45471.0</v>
      </c>
      <c r="Q1137" s="1" t="s">
        <v>46</v>
      </c>
    </row>
    <row r="1138">
      <c r="A1138" s="1">
        <v>1137.0</v>
      </c>
      <c r="B1138" s="1" t="s">
        <v>2542</v>
      </c>
      <c r="C1138" s="1" t="s">
        <v>25</v>
      </c>
      <c r="K1138" s="1">
        <v>60.0</v>
      </c>
      <c r="N1138" s="5">
        <v>45646.0</v>
      </c>
      <c r="Q1138" s="1" t="s">
        <v>2543</v>
      </c>
    </row>
    <row r="1139">
      <c r="A1139" s="1">
        <v>1138.0</v>
      </c>
      <c r="B1139" s="1" t="s">
        <v>2544</v>
      </c>
      <c r="C1139" s="1" t="s">
        <v>25</v>
      </c>
      <c r="N1139" s="5">
        <v>44258.0</v>
      </c>
      <c r="Q1139" s="1" t="s">
        <v>55</v>
      </c>
    </row>
    <row r="1140">
      <c r="A1140" s="1">
        <v>1139.0</v>
      </c>
      <c r="B1140" s="1" t="s">
        <v>2545</v>
      </c>
      <c r="C1140" s="1" t="s">
        <v>25</v>
      </c>
      <c r="K1140" s="1">
        <v>200.0</v>
      </c>
      <c r="N1140" s="5">
        <v>45490.0</v>
      </c>
      <c r="Q1140" s="1" t="s">
        <v>2546</v>
      </c>
    </row>
    <row r="1141">
      <c r="A1141" s="1">
        <v>1140.0</v>
      </c>
      <c r="B1141" s="1" t="s">
        <v>2547</v>
      </c>
      <c r="C1141" s="1" t="s">
        <v>25</v>
      </c>
      <c r="K1141" s="1">
        <v>150.0</v>
      </c>
      <c r="N1141" s="5">
        <v>44566.0</v>
      </c>
      <c r="Q1141" s="1" t="s">
        <v>2548</v>
      </c>
    </row>
    <row r="1142">
      <c r="A1142" s="1">
        <v>1141.0</v>
      </c>
      <c r="B1142" s="1" t="s">
        <v>2549</v>
      </c>
      <c r="C1142" s="1" t="s">
        <v>25</v>
      </c>
      <c r="K1142" s="1">
        <v>400.0</v>
      </c>
      <c r="N1142" s="5">
        <v>43913.0</v>
      </c>
      <c r="Q1142" s="1" t="s">
        <v>2550</v>
      </c>
    </row>
    <row r="1143">
      <c r="A1143" s="1">
        <v>1142.0</v>
      </c>
      <c r="B1143" s="1" t="s">
        <v>2551</v>
      </c>
      <c r="C1143" s="1" t="s">
        <v>25</v>
      </c>
      <c r="K1143" s="1">
        <v>30.0</v>
      </c>
      <c r="N1143" s="5">
        <v>45021.0</v>
      </c>
      <c r="Q1143" s="1" t="s">
        <v>55</v>
      </c>
    </row>
    <row r="1144">
      <c r="A1144" s="1">
        <v>1143.0</v>
      </c>
      <c r="B1144" s="1" t="s">
        <v>2552</v>
      </c>
      <c r="C1144" s="1" t="s">
        <v>25</v>
      </c>
      <c r="K1144" s="1">
        <v>20.0</v>
      </c>
      <c r="N1144" s="5">
        <v>44628.0</v>
      </c>
      <c r="Q1144" s="1" t="s">
        <v>569</v>
      </c>
    </row>
    <row r="1145">
      <c r="A1145" s="1">
        <v>1144.0</v>
      </c>
      <c r="B1145" s="1" t="s">
        <v>121</v>
      </c>
      <c r="C1145" s="1" t="s">
        <v>25</v>
      </c>
      <c r="K1145" s="1">
        <v>40.0</v>
      </c>
      <c r="N1145" s="5">
        <v>45098.0</v>
      </c>
      <c r="Q1145" s="1" t="s">
        <v>125</v>
      </c>
    </row>
    <row r="1146">
      <c r="A1146" s="1">
        <v>1145.0</v>
      </c>
      <c r="B1146" s="1" t="s">
        <v>2553</v>
      </c>
      <c r="C1146" s="1" t="s">
        <v>25</v>
      </c>
      <c r="N1146" s="5">
        <v>44261.0</v>
      </c>
      <c r="Q1146" s="1" t="s">
        <v>55</v>
      </c>
    </row>
    <row r="1147">
      <c r="A1147" s="1">
        <v>1146.0</v>
      </c>
      <c r="B1147" s="1" t="s">
        <v>2554</v>
      </c>
      <c r="C1147" s="1" t="s">
        <v>25</v>
      </c>
      <c r="K1147" s="1">
        <v>30.0</v>
      </c>
      <c r="N1147" s="5">
        <v>43874.0</v>
      </c>
      <c r="Q1147" s="1" t="s">
        <v>2555</v>
      </c>
    </row>
    <row r="1148">
      <c r="A1148" s="1">
        <v>1147.0</v>
      </c>
      <c r="B1148" s="1" t="s">
        <v>2556</v>
      </c>
      <c r="C1148" s="1" t="s">
        <v>25</v>
      </c>
      <c r="N1148" s="5">
        <v>45012.0</v>
      </c>
      <c r="Q1148" s="1" t="s">
        <v>55</v>
      </c>
    </row>
    <row r="1149">
      <c r="A1149" s="1">
        <v>1148.0</v>
      </c>
      <c r="B1149" s="1" t="s">
        <v>2557</v>
      </c>
      <c r="C1149" s="1" t="s">
        <v>25</v>
      </c>
      <c r="K1149" s="1">
        <v>200.0</v>
      </c>
      <c r="N1149" s="5">
        <v>45389.0</v>
      </c>
      <c r="Q1149" s="1" t="s">
        <v>2558</v>
      </c>
    </row>
    <row r="1150">
      <c r="A1150" s="1">
        <v>1149.0</v>
      </c>
      <c r="B1150" s="1" t="s">
        <v>2559</v>
      </c>
      <c r="C1150" s="1" t="s">
        <v>25</v>
      </c>
      <c r="K1150" s="1">
        <v>150.0</v>
      </c>
      <c r="N1150" s="5">
        <v>44533.0</v>
      </c>
      <c r="Q1150" s="1" t="s">
        <v>2560</v>
      </c>
    </row>
    <row r="1151">
      <c r="A1151" s="1">
        <v>1150.0</v>
      </c>
      <c r="B1151" s="1" t="s">
        <v>2561</v>
      </c>
      <c r="C1151" s="1" t="s">
        <v>25</v>
      </c>
      <c r="N1151" s="5">
        <v>45761.0</v>
      </c>
      <c r="Q1151" s="1" t="s">
        <v>2562</v>
      </c>
    </row>
    <row r="1152">
      <c r="A1152" s="1">
        <v>1151.0</v>
      </c>
      <c r="B1152" s="1" t="s">
        <v>2563</v>
      </c>
      <c r="C1152" s="1" t="s">
        <v>25</v>
      </c>
      <c r="K1152" s="1">
        <v>30.0</v>
      </c>
      <c r="N1152" s="5">
        <v>44841.0</v>
      </c>
      <c r="Q1152" s="1" t="s">
        <v>2564</v>
      </c>
    </row>
    <row r="1153">
      <c r="A1153" s="1">
        <v>1152.0</v>
      </c>
      <c r="B1153" s="1" t="s">
        <v>2565</v>
      </c>
      <c r="C1153" s="1" t="s">
        <v>25</v>
      </c>
      <c r="K1153" s="1">
        <v>150.0</v>
      </c>
      <c r="N1153" s="5">
        <v>44765.0</v>
      </c>
      <c r="Q1153" s="1" t="s">
        <v>2566</v>
      </c>
    </row>
    <row r="1154">
      <c r="A1154" s="1">
        <v>1153.0</v>
      </c>
      <c r="B1154" s="1" t="s">
        <v>2567</v>
      </c>
      <c r="C1154" s="1" t="s">
        <v>25</v>
      </c>
      <c r="K1154" s="1">
        <v>100.0</v>
      </c>
      <c r="N1154" s="5">
        <v>45791.0</v>
      </c>
      <c r="Q1154" s="1" t="s">
        <v>2568</v>
      </c>
    </row>
    <row r="1155">
      <c r="A1155" s="1">
        <v>1154.0</v>
      </c>
      <c r="B1155" s="1" t="s">
        <v>2569</v>
      </c>
      <c r="C1155" s="1" t="s">
        <v>25</v>
      </c>
      <c r="K1155" s="1">
        <v>70.0</v>
      </c>
      <c r="N1155" s="5">
        <v>44160.0</v>
      </c>
      <c r="Q1155" s="1" t="s">
        <v>2570</v>
      </c>
    </row>
    <row r="1156">
      <c r="A1156" s="1">
        <v>1155.0</v>
      </c>
      <c r="B1156" s="1" t="s">
        <v>2571</v>
      </c>
      <c r="C1156" s="1" t="s">
        <v>25</v>
      </c>
      <c r="K1156" s="1">
        <v>20.0</v>
      </c>
      <c r="N1156" s="5">
        <v>44697.0</v>
      </c>
      <c r="Q1156" s="1" t="s">
        <v>2572</v>
      </c>
    </row>
    <row r="1157">
      <c r="A1157" s="1">
        <v>1156.0</v>
      </c>
      <c r="B1157" s="1" t="s">
        <v>2573</v>
      </c>
      <c r="C1157" s="1" t="s">
        <v>25</v>
      </c>
      <c r="K1157" s="1">
        <v>90.0</v>
      </c>
      <c r="N1157" s="5">
        <v>45690.0</v>
      </c>
      <c r="Q1157" s="1" t="s">
        <v>2574</v>
      </c>
    </row>
    <row r="1158">
      <c r="A1158" s="1">
        <v>1157.0</v>
      </c>
      <c r="B1158" s="1" t="s">
        <v>2575</v>
      </c>
      <c r="C1158" s="1" t="s">
        <v>25</v>
      </c>
      <c r="N1158" s="5">
        <v>45470.0</v>
      </c>
      <c r="Q1158" s="1" t="s">
        <v>606</v>
      </c>
    </row>
    <row r="1159">
      <c r="A1159" s="1">
        <v>1158.0</v>
      </c>
      <c r="B1159" s="1" t="s">
        <v>2576</v>
      </c>
      <c r="C1159" s="1" t="s">
        <v>25</v>
      </c>
      <c r="K1159" s="1">
        <v>150.0</v>
      </c>
      <c r="N1159" s="5">
        <v>44718.0</v>
      </c>
      <c r="Q1159" s="1" t="s">
        <v>1312</v>
      </c>
    </row>
    <row r="1160">
      <c r="A1160" s="1">
        <v>1159.0</v>
      </c>
      <c r="B1160" s="1" t="s">
        <v>2577</v>
      </c>
      <c r="C1160" s="1" t="s">
        <v>25</v>
      </c>
      <c r="K1160" s="1">
        <v>70.0</v>
      </c>
      <c r="N1160" s="5">
        <v>44410.0</v>
      </c>
      <c r="Q1160" s="1" t="s">
        <v>740</v>
      </c>
    </row>
    <row r="1161">
      <c r="A1161" s="1">
        <v>1160.0</v>
      </c>
      <c r="B1161" s="1" t="s">
        <v>2578</v>
      </c>
      <c r="C1161" s="1" t="s">
        <v>25</v>
      </c>
      <c r="K1161" s="1">
        <v>40.0</v>
      </c>
      <c r="N1161" s="5">
        <v>45023.0</v>
      </c>
      <c r="Q1161" s="1" t="s">
        <v>1066</v>
      </c>
    </row>
    <row r="1162">
      <c r="A1162" s="1">
        <v>1161.0</v>
      </c>
      <c r="B1162" s="1" t="s">
        <v>2579</v>
      </c>
      <c r="C1162" s="1" t="s">
        <v>25</v>
      </c>
      <c r="K1162" s="1">
        <v>40.0</v>
      </c>
      <c r="N1162" s="5">
        <v>44420.0</v>
      </c>
      <c r="Q1162" s="1" t="s">
        <v>55</v>
      </c>
    </row>
    <row r="1163">
      <c r="A1163" s="1">
        <v>1162.0</v>
      </c>
      <c r="B1163" s="1" t="s">
        <v>2580</v>
      </c>
      <c r="C1163" s="1" t="s">
        <v>25</v>
      </c>
      <c r="K1163" s="1">
        <v>40.0</v>
      </c>
      <c r="N1163" s="5">
        <v>44689.0</v>
      </c>
      <c r="Q1163" s="1" t="s">
        <v>2179</v>
      </c>
    </row>
    <row r="1164">
      <c r="A1164" s="1">
        <v>1163.0</v>
      </c>
      <c r="B1164" s="1" t="s">
        <v>2581</v>
      </c>
      <c r="C1164" s="1" t="s">
        <v>25</v>
      </c>
      <c r="K1164" s="1">
        <v>50.0</v>
      </c>
      <c r="N1164" s="5">
        <v>44048.0</v>
      </c>
      <c r="Q1164" s="1" t="s">
        <v>2582</v>
      </c>
    </row>
    <row r="1165">
      <c r="A1165" s="1">
        <v>1164.0</v>
      </c>
      <c r="B1165" s="1" t="s">
        <v>2583</v>
      </c>
      <c r="C1165" s="1" t="s">
        <v>25</v>
      </c>
      <c r="K1165" s="1">
        <v>20.0</v>
      </c>
      <c r="N1165" s="5">
        <v>44169.0</v>
      </c>
      <c r="Q1165" s="1" t="s">
        <v>2584</v>
      </c>
    </row>
    <row r="1166">
      <c r="A1166" s="1">
        <v>1165.0</v>
      </c>
      <c r="B1166" s="1" t="s">
        <v>2585</v>
      </c>
      <c r="C1166" s="1" t="s">
        <v>25</v>
      </c>
      <c r="N1166" s="5">
        <v>44063.0</v>
      </c>
      <c r="Q1166" s="1" t="s">
        <v>55</v>
      </c>
    </row>
    <row r="1167">
      <c r="A1167" s="1">
        <v>1166.0</v>
      </c>
      <c r="B1167" s="1" t="s">
        <v>2586</v>
      </c>
      <c r="C1167" s="1" t="s">
        <v>25</v>
      </c>
      <c r="K1167" s="1">
        <v>200.0</v>
      </c>
      <c r="N1167" s="5">
        <v>42435.0</v>
      </c>
      <c r="Q1167" s="1" t="s">
        <v>2587</v>
      </c>
    </row>
    <row r="1168">
      <c r="A1168" s="1">
        <v>1167.0</v>
      </c>
      <c r="B1168" s="1" t="s">
        <v>2588</v>
      </c>
      <c r="C1168" s="1" t="s">
        <v>25</v>
      </c>
      <c r="N1168" s="5">
        <v>44064.0</v>
      </c>
      <c r="Q1168" s="1" t="s">
        <v>55</v>
      </c>
    </row>
    <row r="1169">
      <c r="A1169" s="1">
        <v>1168.0</v>
      </c>
      <c r="B1169" s="1" t="s">
        <v>2589</v>
      </c>
      <c r="C1169" s="1" t="s">
        <v>25</v>
      </c>
      <c r="K1169" s="1">
        <v>70.0</v>
      </c>
      <c r="N1169" s="5">
        <v>45786.0</v>
      </c>
      <c r="Q1169" s="1" t="s">
        <v>2590</v>
      </c>
    </row>
    <row r="1170">
      <c r="A1170" s="1">
        <v>1169.0</v>
      </c>
      <c r="B1170" s="1" t="s">
        <v>2591</v>
      </c>
      <c r="C1170" s="1" t="s">
        <v>25</v>
      </c>
      <c r="K1170" s="1">
        <v>30.0</v>
      </c>
      <c r="N1170" s="5">
        <v>45600.0</v>
      </c>
      <c r="Q1170" s="1" t="s">
        <v>2592</v>
      </c>
    </row>
    <row r="1171">
      <c r="A1171" s="1">
        <v>1170.0</v>
      </c>
      <c r="B1171" s="1" t="s">
        <v>2593</v>
      </c>
      <c r="C1171" s="1" t="s">
        <v>25</v>
      </c>
      <c r="K1171" s="1">
        <v>70.0</v>
      </c>
      <c r="N1171" s="5">
        <v>44763.0</v>
      </c>
      <c r="Q1171" s="1" t="s">
        <v>93</v>
      </c>
    </row>
    <row r="1172">
      <c r="A1172" s="1">
        <v>1171.0</v>
      </c>
      <c r="B1172" s="1" t="s">
        <v>2594</v>
      </c>
      <c r="C1172" s="1" t="s">
        <v>25</v>
      </c>
      <c r="N1172" s="5">
        <v>44384.0</v>
      </c>
      <c r="Q1172" s="1" t="s">
        <v>1387</v>
      </c>
    </row>
    <row r="1173">
      <c r="A1173" s="1">
        <v>1172.0</v>
      </c>
      <c r="B1173" s="1" t="s">
        <v>2595</v>
      </c>
      <c r="C1173" s="1" t="s">
        <v>25</v>
      </c>
      <c r="K1173" s="1">
        <v>250.0</v>
      </c>
      <c r="N1173" s="5">
        <v>45237.0</v>
      </c>
      <c r="Q1173" s="1" t="s">
        <v>2596</v>
      </c>
    </row>
    <row r="1174">
      <c r="A1174" s="1">
        <v>1173.0</v>
      </c>
      <c r="B1174" s="1" t="s">
        <v>2597</v>
      </c>
      <c r="C1174" s="1" t="s">
        <v>25</v>
      </c>
      <c r="N1174" s="5">
        <v>44260.0</v>
      </c>
      <c r="Q1174" s="1" t="s">
        <v>55</v>
      </c>
    </row>
    <row r="1175">
      <c r="A1175" s="1">
        <v>1174.0</v>
      </c>
      <c r="B1175" s="1" t="s">
        <v>2598</v>
      </c>
      <c r="C1175" s="1" t="s">
        <v>25</v>
      </c>
      <c r="K1175" s="1">
        <v>20.0</v>
      </c>
      <c r="N1175" s="5">
        <v>44719.0</v>
      </c>
      <c r="Q1175" s="1" t="s">
        <v>55</v>
      </c>
    </row>
    <row r="1176">
      <c r="A1176" s="1">
        <v>1175.0</v>
      </c>
      <c r="B1176" s="1" t="s">
        <v>2599</v>
      </c>
      <c r="C1176" s="1" t="s">
        <v>25</v>
      </c>
      <c r="K1176" s="1">
        <v>150.0</v>
      </c>
      <c r="N1176" s="5">
        <v>44159.0</v>
      </c>
      <c r="Q1176" s="1" t="s">
        <v>2600</v>
      </c>
    </row>
    <row r="1177">
      <c r="A1177" s="1">
        <v>1176.0</v>
      </c>
      <c r="B1177" s="1" t="s">
        <v>2601</v>
      </c>
      <c r="C1177" s="1" t="s">
        <v>25</v>
      </c>
      <c r="K1177" s="1">
        <v>100.0</v>
      </c>
      <c r="N1177" s="5">
        <v>45422.0</v>
      </c>
      <c r="Q1177" s="1" t="s">
        <v>2602</v>
      </c>
    </row>
    <row r="1178">
      <c r="A1178" s="1">
        <v>1177.0</v>
      </c>
      <c r="B1178" s="1" t="s">
        <v>2603</v>
      </c>
      <c r="C1178" s="1" t="s">
        <v>25</v>
      </c>
      <c r="N1178" s="5">
        <v>44568.0</v>
      </c>
      <c r="Q1178" s="1" t="s">
        <v>55</v>
      </c>
    </row>
    <row r="1179">
      <c r="A1179" s="1">
        <v>1178.0</v>
      </c>
      <c r="B1179" s="1" t="s">
        <v>2604</v>
      </c>
      <c r="C1179" s="1" t="s">
        <v>25</v>
      </c>
      <c r="K1179" s="1">
        <v>30.0</v>
      </c>
      <c r="N1179" s="5">
        <v>44952.0</v>
      </c>
      <c r="Q1179" s="1" t="s">
        <v>718</v>
      </c>
    </row>
    <row r="1180">
      <c r="A1180" s="1">
        <v>1179.0</v>
      </c>
      <c r="B1180" s="1" t="s">
        <v>2605</v>
      </c>
      <c r="C1180" s="1" t="s">
        <v>25</v>
      </c>
      <c r="K1180" s="1">
        <v>200.0</v>
      </c>
      <c r="N1180" s="5">
        <v>43933.0</v>
      </c>
      <c r="Q1180" s="1" t="s">
        <v>2606</v>
      </c>
    </row>
    <row r="1181">
      <c r="A1181" s="1">
        <v>1180.0</v>
      </c>
      <c r="B1181" s="1" t="s">
        <v>2607</v>
      </c>
      <c r="C1181" s="1" t="s">
        <v>25</v>
      </c>
      <c r="K1181" s="1">
        <v>10.0</v>
      </c>
      <c r="N1181" s="5">
        <v>45582.0</v>
      </c>
      <c r="Q1181" s="1" t="s">
        <v>2608</v>
      </c>
    </row>
    <row r="1182">
      <c r="A1182" s="1">
        <v>1181.0</v>
      </c>
      <c r="B1182" s="1" t="s">
        <v>2609</v>
      </c>
      <c r="C1182" s="1" t="s">
        <v>25</v>
      </c>
      <c r="K1182" s="1">
        <v>10.0</v>
      </c>
      <c r="N1182" s="5">
        <v>44292.0</v>
      </c>
      <c r="Q1182" s="1" t="s">
        <v>55</v>
      </c>
    </row>
    <row r="1183">
      <c r="A1183" s="1">
        <v>1182.0</v>
      </c>
      <c r="B1183" s="1" t="s">
        <v>2610</v>
      </c>
      <c r="C1183" s="1" t="s">
        <v>25</v>
      </c>
      <c r="K1183" s="1">
        <v>70.0</v>
      </c>
      <c r="N1183" s="5">
        <v>44380.0</v>
      </c>
      <c r="Q1183" s="1" t="s">
        <v>2611</v>
      </c>
    </row>
    <row r="1184">
      <c r="A1184" s="1">
        <v>1183.0</v>
      </c>
      <c r="B1184" s="1" t="s">
        <v>2612</v>
      </c>
      <c r="C1184" s="1" t="s">
        <v>25</v>
      </c>
      <c r="K1184" s="1">
        <v>150.0</v>
      </c>
      <c r="N1184" s="5">
        <v>44159.0</v>
      </c>
      <c r="Q1184" s="1" t="s">
        <v>2613</v>
      </c>
    </row>
    <row r="1185">
      <c r="A1185" s="1">
        <v>1184.0</v>
      </c>
      <c r="B1185" s="1" t="s">
        <v>2614</v>
      </c>
      <c r="C1185" s="1" t="s">
        <v>25</v>
      </c>
      <c r="N1185" s="5">
        <v>43993.0</v>
      </c>
      <c r="Q1185" s="1" t="s">
        <v>55</v>
      </c>
    </row>
    <row r="1186">
      <c r="A1186" s="1">
        <v>1185.0</v>
      </c>
      <c r="B1186" s="1" t="s">
        <v>2615</v>
      </c>
      <c r="C1186" s="1" t="s">
        <v>25</v>
      </c>
      <c r="K1186" s="1">
        <v>500.0</v>
      </c>
      <c r="N1186" s="5">
        <v>45574.0</v>
      </c>
      <c r="Q1186" s="1" t="s">
        <v>2616</v>
      </c>
    </row>
    <row r="1187">
      <c r="A1187" s="1">
        <v>1186.0</v>
      </c>
      <c r="B1187" s="1" t="s">
        <v>2617</v>
      </c>
      <c r="C1187" s="1" t="s">
        <v>25</v>
      </c>
      <c r="K1187" s="1">
        <v>20.0</v>
      </c>
      <c r="N1187" s="5">
        <v>44120.0</v>
      </c>
      <c r="Q1187" s="1" t="s">
        <v>2618</v>
      </c>
    </row>
    <row r="1188">
      <c r="A1188" s="1">
        <v>1187.0</v>
      </c>
      <c r="B1188" s="1" t="s">
        <v>2619</v>
      </c>
      <c r="C1188" s="1" t="s">
        <v>25</v>
      </c>
      <c r="K1188" s="1">
        <v>200.0</v>
      </c>
      <c r="N1188" s="5">
        <v>44005.0</v>
      </c>
      <c r="Q1188" s="1" t="s">
        <v>1198</v>
      </c>
    </row>
    <row r="1189">
      <c r="A1189" s="1">
        <v>1188.0</v>
      </c>
      <c r="B1189" s="1" t="s">
        <v>204</v>
      </c>
      <c r="C1189" s="1" t="s">
        <v>25</v>
      </c>
      <c r="K1189" s="1">
        <v>100.0</v>
      </c>
      <c r="N1189" s="5">
        <v>44065.0</v>
      </c>
      <c r="Q1189" s="1" t="s">
        <v>210</v>
      </c>
    </row>
    <row r="1190">
      <c r="A1190" s="1">
        <v>1189.0</v>
      </c>
      <c r="B1190" s="1" t="s">
        <v>2620</v>
      </c>
      <c r="C1190" s="1" t="s">
        <v>25</v>
      </c>
      <c r="K1190" s="1">
        <v>30.0</v>
      </c>
      <c r="N1190" s="5">
        <v>44981.0</v>
      </c>
      <c r="Q1190" s="1" t="s">
        <v>55</v>
      </c>
    </row>
    <row r="1191">
      <c r="A1191" s="1">
        <v>1190.0</v>
      </c>
      <c r="B1191" s="1" t="s">
        <v>2621</v>
      </c>
      <c r="C1191" s="1" t="s">
        <v>25</v>
      </c>
      <c r="K1191" s="1">
        <v>150.0</v>
      </c>
      <c r="N1191" s="5">
        <v>44527.0</v>
      </c>
      <c r="Q1191" s="1" t="s">
        <v>2000</v>
      </c>
    </row>
    <row r="1192">
      <c r="A1192" s="1">
        <v>1191.0</v>
      </c>
      <c r="B1192" s="1" t="s">
        <v>2622</v>
      </c>
      <c r="C1192" s="1" t="s">
        <v>25</v>
      </c>
      <c r="K1192" s="1">
        <v>70.0</v>
      </c>
      <c r="N1192" s="5">
        <v>45727.0</v>
      </c>
      <c r="Q1192" s="1" t="s">
        <v>2623</v>
      </c>
    </row>
    <row r="1193">
      <c r="A1193" s="1">
        <v>1192.0</v>
      </c>
      <c r="B1193" s="1" t="s">
        <v>2624</v>
      </c>
      <c r="C1193" s="1" t="s">
        <v>25</v>
      </c>
      <c r="K1193" s="1">
        <v>60.0</v>
      </c>
      <c r="N1193" s="5">
        <v>43921.0</v>
      </c>
      <c r="Q1193" s="1" t="s">
        <v>2625</v>
      </c>
    </row>
    <row r="1194">
      <c r="A1194" s="1">
        <v>1193.0</v>
      </c>
      <c r="B1194" s="1" t="s">
        <v>2626</v>
      </c>
      <c r="C1194" s="1" t="s">
        <v>25</v>
      </c>
      <c r="K1194" s="1">
        <v>90.0</v>
      </c>
      <c r="N1194" s="5">
        <v>44045.0</v>
      </c>
      <c r="Q1194" s="1" t="s">
        <v>2627</v>
      </c>
    </row>
    <row r="1195">
      <c r="A1195" s="1">
        <v>1194.0</v>
      </c>
      <c r="B1195" s="1" t="s">
        <v>2628</v>
      </c>
      <c r="C1195" s="1" t="s">
        <v>25</v>
      </c>
      <c r="N1195" s="5">
        <v>44534.0</v>
      </c>
      <c r="Q1195" s="1" t="s">
        <v>55</v>
      </c>
    </row>
    <row r="1196">
      <c r="A1196" s="1">
        <v>1195.0</v>
      </c>
      <c r="B1196" s="1" t="s">
        <v>2629</v>
      </c>
      <c r="C1196" s="1" t="s">
        <v>25</v>
      </c>
      <c r="K1196" s="1">
        <v>200.0</v>
      </c>
      <c r="N1196" s="5">
        <v>43922.0</v>
      </c>
      <c r="Q1196" s="1" t="s">
        <v>2630</v>
      </c>
    </row>
    <row r="1197">
      <c r="A1197" s="1">
        <v>1196.0</v>
      </c>
      <c r="B1197" s="1" t="s">
        <v>2631</v>
      </c>
      <c r="C1197" s="1" t="s">
        <v>25</v>
      </c>
      <c r="K1197" s="1">
        <v>50.0</v>
      </c>
      <c r="N1197" s="5">
        <v>44404.0</v>
      </c>
      <c r="Q1197" s="1" t="s">
        <v>360</v>
      </c>
    </row>
    <row r="1198">
      <c r="A1198" s="1">
        <v>1197.0</v>
      </c>
      <c r="B1198" s="1" t="s">
        <v>2632</v>
      </c>
      <c r="C1198" s="1" t="s">
        <v>25</v>
      </c>
      <c r="K1198" s="1">
        <v>150.0</v>
      </c>
      <c r="N1198" s="5">
        <v>44348.0</v>
      </c>
      <c r="Q1198" s="1" t="s">
        <v>93</v>
      </c>
    </row>
    <row r="1199">
      <c r="A1199" s="1">
        <v>1198.0</v>
      </c>
      <c r="B1199" s="1" t="s">
        <v>2633</v>
      </c>
      <c r="C1199" s="1" t="s">
        <v>25</v>
      </c>
      <c r="K1199" s="1">
        <v>40.0</v>
      </c>
      <c r="N1199" s="5">
        <v>44778.0</v>
      </c>
      <c r="Q1199" s="1" t="s">
        <v>1387</v>
      </c>
    </row>
    <row r="1200">
      <c r="A1200" s="1">
        <v>1199.0</v>
      </c>
      <c r="B1200" s="1" t="s">
        <v>2634</v>
      </c>
      <c r="C1200" s="1" t="s">
        <v>25</v>
      </c>
      <c r="K1200" s="1">
        <v>10.0</v>
      </c>
      <c r="N1200" s="5">
        <v>44140.0</v>
      </c>
      <c r="Q1200" s="1" t="s">
        <v>172</v>
      </c>
    </row>
    <row r="1201">
      <c r="A1201" s="1">
        <v>1200.0</v>
      </c>
      <c r="B1201" s="1" t="s">
        <v>2635</v>
      </c>
      <c r="C1201" s="1" t="s">
        <v>25</v>
      </c>
      <c r="K1201" s="1">
        <v>70.0</v>
      </c>
      <c r="N1201" s="5">
        <v>43964.0</v>
      </c>
      <c r="Q1201" s="1" t="s">
        <v>2636</v>
      </c>
    </row>
    <row r="1202">
      <c r="A1202" s="1">
        <v>1201.0</v>
      </c>
      <c r="B1202" s="1" t="s">
        <v>2637</v>
      </c>
      <c r="C1202" s="1" t="s">
        <v>25</v>
      </c>
      <c r="K1202" s="1">
        <v>200.0</v>
      </c>
      <c r="N1202" s="5">
        <v>44823.0</v>
      </c>
      <c r="Q1202" s="1" t="s">
        <v>2638</v>
      </c>
    </row>
    <row r="1203">
      <c r="A1203" s="1">
        <v>1202.0</v>
      </c>
      <c r="B1203" s="1" t="s">
        <v>2639</v>
      </c>
      <c r="C1203" s="1" t="s">
        <v>25</v>
      </c>
      <c r="K1203" s="1">
        <v>20.0</v>
      </c>
      <c r="N1203" s="5">
        <v>45368.0</v>
      </c>
      <c r="Q1203" s="1" t="s">
        <v>2640</v>
      </c>
    </row>
    <row r="1204">
      <c r="A1204" s="1">
        <v>1203.0</v>
      </c>
      <c r="B1204" s="1" t="s">
        <v>2641</v>
      </c>
      <c r="C1204" s="1" t="s">
        <v>25</v>
      </c>
      <c r="K1204" s="1">
        <v>70.0</v>
      </c>
      <c r="N1204" s="5">
        <v>44585.0</v>
      </c>
      <c r="Q1204" s="1" t="s">
        <v>2642</v>
      </c>
    </row>
    <row r="1205">
      <c r="A1205" s="1">
        <v>1204.0</v>
      </c>
      <c r="B1205" s="1" t="s">
        <v>127</v>
      </c>
      <c r="C1205" s="1" t="s">
        <v>25</v>
      </c>
      <c r="K1205" s="1">
        <v>40.0</v>
      </c>
      <c r="N1205" s="5">
        <v>45217.0</v>
      </c>
      <c r="Q1205" s="1" t="s">
        <v>131</v>
      </c>
    </row>
    <row r="1206">
      <c r="A1206" s="1">
        <v>1205.0</v>
      </c>
      <c r="B1206" s="1" t="s">
        <v>2643</v>
      </c>
      <c r="C1206" s="1" t="s">
        <v>25</v>
      </c>
      <c r="K1206" s="1">
        <v>20.0</v>
      </c>
      <c r="N1206" s="5">
        <v>44818.0</v>
      </c>
      <c r="Q1206" s="1" t="s">
        <v>77</v>
      </c>
    </row>
    <row r="1207">
      <c r="A1207" s="1">
        <v>1206.0</v>
      </c>
      <c r="B1207" s="1" t="s">
        <v>2644</v>
      </c>
      <c r="C1207" s="1" t="s">
        <v>25</v>
      </c>
      <c r="K1207" s="1">
        <v>30.0</v>
      </c>
      <c r="N1207" s="5">
        <v>45333.0</v>
      </c>
      <c r="Q1207" s="1" t="s">
        <v>644</v>
      </c>
    </row>
    <row r="1208">
      <c r="A1208" s="1">
        <v>1207.0</v>
      </c>
      <c r="B1208" s="1" t="s">
        <v>2645</v>
      </c>
      <c r="C1208" s="1" t="s">
        <v>25</v>
      </c>
      <c r="K1208" s="1">
        <v>10.0</v>
      </c>
      <c r="N1208" s="5">
        <v>45613.0</v>
      </c>
      <c r="Q1208" s="1" t="s">
        <v>2646</v>
      </c>
    </row>
    <row r="1209">
      <c r="A1209" s="1">
        <v>1208.0</v>
      </c>
      <c r="B1209" s="1" t="s">
        <v>2647</v>
      </c>
      <c r="C1209" s="1" t="s">
        <v>25</v>
      </c>
      <c r="K1209" s="1">
        <v>100.0</v>
      </c>
      <c r="N1209" s="5">
        <v>44110.0</v>
      </c>
      <c r="Q1209" s="1" t="s">
        <v>235</v>
      </c>
    </row>
    <row r="1210">
      <c r="A1210" s="1">
        <v>1209.0</v>
      </c>
      <c r="B1210" s="1" t="s">
        <v>2648</v>
      </c>
      <c r="C1210" s="1" t="s">
        <v>25</v>
      </c>
      <c r="K1210" s="1">
        <v>100.0</v>
      </c>
      <c r="N1210" s="5">
        <v>44092.0</v>
      </c>
      <c r="Q1210" s="1" t="s">
        <v>2649</v>
      </c>
    </row>
    <row r="1211">
      <c r="A1211" s="1">
        <v>1210.0</v>
      </c>
      <c r="B1211" s="1" t="s">
        <v>2650</v>
      </c>
      <c r="C1211" s="1" t="s">
        <v>25</v>
      </c>
      <c r="K1211" s="1">
        <v>40.0</v>
      </c>
      <c r="N1211" s="5">
        <v>45320.0</v>
      </c>
      <c r="Q1211" s="1" t="s">
        <v>55</v>
      </c>
    </row>
    <row r="1212">
      <c r="A1212" s="1">
        <v>1211.0</v>
      </c>
      <c r="B1212" s="1" t="s">
        <v>2651</v>
      </c>
      <c r="C1212" s="1" t="s">
        <v>25</v>
      </c>
      <c r="K1212" s="1">
        <v>50.0</v>
      </c>
      <c r="N1212" s="5">
        <v>44330.0</v>
      </c>
      <c r="Q1212" s="1" t="s">
        <v>2652</v>
      </c>
    </row>
    <row r="1213">
      <c r="A1213" s="1">
        <v>1212.0</v>
      </c>
      <c r="B1213" s="1" t="s">
        <v>2653</v>
      </c>
      <c r="C1213" s="1" t="s">
        <v>25</v>
      </c>
      <c r="K1213" s="1">
        <v>150.0</v>
      </c>
      <c r="N1213" s="5">
        <v>44231.0</v>
      </c>
      <c r="Q1213" s="1" t="s">
        <v>55</v>
      </c>
    </row>
    <row r="1214">
      <c r="A1214" s="1">
        <v>1213.0</v>
      </c>
      <c r="B1214" s="1" t="s">
        <v>2654</v>
      </c>
      <c r="C1214" s="1" t="s">
        <v>25</v>
      </c>
      <c r="K1214" s="1">
        <v>10.0</v>
      </c>
      <c r="N1214" s="5">
        <v>45624.0</v>
      </c>
      <c r="Q1214" s="1" t="s">
        <v>2655</v>
      </c>
    </row>
    <row r="1215">
      <c r="A1215" s="1">
        <v>1214.0</v>
      </c>
      <c r="B1215" s="1" t="s">
        <v>2656</v>
      </c>
      <c r="C1215" s="1" t="s">
        <v>25</v>
      </c>
      <c r="K1215" s="1">
        <v>60.0</v>
      </c>
      <c r="N1215" s="5">
        <v>43890.0</v>
      </c>
      <c r="Q1215" s="1" t="s">
        <v>55</v>
      </c>
    </row>
    <row r="1216">
      <c r="A1216" s="1">
        <v>1215.0</v>
      </c>
      <c r="B1216" s="1" t="s">
        <v>2657</v>
      </c>
      <c r="C1216" s="1" t="s">
        <v>25</v>
      </c>
      <c r="N1216" s="5">
        <v>44153.0</v>
      </c>
      <c r="Q1216" s="1" t="s">
        <v>55</v>
      </c>
    </row>
    <row r="1217">
      <c r="A1217" s="1">
        <v>1216.0</v>
      </c>
      <c r="B1217" s="1" t="s">
        <v>2658</v>
      </c>
      <c r="C1217" s="1" t="s">
        <v>25</v>
      </c>
      <c r="K1217" s="1">
        <v>60.0</v>
      </c>
      <c r="N1217" s="5">
        <v>44072.0</v>
      </c>
      <c r="Q1217" s="1" t="s">
        <v>2456</v>
      </c>
    </row>
    <row r="1218">
      <c r="A1218" s="1">
        <v>1217.0</v>
      </c>
      <c r="B1218" s="1" t="s">
        <v>2659</v>
      </c>
      <c r="C1218" s="1" t="s">
        <v>25</v>
      </c>
      <c r="K1218" s="1">
        <v>200.0</v>
      </c>
      <c r="N1218" s="5">
        <v>45435.0</v>
      </c>
      <c r="Q1218" s="1" t="s">
        <v>2660</v>
      </c>
    </row>
    <row r="1219">
      <c r="A1219" s="1">
        <v>1218.0</v>
      </c>
      <c r="B1219" s="1" t="s">
        <v>2661</v>
      </c>
      <c r="C1219" s="1" t="s">
        <v>25</v>
      </c>
      <c r="K1219" s="1">
        <v>10.0</v>
      </c>
      <c r="N1219" s="5">
        <v>43915.0</v>
      </c>
      <c r="Q1219" s="1" t="s">
        <v>2662</v>
      </c>
    </row>
    <row r="1220">
      <c r="A1220" s="1">
        <v>1219.0</v>
      </c>
      <c r="B1220" s="1" t="s">
        <v>2663</v>
      </c>
      <c r="C1220" s="1" t="s">
        <v>25</v>
      </c>
      <c r="K1220" s="1">
        <v>700.0</v>
      </c>
      <c r="N1220" s="5">
        <v>43839.0</v>
      </c>
      <c r="Q1220" s="1" t="s">
        <v>2664</v>
      </c>
    </row>
    <row r="1221">
      <c r="A1221" s="1">
        <v>1220.0</v>
      </c>
      <c r="B1221" s="1" t="s">
        <v>2665</v>
      </c>
      <c r="C1221" s="1" t="s">
        <v>25</v>
      </c>
      <c r="K1221" s="1">
        <v>20.0</v>
      </c>
      <c r="N1221" s="5">
        <v>44183.0</v>
      </c>
      <c r="Q1221" s="1" t="s">
        <v>2666</v>
      </c>
    </row>
    <row r="1222">
      <c r="A1222" s="1">
        <v>1221.0</v>
      </c>
      <c r="B1222" s="1" t="s">
        <v>2667</v>
      </c>
      <c r="C1222" s="1" t="s">
        <v>25</v>
      </c>
      <c r="N1222" s="5">
        <v>43906.0</v>
      </c>
      <c r="Q1222" s="1" t="s">
        <v>55</v>
      </c>
    </row>
    <row r="1223">
      <c r="A1223" s="1">
        <v>1222.0</v>
      </c>
      <c r="B1223" s="1" t="s">
        <v>2668</v>
      </c>
      <c r="C1223" s="1" t="s">
        <v>25</v>
      </c>
      <c r="K1223" s="1">
        <v>20.0</v>
      </c>
      <c r="N1223" s="5">
        <v>44686.0</v>
      </c>
      <c r="Q1223" s="1" t="s">
        <v>55</v>
      </c>
    </row>
    <row r="1224">
      <c r="A1224" s="1">
        <v>1223.0</v>
      </c>
      <c r="B1224" s="1" t="s">
        <v>2669</v>
      </c>
      <c r="C1224" s="1" t="s">
        <v>25</v>
      </c>
      <c r="K1224" s="1">
        <v>1900.0</v>
      </c>
      <c r="N1224" s="5">
        <v>43841.0</v>
      </c>
      <c r="Q1224" s="1" t="s">
        <v>2670</v>
      </c>
    </row>
    <row r="1225">
      <c r="A1225" s="1">
        <v>1224.0</v>
      </c>
      <c r="B1225" s="1" t="s">
        <v>2671</v>
      </c>
      <c r="C1225" s="1" t="s">
        <v>25</v>
      </c>
      <c r="K1225" s="1">
        <v>30.0</v>
      </c>
      <c r="N1225" s="5">
        <v>44308.0</v>
      </c>
      <c r="Q1225" s="1" t="s">
        <v>2672</v>
      </c>
    </row>
    <row r="1226">
      <c r="A1226" s="1">
        <v>1225.0</v>
      </c>
      <c r="B1226" s="1" t="s">
        <v>2673</v>
      </c>
      <c r="C1226" s="1" t="s">
        <v>25</v>
      </c>
      <c r="N1226" s="5">
        <v>44020.0</v>
      </c>
      <c r="Q1226" s="1" t="s">
        <v>55</v>
      </c>
    </row>
    <row r="1227">
      <c r="A1227" s="1">
        <v>1226.0</v>
      </c>
      <c r="B1227" s="1" t="s">
        <v>2674</v>
      </c>
      <c r="C1227" s="1" t="s">
        <v>25</v>
      </c>
      <c r="K1227" s="1">
        <v>150.0</v>
      </c>
      <c r="N1227" s="5">
        <v>44100.0</v>
      </c>
      <c r="Q1227" s="1" t="s">
        <v>2119</v>
      </c>
    </row>
    <row r="1228">
      <c r="A1228" s="1">
        <v>1227.0</v>
      </c>
      <c r="B1228" s="1" t="s">
        <v>2675</v>
      </c>
      <c r="C1228" s="1" t="s">
        <v>25</v>
      </c>
      <c r="K1228" s="1">
        <v>100.0</v>
      </c>
      <c r="N1228" s="5">
        <v>45576.0</v>
      </c>
      <c r="Q1228" s="1" t="s">
        <v>2676</v>
      </c>
    </row>
    <row r="1229">
      <c r="A1229" s="1">
        <v>1228.0</v>
      </c>
      <c r="B1229" s="1" t="s">
        <v>2677</v>
      </c>
      <c r="C1229" s="1" t="s">
        <v>25</v>
      </c>
      <c r="K1229" s="1">
        <v>50.0</v>
      </c>
      <c r="N1229" s="5">
        <v>45643.0</v>
      </c>
      <c r="Q1229" s="1" t="s">
        <v>2678</v>
      </c>
    </row>
    <row r="1230">
      <c r="A1230" s="1">
        <v>1229.0</v>
      </c>
      <c r="B1230" s="1" t="s">
        <v>2679</v>
      </c>
      <c r="C1230" s="1" t="s">
        <v>25</v>
      </c>
      <c r="K1230" s="1">
        <v>150.0</v>
      </c>
      <c r="N1230" s="5">
        <v>45189.0</v>
      </c>
      <c r="Q1230" s="1" t="s">
        <v>2680</v>
      </c>
    </row>
    <row r="1231">
      <c r="A1231" s="1">
        <v>1230.0</v>
      </c>
      <c r="B1231" s="1" t="s">
        <v>2681</v>
      </c>
      <c r="C1231" s="1" t="s">
        <v>25</v>
      </c>
      <c r="N1231" s="5">
        <v>44283.0</v>
      </c>
      <c r="Q1231" s="1" t="s">
        <v>55</v>
      </c>
    </row>
    <row r="1232">
      <c r="A1232" s="1">
        <v>1231.0</v>
      </c>
      <c r="B1232" s="1" t="s">
        <v>2682</v>
      </c>
      <c r="C1232" s="1" t="s">
        <v>25</v>
      </c>
      <c r="K1232" s="1">
        <v>200.0</v>
      </c>
      <c r="N1232" s="5">
        <v>43944.0</v>
      </c>
      <c r="Q1232" s="1" t="s">
        <v>2683</v>
      </c>
    </row>
    <row r="1233">
      <c r="A1233" s="1">
        <v>1232.0</v>
      </c>
      <c r="B1233" s="1" t="s">
        <v>2684</v>
      </c>
      <c r="C1233" s="1" t="s">
        <v>25</v>
      </c>
      <c r="K1233" s="1">
        <v>150.0</v>
      </c>
      <c r="N1233" s="5">
        <v>44178.0</v>
      </c>
      <c r="Q1233" s="1" t="s">
        <v>2685</v>
      </c>
    </row>
    <row r="1234">
      <c r="A1234" s="1">
        <v>1233.0</v>
      </c>
      <c r="B1234" s="1" t="s">
        <v>2686</v>
      </c>
      <c r="C1234" s="1" t="s">
        <v>25</v>
      </c>
      <c r="K1234" s="1">
        <v>200.0</v>
      </c>
      <c r="N1234" s="5">
        <v>44189.0</v>
      </c>
      <c r="Q1234" s="1" t="s">
        <v>2687</v>
      </c>
    </row>
    <row r="1235">
      <c r="A1235" s="1">
        <v>1234.0</v>
      </c>
      <c r="B1235" s="1" t="s">
        <v>2688</v>
      </c>
      <c r="C1235" s="1" t="s">
        <v>25</v>
      </c>
      <c r="N1235" s="5">
        <v>44455.0</v>
      </c>
      <c r="Q1235" s="1" t="s">
        <v>55</v>
      </c>
    </row>
    <row r="1236">
      <c r="A1236" s="1">
        <v>1235.0</v>
      </c>
      <c r="B1236" s="1" t="s">
        <v>2689</v>
      </c>
      <c r="C1236" s="1" t="s">
        <v>25</v>
      </c>
      <c r="K1236" s="1">
        <v>90.0</v>
      </c>
      <c r="N1236" s="5">
        <v>44378.0</v>
      </c>
      <c r="Q1236" s="1" t="s">
        <v>345</v>
      </c>
    </row>
    <row r="1237">
      <c r="A1237" s="1">
        <v>1236.0</v>
      </c>
      <c r="B1237" s="1" t="s">
        <v>2690</v>
      </c>
      <c r="C1237" s="1" t="s">
        <v>25</v>
      </c>
      <c r="K1237" s="1">
        <v>10.0</v>
      </c>
      <c r="N1237" s="5">
        <v>45297.0</v>
      </c>
      <c r="Q1237" s="1" t="s">
        <v>55</v>
      </c>
    </row>
    <row r="1238">
      <c r="A1238" s="1">
        <v>1237.0</v>
      </c>
      <c r="B1238" s="1" t="s">
        <v>2691</v>
      </c>
      <c r="C1238" s="1" t="s">
        <v>25</v>
      </c>
      <c r="K1238" s="1">
        <v>10.0</v>
      </c>
      <c r="N1238" s="5">
        <v>45620.0</v>
      </c>
      <c r="Q1238" s="1" t="s">
        <v>2692</v>
      </c>
    </row>
    <row r="1239">
      <c r="A1239" s="1">
        <v>1238.0</v>
      </c>
      <c r="B1239" s="1" t="s">
        <v>2693</v>
      </c>
      <c r="C1239" s="1" t="s">
        <v>25</v>
      </c>
      <c r="K1239" s="1">
        <v>70.0</v>
      </c>
      <c r="N1239" s="5">
        <v>43983.0</v>
      </c>
      <c r="Q1239" s="1" t="s">
        <v>55</v>
      </c>
    </row>
    <row r="1240">
      <c r="A1240" s="1">
        <v>1239.0</v>
      </c>
      <c r="B1240" s="1" t="s">
        <v>2694</v>
      </c>
      <c r="C1240" s="1" t="s">
        <v>25</v>
      </c>
      <c r="K1240" s="1">
        <v>200.0</v>
      </c>
      <c r="N1240" s="5">
        <v>43903.0</v>
      </c>
      <c r="Q1240" s="1" t="s">
        <v>2695</v>
      </c>
    </row>
    <row r="1241">
      <c r="A1241" s="1">
        <v>1240.0</v>
      </c>
      <c r="B1241" s="1" t="s">
        <v>2696</v>
      </c>
      <c r="C1241" s="1" t="s">
        <v>25</v>
      </c>
      <c r="K1241" s="1">
        <v>150.0</v>
      </c>
      <c r="N1241" s="5">
        <v>44368.0</v>
      </c>
      <c r="Q1241" s="1" t="s">
        <v>2697</v>
      </c>
    </row>
    <row r="1242">
      <c r="A1242" s="1">
        <v>1241.0</v>
      </c>
      <c r="B1242" s="1" t="s">
        <v>2698</v>
      </c>
      <c r="C1242" s="1" t="s">
        <v>25</v>
      </c>
      <c r="N1242" s="5">
        <v>43033.0</v>
      </c>
      <c r="Q1242" s="1" t="s">
        <v>2699</v>
      </c>
    </row>
    <row r="1243">
      <c r="A1243" s="1">
        <v>1242.0</v>
      </c>
      <c r="B1243" s="1" t="s">
        <v>2700</v>
      </c>
      <c r="C1243" s="1" t="s">
        <v>25</v>
      </c>
      <c r="K1243" s="1">
        <v>20.0</v>
      </c>
      <c r="N1243" s="5">
        <v>45616.0</v>
      </c>
      <c r="Q1243" s="1" t="s">
        <v>2701</v>
      </c>
    </row>
    <row r="1244">
      <c r="A1244" s="1">
        <v>1243.0</v>
      </c>
      <c r="B1244" s="1" t="s">
        <v>2702</v>
      </c>
      <c r="C1244" s="1" t="s">
        <v>25</v>
      </c>
      <c r="N1244" s="5">
        <v>44215.0</v>
      </c>
      <c r="Q1244" s="1" t="s">
        <v>55</v>
      </c>
    </row>
    <row r="1245">
      <c r="A1245" s="1">
        <v>1244.0</v>
      </c>
      <c r="B1245" s="1" t="s">
        <v>2703</v>
      </c>
      <c r="C1245" s="1" t="s">
        <v>25</v>
      </c>
      <c r="N1245" s="5">
        <v>43886.0</v>
      </c>
      <c r="Q1245" s="1" t="s">
        <v>55</v>
      </c>
    </row>
    <row r="1246">
      <c r="A1246" s="1">
        <v>1245.0</v>
      </c>
      <c r="B1246" s="1" t="s">
        <v>2704</v>
      </c>
      <c r="C1246" s="1" t="s">
        <v>25</v>
      </c>
      <c r="K1246" s="1">
        <v>90.0</v>
      </c>
      <c r="N1246" s="5">
        <v>43950.0</v>
      </c>
      <c r="Q1246" s="1" t="s">
        <v>2705</v>
      </c>
    </row>
    <row r="1247">
      <c r="A1247" s="1">
        <v>1246.0</v>
      </c>
      <c r="B1247" s="1" t="s">
        <v>2706</v>
      </c>
      <c r="C1247" s="1" t="s">
        <v>25</v>
      </c>
      <c r="K1247" s="1">
        <v>20.0</v>
      </c>
      <c r="N1247" s="5">
        <v>44374.0</v>
      </c>
      <c r="Q1247" s="1" t="s">
        <v>316</v>
      </c>
    </row>
    <row r="1248">
      <c r="A1248" s="1">
        <v>1247.0</v>
      </c>
      <c r="B1248" s="1" t="s">
        <v>2707</v>
      </c>
      <c r="C1248" s="1" t="s">
        <v>25</v>
      </c>
      <c r="K1248" s="1">
        <v>40.0</v>
      </c>
      <c r="N1248" s="5">
        <v>44280.0</v>
      </c>
      <c r="Q1248" s="1" t="s">
        <v>55</v>
      </c>
    </row>
    <row r="1249">
      <c r="A1249" s="1">
        <v>1248.0</v>
      </c>
      <c r="B1249" s="1" t="s">
        <v>2708</v>
      </c>
      <c r="C1249" s="1" t="s">
        <v>25</v>
      </c>
      <c r="N1249" s="5">
        <v>45549.0</v>
      </c>
      <c r="Q1249" s="1" t="s">
        <v>2709</v>
      </c>
    </row>
    <row r="1250">
      <c r="A1250" s="1">
        <v>1249.0</v>
      </c>
      <c r="B1250" s="1" t="s">
        <v>2710</v>
      </c>
      <c r="C1250" s="1" t="s">
        <v>25</v>
      </c>
      <c r="K1250" s="1">
        <v>80.0</v>
      </c>
      <c r="N1250" s="5">
        <v>44614.0</v>
      </c>
      <c r="Q1250" s="1" t="s">
        <v>322</v>
      </c>
    </row>
    <row r="1251">
      <c r="A1251" s="1">
        <v>1250.0</v>
      </c>
      <c r="B1251" s="1" t="s">
        <v>2711</v>
      </c>
      <c r="C1251" s="1" t="s">
        <v>25</v>
      </c>
      <c r="K1251" s="1">
        <v>40.0</v>
      </c>
      <c r="N1251" s="5">
        <v>44473.0</v>
      </c>
      <c r="Q1251" s="1" t="s">
        <v>2712</v>
      </c>
    </row>
    <row r="1252">
      <c r="A1252" s="1">
        <v>1251.0</v>
      </c>
      <c r="B1252" s="1" t="s">
        <v>2713</v>
      </c>
      <c r="C1252" s="1" t="s">
        <v>25</v>
      </c>
      <c r="K1252" s="1">
        <v>200.0</v>
      </c>
      <c r="N1252" s="5">
        <v>44210.0</v>
      </c>
      <c r="Q1252" s="1" t="s">
        <v>2714</v>
      </c>
    </row>
    <row r="1253">
      <c r="A1253" s="1">
        <v>1252.0</v>
      </c>
      <c r="B1253" s="1" t="s">
        <v>2715</v>
      </c>
      <c r="C1253" s="1" t="s">
        <v>25</v>
      </c>
      <c r="K1253" s="1">
        <v>200.0</v>
      </c>
      <c r="N1253" s="5">
        <v>44000.0</v>
      </c>
      <c r="Q1253" s="1" t="s">
        <v>2716</v>
      </c>
    </row>
    <row r="1254">
      <c r="A1254" s="1">
        <v>1253.0</v>
      </c>
      <c r="B1254" s="1" t="s">
        <v>2717</v>
      </c>
      <c r="C1254" s="1" t="s">
        <v>25</v>
      </c>
      <c r="N1254" s="5">
        <v>44895.0</v>
      </c>
      <c r="Q1254" s="1" t="s">
        <v>55</v>
      </c>
    </row>
    <row r="1255">
      <c r="A1255" s="1">
        <v>1254.0</v>
      </c>
      <c r="B1255" s="1" t="s">
        <v>2718</v>
      </c>
      <c r="C1255" s="1" t="s">
        <v>25</v>
      </c>
      <c r="K1255" s="1">
        <v>200.0</v>
      </c>
      <c r="N1255" s="5">
        <v>44657.0</v>
      </c>
      <c r="Q1255" s="1" t="s">
        <v>2469</v>
      </c>
    </row>
    <row r="1256">
      <c r="A1256" s="1">
        <v>1255.0</v>
      </c>
      <c r="B1256" s="1" t="s">
        <v>2719</v>
      </c>
      <c r="C1256" s="1" t="s">
        <v>25</v>
      </c>
      <c r="K1256" s="1">
        <v>100.0</v>
      </c>
      <c r="N1256" s="5">
        <v>44254.0</v>
      </c>
      <c r="Q1256" s="1" t="s">
        <v>2720</v>
      </c>
    </row>
    <row r="1257">
      <c r="A1257" s="1">
        <v>1256.0</v>
      </c>
      <c r="B1257" s="1" t="s">
        <v>2721</v>
      </c>
      <c r="C1257" s="1" t="s">
        <v>25</v>
      </c>
      <c r="N1257" s="5">
        <v>44315.0</v>
      </c>
      <c r="Q1257" s="1" t="s">
        <v>55</v>
      </c>
    </row>
    <row r="1258">
      <c r="A1258" s="1">
        <v>1257.0</v>
      </c>
      <c r="B1258" s="1" t="s">
        <v>2722</v>
      </c>
      <c r="C1258" s="1" t="s">
        <v>25</v>
      </c>
      <c r="N1258" s="5">
        <v>44381.0</v>
      </c>
      <c r="Q1258" s="1" t="s">
        <v>55</v>
      </c>
    </row>
    <row r="1259">
      <c r="A1259" s="1">
        <v>1258.0</v>
      </c>
      <c r="B1259" s="1" t="s">
        <v>133</v>
      </c>
      <c r="C1259" s="1" t="s">
        <v>25</v>
      </c>
      <c r="K1259" s="1">
        <v>10.0</v>
      </c>
      <c r="N1259" s="5">
        <v>44790.0</v>
      </c>
      <c r="Q1259" s="1" t="s">
        <v>134</v>
      </c>
    </row>
    <row r="1260">
      <c r="A1260" s="1">
        <v>1259.0</v>
      </c>
      <c r="B1260" s="1" t="s">
        <v>2723</v>
      </c>
      <c r="C1260" s="1" t="s">
        <v>25</v>
      </c>
      <c r="N1260" s="5">
        <v>45032.0</v>
      </c>
      <c r="Q1260" s="1" t="s">
        <v>2724</v>
      </c>
    </row>
    <row r="1261">
      <c r="A1261" s="1">
        <v>1260.0</v>
      </c>
      <c r="B1261" s="1" t="s">
        <v>2725</v>
      </c>
      <c r="C1261" s="1" t="s">
        <v>25</v>
      </c>
      <c r="K1261" s="1">
        <v>10.0</v>
      </c>
      <c r="N1261" s="5">
        <v>44724.0</v>
      </c>
      <c r="Q1261" s="1" t="s">
        <v>55</v>
      </c>
    </row>
    <row r="1262">
      <c r="A1262" s="1">
        <v>1261.0</v>
      </c>
      <c r="B1262" s="1" t="s">
        <v>2726</v>
      </c>
      <c r="C1262" s="1" t="s">
        <v>25</v>
      </c>
      <c r="N1262" s="5">
        <v>44042.0</v>
      </c>
      <c r="Q1262" s="1" t="s">
        <v>55</v>
      </c>
    </row>
    <row r="1263">
      <c r="A1263" s="1">
        <v>1262.0</v>
      </c>
      <c r="B1263" s="1" t="s">
        <v>2727</v>
      </c>
      <c r="C1263" s="1" t="s">
        <v>25</v>
      </c>
      <c r="K1263" s="1">
        <v>150.0</v>
      </c>
      <c r="N1263" s="5">
        <v>44132.0</v>
      </c>
      <c r="Q1263" s="1" t="s">
        <v>2728</v>
      </c>
    </row>
    <row r="1264">
      <c r="A1264" s="1">
        <v>1263.0</v>
      </c>
      <c r="B1264" s="1" t="s">
        <v>2729</v>
      </c>
      <c r="C1264" s="1" t="s">
        <v>25</v>
      </c>
      <c r="K1264" s="1">
        <v>10.0</v>
      </c>
      <c r="N1264" s="5">
        <v>44770.0</v>
      </c>
      <c r="Q1264" s="1" t="s">
        <v>2730</v>
      </c>
    </row>
    <row r="1265">
      <c r="A1265" s="1">
        <v>1264.0</v>
      </c>
      <c r="B1265" s="1" t="s">
        <v>2731</v>
      </c>
      <c r="C1265" s="1" t="s">
        <v>25</v>
      </c>
      <c r="K1265" s="1">
        <v>50.0</v>
      </c>
      <c r="N1265" s="5">
        <v>44009.0</v>
      </c>
      <c r="Q1265" s="1" t="s">
        <v>55</v>
      </c>
    </row>
    <row r="1266">
      <c r="A1266" s="1">
        <v>1265.0</v>
      </c>
      <c r="B1266" s="1" t="s">
        <v>2732</v>
      </c>
      <c r="C1266" s="1" t="s">
        <v>25</v>
      </c>
      <c r="K1266" s="1">
        <v>60.0</v>
      </c>
      <c r="N1266" s="5">
        <v>43846.0</v>
      </c>
      <c r="Q1266" s="1" t="s">
        <v>2733</v>
      </c>
    </row>
    <row r="1267">
      <c r="A1267" s="1">
        <v>1266.0</v>
      </c>
      <c r="B1267" s="1" t="s">
        <v>2734</v>
      </c>
      <c r="C1267" s="1" t="s">
        <v>25</v>
      </c>
      <c r="K1267" s="1">
        <v>20.0</v>
      </c>
      <c r="N1267" s="5">
        <v>44542.0</v>
      </c>
      <c r="Q1267" s="1" t="s">
        <v>55</v>
      </c>
    </row>
    <row r="1268">
      <c r="A1268" s="1">
        <v>1267.0</v>
      </c>
      <c r="B1268" s="1" t="s">
        <v>2735</v>
      </c>
      <c r="C1268" s="1" t="s">
        <v>25</v>
      </c>
      <c r="K1268" s="1">
        <v>200.0</v>
      </c>
      <c r="N1268" s="5">
        <v>43882.0</v>
      </c>
      <c r="Q1268" s="1" t="s">
        <v>2736</v>
      </c>
    </row>
    <row r="1269">
      <c r="A1269" s="1">
        <v>1268.0</v>
      </c>
      <c r="B1269" s="1" t="s">
        <v>2737</v>
      </c>
      <c r="C1269" s="1" t="s">
        <v>25</v>
      </c>
      <c r="K1269" s="1">
        <v>200.0</v>
      </c>
      <c r="N1269" s="5">
        <v>44493.0</v>
      </c>
      <c r="Q1269" s="1" t="s">
        <v>2738</v>
      </c>
    </row>
    <row r="1270">
      <c r="A1270" s="1">
        <v>1269.0</v>
      </c>
      <c r="B1270" s="1" t="s">
        <v>2739</v>
      </c>
      <c r="C1270" s="1" t="s">
        <v>25</v>
      </c>
      <c r="K1270" s="1">
        <v>60.0</v>
      </c>
      <c r="N1270" s="5">
        <v>45664.0</v>
      </c>
      <c r="Q1270" s="1" t="s">
        <v>2627</v>
      </c>
    </row>
    <row r="1271">
      <c r="A1271" s="1">
        <v>1270.0</v>
      </c>
      <c r="B1271" s="1" t="s">
        <v>2740</v>
      </c>
      <c r="C1271" s="1" t="s">
        <v>25</v>
      </c>
      <c r="K1271" s="1">
        <v>150.0</v>
      </c>
      <c r="N1271" s="5">
        <v>45752.0</v>
      </c>
      <c r="Q1271" s="1" t="s">
        <v>2741</v>
      </c>
    </row>
    <row r="1272">
      <c r="A1272" s="1">
        <v>1271.0</v>
      </c>
      <c r="B1272" s="1" t="s">
        <v>2742</v>
      </c>
      <c r="C1272" s="1" t="s">
        <v>25</v>
      </c>
      <c r="N1272" s="5">
        <v>43842.0</v>
      </c>
      <c r="Q1272" s="1" t="s">
        <v>55</v>
      </c>
    </row>
    <row r="1273">
      <c r="A1273" s="1">
        <v>1272.0</v>
      </c>
      <c r="B1273" s="1" t="s">
        <v>2743</v>
      </c>
      <c r="C1273" s="1" t="s">
        <v>25</v>
      </c>
      <c r="K1273" s="1">
        <v>100.0</v>
      </c>
      <c r="N1273" s="5">
        <v>45328.0</v>
      </c>
      <c r="Q1273" s="1" t="s">
        <v>2744</v>
      </c>
    </row>
    <row r="1274">
      <c r="A1274" s="1">
        <v>1273.0</v>
      </c>
      <c r="B1274" s="1" t="s">
        <v>2745</v>
      </c>
      <c r="C1274" s="1" t="s">
        <v>25</v>
      </c>
      <c r="K1274" s="1">
        <v>250.0</v>
      </c>
      <c r="N1274" s="5">
        <v>43843.0</v>
      </c>
      <c r="Q1274" s="1" t="s">
        <v>2746</v>
      </c>
    </row>
    <row r="1275">
      <c r="A1275" s="1">
        <v>1274.0</v>
      </c>
      <c r="B1275" s="1" t="s">
        <v>2747</v>
      </c>
      <c r="C1275" s="1" t="s">
        <v>25</v>
      </c>
      <c r="K1275" s="1">
        <v>30.0</v>
      </c>
      <c r="N1275" s="5">
        <v>44445.0</v>
      </c>
      <c r="Q1275" s="1" t="s">
        <v>2748</v>
      </c>
    </row>
    <row r="1276">
      <c r="A1276" s="1">
        <v>1275.0</v>
      </c>
      <c r="B1276" s="1" t="s">
        <v>2749</v>
      </c>
      <c r="C1276" s="1" t="s">
        <v>25</v>
      </c>
      <c r="K1276" s="1">
        <v>10.0</v>
      </c>
      <c r="N1276" s="5">
        <v>44759.0</v>
      </c>
      <c r="Q1276" s="1" t="s">
        <v>2750</v>
      </c>
    </row>
    <row r="1277">
      <c r="A1277" s="1">
        <v>1276.0</v>
      </c>
      <c r="B1277" s="1" t="s">
        <v>2751</v>
      </c>
      <c r="C1277" s="1" t="s">
        <v>25</v>
      </c>
      <c r="K1277" s="1">
        <v>30.0</v>
      </c>
      <c r="N1277" s="5">
        <v>44609.0</v>
      </c>
      <c r="Q1277" s="1" t="s">
        <v>569</v>
      </c>
    </row>
    <row r="1278">
      <c r="A1278" s="1">
        <v>1277.0</v>
      </c>
      <c r="B1278" s="1" t="s">
        <v>2752</v>
      </c>
      <c r="C1278" s="1" t="s">
        <v>25</v>
      </c>
      <c r="K1278" s="1">
        <v>100.0</v>
      </c>
      <c r="N1278" s="5">
        <v>44055.0</v>
      </c>
      <c r="Q1278" s="1" t="s">
        <v>2296</v>
      </c>
    </row>
    <row r="1279">
      <c r="A1279" s="1">
        <v>1278.0</v>
      </c>
      <c r="B1279" s="1" t="s">
        <v>2753</v>
      </c>
      <c r="C1279" s="1" t="s">
        <v>25</v>
      </c>
      <c r="K1279" s="1">
        <v>30.0</v>
      </c>
      <c r="N1279" s="5">
        <v>45021.0</v>
      </c>
      <c r="Q1279" s="1" t="s">
        <v>2754</v>
      </c>
    </row>
    <row r="1280">
      <c r="A1280" s="1">
        <v>1279.0</v>
      </c>
      <c r="B1280" s="1" t="s">
        <v>2755</v>
      </c>
      <c r="C1280" s="1" t="s">
        <v>25</v>
      </c>
      <c r="K1280" s="1">
        <v>20.0</v>
      </c>
      <c r="N1280" s="5">
        <v>43964.0</v>
      </c>
      <c r="Q1280" s="1" t="s">
        <v>55</v>
      </c>
    </row>
    <row r="1281">
      <c r="A1281" s="1">
        <v>1280.0</v>
      </c>
      <c r="B1281" s="1" t="s">
        <v>2756</v>
      </c>
      <c r="C1281" s="1" t="s">
        <v>25</v>
      </c>
      <c r="K1281" s="1">
        <v>150.0</v>
      </c>
      <c r="N1281" s="5">
        <v>44030.0</v>
      </c>
      <c r="Q1281" s="1" t="s">
        <v>2757</v>
      </c>
    </row>
    <row r="1282">
      <c r="A1282" s="1">
        <v>1281.0</v>
      </c>
      <c r="B1282" s="1" t="s">
        <v>2758</v>
      </c>
      <c r="C1282" s="1" t="s">
        <v>25</v>
      </c>
      <c r="N1282" s="5">
        <v>44167.0</v>
      </c>
      <c r="Q1282" s="1" t="s">
        <v>55</v>
      </c>
    </row>
    <row r="1283">
      <c r="A1283" s="1">
        <v>1282.0</v>
      </c>
      <c r="B1283" s="1" t="s">
        <v>2759</v>
      </c>
      <c r="C1283" s="1" t="s">
        <v>25</v>
      </c>
      <c r="K1283" s="1">
        <v>70.0</v>
      </c>
      <c r="N1283" s="5">
        <v>43965.0</v>
      </c>
      <c r="Q1283" s="1" t="s">
        <v>2760</v>
      </c>
    </row>
    <row r="1284">
      <c r="A1284" s="1">
        <v>1283.0</v>
      </c>
      <c r="B1284" s="1" t="s">
        <v>2761</v>
      </c>
      <c r="C1284" s="1" t="s">
        <v>25</v>
      </c>
      <c r="K1284" s="1">
        <v>200.0</v>
      </c>
      <c r="N1284" s="5">
        <v>44529.0</v>
      </c>
      <c r="Q1284" s="1" t="s">
        <v>1616</v>
      </c>
    </row>
    <row r="1285">
      <c r="A1285" s="1">
        <v>1284.0</v>
      </c>
      <c r="B1285" s="1" t="s">
        <v>2762</v>
      </c>
      <c r="C1285" s="1" t="s">
        <v>25</v>
      </c>
      <c r="K1285" s="1">
        <v>150.0</v>
      </c>
      <c r="N1285" s="5">
        <v>45456.0</v>
      </c>
      <c r="Q1285" s="1" t="s">
        <v>2763</v>
      </c>
    </row>
    <row r="1286">
      <c r="A1286" s="1">
        <v>1285.0</v>
      </c>
      <c r="B1286" s="1" t="s">
        <v>2764</v>
      </c>
      <c r="C1286" s="1" t="s">
        <v>25</v>
      </c>
      <c r="K1286" s="1">
        <v>40.0</v>
      </c>
      <c r="N1286" s="5">
        <v>45328.0</v>
      </c>
      <c r="Q1286" s="1" t="s">
        <v>826</v>
      </c>
    </row>
    <row r="1287">
      <c r="A1287" s="1">
        <v>1286.0</v>
      </c>
      <c r="B1287" s="1" t="s">
        <v>2765</v>
      </c>
      <c r="C1287" s="1" t="s">
        <v>25</v>
      </c>
      <c r="K1287" s="1">
        <v>20.0</v>
      </c>
      <c r="N1287" s="5">
        <v>44600.0</v>
      </c>
      <c r="Q1287" s="1" t="s">
        <v>55</v>
      </c>
    </row>
    <row r="1288">
      <c r="A1288" s="1">
        <v>1287.0</v>
      </c>
      <c r="B1288" s="1" t="s">
        <v>2766</v>
      </c>
      <c r="C1288" s="1" t="s">
        <v>25</v>
      </c>
      <c r="N1288" s="5">
        <v>44606.0</v>
      </c>
      <c r="Q1288" s="1" t="s">
        <v>55</v>
      </c>
    </row>
    <row r="1289">
      <c r="A1289" s="1">
        <v>1288.0</v>
      </c>
      <c r="B1289" s="1" t="s">
        <v>2767</v>
      </c>
      <c r="C1289" s="1" t="s">
        <v>25</v>
      </c>
      <c r="K1289" s="1">
        <v>150.0</v>
      </c>
      <c r="N1289" s="5">
        <v>43892.0</v>
      </c>
      <c r="Q1289" s="1" t="s">
        <v>55</v>
      </c>
    </row>
    <row r="1290">
      <c r="A1290" s="1">
        <v>1289.0</v>
      </c>
      <c r="B1290" s="1" t="s">
        <v>2768</v>
      </c>
      <c r="C1290" s="1" t="s">
        <v>25</v>
      </c>
      <c r="N1290" s="5">
        <v>44183.0</v>
      </c>
      <c r="Q1290" s="1" t="s">
        <v>55</v>
      </c>
    </row>
    <row r="1291">
      <c r="A1291" s="1">
        <v>1290.0</v>
      </c>
      <c r="B1291" s="1" t="s">
        <v>2769</v>
      </c>
      <c r="C1291" s="1" t="s">
        <v>25</v>
      </c>
      <c r="K1291" s="1">
        <v>150.0</v>
      </c>
      <c r="N1291" s="5">
        <v>44055.0</v>
      </c>
      <c r="Q1291" s="1" t="s">
        <v>2770</v>
      </c>
    </row>
    <row r="1292">
      <c r="A1292" s="1">
        <v>1291.0</v>
      </c>
      <c r="B1292" s="1" t="s">
        <v>2771</v>
      </c>
      <c r="C1292" s="1" t="s">
        <v>25</v>
      </c>
      <c r="K1292" s="1">
        <v>150.0</v>
      </c>
      <c r="N1292" s="5">
        <v>44528.0</v>
      </c>
      <c r="Q1292" s="1" t="s">
        <v>2772</v>
      </c>
    </row>
    <row r="1293">
      <c r="A1293" s="1">
        <v>1292.0</v>
      </c>
      <c r="B1293" s="1" t="s">
        <v>2773</v>
      </c>
      <c r="C1293" s="1" t="s">
        <v>25</v>
      </c>
      <c r="K1293" s="1">
        <v>40.0</v>
      </c>
      <c r="N1293" s="5">
        <v>44480.0</v>
      </c>
      <c r="Q1293" s="1" t="s">
        <v>2774</v>
      </c>
    </row>
    <row r="1294">
      <c r="A1294" s="1">
        <v>1293.0</v>
      </c>
      <c r="B1294" s="1" t="s">
        <v>2775</v>
      </c>
      <c r="C1294" s="1" t="s">
        <v>25</v>
      </c>
      <c r="K1294" s="1">
        <v>40.0</v>
      </c>
      <c r="N1294" s="5">
        <v>44310.0</v>
      </c>
      <c r="Q1294" s="1" t="s">
        <v>55</v>
      </c>
    </row>
    <row r="1295">
      <c r="A1295" s="1">
        <v>1294.0</v>
      </c>
      <c r="B1295" s="1" t="s">
        <v>2776</v>
      </c>
      <c r="C1295" s="1" t="s">
        <v>25</v>
      </c>
      <c r="N1295" s="5">
        <v>43843.0</v>
      </c>
      <c r="Q1295" s="1" t="s">
        <v>55</v>
      </c>
    </row>
    <row r="1296">
      <c r="A1296" s="1">
        <v>1295.0</v>
      </c>
      <c r="B1296" s="1" t="s">
        <v>2777</v>
      </c>
      <c r="C1296" s="1" t="s">
        <v>25</v>
      </c>
      <c r="N1296" s="5">
        <v>44359.0</v>
      </c>
      <c r="Q1296" s="1" t="s">
        <v>55</v>
      </c>
    </row>
    <row r="1297">
      <c r="A1297" s="1">
        <v>1296.0</v>
      </c>
      <c r="B1297" s="1" t="s">
        <v>136</v>
      </c>
      <c r="C1297" s="1" t="s">
        <v>25</v>
      </c>
      <c r="K1297" s="1">
        <v>70.0</v>
      </c>
      <c r="N1297" s="5">
        <v>43976.0</v>
      </c>
      <c r="Q1297" s="1" t="s">
        <v>140</v>
      </c>
    </row>
    <row r="1298">
      <c r="A1298" s="1">
        <v>1297.0</v>
      </c>
      <c r="B1298" s="1" t="s">
        <v>2778</v>
      </c>
      <c r="C1298" s="1" t="s">
        <v>25</v>
      </c>
      <c r="K1298" s="1">
        <v>70.0</v>
      </c>
      <c r="N1298" s="5">
        <v>45183.0</v>
      </c>
      <c r="Q1298" s="1" t="s">
        <v>2779</v>
      </c>
    </row>
    <row r="1299">
      <c r="A1299" s="1">
        <v>1298.0</v>
      </c>
      <c r="B1299" s="1" t="s">
        <v>221</v>
      </c>
      <c r="C1299" s="1" t="s">
        <v>25</v>
      </c>
      <c r="K1299" s="1">
        <v>150.0</v>
      </c>
      <c r="N1299" s="5">
        <v>44074.0</v>
      </c>
      <c r="Q1299" s="1" t="s">
        <v>224</v>
      </c>
    </row>
    <row r="1300">
      <c r="A1300" s="1">
        <v>1299.0</v>
      </c>
      <c r="B1300" s="1" t="s">
        <v>2780</v>
      </c>
      <c r="C1300" s="1" t="s">
        <v>25</v>
      </c>
      <c r="K1300" s="1">
        <v>50.0</v>
      </c>
      <c r="N1300" s="5">
        <v>44755.0</v>
      </c>
      <c r="Q1300" s="1" t="s">
        <v>2781</v>
      </c>
    </row>
    <row r="1301">
      <c r="A1301" s="1">
        <v>1300.0</v>
      </c>
      <c r="B1301" s="1" t="s">
        <v>2782</v>
      </c>
      <c r="C1301" s="1" t="s">
        <v>25</v>
      </c>
      <c r="K1301" s="1">
        <v>60.0</v>
      </c>
      <c r="N1301" s="5">
        <v>45762.0</v>
      </c>
      <c r="Q1301" s="1" t="s">
        <v>2783</v>
      </c>
    </row>
    <row r="1302">
      <c r="A1302" s="1">
        <v>1301.0</v>
      </c>
      <c r="B1302" s="1" t="s">
        <v>2784</v>
      </c>
      <c r="C1302" s="1" t="s">
        <v>25</v>
      </c>
      <c r="K1302" s="1">
        <v>10.0</v>
      </c>
      <c r="N1302" s="5">
        <v>44669.0</v>
      </c>
      <c r="Q1302" s="1" t="s">
        <v>1218</v>
      </c>
    </row>
    <row r="1303">
      <c r="A1303" s="1">
        <v>1302.0</v>
      </c>
      <c r="B1303" s="1" t="s">
        <v>2785</v>
      </c>
      <c r="C1303" s="1" t="s">
        <v>25</v>
      </c>
      <c r="K1303" s="1">
        <v>300.0</v>
      </c>
      <c r="N1303" s="5">
        <v>45781.0</v>
      </c>
      <c r="Q1303" s="1" t="s">
        <v>2786</v>
      </c>
    </row>
    <row r="1304">
      <c r="A1304" s="1">
        <v>1303.0</v>
      </c>
      <c r="B1304" s="1" t="s">
        <v>2787</v>
      </c>
      <c r="C1304" s="1" t="s">
        <v>25</v>
      </c>
      <c r="N1304" s="5">
        <v>43931.0</v>
      </c>
      <c r="Q1304" s="1" t="s">
        <v>55</v>
      </c>
    </row>
    <row r="1305">
      <c r="A1305" s="1">
        <v>1304.0</v>
      </c>
      <c r="B1305" s="1" t="s">
        <v>2788</v>
      </c>
      <c r="C1305" s="1" t="s">
        <v>25</v>
      </c>
      <c r="N1305" s="5">
        <v>44184.0</v>
      </c>
      <c r="Q1305" s="1" t="s">
        <v>55</v>
      </c>
    </row>
    <row r="1306">
      <c r="A1306" s="1">
        <v>1305.0</v>
      </c>
      <c r="B1306" s="1" t="s">
        <v>2789</v>
      </c>
      <c r="C1306" s="1" t="s">
        <v>25</v>
      </c>
      <c r="K1306" s="1">
        <v>150.0</v>
      </c>
      <c r="N1306" s="5">
        <v>43893.0</v>
      </c>
      <c r="Q1306" s="1" t="s">
        <v>2790</v>
      </c>
    </row>
    <row r="1307">
      <c r="A1307" s="1">
        <v>1306.0</v>
      </c>
      <c r="B1307" s="1" t="s">
        <v>2791</v>
      </c>
      <c r="C1307" s="1" t="s">
        <v>25</v>
      </c>
      <c r="K1307" s="1">
        <v>150.0</v>
      </c>
      <c r="N1307" s="5">
        <v>44194.0</v>
      </c>
      <c r="Q1307" s="1" t="s">
        <v>2792</v>
      </c>
    </row>
    <row r="1308">
      <c r="A1308" s="1">
        <v>1307.0</v>
      </c>
      <c r="B1308" s="1" t="s">
        <v>2793</v>
      </c>
      <c r="C1308" s="1" t="s">
        <v>25</v>
      </c>
      <c r="K1308" s="1">
        <v>40.0</v>
      </c>
      <c r="N1308" s="5">
        <v>44830.0</v>
      </c>
      <c r="Q1308" s="1" t="s">
        <v>2794</v>
      </c>
    </row>
    <row r="1309">
      <c r="A1309" s="1">
        <v>1308.0</v>
      </c>
      <c r="B1309" s="1" t="s">
        <v>2795</v>
      </c>
      <c r="C1309" s="1" t="s">
        <v>25</v>
      </c>
      <c r="N1309" s="5">
        <v>44012.0</v>
      </c>
      <c r="Q1309" s="1" t="s">
        <v>55</v>
      </c>
    </row>
    <row r="1310">
      <c r="A1310" s="1">
        <v>1309.0</v>
      </c>
      <c r="B1310" s="1" t="s">
        <v>2796</v>
      </c>
      <c r="C1310" s="1" t="s">
        <v>25</v>
      </c>
      <c r="N1310" s="5">
        <v>44283.0</v>
      </c>
      <c r="Q1310" s="1" t="s">
        <v>55</v>
      </c>
    </row>
    <row r="1311">
      <c r="A1311" s="1">
        <v>1310.0</v>
      </c>
      <c r="B1311" s="1" t="s">
        <v>2797</v>
      </c>
      <c r="C1311" s="1" t="s">
        <v>25</v>
      </c>
      <c r="K1311" s="1">
        <v>100.0</v>
      </c>
      <c r="N1311" s="5">
        <v>45472.0</v>
      </c>
      <c r="Q1311" s="1" t="s">
        <v>2798</v>
      </c>
    </row>
    <row r="1312">
      <c r="A1312" s="1">
        <v>1311.0</v>
      </c>
      <c r="B1312" s="1" t="s">
        <v>2799</v>
      </c>
      <c r="C1312" s="1" t="s">
        <v>25</v>
      </c>
      <c r="K1312" s="1">
        <v>100.0</v>
      </c>
      <c r="N1312" s="5">
        <v>46012.0</v>
      </c>
      <c r="Q1312" s="1" t="s">
        <v>2800</v>
      </c>
    </row>
    <row r="1313">
      <c r="A1313" s="1">
        <v>1312.0</v>
      </c>
      <c r="B1313" s="1" t="s">
        <v>2801</v>
      </c>
      <c r="C1313" s="1" t="s">
        <v>25</v>
      </c>
      <c r="K1313" s="1">
        <v>150.0</v>
      </c>
      <c r="N1313" s="5">
        <v>44203.0</v>
      </c>
      <c r="Q1313" s="1" t="s">
        <v>2802</v>
      </c>
    </row>
    <row r="1314">
      <c r="A1314" s="1">
        <v>1313.0</v>
      </c>
      <c r="B1314" s="1" t="s">
        <v>2803</v>
      </c>
      <c r="C1314" s="1" t="s">
        <v>25</v>
      </c>
      <c r="K1314" s="1">
        <v>10.0</v>
      </c>
      <c r="N1314" s="5">
        <v>44575.0</v>
      </c>
      <c r="Q1314" s="1" t="s">
        <v>55</v>
      </c>
    </row>
    <row r="1315">
      <c r="A1315" s="1">
        <v>1314.0</v>
      </c>
      <c r="B1315" s="1" t="s">
        <v>2804</v>
      </c>
      <c r="C1315" s="1" t="s">
        <v>25</v>
      </c>
      <c r="K1315" s="1">
        <v>30.0</v>
      </c>
      <c r="N1315" s="5">
        <v>44126.0</v>
      </c>
      <c r="Q1315" s="1" t="s">
        <v>2805</v>
      </c>
    </row>
    <row r="1316">
      <c r="A1316" s="1">
        <v>1315.0</v>
      </c>
      <c r="B1316" s="1" t="s">
        <v>2806</v>
      </c>
      <c r="C1316" s="1" t="s">
        <v>25</v>
      </c>
      <c r="K1316" s="1">
        <v>90.0</v>
      </c>
      <c r="N1316" s="5">
        <v>44895.0</v>
      </c>
      <c r="Q1316" s="1" t="s">
        <v>2469</v>
      </c>
    </row>
    <row r="1317">
      <c r="A1317" s="1">
        <v>1316.0</v>
      </c>
      <c r="B1317" s="1" t="s">
        <v>2807</v>
      </c>
      <c r="C1317" s="1" t="s">
        <v>25</v>
      </c>
      <c r="K1317" s="1">
        <v>150.0</v>
      </c>
      <c r="N1317" s="5">
        <v>45205.0</v>
      </c>
      <c r="Q1317" s="1" t="s">
        <v>2808</v>
      </c>
    </row>
    <row r="1318">
      <c r="A1318" s="1">
        <v>1317.0</v>
      </c>
      <c r="B1318" s="1" t="s">
        <v>2809</v>
      </c>
      <c r="C1318" s="1" t="s">
        <v>25</v>
      </c>
      <c r="K1318" s="1">
        <v>150.0</v>
      </c>
      <c r="N1318" s="5">
        <v>44173.0</v>
      </c>
      <c r="Q1318" s="1" t="s">
        <v>2810</v>
      </c>
    </row>
    <row r="1319">
      <c r="A1319" s="1">
        <v>1318.0</v>
      </c>
      <c r="B1319" s="1" t="s">
        <v>2811</v>
      </c>
      <c r="C1319" s="1" t="s">
        <v>25</v>
      </c>
      <c r="K1319" s="1">
        <v>20.0</v>
      </c>
      <c r="N1319" s="5">
        <v>44382.0</v>
      </c>
      <c r="Q1319" s="1" t="s">
        <v>55</v>
      </c>
    </row>
    <row r="1320">
      <c r="A1320" s="1">
        <v>1319.0</v>
      </c>
      <c r="B1320" s="1" t="s">
        <v>2812</v>
      </c>
      <c r="C1320" s="1" t="s">
        <v>25</v>
      </c>
      <c r="K1320" s="1">
        <v>50.0</v>
      </c>
      <c r="N1320" s="5">
        <v>44421.0</v>
      </c>
      <c r="Q1320" s="1" t="s">
        <v>1187</v>
      </c>
    </row>
    <row r="1321">
      <c r="A1321" s="1">
        <v>1320.0</v>
      </c>
      <c r="B1321" s="1" t="s">
        <v>2813</v>
      </c>
      <c r="C1321" s="1" t="s">
        <v>25</v>
      </c>
      <c r="N1321" s="5">
        <v>44036.0</v>
      </c>
      <c r="Q1321" s="1" t="s">
        <v>55</v>
      </c>
    </row>
    <row r="1322">
      <c r="A1322" s="1">
        <v>1321.0</v>
      </c>
      <c r="B1322" s="1" t="s">
        <v>2814</v>
      </c>
      <c r="C1322" s="1" t="s">
        <v>25</v>
      </c>
      <c r="K1322" s="1">
        <v>10.0</v>
      </c>
      <c r="N1322" s="5">
        <v>44574.0</v>
      </c>
      <c r="Q1322" s="1" t="s">
        <v>55</v>
      </c>
    </row>
    <row r="1323">
      <c r="A1323" s="1">
        <v>1322.0</v>
      </c>
      <c r="B1323" s="1" t="s">
        <v>2815</v>
      </c>
      <c r="C1323" s="1" t="s">
        <v>25</v>
      </c>
      <c r="K1323" s="1">
        <v>60.0</v>
      </c>
      <c r="N1323" s="5">
        <v>45638.0</v>
      </c>
      <c r="Q1323" s="1" t="s">
        <v>920</v>
      </c>
    </row>
    <row r="1324">
      <c r="A1324" s="1">
        <v>1323.0</v>
      </c>
      <c r="B1324" s="1" t="s">
        <v>2816</v>
      </c>
      <c r="C1324" s="1" t="s">
        <v>25</v>
      </c>
      <c r="K1324" s="1">
        <v>20.0</v>
      </c>
      <c r="N1324" s="5">
        <v>43946.0</v>
      </c>
      <c r="Q1324" s="1" t="s">
        <v>2817</v>
      </c>
    </row>
    <row r="1325">
      <c r="A1325" s="1">
        <v>1324.0</v>
      </c>
      <c r="B1325" s="1" t="s">
        <v>2818</v>
      </c>
      <c r="C1325" s="1" t="s">
        <v>25</v>
      </c>
      <c r="K1325" s="1">
        <v>150.0</v>
      </c>
      <c r="N1325" s="5">
        <v>44743.0</v>
      </c>
      <c r="Q1325" s="1" t="s">
        <v>1387</v>
      </c>
    </row>
    <row r="1326">
      <c r="A1326" s="1">
        <v>1325.0</v>
      </c>
      <c r="B1326" s="1" t="s">
        <v>2819</v>
      </c>
      <c r="C1326" s="1" t="s">
        <v>25</v>
      </c>
      <c r="K1326" s="1">
        <v>100.0</v>
      </c>
      <c r="N1326" s="5">
        <v>44368.0</v>
      </c>
      <c r="Q1326" s="1" t="s">
        <v>55</v>
      </c>
    </row>
    <row r="1327">
      <c r="A1327" s="1">
        <v>1326.0</v>
      </c>
      <c r="B1327" s="1" t="s">
        <v>2820</v>
      </c>
      <c r="C1327" s="1" t="s">
        <v>25</v>
      </c>
      <c r="K1327" s="1">
        <v>90.0</v>
      </c>
      <c r="N1327" s="5">
        <v>44017.0</v>
      </c>
      <c r="Q1327" s="1" t="s">
        <v>2821</v>
      </c>
    </row>
    <row r="1328">
      <c r="A1328" s="1">
        <v>1327.0</v>
      </c>
      <c r="B1328" s="1" t="s">
        <v>225</v>
      </c>
      <c r="C1328" s="1" t="s">
        <v>25</v>
      </c>
      <c r="K1328" s="1">
        <v>150.0</v>
      </c>
      <c r="N1328" s="5">
        <v>44166.0</v>
      </c>
      <c r="Q1328" s="1" t="s">
        <v>230</v>
      </c>
    </row>
    <row r="1329">
      <c r="A1329" s="1">
        <v>1328.0</v>
      </c>
      <c r="B1329" s="1" t="s">
        <v>2822</v>
      </c>
      <c r="C1329" s="1" t="s">
        <v>25</v>
      </c>
      <c r="N1329" s="5">
        <v>43919.0</v>
      </c>
      <c r="Q1329" s="1" t="s">
        <v>55</v>
      </c>
    </row>
    <row r="1330">
      <c r="A1330" s="1">
        <v>1329.0</v>
      </c>
      <c r="B1330" s="1" t="s">
        <v>2823</v>
      </c>
      <c r="C1330" s="1" t="s">
        <v>25</v>
      </c>
      <c r="N1330" s="5">
        <v>44055.0</v>
      </c>
      <c r="Q1330" s="1" t="s">
        <v>55</v>
      </c>
    </row>
    <row r="1331">
      <c r="A1331" s="1">
        <v>1330.0</v>
      </c>
      <c r="B1331" s="1" t="s">
        <v>2824</v>
      </c>
      <c r="C1331" s="1" t="s">
        <v>25</v>
      </c>
      <c r="K1331" s="1">
        <v>10.0</v>
      </c>
      <c r="N1331" s="5">
        <v>44611.0</v>
      </c>
      <c r="Q1331" s="1" t="s">
        <v>55</v>
      </c>
    </row>
    <row r="1332">
      <c r="A1332" s="1">
        <v>1331.0</v>
      </c>
      <c r="B1332" s="1" t="s">
        <v>2825</v>
      </c>
      <c r="C1332" s="1" t="s">
        <v>25</v>
      </c>
      <c r="K1332" s="1">
        <v>20.0</v>
      </c>
      <c r="N1332" s="5">
        <v>44305.0</v>
      </c>
      <c r="Q1332" s="1" t="s">
        <v>2826</v>
      </c>
    </row>
    <row r="1333">
      <c r="A1333" s="1">
        <v>1332.0</v>
      </c>
      <c r="B1333" s="1" t="s">
        <v>2827</v>
      </c>
      <c r="C1333" s="1" t="s">
        <v>25</v>
      </c>
      <c r="K1333" s="1">
        <v>30.0</v>
      </c>
      <c r="N1333" s="5">
        <v>45682.0</v>
      </c>
      <c r="Q1333" s="1" t="s">
        <v>2828</v>
      </c>
    </row>
    <row r="1334">
      <c r="A1334" s="1">
        <v>1333.0</v>
      </c>
      <c r="B1334" s="1" t="s">
        <v>2829</v>
      </c>
      <c r="C1334" s="1" t="s">
        <v>25</v>
      </c>
      <c r="N1334" s="5">
        <v>45252.0</v>
      </c>
      <c r="Q1334" s="1" t="s">
        <v>55</v>
      </c>
    </row>
    <row r="1335">
      <c r="A1335" s="1">
        <v>1334.0</v>
      </c>
      <c r="B1335" s="1" t="s">
        <v>2830</v>
      </c>
      <c r="C1335" s="1" t="s">
        <v>25</v>
      </c>
      <c r="N1335" s="5">
        <v>44173.0</v>
      </c>
      <c r="Q1335" s="1" t="s">
        <v>55</v>
      </c>
    </row>
    <row r="1336">
      <c r="A1336" s="1">
        <v>1335.0</v>
      </c>
      <c r="B1336" s="1" t="s">
        <v>2831</v>
      </c>
      <c r="C1336" s="1" t="s">
        <v>25</v>
      </c>
      <c r="K1336" s="1">
        <v>90.0</v>
      </c>
      <c r="N1336" s="5">
        <v>44423.0</v>
      </c>
      <c r="Q1336" s="1" t="s">
        <v>125</v>
      </c>
    </row>
    <row r="1337">
      <c r="A1337" s="1">
        <v>1336.0</v>
      </c>
      <c r="B1337" s="1" t="s">
        <v>2832</v>
      </c>
      <c r="C1337" s="1" t="s">
        <v>25</v>
      </c>
      <c r="K1337" s="1">
        <v>200.0</v>
      </c>
      <c r="N1337" s="5">
        <v>44073.0</v>
      </c>
      <c r="Q1337" s="1" t="s">
        <v>2833</v>
      </c>
    </row>
    <row r="1338">
      <c r="A1338" s="1">
        <v>1337.0</v>
      </c>
      <c r="B1338" s="1" t="s">
        <v>2834</v>
      </c>
      <c r="C1338" s="1" t="s">
        <v>25</v>
      </c>
      <c r="N1338" s="5">
        <v>44169.0</v>
      </c>
      <c r="Q1338" s="1" t="s">
        <v>55</v>
      </c>
    </row>
    <row r="1339">
      <c r="A1339" s="1">
        <v>1338.0</v>
      </c>
      <c r="B1339" s="1" t="s">
        <v>2835</v>
      </c>
      <c r="C1339" s="1" t="s">
        <v>25</v>
      </c>
      <c r="K1339" s="1">
        <v>90.0</v>
      </c>
      <c r="N1339" s="5">
        <v>44242.0</v>
      </c>
      <c r="Q1339" s="1" t="s">
        <v>1387</v>
      </c>
    </row>
    <row r="1340">
      <c r="A1340" s="1">
        <v>1339.0</v>
      </c>
      <c r="B1340" s="1" t="s">
        <v>2836</v>
      </c>
      <c r="C1340" s="1" t="s">
        <v>25</v>
      </c>
      <c r="K1340" s="1">
        <v>10.0</v>
      </c>
      <c r="N1340" s="5">
        <v>45343.0</v>
      </c>
      <c r="Q1340" s="1" t="s">
        <v>55</v>
      </c>
    </row>
    <row r="1341">
      <c r="A1341" s="1">
        <v>1340.0</v>
      </c>
      <c r="B1341" s="1" t="s">
        <v>2837</v>
      </c>
      <c r="C1341" s="1" t="s">
        <v>25</v>
      </c>
      <c r="K1341" s="1">
        <v>70.0</v>
      </c>
      <c r="N1341" s="5">
        <v>44417.0</v>
      </c>
      <c r="Q1341" s="1" t="s">
        <v>2838</v>
      </c>
    </row>
    <row r="1342">
      <c r="A1342" s="1">
        <v>1341.0</v>
      </c>
      <c r="B1342" s="1" t="s">
        <v>2839</v>
      </c>
      <c r="C1342" s="1" t="s">
        <v>25</v>
      </c>
      <c r="K1342" s="1">
        <v>40.0</v>
      </c>
      <c r="N1342" s="5">
        <v>45597.0</v>
      </c>
      <c r="Q1342" s="1" t="s">
        <v>2840</v>
      </c>
    </row>
    <row r="1343">
      <c r="A1343" s="1">
        <v>1342.0</v>
      </c>
      <c r="B1343" s="1" t="s">
        <v>2841</v>
      </c>
      <c r="C1343" s="1" t="s">
        <v>25</v>
      </c>
      <c r="K1343" s="1">
        <v>60.0</v>
      </c>
      <c r="N1343" s="5">
        <v>45735.0</v>
      </c>
      <c r="Q1343" s="1" t="s">
        <v>2842</v>
      </c>
    </row>
    <row r="1344">
      <c r="A1344" s="1">
        <v>1343.0</v>
      </c>
      <c r="B1344" s="1" t="s">
        <v>2843</v>
      </c>
      <c r="C1344" s="1" t="s">
        <v>25</v>
      </c>
      <c r="K1344" s="1">
        <v>10.0</v>
      </c>
      <c r="N1344" s="5">
        <v>45228.0</v>
      </c>
      <c r="Q1344" s="1" t="s">
        <v>55</v>
      </c>
    </row>
    <row r="1345">
      <c r="A1345" s="1">
        <v>1344.0</v>
      </c>
      <c r="B1345" s="1" t="s">
        <v>2844</v>
      </c>
      <c r="C1345" s="1" t="s">
        <v>25</v>
      </c>
      <c r="K1345" s="1">
        <v>50.0</v>
      </c>
      <c r="N1345" s="5">
        <v>45749.0</v>
      </c>
      <c r="Q1345" s="1" t="s">
        <v>2845</v>
      </c>
    </row>
    <row r="1346">
      <c r="A1346" s="1">
        <v>1345.0</v>
      </c>
      <c r="B1346" s="1" t="s">
        <v>2846</v>
      </c>
      <c r="C1346" s="1" t="s">
        <v>25</v>
      </c>
      <c r="N1346" s="5">
        <v>44725.0</v>
      </c>
      <c r="Q1346" s="1" t="s">
        <v>55</v>
      </c>
    </row>
    <row r="1347">
      <c r="A1347" s="1">
        <v>1346.0</v>
      </c>
      <c r="B1347" s="1" t="s">
        <v>2847</v>
      </c>
      <c r="C1347" s="1" t="s">
        <v>25</v>
      </c>
      <c r="K1347" s="1">
        <v>90.0</v>
      </c>
      <c r="N1347" s="5">
        <v>44287.0</v>
      </c>
      <c r="Q1347" s="1" t="s">
        <v>2848</v>
      </c>
    </row>
    <row r="1348">
      <c r="A1348" s="1">
        <v>1347.0</v>
      </c>
      <c r="B1348" s="1" t="s">
        <v>2849</v>
      </c>
      <c r="C1348" s="1" t="s">
        <v>25</v>
      </c>
      <c r="K1348" s="1">
        <v>80.0</v>
      </c>
      <c r="N1348" s="5">
        <v>43898.0</v>
      </c>
      <c r="Q1348" s="1" t="s">
        <v>2850</v>
      </c>
    </row>
    <row r="1349">
      <c r="A1349" s="1">
        <v>1348.0</v>
      </c>
      <c r="B1349" s="1" t="s">
        <v>2851</v>
      </c>
      <c r="C1349" s="1" t="s">
        <v>25</v>
      </c>
      <c r="K1349" s="1">
        <v>50.0</v>
      </c>
      <c r="N1349" s="5">
        <v>45290.0</v>
      </c>
      <c r="Q1349" s="1" t="s">
        <v>2852</v>
      </c>
    </row>
    <row r="1350">
      <c r="A1350" s="1">
        <v>1349.0</v>
      </c>
      <c r="B1350" s="1" t="s">
        <v>2853</v>
      </c>
      <c r="C1350" s="1" t="s">
        <v>25</v>
      </c>
      <c r="K1350" s="1">
        <v>100.0</v>
      </c>
      <c r="N1350" s="5">
        <v>44447.0</v>
      </c>
      <c r="Q1350" s="1" t="s">
        <v>1726</v>
      </c>
    </row>
    <row r="1351">
      <c r="A1351" s="1">
        <v>1350.0</v>
      </c>
      <c r="B1351" s="1" t="s">
        <v>2854</v>
      </c>
      <c r="C1351" s="1" t="s">
        <v>25</v>
      </c>
      <c r="N1351" s="5">
        <v>46103.0</v>
      </c>
      <c r="Q1351" s="1" t="s">
        <v>2855</v>
      </c>
    </row>
    <row r="1352">
      <c r="A1352" s="1">
        <v>1351.0</v>
      </c>
      <c r="B1352" s="1" t="s">
        <v>2856</v>
      </c>
      <c r="C1352" s="1" t="s">
        <v>25</v>
      </c>
      <c r="N1352" s="5">
        <v>44696.0</v>
      </c>
      <c r="Q1352" s="1" t="s">
        <v>55</v>
      </c>
    </row>
    <row r="1353">
      <c r="A1353" s="1">
        <v>1352.0</v>
      </c>
      <c r="B1353" s="1" t="s">
        <v>2857</v>
      </c>
      <c r="C1353" s="1" t="s">
        <v>25</v>
      </c>
      <c r="K1353" s="1">
        <v>90.0</v>
      </c>
      <c r="N1353" s="5">
        <v>45760.0</v>
      </c>
      <c r="Q1353" s="1" t="s">
        <v>2845</v>
      </c>
    </row>
    <row r="1354">
      <c r="A1354" s="1">
        <v>1353.0</v>
      </c>
      <c r="B1354" s="1" t="s">
        <v>2858</v>
      </c>
      <c r="C1354" s="1" t="s">
        <v>25</v>
      </c>
      <c r="K1354" s="1">
        <v>80.0</v>
      </c>
      <c r="N1354" s="5">
        <v>44647.0</v>
      </c>
      <c r="Q1354" s="1" t="s">
        <v>1218</v>
      </c>
    </row>
    <row r="1355">
      <c r="A1355" s="1">
        <v>1354.0</v>
      </c>
      <c r="B1355" s="1" t="s">
        <v>2859</v>
      </c>
      <c r="C1355" s="1" t="s">
        <v>25</v>
      </c>
      <c r="K1355" s="1">
        <v>150.0</v>
      </c>
      <c r="N1355" s="5">
        <v>44005.0</v>
      </c>
      <c r="Q1355" s="1" t="s">
        <v>2860</v>
      </c>
    </row>
    <row r="1356">
      <c r="A1356" s="1">
        <v>1355.0</v>
      </c>
      <c r="B1356" s="1" t="s">
        <v>2861</v>
      </c>
      <c r="C1356" s="1" t="s">
        <v>25</v>
      </c>
      <c r="K1356" s="1">
        <v>200.0</v>
      </c>
      <c r="N1356" s="5">
        <v>44041.0</v>
      </c>
      <c r="Q1356" s="1" t="s">
        <v>2862</v>
      </c>
    </row>
    <row r="1357">
      <c r="A1357" s="1">
        <v>1356.0</v>
      </c>
      <c r="B1357" s="1" t="s">
        <v>2863</v>
      </c>
      <c r="C1357" s="1" t="s">
        <v>25</v>
      </c>
      <c r="K1357" s="1">
        <v>30.0</v>
      </c>
      <c r="N1357" s="5">
        <v>45652.0</v>
      </c>
      <c r="Q1357" s="1" t="s">
        <v>2864</v>
      </c>
    </row>
    <row r="1358">
      <c r="A1358" s="1">
        <v>1357.0</v>
      </c>
      <c r="B1358" s="1" t="s">
        <v>2865</v>
      </c>
      <c r="C1358" s="1" t="s">
        <v>25</v>
      </c>
      <c r="K1358" s="1">
        <v>40.0</v>
      </c>
      <c r="N1358" s="5">
        <v>44831.0</v>
      </c>
      <c r="Q1358" s="1" t="s">
        <v>1312</v>
      </c>
    </row>
    <row r="1359">
      <c r="A1359" s="1">
        <v>1358.0</v>
      </c>
      <c r="B1359" s="1" t="s">
        <v>2866</v>
      </c>
      <c r="C1359" s="1" t="s">
        <v>25</v>
      </c>
      <c r="K1359" s="1">
        <v>250.0</v>
      </c>
      <c r="N1359" s="5">
        <v>44321.0</v>
      </c>
      <c r="Q1359" s="1" t="s">
        <v>2867</v>
      </c>
    </row>
    <row r="1360">
      <c r="A1360" s="1">
        <v>1359.0</v>
      </c>
      <c r="B1360" s="1" t="s">
        <v>2868</v>
      </c>
      <c r="C1360" s="1" t="s">
        <v>25</v>
      </c>
      <c r="K1360" s="1">
        <v>100.0</v>
      </c>
      <c r="N1360" s="5">
        <v>44264.0</v>
      </c>
      <c r="Q1360" s="1" t="s">
        <v>569</v>
      </c>
    </row>
    <row r="1361">
      <c r="A1361" s="1">
        <v>1360.0</v>
      </c>
      <c r="B1361" s="1" t="s">
        <v>2869</v>
      </c>
      <c r="C1361" s="1" t="s">
        <v>25</v>
      </c>
      <c r="N1361" s="5">
        <v>44733.0</v>
      </c>
      <c r="Q1361" s="1" t="s">
        <v>55</v>
      </c>
    </row>
    <row r="1362">
      <c r="A1362" s="1">
        <v>1361.0</v>
      </c>
      <c r="B1362" s="1" t="s">
        <v>2870</v>
      </c>
      <c r="C1362" s="1" t="s">
        <v>25</v>
      </c>
      <c r="N1362" s="5">
        <v>45684.0</v>
      </c>
      <c r="Q1362" s="1" t="s">
        <v>2871</v>
      </c>
    </row>
    <row r="1363">
      <c r="A1363" s="1">
        <v>1362.0</v>
      </c>
      <c r="B1363" s="1" t="s">
        <v>2872</v>
      </c>
      <c r="C1363" s="1" t="s">
        <v>25</v>
      </c>
      <c r="K1363" s="1">
        <v>90.0</v>
      </c>
      <c r="N1363" s="5">
        <v>43844.0</v>
      </c>
      <c r="Q1363" s="1" t="s">
        <v>569</v>
      </c>
    </row>
    <row r="1364">
      <c r="A1364" s="1">
        <v>1363.0</v>
      </c>
      <c r="B1364" s="1" t="s">
        <v>2873</v>
      </c>
      <c r="C1364" s="1" t="s">
        <v>25</v>
      </c>
      <c r="K1364" s="1">
        <v>90.0</v>
      </c>
      <c r="N1364" s="5">
        <v>45247.0</v>
      </c>
      <c r="Q1364" s="1" t="s">
        <v>1312</v>
      </c>
    </row>
    <row r="1365">
      <c r="A1365" s="1">
        <v>1364.0</v>
      </c>
      <c r="B1365" s="1" t="s">
        <v>2874</v>
      </c>
      <c r="C1365" s="1" t="s">
        <v>25</v>
      </c>
      <c r="K1365" s="1">
        <v>350.0</v>
      </c>
      <c r="N1365" s="5">
        <v>45786.0</v>
      </c>
      <c r="Q1365" s="1" t="s">
        <v>1167</v>
      </c>
    </row>
    <row r="1366">
      <c r="A1366" s="1">
        <v>1365.0</v>
      </c>
      <c r="B1366" s="1" t="s">
        <v>2875</v>
      </c>
      <c r="C1366" s="1" t="s">
        <v>25</v>
      </c>
      <c r="N1366" s="5">
        <v>43848.0</v>
      </c>
      <c r="Q1366" s="1" t="s">
        <v>55</v>
      </c>
    </row>
    <row r="1367">
      <c r="A1367" s="1">
        <v>1366.0</v>
      </c>
      <c r="B1367" s="1" t="s">
        <v>2876</v>
      </c>
      <c r="C1367" s="1" t="s">
        <v>25</v>
      </c>
      <c r="N1367" s="5">
        <v>44021.0</v>
      </c>
      <c r="Q1367" s="1" t="s">
        <v>55</v>
      </c>
    </row>
    <row r="1368">
      <c r="A1368" s="1">
        <v>1367.0</v>
      </c>
      <c r="B1368" s="1" t="s">
        <v>2877</v>
      </c>
      <c r="C1368" s="1" t="s">
        <v>25</v>
      </c>
      <c r="K1368" s="1">
        <v>10.0</v>
      </c>
      <c r="N1368" s="5">
        <v>43986.0</v>
      </c>
      <c r="Q1368" s="1" t="s">
        <v>2878</v>
      </c>
    </row>
    <row r="1369">
      <c r="A1369" s="1">
        <v>1368.0</v>
      </c>
      <c r="B1369" s="1" t="s">
        <v>2879</v>
      </c>
      <c r="C1369" s="1" t="s">
        <v>25</v>
      </c>
      <c r="N1369" s="5">
        <v>43994.0</v>
      </c>
      <c r="Q1369" s="1" t="s">
        <v>55</v>
      </c>
    </row>
    <row r="1370">
      <c r="A1370" s="1">
        <v>1369.0</v>
      </c>
      <c r="B1370" s="1" t="s">
        <v>2880</v>
      </c>
      <c r="C1370" s="1" t="s">
        <v>25</v>
      </c>
      <c r="K1370" s="1">
        <v>30.0</v>
      </c>
      <c r="N1370" s="5">
        <v>44642.0</v>
      </c>
      <c r="Q1370" s="1" t="s">
        <v>2881</v>
      </c>
    </row>
    <row r="1371">
      <c r="A1371" s="1">
        <v>1370.0</v>
      </c>
      <c r="B1371" s="1" t="s">
        <v>2882</v>
      </c>
      <c r="C1371" s="1" t="s">
        <v>25</v>
      </c>
      <c r="K1371" s="1">
        <v>40.0</v>
      </c>
      <c r="N1371" s="5">
        <v>43926.0</v>
      </c>
      <c r="Q1371" s="1" t="s">
        <v>55</v>
      </c>
    </row>
    <row r="1372">
      <c r="A1372" s="1">
        <v>1371.0</v>
      </c>
      <c r="B1372" s="1" t="s">
        <v>2883</v>
      </c>
      <c r="C1372" s="1" t="s">
        <v>25</v>
      </c>
      <c r="K1372" s="1">
        <v>100.0</v>
      </c>
      <c r="N1372" s="5">
        <v>44625.0</v>
      </c>
      <c r="Q1372" s="1" t="s">
        <v>2119</v>
      </c>
    </row>
    <row r="1373">
      <c r="A1373" s="1">
        <v>1372.0</v>
      </c>
      <c r="B1373" s="1" t="s">
        <v>142</v>
      </c>
      <c r="C1373" s="1" t="s">
        <v>25</v>
      </c>
      <c r="K1373" s="1">
        <v>30.0</v>
      </c>
      <c r="N1373" s="5">
        <v>45700.0</v>
      </c>
      <c r="Q1373" s="1" t="s">
        <v>146</v>
      </c>
    </row>
    <row r="1374">
      <c r="A1374" s="1">
        <v>1373.0</v>
      </c>
      <c r="B1374" s="1" t="s">
        <v>2884</v>
      </c>
      <c r="C1374" s="1" t="s">
        <v>25</v>
      </c>
      <c r="K1374" s="1">
        <v>60.0</v>
      </c>
      <c r="N1374" s="5">
        <v>44193.0</v>
      </c>
      <c r="Q1374" s="1" t="s">
        <v>2885</v>
      </c>
    </row>
    <row r="1375">
      <c r="A1375" s="1">
        <v>1374.0</v>
      </c>
      <c r="B1375" s="1" t="s">
        <v>2886</v>
      </c>
      <c r="C1375" s="1" t="s">
        <v>25</v>
      </c>
      <c r="N1375" s="5">
        <v>44633.0</v>
      </c>
      <c r="Q1375" s="1" t="s">
        <v>55</v>
      </c>
    </row>
    <row r="1376">
      <c r="A1376" s="1">
        <v>1375.0</v>
      </c>
      <c r="B1376" s="1" t="s">
        <v>2887</v>
      </c>
      <c r="C1376" s="1" t="s">
        <v>25</v>
      </c>
      <c r="N1376" s="5">
        <v>44052.0</v>
      </c>
      <c r="Q1376" s="1" t="s">
        <v>55</v>
      </c>
    </row>
    <row r="1377">
      <c r="A1377" s="1">
        <v>1376.0</v>
      </c>
      <c r="B1377" s="1" t="s">
        <v>2888</v>
      </c>
      <c r="C1377" s="1" t="s">
        <v>25</v>
      </c>
      <c r="K1377" s="1">
        <v>40.0</v>
      </c>
      <c r="N1377" s="5">
        <v>44480.0</v>
      </c>
      <c r="Q1377" s="1" t="s">
        <v>55</v>
      </c>
    </row>
    <row r="1378">
      <c r="A1378" s="1">
        <v>1377.0</v>
      </c>
      <c r="B1378" s="1" t="s">
        <v>2889</v>
      </c>
      <c r="C1378" s="1" t="s">
        <v>25</v>
      </c>
      <c r="K1378" s="1">
        <v>40.0</v>
      </c>
      <c r="N1378" s="5">
        <v>43842.0</v>
      </c>
      <c r="Q1378" s="1" t="s">
        <v>55</v>
      </c>
    </row>
    <row r="1379">
      <c r="A1379" s="1">
        <v>1378.0</v>
      </c>
      <c r="B1379" s="1" t="s">
        <v>2890</v>
      </c>
      <c r="C1379" s="1" t="s">
        <v>25</v>
      </c>
      <c r="N1379" s="5">
        <v>44350.0</v>
      </c>
      <c r="Q1379" s="1" t="s">
        <v>55</v>
      </c>
    </row>
    <row r="1380">
      <c r="A1380" s="1">
        <v>1379.0</v>
      </c>
      <c r="B1380" s="1" t="s">
        <v>2891</v>
      </c>
      <c r="C1380" s="1" t="s">
        <v>25</v>
      </c>
      <c r="K1380" s="1">
        <v>150.0</v>
      </c>
      <c r="N1380" s="5">
        <v>44858.0</v>
      </c>
      <c r="Q1380" s="1" t="s">
        <v>2183</v>
      </c>
    </row>
    <row r="1381">
      <c r="A1381" s="1">
        <v>1380.0</v>
      </c>
      <c r="B1381" s="1" t="s">
        <v>2892</v>
      </c>
      <c r="C1381" s="1" t="s">
        <v>25</v>
      </c>
      <c r="K1381" s="1">
        <v>50.0</v>
      </c>
      <c r="N1381" s="5">
        <v>44608.0</v>
      </c>
      <c r="Q1381" s="1" t="s">
        <v>2893</v>
      </c>
    </row>
    <row r="1382">
      <c r="A1382" s="1">
        <v>1381.0</v>
      </c>
      <c r="B1382" s="1" t="s">
        <v>2894</v>
      </c>
      <c r="C1382" s="1" t="s">
        <v>25</v>
      </c>
      <c r="N1382" s="5">
        <v>44066.0</v>
      </c>
      <c r="Q1382" s="1" t="s">
        <v>55</v>
      </c>
    </row>
    <row r="1383">
      <c r="A1383" s="1">
        <v>1382.0</v>
      </c>
      <c r="B1383" s="1" t="s">
        <v>2895</v>
      </c>
      <c r="C1383" s="1" t="s">
        <v>25</v>
      </c>
      <c r="K1383" s="1">
        <v>150.0</v>
      </c>
      <c r="N1383" s="5">
        <v>43845.0</v>
      </c>
      <c r="Q1383" s="1" t="s">
        <v>2896</v>
      </c>
    </row>
    <row r="1384">
      <c r="A1384" s="1">
        <v>1383.0</v>
      </c>
      <c r="B1384" s="1" t="s">
        <v>2897</v>
      </c>
      <c r="C1384" s="1" t="s">
        <v>25</v>
      </c>
      <c r="K1384" s="1">
        <v>40.0</v>
      </c>
      <c r="N1384" s="5">
        <v>44718.0</v>
      </c>
      <c r="Q1384" s="1" t="s">
        <v>2898</v>
      </c>
    </row>
    <row r="1385">
      <c r="A1385" s="1">
        <v>1384.0</v>
      </c>
      <c r="B1385" s="1" t="s">
        <v>2899</v>
      </c>
      <c r="C1385" s="1" t="s">
        <v>25</v>
      </c>
      <c r="K1385" s="1">
        <v>150.0</v>
      </c>
      <c r="N1385" s="5">
        <v>45000.0</v>
      </c>
      <c r="Q1385" s="1" t="s">
        <v>2900</v>
      </c>
    </row>
    <row r="1386">
      <c r="A1386" s="1">
        <v>1385.0</v>
      </c>
      <c r="B1386" s="1" t="s">
        <v>2901</v>
      </c>
      <c r="C1386" s="1" t="s">
        <v>25</v>
      </c>
      <c r="K1386" s="1">
        <v>100.0</v>
      </c>
      <c r="N1386" s="5">
        <v>45557.0</v>
      </c>
      <c r="Q1386" s="1" t="s">
        <v>2902</v>
      </c>
    </row>
    <row r="1387">
      <c r="A1387" s="1">
        <v>1386.0</v>
      </c>
      <c r="B1387" s="1" t="s">
        <v>2903</v>
      </c>
      <c r="C1387" s="1" t="s">
        <v>25</v>
      </c>
      <c r="K1387" s="1">
        <v>10.0</v>
      </c>
      <c r="N1387" s="5">
        <v>45218.0</v>
      </c>
      <c r="Q1387" s="1" t="s">
        <v>55</v>
      </c>
    </row>
    <row r="1388">
      <c r="A1388" s="1">
        <v>1387.0</v>
      </c>
      <c r="B1388" s="1" t="s">
        <v>2904</v>
      </c>
      <c r="C1388" s="1" t="s">
        <v>25</v>
      </c>
      <c r="K1388" s="1">
        <v>40.0</v>
      </c>
      <c r="N1388" s="5">
        <v>43864.0</v>
      </c>
      <c r="Q1388" s="1" t="s">
        <v>55</v>
      </c>
    </row>
    <row r="1389">
      <c r="A1389" s="1">
        <v>1388.0</v>
      </c>
      <c r="B1389" s="1" t="s">
        <v>2905</v>
      </c>
      <c r="C1389" s="1" t="s">
        <v>25</v>
      </c>
      <c r="K1389" s="1">
        <v>150.0</v>
      </c>
      <c r="N1389" s="5">
        <v>43935.0</v>
      </c>
      <c r="Q1389" s="1" t="s">
        <v>2906</v>
      </c>
    </row>
    <row r="1390">
      <c r="A1390" s="1">
        <v>1389.0</v>
      </c>
      <c r="B1390" s="1" t="s">
        <v>2907</v>
      </c>
      <c r="C1390" s="1" t="s">
        <v>25</v>
      </c>
      <c r="N1390" s="5">
        <v>45425.0</v>
      </c>
      <c r="Q1390" s="1" t="s">
        <v>55</v>
      </c>
    </row>
    <row r="1391">
      <c r="A1391" s="1">
        <v>1390.0</v>
      </c>
      <c r="B1391" s="1" t="s">
        <v>2908</v>
      </c>
      <c r="C1391" s="1" t="s">
        <v>25</v>
      </c>
      <c r="K1391" s="1">
        <v>40.0</v>
      </c>
      <c r="N1391" s="5">
        <v>45577.0</v>
      </c>
      <c r="Q1391" s="1" t="s">
        <v>2909</v>
      </c>
    </row>
    <row r="1392">
      <c r="A1392" s="1">
        <v>1391.0</v>
      </c>
      <c r="B1392" s="1" t="s">
        <v>2910</v>
      </c>
      <c r="C1392" s="1" t="s">
        <v>25</v>
      </c>
      <c r="K1392" s="1">
        <v>80.0</v>
      </c>
      <c r="N1392" s="5">
        <v>45351.0</v>
      </c>
      <c r="Q1392" s="1" t="s">
        <v>2911</v>
      </c>
    </row>
    <row r="1393">
      <c r="A1393" s="1">
        <v>1392.0</v>
      </c>
      <c r="B1393" s="1" t="s">
        <v>2912</v>
      </c>
      <c r="C1393" s="1" t="s">
        <v>25</v>
      </c>
      <c r="N1393" s="5">
        <v>45689.0</v>
      </c>
      <c r="Q1393" s="1" t="s">
        <v>2913</v>
      </c>
    </row>
    <row r="1394">
      <c r="A1394" s="1">
        <v>1393.0</v>
      </c>
      <c r="B1394" s="1" t="s">
        <v>2914</v>
      </c>
      <c r="C1394" s="1" t="s">
        <v>25</v>
      </c>
      <c r="K1394" s="1">
        <v>10.0</v>
      </c>
      <c r="N1394" s="5">
        <v>45207.0</v>
      </c>
      <c r="Q1394" s="1" t="s">
        <v>684</v>
      </c>
    </row>
    <row r="1395">
      <c r="A1395" s="1">
        <v>1394.0</v>
      </c>
      <c r="B1395" s="1" t="s">
        <v>2915</v>
      </c>
      <c r="C1395" s="1" t="s">
        <v>25</v>
      </c>
      <c r="K1395" s="1">
        <v>20.0</v>
      </c>
      <c r="N1395" s="5">
        <v>44123.0</v>
      </c>
      <c r="Q1395" s="1" t="s">
        <v>2916</v>
      </c>
    </row>
    <row r="1396">
      <c r="A1396" s="1">
        <v>1395.0</v>
      </c>
      <c r="B1396" s="1" t="s">
        <v>2917</v>
      </c>
      <c r="C1396" s="1" t="s">
        <v>25</v>
      </c>
      <c r="K1396" s="1">
        <v>70.0</v>
      </c>
      <c r="N1396" s="5">
        <v>43920.0</v>
      </c>
      <c r="Q1396" s="1" t="s">
        <v>2918</v>
      </c>
    </row>
    <row r="1397">
      <c r="A1397" s="1">
        <v>1396.0</v>
      </c>
      <c r="B1397" s="1" t="s">
        <v>2919</v>
      </c>
      <c r="C1397" s="1" t="s">
        <v>25</v>
      </c>
      <c r="K1397" s="1">
        <v>10.0</v>
      </c>
      <c r="N1397" s="5">
        <v>45645.0</v>
      </c>
      <c r="Q1397" s="1" t="s">
        <v>2920</v>
      </c>
    </row>
    <row r="1398">
      <c r="A1398" s="1">
        <v>1397.0</v>
      </c>
      <c r="B1398" s="1" t="s">
        <v>2921</v>
      </c>
      <c r="C1398" s="1" t="s">
        <v>25</v>
      </c>
      <c r="K1398" s="1">
        <v>50.0</v>
      </c>
      <c r="N1398" s="5">
        <v>43968.0</v>
      </c>
      <c r="Q1398" s="1" t="s">
        <v>55</v>
      </c>
    </row>
    <row r="1399">
      <c r="A1399" s="1">
        <v>1398.0</v>
      </c>
      <c r="B1399" s="1" t="s">
        <v>2922</v>
      </c>
      <c r="C1399" s="1" t="s">
        <v>25</v>
      </c>
      <c r="K1399" s="1">
        <v>50.0</v>
      </c>
      <c r="N1399" s="5">
        <v>44652.0</v>
      </c>
      <c r="Q1399" s="1" t="s">
        <v>55</v>
      </c>
    </row>
    <row r="1400">
      <c r="A1400" s="1">
        <v>1399.0</v>
      </c>
      <c r="B1400" s="1" t="s">
        <v>2923</v>
      </c>
      <c r="C1400" s="1" t="s">
        <v>25</v>
      </c>
      <c r="K1400" s="1">
        <v>10.0</v>
      </c>
      <c r="N1400" s="5">
        <v>45640.0</v>
      </c>
      <c r="Q1400" s="1" t="s">
        <v>2924</v>
      </c>
    </row>
    <row r="1401">
      <c r="A1401" s="1">
        <v>1400.0</v>
      </c>
      <c r="B1401" s="1" t="s">
        <v>2925</v>
      </c>
      <c r="C1401" s="1" t="s">
        <v>25</v>
      </c>
      <c r="K1401" s="1">
        <v>40.0</v>
      </c>
      <c r="N1401" s="5">
        <v>44718.0</v>
      </c>
      <c r="Q1401" s="1" t="s">
        <v>2926</v>
      </c>
    </row>
    <row r="1402">
      <c r="A1402" s="1">
        <v>1401.0</v>
      </c>
      <c r="B1402" s="1" t="s">
        <v>2927</v>
      </c>
      <c r="C1402" s="1" t="s">
        <v>25</v>
      </c>
      <c r="K1402" s="1">
        <v>150.0</v>
      </c>
      <c r="N1402" s="5">
        <v>43856.0</v>
      </c>
      <c r="Q1402" s="1" t="s">
        <v>2928</v>
      </c>
    </row>
    <row r="1403">
      <c r="A1403" s="1">
        <v>1402.0</v>
      </c>
      <c r="B1403" s="1" t="s">
        <v>2929</v>
      </c>
      <c r="C1403" s="1" t="s">
        <v>25</v>
      </c>
      <c r="K1403" s="1">
        <v>100.0</v>
      </c>
      <c r="N1403" s="5">
        <v>44168.0</v>
      </c>
      <c r="Q1403" s="1" t="s">
        <v>2672</v>
      </c>
    </row>
    <row r="1404">
      <c r="A1404" s="1">
        <v>1403.0</v>
      </c>
      <c r="B1404" s="1" t="s">
        <v>2930</v>
      </c>
      <c r="C1404" s="1" t="s">
        <v>25</v>
      </c>
      <c r="K1404" s="1">
        <v>90.0</v>
      </c>
      <c r="N1404" s="5">
        <v>45367.0</v>
      </c>
      <c r="Q1404" s="1" t="s">
        <v>2931</v>
      </c>
    </row>
    <row r="1405">
      <c r="A1405" s="1">
        <v>1404.0</v>
      </c>
      <c r="B1405" s="1" t="s">
        <v>2932</v>
      </c>
      <c r="C1405" s="1" t="s">
        <v>25</v>
      </c>
      <c r="N1405" s="5">
        <v>44377.0</v>
      </c>
      <c r="Q1405" s="1" t="s">
        <v>55</v>
      </c>
    </row>
    <row r="1406">
      <c r="A1406" s="1">
        <v>1405.0</v>
      </c>
      <c r="B1406" s="1" t="s">
        <v>2933</v>
      </c>
      <c r="C1406" s="1" t="s">
        <v>25</v>
      </c>
      <c r="K1406" s="1">
        <v>60.0</v>
      </c>
      <c r="N1406" s="5">
        <v>43901.0</v>
      </c>
      <c r="Q1406" s="1" t="s">
        <v>1218</v>
      </c>
    </row>
    <row r="1407">
      <c r="A1407" s="1">
        <v>1406.0</v>
      </c>
      <c r="B1407" s="1" t="s">
        <v>2934</v>
      </c>
      <c r="C1407" s="1" t="s">
        <v>25</v>
      </c>
      <c r="K1407" s="1">
        <v>150.0</v>
      </c>
      <c r="N1407" s="5">
        <v>44532.0</v>
      </c>
      <c r="Q1407" s="1" t="s">
        <v>2935</v>
      </c>
    </row>
    <row r="1408">
      <c r="A1408" s="1">
        <v>1407.0</v>
      </c>
      <c r="B1408" s="1" t="s">
        <v>2936</v>
      </c>
      <c r="C1408" s="1" t="s">
        <v>25</v>
      </c>
      <c r="K1408" s="1">
        <v>10.0</v>
      </c>
      <c r="N1408" s="5">
        <v>45179.0</v>
      </c>
      <c r="Q1408" s="1" t="s">
        <v>55</v>
      </c>
    </row>
    <row r="1409">
      <c r="A1409" s="1">
        <v>1408.0</v>
      </c>
      <c r="B1409" s="1" t="s">
        <v>2937</v>
      </c>
      <c r="C1409" s="1" t="s">
        <v>25</v>
      </c>
      <c r="K1409" s="1">
        <v>10.0</v>
      </c>
      <c r="N1409" s="5">
        <v>45201.0</v>
      </c>
      <c r="Q1409" s="1" t="s">
        <v>55</v>
      </c>
    </row>
    <row r="1410">
      <c r="A1410" s="1">
        <v>1409.0</v>
      </c>
      <c r="B1410" s="1" t="s">
        <v>2938</v>
      </c>
      <c r="C1410" s="1" t="s">
        <v>25</v>
      </c>
      <c r="K1410" s="1">
        <v>10.0</v>
      </c>
      <c r="N1410" s="5">
        <v>45545.0</v>
      </c>
      <c r="Q1410" s="1" t="s">
        <v>2939</v>
      </c>
    </row>
    <row r="1411">
      <c r="A1411" s="1">
        <v>1410.0</v>
      </c>
      <c r="B1411" s="1" t="s">
        <v>2940</v>
      </c>
      <c r="C1411" s="1" t="s">
        <v>25</v>
      </c>
      <c r="K1411" s="1">
        <v>200.0</v>
      </c>
      <c r="N1411" s="5">
        <v>45606.0</v>
      </c>
      <c r="Q1411" s="1" t="s">
        <v>2941</v>
      </c>
    </row>
    <row r="1412">
      <c r="A1412" s="1">
        <v>1411.0</v>
      </c>
      <c r="B1412" s="1" t="s">
        <v>2942</v>
      </c>
      <c r="C1412" s="1" t="s">
        <v>25</v>
      </c>
      <c r="K1412" s="1">
        <v>20.0</v>
      </c>
      <c r="N1412" s="5">
        <v>44355.0</v>
      </c>
      <c r="Q1412" s="1" t="s">
        <v>1678</v>
      </c>
    </row>
    <row r="1413">
      <c r="A1413" s="1">
        <v>1412.0</v>
      </c>
      <c r="B1413" s="1" t="s">
        <v>2943</v>
      </c>
      <c r="C1413" s="1" t="s">
        <v>25</v>
      </c>
      <c r="N1413" s="5">
        <v>44026.0</v>
      </c>
      <c r="Q1413" s="1" t="s">
        <v>851</v>
      </c>
    </row>
    <row r="1414">
      <c r="A1414" s="1">
        <v>1413.0</v>
      </c>
      <c r="B1414" s="1" t="s">
        <v>2944</v>
      </c>
      <c r="C1414" s="1" t="s">
        <v>25</v>
      </c>
      <c r="K1414" s="1">
        <v>40.0</v>
      </c>
      <c r="N1414" s="5">
        <v>44702.0</v>
      </c>
      <c r="Q1414" s="1" t="s">
        <v>55</v>
      </c>
    </row>
    <row r="1415">
      <c r="A1415" s="1">
        <v>1414.0</v>
      </c>
      <c r="B1415" s="1" t="s">
        <v>2945</v>
      </c>
      <c r="C1415" s="1" t="s">
        <v>25</v>
      </c>
      <c r="K1415" s="1">
        <v>70.0</v>
      </c>
      <c r="N1415" s="5">
        <v>44432.0</v>
      </c>
      <c r="Q1415" s="1" t="s">
        <v>55</v>
      </c>
    </row>
    <row r="1416">
      <c r="A1416" s="1">
        <v>1415.0</v>
      </c>
      <c r="B1416" s="1" t="s">
        <v>2946</v>
      </c>
      <c r="C1416" s="1" t="s">
        <v>25</v>
      </c>
      <c r="K1416" s="1">
        <v>10.0</v>
      </c>
      <c r="N1416" s="5">
        <v>44583.0</v>
      </c>
      <c r="Q1416" s="1" t="s">
        <v>2947</v>
      </c>
    </row>
    <row r="1417">
      <c r="A1417" s="1">
        <v>1416.0</v>
      </c>
      <c r="B1417" s="1" t="s">
        <v>2948</v>
      </c>
      <c r="C1417" s="1" t="s">
        <v>25</v>
      </c>
      <c r="K1417" s="1">
        <v>20.0</v>
      </c>
      <c r="N1417" s="5">
        <v>44510.0</v>
      </c>
      <c r="Q1417" s="1" t="s">
        <v>55</v>
      </c>
    </row>
    <row r="1418">
      <c r="A1418" s="1">
        <v>1417.0</v>
      </c>
      <c r="B1418" s="1" t="s">
        <v>2949</v>
      </c>
      <c r="C1418" s="1" t="s">
        <v>25</v>
      </c>
      <c r="K1418" s="1">
        <v>70.0</v>
      </c>
      <c r="N1418" s="5">
        <v>45654.0</v>
      </c>
      <c r="Q1418" s="1" t="s">
        <v>2950</v>
      </c>
    </row>
    <row r="1419">
      <c r="A1419" s="1">
        <v>1418.0</v>
      </c>
      <c r="B1419" s="1" t="s">
        <v>2951</v>
      </c>
      <c r="C1419" s="1" t="s">
        <v>25</v>
      </c>
      <c r="N1419" s="5">
        <v>44484.0</v>
      </c>
      <c r="Q1419" s="1" t="s">
        <v>55</v>
      </c>
    </row>
    <row r="1420">
      <c r="A1420" s="1">
        <v>1419.0</v>
      </c>
      <c r="B1420" s="1" t="s">
        <v>2952</v>
      </c>
      <c r="C1420" s="1" t="s">
        <v>25</v>
      </c>
      <c r="K1420" s="1">
        <v>30.0</v>
      </c>
      <c r="N1420" s="5">
        <v>44497.0</v>
      </c>
      <c r="Q1420" s="1" t="s">
        <v>55</v>
      </c>
    </row>
    <row r="1421">
      <c r="A1421" s="1">
        <v>1420.0</v>
      </c>
      <c r="B1421" s="1" t="s">
        <v>2953</v>
      </c>
      <c r="C1421" s="1" t="s">
        <v>25</v>
      </c>
      <c r="K1421" s="1">
        <v>10.0</v>
      </c>
      <c r="N1421" s="5">
        <v>44269.0</v>
      </c>
      <c r="Q1421" s="1" t="s">
        <v>55</v>
      </c>
    </row>
    <row r="1422">
      <c r="A1422" s="1">
        <v>1421.0</v>
      </c>
      <c r="B1422" s="1" t="s">
        <v>2954</v>
      </c>
      <c r="C1422" s="1" t="s">
        <v>25</v>
      </c>
      <c r="N1422" s="5">
        <v>44321.0</v>
      </c>
      <c r="Q1422" s="1" t="s">
        <v>172</v>
      </c>
    </row>
    <row r="1423">
      <c r="A1423" s="1">
        <v>1422.0</v>
      </c>
      <c r="B1423" s="1" t="s">
        <v>2955</v>
      </c>
      <c r="C1423" s="1" t="s">
        <v>25</v>
      </c>
      <c r="K1423" s="1">
        <v>150.0</v>
      </c>
      <c r="N1423" s="5">
        <v>44321.0</v>
      </c>
      <c r="Q1423" s="1" t="s">
        <v>2956</v>
      </c>
    </row>
    <row r="1424">
      <c r="A1424" s="1">
        <v>1423.0</v>
      </c>
      <c r="B1424" s="1" t="s">
        <v>2957</v>
      </c>
      <c r="C1424" s="1" t="s">
        <v>25</v>
      </c>
      <c r="K1424" s="1">
        <v>30.0</v>
      </c>
      <c r="N1424" s="5">
        <v>43971.0</v>
      </c>
      <c r="Q1424" s="1" t="s">
        <v>55</v>
      </c>
    </row>
    <row r="1425">
      <c r="A1425" s="1">
        <v>1424.0</v>
      </c>
      <c r="B1425" s="1" t="s">
        <v>2958</v>
      </c>
      <c r="C1425" s="1" t="s">
        <v>25</v>
      </c>
      <c r="N1425" s="5">
        <v>44265.0</v>
      </c>
      <c r="Q1425" s="1" t="s">
        <v>55</v>
      </c>
    </row>
    <row r="1426">
      <c r="A1426" s="1">
        <v>1425.0</v>
      </c>
      <c r="B1426" s="1" t="s">
        <v>2959</v>
      </c>
      <c r="C1426" s="1" t="s">
        <v>25</v>
      </c>
      <c r="K1426" s="1">
        <v>10.0</v>
      </c>
      <c r="N1426" s="5">
        <v>44086.0</v>
      </c>
      <c r="Q1426" s="1" t="s">
        <v>55</v>
      </c>
    </row>
    <row r="1427">
      <c r="A1427" s="1">
        <v>1426.0</v>
      </c>
      <c r="B1427" s="1" t="s">
        <v>2960</v>
      </c>
      <c r="C1427" s="1" t="s">
        <v>25</v>
      </c>
      <c r="K1427" s="1">
        <v>200.0</v>
      </c>
      <c r="N1427" s="5">
        <v>45004.0</v>
      </c>
      <c r="Q1427" s="1" t="s">
        <v>2961</v>
      </c>
    </row>
    <row r="1428">
      <c r="A1428" s="1">
        <v>1427.0</v>
      </c>
      <c r="B1428" s="1" t="s">
        <v>2962</v>
      </c>
      <c r="C1428" s="1" t="s">
        <v>25</v>
      </c>
      <c r="K1428" s="1">
        <v>100.0</v>
      </c>
      <c r="N1428" s="5">
        <v>44498.0</v>
      </c>
      <c r="Q1428" s="1" t="s">
        <v>203</v>
      </c>
    </row>
    <row r="1429">
      <c r="A1429" s="1">
        <v>1428.0</v>
      </c>
      <c r="B1429" s="1" t="s">
        <v>2963</v>
      </c>
      <c r="C1429" s="1" t="s">
        <v>25</v>
      </c>
      <c r="N1429" s="5">
        <v>45640.0</v>
      </c>
      <c r="Q1429" s="1" t="s">
        <v>1738</v>
      </c>
    </row>
    <row r="1430">
      <c r="A1430" s="1">
        <v>1429.0</v>
      </c>
      <c r="B1430" s="1" t="s">
        <v>2964</v>
      </c>
      <c r="C1430" s="1" t="s">
        <v>25</v>
      </c>
      <c r="K1430" s="1">
        <v>200.0</v>
      </c>
      <c r="N1430" s="5">
        <v>43911.0</v>
      </c>
      <c r="Q1430" s="1" t="s">
        <v>2965</v>
      </c>
    </row>
    <row r="1431">
      <c r="A1431" s="1">
        <v>1430.0</v>
      </c>
      <c r="B1431" s="1" t="s">
        <v>2966</v>
      </c>
      <c r="C1431" s="1" t="s">
        <v>25</v>
      </c>
      <c r="K1431" s="1">
        <v>150.0</v>
      </c>
      <c r="N1431" s="5">
        <v>44642.0</v>
      </c>
      <c r="Q1431" s="1" t="s">
        <v>2967</v>
      </c>
    </row>
    <row r="1432">
      <c r="A1432" s="1">
        <v>1431.0</v>
      </c>
      <c r="B1432" s="1" t="s">
        <v>2968</v>
      </c>
      <c r="C1432" s="1" t="s">
        <v>25</v>
      </c>
      <c r="K1432" s="1">
        <v>10.0</v>
      </c>
      <c r="N1432" s="5">
        <v>43937.0</v>
      </c>
      <c r="Q1432" s="1" t="s">
        <v>55</v>
      </c>
    </row>
    <row r="1433">
      <c r="A1433" s="1">
        <v>1432.0</v>
      </c>
      <c r="B1433" s="1" t="s">
        <v>2969</v>
      </c>
      <c r="C1433" s="1" t="s">
        <v>25</v>
      </c>
      <c r="K1433" s="1">
        <v>10.0</v>
      </c>
      <c r="N1433" s="5">
        <v>45640.0</v>
      </c>
      <c r="Q1433" s="1" t="s">
        <v>2970</v>
      </c>
    </row>
    <row r="1434">
      <c r="A1434" s="1">
        <v>1433.0</v>
      </c>
      <c r="B1434" s="1" t="s">
        <v>2971</v>
      </c>
      <c r="C1434" s="1" t="s">
        <v>25</v>
      </c>
      <c r="K1434" s="1">
        <v>20.0</v>
      </c>
      <c r="N1434" s="5">
        <v>45574.0</v>
      </c>
      <c r="Q1434" s="1" t="s">
        <v>2972</v>
      </c>
    </row>
    <row r="1435">
      <c r="A1435" s="1">
        <v>1434.0</v>
      </c>
      <c r="B1435" s="1" t="s">
        <v>2973</v>
      </c>
      <c r="C1435" s="1" t="s">
        <v>25</v>
      </c>
      <c r="K1435" s="1">
        <v>150.0</v>
      </c>
      <c r="N1435" s="5">
        <v>44331.0</v>
      </c>
      <c r="Q1435" s="1" t="s">
        <v>2974</v>
      </c>
    </row>
    <row r="1436">
      <c r="A1436" s="1">
        <v>1435.0</v>
      </c>
      <c r="B1436" s="1" t="s">
        <v>2975</v>
      </c>
      <c r="C1436" s="1" t="s">
        <v>25</v>
      </c>
      <c r="N1436" s="5">
        <v>43714.0</v>
      </c>
      <c r="Q1436" s="1" t="s">
        <v>55</v>
      </c>
    </row>
    <row r="1437">
      <c r="A1437" s="1">
        <v>1436.0</v>
      </c>
      <c r="B1437" s="1" t="s">
        <v>2976</v>
      </c>
      <c r="C1437" s="1" t="s">
        <v>25</v>
      </c>
      <c r="K1437" s="1">
        <v>150.0</v>
      </c>
      <c r="N1437" s="5">
        <v>43853.0</v>
      </c>
      <c r="Q1437" s="1" t="s">
        <v>2763</v>
      </c>
    </row>
    <row r="1438">
      <c r="A1438" s="1">
        <v>1437.0</v>
      </c>
      <c r="B1438" s="1" t="s">
        <v>2977</v>
      </c>
      <c r="C1438" s="1" t="s">
        <v>25</v>
      </c>
      <c r="N1438" s="5">
        <v>44700.0</v>
      </c>
      <c r="Q1438" s="1" t="s">
        <v>55</v>
      </c>
    </row>
    <row r="1439">
      <c r="A1439" s="1">
        <v>1438.0</v>
      </c>
      <c r="B1439" s="1" t="s">
        <v>2978</v>
      </c>
      <c r="C1439" s="1" t="s">
        <v>25</v>
      </c>
      <c r="K1439" s="1">
        <v>50.0</v>
      </c>
      <c r="N1439" s="5">
        <v>44247.0</v>
      </c>
      <c r="Q1439" s="1" t="s">
        <v>2979</v>
      </c>
    </row>
    <row r="1440">
      <c r="A1440" s="1">
        <v>1439.0</v>
      </c>
      <c r="B1440" s="1" t="s">
        <v>2980</v>
      </c>
      <c r="C1440" s="1" t="s">
        <v>25</v>
      </c>
      <c r="N1440" s="5">
        <v>44422.0</v>
      </c>
      <c r="Q1440" s="1" t="s">
        <v>55</v>
      </c>
    </row>
    <row r="1441">
      <c r="A1441" s="1">
        <v>1440.0</v>
      </c>
      <c r="B1441" s="1" t="s">
        <v>2981</v>
      </c>
      <c r="C1441" s="1" t="s">
        <v>25</v>
      </c>
      <c r="K1441" s="1">
        <v>60.0</v>
      </c>
      <c r="N1441" s="5">
        <v>45402.0</v>
      </c>
      <c r="Q1441" s="1" t="s">
        <v>2982</v>
      </c>
    </row>
    <row r="1442">
      <c r="A1442" s="1">
        <v>1441.0</v>
      </c>
      <c r="B1442" s="1" t="s">
        <v>2983</v>
      </c>
      <c r="C1442" s="1" t="s">
        <v>25</v>
      </c>
      <c r="K1442" s="1">
        <v>30.0</v>
      </c>
      <c r="N1442" s="5">
        <v>43932.0</v>
      </c>
      <c r="Q1442" s="1" t="s">
        <v>569</v>
      </c>
    </row>
    <row r="1443">
      <c r="A1443" s="1">
        <v>1442.0</v>
      </c>
      <c r="B1443" s="1" t="s">
        <v>2984</v>
      </c>
      <c r="C1443" s="1" t="s">
        <v>25</v>
      </c>
      <c r="K1443" s="1">
        <v>200.0</v>
      </c>
      <c r="N1443" s="5">
        <v>44083.0</v>
      </c>
      <c r="Q1443" s="1" t="s">
        <v>2985</v>
      </c>
    </row>
    <row r="1444">
      <c r="A1444" s="1">
        <v>1443.0</v>
      </c>
      <c r="B1444" s="1" t="s">
        <v>2986</v>
      </c>
      <c r="C1444" s="1" t="s">
        <v>25</v>
      </c>
      <c r="N1444" s="5">
        <v>44432.0</v>
      </c>
      <c r="Q1444" s="1" t="s">
        <v>2987</v>
      </c>
    </row>
    <row r="1445">
      <c r="A1445" s="1">
        <v>1444.0</v>
      </c>
      <c r="B1445" s="1" t="s">
        <v>2988</v>
      </c>
      <c r="C1445" s="1" t="s">
        <v>25</v>
      </c>
      <c r="K1445" s="1">
        <v>500.0</v>
      </c>
      <c r="N1445" s="5">
        <v>44021.0</v>
      </c>
      <c r="Q1445" s="1" t="s">
        <v>2989</v>
      </c>
    </row>
    <row r="1446">
      <c r="A1446" s="1">
        <v>1445.0</v>
      </c>
      <c r="B1446" s="1" t="s">
        <v>2990</v>
      </c>
      <c r="C1446" s="1" t="s">
        <v>25</v>
      </c>
      <c r="K1446" s="1">
        <v>50.0</v>
      </c>
      <c r="N1446" s="5">
        <v>45200.0</v>
      </c>
      <c r="Q1446" s="1" t="s">
        <v>1218</v>
      </c>
    </row>
    <row r="1447">
      <c r="A1447" s="1">
        <v>1446.0</v>
      </c>
      <c r="B1447" s="1" t="s">
        <v>2991</v>
      </c>
      <c r="C1447" s="1" t="s">
        <v>25</v>
      </c>
      <c r="N1447" s="5">
        <v>45234.0</v>
      </c>
      <c r="Q1447" s="1" t="s">
        <v>1066</v>
      </c>
    </row>
    <row r="1448">
      <c r="A1448" s="1">
        <v>1447.0</v>
      </c>
      <c r="B1448" s="1" t="s">
        <v>2992</v>
      </c>
      <c r="C1448" s="1" t="s">
        <v>25</v>
      </c>
      <c r="K1448" s="1">
        <v>200.0</v>
      </c>
      <c r="N1448" s="5">
        <v>43938.0</v>
      </c>
      <c r="Q1448" s="1" t="s">
        <v>2310</v>
      </c>
    </row>
    <row r="1449">
      <c r="A1449" s="1">
        <v>1448.0</v>
      </c>
      <c r="B1449" s="1" t="s">
        <v>2993</v>
      </c>
      <c r="C1449" s="1" t="s">
        <v>25</v>
      </c>
      <c r="K1449" s="1">
        <v>100.0</v>
      </c>
      <c r="N1449" s="5">
        <v>43876.0</v>
      </c>
      <c r="Q1449" s="1" t="s">
        <v>2994</v>
      </c>
    </row>
    <row r="1450">
      <c r="A1450" s="1">
        <v>1449.0</v>
      </c>
      <c r="B1450" s="1" t="s">
        <v>2995</v>
      </c>
      <c r="C1450" s="1" t="s">
        <v>25</v>
      </c>
      <c r="N1450" s="5">
        <v>44130.0</v>
      </c>
      <c r="Q1450" s="1" t="s">
        <v>55</v>
      </c>
    </row>
    <row r="1451">
      <c r="A1451" s="1">
        <v>1450.0</v>
      </c>
      <c r="B1451" s="1" t="s">
        <v>2996</v>
      </c>
      <c r="C1451" s="1" t="s">
        <v>25</v>
      </c>
      <c r="K1451" s="1">
        <v>20.0</v>
      </c>
      <c r="N1451" s="5">
        <v>44614.0</v>
      </c>
      <c r="Q1451" s="1" t="s">
        <v>55</v>
      </c>
    </row>
    <row r="1452">
      <c r="A1452" s="1">
        <v>1451.0</v>
      </c>
      <c r="B1452" s="1" t="s">
        <v>2997</v>
      </c>
      <c r="C1452" s="1" t="s">
        <v>25</v>
      </c>
      <c r="K1452" s="1">
        <v>150.0</v>
      </c>
      <c r="N1452" s="5">
        <v>45425.0</v>
      </c>
      <c r="Q1452" s="1" t="s">
        <v>2998</v>
      </c>
    </row>
    <row r="1453">
      <c r="A1453" s="1">
        <v>1452.0</v>
      </c>
      <c r="B1453" s="1" t="s">
        <v>2999</v>
      </c>
      <c r="C1453" s="1" t="s">
        <v>25</v>
      </c>
      <c r="K1453" s="1">
        <v>10.0</v>
      </c>
      <c r="N1453" s="5">
        <v>45200.0</v>
      </c>
      <c r="Q1453" s="1" t="s">
        <v>644</v>
      </c>
    </row>
    <row r="1454">
      <c r="A1454" s="1">
        <v>1453.0</v>
      </c>
      <c r="B1454" s="1" t="s">
        <v>3000</v>
      </c>
      <c r="C1454" s="1" t="s">
        <v>25</v>
      </c>
      <c r="K1454" s="1">
        <v>10.0</v>
      </c>
      <c r="N1454" s="5">
        <v>45577.0</v>
      </c>
      <c r="Q1454" s="1" t="s">
        <v>3001</v>
      </c>
    </row>
    <row r="1455">
      <c r="A1455" s="1">
        <v>1454.0</v>
      </c>
      <c r="B1455" s="1" t="s">
        <v>3002</v>
      </c>
      <c r="C1455" s="1" t="s">
        <v>25</v>
      </c>
      <c r="K1455" s="1">
        <v>150.0</v>
      </c>
      <c r="N1455" s="5">
        <v>44819.0</v>
      </c>
      <c r="Q1455" s="1" t="s">
        <v>3003</v>
      </c>
    </row>
    <row r="1456">
      <c r="A1456" s="1">
        <v>1455.0</v>
      </c>
      <c r="B1456" s="1" t="s">
        <v>3004</v>
      </c>
      <c r="C1456" s="1" t="s">
        <v>25</v>
      </c>
      <c r="K1456" s="1">
        <v>200.0</v>
      </c>
      <c r="N1456" s="5">
        <v>43925.0</v>
      </c>
      <c r="Q1456" s="1" t="s">
        <v>3005</v>
      </c>
    </row>
    <row r="1457">
      <c r="A1457" s="1">
        <v>1456.0</v>
      </c>
      <c r="B1457" s="1" t="s">
        <v>3006</v>
      </c>
      <c r="C1457" s="1" t="s">
        <v>25</v>
      </c>
      <c r="K1457" s="1">
        <v>40.0</v>
      </c>
      <c r="N1457" s="5">
        <v>44087.0</v>
      </c>
      <c r="Q1457" s="1" t="s">
        <v>569</v>
      </c>
    </row>
    <row r="1458">
      <c r="A1458" s="1">
        <v>1457.0</v>
      </c>
      <c r="B1458" s="1" t="s">
        <v>3007</v>
      </c>
      <c r="C1458" s="1" t="s">
        <v>25</v>
      </c>
      <c r="K1458" s="1">
        <v>10.0</v>
      </c>
      <c r="N1458" s="5">
        <v>45404.0</v>
      </c>
      <c r="Q1458" s="1" t="s">
        <v>3008</v>
      </c>
    </row>
    <row r="1459">
      <c r="A1459" s="1">
        <v>1458.0</v>
      </c>
      <c r="B1459" s="1" t="s">
        <v>3009</v>
      </c>
      <c r="C1459" s="1" t="s">
        <v>25</v>
      </c>
      <c r="K1459" s="1">
        <v>150.0</v>
      </c>
      <c r="N1459" s="5">
        <v>44473.0</v>
      </c>
      <c r="Q1459" s="1" t="s">
        <v>904</v>
      </c>
    </row>
    <row r="1460">
      <c r="A1460" s="1">
        <v>1459.0</v>
      </c>
      <c r="B1460" s="1" t="s">
        <v>10</v>
      </c>
      <c r="C1460" s="1" t="s">
        <v>25</v>
      </c>
      <c r="K1460" s="1">
        <v>100.0</v>
      </c>
      <c r="N1460" s="5">
        <v>45637.0</v>
      </c>
      <c r="Q1460" s="1" t="s">
        <v>3010</v>
      </c>
    </row>
    <row r="1461">
      <c r="A1461" s="1">
        <v>1460.0</v>
      </c>
      <c r="B1461" s="1" t="s">
        <v>3011</v>
      </c>
      <c r="C1461" s="1" t="s">
        <v>25</v>
      </c>
      <c r="K1461" s="1">
        <v>10.0</v>
      </c>
      <c r="N1461" s="5">
        <v>44631.0</v>
      </c>
      <c r="Q1461" s="1" t="s">
        <v>55</v>
      </c>
    </row>
    <row r="1462">
      <c r="A1462" s="1">
        <v>1461.0</v>
      </c>
      <c r="B1462" s="1" t="s">
        <v>3012</v>
      </c>
      <c r="C1462" s="1" t="s">
        <v>25</v>
      </c>
      <c r="K1462" s="1">
        <v>100.0</v>
      </c>
      <c r="N1462" s="5">
        <v>44577.0</v>
      </c>
      <c r="Q1462" s="1" t="s">
        <v>3013</v>
      </c>
    </row>
    <row r="1463">
      <c r="A1463" s="1">
        <v>1462.0</v>
      </c>
      <c r="B1463" s="1" t="s">
        <v>3014</v>
      </c>
      <c r="C1463" s="1" t="s">
        <v>25</v>
      </c>
      <c r="K1463" s="1">
        <v>70.0</v>
      </c>
      <c r="N1463" s="5">
        <v>45327.0</v>
      </c>
      <c r="Q1463" s="1" t="s">
        <v>3015</v>
      </c>
    </row>
    <row r="1464">
      <c r="A1464" s="1">
        <v>1463.0</v>
      </c>
      <c r="B1464" s="1" t="s">
        <v>3016</v>
      </c>
      <c r="C1464" s="1" t="s">
        <v>25</v>
      </c>
      <c r="N1464" s="5">
        <v>44085.0</v>
      </c>
      <c r="Q1464" s="1" t="s">
        <v>55</v>
      </c>
    </row>
    <row r="1465">
      <c r="A1465" s="1">
        <v>1464.0</v>
      </c>
      <c r="B1465" s="1" t="s">
        <v>3017</v>
      </c>
      <c r="C1465" s="1" t="s">
        <v>25</v>
      </c>
      <c r="K1465" s="1">
        <v>150.0</v>
      </c>
      <c r="N1465" s="5">
        <v>45430.0</v>
      </c>
      <c r="Q1465" s="1" t="s">
        <v>3018</v>
      </c>
    </row>
    <row r="1466">
      <c r="A1466" s="1">
        <v>1465.0</v>
      </c>
      <c r="B1466" s="1" t="s">
        <v>3019</v>
      </c>
      <c r="C1466" s="1" t="s">
        <v>25</v>
      </c>
      <c r="K1466" s="1">
        <v>60.0</v>
      </c>
      <c r="N1466" s="5">
        <v>44200.0</v>
      </c>
      <c r="Q1466" s="1" t="s">
        <v>55</v>
      </c>
    </row>
    <row r="1467">
      <c r="A1467" s="1">
        <v>1466.0</v>
      </c>
      <c r="B1467" s="1" t="s">
        <v>3020</v>
      </c>
      <c r="C1467" s="1" t="s">
        <v>25</v>
      </c>
      <c r="K1467" s="1">
        <v>40.0</v>
      </c>
      <c r="N1467" s="5">
        <v>44741.0</v>
      </c>
      <c r="Q1467" s="1" t="s">
        <v>2584</v>
      </c>
    </row>
    <row r="1468">
      <c r="A1468" s="1">
        <v>1467.0</v>
      </c>
      <c r="B1468" s="1" t="s">
        <v>3021</v>
      </c>
      <c r="C1468" s="1" t="s">
        <v>25</v>
      </c>
      <c r="N1468" s="5">
        <v>44279.0</v>
      </c>
      <c r="Q1468" s="1" t="s">
        <v>55</v>
      </c>
    </row>
    <row r="1469">
      <c r="A1469" s="1">
        <v>1468.0</v>
      </c>
      <c r="B1469" s="1" t="s">
        <v>3022</v>
      </c>
      <c r="C1469" s="1" t="s">
        <v>25</v>
      </c>
      <c r="K1469" s="1">
        <v>70.0</v>
      </c>
      <c r="N1469" s="5">
        <v>44068.0</v>
      </c>
      <c r="Q1469" s="1" t="s">
        <v>55</v>
      </c>
    </row>
    <row r="1470">
      <c r="A1470" s="1">
        <v>1469.0</v>
      </c>
      <c r="B1470" s="1" t="s">
        <v>148</v>
      </c>
      <c r="C1470" s="1" t="s">
        <v>25</v>
      </c>
      <c r="K1470" s="1">
        <v>30.0</v>
      </c>
      <c r="N1470" s="5">
        <v>44158.0</v>
      </c>
      <c r="Q1470" s="1" t="s">
        <v>151</v>
      </c>
    </row>
    <row r="1471">
      <c r="A1471" s="1">
        <v>1470.0</v>
      </c>
      <c r="B1471" s="1" t="s">
        <v>3023</v>
      </c>
      <c r="C1471" s="1" t="s">
        <v>25</v>
      </c>
      <c r="K1471" s="1">
        <v>150.0</v>
      </c>
      <c r="N1471" s="5">
        <v>45650.0</v>
      </c>
      <c r="Q1471" s="1" t="s">
        <v>3024</v>
      </c>
    </row>
    <row r="1472">
      <c r="A1472" s="1">
        <v>1471.0</v>
      </c>
      <c r="B1472" s="1" t="s">
        <v>3025</v>
      </c>
      <c r="C1472" s="1" t="s">
        <v>25</v>
      </c>
      <c r="K1472" s="1">
        <v>200.0</v>
      </c>
      <c r="N1472" s="5">
        <v>44851.0</v>
      </c>
      <c r="Q1472" s="1" t="s">
        <v>55</v>
      </c>
    </row>
    <row r="1473">
      <c r="A1473" s="1">
        <v>1472.0</v>
      </c>
      <c r="B1473" s="1" t="s">
        <v>3026</v>
      </c>
      <c r="C1473" s="1" t="s">
        <v>25</v>
      </c>
      <c r="N1473" s="5">
        <v>44353.0</v>
      </c>
      <c r="Q1473" s="1" t="s">
        <v>55</v>
      </c>
    </row>
    <row r="1474">
      <c r="A1474" s="1">
        <v>1473.0</v>
      </c>
      <c r="B1474" s="1" t="s">
        <v>3027</v>
      </c>
      <c r="C1474" s="1" t="s">
        <v>25</v>
      </c>
      <c r="N1474" s="5">
        <v>44606.0</v>
      </c>
      <c r="Q1474" s="1" t="s">
        <v>55</v>
      </c>
    </row>
    <row r="1475">
      <c r="A1475" s="1">
        <v>1474.0</v>
      </c>
      <c r="B1475" s="1" t="s">
        <v>3028</v>
      </c>
      <c r="C1475" s="1" t="s">
        <v>25</v>
      </c>
      <c r="K1475" s="1">
        <v>60.0</v>
      </c>
      <c r="N1475" s="5">
        <v>45661.0</v>
      </c>
      <c r="Q1475" s="1" t="s">
        <v>3029</v>
      </c>
    </row>
    <row r="1476">
      <c r="A1476" s="1">
        <v>1475.0</v>
      </c>
      <c r="B1476" s="1" t="s">
        <v>3030</v>
      </c>
      <c r="C1476" s="1" t="s">
        <v>25</v>
      </c>
      <c r="N1476" s="5">
        <v>45192.0</v>
      </c>
      <c r="Q1476" s="1" t="s">
        <v>1726</v>
      </c>
    </row>
    <row r="1477">
      <c r="A1477" s="1">
        <v>1476.0</v>
      </c>
      <c r="B1477" s="1" t="s">
        <v>3031</v>
      </c>
      <c r="C1477" s="1" t="s">
        <v>25</v>
      </c>
      <c r="K1477" s="1">
        <v>100.0</v>
      </c>
      <c r="N1477" s="5">
        <v>45089.0</v>
      </c>
      <c r="Q1477" s="1" t="s">
        <v>851</v>
      </c>
    </row>
    <row r="1478">
      <c r="A1478" s="1">
        <v>1477.0</v>
      </c>
      <c r="B1478" s="1" t="s">
        <v>3032</v>
      </c>
      <c r="C1478" s="1" t="s">
        <v>25</v>
      </c>
      <c r="N1478" s="5">
        <v>44373.0</v>
      </c>
      <c r="Q1478" s="1" t="s">
        <v>55</v>
      </c>
    </row>
    <row r="1479">
      <c r="A1479" s="1">
        <v>1478.0</v>
      </c>
      <c r="B1479" s="1" t="s">
        <v>3033</v>
      </c>
      <c r="C1479" s="1" t="s">
        <v>25</v>
      </c>
      <c r="K1479" s="1">
        <v>80.0</v>
      </c>
      <c r="N1479" s="5">
        <v>44493.0</v>
      </c>
      <c r="Q1479" s="1" t="s">
        <v>3034</v>
      </c>
    </row>
    <row r="1480">
      <c r="A1480" s="1">
        <v>1479.0</v>
      </c>
      <c r="B1480" s="1" t="s">
        <v>3035</v>
      </c>
      <c r="C1480" s="1" t="s">
        <v>25</v>
      </c>
      <c r="K1480" s="1">
        <v>70.0</v>
      </c>
      <c r="N1480" s="5">
        <v>45098.0</v>
      </c>
      <c r="Q1480" s="1" t="s">
        <v>556</v>
      </c>
    </row>
    <row r="1481">
      <c r="A1481" s="1">
        <v>1480.0</v>
      </c>
      <c r="B1481" s="1" t="s">
        <v>3036</v>
      </c>
      <c r="C1481" s="1" t="s">
        <v>25</v>
      </c>
      <c r="K1481" s="1">
        <v>70.0</v>
      </c>
      <c r="N1481" s="5">
        <v>44324.0</v>
      </c>
      <c r="Q1481" s="1" t="s">
        <v>3037</v>
      </c>
    </row>
    <row r="1482">
      <c r="A1482" s="1">
        <v>1481.0</v>
      </c>
      <c r="B1482" s="1" t="s">
        <v>3038</v>
      </c>
      <c r="C1482" s="1" t="s">
        <v>25</v>
      </c>
      <c r="K1482" s="1">
        <v>60.0</v>
      </c>
      <c r="N1482" s="5">
        <v>44382.0</v>
      </c>
      <c r="Q1482" s="1" t="s">
        <v>2152</v>
      </c>
    </row>
    <row r="1483">
      <c r="A1483" s="1">
        <v>1482.0</v>
      </c>
      <c r="B1483" s="1" t="s">
        <v>3039</v>
      </c>
      <c r="C1483" s="1" t="s">
        <v>25</v>
      </c>
      <c r="K1483" s="1">
        <v>150.0</v>
      </c>
      <c r="N1483" s="5">
        <v>44329.0</v>
      </c>
      <c r="Q1483" s="1" t="s">
        <v>3040</v>
      </c>
    </row>
    <row r="1484">
      <c r="A1484" s="1">
        <v>1483.0</v>
      </c>
      <c r="B1484" s="1" t="s">
        <v>3041</v>
      </c>
      <c r="C1484" s="1" t="s">
        <v>25</v>
      </c>
      <c r="N1484" s="5">
        <v>44372.0</v>
      </c>
      <c r="Q1484" s="1" t="s">
        <v>55</v>
      </c>
    </row>
    <row r="1485">
      <c r="A1485" s="1">
        <v>1484.0</v>
      </c>
      <c r="B1485" s="1" t="s">
        <v>3042</v>
      </c>
      <c r="C1485" s="1" t="s">
        <v>25</v>
      </c>
      <c r="K1485" s="1">
        <v>150.0</v>
      </c>
      <c r="N1485" s="5">
        <v>44100.0</v>
      </c>
      <c r="Q1485" s="1" t="s">
        <v>3043</v>
      </c>
    </row>
    <row r="1486">
      <c r="A1486" s="1">
        <v>1485.0</v>
      </c>
      <c r="B1486" s="1" t="s">
        <v>3044</v>
      </c>
      <c r="C1486" s="1" t="s">
        <v>25</v>
      </c>
      <c r="N1486" s="5">
        <v>43955.0</v>
      </c>
      <c r="Q1486" s="1" t="s">
        <v>55</v>
      </c>
    </row>
    <row r="1487">
      <c r="A1487" s="1">
        <v>1486.0</v>
      </c>
      <c r="B1487" s="1" t="s">
        <v>3045</v>
      </c>
      <c r="C1487" s="1" t="s">
        <v>25</v>
      </c>
      <c r="K1487" s="1">
        <v>400.0</v>
      </c>
      <c r="N1487" s="5">
        <v>43963.0</v>
      </c>
      <c r="Q1487" s="1" t="s">
        <v>3046</v>
      </c>
    </row>
    <row r="1488">
      <c r="A1488" s="1">
        <v>1487.0</v>
      </c>
      <c r="B1488" s="1" t="s">
        <v>3047</v>
      </c>
      <c r="C1488" s="1" t="s">
        <v>25</v>
      </c>
      <c r="N1488" s="5">
        <v>44169.0</v>
      </c>
      <c r="Q1488" s="1" t="s">
        <v>55</v>
      </c>
    </row>
    <row r="1489">
      <c r="A1489" s="1">
        <v>1488.0</v>
      </c>
      <c r="B1489" s="1" t="s">
        <v>3048</v>
      </c>
      <c r="C1489" s="1" t="s">
        <v>25</v>
      </c>
      <c r="K1489" s="1">
        <v>60.0</v>
      </c>
      <c r="N1489" s="5">
        <v>44365.0</v>
      </c>
      <c r="Q1489" s="1" t="s">
        <v>3049</v>
      </c>
    </row>
    <row r="1490">
      <c r="A1490" s="1">
        <v>1489.0</v>
      </c>
      <c r="B1490" s="1" t="s">
        <v>3050</v>
      </c>
      <c r="C1490" s="1" t="s">
        <v>25</v>
      </c>
      <c r="K1490" s="1">
        <v>80.0</v>
      </c>
      <c r="N1490" s="5">
        <v>44734.0</v>
      </c>
      <c r="Q1490" s="1" t="s">
        <v>3051</v>
      </c>
    </row>
    <row r="1491">
      <c r="A1491" s="1">
        <v>1490.0</v>
      </c>
      <c r="B1491" s="1" t="s">
        <v>3052</v>
      </c>
      <c r="C1491" s="1" t="s">
        <v>25</v>
      </c>
      <c r="N1491" s="5">
        <v>44208.0</v>
      </c>
      <c r="Q1491" s="1" t="s">
        <v>55</v>
      </c>
    </row>
    <row r="1492">
      <c r="A1492" s="1">
        <v>1491.0</v>
      </c>
      <c r="B1492" s="1" t="s">
        <v>3053</v>
      </c>
      <c r="C1492" s="1" t="s">
        <v>25</v>
      </c>
      <c r="K1492" s="1">
        <v>10.0</v>
      </c>
      <c r="N1492" s="5">
        <v>43914.0</v>
      </c>
      <c r="Q1492" s="1" t="s">
        <v>55</v>
      </c>
    </row>
    <row r="1493">
      <c r="A1493" s="1">
        <v>1492.0</v>
      </c>
      <c r="B1493" s="1" t="s">
        <v>3054</v>
      </c>
      <c r="C1493" s="1" t="s">
        <v>25</v>
      </c>
      <c r="K1493" s="1">
        <v>20.0</v>
      </c>
      <c r="N1493" s="5">
        <v>45602.0</v>
      </c>
      <c r="Q1493" s="1" t="s">
        <v>3055</v>
      </c>
    </row>
    <row r="1494">
      <c r="A1494" s="1">
        <v>1493.0</v>
      </c>
      <c r="B1494" s="1" t="s">
        <v>3056</v>
      </c>
      <c r="C1494" s="1" t="s">
        <v>25</v>
      </c>
      <c r="K1494" s="1">
        <v>150.0</v>
      </c>
      <c r="N1494" s="5">
        <v>44028.0</v>
      </c>
      <c r="Q1494" s="1" t="s">
        <v>3057</v>
      </c>
    </row>
    <row r="1495">
      <c r="A1495" s="1">
        <v>1494.0</v>
      </c>
      <c r="B1495" s="1" t="s">
        <v>3058</v>
      </c>
      <c r="C1495" s="1" t="s">
        <v>25</v>
      </c>
      <c r="K1495" s="1">
        <v>20.0</v>
      </c>
      <c r="N1495" s="5">
        <v>45207.0</v>
      </c>
      <c r="Q1495" s="1" t="s">
        <v>1726</v>
      </c>
    </row>
    <row r="1496">
      <c r="A1496" s="1">
        <v>1495.0</v>
      </c>
      <c r="B1496" s="1" t="s">
        <v>3059</v>
      </c>
      <c r="C1496" s="1" t="s">
        <v>25</v>
      </c>
      <c r="N1496" s="5">
        <v>44564.0</v>
      </c>
      <c r="Q1496" s="1" t="s">
        <v>55</v>
      </c>
    </row>
    <row r="1497">
      <c r="A1497" s="1">
        <v>1496.0</v>
      </c>
      <c r="B1497" s="1" t="s">
        <v>3060</v>
      </c>
      <c r="C1497" s="1" t="s">
        <v>25</v>
      </c>
      <c r="K1497" s="1">
        <v>10.0</v>
      </c>
      <c r="N1497" s="5">
        <v>45591.0</v>
      </c>
      <c r="Q1497" s="1" t="s">
        <v>1278</v>
      </c>
    </row>
    <row r="1498">
      <c r="A1498" s="1">
        <v>1497.0</v>
      </c>
      <c r="B1498" s="1" t="s">
        <v>3061</v>
      </c>
      <c r="C1498" s="1" t="s">
        <v>25</v>
      </c>
      <c r="K1498" s="1">
        <v>10.0</v>
      </c>
      <c r="N1498" s="5">
        <v>44541.0</v>
      </c>
      <c r="Q1498" s="1" t="s">
        <v>2443</v>
      </c>
    </row>
    <row r="1499">
      <c r="A1499" s="1">
        <v>1498.0</v>
      </c>
      <c r="B1499" s="1" t="s">
        <v>3062</v>
      </c>
      <c r="C1499" s="1" t="s">
        <v>25</v>
      </c>
      <c r="K1499" s="1">
        <v>100.0</v>
      </c>
      <c r="N1499" s="5">
        <v>45432.0</v>
      </c>
      <c r="Q1499" s="1" t="s">
        <v>3063</v>
      </c>
    </row>
    <row r="1500">
      <c r="A1500" s="1">
        <v>1499.0</v>
      </c>
      <c r="B1500" s="1" t="s">
        <v>3064</v>
      </c>
      <c r="C1500" s="1" t="s">
        <v>25</v>
      </c>
      <c r="K1500" s="1">
        <v>10.0</v>
      </c>
      <c r="N1500" s="5">
        <v>45636.0</v>
      </c>
      <c r="Q1500" s="1" t="s">
        <v>2970</v>
      </c>
    </row>
    <row r="1501">
      <c r="A1501" s="1">
        <v>1500.0</v>
      </c>
      <c r="B1501" s="1" t="s">
        <v>3065</v>
      </c>
      <c r="C1501" s="1" t="s">
        <v>25</v>
      </c>
      <c r="N1501" s="5">
        <v>44258.0</v>
      </c>
      <c r="Q1501" s="1" t="s">
        <v>55</v>
      </c>
    </row>
    <row r="1502">
      <c r="A1502" s="1">
        <v>1501.0</v>
      </c>
      <c r="B1502" s="1" t="s">
        <v>3066</v>
      </c>
      <c r="C1502" s="1" t="s">
        <v>25</v>
      </c>
      <c r="K1502" s="1">
        <v>100.0</v>
      </c>
      <c r="N1502" s="5">
        <v>43976.0</v>
      </c>
      <c r="Q1502" s="1" t="s">
        <v>3067</v>
      </c>
    </row>
    <row r="1503">
      <c r="A1503" s="1">
        <v>1502.0</v>
      </c>
      <c r="B1503" s="1" t="s">
        <v>3068</v>
      </c>
      <c r="C1503" s="1" t="s">
        <v>25</v>
      </c>
      <c r="K1503" s="1">
        <v>40.0</v>
      </c>
      <c r="N1503" s="5">
        <v>45632.0</v>
      </c>
      <c r="Q1503" s="1" t="s">
        <v>3069</v>
      </c>
    </row>
    <row r="1504">
      <c r="A1504" s="1">
        <v>1503.0</v>
      </c>
      <c r="B1504" s="1" t="s">
        <v>3070</v>
      </c>
      <c r="C1504" s="1" t="s">
        <v>25</v>
      </c>
      <c r="K1504" s="1">
        <v>20.0</v>
      </c>
      <c r="N1504" s="5">
        <v>43896.0</v>
      </c>
      <c r="Q1504" s="1" t="s">
        <v>3071</v>
      </c>
    </row>
    <row r="1505">
      <c r="A1505" s="1">
        <v>1504.0</v>
      </c>
      <c r="B1505" s="1" t="s">
        <v>3072</v>
      </c>
      <c r="C1505" s="1" t="s">
        <v>25</v>
      </c>
      <c r="K1505" s="1">
        <v>50.0</v>
      </c>
      <c r="N1505" s="5">
        <v>45736.0</v>
      </c>
      <c r="Q1505" s="1" t="s">
        <v>3073</v>
      </c>
    </row>
    <row r="1506">
      <c r="A1506" s="1">
        <v>1505.0</v>
      </c>
      <c r="B1506" s="1" t="s">
        <v>3074</v>
      </c>
      <c r="C1506" s="1" t="s">
        <v>25</v>
      </c>
      <c r="N1506" s="5">
        <v>45251.0</v>
      </c>
      <c r="Q1506" s="1" t="s">
        <v>55</v>
      </c>
    </row>
    <row r="1507">
      <c r="A1507" s="1">
        <v>1506.0</v>
      </c>
      <c r="B1507" s="1" t="s">
        <v>3075</v>
      </c>
      <c r="C1507" s="1" t="s">
        <v>25</v>
      </c>
      <c r="K1507" s="1">
        <v>10.0</v>
      </c>
      <c r="N1507" s="5">
        <v>44063.0</v>
      </c>
      <c r="Q1507" s="1" t="s">
        <v>55</v>
      </c>
    </row>
    <row r="1508">
      <c r="A1508" s="1">
        <v>1507.0</v>
      </c>
      <c r="B1508" s="1" t="s">
        <v>3076</v>
      </c>
      <c r="C1508" s="1" t="s">
        <v>25</v>
      </c>
      <c r="N1508" s="5">
        <v>44054.0</v>
      </c>
      <c r="Q1508" s="1" t="s">
        <v>55</v>
      </c>
    </row>
    <row r="1509">
      <c r="A1509" s="1">
        <v>1508.0</v>
      </c>
      <c r="B1509" s="1" t="s">
        <v>3077</v>
      </c>
      <c r="C1509" s="1" t="s">
        <v>25</v>
      </c>
      <c r="K1509" s="1">
        <v>90.0</v>
      </c>
      <c r="N1509" s="5">
        <v>45657.0</v>
      </c>
      <c r="Q1509" s="1" t="s">
        <v>3078</v>
      </c>
    </row>
    <row r="1510">
      <c r="A1510" s="1">
        <v>1509.0</v>
      </c>
      <c r="B1510" s="1" t="s">
        <v>3079</v>
      </c>
      <c r="C1510" s="1" t="s">
        <v>25</v>
      </c>
      <c r="K1510" s="1">
        <v>50.0</v>
      </c>
      <c r="N1510" s="5">
        <v>44073.0</v>
      </c>
      <c r="Q1510" s="1" t="s">
        <v>3080</v>
      </c>
    </row>
    <row r="1511">
      <c r="A1511" s="1">
        <v>1510.0</v>
      </c>
      <c r="B1511" s="1" t="s">
        <v>3081</v>
      </c>
      <c r="C1511" s="1" t="s">
        <v>25</v>
      </c>
      <c r="K1511" s="1">
        <v>50.0</v>
      </c>
      <c r="N1511" s="5">
        <v>44229.0</v>
      </c>
      <c r="Q1511" s="1" t="s">
        <v>55</v>
      </c>
    </row>
    <row r="1512">
      <c r="A1512" s="1">
        <v>1511.0</v>
      </c>
      <c r="B1512" s="1" t="s">
        <v>3082</v>
      </c>
      <c r="C1512" s="1" t="s">
        <v>25</v>
      </c>
      <c r="K1512" s="1">
        <v>60.0</v>
      </c>
      <c r="N1512" s="5">
        <v>45725.0</v>
      </c>
      <c r="Q1512" s="1" t="s">
        <v>3083</v>
      </c>
    </row>
    <row r="1513">
      <c r="A1513" s="1">
        <v>1512.0</v>
      </c>
      <c r="B1513" s="1" t="s">
        <v>3084</v>
      </c>
      <c r="C1513" s="1" t="s">
        <v>25</v>
      </c>
      <c r="K1513" s="1">
        <v>150.0</v>
      </c>
      <c r="N1513" s="5">
        <v>44719.0</v>
      </c>
      <c r="Q1513" s="1" t="s">
        <v>3085</v>
      </c>
    </row>
    <row r="1514">
      <c r="A1514" s="1">
        <v>1513.0</v>
      </c>
      <c r="B1514" s="1" t="s">
        <v>3086</v>
      </c>
      <c r="C1514" s="1" t="s">
        <v>25</v>
      </c>
      <c r="N1514" s="5">
        <v>43847.0</v>
      </c>
      <c r="Q1514" s="1" t="s">
        <v>55</v>
      </c>
    </row>
    <row r="1515">
      <c r="A1515" s="1">
        <v>1514.0</v>
      </c>
      <c r="B1515" s="1" t="s">
        <v>153</v>
      </c>
      <c r="C1515" s="1" t="s">
        <v>25</v>
      </c>
      <c r="K1515" s="1">
        <v>30.0</v>
      </c>
      <c r="N1515" s="5">
        <v>45054.0</v>
      </c>
      <c r="Q1515" s="1" t="s">
        <v>156</v>
      </c>
    </row>
    <row r="1516">
      <c r="A1516" s="1">
        <v>1515.0</v>
      </c>
      <c r="B1516" s="1" t="s">
        <v>3087</v>
      </c>
      <c r="C1516" s="1" t="s">
        <v>25</v>
      </c>
      <c r="N1516" s="5">
        <v>45550.0</v>
      </c>
      <c r="Q1516" s="1" t="s">
        <v>3088</v>
      </c>
    </row>
    <row r="1517">
      <c r="A1517" s="1">
        <v>1516.0</v>
      </c>
      <c r="B1517" s="1" t="s">
        <v>3089</v>
      </c>
      <c r="C1517" s="1" t="s">
        <v>25</v>
      </c>
      <c r="K1517" s="1">
        <v>10.0</v>
      </c>
      <c r="N1517" s="5">
        <v>44374.0</v>
      </c>
      <c r="Q1517" s="1" t="s">
        <v>3090</v>
      </c>
    </row>
    <row r="1518">
      <c r="A1518" s="1">
        <v>1517.0</v>
      </c>
      <c r="B1518" s="1" t="s">
        <v>3091</v>
      </c>
      <c r="C1518" s="1" t="s">
        <v>25</v>
      </c>
      <c r="K1518" s="1">
        <v>100.0</v>
      </c>
      <c r="N1518" s="5">
        <v>44548.0</v>
      </c>
      <c r="Q1518" s="1" t="s">
        <v>203</v>
      </c>
    </row>
    <row r="1519">
      <c r="A1519" s="1">
        <v>1518.0</v>
      </c>
      <c r="B1519" s="1" t="s">
        <v>3092</v>
      </c>
      <c r="C1519" s="1" t="s">
        <v>25</v>
      </c>
      <c r="N1519" s="5">
        <v>44242.0</v>
      </c>
      <c r="Q1519" s="1" t="s">
        <v>55</v>
      </c>
    </row>
    <row r="1520">
      <c r="A1520" s="1">
        <v>1519.0</v>
      </c>
      <c r="B1520" s="1" t="s">
        <v>3093</v>
      </c>
      <c r="C1520" s="1" t="s">
        <v>25</v>
      </c>
      <c r="K1520" s="1">
        <v>30.0</v>
      </c>
      <c r="N1520" s="5">
        <v>45335.0</v>
      </c>
      <c r="Q1520" s="1" t="s">
        <v>1948</v>
      </c>
    </row>
    <row r="1521">
      <c r="A1521" s="1">
        <v>1520.0</v>
      </c>
      <c r="B1521" s="1" t="s">
        <v>3094</v>
      </c>
      <c r="C1521" s="1" t="s">
        <v>25</v>
      </c>
      <c r="K1521" s="1">
        <v>30.0</v>
      </c>
      <c r="N1521" s="5">
        <v>45176.0</v>
      </c>
      <c r="Q1521" s="1" t="s">
        <v>3095</v>
      </c>
    </row>
    <row r="1522">
      <c r="A1522" s="1">
        <v>1521.0</v>
      </c>
      <c r="B1522" s="1" t="s">
        <v>3096</v>
      </c>
      <c r="C1522" s="1" t="s">
        <v>25</v>
      </c>
      <c r="K1522" s="1">
        <v>20.0</v>
      </c>
      <c r="N1522" s="5">
        <v>45737.0</v>
      </c>
      <c r="Q1522" s="1" t="s">
        <v>3097</v>
      </c>
    </row>
    <row r="1523">
      <c r="A1523" s="1">
        <v>1522.0</v>
      </c>
      <c r="B1523" s="1" t="s">
        <v>3098</v>
      </c>
      <c r="C1523" s="1" t="s">
        <v>25</v>
      </c>
      <c r="K1523" s="1">
        <v>10.0</v>
      </c>
      <c r="N1523" s="5">
        <v>44249.0</v>
      </c>
      <c r="Q1523" s="1" t="s">
        <v>3099</v>
      </c>
    </row>
    <row r="1524">
      <c r="A1524" s="1">
        <v>1523.0</v>
      </c>
      <c r="B1524" s="1" t="s">
        <v>3100</v>
      </c>
      <c r="C1524" s="1" t="s">
        <v>25</v>
      </c>
      <c r="K1524" s="1">
        <v>30.0</v>
      </c>
      <c r="N1524" s="5">
        <v>44611.0</v>
      </c>
      <c r="Q1524" s="1" t="s">
        <v>3101</v>
      </c>
    </row>
    <row r="1525">
      <c r="A1525" s="1">
        <v>1524.0</v>
      </c>
      <c r="B1525" s="1" t="s">
        <v>158</v>
      </c>
      <c r="C1525" s="1" t="s">
        <v>25</v>
      </c>
      <c r="K1525" s="1">
        <v>10.0</v>
      </c>
      <c r="N1525" s="5">
        <v>44925.0</v>
      </c>
      <c r="Q1525" s="1" t="s">
        <v>93</v>
      </c>
    </row>
    <row r="1526">
      <c r="A1526" s="1">
        <v>1525.0</v>
      </c>
      <c r="B1526" s="1" t="s">
        <v>3102</v>
      </c>
      <c r="C1526" s="1" t="s">
        <v>25</v>
      </c>
      <c r="K1526" s="1">
        <v>70.0</v>
      </c>
      <c r="N1526" s="5">
        <v>45576.0</v>
      </c>
      <c r="Q1526" s="1" t="s">
        <v>3103</v>
      </c>
    </row>
    <row r="1527">
      <c r="A1527" s="1">
        <v>1526.0</v>
      </c>
      <c r="B1527" s="1" t="s">
        <v>3104</v>
      </c>
      <c r="C1527" s="1" t="s">
        <v>25</v>
      </c>
      <c r="N1527" s="5">
        <v>43970.0</v>
      </c>
      <c r="Q1527" s="1" t="s">
        <v>55</v>
      </c>
    </row>
    <row r="1528">
      <c r="A1528" s="1">
        <v>1527.0</v>
      </c>
      <c r="B1528" s="1" t="s">
        <v>3105</v>
      </c>
      <c r="C1528" s="1" t="s">
        <v>25</v>
      </c>
      <c r="K1528" s="1">
        <v>20.0</v>
      </c>
      <c r="N1528" s="5">
        <v>44043.0</v>
      </c>
      <c r="Q1528" s="1" t="s">
        <v>55</v>
      </c>
    </row>
    <row r="1529">
      <c r="A1529" s="1">
        <v>1528.0</v>
      </c>
      <c r="B1529" s="1" t="s">
        <v>3106</v>
      </c>
      <c r="C1529" s="1" t="s">
        <v>25</v>
      </c>
      <c r="K1529" s="1">
        <v>50.0</v>
      </c>
      <c r="N1529" s="5">
        <v>44172.0</v>
      </c>
      <c r="Q1529" s="1" t="s">
        <v>2911</v>
      </c>
    </row>
    <row r="1530">
      <c r="A1530" s="1">
        <v>1529.0</v>
      </c>
      <c r="B1530" s="1" t="s">
        <v>3107</v>
      </c>
      <c r="C1530" s="1" t="s">
        <v>25</v>
      </c>
      <c r="N1530" s="5">
        <v>45271.0</v>
      </c>
      <c r="Q1530" s="1" t="s">
        <v>55</v>
      </c>
    </row>
    <row r="1531">
      <c r="A1531" s="1">
        <v>1530.0</v>
      </c>
      <c r="B1531" s="1" t="s">
        <v>3108</v>
      </c>
      <c r="C1531" s="1" t="s">
        <v>25</v>
      </c>
      <c r="K1531" s="1">
        <v>30.0</v>
      </c>
      <c r="N1531" s="5">
        <v>44220.0</v>
      </c>
      <c r="Q1531" s="1" t="s">
        <v>3109</v>
      </c>
    </row>
    <row r="1532">
      <c r="A1532" s="1">
        <v>1531.0</v>
      </c>
      <c r="B1532" s="1" t="s">
        <v>3110</v>
      </c>
      <c r="C1532" s="1" t="s">
        <v>25</v>
      </c>
      <c r="K1532" s="1">
        <v>200.0</v>
      </c>
      <c r="N1532" s="5">
        <v>44036.0</v>
      </c>
      <c r="Q1532" s="1" t="s">
        <v>3111</v>
      </c>
    </row>
    <row r="1533">
      <c r="A1533" s="1">
        <v>1532.0</v>
      </c>
      <c r="B1533" s="1" t="s">
        <v>3112</v>
      </c>
      <c r="C1533" s="1" t="s">
        <v>25</v>
      </c>
      <c r="K1533" s="1">
        <v>200.0</v>
      </c>
      <c r="N1533" s="5">
        <v>44388.0</v>
      </c>
      <c r="Q1533" s="1" t="s">
        <v>3113</v>
      </c>
    </row>
    <row r="1534">
      <c r="A1534" s="1">
        <v>1533.0</v>
      </c>
      <c r="B1534" s="1" t="s">
        <v>3114</v>
      </c>
      <c r="C1534" s="1" t="s">
        <v>25</v>
      </c>
      <c r="K1534" s="1">
        <v>200.0</v>
      </c>
      <c r="N1534" s="5">
        <v>44298.0</v>
      </c>
      <c r="Q1534" s="1" t="s">
        <v>1069</v>
      </c>
    </row>
    <row r="1535">
      <c r="A1535" s="1">
        <v>1534.0</v>
      </c>
      <c r="B1535" s="1" t="s">
        <v>3115</v>
      </c>
      <c r="C1535" s="1" t="s">
        <v>25</v>
      </c>
      <c r="K1535" s="1">
        <v>40.0</v>
      </c>
      <c r="N1535" s="5">
        <v>44098.0</v>
      </c>
      <c r="Q1535" s="1" t="s">
        <v>3116</v>
      </c>
    </row>
    <row r="1536">
      <c r="A1536" s="1">
        <v>1535.0</v>
      </c>
      <c r="B1536" s="1" t="s">
        <v>3117</v>
      </c>
      <c r="C1536" s="1" t="s">
        <v>25</v>
      </c>
      <c r="N1536" s="5">
        <v>44354.0</v>
      </c>
      <c r="Q1536" s="1" t="s">
        <v>55</v>
      </c>
    </row>
    <row r="1537">
      <c r="A1537" s="1">
        <v>1536.0</v>
      </c>
      <c r="B1537" s="1" t="s">
        <v>3118</v>
      </c>
      <c r="C1537" s="1" t="s">
        <v>25</v>
      </c>
      <c r="K1537" s="1">
        <v>20.0</v>
      </c>
      <c r="N1537" s="5">
        <v>43905.0</v>
      </c>
      <c r="Q1537" s="1" t="s">
        <v>3119</v>
      </c>
    </row>
    <row r="1538">
      <c r="A1538" s="1">
        <v>1537.0</v>
      </c>
      <c r="B1538" s="1" t="s">
        <v>3120</v>
      </c>
      <c r="C1538" s="1" t="s">
        <v>25</v>
      </c>
      <c r="K1538" s="1">
        <v>60.0</v>
      </c>
      <c r="N1538" s="5">
        <v>44254.0</v>
      </c>
      <c r="Q1538" s="1" t="s">
        <v>3121</v>
      </c>
    </row>
    <row r="1539">
      <c r="A1539" s="1">
        <v>1538.0</v>
      </c>
      <c r="B1539" s="1" t="s">
        <v>3122</v>
      </c>
      <c r="C1539" s="1" t="s">
        <v>25</v>
      </c>
      <c r="N1539" s="5">
        <v>45233.0</v>
      </c>
      <c r="Q1539" s="1" t="s">
        <v>3123</v>
      </c>
    </row>
    <row r="1540">
      <c r="A1540" s="1">
        <v>1539.0</v>
      </c>
      <c r="B1540" s="1" t="s">
        <v>3124</v>
      </c>
      <c r="C1540" s="1" t="s">
        <v>25</v>
      </c>
      <c r="K1540" s="1">
        <v>200.0</v>
      </c>
      <c r="N1540" s="5">
        <v>44483.0</v>
      </c>
      <c r="Q1540" s="1" t="s">
        <v>2288</v>
      </c>
    </row>
    <row r="1541">
      <c r="A1541" s="1">
        <v>1540.0</v>
      </c>
      <c r="B1541" s="1" t="s">
        <v>3125</v>
      </c>
      <c r="C1541" s="1" t="s">
        <v>25</v>
      </c>
      <c r="K1541" s="1">
        <v>30.0</v>
      </c>
      <c r="N1541" s="5">
        <v>45172.0</v>
      </c>
      <c r="Q1541" s="1" t="s">
        <v>3126</v>
      </c>
    </row>
    <row r="1542">
      <c r="A1542" s="1">
        <v>1541.0</v>
      </c>
      <c r="B1542" s="1" t="s">
        <v>3127</v>
      </c>
      <c r="C1542" s="1" t="s">
        <v>25</v>
      </c>
      <c r="K1542" s="1">
        <v>10.0</v>
      </c>
      <c r="N1542" s="5">
        <v>44584.0</v>
      </c>
      <c r="Q1542" s="1" t="s">
        <v>55</v>
      </c>
    </row>
    <row r="1543">
      <c r="A1543" s="1">
        <v>1542.0</v>
      </c>
      <c r="B1543" s="1" t="s">
        <v>3128</v>
      </c>
      <c r="C1543" s="1" t="s">
        <v>25</v>
      </c>
      <c r="K1543" s="1">
        <v>60.0</v>
      </c>
      <c r="N1543" s="5">
        <v>44635.0</v>
      </c>
      <c r="Q1543" s="1" t="s">
        <v>55</v>
      </c>
    </row>
    <row r="1544">
      <c r="A1544" s="1">
        <v>1543.0</v>
      </c>
      <c r="B1544" s="1" t="s">
        <v>3129</v>
      </c>
      <c r="C1544" s="1" t="s">
        <v>25</v>
      </c>
      <c r="K1544" s="1">
        <v>150.0</v>
      </c>
      <c r="N1544" s="5">
        <v>45564.0</v>
      </c>
      <c r="Q1544" s="1" t="s">
        <v>3130</v>
      </c>
    </row>
    <row r="1545">
      <c r="A1545" s="1">
        <v>1544.0</v>
      </c>
      <c r="B1545" s="1" t="s">
        <v>3131</v>
      </c>
      <c r="C1545" s="1" t="s">
        <v>25</v>
      </c>
      <c r="N1545" s="5">
        <v>44239.0</v>
      </c>
      <c r="Q1545" s="1" t="s">
        <v>55</v>
      </c>
    </row>
    <row r="1546">
      <c r="A1546" s="1">
        <v>1545.0</v>
      </c>
      <c r="B1546" s="1" t="s">
        <v>3132</v>
      </c>
      <c r="C1546" s="1" t="s">
        <v>25</v>
      </c>
      <c r="K1546" s="1">
        <v>150.0</v>
      </c>
      <c r="N1546" s="5">
        <v>44410.0</v>
      </c>
      <c r="Q1546" s="1" t="s">
        <v>3133</v>
      </c>
    </row>
    <row r="1547">
      <c r="A1547" s="1">
        <v>1546.0</v>
      </c>
      <c r="B1547" s="1" t="s">
        <v>3134</v>
      </c>
      <c r="C1547" s="1" t="s">
        <v>25</v>
      </c>
      <c r="K1547" s="1">
        <v>150.0</v>
      </c>
      <c r="N1547" s="5">
        <v>45449.0</v>
      </c>
      <c r="Q1547" s="1" t="s">
        <v>3135</v>
      </c>
    </row>
    <row r="1548">
      <c r="A1548" s="1">
        <v>1547.0</v>
      </c>
      <c r="B1548" s="1" t="s">
        <v>3136</v>
      </c>
      <c r="C1548" s="1" t="s">
        <v>25</v>
      </c>
      <c r="N1548" s="5">
        <v>44906.0</v>
      </c>
      <c r="Q1548" s="1" t="s">
        <v>3137</v>
      </c>
    </row>
    <row r="1549">
      <c r="A1549" s="1">
        <v>1548.0</v>
      </c>
      <c r="B1549" s="1" t="s">
        <v>3138</v>
      </c>
      <c r="C1549" s="1" t="s">
        <v>25</v>
      </c>
      <c r="K1549" s="1">
        <v>150.0</v>
      </c>
      <c r="N1549" s="5">
        <v>45457.0</v>
      </c>
      <c r="Q1549" s="1" t="s">
        <v>3139</v>
      </c>
    </row>
    <row r="1550">
      <c r="A1550" s="1">
        <v>1549.0</v>
      </c>
      <c r="B1550" s="1" t="s">
        <v>3140</v>
      </c>
      <c r="C1550" s="1" t="s">
        <v>25</v>
      </c>
      <c r="K1550" s="1">
        <v>150.0</v>
      </c>
      <c r="N1550" s="5">
        <v>44209.0</v>
      </c>
      <c r="Q1550" s="1" t="s">
        <v>3141</v>
      </c>
    </row>
    <row r="1551">
      <c r="A1551" s="1">
        <v>1550.0</v>
      </c>
      <c r="B1551" s="1" t="s">
        <v>3142</v>
      </c>
      <c r="C1551" s="1" t="s">
        <v>25</v>
      </c>
      <c r="K1551" s="1">
        <v>40.0</v>
      </c>
      <c r="N1551" s="5">
        <v>44382.0</v>
      </c>
      <c r="Q1551" s="1" t="s">
        <v>606</v>
      </c>
    </row>
    <row r="1552">
      <c r="A1552" s="1">
        <v>1551.0</v>
      </c>
      <c r="B1552" s="1" t="s">
        <v>3143</v>
      </c>
      <c r="C1552" s="1" t="s">
        <v>25</v>
      </c>
      <c r="K1552" s="1">
        <v>100.0</v>
      </c>
      <c r="N1552" s="5">
        <v>43928.0</v>
      </c>
      <c r="Q1552" s="1" t="s">
        <v>3144</v>
      </c>
    </row>
    <row r="1553">
      <c r="A1553" s="1">
        <v>1552.0</v>
      </c>
      <c r="B1553" s="1" t="s">
        <v>3145</v>
      </c>
      <c r="C1553" s="1" t="s">
        <v>25</v>
      </c>
      <c r="K1553" s="1">
        <v>200.0</v>
      </c>
      <c r="N1553" s="5">
        <v>44024.0</v>
      </c>
      <c r="Q1553" s="1" t="s">
        <v>3146</v>
      </c>
    </row>
    <row r="1554">
      <c r="A1554" s="1">
        <v>1553.0</v>
      </c>
      <c r="B1554" s="1" t="s">
        <v>3147</v>
      </c>
      <c r="C1554" s="1" t="s">
        <v>25</v>
      </c>
      <c r="K1554" s="1">
        <v>200.0</v>
      </c>
      <c r="N1554" s="5">
        <v>44410.0</v>
      </c>
      <c r="Q1554" s="1" t="s">
        <v>3148</v>
      </c>
    </row>
    <row r="1555">
      <c r="A1555" s="1">
        <v>1554.0</v>
      </c>
      <c r="B1555" s="1" t="s">
        <v>3149</v>
      </c>
      <c r="C1555" s="1" t="s">
        <v>25</v>
      </c>
      <c r="K1555" s="1">
        <v>20.0</v>
      </c>
      <c r="N1555" s="5">
        <v>44395.0</v>
      </c>
      <c r="Q1555" s="1" t="s">
        <v>55</v>
      </c>
    </row>
    <row r="1556">
      <c r="A1556" s="1">
        <v>1555.0</v>
      </c>
      <c r="B1556" s="1" t="s">
        <v>3150</v>
      </c>
      <c r="C1556" s="1" t="s">
        <v>25</v>
      </c>
      <c r="K1556" s="1">
        <v>100.0</v>
      </c>
      <c r="N1556" s="5">
        <v>45618.0</v>
      </c>
      <c r="Q1556" s="1" t="s">
        <v>3151</v>
      </c>
    </row>
    <row r="1557">
      <c r="A1557" s="1">
        <v>1556.0</v>
      </c>
      <c r="B1557" s="1" t="s">
        <v>3152</v>
      </c>
      <c r="C1557" s="1" t="s">
        <v>25</v>
      </c>
      <c r="K1557" s="1">
        <v>10.0</v>
      </c>
      <c r="N1557" s="5">
        <v>44595.0</v>
      </c>
      <c r="Q1557" s="1" t="s">
        <v>55</v>
      </c>
    </row>
    <row r="1558">
      <c r="A1558" s="1">
        <v>1557.0</v>
      </c>
      <c r="B1558" s="1" t="s">
        <v>3153</v>
      </c>
      <c r="C1558" s="1" t="s">
        <v>25</v>
      </c>
      <c r="K1558" s="1">
        <v>600.0</v>
      </c>
      <c r="N1558" s="5">
        <v>43848.0</v>
      </c>
      <c r="Q1558" s="1" t="s">
        <v>3154</v>
      </c>
    </row>
    <row r="1559">
      <c r="A1559" s="1">
        <v>1558.0</v>
      </c>
      <c r="B1559" s="1" t="s">
        <v>3155</v>
      </c>
      <c r="C1559" s="1" t="s">
        <v>25</v>
      </c>
      <c r="K1559" s="1">
        <v>40.0</v>
      </c>
      <c r="N1559" s="5">
        <v>44699.0</v>
      </c>
      <c r="Q1559" s="1" t="s">
        <v>55</v>
      </c>
    </row>
    <row r="1560">
      <c r="A1560" s="1">
        <v>1559.0</v>
      </c>
      <c r="B1560" s="1" t="s">
        <v>3156</v>
      </c>
      <c r="C1560" s="1" t="s">
        <v>25</v>
      </c>
      <c r="N1560" s="5">
        <v>45686.0</v>
      </c>
      <c r="Q1560" s="1" t="s">
        <v>3157</v>
      </c>
    </row>
    <row r="1561">
      <c r="A1561" s="1">
        <v>1560.0</v>
      </c>
      <c r="B1561" s="1" t="s">
        <v>3158</v>
      </c>
      <c r="C1561" s="1" t="s">
        <v>25</v>
      </c>
      <c r="K1561" s="1">
        <v>30.0</v>
      </c>
      <c r="N1561" s="5">
        <v>45380.0</v>
      </c>
      <c r="Q1561" s="1" t="s">
        <v>3159</v>
      </c>
    </row>
    <row r="1562">
      <c r="A1562" s="1">
        <v>1561.0</v>
      </c>
      <c r="B1562" s="1" t="s">
        <v>3160</v>
      </c>
      <c r="C1562" s="1" t="s">
        <v>25</v>
      </c>
      <c r="N1562" s="5">
        <v>44940.0</v>
      </c>
      <c r="Q1562" s="1" t="s">
        <v>1726</v>
      </c>
    </row>
    <row r="1563">
      <c r="A1563" s="1">
        <v>1562.0</v>
      </c>
      <c r="B1563" s="1" t="s">
        <v>3161</v>
      </c>
      <c r="C1563" s="1" t="s">
        <v>25</v>
      </c>
      <c r="K1563" s="1">
        <v>100.0</v>
      </c>
      <c r="N1563" s="5">
        <v>45561.0</v>
      </c>
      <c r="Q1563" s="1" t="s">
        <v>3162</v>
      </c>
    </row>
    <row r="1564">
      <c r="A1564" s="1">
        <v>1563.0</v>
      </c>
      <c r="B1564" s="1" t="s">
        <v>3163</v>
      </c>
      <c r="C1564" s="1" t="s">
        <v>25</v>
      </c>
      <c r="K1564" s="1">
        <v>150.0</v>
      </c>
      <c r="N1564" s="5">
        <v>43926.0</v>
      </c>
      <c r="Q1564" s="1" t="s">
        <v>3164</v>
      </c>
    </row>
    <row r="1565">
      <c r="A1565" s="1">
        <v>1564.0</v>
      </c>
      <c r="B1565" s="1" t="s">
        <v>3165</v>
      </c>
      <c r="C1565" s="1" t="s">
        <v>25</v>
      </c>
      <c r="N1565" s="5">
        <v>42534.0</v>
      </c>
      <c r="Q1565" s="1" t="s">
        <v>55</v>
      </c>
    </row>
    <row r="1566">
      <c r="A1566" s="1">
        <v>1565.0</v>
      </c>
      <c r="B1566" s="1" t="s">
        <v>3166</v>
      </c>
      <c r="C1566" s="1" t="s">
        <v>25</v>
      </c>
      <c r="N1566" s="5">
        <v>45713.0</v>
      </c>
      <c r="Q1566" s="1" t="s">
        <v>1711</v>
      </c>
    </row>
    <row r="1567">
      <c r="A1567" s="1">
        <v>1566.0</v>
      </c>
      <c r="B1567" s="1" t="s">
        <v>3167</v>
      </c>
      <c r="C1567" s="1" t="s">
        <v>25</v>
      </c>
      <c r="K1567" s="1">
        <v>60.0</v>
      </c>
      <c r="N1567" s="5">
        <v>45635.0</v>
      </c>
      <c r="Q1567" s="1" t="s">
        <v>3168</v>
      </c>
    </row>
    <row r="1568">
      <c r="A1568" s="1">
        <v>1567.0</v>
      </c>
      <c r="B1568" s="1" t="s">
        <v>3169</v>
      </c>
      <c r="C1568" s="1" t="s">
        <v>25</v>
      </c>
      <c r="K1568" s="1">
        <v>200.0</v>
      </c>
      <c r="N1568" s="5">
        <v>44198.0</v>
      </c>
      <c r="Q1568" s="1" t="s">
        <v>3170</v>
      </c>
    </row>
    <row r="1569">
      <c r="A1569" s="1">
        <v>1568.0</v>
      </c>
      <c r="B1569" s="1" t="s">
        <v>3171</v>
      </c>
      <c r="C1569" s="1" t="s">
        <v>25</v>
      </c>
      <c r="K1569" s="1">
        <v>150.0</v>
      </c>
      <c r="N1569" s="5">
        <v>43942.0</v>
      </c>
      <c r="Q1569" s="1" t="s">
        <v>3172</v>
      </c>
    </row>
    <row r="1570">
      <c r="A1570" s="1">
        <v>1569.0</v>
      </c>
      <c r="B1570" s="1" t="s">
        <v>3173</v>
      </c>
      <c r="C1570" s="1" t="s">
        <v>25</v>
      </c>
      <c r="K1570" s="1">
        <v>90.0</v>
      </c>
      <c r="N1570" s="5">
        <v>43872.0</v>
      </c>
      <c r="Q1570" s="1" t="s">
        <v>3174</v>
      </c>
    </row>
    <row r="1571">
      <c r="A1571" s="1">
        <v>1570.0</v>
      </c>
      <c r="B1571" s="1" t="s">
        <v>3175</v>
      </c>
      <c r="C1571" s="1" t="s">
        <v>25</v>
      </c>
      <c r="N1571" s="5">
        <v>43872.0</v>
      </c>
      <c r="Q1571" s="1" t="s">
        <v>55</v>
      </c>
    </row>
    <row r="1572">
      <c r="A1572" s="1">
        <v>1571.0</v>
      </c>
      <c r="B1572" s="1" t="s">
        <v>3176</v>
      </c>
      <c r="C1572" s="1" t="s">
        <v>25</v>
      </c>
      <c r="N1572" s="5">
        <v>44541.0</v>
      </c>
      <c r="Q1572" s="1" t="s">
        <v>55</v>
      </c>
    </row>
    <row r="1573">
      <c r="A1573" s="1">
        <v>1572.0</v>
      </c>
      <c r="B1573" s="1" t="s">
        <v>3177</v>
      </c>
      <c r="C1573" s="1" t="s">
        <v>25</v>
      </c>
      <c r="N1573" s="5">
        <v>44748.0</v>
      </c>
      <c r="Q1573" s="1" t="s">
        <v>1726</v>
      </c>
    </row>
    <row r="1574">
      <c r="A1574" s="1">
        <v>1573.0</v>
      </c>
      <c r="B1574" s="1" t="s">
        <v>3178</v>
      </c>
      <c r="C1574" s="1" t="s">
        <v>25</v>
      </c>
      <c r="N1574" s="5">
        <v>45154.0</v>
      </c>
      <c r="Q1574" s="1" t="s">
        <v>55</v>
      </c>
    </row>
    <row r="1575">
      <c r="A1575" s="1">
        <v>1574.0</v>
      </c>
      <c r="B1575" s="1" t="s">
        <v>3179</v>
      </c>
      <c r="C1575" s="1" t="s">
        <v>25</v>
      </c>
      <c r="N1575" s="5">
        <v>44570.0</v>
      </c>
      <c r="Q1575" s="1" t="s">
        <v>55</v>
      </c>
    </row>
    <row r="1576">
      <c r="A1576" s="1">
        <v>1575.0</v>
      </c>
      <c r="B1576" s="1" t="s">
        <v>3180</v>
      </c>
      <c r="C1576" s="1" t="s">
        <v>25</v>
      </c>
      <c r="K1576" s="1">
        <v>10.0</v>
      </c>
      <c r="N1576" s="5">
        <v>43962.0</v>
      </c>
      <c r="Q1576" s="1" t="s">
        <v>3181</v>
      </c>
    </row>
    <row r="1577">
      <c r="A1577" s="1">
        <v>1576.0</v>
      </c>
      <c r="B1577" s="1" t="s">
        <v>3182</v>
      </c>
      <c r="C1577" s="1" t="s">
        <v>25</v>
      </c>
      <c r="K1577" s="1">
        <v>10.0</v>
      </c>
      <c r="N1577" s="5">
        <v>43846.0</v>
      </c>
      <c r="Q1577" s="1" t="s">
        <v>3183</v>
      </c>
    </row>
    <row r="1578">
      <c r="A1578" s="1">
        <v>1577.0</v>
      </c>
      <c r="B1578" s="1" t="s">
        <v>3184</v>
      </c>
      <c r="C1578" s="1" t="s">
        <v>25</v>
      </c>
      <c r="K1578" s="1">
        <v>100.0</v>
      </c>
      <c r="N1578" s="5">
        <v>43912.0</v>
      </c>
      <c r="Q1578" s="1" t="s">
        <v>3185</v>
      </c>
    </row>
    <row r="1579">
      <c r="A1579" s="1">
        <v>1578.0</v>
      </c>
      <c r="B1579" s="1" t="s">
        <v>3186</v>
      </c>
      <c r="C1579" s="1" t="s">
        <v>25</v>
      </c>
      <c r="N1579" s="5">
        <v>45498.0</v>
      </c>
      <c r="Q1579" s="1" t="s">
        <v>3187</v>
      </c>
    </row>
    <row r="1580">
      <c r="A1580" s="1">
        <v>1579.0</v>
      </c>
      <c r="B1580" s="1" t="s">
        <v>3188</v>
      </c>
      <c r="C1580" s="1" t="s">
        <v>25</v>
      </c>
      <c r="K1580" s="1">
        <v>80.0</v>
      </c>
      <c r="N1580" s="5">
        <v>43965.0</v>
      </c>
      <c r="Q1580" s="1" t="s">
        <v>3189</v>
      </c>
    </row>
    <row r="1581">
      <c r="A1581" s="1">
        <v>1580.0</v>
      </c>
      <c r="B1581" s="1" t="s">
        <v>3190</v>
      </c>
      <c r="C1581" s="1" t="s">
        <v>25</v>
      </c>
      <c r="K1581" s="1">
        <v>80.0</v>
      </c>
      <c r="N1581" s="5">
        <v>44424.0</v>
      </c>
      <c r="Q1581" s="1" t="s">
        <v>3191</v>
      </c>
    </row>
    <row r="1582">
      <c r="A1582" s="1">
        <v>1581.0</v>
      </c>
      <c r="B1582" s="1" t="s">
        <v>3192</v>
      </c>
      <c r="C1582" s="1" t="s">
        <v>25</v>
      </c>
      <c r="N1582" s="5">
        <v>44321.0</v>
      </c>
      <c r="Q1582" s="1" t="s">
        <v>55</v>
      </c>
    </row>
    <row r="1583">
      <c r="A1583" s="1">
        <v>1582.0</v>
      </c>
      <c r="B1583" s="1" t="s">
        <v>3193</v>
      </c>
      <c r="C1583" s="1" t="s">
        <v>25</v>
      </c>
      <c r="K1583" s="1">
        <v>60.0</v>
      </c>
      <c r="N1583" s="5">
        <v>45631.0</v>
      </c>
      <c r="Q1583" s="1" t="s">
        <v>3194</v>
      </c>
    </row>
    <row r="1584">
      <c r="A1584" s="1">
        <v>1583.0</v>
      </c>
      <c r="B1584" s="1" t="s">
        <v>3195</v>
      </c>
      <c r="C1584" s="1" t="s">
        <v>25</v>
      </c>
      <c r="K1584" s="1">
        <v>40.0</v>
      </c>
      <c r="N1584" s="5">
        <v>45348.0</v>
      </c>
      <c r="Q1584" s="1" t="s">
        <v>1381</v>
      </c>
    </row>
    <row r="1585">
      <c r="A1585" s="1">
        <v>1584.0</v>
      </c>
      <c r="B1585" s="1" t="s">
        <v>3196</v>
      </c>
      <c r="C1585" s="1" t="s">
        <v>25</v>
      </c>
      <c r="K1585" s="1">
        <v>60.0</v>
      </c>
      <c r="N1585" s="5">
        <v>45656.0</v>
      </c>
      <c r="Q1585" s="1" t="s">
        <v>3197</v>
      </c>
    </row>
    <row r="1586">
      <c r="A1586" s="1">
        <v>1585.0</v>
      </c>
      <c r="B1586" s="1" t="s">
        <v>3198</v>
      </c>
      <c r="C1586" s="1" t="s">
        <v>25</v>
      </c>
      <c r="N1586" s="5">
        <v>44259.0</v>
      </c>
      <c r="Q1586" s="1" t="s">
        <v>55</v>
      </c>
    </row>
    <row r="1587">
      <c r="A1587" s="1">
        <v>1586.0</v>
      </c>
      <c r="B1587" s="1" t="s">
        <v>3199</v>
      </c>
      <c r="C1587" s="1" t="s">
        <v>25</v>
      </c>
      <c r="N1587" s="5">
        <v>44329.0</v>
      </c>
      <c r="Q1587" s="1" t="s">
        <v>55</v>
      </c>
    </row>
    <row r="1588">
      <c r="A1588" s="1">
        <v>1587.0</v>
      </c>
      <c r="B1588" s="1" t="s">
        <v>3200</v>
      </c>
      <c r="C1588" s="1" t="s">
        <v>25</v>
      </c>
      <c r="N1588" s="5">
        <v>44306.0</v>
      </c>
      <c r="Q1588" s="1" t="s">
        <v>55</v>
      </c>
    </row>
    <row r="1589">
      <c r="A1589" s="1">
        <v>1588.0</v>
      </c>
      <c r="B1589" s="1" t="s">
        <v>3201</v>
      </c>
      <c r="C1589" s="1" t="s">
        <v>25</v>
      </c>
      <c r="N1589" s="5">
        <v>44128.0</v>
      </c>
      <c r="Q1589" s="1" t="s">
        <v>55</v>
      </c>
    </row>
    <row r="1590">
      <c r="A1590" s="1">
        <v>1589.0</v>
      </c>
      <c r="B1590" s="1" t="s">
        <v>3202</v>
      </c>
      <c r="C1590" s="1" t="s">
        <v>25</v>
      </c>
      <c r="N1590" s="5">
        <v>44693.0</v>
      </c>
      <c r="Q1590" s="1" t="s">
        <v>55</v>
      </c>
    </row>
    <row r="1591">
      <c r="A1591" s="1">
        <v>1590.0</v>
      </c>
      <c r="B1591" s="1" t="s">
        <v>3203</v>
      </c>
      <c r="C1591" s="1" t="s">
        <v>25</v>
      </c>
      <c r="K1591" s="1">
        <v>60.0</v>
      </c>
      <c r="N1591" s="5">
        <v>43940.0</v>
      </c>
      <c r="Q1591" s="1" t="s">
        <v>55</v>
      </c>
    </row>
    <row r="1592">
      <c r="A1592" s="1">
        <v>1591.0</v>
      </c>
      <c r="B1592" s="1" t="s">
        <v>3204</v>
      </c>
      <c r="C1592" s="1" t="s">
        <v>25</v>
      </c>
      <c r="K1592" s="1">
        <v>200.0</v>
      </c>
      <c r="N1592" s="5">
        <v>44646.0</v>
      </c>
      <c r="Q1592" s="1" t="s">
        <v>3205</v>
      </c>
    </row>
    <row r="1593">
      <c r="A1593" s="1">
        <v>1592.0</v>
      </c>
      <c r="B1593" s="1" t="s">
        <v>3206</v>
      </c>
      <c r="C1593" s="1" t="s">
        <v>25</v>
      </c>
      <c r="N1593" s="5">
        <v>46099.0</v>
      </c>
      <c r="Q1593" s="1" t="s">
        <v>3207</v>
      </c>
    </row>
    <row r="1594">
      <c r="A1594" s="1">
        <v>1593.0</v>
      </c>
      <c r="B1594" s="1" t="s">
        <v>3208</v>
      </c>
      <c r="C1594" s="1" t="s">
        <v>25</v>
      </c>
      <c r="K1594" s="1">
        <v>60.0</v>
      </c>
      <c r="N1594" s="5">
        <v>44543.0</v>
      </c>
      <c r="Q1594" s="1" t="s">
        <v>80</v>
      </c>
    </row>
    <row r="1595">
      <c r="A1595" s="1">
        <v>1594.0</v>
      </c>
      <c r="B1595" s="1" t="s">
        <v>3209</v>
      </c>
      <c r="C1595" s="1" t="s">
        <v>25</v>
      </c>
      <c r="K1595" s="1">
        <v>100.0</v>
      </c>
      <c r="N1595" s="5">
        <v>43887.0</v>
      </c>
      <c r="Q1595" s="1" t="s">
        <v>3210</v>
      </c>
    </row>
    <row r="1596">
      <c r="A1596" s="1">
        <v>1595.0</v>
      </c>
      <c r="B1596" s="1" t="s">
        <v>3211</v>
      </c>
      <c r="C1596" s="1" t="s">
        <v>25</v>
      </c>
      <c r="K1596" s="1">
        <v>10.0</v>
      </c>
      <c r="N1596" s="5">
        <v>45347.0</v>
      </c>
      <c r="Q1596" s="1" t="s">
        <v>55</v>
      </c>
    </row>
    <row r="1597">
      <c r="A1597" s="1">
        <v>1596.0</v>
      </c>
      <c r="B1597" s="1" t="s">
        <v>3212</v>
      </c>
      <c r="C1597" s="1" t="s">
        <v>25</v>
      </c>
      <c r="K1597" s="1">
        <v>10.0</v>
      </c>
      <c r="N1597" s="5">
        <v>44828.0</v>
      </c>
      <c r="Q1597" s="1" t="s">
        <v>3213</v>
      </c>
    </row>
    <row r="1598">
      <c r="A1598" s="1">
        <v>1597.0</v>
      </c>
      <c r="B1598" s="1" t="s">
        <v>3214</v>
      </c>
      <c r="C1598" s="1" t="s">
        <v>25</v>
      </c>
      <c r="K1598" s="1">
        <v>100.0</v>
      </c>
      <c r="N1598" s="5">
        <v>44281.0</v>
      </c>
      <c r="Q1598" s="1" t="s">
        <v>3215</v>
      </c>
    </row>
    <row r="1599">
      <c r="A1599" s="1">
        <v>1598.0</v>
      </c>
      <c r="B1599" s="1" t="s">
        <v>3216</v>
      </c>
      <c r="C1599" s="1" t="s">
        <v>25</v>
      </c>
      <c r="K1599" s="1">
        <v>100.0</v>
      </c>
      <c r="N1599" s="5">
        <v>44037.0</v>
      </c>
      <c r="Q1599" s="1" t="s">
        <v>3217</v>
      </c>
    </row>
    <row r="1600">
      <c r="A1600" s="1">
        <v>1599.0</v>
      </c>
      <c r="B1600" s="1" t="s">
        <v>3218</v>
      </c>
      <c r="C1600" s="1" t="s">
        <v>25</v>
      </c>
      <c r="K1600" s="1">
        <v>300.0</v>
      </c>
      <c r="N1600" s="5">
        <v>45774.0</v>
      </c>
      <c r="Q1600" s="1" t="s">
        <v>3219</v>
      </c>
    </row>
    <row r="1601">
      <c r="A1601" s="1">
        <v>1600.0</v>
      </c>
      <c r="B1601" s="1" t="s">
        <v>3220</v>
      </c>
      <c r="C1601" s="1" t="s">
        <v>25</v>
      </c>
      <c r="K1601" s="1">
        <v>20.0</v>
      </c>
      <c r="N1601" s="5">
        <v>44018.0</v>
      </c>
      <c r="Q1601" s="1" t="s">
        <v>851</v>
      </c>
    </row>
    <row r="1602">
      <c r="A1602" s="1">
        <v>1601.0</v>
      </c>
      <c r="B1602" s="1" t="s">
        <v>3221</v>
      </c>
      <c r="C1602" s="1" t="s">
        <v>25</v>
      </c>
      <c r="K1602" s="1">
        <v>10.0</v>
      </c>
      <c r="N1602" s="5">
        <v>44638.0</v>
      </c>
      <c r="Q1602" s="1" t="s">
        <v>80</v>
      </c>
    </row>
    <row r="1603">
      <c r="A1603" s="1">
        <v>1602.0</v>
      </c>
      <c r="B1603" s="1" t="s">
        <v>3222</v>
      </c>
      <c r="C1603" s="1" t="s">
        <v>25</v>
      </c>
      <c r="K1603" s="1">
        <v>60.0</v>
      </c>
      <c r="N1603" s="5">
        <v>45603.0</v>
      </c>
      <c r="Q1603" s="1" t="s">
        <v>3223</v>
      </c>
    </row>
    <row r="1604">
      <c r="A1604" s="1">
        <v>1603.0</v>
      </c>
      <c r="B1604" s="1" t="s">
        <v>3224</v>
      </c>
      <c r="C1604" s="1" t="s">
        <v>25</v>
      </c>
      <c r="N1604" s="5">
        <v>44832.0</v>
      </c>
      <c r="Q1604" s="1" t="s">
        <v>851</v>
      </c>
    </row>
    <row r="1605">
      <c r="A1605" s="1">
        <v>1604.0</v>
      </c>
      <c r="B1605" s="1" t="s">
        <v>3225</v>
      </c>
      <c r="C1605" s="1" t="s">
        <v>25</v>
      </c>
      <c r="K1605" s="1">
        <v>100.0</v>
      </c>
      <c r="N1605" s="5">
        <v>44241.0</v>
      </c>
      <c r="Q1605" s="1" t="s">
        <v>3226</v>
      </c>
    </row>
    <row r="1606">
      <c r="A1606" s="1">
        <v>1605.0</v>
      </c>
      <c r="B1606" s="1" t="s">
        <v>3227</v>
      </c>
      <c r="C1606" s="1" t="s">
        <v>25</v>
      </c>
      <c r="K1606" s="1">
        <v>100.0</v>
      </c>
      <c r="N1606" s="5">
        <v>45620.0</v>
      </c>
      <c r="Q1606" s="1" t="s">
        <v>3228</v>
      </c>
    </row>
    <row r="1607">
      <c r="A1607" s="1">
        <v>1606.0</v>
      </c>
      <c r="B1607" s="1" t="s">
        <v>3229</v>
      </c>
      <c r="C1607" s="1" t="s">
        <v>25</v>
      </c>
      <c r="K1607" s="1">
        <v>30.0</v>
      </c>
      <c r="N1607" s="5">
        <v>44728.0</v>
      </c>
      <c r="Q1607" s="1" t="s">
        <v>55</v>
      </c>
    </row>
    <row r="1608">
      <c r="A1608" s="1">
        <v>1607.0</v>
      </c>
      <c r="B1608" s="1" t="s">
        <v>3230</v>
      </c>
      <c r="C1608" s="1" t="s">
        <v>25</v>
      </c>
      <c r="K1608" s="1">
        <v>30.0</v>
      </c>
      <c r="N1608" s="5">
        <v>45426.0</v>
      </c>
      <c r="Q1608" s="1" t="s">
        <v>55</v>
      </c>
    </row>
    <row r="1609">
      <c r="A1609" s="1">
        <v>1608.0</v>
      </c>
      <c r="B1609" s="1" t="s">
        <v>3231</v>
      </c>
      <c r="C1609" s="1" t="s">
        <v>25</v>
      </c>
      <c r="N1609" s="5">
        <v>45685.0</v>
      </c>
      <c r="Q1609" s="1" t="s">
        <v>3232</v>
      </c>
    </row>
    <row r="1610">
      <c r="A1610" s="1">
        <v>1609.0</v>
      </c>
      <c r="B1610" s="1" t="s">
        <v>3233</v>
      </c>
      <c r="C1610" s="1" t="s">
        <v>25</v>
      </c>
      <c r="K1610" s="1">
        <v>60.0</v>
      </c>
      <c r="N1610" s="5">
        <v>45642.0</v>
      </c>
      <c r="Q1610" s="1" t="s">
        <v>3234</v>
      </c>
    </row>
    <row r="1611">
      <c r="A1611" s="1">
        <v>1610.0</v>
      </c>
      <c r="B1611" s="1" t="s">
        <v>3235</v>
      </c>
      <c r="C1611" s="1" t="s">
        <v>25</v>
      </c>
      <c r="K1611" s="1">
        <v>100.0</v>
      </c>
      <c r="N1611" s="5">
        <v>44287.0</v>
      </c>
      <c r="Q1611" s="1" t="s">
        <v>172</v>
      </c>
    </row>
    <row r="1612">
      <c r="A1612" s="1">
        <v>1611.0</v>
      </c>
      <c r="B1612" s="1" t="s">
        <v>3236</v>
      </c>
      <c r="C1612" s="1" t="s">
        <v>25</v>
      </c>
      <c r="K1612" s="1">
        <v>10.0</v>
      </c>
      <c r="N1612" s="5">
        <v>44590.0</v>
      </c>
      <c r="Q1612" s="1" t="s">
        <v>3237</v>
      </c>
    </row>
    <row r="1613">
      <c r="A1613" s="1">
        <v>1612.0</v>
      </c>
      <c r="B1613" s="1" t="s">
        <v>3238</v>
      </c>
      <c r="C1613" s="1" t="s">
        <v>25</v>
      </c>
      <c r="K1613" s="1">
        <v>250.0</v>
      </c>
      <c r="N1613" s="5">
        <v>45154.0</v>
      </c>
      <c r="Q1613" s="1" t="s">
        <v>3239</v>
      </c>
    </row>
    <row r="1614">
      <c r="A1614" s="1">
        <v>1613.0</v>
      </c>
      <c r="B1614" s="1" t="s">
        <v>3240</v>
      </c>
      <c r="C1614" s="1" t="s">
        <v>25</v>
      </c>
      <c r="K1614" s="1">
        <v>30.0</v>
      </c>
      <c r="N1614" s="5">
        <v>44676.0</v>
      </c>
      <c r="Q1614" s="1" t="s">
        <v>55</v>
      </c>
    </row>
    <row r="1615">
      <c r="A1615" s="1">
        <v>1614.0</v>
      </c>
      <c r="B1615" s="1" t="s">
        <v>3241</v>
      </c>
      <c r="C1615" s="1" t="s">
        <v>25</v>
      </c>
      <c r="K1615" s="1">
        <v>40.0</v>
      </c>
      <c r="N1615" s="5">
        <v>44364.0</v>
      </c>
      <c r="Q1615" s="1" t="s">
        <v>1638</v>
      </c>
    </row>
    <row r="1616">
      <c r="A1616" s="1">
        <v>1615.0</v>
      </c>
      <c r="B1616" s="1" t="s">
        <v>3242</v>
      </c>
      <c r="C1616" s="1" t="s">
        <v>25</v>
      </c>
      <c r="K1616" s="1">
        <v>200.0</v>
      </c>
      <c r="N1616" s="5">
        <v>45538.0</v>
      </c>
      <c r="Q1616" s="1" t="s">
        <v>3243</v>
      </c>
    </row>
    <row r="1617">
      <c r="A1617" s="1">
        <v>1616.0</v>
      </c>
      <c r="B1617" s="1" t="s">
        <v>3244</v>
      </c>
      <c r="C1617" s="1" t="s">
        <v>25</v>
      </c>
      <c r="K1617" s="1">
        <v>100.0</v>
      </c>
      <c r="N1617" s="5">
        <v>45166.0</v>
      </c>
      <c r="Q1617" s="1" t="s">
        <v>3245</v>
      </c>
    </row>
    <row r="1618">
      <c r="A1618" s="1">
        <v>1617.0</v>
      </c>
      <c r="B1618" s="1" t="s">
        <v>3246</v>
      </c>
      <c r="C1618" s="1" t="s">
        <v>25</v>
      </c>
      <c r="K1618" s="1">
        <v>200.0</v>
      </c>
      <c r="N1618" s="5">
        <v>44570.0</v>
      </c>
      <c r="Q1618" s="1" t="s">
        <v>3247</v>
      </c>
    </row>
    <row r="1619">
      <c r="A1619" s="1">
        <v>1618.0</v>
      </c>
      <c r="B1619" s="1" t="s">
        <v>3248</v>
      </c>
      <c r="C1619" s="1" t="s">
        <v>25</v>
      </c>
      <c r="K1619" s="1">
        <v>150.0</v>
      </c>
      <c r="N1619" s="5">
        <v>44018.0</v>
      </c>
      <c r="Q1619" s="1" t="s">
        <v>3249</v>
      </c>
    </row>
    <row r="1620">
      <c r="A1620" s="1">
        <v>1619.0</v>
      </c>
      <c r="B1620" s="1" t="s">
        <v>3250</v>
      </c>
      <c r="C1620" s="1" t="s">
        <v>25</v>
      </c>
      <c r="K1620" s="1">
        <v>400.0</v>
      </c>
      <c r="N1620" s="5">
        <v>44177.0</v>
      </c>
      <c r="Q1620" s="1" t="s">
        <v>3251</v>
      </c>
    </row>
    <row r="1621">
      <c r="A1621" s="1">
        <v>1620.0</v>
      </c>
      <c r="B1621" s="1" t="s">
        <v>3252</v>
      </c>
      <c r="C1621" s="1" t="s">
        <v>25</v>
      </c>
      <c r="N1621" s="5">
        <v>44527.0</v>
      </c>
      <c r="Q1621" s="1" t="s">
        <v>1069</v>
      </c>
    </row>
    <row r="1622">
      <c r="A1622" s="1">
        <v>1621.0</v>
      </c>
      <c r="B1622" s="1" t="s">
        <v>3253</v>
      </c>
      <c r="C1622" s="1" t="s">
        <v>25</v>
      </c>
      <c r="K1622" s="1">
        <v>50.0</v>
      </c>
      <c r="N1622" s="5">
        <v>44455.0</v>
      </c>
      <c r="Q1622" s="1" t="s">
        <v>3254</v>
      </c>
    </row>
    <row r="1623">
      <c r="A1623" s="1">
        <v>1622.0</v>
      </c>
      <c r="B1623" s="1" t="s">
        <v>3255</v>
      </c>
      <c r="C1623" s="1" t="s">
        <v>25</v>
      </c>
      <c r="K1623" s="1">
        <v>200.0</v>
      </c>
      <c r="N1623" s="5">
        <v>43962.0</v>
      </c>
      <c r="Q1623" s="1" t="s">
        <v>3256</v>
      </c>
    </row>
    <row r="1624">
      <c r="A1624" s="1">
        <v>1623.0</v>
      </c>
      <c r="B1624" s="1" t="s">
        <v>3257</v>
      </c>
      <c r="C1624" s="1" t="s">
        <v>25</v>
      </c>
      <c r="K1624" s="1">
        <v>350.0</v>
      </c>
      <c r="N1624" s="5">
        <v>43977.0</v>
      </c>
      <c r="Q1624" s="1" t="s">
        <v>3258</v>
      </c>
    </row>
    <row r="1625">
      <c r="A1625" s="1">
        <v>1624.0</v>
      </c>
      <c r="B1625" s="1" t="s">
        <v>3259</v>
      </c>
      <c r="C1625" s="1" t="s">
        <v>25</v>
      </c>
      <c r="K1625" s="1">
        <v>400.0</v>
      </c>
      <c r="N1625" s="5">
        <v>44077.0</v>
      </c>
      <c r="Q1625" s="1" t="s">
        <v>3260</v>
      </c>
    </row>
    <row r="1626">
      <c r="A1626" s="1">
        <v>1625.0</v>
      </c>
      <c r="B1626" s="1" t="s">
        <v>3261</v>
      </c>
      <c r="C1626" s="1" t="s">
        <v>25</v>
      </c>
      <c r="N1626" s="5">
        <v>44606.0</v>
      </c>
      <c r="Q1626" s="1" t="s">
        <v>55</v>
      </c>
    </row>
    <row r="1627">
      <c r="A1627" s="1">
        <v>1626.0</v>
      </c>
      <c r="B1627" s="1" t="s">
        <v>3262</v>
      </c>
      <c r="C1627" s="1" t="s">
        <v>25</v>
      </c>
      <c r="K1627" s="1">
        <v>250.0</v>
      </c>
      <c r="N1627" s="5">
        <v>43872.0</v>
      </c>
      <c r="Q1627" s="1" t="s">
        <v>3263</v>
      </c>
    </row>
    <row r="1628">
      <c r="A1628" s="1">
        <v>1627.0</v>
      </c>
      <c r="B1628" s="1" t="s">
        <v>3264</v>
      </c>
      <c r="C1628" s="1" t="s">
        <v>25</v>
      </c>
      <c r="K1628" s="1">
        <v>60.0</v>
      </c>
      <c r="N1628" s="5">
        <v>43903.0</v>
      </c>
      <c r="Q1628" s="1" t="s">
        <v>125</v>
      </c>
    </row>
    <row r="1629">
      <c r="A1629" s="1">
        <v>1628.0</v>
      </c>
      <c r="B1629" s="1" t="s">
        <v>3265</v>
      </c>
      <c r="C1629" s="1" t="s">
        <v>25</v>
      </c>
      <c r="K1629" s="1">
        <v>60.0</v>
      </c>
      <c r="N1629" s="5">
        <v>43850.0</v>
      </c>
      <c r="Q1629" s="1" t="s">
        <v>1568</v>
      </c>
    </row>
    <row r="1630">
      <c r="A1630" s="1">
        <v>1629.0</v>
      </c>
      <c r="B1630" s="1" t="s">
        <v>3266</v>
      </c>
      <c r="C1630" s="1" t="s">
        <v>25</v>
      </c>
      <c r="N1630" s="5">
        <v>44243.0</v>
      </c>
      <c r="Q1630" s="1" t="s">
        <v>55</v>
      </c>
    </row>
    <row r="1631">
      <c r="A1631" s="1">
        <v>1630.0</v>
      </c>
      <c r="B1631" s="1" t="s">
        <v>3267</v>
      </c>
      <c r="C1631" s="1" t="s">
        <v>25</v>
      </c>
      <c r="N1631" s="5">
        <v>44301.0</v>
      </c>
      <c r="Q1631" s="1" t="s">
        <v>55</v>
      </c>
    </row>
    <row r="1632">
      <c r="A1632" s="1">
        <v>1631.0</v>
      </c>
      <c r="B1632" s="1" t="s">
        <v>3268</v>
      </c>
      <c r="C1632" s="1" t="s">
        <v>25</v>
      </c>
      <c r="K1632" s="1">
        <v>30.0</v>
      </c>
      <c r="N1632" s="5">
        <v>44240.0</v>
      </c>
      <c r="Q1632" s="1" t="s">
        <v>3269</v>
      </c>
    </row>
    <row r="1633">
      <c r="A1633" s="1">
        <v>1632.0</v>
      </c>
      <c r="B1633" s="1" t="s">
        <v>3270</v>
      </c>
      <c r="C1633" s="1" t="s">
        <v>25</v>
      </c>
      <c r="N1633" s="5">
        <v>44185.0</v>
      </c>
      <c r="Q1633" s="1" t="s">
        <v>55</v>
      </c>
    </row>
    <row r="1634">
      <c r="A1634" s="1">
        <v>1633.0</v>
      </c>
      <c r="B1634" s="1" t="s">
        <v>3271</v>
      </c>
      <c r="C1634" s="1" t="s">
        <v>25</v>
      </c>
      <c r="K1634" s="1">
        <v>10.0</v>
      </c>
      <c r="N1634" s="5">
        <v>44726.0</v>
      </c>
      <c r="Q1634" s="1" t="s">
        <v>1678</v>
      </c>
    </row>
    <row r="1635">
      <c r="A1635" s="1">
        <v>1634.0</v>
      </c>
      <c r="B1635" s="1" t="s">
        <v>3272</v>
      </c>
      <c r="C1635" s="1" t="s">
        <v>25</v>
      </c>
      <c r="K1635" s="1">
        <v>90.0</v>
      </c>
      <c r="N1635" s="5">
        <v>44111.0</v>
      </c>
      <c r="Q1635" s="1" t="s">
        <v>1396</v>
      </c>
    </row>
    <row r="1636">
      <c r="A1636" s="1">
        <v>1635.0</v>
      </c>
      <c r="B1636" s="1" t="s">
        <v>3273</v>
      </c>
      <c r="C1636" s="1" t="s">
        <v>25</v>
      </c>
      <c r="N1636" s="5">
        <v>45482.0</v>
      </c>
      <c r="Q1636" s="1" t="s">
        <v>3274</v>
      </c>
    </row>
    <row r="1637">
      <c r="A1637" s="1">
        <v>1636.0</v>
      </c>
      <c r="B1637" s="1" t="s">
        <v>3275</v>
      </c>
      <c r="C1637" s="1" t="s">
        <v>25</v>
      </c>
      <c r="K1637" s="1">
        <v>50.0</v>
      </c>
      <c r="N1637" s="5">
        <v>44581.0</v>
      </c>
      <c r="Q1637" s="1" t="s">
        <v>2640</v>
      </c>
    </row>
    <row r="1638">
      <c r="A1638" s="1">
        <v>1637.0</v>
      </c>
      <c r="B1638" s="1" t="s">
        <v>3276</v>
      </c>
      <c r="C1638" s="1" t="s">
        <v>25</v>
      </c>
      <c r="K1638" s="1">
        <v>60.0</v>
      </c>
      <c r="N1638" s="5">
        <v>45485.0</v>
      </c>
      <c r="Q1638" s="1" t="s">
        <v>3277</v>
      </c>
    </row>
    <row r="1639">
      <c r="A1639" s="1">
        <v>1638.0</v>
      </c>
      <c r="B1639" s="1" t="s">
        <v>3278</v>
      </c>
      <c r="C1639" s="1" t="s">
        <v>25</v>
      </c>
      <c r="N1639" s="5">
        <v>44375.0</v>
      </c>
      <c r="Q1639" s="1" t="s">
        <v>55</v>
      </c>
    </row>
    <row r="1640">
      <c r="A1640" s="1">
        <v>1639.0</v>
      </c>
      <c r="B1640" s="1" t="s">
        <v>3279</v>
      </c>
      <c r="C1640" s="1" t="s">
        <v>25</v>
      </c>
      <c r="K1640" s="1">
        <v>50.0</v>
      </c>
      <c r="N1640" s="5">
        <v>44399.0</v>
      </c>
      <c r="Q1640" s="1" t="s">
        <v>3280</v>
      </c>
    </row>
    <row r="1641">
      <c r="A1641" s="1">
        <v>1640.0</v>
      </c>
      <c r="B1641" s="1" t="s">
        <v>3281</v>
      </c>
      <c r="C1641" s="1" t="s">
        <v>25</v>
      </c>
      <c r="K1641" s="1">
        <v>40.0</v>
      </c>
      <c r="N1641" s="5">
        <v>44282.0</v>
      </c>
      <c r="Q1641" s="1" t="s">
        <v>3282</v>
      </c>
    </row>
    <row r="1642">
      <c r="A1642" s="1">
        <v>1641.0</v>
      </c>
      <c r="B1642" s="1" t="s">
        <v>3283</v>
      </c>
      <c r="C1642" s="1" t="s">
        <v>25</v>
      </c>
      <c r="K1642" s="1">
        <v>30.0</v>
      </c>
      <c r="N1642" s="5">
        <v>44437.0</v>
      </c>
      <c r="Q1642" s="1" t="s">
        <v>1471</v>
      </c>
    </row>
    <row r="1643">
      <c r="A1643" s="1">
        <v>1642.0</v>
      </c>
      <c r="B1643" s="1" t="s">
        <v>3284</v>
      </c>
      <c r="C1643" s="1" t="s">
        <v>25</v>
      </c>
      <c r="K1643" s="1">
        <v>40.0</v>
      </c>
      <c r="N1643" s="5">
        <v>45685.0</v>
      </c>
      <c r="Q1643" s="1" t="s">
        <v>3285</v>
      </c>
    </row>
    <row r="1644">
      <c r="A1644" s="1">
        <v>1643.0</v>
      </c>
      <c r="B1644" s="1" t="s">
        <v>3286</v>
      </c>
      <c r="C1644" s="1" t="s">
        <v>25</v>
      </c>
      <c r="K1644" s="1">
        <v>20.0</v>
      </c>
      <c r="N1644" s="5">
        <v>44119.0</v>
      </c>
      <c r="Q1644" s="1" t="s">
        <v>55</v>
      </c>
    </row>
    <row r="1645">
      <c r="A1645" s="1">
        <v>1644.0</v>
      </c>
      <c r="B1645" s="1" t="s">
        <v>3287</v>
      </c>
      <c r="C1645" s="1" t="s">
        <v>25</v>
      </c>
      <c r="N1645" s="5">
        <v>43889.0</v>
      </c>
      <c r="Q1645" s="1" t="s">
        <v>55</v>
      </c>
    </row>
    <row r="1646">
      <c r="A1646" s="1">
        <v>1645.0</v>
      </c>
      <c r="B1646" s="1" t="s">
        <v>3288</v>
      </c>
      <c r="C1646" s="1" t="s">
        <v>25</v>
      </c>
      <c r="K1646" s="1">
        <v>150.0</v>
      </c>
      <c r="N1646" s="5">
        <v>44534.0</v>
      </c>
      <c r="Q1646" s="1" t="s">
        <v>569</v>
      </c>
    </row>
    <row r="1647">
      <c r="A1647" s="1">
        <v>1646.0</v>
      </c>
      <c r="B1647" s="1" t="s">
        <v>3289</v>
      </c>
      <c r="C1647" s="1" t="s">
        <v>25</v>
      </c>
      <c r="K1647" s="1">
        <v>10.0</v>
      </c>
      <c r="N1647" s="5">
        <v>44195.0</v>
      </c>
      <c r="Q1647" s="1" t="s">
        <v>3290</v>
      </c>
    </row>
    <row r="1648">
      <c r="A1648" s="1">
        <v>1647.0</v>
      </c>
      <c r="B1648" s="1" t="s">
        <v>3291</v>
      </c>
      <c r="C1648" s="1" t="s">
        <v>25</v>
      </c>
      <c r="N1648" s="5">
        <v>44120.0</v>
      </c>
      <c r="Q1648" s="1" t="s">
        <v>55</v>
      </c>
    </row>
    <row r="1649">
      <c r="A1649" s="1">
        <v>1648.0</v>
      </c>
      <c r="B1649" s="1" t="s">
        <v>3292</v>
      </c>
      <c r="C1649" s="1" t="s">
        <v>25</v>
      </c>
      <c r="K1649" s="1">
        <v>150.0</v>
      </c>
      <c r="N1649" s="5">
        <v>45575.0</v>
      </c>
      <c r="Q1649" s="1" t="s">
        <v>3293</v>
      </c>
    </row>
    <row r="1650">
      <c r="A1650" s="1">
        <v>1649.0</v>
      </c>
      <c r="B1650" s="1" t="s">
        <v>3294</v>
      </c>
      <c r="C1650" s="1" t="s">
        <v>25</v>
      </c>
      <c r="K1650" s="1">
        <v>100.0</v>
      </c>
      <c r="N1650" s="5">
        <v>44129.0</v>
      </c>
      <c r="Q1650" s="1" t="s">
        <v>3295</v>
      </c>
    </row>
    <row r="1651">
      <c r="A1651" s="1">
        <v>1650.0</v>
      </c>
      <c r="B1651" s="1" t="s">
        <v>3296</v>
      </c>
      <c r="C1651" s="1" t="s">
        <v>25</v>
      </c>
      <c r="K1651" s="1">
        <v>60.0</v>
      </c>
      <c r="N1651" s="5">
        <v>44043.0</v>
      </c>
      <c r="Q1651" s="1" t="s">
        <v>345</v>
      </c>
    </row>
    <row r="1652">
      <c r="A1652" s="1">
        <v>1651.0</v>
      </c>
      <c r="B1652" s="1" t="s">
        <v>3297</v>
      </c>
      <c r="C1652" s="1" t="s">
        <v>25</v>
      </c>
      <c r="N1652" s="5">
        <v>45076.0</v>
      </c>
      <c r="Q1652" s="1" t="s">
        <v>55</v>
      </c>
    </row>
    <row r="1653">
      <c r="A1653" s="1">
        <v>1652.0</v>
      </c>
      <c r="B1653" s="1" t="s">
        <v>397</v>
      </c>
      <c r="C1653" s="1" t="s">
        <v>25</v>
      </c>
      <c r="K1653" s="1">
        <v>40.0</v>
      </c>
      <c r="N1653" s="5">
        <v>45648.0</v>
      </c>
      <c r="Q1653" s="1" t="s">
        <v>3298</v>
      </c>
    </row>
    <row r="1654">
      <c r="A1654" s="1">
        <v>1653.0</v>
      </c>
      <c r="B1654" s="1" t="s">
        <v>3299</v>
      </c>
      <c r="C1654" s="1" t="s">
        <v>25</v>
      </c>
      <c r="K1654" s="1">
        <v>30.0</v>
      </c>
      <c r="N1654" s="5">
        <v>45801.0</v>
      </c>
      <c r="Q1654" s="1" t="s">
        <v>3300</v>
      </c>
    </row>
    <row r="1655">
      <c r="A1655" s="1">
        <v>1654.0</v>
      </c>
      <c r="B1655" s="1" t="s">
        <v>3301</v>
      </c>
      <c r="C1655" s="1" t="s">
        <v>25</v>
      </c>
      <c r="K1655" s="1">
        <v>150.0</v>
      </c>
      <c r="N1655" s="5">
        <v>44732.0</v>
      </c>
      <c r="Q1655" s="1" t="s">
        <v>3302</v>
      </c>
    </row>
    <row r="1656">
      <c r="A1656" s="1">
        <v>1655.0</v>
      </c>
      <c r="B1656" s="1" t="s">
        <v>3303</v>
      </c>
      <c r="C1656" s="1" t="s">
        <v>25</v>
      </c>
      <c r="K1656" s="1">
        <v>20.0</v>
      </c>
      <c r="N1656" s="5">
        <v>45359.0</v>
      </c>
      <c r="Q1656" s="1" t="s">
        <v>3304</v>
      </c>
    </row>
    <row r="1657">
      <c r="A1657" s="1">
        <v>1656.0</v>
      </c>
      <c r="B1657" s="1" t="s">
        <v>3305</v>
      </c>
      <c r="C1657" s="1" t="s">
        <v>25</v>
      </c>
      <c r="K1657" s="1">
        <v>90.0</v>
      </c>
      <c r="N1657" s="5">
        <v>44582.0</v>
      </c>
      <c r="Q1657" s="1" t="s">
        <v>125</v>
      </c>
    </row>
    <row r="1658">
      <c r="A1658" s="1">
        <v>1657.0</v>
      </c>
      <c r="B1658" s="1" t="s">
        <v>3306</v>
      </c>
      <c r="C1658" s="1" t="s">
        <v>25</v>
      </c>
      <c r="N1658" s="5">
        <v>45411.0</v>
      </c>
      <c r="Q1658" s="1" t="s">
        <v>80</v>
      </c>
    </row>
    <row r="1659">
      <c r="A1659" s="1">
        <v>1658.0</v>
      </c>
      <c r="B1659" s="1" t="s">
        <v>3307</v>
      </c>
      <c r="C1659" s="1" t="s">
        <v>25</v>
      </c>
      <c r="K1659" s="1">
        <v>80.0</v>
      </c>
      <c r="N1659" s="5">
        <v>44142.0</v>
      </c>
      <c r="Q1659" s="1" t="s">
        <v>3308</v>
      </c>
    </row>
    <row r="1660">
      <c r="A1660" s="1">
        <v>1659.0</v>
      </c>
      <c r="B1660" s="1" t="s">
        <v>3309</v>
      </c>
      <c r="C1660" s="1" t="s">
        <v>25</v>
      </c>
      <c r="N1660" s="5">
        <v>44605.0</v>
      </c>
      <c r="Q1660" s="1" t="s">
        <v>55</v>
      </c>
    </row>
    <row r="1661">
      <c r="A1661" s="1">
        <v>1660.0</v>
      </c>
      <c r="B1661" s="1" t="s">
        <v>3310</v>
      </c>
      <c r="C1661" s="1" t="s">
        <v>25</v>
      </c>
      <c r="K1661" s="1">
        <v>800.0</v>
      </c>
      <c r="N1661" s="5">
        <v>43967.0</v>
      </c>
      <c r="Q1661" s="1" t="s">
        <v>3311</v>
      </c>
    </row>
    <row r="1662">
      <c r="A1662" s="1">
        <v>1661.0</v>
      </c>
      <c r="B1662" s="1" t="s">
        <v>3312</v>
      </c>
      <c r="C1662" s="1" t="s">
        <v>25</v>
      </c>
      <c r="K1662" s="1">
        <v>400.0</v>
      </c>
      <c r="N1662" s="5">
        <v>45597.0</v>
      </c>
      <c r="Q1662" s="1" t="s">
        <v>3313</v>
      </c>
    </row>
    <row r="1663">
      <c r="A1663" s="1">
        <v>1662.0</v>
      </c>
      <c r="B1663" s="1" t="s">
        <v>3314</v>
      </c>
      <c r="C1663" s="1" t="s">
        <v>25</v>
      </c>
      <c r="N1663" s="5">
        <v>43926.0</v>
      </c>
      <c r="Q1663" s="1" t="s">
        <v>55</v>
      </c>
    </row>
    <row r="1664">
      <c r="A1664" s="1">
        <v>1663.0</v>
      </c>
      <c r="B1664" s="1" t="s">
        <v>3315</v>
      </c>
      <c r="C1664" s="1" t="s">
        <v>25</v>
      </c>
      <c r="K1664" s="1">
        <v>200.0</v>
      </c>
      <c r="N1664" s="5">
        <v>43848.0</v>
      </c>
      <c r="Q1664" s="1" t="s">
        <v>3316</v>
      </c>
    </row>
    <row r="1665">
      <c r="A1665" s="1">
        <v>1664.0</v>
      </c>
      <c r="B1665" s="1" t="s">
        <v>3317</v>
      </c>
      <c r="C1665" s="1" t="s">
        <v>25</v>
      </c>
      <c r="K1665" s="1">
        <v>50.0</v>
      </c>
      <c r="N1665" s="5">
        <v>44757.0</v>
      </c>
      <c r="Q1665" s="1" t="s">
        <v>55</v>
      </c>
    </row>
    <row r="1666">
      <c r="A1666" s="1">
        <v>1665.0</v>
      </c>
      <c r="B1666" s="1" t="s">
        <v>3318</v>
      </c>
      <c r="C1666" s="1" t="s">
        <v>25</v>
      </c>
      <c r="K1666" s="1">
        <v>60.0</v>
      </c>
      <c r="N1666" s="5">
        <v>43840.0</v>
      </c>
      <c r="Q1666" s="1" t="s">
        <v>55</v>
      </c>
    </row>
    <row r="1667">
      <c r="A1667" s="1">
        <v>1666.0</v>
      </c>
      <c r="B1667" s="1" t="s">
        <v>3319</v>
      </c>
      <c r="C1667" s="1" t="s">
        <v>25</v>
      </c>
      <c r="N1667" s="5">
        <v>44643.0</v>
      </c>
      <c r="Q1667" s="1" t="s">
        <v>55</v>
      </c>
    </row>
    <row r="1668">
      <c r="A1668" s="1">
        <v>1667.0</v>
      </c>
      <c r="B1668" s="1" t="s">
        <v>3320</v>
      </c>
      <c r="C1668" s="1" t="s">
        <v>25</v>
      </c>
      <c r="K1668" s="1">
        <v>20.0</v>
      </c>
      <c r="N1668" s="5">
        <v>44122.0</v>
      </c>
      <c r="Q1668" s="1" t="s">
        <v>55</v>
      </c>
    </row>
    <row r="1669">
      <c r="A1669" s="1">
        <v>1668.0</v>
      </c>
      <c r="B1669" s="1" t="s">
        <v>3321</v>
      </c>
      <c r="C1669" s="1" t="s">
        <v>25</v>
      </c>
      <c r="K1669" s="1">
        <v>200.0</v>
      </c>
      <c r="N1669" s="5">
        <v>43912.0</v>
      </c>
      <c r="Q1669" s="1" t="s">
        <v>3322</v>
      </c>
    </row>
    <row r="1670">
      <c r="A1670" s="1">
        <v>1669.0</v>
      </c>
      <c r="B1670" s="1" t="s">
        <v>3323</v>
      </c>
      <c r="C1670" s="1" t="s">
        <v>25</v>
      </c>
      <c r="K1670" s="1">
        <v>100.0</v>
      </c>
      <c r="N1670" s="5">
        <v>44660.0</v>
      </c>
      <c r="Q1670" s="1" t="s">
        <v>2469</v>
      </c>
    </row>
    <row r="1671">
      <c r="A1671" s="1">
        <v>1670.0</v>
      </c>
      <c r="B1671" s="1" t="s">
        <v>3324</v>
      </c>
      <c r="C1671" s="1" t="s">
        <v>25</v>
      </c>
      <c r="K1671" s="1">
        <v>30.0</v>
      </c>
      <c r="N1671" s="5">
        <v>45647.0</v>
      </c>
      <c r="Q1671" s="1" t="s">
        <v>3325</v>
      </c>
    </row>
    <row r="1672">
      <c r="A1672" s="1">
        <v>1671.0</v>
      </c>
      <c r="B1672" s="1" t="s">
        <v>3326</v>
      </c>
      <c r="C1672" s="1" t="s">
        <v>25</v>
      </c>
      <c r="K1672" s="1">
        <v>70.0</v>
      </c>
      <c r="N1672" s="5">
        <v>44354.0</v>
      </c>
      <c r="Q1672" s="1" t="s">
        <v>55</v>
      </c>
    </row>
    <row r="1673">
      <c r="A1673" s="1">
        <v>1672.0</v>
      </c>
      <c r="B1673" s="1" t="s">
        <v>3327</v>
      </c>
      <c r="C1673" s="1" t="s">
        <v>25</v>
      </c>
      <c r="K1673" s="1">
        <v>10.0</v>
      </c>
      <c r="N1673" s="5">
        <v>43953.0</v>
      </c>
      <c r="Q1673" s="1" t="s">
        <v>1791</v>
      </c>
    </row>
    <row r="1674">
      <c r="A1674" s="1">
        <v>1673.0</v>
      </c>
      <c r="B1674" s="1" t="s">
        <v>3328</v>
      </c>
      <c r="C1674" s="1" t="s">
        <v>25</v>
      </c>
      <c r="N1674" s="5">
        <v>44290.0</v>
      </c>
      <c r="Q1674" s="1" t="s">
        <v>55</v>
      </c>
    </row>
    <row r="1675">
      <c r="A1675" s="1">
        <v>1674.0</v>
      </c>
      <c r="B1675" s="1" t="s">
        <v>3329</v>
      </c>
      <c r="C1675" s="1" t="s">
        <v>25</v>
      </c>
      <c r="K1675" s="1">
        <v>60.0</v>
      </c>
      <c r="N1675" s="5">
        <v>44163.0</v>
      </c>
      <c r="Q1675" s="1" t="s">
        <v>644</v>
      </c>
    </row>
    <row r="1676">
      <c r="A1676" s="1">
        <v>1675.0</v>
      </c>
      <c r="B1676" s="1" t="s">
        <v>3330</v>
      </c>
      <c r="C1676" s="1" t="s">
        <v>25</v>
      </c>
      <c r="K1676" s="1">
        <v>20.0</v>
      </c>
      <c r="N1676" s="5">
        <v>44016.0</v>
      </c>
      <c r="Q1676" s="1" t="s">
        <v>55</v>
      </c>
    </row>
    <row r="1677">
      <c r="A1677" s="1">
        <v>1676.0</v>
      </c>
      <c r="B1677" s="1" t="s">
        <v>3331</v>
      </c>
      <c r="C1677" s="1" t="s">
        <v>25</v>
      </c>
      <c r="K1677" s="1">
        <v>60.0</v>
      </c>
      <c r="N1677" s="5">
        <v>45717.0</v>
      </c>
      <c r="Q1677" s="1" t="s">
        <v>3332</v>
      </c>
    </row>
    <row r="1678">
      <c r="A1678" s="1">
        <v>1677.0</v>
      </c>
      <c r="B1678" s="1" t="s">
        <v>3333</v>
      </c>
      <c r="C1678" s="1" t="s">
        <v>25</v>
      </c>
      <c r="K1678" s="1">
        <v>150.0</v>
      </c>
      <c r="N1678" s="5">
        <v>43840.0</v>
      </c>
      <c r="Q1678" s="1" t="s">
        <v>3334</v>
      </c>
    </row>
    <row r="1679">
      <c r="A1679" s="1">
        <v>1678.0</v>
      </c>
      <c r="B1679" s="1" t="s">
        <v>3335</v>
      </c>
      <c r="C1679" s="1" t="s">
        <v>25</v>
      </c>
      <c r="K1679" s="1">
        <v>200.0</v>
      </c>
      <c r="N1679" s="5">
        <v>43924.0</v>
      </c>
      <c r="Q1679" s="1" t="s">
        <v>3336</v>
      </c>
    </row>
    <row r="1680">
      <c r="A1680" s="1">
        <v>1679.0</v>
      </c>
      <c r="B1680" s="1" t="s">
        <v>3337</v>
      </c>
      <c r="C1680" s="1" t="s">
        <v>25</v>
      </c>
      <c r="K1680" s="1">
        <v>200.0</v>
      </c>
      <c r="N1680" s="5">
        <v>44349.0</v>
      </c>
      <c r="Q1680" s="1" t="s">
        <v>3338</v>
      </c>
    </row>
    <row r="1681">
      <c r="A1681" s="1">
        <v>1680.0</v>
      </c>
      <c r="B1681" s="1" t="s">
        <v>3339</v>
      </c>
      <c r="C1681" s="1" t="s">
        <v>25</v>
      </c>
      <c r="N1681" s="5">
        <v>44369.0</v>
      </c>
      <c r="Q1681" s="1" t="s">
        <v>55</v>
      </c>
    </row>
    <row r="1682">
      <c r="A1682" s="1">
        <v>1681.0</v>
      </c>
      <c r="B1682" s="1" t="s">
        <v>3340</v>
      </c>
      <c r="C1682" s="1" t="s">
        <v>25</v>
      </c>
      <c r="K1682" s="1">
        <v>80.0</v>
      </c>
      <c r="N1682" s="5">
        <v>44442.0</v>
      </c>
      <c r="Q1682" s="1" t="s">
        <v>3341</v>
      </c>
    </row>
    <row r="1683">
      <c r="A1683" s="1">
        <v>1682.0</v>
      </c>
      <c r="B1683" s="1" t="s">
        <v>3342</v>
      </c>
      <c r="C1683" s="1" t="s">
        <v>25</v>
      </c>
      <c r="K1683" s="1">
        <v>70.0</v>
      </c>
      <c r="N1683" s="5">
        <v>45510.0</v>
      </c>
      <c r="Q1683" s="1" t="s">
        <v>3343</v>
      </c>
    </row>
    <row r="1684">
      <c r="A1684" s="1">
        <v>1683.0</v>
      </c>
      <c r="B1684" s="1" t="s">
        <v>3344</v>
      </c>
      <c r="C1684" s="1" t="s">
        <v>25</v>
      </c>
      <c r="K1684" s="1">
        <v>40.0</v>
      </c>
      <c r="N1684" s="5">
        <v>45697.0</v>
      </c>
      <c r="Q1684" s="1" t="s">
        <v>2361</v>
      </c>
    </row>
    <row r="1685">
      <c r="A1685" s="1">
        <v>1684.0</v>
      </c>
      <c r="B1685" s="1" t="s">
        <v>3345</v>
      </c>
      <c r="C1685" s="1" t="s">
        <v>25</v>
      </c>
      <c r="K1685" s="1">
        <v>60.0</v>
      </c>
      <c r="N1685" s="5">
        <v>43850.0</v>
      </c>
      <c r="Q1685" s="1" t="s">
        <v>3346</v>
      </c>
    </row>
    <row r="1686">
      <c r="A1686" s="1">
        <v>1685.0</v>
      </c>
      <c r="B1686" s="1" t="s">
        <v>3347</v>
      </c>
      <c r="C1686" s="1" t="s">
        <v>25</v>
      </c>
      <c r="N1686" s="5">
        <v>44230.0</v>
      </c>
      <c r="Q1686" s="1" t="s">
        <v>55</v>
      </c>
    </row>
    <row r="1687">
      <c r="A1687" s="1">
        <v>1686.0</v>
      </c>
      <c r="B1687" s="1" t="s">
        <v>3348</v>
      </c>
      <c r="C1687" s="1" t="s">
        <v>25</v>
      </c>
      <c r="K1687" s="1">
        <v>100.0</v>
      </c>
      <c r="N1687" s="5">
        <v>45279.0</v>
      </c>
      <c r="Q1687" s="1" t="s">
        <v>3349</v>
      </c>
    </row>
    <row r="1688">
      <c r="A1688" s="1">
        <v>1687.0</v>
      </c>
      <c r="B1688" s="1" t="s">
        <v>162</v>
      </c>
      <c r="C1688" s="1" t="s">
        <v>25</v>
      </c>
      <c r="K1688" s="1">
        <v>60.0</v>
      </c>
      <c r="N1688" s="5">
        <v>45192.0</v>
      </c>
      <c r="Q1688" s="1" t="s">
        <v>167</v>
      </c>
    </row>
    <row r="1689">
      <c r="A1689" s="1">
        <v>1688.0</v>
      </c>
      <c r="B1689" s="1" t="s">
        <v>3350</v>
      </c>
      <c r="C1689" s="1" t="s">
        <v>25</v>
      </c>
      <c r="K1689" s="1">
        <v>90.0</v>
      </c>
      <c r="N1689" s="5">
        <v>44046.0</v>
      </c>
      <c r="Q1689" s="1" t="s">
        <v>125</v>
      </c>
    </row>
    <row r="1690">
      <c r="A1690" s="1">
        <v>1689.0</v>
      </c>
      <c r="B1690" s="1" t="s">
        <v>3351</v>
      </c>
      <c r="C1690" s="1" t="s">
        <v>25</v>
      </c>
      <c r="K1690" s="1">
        <v>90.0</v>
      </c>
      <c r="N1690" s="5">
        <v>44485.0</v>
      </c>
      <c r="Q1690" s="1" t="s">
        <v>3352</v>
      </c>
    </row>
    <row r="1691">
      <c r="A1691" s="1">
        <v>1690.0</v>
      </c>
      <c r="B1691" s="1" t="s">
        <v>3353</v>
      </c>
      <c r="C1691" s="1" t="s">
        <v>25</v>
      </c>
      <c r="N1691" s="5">
        <v>43872.0</v>
      </c>
      <c r="Q1691" s="1" t="s">
        <v>55</v>
      </c>
    </row>
    <row r="1692">
      <c r="A1692" s="1">
        <v>1691.0</v>
      </c>
      <c r="B1692" s="1" t="s">
        <v>3354</v>
      </c>
      <c r="C1692" s="1" t="s">
        <v>25</v>
      </c>
      <c r="N1692" s="5">
        <v>44182.0</v>
      </c>
      <c r="Q1692" s="1" t="s">
        <v>55</v>
      </c>
    </row>
    <row r="1693">
      <c r="A1693" s="1">
        <v>1692.0</v>
      </c>
      <c r="B1693" s="1" t="s">
        <v>3355</v>
      </c>
      <c r="C1693" s="1" t="s">
        <v>25</v>
      </c>
      <c r="N1693" s="5">
        <v>44599.0</v>
      </c>
      <c r="Q1693" s="1" t="s">
        <v>55</v>
      </c>
    </row>
    <row r="1694">
      <c r="A1694" s="1">
        <v>1693.0</v>
      </c>
      <c r="B1694" s="1" t="s">
        <v>3356</v>
      </c>
      <c r="C1694" s="1" t="s">
        <v>25</v>
      </c>
      <c r="K1694" s="1">
        <v>150.0</v>
      </c>
      <c r="N1694" s="5">
        <v>45778.0</v>
      </c>
      <c r="Q1694" s="1" t="s">
        <v>3357</v>
      </c>
    </row>
    <row r="1695">
      <c r="A1695" s="1">
        <v>1694.0</v>
      </c>
      <c r="B1695" s="1" t="s">
        <v>3358</v>
      </c>
      <c r="C1695" s="1" t="s">
        <v>25</v>
      </c>
      <c r="K1695" s="1">
        <v>150.0</v>
      </c>
      <c r="N1695" s="5">
        <v>44052.0</v>
      </c>
      <c r="Q1695" s="1" t="s">
        <v>3359</v>
      </c>
    </row>
    <row r="1696">
      <c r="A1696" s="1">
        <v>1695.0</v>
      </c>
      <c r="B1696" s="1" t="s">
        <v>3360</v>
      </c>
      <c r="C1696" s="1" t="s">
        <v>25</v>
      </c>
      <c r="K1696" s="1">
        <v>10.0</v>
      </c>
      <c r="N1696" s="5">
        <v>45311.0</v>
      </c>
      <c r="Q1696" s="1" t="s">
        <v>125</v>
      </c>
    </row>
    <row r="1697">
      <c r="A1697" s="1">
        <v>1696.0</v>
      </c>
      <c r="B1697" s="1" t="s">
        <v>3361</v>
      </c>
      <c r="C1697" s="1" t="s">
        <v>25</v>
      </c>
      <c r="N1697" s="5">
        <v>44167.0</v>
      </c>
      <c r="Q1697" s="1" t="s">
        <v>55</v>
      </c>
    </row>
    <row r="1698">
      <c r="A1698" s="1">
        <v>1697.0</v>
      </c>
      <c r="B1698" s="1" t="s">
        <v>3362</v>
      </c>
      <c r="C1698" s="1" t="s">
        <v>25</v>
      </c>
      <c r="N1698" s="5">
        <v>44790.0</v>
      </c>
      <c r="Q1698" s="1" t="s">
        <v>1724</v>
      </c>
    </row>
    <row r="1699">
      <c r="A1699" s="1">
        <v>1698.0</v>
      </c>
      <c r="B1699" s="1" t="s">
        <v>3363</v>
      </c>
      <c r="C1699" s="1" t="s">
        <v>25</v>
      </c>
      <c r="K1699" s="1">
        <v>50.0</v>
      </c>
      <c r="N1699" s="5">
        <v>44774.0</v>
      </c>
      <c r="Q1699" s="1" t="s">
        <v>2022</v>
      </c>
    </row>
    <row r="1700">
      <c r="A1700" s="1">
        <v>1699.0</v>
      </c>
      <c r="B1700" s="1" t="s">
        <v>3364</v>
      </c>
      <c r="C1700" s="1" t="s">
        <v>25</v>
      </c>
      <c r="N1700" s="5">
        <v>46174.0</v>
      </c>
      <c r="Q1700" s="1" t="s">
        <v>3365</v>
      </c>
    </row>
    <row r="1701">
      <c r="A1701" s="1">
        <v>1700.0</v>
      </c>
      <c r="B1701" s="1" t="s">
        <v>3366</v>
      </c>
      <c r="C1701" s="1" t="s">
        <v>25</v>
      </c>
      <c r="K1701" s="1">
        <v>10.0</v>
      </c>
      <c r="N1701" s="5">
        <v>45645.0</v>
      </c>
      <c r="Q1701" s="1" t="s">
        <v>3367</v>
      </c>
    </row>
    <row r="1702">
      <c r="A1702" s="1">
        <v>1701.0</v>
      </c>
      <c r="B1702" s="1" t="s">
        <v>3368</v>
      </c>
      <c r="C1702" s="1" t="s">
        <v>25</v>
      </c>
      <c r="N1702" s="5">
        <v>44946.0</v>
      </c>
      <c r="Q1702" s="1" t="s">
        <v>55</v>
      </c>
    </row>
    <row r="1703">
      <c r="A1703" s="1">
        <v>1702.0</v>
      </c>
      <c r="B1703" s="1" t="s">
        <v>3369</v>
      </c>
      <c r="C1703" s="1" t="s">
        <v>25</v>
      </c>
      <c r="K1703" s="1">
        <v>20.0</v>
      </c>
      <c r="N1703" s="5">
        <v>44840.0</v>
      </c>
      <c r="Q1703" s="1" t="s">
        <v>3370</v>
      </c>
    </row>
    <row r="1704">
      <c r="A1704" s="1">
        <v>1703.0</v>
      </c>
      <c r="B1704" s="1" t="s">
        <v>3371</v>
      </c>
      <c r="C1704" s="1" t="s">
        <v>25</v>
      </c>
      <c r="N1704" s="5">
        <v>43852.0</v>
      </c>
      <c r="Q1704" s="1" t="s">
        <v>55</v>
      </c>
    </row>
    <row r="1705">
      <c r="A1705" s="1">
        <v>1704.0</v>
      </c>
      <c r="B1705" s="1" t="s">
        <v>3372</v>
      </c>
      <c r="C1705" s="1" t="s">
        <v>25</v>
      </c>
      <c r="K1705" s="1">
        <v>70.0</v>
      </c>
      <c r="N1705" s="5">
        <v>43931.0</v>
      </c>
      <c r="Q1705" s="1" t="s">
        <v>3373</v>
      </c>
    </row>
    <row r="1706">
      <c r="A1706" s="1">
        <v>1705.0</v>
      </c>
      <c r="B1706" s="1" t="s">
        <v>3374</v>
      </c>
      <c r="C1706" s="1" t="s">
        <v>25</v>
      </c>
      <c r="K1706" s="1">
        <v>10.0</v>
      </c>
      <c r="N1706" s="5">
        <v>45652.0</v>
      </c>
      <c r="Q1706" s="1" t="s">
        <v>3078</v>
      </c>
    </row>
    <row r="1707">
      <c r="A1707" s="1">
        <v>1706.0</v>
      </c>
      <c r="B1707" s="1" t="s">
        <v>3375</v>
      </c>
      <c r="C1707" s="1" t="s">
        <v>25</v>
      </c>
      <c r="K1707" s="1">
        <v>200.0</v>
      </c>
      <c r="N1707" s="5">
        <v>44765.0</v>
      </c>
      <c r="Q1707" s="1" t="s">
        <v>3376</v>
      </c>
    </row>
    <row r="1708">
      <c r="A1708" s="1">
        <v>1707.0</v>
      </c>
      <c r="B1708" s="1" t="s">
        <v>3377</v>
      </c>
      <c r="C1708" s="1" t="s">
        <v>25</v>
      </c>
      <c r="K1708" s="1">
        <v>10.0</v>
      </c>
      <c r="N1708" s="5">
        <v>45193.0</v>
      </c>
      <c r="Q1708" s="1" t="s">
        <v>55</v>
      </c>
    </row>
    <row r="1709">
      <c r="A1709" s="1">
        <v>1708.0</v>
      </c>
      <c r="B1709" s="1" t="s">
        <v>3378</v>
      </c>
      <c r="C1709" s="1" t="s">
        <v>25</v>
      </c>
      <c r="K1709" s="1">
        <v>150.0</v>
      </c>
      <c r="N1709" s="5">
        <v>44733.0</v>
      </c>
      <c r="Q1709" s="1" t="s">
        <v>3379</v>
      </c>
    </row>
    <row r="1710">
      <c r="A1710" s="1">
        <v>1709.0</v>
      </c>
      <c r="B1710" s="1" t="s">
        <v>3380</v>
      </c>
      <c r="C1710" s="1" t="s">
        <v>25</v>
      </c>
      <c r="K1710" s="1">
        <v>10.0</v>
      </c>
      <c r="N1710" s="5">
        <v>44020.0</v>
      </c>
      <c r="Q1710" s="1" t="s">
        <v>606</v>
      </c>
    </row>
    <row r="1711">
      <c r="A1711" s="1">
        <v>1710.0</v>
      </c>
      <c r="B1711" s="1" t="s">
        <v>3381</v>
      </c>
      <c r="C1711" s="1" t="s">
        <v>25</v>
      </c>
      <c r="K1711" s="1">
        <v>10.0</v>
      </c>
      <c r="N1711" s="5">
        <v>44575.0</v>
      </c>
      <c r="Q1711" s="1" t="s">
        <v>55</v>
      </c>
    </row>
    <row r="1712">
      <c r="A1712" s="1">
        <v>1711.0</v>
      </c>
      <c r="B1712" s="1" t="s">
        <v>3382</v>
      </c>
      <c r="C1712" s="1" t="s">
        <v>25</v>
      </c>
      <c r="K1712" s="1">
        <v>70.0</v>
      </c>
      <c r="N1712" s="5">
        <v>44638.0</v>
      </c>
      <c r="Q1712" s="1" t="s">
        <v>3383</v>
      </c>
    </row>
    <row r="1713">
      <c r="A1713" s="1">
        <v>1712.0</v>
      </c>
      <c r="B1713" s="1" t="s">
        <v>3384</v>
      </c>
      <c r="C1713" s="1" t="s">
        <v>25</v>
      </c>
      <c r="K1713" s="1">
        <v>10.0</v>
      </c>
      <c r="N1713" s="5">
        <v>45685.0</v>
      </c>
      <c r="Q1713" s="1" t="s">
        <v>3385</v>
      </c>
    </row>
    <row r="1714">
      <c r="A1714" s="1">
        <v>1713.0</v>
      </c>
      <c r="B1714" s="1" t="s">
        <v>3386</v>
      </c>
      <c r="C1714" s="1" t="s">
        <v>25</v>
      </c>
      <c r="K1714" s="1">
        <v>20.0</v>
      </c>
      <c r="N1714" s="5">
        <v>44040.0</v>
      </c>
      <c r="Q1714" s="1" t="s">
        <v>3387</v>
      </c>
    </row>
    <row r="1715">
      <c r="A1715" s="1">
        <v>1714.0</v>
      </c>
      <c r="B1715" s="1" t="s">
        <v>3388</v>
      </c>
      <c r="C1715" s="1" t="s">
        <v>25</v>
      </c>
      <c r="K1715" s="1">
        <v>150.0</v>
      </c>
      <c r="N1715" s="5">
        <v>45644.0</v>
      </c>
      <c r="Q1715" s="1" t="s">
        <v>3389</v>
      </c>
    </row>
    <row r="1716">
      <c r="A1716" s="1">
        <v>1715.0</v>
      </c>
      <c r="B1716" s="1" t="s">
        <v>3390</v>
      </c>
      <c r="C1716" s="1" t="s">
        <v>25</v>
      </c>
      <c r="N1716" s="5">
        <v>43092.0</v>
      </c>
      <c r="Q1716" s="1" t="s">
        <v>55</v>
      </c>
    </row>
    <row r="1717">
      <c r="A1717" s="1">
        <v>1716.0</v>
      </c>
      <c r="B1717" s="1" t="s">
        <v>3391</v>
      </c>
      <c r="C1717" s="1" t="s">
        <v>25</v>
      </c>
      <c r="N1717" s="5">
        <v>44650.0</v>
      </c>
      <c r="Q1717" s="1" t="s">
        <v>125</v>
      </c>
    </row>
    <row r="1718">
      <c r="A1718" s="1">
        <v>1717.0</v>
      </c>
      <c r="B1718" s="1" t="s">
        <v>3392</v>
      </c>
      <c r="C1718" s="1" t="s">
        <v>25</v>
      </c>
      <c r="K1718" s="1">
        <v>50.0</v>
      </c>
      <c r="N1718" s="5">
        <v>44320.0</v>
      </c>
      <c r="Q1718" s="1" t="s">
        <v>3393</v>
      </c>
    </row>
    <row r="1719">
      <c r="A1719" s="1">
        <v>1718.0</v>
      </c>
      <c r="B1719" s="1" t="s">
        <v>3394</v>
      </c>
      <c r="C1719" s="1" t="s">
        <v>25</v>
      </c>
      <c r="K1719" s="1">
        <v>150.0</v>
      </c>
      <c r="N1719" s="5">
        <v>43846.0</v>
      </c>
      <c r="Q1719" s="1" t="s">
        <v>3395</v>
      </c>
    </row>
    <row r="1720">
      <c r="A1720" s="1">
        <v>1719.0</v>
      </c>
      <c r="B1720" s="1" t="s">
        <v>3396</v>
      </c>
      <c r="C1720" s="1" t="s">
        <v>25</v>
      </c>
      <c r="K1720" s="1">
        <v>80.0</v>
      </c>
      <c r="N1720" s="5">
        <v>44129.0</v>
      </c>
      <c r="Q1720" s="1" t="s">
        <v>55</v>
      </c>
    </row>
    <row r="1721">
      <c r="A1721" s="1">
        <v>1720.0</v>
      </c>
      <c r="B1721" s="1" t="s">
        <v>3397</v>
      </c>
      <c r="C1721" s="1" t="s">
        <v>25</v>
      </c>
      <c r="K1721" s="1">
        <v>30.0</v>
      </c>
      <c r="N1721" s="5">
        <v>45244.0</v>
      </c>
      <c r="Q1721" s="1" t="s">
        <v>3398</v>
      </c>
    </row>
    <row r="1722">
      <c r="A1722" s="1">
        <v>1721.0</v>
      </c>
      <c r="B1722" s="1" t="s">
        <v>3399</v>
      </c>
      <c r="C1722" s="1" t="s">
        <v>25</v>
      </c>
      <c r="K1722" s="1">
        <v>30.0</v>
      </c>
      <c r="N1722" s="5">
        <v>45202.0</v>
      </c>
      <c r="Q1722" s="1" t="s">
        <v>55</v>
      </c>
    </row>
    <row r="1723">
      <c r="A1723" s="1">
        <v>1722.0</v>
      </c>
      <c r="B1723" s="1" t="s">
        <v>3400</v>
      </c>
      <c r="C1723" s="1" t="s">
        <v>25</v>
      </c>
      <c r="N1723" s="5">
        <v>44444.0</v>
      </c>
      <c r="Q1723" s="1" t="s">
        <v>1066</v>
      </c>
    </row>
    <row r="1724">
      <c r="A1724" s="1">
        <v>1723.0</v>
      </c>
      <c r="B1724" s="1" t="s">
        <v>3401</v>
      </c>
      <c r="C1724" s="1" t="s">
        <v>25</v>
      </c>
      <c r="K1724" s="1">
        <v>20.0</v>
      </c>
      <c r="N1724" s="5">
        <v>45460.0</v>
      </c>
      <c r="Q1724" s="1" t="s">
        <v>2709</v>
      </c>
    </row>
    <row r="1725">
      <c r="A1725" s="1">
        <v>1724.0</v>
      </c>
      <c r="B1725" s="1" t="s">
        <v>3402</v>
      </c>
      <c r="C1725" s="1" t="s">
        <v>25</v>
      </c>
      <c r="K1725" s="1">
        <v>90.0</v>
      </c>
      <c r="N1725" s="5">
        <v>43926.0</v>
      </c>
      <c r="Q1725" s="1" t="s">
        <v>55</v>
      </c>
    </row>
    <row r="1726">
      <c r="A1726" s="1">
        <v>1725.0</v>
      </c>
      <c r="B1726" s="1" t="s">
        <v>3403</v>
      </c>
      <c r="C1726" s="1" t="s">
        <v>25</v>
      </c>
      <c r="K1726" s="1">
        <v>150.0</v>
      </c>
      <c r="N1726" s="5">
        <v>45541.0</v>
      </c>
      <c r="Q1726" s="1" t="s">
        <v>3404</v>
      </c>
    </row>
    <row r="1727">
      <c r="A1727" s="1">
        <v>1726.0</v>
      </c>
      <c r="B1727" s="1" t="s">
        <v>3405</v>
      </c>
      <c r="C1727" s="1" t="s">
        <v>25</v>
      </c>
      <c r="K1727" s="1">
        <v>100.0</v>
      </c>
      <c r="N1727" s="5">
        <v>45463.0</v>
      </c>
      <c r="Q1727" s="1" t="s">
        <v>3406</v>
      </c>
    </row>
    <row r="1728">
      <c r="A1728" s="1">
        <v>1727.0</v>
      </c>
      <c r="B1728" s="1" t="s">
        <v>3407</v>
      </c>
      <c r="C1728" s="1" t="s">
        <v>25</v>
      </c>
      <c r="K1728" s="1">
        <v>50.0</v>
      </c>
      <c r="N1728" s="5">
        <v>44697.0</v>
      </c>
      <c r="Q1728" s="1" t="s">
        <v>3370</v>
      </c>
    </row>
    <row r="1729">
      <c r="A1729" s="1">
        <v>1728.0</v>
      </c>
      <c r="B1729" s="1" t="s">
        <v>3408</v>
      </c>
      <c r="C1729" s="1" t="s">
        <v>25</v>
      </c>
      <c r="K1729" s="1">
        <v>30.0</v>
      </c>
      <c r="N1729" s="5">
        <v>44299.0</v>
      </c>
      <c r="Q1729" s="1" t="s">
        <v>3409</v>
      </c>
    </row>
    <row r="1730">
      <c r="A1730" s="1">
        <v>1729.0</v>
      </c>
      <c r="B1730" s="1" t="s">
        <v>3410</v>
      </c>
      <c r="C1730" s="1" t="s">
        <v>25</v>
      </c>
      <c r="N1730" s="5">
        <v>44553.0</v>
      </c>
      <c r="Q1730" s="1" t="s">
        <v>55</v>
      </c>
    </row>
    <row r="1731">
      <c r="A1731" s="1">
        <v>1730.0</v>
      </c>
      <c r="B1731" s="1" t="s">
        <v>3411</v>
      </c>
      <c r="C1731" s="1" t="s">
        <v>25</v>
      </c>
      <c r="K1731" s="1">
        <v>10.0</v>
      </c>
      <c r="N1731" s="5">
        <v>45674.0</v>
      </c>
      <c r="Q1731" s="1" t="s">
        <v>3412</v>
      </c>
    </row>
    <row r="1732">
      <c r="A1732" s="1">
        <v>1731.0</v>
      </c>
      <c r="B1732" s="1" t="s">
        <v>3413</v>
      </c>
      <c r="C1732" s="1" t="s">
        <v>25</v>
      </c>
      <c r="N1732" s="5">
        <v>44185.0</v>
      </c>
      <c r="Q1732" s="1" t="s">
        <v>55</v>
      </c>
    </row>
    <row r="1733">
      <c r="A1733" s="1">
        <v>1732.0</v>
      </c>
      <c r="B1733" s="1" t="s">
        <v>3414</v>
      </c>
      <c r="C1733" s="1" t="s">
        <v>25</v>
      </c>
      <c r="N1733" s="5">
        <v>44032.0</v>
      </c>
      <c r="Q1733" s="1" t="s">
        <v>55</v>
      </c>
    </row>
    <row r="1734">
      <c r="A1734" s="1">
        <v>1733.0</v>
      </c>
      <c r="B1734" s="1" t="s">
        <v>3415</v>
      </c>
      <c r="C1734" s="1" t="s">
        <v>25</v>
      </c>
      <c r="K1734" s="1">
        <v>150.0</v>
      </c>
      <c r="N1734" s="5">
        <v>45019.0</v>
      </c>
      <c r="Q1734" s="1" t="s">
        <v>3416</v>
      </c>
    </row>
    <row r="1735">
      <c r="A1735" s="1">
        <v>1734.0</v>
      </c>
      <c r="B1735" s="1" t="s">
        <v>3417</v>
      </c>
      <c r="C1735" s="1" t="s">
        <v>25</v>
      </c>
      <c r="K1735" s="1">
        <v>100.0</v>
      </c>
      <c r="N1735" s="5">
        <v>44030.0</v>
      </c>
      <c r="Q1735" s="1" t="s">
        <v>3418</v>
      </c>
    </row>
    <row r="1736">
      <c r="A1736" s="1">
        <v>1735.0</v>
      </c>
      <c r="B1736" s="1" t="s">
        <v>3419</v>
      </c>
      <c r="C1736" s="1" t="s">
        <v>25</v>
      </c>
      <c r="N1736" s="5">
        <v>44405.0</v>
      </c>
      <c r="Q1736" s="1" t="s">
        <v>55</v>
      </c>
    </row>
    <row r="1737">
      <c r="A1737" s="1">
        <v>1736.0</v>
      </c>
      <c r="B1737" s="1" t="s">
        <v>3420</v>
      </c>
      <c r="C1737" s="1" t="s">
        <v>25</v>
      </c>
      <c r="N1737" s="5">
        <v>42736.0</v>
      </c>
      <c r="Q1737" s="1" t="s">
        <v>55</v>
      </c>
    </row>
    <row r="1738">
      <c r="A1738" s="1">
        <v>1737.0</v>
      </c>
      <c r="B1738" s="1" t="s">
        <v>3421</v>
      </c>
      <c r="C1738" s="1" t="s">
        <v>25</v>
      </c>
      <c r="N1738" s="5">
        <v>45327.0</v>
      </c>
      <c r="Q1738" s="1" t="s">
        <v>55</v>
      </c>
    </row>
    <row r="1739">
      <c r="A1739" s="1">
        <v>1738.0</v>
      </c>
      <c r="B1739" s="1" t="s">
        <v>3422</v>
      </c>
      <c r="C1739" s="1" t="s">
        <v>25</v>
      </c>
      <c r="K1739" s="1">
        <v>10.0</v>
      </c>
      <c r="N1739" s="5">
        <v>45232.0</v>
      </c>
      <c r="Q1739" s="1" t="s">
        <v>55</v>
      </c>
    </row>
    <row r="1740">
      <c r="A1740" s="1">
        <v>1739.0</v>
      </c>
      <c r="B1740" s="1" t="s">
        <v>3423</v>
      </c>
      <c r="C1740" s="1" t="s">
        <v>25</v>
      </c>
      <c r="K1740" s="1">
        <v>200.0</v>
      </c>
      <c r="N1740" s="5">
        <v>45475.0</v>
      </c>
      <c r="Q1740" s="1" t="s">
        <v>3424</v>
      </c>
    </row>
    <row r="1741">
      <c r="A1741" s="1">
        <v>1740.0</v>
      </c>
      <c r="B1741" s="1" t="s">
        <v>3425</v>
      </c>
      <c r="C1741" s="1" t="s">
        <v>25</v>
      </c>
      <c r="K1741" s="1">
        <v>100.0</v>
      </c>
      <c r="N1741" s="5">
        <v>43955.0</v>
      </c>
      <c r="Q1741" s="1" t="s">
        <v>3426</v>
      </c>
    </row>
    <row r="1742">
      <c r="A1742" s="1">
        <v>1741.0</v>
      </c>
      <c r="B1742" s="1" t="s">
        <v>3427</v>
      </c>
      <c r="C1742" s="1" t="s">
        <v>25</v>
      </c>
      <c r="K1742" s="1">
        <v>60.0</v>
      </c>
      <c r="N1742" s="5">
        <v>45737.0</v>
      </c>
      <c r="Q1742" s="1" t="s">
        <v>3428</v>
      </c>
    </row>
    <row r="1743">
      <c r="A1743" s="1">
        <v>1742.0</v>
      </c>
      <c r="B1743" s="1" t="s">
        <v>168</v>
      </c>
      <c r="C1743" s="1" t="s">
        <v>25</v>
      </c>
      <c r="K1743" s="1">
        <v>10.0</v>
      </c>
      <c r="N1743" s="5">
        <v>44108.0</v>
      </c>
      <c r="Q1743" s="1" t="s">
        <v>172</v>
      </c>
    </row>
    <row r="1744">
      <c r="A1744" s="1">
        <v>1743.0</v>
      </c>
      <c r="B1744" s="1" t="s">
        <v>3429</v>
      </c>
      <c r="C1744" s="1" t="s">
        <v>25</v>
      </c>
      <c r="K1744" s="1">
        <v>40.0</v>
      </c>
      <c r="N1744" s="5">
        <v>45624.0</v>
      </c>
      <c r="Q1744" s="1" t="s">
        <v>3430</v>
      </c>
    </row>
    <row r="1745">
      <c r="A1745" s="1">
        <v>1744.0</v>
      </c>
      <c r="B1745" s="1" t="s">
        <v>3431</v>
      </c>
      <c r="C1745" s="1" t="s">
        <v>25</v>
      </c>
      <c r="K1745" s="1">
        <v>10.0</v>
      </c>
      <c r="N1745" s="5">
        <v>44249.0</v>
      </c>
      <c r="Q1745" s="1" t="s">
        <v>3432</v>
      </c>
    </row>
    <row r="1746">
      <c r="A1746" s="1">
        <v>1745.0</v>
      </c>
      <c r="B1746" s="1" t="s">
        <v>3433</v>
      </c>
      <c r="C1746" s="1" t="s">
        <v>25</v>
      </c>
      <c r="K1746" s="1">
        <v>60.0</v>
      </c>
      <c r="N1746" s="5">
        <v>45684.0</v>
      </c>
      <c r="Q1746" s="1" t="s">
        <v>3434</v>
      </c>
    </row>
    <row r="1747">
      <c r="A1747" s="1">
        <v>1746.0</v>
      </c>
      <c r="B1747" s="1" t="s">
        <v>3435</v>
      </c>
      <c r="C1747" s="1" t="s">
        <v>25</v>
      </c>
      <c r="K1747" s="1">
        <v>150.0</v>
      </c>
      <c r="N1747" s="5">
        <v>45270.0</v>
      </c>
      <c r="Q1747" s="1" t="s">
        <v>3436</v>
      </c>
    </row>
    <row r="1748">
      <c r="A1748" s="1">
        <v>1747.0</v>
      </c>
      <c r="B1748" s="1" t="s">
        <v>3437</v>
      </c>
      <c r="C1748" s="1" t="s">
        <v>25</v>
      </c>
      <c r="N1748" s="5">
        <v>44006.0</v>
      </c>
      <c r="Q1748" s="1" t="s">
        <v>55</v>
      </c>
    </row>
    <row r="1749">
      <c r="A1749" s="1">
        <v>1748.0</v>
      </c>
      <c r="B1749" s="1" t="s">
        <v>3438</v>
      </c>
      <c r="C1749" s="1" t="s">
        <v>25</v>
      </c>
      <c r="K1749" s="1">
        <v>100.0</v>
      </c>
      <c r="N1749" s="5">
        <v>44320.0</v>
      </c>
      <c r="Q1749" s="1" t="s">
        <v>3370</v>
      </c>
    </row>
    <row r="1750">
      <c r="A1750" s="1">
        <v>1749.0</v>
      </c>
      <c r="B1750" s="1" t="s">
        <v>3439</v>
      </c>
      <c r="C1750" s="1" t="s">
        <v>25</v>
      </c>
      <c r="K1750" s="1">
        <v>40.0</v>
      </c>
      <c r="N1750" s="5">
        <v>44376.0</v>
      </c>
      <c r="Q1750" s="1" t="s">
        <v>3440</v>
      </c>
    </row>
    <row r="1751">
      <c r="A1751" s="1">
        <v>1750.0</v>
      </c>
      <c r="B1751" s="1" t="s">
        <v>3441</v>
      </c>
      <c r="C1751" s="1" t="s">
        <v>25</v>
      </c>
      <c r="K1751" s="1">
        <v>250.0</v>
      </c>
      <c r="N1751" s="5">
        <v>45259.0</v>
      </c>
      <c r="Q1751" s="1" t="s">
        <v>3442</v>
      </c>
    </row>
    <row r="1752">
      <c r="A1752" s="1">
        <v>1751.0</v>
      </c>
      <c r="B1752" s="1" t="s">
        <v>3443</v>
      </c>
      <c r="C1752" s="1" t="s">
        <v>25</v>
      </c>
      <c r="K1752" s="1">
        <v>60.0</v>
      </c>
      <c r="N1752" s="5">
        <v>44251.0</v>
      </c>
      <c r="Q1752" s="1" t="s">
        <v>3444</v>
      </c>
    </row>
    <row r="1753">
      <c r="A1753" s="1">
        <v>1752.0</v>
      </c>
      <c r="B1753" s="1" t="s">
        <v>3445</v>
      </c>
      <c r="C1753" s="1" t="s">
        <v>25</v>
      </c>
      <c r="K1753" s="1">
        <v>50.0</v>
      </c>
      <c r="N1753" s="5">
        <v>44223.0</v>
      </c>
      <c r="Q1753" s="1" t="s">
        <v>46</v>
      </c>
    </row>
    <row r="1754">
      <c r="A1754" s="1">
        <v>1753.0</v>
      </c>
      <c r="B1754" s="1" t="s">
        <v>3446</v>
      </c>
      <c r="C1754" s="1" t="s">
        <v>25</v>
      </c>
      <c r="K1754" s="1">
        <v>90.0</v>
      </c>
      <c r="N1754" s="5">
        <v>43904.0</v>
      </c>
      <c r="Q1754" s="1" t="s">
        <v>3447</v>
      </c>
    </row>
    <row r="1755">
      <c r="A1755" s="1">
        <v>1754.0</v>
      </c>
      <c r="B1755" s="1" t="s">
        <v>3448</v>
      </c>
      <c r="C1755" s="1" t="s">
        <v>25</v>
      </c>
      <c r="K1755" s="1">
        <v>150.0</v>
      </c>
      <c r="N1755" s="5">
        <v>44118.0</v>
      </c>
      <c r="Q1755" s="1" t="s">
        <v>3449</v>
      </c>
    </row>
    <row r="1756">
      <c r="A1756" s="1">
        <v>1755.0</v>
      </c>
      <c r="B1756" s="1" t="s">
        <v>3450</v>
      </c>
      <c r="C1756" s="1" t="s">
        <v>25</v>
      </c>
      <c r="K1756" s="1">
        <v>50.0</v>
      </c>
      <c r="N1756" s="5">
        <v>43923.0</v>
      </c>
      <c r="Q1756" s="1" t="s">
        <v>1291</v>
      </c>
    </row>
    <row r="1757">
      <c r="A1757" s="1">
        <v>1756.0</v>
      </c>
      <c r="B1757" s="1" t="s">
        <v>3451</v>
      </c>
      <c r="C1757" s="1" t="s">
        <v>25</v>
      </c>
      <c r="K1757" s="1">
        <v>300.0</v>
      </c>
      <c r="N1757" s="5">
        <v>45661.0</v>
      </c>
      <c r="Q1757" s="1" t="s">
        <v>3452</v>
      </c>
    </row>
    <row r="1758">
      <c r="A1758" s="1">
        <v>1757.0</v>
      </c>
      <c r="B1758" s="1" t="s">
        <v>3453</v>
      </c>
      <c r="C1758" s="1" t="s">
        <v>25</v>
      </c>
      <c r="K1758" s="1">
        <v>10.0</v>
      </c>
      <c r="N1758" s="5">
        <v>43881.0</v>
      </c>
      <c r="Q1758" s="1" t="s">
        <v>55</v>
      </c>
    </row>
    <row r="1759">
      <c r="A1759" s="1">
        <v>1758.0</v>
      </c>
      <c r="B1759" s="1" t="s">
        <v>3454</v>
      </c>
      <c r="C1759" s="1" t="s">
        <v>25</v>
      </c>
      <c r="K1759" s="1">
        <v>90.0</v>
      </c>
      <c r="N1759" s="5">
        <v>45634.0</v>
      </c>
      <c r="Q1759" s="1" t="s">
        <v>3455</v>
      </c>
    </row>
    <row r="1760">
      <c r="A1760" s="1">
        <v>1759.0</v>
      </c>
      <c r="B1760" s="1" t="s">
        <v>3456</v>
      </c>
      <c r="C1760" s="1" t="s">
        <v>25</v>
      </c>
      <c r="K1760" s="1">
        <v>150.0</v>
      </c>
      <c r="N1760" s="5">
        <v>44834.0</v>
      </c>
      <c r="Q1760" s="1" t="s">
        <v>3457</v>
      </c>
    </row>
    <row r="1761">
      <c r="A1761" s="1">
        <v>1760.0</v>
      </c>
      <c r="B1761" s="1" t="s">
        <v>3458</v>
      </c>
      <c r="C1761" s="1" t="s">
        <v>25</v>
      </c>
      <c r="N1761" s="5">
        <v>44341.0</v>
      </c>
      <c r="Q1761" s="1" t="s">
        <v>55</v>
      </c>
    </row>
    <row r="1762">
      <c r="A1762" s="1">
        <v>1761.0</v>
      </c>
      <c r="B1762" s="1" t="s">
        <v>3459</v>
      </c>
      <c r="C1762" s="1" t="s">
        <v>25</v>
      </c>
      <c r="N1762" s="5">
        <v>44048.0</v>
      </c>
      <c r="Q1762" s="1" t="s">
        <v>55</v>
      </c>
    </row>
    <row r="1763">
      <c r="A1763" s="1">
        <v>1762.0</v>
      </c>
      <c r="B1763" s="1" t="s">
        <v>3460</v>
      </c>
      <c r="C1763" s="1" t="s">
        <v>25</v>
      </c>
      <c r="K1763" s="1">
        <v>100.0</v>
      </c>
      <c r="N1763" s="5">
        <v>45128.0</v>
      </c>
      <c r="Q1763" s="1" t="s">
        <v>2296</v>
      </c>
    </row>
    <row r="1764">
      <c r="A1764" s="1">
        <v>1763.0</v>
      </c>
      <c r="B1764" s="1" t="s">
        <v>3461</v>
      </c>
      <c r="C1764" s="1" t="s">
        <v>25</v>
      </c>
      <c r="K1764" s="1">
        <v>10.0</v>
      </c>
      <c r="N1764" s="5">
        <v>45232.0</v>
      </c>
      <c r="Q1764" s="1" t="s">
        <v>55</v>
      </c>
    </row>
    <row r="1765">
      <c r="A1765" s="1">
        <v>1764.0</v>
      </c>
      <c r="B1765" s="1" t="s">
        <v>3462</v>
      </c>
      <c r="C1765" s="1" t="s">
        <v>25</v>
      </c>
      <c r="K1765" s="1">
        <v>90.0</v>
      </c>
      <c r="N1765" s="5">
        <v>45520.0</v>
      </c>
      <c r="Q1765" s="1" t="s">
        <v>1301</v>
      </c>
    </row>
    <row r="1766">
      <c r="A1766" s="1">
        <v>1765.0</v>
      </c>
      <c r="B1766" s="1" t="s">
        <v>3463</v>
      </c>
      <c r="C1766" s="1" t="s">
        <v>25</v>
      </c>
      <c r="K1766" s="1">
        <v>90.0</v>
      </c>
      <c r="N1766" s="5">
        <v>44177.0</v>
      </c>
      <c r="Q1766" s="1" t="s">
        <v>2445</v>
      </c>
    </row>
    <row r="1767">
      <c r="A1767" s="1">
        <v>1766.0</v>
      </c>
      <c r="B1767" s="1" t="s">
        <v>3464</v>
      </c>
      <c r="C1767" s="1" t="s">
        <v>25</v>
      </c>
      <c r="K1767" s="1">
        <v>80.0</v>
      </c>
      <c r="N1767" s="5">
        <v>45794.0</v>
      </c>
      <c r="Q1767" s="1" t="s">
        <v>2590</v>
      </c>
    </row>
    <row r="1768">
      <c r="A1768" s="1">
        <v>1767.0</v>
      </c>
      <c r="B1768" s="1" t="s">
        <v>3465</v>
      </c>
      <c r="C1768" s="1" t="s">
        <v>25</v>
      </c>
      <c r="N1768" s="5">
        <v>44243.0</v>
      </c>
      <c r="Q1768" s="1" t="s">
        <v>606</v>
      </c>
    </row>
    <row r="1769">
      <c r="A1769" s="1">
        <v>1768.0</v>
      </c>
      <c r="B1769" s="1" t="s">
        <v>3466</v>
      </c>
      <c r="C1769" s="1" t="s">
        <v>25</v>
      </c>
      <c r="K1769" s="1">
        <v>40.0</v>
      </c>
      <c r="N1769" s="5">
        <v>44578.0</v>
      </c>
      <c r="Q1769" s="1" t="s">
        <v>3467</v>
      </c>
    </row>
    <row r="1770">
      <c r="A1770" s="1">
        <v>1769.0</v>
      </c>
      <c r="B1770" s="1" t="s">
        <v>3468</v>
      </c>
      <c r="C1770" s="1" t="s">
        <v>25</v>
      </c>
      <c r="K1770" s="1">
        <v>200.0</v>
      </c>
      <c r="N1770" s="5">
        <v>44394.0</v>
      </c>
      <c r="Q1770" s="1" t="s">
        <v>3469</v>
      </c>
    </row>
    <row r="1771">
      <c r="A1771" s="1">
        <v>1770.0</v>
      </c>
      <c r="B1771" s="1" t="s">
        <v>3470</v>
      </c>
      <c r="C1771" s="1" t="s">
        <v>25</v>
      </c>
      <c r="K1771" s="1">
        <v>40.0</v>
      </c>
      <c r="N1771" s="5">
        <v>44512.0</v>
      </c>
      <c r="Q1771" s="1" t="s">
        <v>3370</v>
      </c>
    </row>
    <row r="1772">
      <c r="A1772" s="1">
        <v>1771.0</v>
      </c>
      <c r="B1772" s="1" t="s">
        <v>3471</v>
      </c>
      <c r="C1772" s="1" t="s">
        <v>25</v>
      </c>
      <c r="K1772" s="1">
        <v>250.0</v>
      </c>
      <c r="N1772" s="5">
        <v>44263.0</v>
      </c>
      <c r="Q1772" s="1" t="s">
        <v>3472</v>
      </c>
    </row>
    <row r="1773">
      <c r="A1773" s="1">
        <v>1772.0</v>
      </c>
      <c r="B1773" s="1" t="s">
        <v>3473</v>
      </c>
      <c r="C1773" s="1" t="s">
        <v>25</v>
      </c>
      <c r="K1773" s="1">
        <v>600.0</v>
      </c>
      <c r="N1773" s="5">
        <v>44025.0</v>
      </c>
      <c r="Q1773" s="1" t="s">
        <v>3474</v>
      </c>
    </row>
    <row r="1774">
      <c r="A1774" s="1">
        <v>1773.0</v>
      </c>
      <c r="B1774" s="1" t="s">
        <v>3475</v>
      </c>
      <c r="C1774" s="1" t="s">
        <v>25</v>
      </c>
      <c r="K1774" s="1">
        <v>40.0</v>
      </c>
      <c r="N1774" s="5">
        <v>45658.0</v>
      </c>
      <c r="Q1774" s="1" t="s">
        <v>3476</v>
      </c>
    </row>
    <row r="1775">
      <c r="A1775" s="1">
        <v>1774.0</v>
      </c>
      <c r="B1775" s="1" t="s">
        <v>3477</v>
      </c>
      <c r="C1775" s="1" t="s">
        <v>25</v>
      </c>
      <c r="N1775" s="5">
        <v>44507.0</v>
      </c>
      <c r="Q1775" s="1" t="s">
        <v>55</v>
      </c>
    </row>
    <row r="1776">
      <c r="A1776" s="1">
        <v>1775.0</v>
      </c>
      <c r="B1776" s="1" t="s">
        <v>3478</v>
      </c>
      <c r="C1776" s="1" t="s">
        <v>25</v>
      </c>
      <c r="K1776" s="1">
        <v>150.0</v>
      </c>
      <c r="N1776" s="5">
        <v>44009.0</v>
      </c>
      <c r="Q1776" s="1" t="s">
        <v>1726</v>
      </c>
    </row>
    <row r="1777">
      <c r="A1777" s="1">
        <v>1776.0</v>
      </c>
      <c r="B1777" s="1" t="s">
        <v>3479</v>
      </c>
      <c r="C1777" s="1" t="s">
        <v>25</v>
      </c>
      <c r="K1777" s="1">
        <v>30.0</v>
      </c>
      <c r="N1777" s="5">
        <v>44181.0</v>
      </c>
      <c r="Q1777" s="1" t="s">
        <v>55</v>
      </c>
    </row>
    <row r="1778">
      <c r="A1778" s="1">
        <v>1777.0</v>
      </c>
      <c r="B1778" s="1" t="s">
        <v>3480</v>
      </c>
      <c r="C1778" s="1" t="s">
        <v>25</v>
      </c>
      <c r="K1778" s="1">
        <v>20.0</v>
      </c>
      <c r="N1778" s="5">
        <v>44364.0</v>
      </c>
      <c r="Q1778" s="1" t="s">
        <v>3481</v>
      </c>
    </row>
    <row r="1779">
      <c r="A1779" s="1">
        <v>1778.0</v>
      </c>
      <c r="B1779" s="1" t="s">
        <v>3482</v>
      </c>
      <c r="C1779" s="1" t="s">
        <v>25</v>
      </c>
      <c r="K1779" s="1">
        <v>50.0</v>
      </c>
      <c r="N1779" s="5">
        <v>44088.0</v>
      </c>
      <c r="Q1779" s="1" t="s">
        <v>2485</v>
      </c>
    </row>
    <row r="1780">
      <c r="A1780" s="1">
        <v>1779.0</v>
      </c>
      <c r="B1780" s="1" t="s">
        <v>3483</v>
      </c>
      <c r="C1780" s="1" t="s">
        <v>25</v>
      </c>
      <c r="K1780" s="1">
        <v>60.0</v>
      </c>
      <c r="N1780" s="5">
        <v>44374.0</v>
      </c>
      <c r="Q1780" s="1" t="s">
        <v>3484</v>
      </c>
    </row>
    <row r="1781">
      <c r="A1781" s="1">
        <v>1780.0</v>
      </c>
      <c r="B1781" s="1" t="s">
        <v>3485</v>
      </c>
      <c r="C1781" s="1" t="s">
        <v>25</v>
      </c>
      <c r="K1781" s="1">
        <v>10.0</v>
      </c>
      <c r="N1781" s="5">
        <v>44072.0</v>
      </c>
      <c r="Q1781" s="1" t="s">
        <v>46</v>
      </c>
    </row>
    <row r="1782">
      <c r="A1782" s="1">
        <v>1781.0</v>
      </c>
      <c r="B1782" s="1" t="s">
        <v>3486</v>
      </c>
      <c r="C1782" s="1" t="s">
        <v>25</v>
      </c>
      <c r="K1782" s="1">
        <v>20.0</v>
      </c>
      <c r="N1782" s="5">
        <v>45531.0</v>
      </c>
      <c r="Q1782" s="1" t="s">
        <v>3487</v>
      </c>
    </row>
    <row r="1783">
      <c r="A1783" s="1">
        <v>1782.0</v>
      </c>
      <c r="B1783" s="1" t="s">
        <v>3488</v>
      </c>
      <c r="C1783" s="1" t="s">
        <v>25</v>
      </c>
      <c r="N1783" s="5">
        <v>43780.0</v>
      </c>
      <c r="Q1783" s="1" t="s">
        <v>3489</v>
      </c>
    </row>
    <row r="1784">
      <c r="A1784" s="1">
        <v>1783.0</v>
      </c>
      <c r="B1784" s="1" t="s">
        <v>3490</v>
      </c>
      <c r="C1784" s="1" t="s">
        <v>25</v>
      </c>
      <c r="N1784" s="5">
        <v>45294.0</v>
      </c>
      <c r="Q1784" s="1" t="s">
        <v>55</v>
      </c>
    </row>
    <row r="1785">
      <c r="A1785" s="1">
        <v>1784.0</v>
      </c>
      <c r="B1785" s="1" t="s">
        <v>3491</v>
      </c>
      <c r="C1785" s="1" t="s">
        <v>25</v>
      </c>
      <c r="N1785" s="5">
        <v>44592.0</v>
      </c>
      <c r="Q1785" s="1" t="s">
        <v>55</v>
      </c>
    </row>
    <row r="1786">
      <c r="A1786" s="1">
        <v>1785.0</v>
      </c>
      <c r="B1786" s="1" t="s">
        <v>3492</v>
      </c>
      <c r="C1786" s="1" t="s">
        <v>25</v>
      </c>
      <c r="K1786" s="1">
        <v>250.0</v>
      </c>
      <c r="N1786" s="5">
        <v>44282.0</v>
      </c>
      <c r="Q1786" s="1" t="s">
        <v>3493</v>
      </c>
    </row>
    <row r="1787">
      <c r="A1787" s="1">
        <v>1786.0</v>
      </c>
      <c r="B1787" s="1" t="s">
        <v>3494</v>
      </c>
      <c r="C1787" s="1" t="s">
        <v>25</v>
      </c>
      <c r="K1787" s="1">
        <v>10.0</v>
      </c>
      <c r="N1787" s="5">
        <v>43964.0</v>
      </c>
      <c r="Q1787" s="1" t="s">
        <v>93</v>
      </c>
    </row>
    <row r="1788">
      <c r="A1788" s="1">
        <v>1787.0</v>
      </c>
      <c r="B1788" s="1" t="s">
        <v>3495</v>
      </c>
      <c r="C1788" s="1" t="s">
        <v>25</v>
      </c>
      <c r="K1788" s="1">
        <v>150.0</v>
      </c>
      <c r="N1788" s="5">
        <v>45792.0</v>
      </c>
      <c r="Q1788" s="1" t="s">
        <v>3496</v>
      </c>
    </row>
    <row r="1789">
      <c r="A1789" s="1">
        <v>1788.0</v>
      </c>
      <c r="B1789" s="1" t="s">
        <v>3497</v>
      </c>
      <c r="C1789" s="1" t="s">
        <v>25</v>
      </c>
      <c r="K1789" s="1">
        <v>40.0</v>
      </c>
      <c r="N1789" s="5">
        <v>44497.0</v>
      </c>
      <c r="Q1789" s="1" t="s">
        <v>1066</v>
      </c>
    </row>
    <row r="1790">
      <c r="A1790" s="1">
        <v>1789.0</v>
      </c>
      <c r="B1790" s="1" t="s">
        <v>3498</v>
      </c>
      <c r="C1790" s="1" t="s">
        <v>25</v>
      </c>
      <c r="K1790" s="1">
        <v>50.0</v>
      </c>
      <c r="N1790" s="5">
        <v>44015.0</v>
      </c>
      <c r="Q1790" s="1" t="s">
        <v>3499</v>
      </c>
    </row>
    <row r="1791">
      <c r="A1791" s="1">
        <v>1790.0</v>
      </c>
      <c r="B1791" s="1" t="s">
        <v>3500</v>
      </c>
      <c r="C1791" s="1" t="s">
        <v>25</v>
      </c>
      <c r="K1791" s="1">
        <v>90.0</v>
      </c>
      <c r="N1791" s="5">
        <v>44584.0</v>
      </c>
      <c r="Q1791" s="1" t="s">
        <v>1218</v>
      </c>
    </row>
    <row r="1792">
      <c r="A1792" s="1">
        <v>1791.0</v>
      </c>
      <c r="B1792" s="1" t="s">
        <v>3501</v>
      </c>
      <c r="C1792" s="1" t="s">
        <v>25</v>
      </c>
      <c r="K1792" s="1">
        <v>80.0</v>
      </c>
      <c r="N1792" s="5">
        <v>45656.0</v>
      </c>
      <c r="Q1792" s="1" t="s">
        <v>3502</v>
      </c>
    </row>
    <row r="1793">
      <c r="A1793" s="1">
        <v>1792.0</v>
      </c>
      <c r="B1793" s="1" t="s">
        <v>3503</v>
      </c>
      <c r="C1793" s="1" t="s">
        <v>25</v>
      </c>
      <c r="K1793" s="1">
        <v>60.0</v>
      </c>
      <c r="N1793" s="5">
        <v>43882.0</v>
      </c>
      <c r="Q1793" s="1" t="s">
        <v>3504</v>
      </c>
    </row>
    <row r="1794">
      <c r="A1794" s="1">
        <v>1793.0</v>
      </c>
      <c r="B1794" s="1" t="s">
        <v>3505</v>
      </c>
      <c r="C1794" s="1" t="s">
        <v>25</v>
      </c>
      <c r="N1794" s="5">
        <v>43872.0</v>
      </c>
      <c r="Q1794" s="1" t="s">
        <v>606</v>
      </c>
    </row>
    <row r="1795">
      <c r="A1795" s="1">
        <v>1794.0</v>
      </c>
      <c r="B1795" s="1" t="s">
        <v>3506</v>
      </c>
      <c r="C1795" s="1" t="s">
        <v>25</v>
      </c>
      <c r="N1795" s="5">
        <v>44211.0</v>
      </c>
      <c r="Q1795" s="1" t="s">
        <v>55</v>
      </c>
    </row>
    <row r="1796">
      <c r="A1796" s="1">
        <v>1795.0</v>
      </c>
      <c r="B1796" s="1" t="s">
        <v>3507</v>
      </c>
      <c r="C1796" s="1" t="s">
        <v>25</v>
      </c>
      <c r="N1796" s="5">
        <v>44424.0</v>
      </c>
      <c r="Q1796" s="1" t="s">
        <v>55</v>
      </c>
    </row>
    <row r="1797">
      <c r="A1797" s="1">
        <v>1796.0</v>
      </c>
      <c r="B1797" s="1" t="s">
        <v>3508</v>
      </c>
      <c r="C1797" s="1" t="s">
        <v>25</v>
      </c>
      <c r="K1797" s="1">
        <v>60.0</v>
      </c>
      <c r="N1797" s="5">
        <v>44337.0</v>
      </c>
      <c r="Q1797" s="1" t="s">
        <v>55</v>
      </c>
    </row>
    <row r="1798">
      <c r="A1798" s="1">
        <v>1797.0</v>
      </c>
      <c r="B1798" s="1" t="s">
        <v>3509</v>
      </c>
      <c r="C1798" s="1" t="s">
        <v>25</v>
      </c>
      <c r="K1798" s="1">
        <v>20.0</v>
      </c>
      <c r="N1798" s="5">
        <v>43954.0</v>
      </c>
      <c r="Q1798" s="1" t="s">
        <v>3510</v>
      </c>
    </row>
    <row r="1799">
      <c r="A1799" s="1">
        <v>1798.0</v>
      </c>
      <c r="B1799" s="1" t="s">
        <v>3511</v>
      </c>
      <c r="C1799" s="1" t="s">
        <v>25</v>
      </c>
      <c r="N1799" s="5">
        <v>45720.0</v>
      </c>
      <c r="Q1799" s="1" t="s">
        <v>3512</v>
      </c>
    </row>
    <row r="1800">
      <c r="A1800" s="1">
        <v>1799.0</v>
      </c>
      <c r="B1800" s="1" t="s">
        <v>3513</v>
      </c>
      <c r="C1800" s="1" t="s">
        <v>25</v>
      </c>
      <c r="K1800" s="1">
        <v>70.0</v>
      </c>
      <c r="N1800" s="5">
        <v>43919.0</v>
      </c>
      <c r="Q1800" s="1" t="s">
        <v>718</v>
      </c>
    </row>
    <row r="1801">
      <c r="A1801" s="1">
        <v>1800.0</v>
      </c>
      <c r="B1801" s="1" t="s">
        <v>3514</v>
      </c>
      <c r="C1801" s="1" t="s">
        <v>25</v>
      </c>
      <c r="K1801" s="1">
        <v>20.0</v>
      </c>
      <c r="N1801" s="5">
        <v>44647.0</v>
      </c>
      <c r="Q1801" s="1" t="s">
        <v>569</v>
      </c>
    </row>
    <row r="1802">
      <c r="A1802" s="1">
        <v>1801.0</v>
      </c>
      <c r="B1802" s="1" t="s">
        <v>3515</v>
      </c>
      <c r="C1802" s="1" t="s">
        <v>25</v>
      </c>
      <c r="K1802" s="1">
        <v>40.0</v>
      </c>
      <c r="N1802" s="5">
        <v>44255.0</v>
      </c>
      <c r="Q1802" s="1" t="s">
        <v>2842</v>
      </c>
    </row>
    <row r="1803">
      <c r="A1803" s="1">
        <v>1802.0</v>
      </c>
      <c r="B1803" s="1" t="s">
        <v>3516</v>
      </c>
      <c r="C1803" s="1" t="s">
        <v>25</v>
      </c>
      <c r="K1803" s="1">
        <v>150.0</v>
      </c>
      <c r="N1803" s="5">
        <v>44059.0</v>
      </c>
      <c r="Q1803" s="1" t="s">
        <v>3517</v>
      </c>
    </row>
    <row r="1804">
      <c r="A1804" s="1">
        <v>1803.0</v>
      </c>
      <c r="B1804" s="1" t="s">
        <v>3518</v>
      </c>
      <c r="C1804" s="1" t="s">
        <v>25</v>
      </c>
      <c r="K1804" s="1">
        <v>90.0</v>
      </c>
      <c r="N1804" s="5">
        <v>43944.0</v>
      </c>
      <c r="Q1804" s="1" t="s">
        <v>203</v>
      </c>
    </row>
    <row r="1805">
      <c r="A1805" s="1">
        <v>1804.0</v>
      </c>
      <c r="B1805" s="1" t="s">
        <v>3519</v>
      </c>
      <c r="C1805" s="1" t="s">
        <v>25</v>
      </c>
      <c r="N1805" s="5">
        <v>45020.0</v>
      </c>
      <c r="Q1805" s="1" t="s">
        <v>851</v>
      </c>
    </row>
    <row r="1806">
      <c r="A1806" s="1">
        <v>1805.0</v>
      </c>
      <c r="B1806" s="1" t="s">
        <v>3520</v>
      </c>
      <c r="C1806" s="1" t="s">
        <v>25</v>
      </c>
      <c r="N1806" s="5">
        <v>44080.0</v>
      </c>
      <c r="Q1806" s="1" t="s">
        <v>1724</v>
      </c>
    </row>
    <row r="1807">
      <c r="A1807" s="1">
        <v>1806.0</v>
      </c>
      <c r="B1807" s="1" t="s">
        <v>3521</v>
      </c>
      <c r="C1807" s="1" t="s">
        <v>25</v>
      </c>
      <c r="N1807" s="5">
        <v>44059.0</v>
      </c>
      <c r="Q1807" s="1" t="s">
        <v>55</v>
      </c>
    </row>
    <row r="1808">
      <c r="A1808" s="1">
        <v>1807.0</v>
      </c>
      <c r="B1808" s="1" t="s">
        <v>3522</v>
      </c>
      <c r="C1808" s="1" t="s">
        <v>25</v>
      </c>
      <c r="K1808" s="1">
        <v>70.0</v>
      </c>
      <c r="N1808" s="5">
        <v>44198.0</v>
      </c>
      <c r="Q1808" s="1" t="s">
        <v>3523</v>
      </c>
    </row>
    <row r="1809">
      <c r="A1809" s="1">
        <v>1808.0</v>
      </c>
      <c r="B1809" s="1" t="s">
        <v>3524</v>
      </c>
      <c r="C1809" s="1" t="s">
        <v>25</v>
      </c>
      <c r="K1809" s="1">
        <v>150.0</v>
      </c>
      <c r="N1809" s="5">
        <v>43848.0</v>
      </c>
      <c r="Q1809" s="1" t="s">
        <v>2296</v>
      </c>
    </row>
    <row r="1810">
      <c r="A1810" s="1">
        <v>1809.0</v>
      </c>
      <c r="B1810" s="1" t="s">
        <v>3525</v>
      </c>
      <c r="C1810" s="1" t="s">
        <v>25</v>
      </c>
      <c r="K1810" s="1">
        <v>250.0</v>
      </c>
      <c r="N1810" s="5">
        <v>44880.0</v>
      </c>
      <c r="Q1810" s="1" t="s">
        <v>3526</v>
      </c>
    </row>
    <row r="1811">
      <c r="A1811" s="1">
        <v>1810.0</v>
      </c>
      <c r="B1811" s="1" t="s">
        <v>3527</v>
      </c>
      <c r="C1811" s="1" t="s">
        <v>25</v>
      </c>
      <c r="K1811" s="1">
        <v>150.0</v>
      </c>
      <c r="N1811" s="5">
        <v>44456.0</v>
      </c>
      <c r="Q1811" s="1" t="s">
        <v>1726</v>
      </c>
    </row>
    <row r="1812">
      <c r="A1812" s="1">
        <v>1811.0</v>
      </c>
      <c r="B1812" s="1" t="s">
        <v>3528</v>
      </c>
      <c r="C1812" s="1" t="s">
        <v>25</v>
      </c>
      <c r="K1812" s="1">
        <v>150.0</v>
      </c>
      <c r="N1812" s="5">
        <v>45695.0</v>
      </c>
      <c r="Q1812" s="1" t="s">
        <v>3529</v>
      </c>
    </row>
    <row r="1813">
      <c r="A1813" s="1">
        <v>1812.0</v>
      </c>
      <c r="B1813" s="1" t="s">
        <v>3530</v>
      </c>
      <c r="C1813" s="1" t="s">
        <v>25</v>
      </c>
      <c r="K1813" s="1">
        <v>450.0</v>
      </c>
      <c r="N1813" s="5">
        <v>45618.0</v>
      </c>
      <c r="Q1813" s="1" t="s">
        <v>3531</v>
      </c>
    </row>
    <row r="1814">
      <c r="A1814" s="1">
        <v>1813.0</v>
      </c>
      <c r="B1814" s="1" t="s">
        <v>3532</v>
      </c>
      <c r="C1814" s="1" t="s">
        <v>25</v>
      </c>
      <c r="K1814" s="1">
        <v>50.0</v>
      </c>
      <c r="N1814" s="5">
        <v>44376.0</v>
      </c>
      <c r="Q1814" s="1" t="s">
        <v>1726</v>
      </c>
    </row>
    <row r="1815">
      <c r="A1815" s="1">
        <v>1814.0</v>
      </c>
      <c r="B1815" s="1" t="s">
        <v>3533</v>
      </c>
      <c r="C1815" s="1" t="s">
        <v>25</v>
      </c>
      <c r="N1815" s="5">
        <v>44248.0</v>
      </c>
      <c r="Q1815" s="1" t="s">
        <v>55</v>
      </c>
    </row>
    <row r="1816">
      <c r="A1816" s="1">
        <v>1815.0</v>
      </c>
      <c r="B1816" s="1" t="s">
        <v>3534</v>
      </c>
      <c r="C1816" s="1" t="s">
        <v>25</v>
      </c>
      <c r="K1816" s="1">
        <v>30.0</v>
      </c>
      <c r="N1816" s="5">
        <v>45002.0</v>
      </c>
      <c r="Q1816" s="1" t="s">
        <v>55</v>
      </c>
    </row>
    <row r="1817">
      <c r="A1817" s="1">
        <v>1816.0</v>
      </c>
      <c r="B1817" s="1" t="s">
        <v>3535</v>
      </c>
      <c r="C1817" s="1" t="s">
        <v>25</v>
      </c>
      <c r="K1817" s="1">
        <v>100.0</v>
      </c>
      <c r="N1817" s="5">
        <v>44325.0</v>
      </c>
      <c r="Q1817" s="1" t="s">
        <v>3536</v>
      </c>
    </row>
    <row r="1818">
      <c r="A1818" s="1">
        <v>1817.0</v>
      </c>
      <c r="B1818" s="1" t="s">
        <v>3537</v>
      </c>
      <c r="C1818" s="1" t="s">
        <v>25</v>
      </c>
      <c r="K1818" s="1">
        <v>10.0</v>
      </c>
      <c r="N1818" s="5">
        <v>43991.0</v>
      </c>
      <c r="Q1818" s="1" t="s">
        <v>606</v>
      </c>
    </row>
    <row r="1819">
      <c r="A1819" s="1">
        <v>1818.0</v>
      </c>
      <c r="B1819" s="1" t="s">
        <v>3538</v>
      </c>
      <c r="C1819" s="1" t="s">
        <v>25</v>
      </c>
      <c r="K1819" s="1">
        <v>200.0</v>
      </c>
      <c r="N1819" s="5">
        <v>44259.0</v>
      </c>
      <c r="Q1819" s="1" t="s">
        <v>55</v>
      </c>
    </row>
    <row r="1820">
      <c r="A1820" s="1">
        <v>1819.0</v>
      </c>
      <c r="B1820" s="1" t="s">
        <v>3539</v>
      </c>
      <c r="C1820" s="1" t="s">
        <v>25</v>
      </c>
      <c r="N1820" s="5">
        <v>43918.0</v>
      </c>
      <c r="Q1820" s="1" t="s">
        <v>55</v>
      </c>
    </row>
    <row r="1821">
      <c r="A1821" s="1">
        <v>1820.0</v>
      </c>
      <c r="B1821" s="1" t="s">
        <v>3540</v>
      </c>
      <c r="C1821" s="1" t="s">
        <v>25</v>
      </c>
      <c r="K1821" s="1">
        <v>20.0</v>
      </c>
      <c r="N1821" s="5">
        <v>45312.0</v>
      </c>
      <c r="Q1821" s="1" t="s">
        <v>172</v>
      </c>
    </row>
    <row r="1822">
      <c r="A1822" s="1">
        <v>1821.0</v>
      </c>
      <c r="B1822" s="1" t="s">
        <v>3541</v>
      </c>
      <c r="C1822" s="1" t="s">
        <v>25</v>
      </c>
      <c r="K1822" s="1">
        <v>100.0</v>
      </c>
      <c r="N1822" s="5">
        <v>44915.0</v>
      </c>
      <c r="Q1822" s="1" t="s">
        <v>3542</v>
      </c>
    </row>
    <row r="1823">
      <c r="A1823" s="1">
        <v>1822.0</v>
      </c>
      <c r="B1823" s="1" t="s">
        <v>3543</v>
      </c>
      <c r="C1823" s="1" t="s">
        <v>25</v>
      </c>
      <c r="K1823" s="1">
        <v>20.0</v>
      </c>
      <c r="N1823" s="5">
        <v>45605.0</v>
      </c>
      <c r="Q1823" s="1" t="s">
        <v>3544</v>
      </c>
    </row>
    <row r="1824">
      <c r="A1824" s="1">
        <v>1823.0</v>
      </c>
      <c r="B1824" s="1" t="s">
        <v>3545</v>
      </c>
      <c r="C1824" s="1" t="s">
        <v>25</v>
      </c>
      <c r="N1824" s="5">
        <v>44268.0</v>
      </c>
      <c r="Q1824" s="1" t="s">
        <v>55</v>
      </c>
    </row>
    <row r="1825">
      <c r="A1825" s="1">
        <v>1824.0</v>
      </c>
      <c r="B1825" s="1" t="s">
        <v>3546</v>
      </c>
      <c r="C1825" s="1" t="s">
        <v>25</v>
      </c>
      <c r="K1825" s="1">
        <v>50.0</v>
      </c>
      <c r="N1825" s="5">
        <v>45084.0</v>
      </c>
      <c r="Q1825" s="1" t="s">
        <v>55</v>
      </c>
    </row>
    <row r="1826">
      <c r="A1826" s="1">
        <v>1825.0</v>
      </c>
      <c r="B1826" s="1" t="s">
        <v>3547</v>
      </c>
      <c r="C1826" s="1" t="s">
        <v>25</v>
      </c>
      <c r="K1826" s="1">
        <v>100.0</v>
      </c>
      <c r="N1826" s="5">
        <v>44155.0</v>
      </c>
      <c r="Q1826" s="1" t="s">
        <v>55</v>
      </c>
    </row>
    <row r="1827">
      <c r="A1827" s="1">
        <v>1826.0</v>
      </c>
      <c r="B1827" s="1" t="s">
        <v>3548</v>
      </c>
      <c r="C1827" s="1" t="s">
        <v>25</v>
      </c>
      <c r="K1827" s="1">
        <v>50.0</v>
      </c>
      <c r="N1827" s="5">
        <v>43856.0</v>
      </c>
      <c r="Q1827" s="1" t="s">
        <v>3549</v>
      </c>
    </row>
    <row r="1828">
      <c r="A1828" s="1">
        <v>1827.0</v>
      </c>
      <c r="B1828" s="1" t="s">
        <v>3550</v>
      </c>
      <c r="C1828" s="1" t="s">
        <v>25</v>
      </c>
      <c r="K1828" s="1">
        <v>800.0</v>
      </c>
      <c r="N1828" s="5">
        <v>43840.0</v>
      </c>
      <c r="Q1828" s="1" t="s">
        <v>3551</v>
      </c>
    </row>
    <row r="1829">
      <c r="A1829" s="1">
        <v>1828.0</v>
      </c>
      <c r="B1829" s="1" t="s">
        <v>3552</v>
      </c>
      <c r="C1829" s="1" t="s">
        <v>25</v>
      </c>
      <c r="K1829" s="1">
        <v>80.0</v>
      </c>
      <c r="N1829" s="5">
        <v>44098.0</v>
      </c>
      <c r="Q1829" s="1" t="s">
        <v>55</v>
      </c>
    </row>
    <row r="1830">
      <c r="A1830" s="1">
        <v>1829.0</v>
      </c>
      <c r="B1830" s="1" t="s">
        <v>3553</v>
      </c>
      <c r="C1830" s="1" t="s">
        <v>25</v>
      </c>
      <c r="K1830" s="1">
        <v>10.0</v>
      </c>
      <c r="N1830" s="5">
        <v>44594.0</v>
      </c>
      <c r="Q1830" s="1" t="s">
        <v>851</v>
      </c>
    </row>
    <row r="1831">
      <c r="A1831" s="1">
        <v>1830.0</v>
      </c>
      <c r="B1831" s="1" t="s">
        <v>3554</v>
      </c>
      <c r="C1831" s="1" t="s">
        <v>25</v>
      </c>
      <c r="K1831" s="1">
        <v>30.0</v>
      </c>
      <c r="N1831" s="5">
        <v>44260.0</v>
      </c>
      <c r="Q1831" s="1" t="s">
        <v>684</v>
      </c>
    </row>
    <row r="1832">
      <c r="A1832" s="1">
        <v>1831.0</v>
      </c>
      <c r="B1832" s="1" t="s">
        <v>3555</v>
      </c>
      <c r="C1832" s="1" t="s">
        <v>25</v>
      </c>
      <c r="K1832" s="1">
        <v>300.0</v>
      </c>
      <c r="N1832" s="5">
        <v>43843.0</v>
      </c>
      <c r="Q1832" s="1" t="s">
        <v>3556</v>
      </c>
    </row>
    <row r="1833">
      <c r="A1833" s="1">
        <v>1832.0</v>
      </c>
      <c r="B1833" s="1" t="s">
        <v>3557</v>
      </c>
      <c r="C1833" s="1" t="s">
        <v>25</v>
      </c>
      <c r="N1833" s="5">
        <v>44658.0</v>
      </c>
      <c r="Q1833" s="1" t="s">
        <v>55</v>
      </c>
    </row>
    <row r="1834">
      <c r="A1834" s="1">
        <v>1833.0</v>
      </c>
      <c r="B1834" s="1" t="s">
        <v>3558</v>
      </c>
      <c r="C1834" s="1" t="s">
        <v>25</v>
      </c>
      <c r="N1834" s="5">
        <v>44240.0</v>
      </c>
      <c r="Q1834" s="1" t="s">
        <v>55</v>
      </c>
    </row>
    <row r="1835">
      <c r="A1835" s="1">
        <v>1834.0</v>
      </c>
      <c r="B1835" s="1" t="s">
        <v>3559</v>
      </c>
      <c r="C1835" s="1" t="s">
        <v>25</v>
      </c>
      <c r="K1835" s="1">
        <v>20.0</v>
      </c>
      <c r="N1835" s="5">
        <v>45640.0</v>
      </c>
      <c r="Q1835" s="1" t="s">
        <v>3560</v>
      </c>
    </row>
    <row r="1836">
      <c r="A1836" s="1">
        <v>1835.0</v>
      </c>
      <c r="B1836" s="1" t="s">
        <v>3561</v>
      </c>
      <c r="C1836" s="1" t="s">
        <v>25</v>
      </c>
      <c r="K1836" s="1">
        <v>70.0</v>
      </c>
      <c r="N1836" s="5">
        <v>45294.0</v>
      </c>
      <c r="Q1836" s="1" t="s">
        <v>3562</v>
      </c>
    </row>
    <row r="1837">
      <c r="A1837" s="1">
        <v>1836.0</v>
      </c>
      <c r="B1837" s="1" t="s">
        <v>3563</v>
      </c>
      <c r="C1837" s="1" t="s">
        <v>25</v>
      </c>
      <c r="K1837" s="1">
        <v>30.0</v>
      </c>
      <c r="N1837" s="5">
        <v>44238.0</v>
      </c>
      <c r="Q1837" s="1" t="s">
        <v>2456</v>
      </c>
    </row>
    <row r="1838">
      <c r="A1838" s="1">
        <v>1837.0</v>
      </c>
      <c r="B1838" s="1" t="s">
        <v>3564</v>
      </c>
      <c r="C1838" s="1" t="s">
        <v>25</v>
      </c>
      <c r="K1838" s="1">
        <v>40.0</v>
      </c>
      <c r="N1838" s="5">
        <v>45570.0</v>
      </c>
      <c r="Q1838" s="1" t="s">
        <v>3565</v>
      </c>
    </row>
    <row r="1839">
      <c r="A1839" s="1">
        <v>1838.0</v>
      </c>
      <c r="B1839" s="1" t="s">
        <v>3566</v>
      </c>
      <c r="C1839" s="1" t="s">
        <v>25</v>
      </c>
      <c r="K1839" s="1">
        <v>20.0</v>
      </c>
      <c r="N1839" s="5">
        <v>44695.0</v>
      </c>
      <c r="Q1839" s="1" t="s">
        <v>55</v>
      </c>
    </row>
    <row r="1840">
      <c r="A1840" s="1">
        <v>1839.0</v>
      </c>
      <c r="B1840" s="1" t="s">
        <v>3567</v>
      </c>
      <c r="C1840" s="1" t="s">
        <v>25</v>
      </c>
      <c r="K1840" s="1">
        <v>90.0</v>
      </c>
      <c r="N1840" s="5">
        <v>44733.0</v>
      </c>
      <c r="Q1840" s="1" t="s">
        <v>2022</v>
      </c>
    </row>
    <row r="1841">
      <c r="A1841" s="1">
        <v>1840.0</v>
      </c>
      <c r="B1841" s="1" t="s">
        <v>3568</v>
      </c>
      <c r="C1841" s="1" t="s">
        <v>25</v>
      </c>
      <c r="N1841" s="5">
        <v>44033.0</v>
      </c>
      <c r="Q1841" s="1" t="s">
        <v>55</v>
      </c>
    </row>
    <row r="1842">
      <c r="A1842" s="1">
        <v>1841.0</v>
      </c>
      <c r="B1842" s="1" t="s">
        <v>3569</v>
      </c>
      <c r="C1842" s="1" t="s">
        <v>25</v>
      </c>
      <c r="K1842" s="1">
        <v>50.0</v>
      </c>
      <c r="N1842" s="5">
        <v>43877.0</v>
      </c>
      <c r="Q1842" s="1" t="s">
        <v>3570</v>
      </c>
    </row>
    <row r="1843">
      <c r="A1843" s="1">
        <v>1842.0</v>
      </c>
      <c r="B1843" s="1" t="s">
        <v>3571</v>
      </c>
      <c r="C1843" s="1" t="s">
        <v>25</v>
      </c>
      <c r="N1843" s="5">
        <v>44042.0</v>
      </c>
      <c r="Q1843" s="1" t="s">
        <v>55</v>
      </c>
    </row>
    <row r="1844">
      <c r="A1844" s="1">
        <v>1843.0</v>
      </c>
      <c r="B1844" s="1" t="s">
        <v>3572</v>
      </c>
      <c r="C1844" s="1" t="s">
        <v>25</v>
      </c>
      <c r="K1844" s="1">
        <v>200.0</v>
      </c>
      <c r="N1844" s="5">
        <v>45111.0</v>
      </c>
      <c r="Q1844" s="1" t="s">
        <v>569</v>
      </c>
    </row>
    <row r="1845">
      <c r="A1845" s="1">
        <v>1844.0</v>
      </c>
      <c r="B1845" s="1" t="s">
        <v>3573</v>
      </c>
      <c r="C1845" s="1" t="s">
        <v>25</v>
      </c>
      <c r="K1845" s="1">
        <v>150.0</v>
      </c>
      <c r="N1845" s="5">
        <v>44894.0</v>
      </c>
      <c r="Q1845" s="1" t="s">
        <v>3574</v>
      </c>
    </row>
    <row r="1846">
      <c r="A1846" s="1">
        <v>1845.0</v>
      </c>
      <c r="B1846" s="1" t="s">
        <v>3575</v>
      </c>
      <c r="C1846" s="1" t="s">
        <v>25</v>
      </c>
      <c r="N1846" s="5">
        <v>44074.0</v>
      </c>
      <c r="Q1846" s="1" t="s">
        <v>55</v>
      </c>
    </row>
    <row r="1847">
      <c r="A1847" s="1">
        <v>1846.0</v>
      </c>
      <c r="B1847" s="1" t="s">
        <v>3576</v>
      </c>
      <c r="C1847" s="1" t="s">
        <v>25</v>
      </c>
      <c r="K1847" s="1">
        <v>300.0</v>
      </c>
      <c r="N1847" s="5">
        <v>44577.0</v>
      </c>
      <c r="Q1847" s="1" t="s">
        <v>1616</v>
      </c>
    </row>
    <row r="1848">
      <c r="A1848" s="1">
        <v>1847.0</v>
      </c>
      <c r="B1848" s="1" t="s">
        <v>3577</v>
      </c>
      <c r="C1848" s="1" t="s">
        <v>25</v>
      </c>
      <c r="K1848" s="1">
        <v>30.0</v>
      </c>
      <c r="N1848" s="5">
        <v>45245.0</v>
      </c>
      <c r="Q1848" s="1" t="s">
        <v>3578</v>
      </c>
    </row>
    <row r="1849">
      <c r="A1849" s="1">
        <v>1848.0</v>
      </c>
      <c r="B1849" s="1" t="s">
        <v>3579</v>
      </c>
      <c r="C1849" s="1" t="s">
        <v>25</v>
      </c>
      <c r="K1849" s="1">
        <v>90.0</v>
      </c>
      <c r="N1849" s="5">
        <v>45729.0</v>
      </c>
      <c r="Q1849" s="1" t="s">
        <v>1662</v>
      </c>
    </row>
    <row r="1850">
      <c r="A1850" s="1">
        <v>1849.0</v>
      </c>
      <c r="B1850" s="1" t="s">
        <v>3580</v>
      </c>
      <c r="C1850" s="1" t="s">
        <v>25</v>
      </c>
      <c r="N1850" s="5">
        <v>44237.0</v>
      </c>
      <c r="Q1850" s="1" t="s">
        <v>55</v>
      </c>
    </row>
    <row r="1851">
      <c r="A1851" s="1">
        <v>1850.0</v>
      </c>
      <c r="B1851" s="1" t="s">
        <v>3581</v>
      </c>
      <c r="C1851" s="1" t="s">
        <v>25</v>
      </c>
      <c r="N1851" s="5">
        <v>44554.0</v>
      </c>
      <c r="Q1851" s="1" t="s">
        <v>55</v>
      </c>
    </row>
    <row r="1852">
      <c r="A1852" s="1">
        <v>1851.0</v>
      </c>
      <c r="B1852" s="1" t="s">
        <v>3582</v>
      </c>
      <c r="C1852" s="1" t="s">
        <v>25</v>
      </c>
      <c r="K1852" s="1">
        <v>30.0</v>
      </c>
      <c r="N1852" s="5">
        <v>43854.0</v>
      </c>
      <c r="Q1852" s="1" t="s">
        <v>3583</v>
      </c>
    </row>
    <row r="1853">
      <c r="A1853" s="1">
        <v>1852.0</v>
      </c>
      <c r="B1853" s="1" t="s">
        <v>3584</v>
      </c>
      <c r="C1853" s="1" t="s">
        <v>25</v>
      </c>
      <c r="K1853" s="1">
        <v>30.0</v>
      </c>
      <c r="N1853" s="5">
        <v>44488.0</v>
      </c>
      <c r="Q1853" s="1" t="s">
        <v>851</v>
      </c>
    </row>
    <row r="1854">
      <c r="A1854" s="1">
        <v>1853.0</v>
      </c>
      <c r="B1854" s="1" t="s">
        <v>3585</v>
      </c>
      <c r="C1854" s="1" t="s">
        <v>25</v>
      </c>
      <c r="N1854" s="5">
        <v>44617.0</v>
      </c>
      <c r="Q1854" s="1" t="s">
        <v>55</v>
      </c>
    </row>
    <row r="1855">
      <c r="A1855" s="1">
        <v>1854.0</v>
      </c>
      <c r="B1855" s="1" t="s">
        <v>3586</v>
      </c>
      <c r="C1855" s="1" t="s">
        <v>25</v>
      </c>
      <c r="K1855" s="1">
        <v>60.0</v>
      </c>
      <c r="N1855" s="5">
        <v>44156.0</v>
      </c>
      <c r="Q1855" s="1" t="s">
        <v>3587</v>
      </c>
    </row>
    <row r="1856">
      <c r="A1856" s="1">
        <v>1855.0</v>
      </c>
      <c r="B1856" s="1" t="s">
        <v>3588</v>
      </c>
      <c r="C1856" s="1" t="s">
        <v>25</v>
      </c>
      <c r="N1856" s="5">
        <v>46103.0</v>
      </c>
      <c r="Q1856" s="1" t="s">
        <v>3589</v>
      </c>
    </row>
    <row r="1857">
      <c r="A1857" s="1">
        <v>1856.0</v>
      </c>
      <c r="B1857" s="1" t="s">
        <v>3590</v>
      </c>
      <c r="C1857" s="1" t="s">
        <v>25</v>
      </c>
      <c r="K1857" s="1">
        <v>200.0</v>
      </c>
      <c r="N1857" s="5">
        <v>43999.0</v>
      </c>
      <c r="Q1857" s="1" t="s">
        <v>569</v>
      </c>
    </row>
    <row r="1858">
      <c r="A1858" s="1">
        <v>1857.0</v>
      </c>
      <c r="B1858" s="1" t="s">
        <v>3591</v>
      </c>
      <c r="C1858" s="1" t="s">
        <v>25</v>
      </c>
      <c r="K1858" s="1">
        <v>100.0</v>
      </c>
      <c r="N1858" s="5">
        <v>43888.0</v>
      </c>
      <c r="Q1858" s="1" t="s">
        <v>3592</v>
      </c>
    </row>
    <row r="1859">
      <c r="A1859" s="1">
        <v>1858.0</v>
      </c>
      <c r="B1859" s="1" t="s">
        <v>3593</v>
      </c>
      <c r="C1859" s="1" t="s">
        <v>25</v>
      </c>
      <c r="K1859" s="1">
        <v>10.0</v>
      </c>
      <c r="N1859" s="5">
        <v>45103.0</v>
      </c>
      <c r="Q1859" s="1" t="s">
        <v>3594</v>
      </c>
    </row>
    <row r="1860">
      <c r="A1860" s="1">
        <v>1859.0</v>
      </c>
      <c r="B1860" s="1" t="s">
        <v>3595</v>
      </c>
      <c r="C1860" s="1" t="s">
        <v>25</v>
      </c>
      <c r="K1860" s="1">
        <v>350.0</v>
      </c>
      <c r="N1860" s="5">
        <v>43886.0</v>
      </c>
      <c r="Q1860" s="1" t="s">
        <v>3596</v>
      </c>
    </row>
    <row r="1861">
      <c r="A1861" s="1">
        <v>1860.0</v>
      </c>
      <c r="B1861" s="1" t="s">
        <v>3597</v>
      </c>
      <c r="C1861" s="1" t="s">
        <v>25</v>
      </c>
      <c r="K1861" s="1">
        <v>10.0</v>
      </c>
      <c r="N1861" s="5">
        <v>45631.0</v>
      </c>
      <c r="Q1861" s="1" t="s">
        <v>1603</v>
      </c>
    </row>
    <row r="1862">
      <c r="A1862" s="1">
        <v>1861.0</v>
      </c>
      <c r="B1862" s="1" t="s">
        <v>3598</v>
      </c>
      <c r="C1862" s="1" t="s">
        <v>25</v>
      </c>
      <c r="K1862" s="1">
        <v>40.0</v>
      </c>
      <c r="N1862" s="5">
        <v>45658.0</v>
      </c>
      <c r="Q1862" s="1" t="s">
        <v>316</v>
      </c>
    </row>
    <row r="1863">
      <c r="A1863" s="1">
        <v>1862.0</v>
      </c>
      <c r="B1863" s="1" t="s">
        <v>3599</v>
      </c>
      <c r="C1863" s="1" t="s">
        <v>25</v>
      </c>
      <c r="N1863" s="5">
        <v>44689.0</v>
      </c>
      <c r="Q1863" s="1" t="s">
        <v>46</v>
      </c>
    </row>
    <row r="1864">
      <c r="A1864" s="1">
        <v>1863.0</v>
      </c>
      <c r="B1864" s="1" t="s">
        <v>3600</v>
      </c>
      <c r="C1864" s="1" t="s">
        <v>25</v>
      </c>
      <c r="K1864" s="1">
        <v>150.0</v>
      </c>
      <c r="N1864" s="5">
        <v>44321.0</v>
      </c>
      <c r="Q1864" s="1" t="s">
        <v>3601</v>
      </c>
    </row>
    <row r="1865">
      <c r="A1865" s="1">
        <v>1864.0</v>
      </c>
      <c r="B1865" s="1" t="s">
        <v>3602</v>
      </c>
      <c r="C1865" s="1" t="s">
        <v>25</v>
      </c>
      <c r="K1865" s="1">
        <v>60.0</v>
      </c>
      <c r="N1865" s="5">
        <v>44103.0</v>
      </c>
      <c r="Q1865" s="1" t="s">
        <v>55</v>
      </c>
    </row>
    <row r="1866">
      <c r="A1866" s="1">
        <v>1865.0</v>
      </c>
      <c r="B1866" s="1" t="s">
        <v>3603</v>
      </c>
      <c r="C1866" s="1" t="s">
        <v>25</v>
      </c>
      <c r="K1866" s="1">
        <v>40.0</v>
      </c>
      <c r="N1866" s="5">
        <v>45631.0</v>
      </c>
      <c r="Q1866" s="1" t="s">
        <v>3604</v>
      </c>
    </row>
    <row r="1867">
      <c r="A1867" s="1">
        <v>1866.0</v>
      </c>
      <c r="B1867" s="1" t="s">
        <v>3605</v>
      </c>
      <c r="C1867" s="1" t="s">
        <v>25</v>
      </c>
      <c r="K1867" s="1">
        <v>60.0</v>
      </c>
      <c r="N1867" s="5">
        <v>44231.0</v>
      </c>
      <c r="Q1867" s="1" t="s">
        <v>3606</v>
      </c>
    </row>
    <row r="1868">
      <c r="A1868" s="1">
        <v>1867.0</v>
      </c>
      <c r="B1868" s="1" t="s">
        <v>3607</v>
      </c>
      <c r="C1868" s="1" t="s">
        <v>25</v>
      </c>
      <c r="K1868" s="1">
        <v>10.0</v>
      </c>
      <c r="N1868" s="5">
        <v>44327.0</v>
      </c>
      <c r="Q1868" s="1" t="s">
        <v>55</v>
      </c>
    </row>
    <row r="1869">
      <c r="A1869" s="1">
        <v>1868.0</v>
      </c>
      <c r="B1869" s="1" t="s">
        <v>3608</v>
      </c>
      <c r="C1869" s="1" t="s">
        <v>25</v>
      </c>
      <c r="K1869" s="1">
        <v>150.0</v>
      </c>
      <c r="N1869" s="5">
        <v>43850.0</v>
      </c>
      <c r="Q1869" s="1" t="s">
        <v>3609</v>
      </c>
    </row>
    <row r="1870">
      <c r="A1870" s="1">
        <v>1869.0</v>
      </c>
      <c r="B1870" s="1" t="s">
        <v>3610</v>
      </c>
      <c r="C1870" s="1" t="s">
        <v>25</v>
      </c>
      <c r="K1870" s="1">
        <v>80.0</v>
      </c>
      <c r="N1870" s="5">
        <v>43907.0</v>
      </c>
      <c r="Q1870" s="1" t="s">
        <v>3611</v>
      </c>
    </row>
    <row r="1871">
      <c r="A1871" s="1">
        <v>1870.0</v>
      </c>
      <c r="B1871" s="1" t="s">
        <v>3612</v>
      </c>
      <c r="C1871" s="1" t="s">
        <v>25</v>
      </c>
      <c r="K1871" s="1">
        <v>40.0</v>
      </c>
      <c r="N1871" s="5">
        <v>45308.0</v>
      </c>
      <c r="Q1871" s="1" t="s">
        <v>287</v>
      </c>
    </row>
    <row r="1872">
      <c r="A1872" s="1">
        <v>1871.0</v>
      </c>
      <c r="B1872" s="1" t="s">
        <v>3613</v>
      </c>
      <c r="C1872" s="1" t="s">
        <v>25</v>
      </c>
      <c r="K1872" s="1">
        <v>60.0</v>
      </c>
      <c r="N1872" s="5">
        <v>45695.0</v>
      </c>
      <c r="Q1872" s="1" t="s">
        <v>1931</v>
      </c>
    </row>
    <row r="1873">
      <c r="A1873" s="1">
        <v>1872.0</v>
      </c>
      <c r="B1873" s="1" t="s">
        <v>3614</v>
      </c>
      <c r="C1873" s="1" t="s">
        <v>25</v>
      </c>
      <c r="K1873" s="1">
        <v>60.0</v>
      </c>
      <c r="N1873" s="5">
        <v>43955.0</v>
      </c>
      <c r="Q1873" s="1" t="s">
        <v>55</v>
      </c>
    </row>
    <row r="1874">
      <c r="A1874" s="1">
        <v>1873.0</v>
      </c>
      <c r="B1874" s="1" t="s">
        <v>3615</v>
      </c>
      <c r="C1874" s="1" t="s">
        <v>25</v>
      </c>
      <c r="K1874" s="1">
        <v>50.0</v>
      </c>
      <c r="N1874" s="5">
        <v>44804.0</v>
      </c>
      <c r="Q1874" s="1" t="s">
        <v>3616</v>
      </c>
    </row>
    <row r="1875">
      <c r="A1875" s="1">
        <v>1874.0</v>
      </c>
      <c r="B1875" s="1" t="s">
        <v>3617</v>
      </c>
      <c r="C1875" s="1" t="s">
        <v>25</v>
      </c>
      <c r="K1875" s="1">
        <v>20.0</v>
      </c>
      <c r="N1875" s="5">
        <v>44508.0</v>
      </c>
      <c r="Q1875" s="1" t="s">
        <v>55</v>
      </c>
    </row>
    <row r="1876">
      <c r="A1876" s="1">
        <v>1875.0</v>
      </c>
      <c r="B1876" s="1" t="s">
        <v>174</v>
      </c>
      <c r="C1876" s="1" t="s">
        <v>25</v>
      </c>
      <c r="N1876" s="5">
        <v>44602.0</v>
      </c>
      <c r="Q1876" s="1" t="s">
        <v>55</v>
      </c>
    </row>
    <row r="1877">
      <c r="A1877" s="1">
        <v>1876.0</v>
      </c>
      <c r="B1877" s="1" t="s">
        <v>3618</v>
      </c>
      <c r="C1877" s="1" t="s">
        <v>25</v>
      </c>
      <c r="N1877" s="5">
        <v>45252.0</v>
      </c>
      <c r="Q1877" s="1" t="s">
        <v>55</v>
      </c>
    </row>
    <row r="1878">
      <c r="A1878" s="1">
        <v>1877.0</v>
      </c>
      <c r="B1878" s="1" t="s">
        <v>3619</v>
      </c>
      <c r="C1878" s="1" t="s">
        <v>25</v>
      </c>
      <c r="N1878" s="5">
        <v>43967.0</v>
      </c>
      <c r="Q1878" s="1" t="s">
        <v>55</v>
      </c>
    </row>
    <row r="1879">
      <c r="A1879" s="1">
        <v>1878.0</v>
      </c>
      <c r="B1879" s="1" t="s">
        <v>3620</v>
      </c>
      <c r="C1879" s="1" t="s">
        <v>25</v>
      </c>
      <c r="K1879" s="1">
        <v>30.0</v>
      </c>
      <c r="N1879" s="5">
        <v>45236.0</v>
      </c>
      <c r="Q1879" s="1" t="s">
        <v>556</v>
      </c>
    </row>
    <row r="1880">
      <c r="A1880" s="1">
        <v>1879.0</v>
      </c>
      <c r="B1880" s="1" t="s">
        <v>3621</v>
      </c>
      <c r="C1880" s="1" t="s">
        <v>25</v>
      </c>
      <c r="K1880" s="1">
        <v>200.0</v>
      </c>
      <c r="N1880" s="5">
        <v>43902.0</v>
      </c>
      <c r="Q1880" s="1" t="s">
        <v>3622</v>
      </c>
    </row>
    <row r="1881">
      <c r="A1881" s="1">
        <v>1880.0</v>
      </c>
      <c r="B1881" s="1" t="s">
        <v>3429</v>
      </c>
      <c r="C1881" s="1" t="s">
        <v>25</v>
      </c>
      <c r="K1881" s="1">
        <v>100.0</v>
      </c>
      <c r="N1881" s="5">
        <v>43954.0</v>
      </c>
      <c r="Q1881" s="1" t="s">
        <v>2456</v>
      </c>
    </row>
    <row r="1882">
      <c r="A1882" s="1">
        <v>1881.0</v>
      </c>
      <c r="B1882" s="1" t="s">
        <v>2004</v>
      </c>
      <c r="C1882" s="1" t="s">
        <v>25</v>
      </c>
      <c r="K1882" s="1">
        <v>90.0</v>
      </c>
      <c r="N1882" s="5">
        <v>44454.0</v>
      </c>
      <c r="Q1882" s="1" t="s">
        <v>3623</v>
      </c>
    </row>
    <row r="1883">
      <c r="A1883" s="1">
        <v>1882.0</v>
      </c>
      <c r="B1883" s="1" t="s">
        <v>3624</v>
      </c>
      <c r="C1883" s="1" t="s">
        <v>25</v>
      </c>
      <c r="K1883" s="1">
        <v>450.0</v>
      </c>
      <c r="N1883" s="5">
        <v>45791.0</v>
      </c>
      <c r="Q1883" s="1" t="s">
        <v>3625</v>
      </c>
    </row>
    <row r="1884">
      <c r="A1884" s="1">
        <v>1883.0</v>
      </c>
      <c r="B1884" s="1" t="s">
        <v>3626</v>
      </c>
      <c r="C1884" s="1" t="s">
        <v>25</v>
      </c>
      <c r="K1884" s="1">
        <v>100.0</v>
      </c>
      <c r="N1884" s="5">
        <v>44202.0</v>
      </c>
      <c r="Q1884" s="1" t="s">
        <v>3627</v>
      </c>
    </row>
    <row r="1885">
      <c r="A1885" s="1">
        <v>1884.0</v>
      </c>
      <c r="B1885" s="1" t="s">
        <v>3628</v>
      </c>
      <c r="C1885" s="1" t="s">
        <v>25</v>
      </c>
      <c r="K1885" s="1">
        <v>100.0</v>
      </c>
      <c r="N1885" s="5">
        <v>45588.0</v>
      </c>
      <c r="Q1885" s="1" t="s">
        <v>3629</v>
      </c>
    </row>
    <row r="1886">
      <c r="A1886" s="1">
        <v>1885.0</v>
      </c>
      <c r="B1886" s="1" t="s">
        <v>3630</v>
      </c>
      <c r="C1886" s="1" t="s">
        <v>25</v>
      </c>
      <c r="K1886" s="1">
        <v>500.0</v>
      </c>
      <c r="N1886" s="5">
        <v>45584.0</v>
      </c>
      <c r="Q1886" s="1" t="s">
        <v>3631</v>
      </c>
    </row>
    <row r="1887">
      <c r="A1887" s="1">
        <v>1886.0</v>
      </c>
      <c r="B1887" s="1" t="s">
        <v>237</v>
      </c>
      <c r="C1887" s="1" t="s">
        <v>25</v>
      </c>
      <c r="F1887" s="1">
        <v>1.3</v>
      </c>
      <c r="K1887" s="1">
        <v>2500.0</v>
      </c>
      <c r="N1887" s="5">
        <v>43864.0</v>
      </c>
      <c r="Q1887" s="1" t="s">
        <v>241</v>
      </c>
    </row>
    <row r="1888">
      <c r="A1888" s="1">
        <v>1887.0</v>
      </c>
      <c r="B1888" s="1" t="s">
        <v>3632</v>
      </c>
      <c r="C1888" s="1" t="s">
        <v>25</v>
      </c>
      <c r="K1888" s="1">
        <v>60.0</v>
      </c>
      <c r="N1888" s="5">
        <v>43842.0</v>
      </c>
      <c r="Q1888" s="1" t="s">
        <v>3633</v>
      </c>
    </row>
    <row r="1889">
      <c r="A1889" s="1">
        <v>1888.0</v>
      </c>
      <c r="B1889" s="1" t="s">
        <v>3634</v>
      </c>
      <c r="C1889" s="1" t="s">
        <v>25</v>
      </c>
      <c r="N1889" s="5">
        <v>46098.0</v>
      </c>
      <c r="Q1889" s="1" t="s">
        <v>3635</v>
      </c>
    </row>
    <row r="1890">
      <c r="A1890" s="1">
        <v>1889.0</v>
      </c>
      <c r="B1890" s="1" t="s">
        <v>3636</v>
      </c>
      <c r="C1890" s="1" t="s">
        <v>25</v>
      </c>
      <c r="K1890" s="1">
        <v>250.0</v>
      </c>
      <c r="N1890" s="5">
        <v>45323.0</v>
      </c>
      <c r="Q1890" s="1" t="s">
        <v>3637</v>
      </c>
    </row>
    <row r="1891">
      <c r="A1891" s="1">
        <v>1890.0</v>
      </c>
      <c r="B1891" s="1" t="s">
        <v>3638</v>
      </c>
      <c r="C1891" s="1" t="s">
        <v>25</v>
      </c>
      <c r="K1891" s="1">
        <v>300.0</v>
      </c>
      <c r="N1891" s="5">
        <v>45004.0</v>
      </c>
      <c r="Q1891" s="1" t="s">
        <v>680</v>
      </c>
    </row>
    <row r="1892">
      <c r="A1892" s="1">
        <v>1891.0</v>
      </c>
      <c r="B1892" s="1" t="s">
        <v>3639</v>
      </c>
      <c r="C1892" s="1" t="s">
        <v>25</v>
      </c>
      <c r="K1892" s="1">
        <v>50.0</v>
      </c>
      <c r="N1892" s="5">
        <v>44223.0</v>
      </c>
      <c r="Q1892" s="1" t="s">
        <v>55</v>
      </c>
    </row>
    <row r="1893">
      <c r="A1893" s="1">
        <v>1892.0</v>
      </c>
      <c r="B1893" s="1" t="s">
        <v>3640</v>
      </c>
      <c r="C1893" s="1" t="s">
        <v>25</v>
      </c>
      <c r="K1893" s="1">
        <v>450.0</v>
      </c>
      <c r="N1893" s="5">
        <v>44079.0</v>
      </c>
      <c r="Q1893" s="1" t="s">
        <v>3641</v>
      </c>
    </row>
    <row r="1894">
      <c r="A1894" s="1">
        <v>1893.0</v>
      </c>
      <c r="B1894" s="1" t="s">
        <v>3642</v>
      </c>
      <c r="C1894" s="1" t="s">
        <v>25</v>
      </c>
      <c r="K1894" s="1">
        <v>40.0</v>
      </c>
      <c r="N1894" s="5">
        <v>43923.0</v>
      </c>
      <c r="Q1894" s="1" t="s">
        <v>3370</v>
      </c>
    </row>
    <row r="1895">
      <c r="A1895" s="1">
        <v>1894.0</v>
      </c>
      <c r="B1895" s="1" t="s">
        <v>3643</v>
      </c>
      <c r="C1895" s="1" t="s">
        <v>25</v>
      </c>
      <c r="K1895" s="1">
        <v>60.0</v>
      </c>
      <c r="N1895" s="5">
        <v>45650.0</v>
      </c>
      <c r="Q1895" s="1" t="s">
        <v>3644</v>
      </c>
    </row>
    <row r="1896">
      <c r="A1896" s="1">
        <v>1895.0</v>
      </c>
      <c r="B1896" s="1" t="s">
        <v>3645</v>
      </c>
      <c r="C1896" s="1" t="s">
        <v>25</v>
      </c>
      <c r="K1896" s="1">
        <v>450.0</v>
      </c>
      <c r="N1896" s="5">
        <v>43841.0</v>
      </c>
      <c r="Q1896" s="1" t="s">
        <v>3646</v>
      </c>
    </row>
    <row r="1897">
      <c r="A1897" s="1">
        <v>1896.0</v>
      </c>
      <c r="B1897" s="1" t="s">
        <v>3647</v>
      </c>
      <c r="C1897" s="1" t="s">
        <v>25</v>
      </c>
      <c r="K1897" s="1">
        <v>30.0</v>
      </c>
      <c r="N1897" s="5">
        <v>44518.0</v>
      </c>
      <c r="Q1897" s="1" t="s">
        <v>3648</v>
      </c>
    </row>
    <row r="1898">
      <c r="A1898" s="1">
        <v>1897.0</v>
      </c>
      <c r="B1898" s="1" t="s">
        <v>3649</v>
      </c>
      <c r="C1898" s="1" t="s">
        <v>25</v>
      </c>
      <c r="K1898" s="1">
        <v>100.0</v>
      </c>
      <c r="N1898" s="5">
        <v>44621.0</v>
      </c>
      <c r="Q1898" s="1" t="s">
        <v>3650</v>
      </c>
    </row>
    <row r="1899">
      <c r="A1899" s="1">
        <v>1898.0</v>
      </c>
      <c r="B1899" s="1" t="s">
        <v>3651</v>
      </c>
      <c r="C1899" s="1" t="s">
        <v>25</v>
      </c>
      <c r="N1899" s="5">
        <v>45054.0</v>
      </c>
      <c r="Q1899" s="1" t="s">
        <v>55</v>
      </c>
    </row>
    <row r="1900">
      <c r="A1900" s="1">
        <v>1899.0</v>
      </c>
      <c r="B1900" s="1" t="s">
        <v>3652</v>
      </c>
      <c r="C1900" s="1" t="s">
        <v>25</v>
      </c>
      <c r="K1900" s="1">
        <v>10.0</v>
      </c>
      <c r="N1900" s="5">
        <v>45691.0</v>
      </c>
      <c r="Q1900" s="1" t="s">
        <v>3653</v>
      </c>
    </row>
    <row r="1901">
      <c r="A1901" s="1">
        <v>1900.0</v>
      </c>
      <c r="B1901" s="1" t="s">
        <v>3654</v>
      </c>
      <c r="C1901" s="1" t="s">
        <v>25</v>
      </c>
      <c r="K1901" s="1">
        <v>450.0</v>
      </c>
      <c r="N1901" s="5">
        <v>43981.0</v>
      </c>
      <c r="Q1901" s="1" t="s">
        <v>3655</v>
      </c>
    </row>
    <row r="1902">
      <c r="A1902" s="1">
        <v>1901.0</v>
      </c>
      <c r="B1902" s="1" t="s">
        <v>3656</v>
      </c>
      <c r="C1902" s="1" t="s">
        <v>25</v>
      </c>
      <c r="K1902" s="1">
        <v>20.0</v>
      </c>
      <c r="N1902" s="5">
        <v>44595.0</v>
      </c>
      <c r="Q1902" s="1" t="s">
        <v>1387</v>
      </c>
    </row>
    <row r="1903">
      <c r="A1903" s="1">
        <v>1902.0</v>
      </c>
      <c r="B1903" s="1" t="s">
        <v>3657</v>
      </c>
      <c r="C1903" s="1" t="s">
        <v>25</v>
      </c>
      <c r="K1903" s="1">
        <v>70.0</v>
      </c>
      <c r="N1903" s="5">
        <v>45155.0</v>
      </c>
      <c r="Q1903" s="1" t="s">
        <v>125</v>
      </c>
    </row>
    <row r="1904">
      <c r="A1904" s="1">
        <v>1903.0</v>
      </c>
      <c r="B1904" s="1" t="s">
        <v>3658</v>
      </c>
      <c r="C1904" s="1" t="s">
        <v>25</v>
      </c>
      <c r="K1904" s="1">
        <v>50.0</v>
      </c>
      <c r="N1904" s="5">
        <v>43845.0</v>
      </c>
      <c r="Q1904" s="1" t="s">
        <v>3659</v>
      </c>
    </row>
    <row r="1905">
      <c r="A1905" s="1">
        <v>1904.0</v>
      </c>
      <c r="B1905" s="1" t="s">
        <v>3660</v>
      </c>
      <c r="C1905" s="1" t="s">
        <v>25</v>
      </c>
      <c r="N1905" s="5">
        <v>44244.0</v>
      </c>
      <c r="Q1905" s="1" t="s">
        <v>55</v>
      </c>
    </row>
    <row r="1906">
      <c r="A1906" s="1">
        <v>1905.0</v>
      </c>
      <c r="B1906" s="1" t="s">
        <v>3661</v>
      </c>
      <c r="C1906" s="1" t="s">
        <v>25</v>
      </c>
      <c r="K1906" s="1">
        <v>100.0</v>
      </c>
      <c r="N1906" s="5">
        <v>45730.0</v>
      </c>
      <c r="Q1906" s="1" t="s">
        <v>3662</v>
      </c>
    </row>
    <row r="1907">
      <c r="A1907" s="1">
        <v>1906.0</v>
      </c>
      <c r="B1907" s="1" t="s">
        <v>3663</v>
      </c>
      <c r="C1907" s="1" t="s">
        <v>25</v>
      </c>
      <c r="K1907" s="1">
        <v>150.0</v>
      </c>
      <c r="N1907" s="5">
        <v>44037.0</v>
      </c>
      <c r="Q1907" s="1" t="s">
        <v>3664</v>
      </c>
    </row>
    <row r="1908">
      <c r="A1908" s="1">
        <v>1907.0</v>
      </c>
      <c r="B1908" s="1" t="s">
        <v>3665</v>
      </c>
      <c r="C1908" s="1" t="s">
        <v>25</v>
      </c>
      <c r="K1908" s="1">
        <v>10.0</v>
      </c>
      <c r="N1908" s="5">
        <v>45277.0</v>
      </c>
      <c r="Q1908" s="1" t="s">
        <v>55</v>
      </c>
    </row>
    <row r="1909">
      <c r="A1909" s="1">
        <v>1908.0</v>
      </c>
      <c r="B1909" s="1" t="s">
        <v>3666</v>
      </c>
      <c r="C1909" s="1" t="s">
        <v>25</v>
      </c>
      <c r="K1909" s="1">
        <v>40.0</v>
      </c>
      <c r="N1909" s="5">
        <v>45342.0</v>
      </c>
      <c r="Q1909" s="1" t="s">
        <v>3667</v>
      </c>
    </row>
    <row r="1910">
      <c r="A1910" s="1">
        <v>1909.0</v>
      </c>
      <c r="B1910" s="1" t="s">
        <v>3668</v>
      </c>
      <c r="C1910" s="1" t="s">
        <v>25</v>
      </c>
      <c r="N1910" s="5">
        <v>43976.0</v>
      </c>
      <c r="Q1910" s="1" t="s">
        <v>55</v>
      </c>
    </row>
    <row r="1911">
      <c r="A1911" s="1">
        <v>1910.0</v>
      </c>
      <c r="B1911" s="1" t="s">
        <v>3669</v>
      </c>
      <c r="C1911" s="1" t="s">
        <v>25</v>
      </c>
      <c r="K1911" s="1">
        <v>40.0</v>
      </c>
      <c r="N1911" s="5">
        <v>43952.0</v>
      </c>
      <c r="Q1911" s="1" t="s">
        <v>345</v>
      </c>
    </row>
    <row r="1912">
      <c r="A1912" s="1">
        <v>1911.0</v>
      </c>
      <c r="B1912" s="1" t="s">
        <v>3670</v>
      </c>
      <c r="C1912" s="1" t="s">
        <v>25</v>
      </c>
      <c r="K1912" s="1">
        <v>10.0</v>
      </c>
      <c r="N1912" s="5">
        <v>45330.0</v>
      </c>
      <c r="Q1912" s="1" t="s">
        <v>3370</v>
      </c>
    </row>
    <row r="1913">
      <c r="A1913" s="1">
        <v>1912.0</v>
      </c>
      <c r="B1913" s="1" t="s">
        <v>3671</v>
      </c>
      <c r="C1913" s="1" t="s">
        <v>25</v>
      </c>
      <c r="K1913" s="1">
        <v>10.0</v>
      </c>
      <c r="N1913" s="5">
        <v>45589.0</v>
      </c>
      <c r="Q1913" s="1" t="s">
        <v>3672</v>
      </c>
    </row>
    <row r="1914">
      <c r="A1914" s="1">
        <v>1913.0</v>
      </c>
      <c r="B1914" s="1" t="s">
        <v>3673</v>
      </c>
      <c r="C1914" s="1" t="s">
        <v>25</v>
      </c>
      <c r="N1914" s="5">
        <v>42811.0</v>
      </c>
      <c r="Q1914" s="1" t="s">
        <v>3674</v>
      </c>
    </row>
    <row r="1915">
      <c r="A1915" s="1">
        <v>1914.0</v>
      </c>
      <c r="B1915" s="1" t="s">
        <v>3675</v>
      </c>
      <c r="C1915" s="1" t="s">
        <v>25</v>
      </c>
      <c r="K1915" s="1">
        <v>90.0</v>
      </c>
      <c r="N1915" s="5">
        <v>43845.0</v>
      </c>
      <c r="Q1915" s="1" t="s">
        <v>2438</v>
      </c>
    </row>
    <row r="1916">
      <c r="A1916" s="1">
        <v>1915.0</v>
      </c>
      <c r="B1916" s="1" t="s">
        <v>3676</v>
      </c>
      <c r="C1916" s="1" t="s">
        <v>25</v>
      </c>
      <c r="K1916" s="1">
        <v>70.0</v>
      </c>
      <c r="N1916" s="5">
        <v>44690.0</v>
      </c>
      <c r="Q1916" s="1" t="s">
        <v>3677</v>
      </c>
    </row>
    <row r="1917">
      <c r="A1917" s="1">
        <v>1916.0</v>
      </c>
      <c r="B1917" s="1" t="s">
        <v>3678</v>
      </c>
      <c r="C1917" s="1" t="s">
        <v>25</v>
      </c>
      <c r="K1917" s="1">
        <v>60.0</v>
      </c>
      <c r="N1917" s="5">
        <v>45376.0</v>
      </c>
      <c r="Q1917" s="1" t="s">
        <v>3679</v>
      </c>
    </row>
    <row r="1918">
      <c r="A1918" s="1">
        <v>1917.0</v>
      </c>
      <c r="B1918" s="1" t="s">
        <v>3680</v>
      </c>
      <c r="C1918" s="1" t="s">
        <v>25</v>
      </c>
      <c r="N1918" s="5">
        <v>44189.0</v>
      </c>
      <c r="Q1918" s="1" t="s">
        <v>55</v>
      </c>
    </row>
    <row r="1919">
      <c r="A1919" s="1">
        <v>1918.0</v>
      </c>
      <c r="B1919" s="1" t="s">
        <v>3681</v>
      </c>
      <c r="C1919" s="1" t="s">
        <v>25</v>
      </c>
      <c r="N1919" s="5">
        <v>44231.0</v>
      </c>
      <c r="Q1919" s="1" t="s">
        <v>55</v>
      </c>
    </row>
    <row r="1920">
      <c r="A1920" s="1">
        <v>1919.0</v>
      </c>
      <c r="B1920" s="1" t="s">
        <v>3682</v>
      </c>
      <c r="C1920" s="1" t="s">
        <v>25</v>
      </c>
      <c r="K1920" s="1">
        <v>50.0</v>
      </c>
      <c r="N1920" s="5">
        <v>44718.0</v>
      </c>
      <c r="Q1920" s="1" t="s">
        <v>1218</v>
      </c>
    </row>
    <row r="1921">
      <c r="A1921" s="1">
        <v>1920.0</v>
      </c>
      <c r="B1921" s="1" t="s">
        <v>3683</v>
      </c>
      <c r="C1921" s="1" t="s">
        <v>25</v>
      </c>
      <c r="N1921" s="5">
        <v>44069.0</v>
      </c>
      <c r="Q1921" s="1" t="s">
        <v>55</v>
      </c>
    </row>
    <row r="1922">
      <c r="A1922" s="1">
        <v>1921.0</v>
      </c>
      <c r="B1922" s="1" t="s">
        <v>3684</v>
      </c>
      <c r="C1922" s="1" t="s">
        <v>25</v>
      </c>
      <c r="K1922" s="1">
        <v>60.0</v>
      </c>
      <c r="N1922" s="5">
        <v>44268.0</v>
      </c>
      <c r="Q1922" s="1" t="s">
        <v>1218</v>
      </c>
    </row>
    <row r="1923">
      <c r="A1923" s="1">
        <v>1922.0</v>
      </c>
      <c r="B1923" s="1" t="s">
        <v>3685</v>
      </c>
      <c r="C1923" s="1" t="s">
        <v>25</v>
      </c>
      <c r="K1923" s="1">
        <v>10.0</v>
      </c>
      <c r="N1923" s="5">
        <v>45730.0</v>
      </c>
      <c r="Q1923" s="1" t="s">
        <v>3686</v>
      </c>
    </row>
    <row r="1924">
      <c r="A1924" s="1">
        <v>1923.0</v>
      </c>
      <c r="B1924" s="1" t="s">
        <v>3687</v>
      </c>
      <c r="C1924" s="1" t="s">
        <v>25</v>
      </c>
      <c r="N1924" s="5">
        <v>44221.0</v>
      </c>
      <c r="Q1924" s="1" t="s">
        <v>55</v>
      </c>
    </row>
    <row r="1925">
      <c r="A1925" s="1">
        <v>1924.0</v>
      </c>
      <c r="B1925" s="1" t="s">
        <v>3688</v>
      </c>
      <c r="C1925" s="1" t="s">
        <v>25</v>
      </c>
      <c r="N1925" s="5">
        <v>44300.0</v>
      </c>
      <c r="Q1925" s="1" t="s">
        <v>55</v>
      </c>
    </row>
    <row r="1926">
      <c r="A1926" s="1">
        <v>1925.0</v>
      </c>
      <c r="B1926" s="1" t="s">
        <v>3689</v>
      </c>
      <c r="C1926" s="1" t="s">
        <v>25</v>
      </c>
      <c r="N1926" s="5">
        <v>44193.0</v>
      </c>
      <c r="Q1926" s="1" t="s">
        <v>55</v>
      </c>
    </row>
    <row r="1927">
      <c r="A1927" s="1">
        <v>1926.0</v>
      </c>
      <c r="B1927" s="1" t="s">
        <v>3690</v>
      </c>
      <c r="C1927" s="1" t="s">
        <v>25</v>
      </c>
      <c r="K1927" s="1">
        <v>100.0</v>
      </c>
      <c r="N1927" s="5">
        <v>43780.0</v>
      </c>
      <c r="Q1927" s="1" t="s">
        <v>3691</v>
      </c>
    </row>
    <row r="1928">
      <c r="A1928" s="1">
        <v>1927.0</v>
      </c>
      <c r="B1928" s="1" t="s">
        <v>3692</v>
      </c>
      <c r="C1928" s="1" t="s">
        <v>25</v>
      </c>
      <c r="K1928" s="1">
        <v>20.0</v>
      </c>
      <c r="N1928" s="5">
        <v>45436.0</v>
      </c>
      <c r="Q1928" s="1" t="s">
        <v>851</v>
      </c>
    </row>
    <row r="1929">
      <c r="A1929" s="1">
        <v>1928.0</v>
      </c>
      <c r="B1929" s="1" t="s">
        <v>3693</v>
      </c>
      <c r="C1929" s="1" t="s">
        <v>25</v>
      </c>
      <c r="K1929" s="1">
        <v>50.0</v>
      </c>
      <c r="N1929" s="5">
        <v>44281.0</v>
      </c>
      <c r="Q1929" s="1" t="s">
        <v>3694</v>
      </c>
    </row>
    <row r="1930">
      <c r="A1930" s="1">
        <v>1929.0</v>
      </c>
      <c r="B1930" s="1" t="s">
        <v>3695</v>
      </c>
      <c r="C1930" s="1" t="s">
        <v>25</v>
      </c>
      <c r="K1930" s="1">
        <v>60.0</v>
      </c>
      <c r="N1930" s="5">
        <v>45228.0</v>
      </c>
      <c r="Q1930" s="1" t="s">
        <v>334</v>
      </c>
    </row>
    <row r="1931">
      <c r="A1931" s="1">
        <v>1930.0</v>
      </c>
      <c r="B1931" s="1" t="s">
        <v>3696</v>
      </c>
      <c r="C1931" s="1" t="s">
        <v>25</v>
      </c>
      <c r="K1931" s="1">
        <v>10.0</v>
      </c>
      <c r="N1931" s="5">
        <v>45343.0</v>
      </c>
      <c r="Q1931" s="1" t="s">
        <v>55</v>
      </c>
    </row>
    <row r="1932">
      <c r="A1932" s="1">
        <v>1931.0</v>
      </c>
      <c r="B1932" s="1" t="s">
        <v>3697</v>
      </c>
      <c r="C1932" s="1" t="s">
        <v>25</v>
      </c>
      <c r="K1932" s="1">
        <v>80.0</v>
      </c>
      <c r="N1932" s="5">
        <v>44191.0</v>
      </c>
      <c r="Q1932" s="1" t="s">
        <v>3698</v>
      </c>
    </row>
    <row r="1933">
      <c r="A1933" s="1">
        <v>1932.0</v>
      </c>
      <c r="B1933" s="1" t="s">
        <v>3699</v>
      </c>
      <c r="C1933" s="1" t="s">
        <v>25</v>
      </c>
      <c r="K1933" s="1">
        <v>70.0</v>
      </c>
      <c r="N1933" s="5">
        <v>45667.0</v>
      </c>
      <c r="Q1933" s="1" t="s">
        <v>3700</v>
      </c>
    </row>
    <row r="1934">
      <c r="A1934" s="1">
        <v>1933.0</v>
      </c>
      <c r="B1934" s="1" t="s">
        <v>3701</v>
      </c>
      <c r="C1934" s="1" t="s">
        <v>25</v>
      </c>
      <c r="K1934" s="1">
        <v>70.0</v>
      </c>
      <c r="N1934" s="5">
        <v>44738.0</v>
      </c>
      <c r="Q1934" s="1" t="s">
        <v>3702</v>
      </c>
    </row>
    <row r="1935">
      <c r="A1935" s="1">
        <v>1934.0</v>
      </c>
      <c r="B1935" s="1" t="s">
        <v>3703</v>
      </c>
      <c r="C1935" s="1" t="s">
        <v>25</v>
      </c>
      <c r="K1935" s="1">
        <v>30.0</v>
      </c>
      <c r="N1935" s="5">
        <v>45693.0</v>
      </c>
      <c r="Q1935" s="1" t="s">
        <v>3704</v>
      </c>
    </row>
    <row r="1936">
      <c r="A1936" s="1">
        <v>1935.0</v>
      </c>
      <c r="B1936" s="1" t="s">
        <v>3705</v>
      </c>
      <c r="C1936" s="1" t="s">
        <v>25</v>
      </c>
      <c r="K1936" s="1">
        <v>150.0</v>
      </c>
      <c r="N1936" s="5">
        <v>44671.0</v>
      </c>
      <c r="Q1936" s="1" t="s">
        <v>3706</v>
      </c>
    </row>
    <row r="1937">
      <c r="A1937" s="1">
        <v>1936.0</v>
      </c>
      <c r="B1937" s="1" t="s">
        <v>3707</v>
      </c>
      <c r="C1937" s="1" t="s">
        <v>25</v>
      </c>
      <c r="K1937" s="1">
        <v>80.0</v>
      </c>
      <c r="N1937" s="5">
        <v>44368.0</v>
      </c>
      <c r="Q1937" s="1" t="s">
        <v>3708</v>
      </c>
    </row>
    <row r="1938">
      <c r="A1938" s="1">
        <v>1937.0</v>
      </c>
      <c r="B1938" s="1" t="s">
        <v>3709</v>
      </c>
      <c r="C1938" s="1" t="s">
        <v>25</v>
      </c>
      <c r="K1938" s="1">
        <v>10.0</v>
      </c>
      <c r="N1938" s="5">
        <v>45582.0</v>
      </c>
      <c r="Q1938" s="1" t="s">
        <v>2750</v>
      </c>
    </row>
    <row r="1939">
      <c r="A1939" s="1">
        <v>1938.0</v>
      </c>
      <c r="B1939" s="1" t="s">
        <v>3710</v>
      </c>
      <c r="C1939" s="1" t="s">
        <v>25</v>
      </c>
      <c r="K1939" s="1">
        <v>40.0</v>
      </c>
      <c r="N1939" s="5">
        <v>43865.0</v>
      </c>
      <c r="Q1939" s="1" t="s">
        <v>3711</v>
      </c>
    </row>
    <row r="1940">
      <c r="A1940" s="1">
        <v>1939.0</v>
      </c>
      <c r="B1940" s="1" t="s">
        <v>3712</v>
      </c>
      <c r="C1940" s="1" t="s">
        <v>25</v>
      </c>
      <c r="N1940" s="5">
        <v>44113.0</v>
      </c>
      <c r="Q1940" s="1" t="s">
        <v>55</v>
      </c>
    </row>
    <row r="1941">
      <c r="A1941" s="1">
        <v>1940.0</v>
      </c>
      <c r="B1941" s="1" t="s">
        <v>3713</v>
      </c>
      <c r="C1941" s="1" t="s">
        <v>25</v>
      </c>
      <c r="N1941" s="5">
        <v>44508.0</v>
      </c>
      <c r="Q1941" s="1" t="s">
        <v>55</v>
      </c>
    </row>
    <row r="1942">
      <c r="A1942" s="1">
        <v>1941.0</v>
      </c>
      <c r="B1942" s="1" t="s">
        <v>3714</v>
      </c>
      <c r="C1942" s="1" t="s">
        <v>25</v>
      </c>
      <c r="K1942" s="1">
        <v>10.0</v>
      </c>
      <c r="N1942" s="5">
        <v>44025.0</v>
      </c>
      <c r="Q1942" s="1" t="s">
        <v>55</v>
      </c>
    </row>
    <row r="1943">
      <c r="A1943" s="1">
        <v>1942.0</v>
      </c>
      <c r="B1943" s="1" t="s">
        <v>3715</v>
      </c>
      <c r="C1943" s="1" t="s">
        <v>25</v>
      </c>
      <c r="K1943" s="1">
        <v>80.0</v>
      </c>
      <c r="N1943" s="5">
        <v>44280.0</v>
      </c>
      <c r="Q1943" s="1" t="s">
        <v>2057</v>
      </c>
    </row>
    <row r="1944">
      <c r="A1944" s="1">
        <v>1943.0</v>
      </c>
      <c r="B1944" s="1" t="s">
        <v>3716</v>
      </c>
      <c r="C1944" s="1" t="s">
        <v>25</v>
      </c>
      <c r="N1944" s="5">
        <v>44480.0</v>
      </c>
      <c r="Q1944" s="1" t="s">
        <v>55</v>
      </c>
    </row>
    <row r="1945">
      <c r="A1945" s="1">
        <v>1944.0</v>
      </c>
      <c r="B1945" s="1" t="s">
        <v>3717</v>
      </c>
      <c r="C1945" s="1" t="s">
        <v>25</v>
      </c>
      <c r="K1945" s="1">
        <v>10.0</v>
      </c>
      <c r="N1945" s="5">
        <v>44317.0</v>
      </c>
      <c r="Q1945" s="1" t="s">
        <v>3718</v>
      </c>
    </row>
    <row r="1946">
      <c r="A1946" s="1">
        <v>1945.0</v>
      </c>
      <c r="B1946" s="1" t="s">
        <v>3719</v>
      </c>
      <c r="C1946" s="1" t="s">
        <v>25</v>
      </c>
      <c r="K1946" s="1">
        <v>100.0</v>
      </c>
      <c r="N1946" s="5">
        <v>44034.0</v>
      </c>
      <c r="Q1946" s="1" t="s">
        <v>3720</v>
      </c>
    </row>
    <row r="1947">
      <c r="A1947" s="1">
        <v>1946.0</v>
      </c>
      <c r="B1947" s="1" t="s">
        <v>3721</v>
      </c>
      <c r="C1947" s="1" t="s">
        <v>25</v>
      </c>
      <c r="K1947" s="1">
        <v>30.0</v>
      </c>
      <c r="N1947" s="5">
        <v>44257.0</v>
      </c>
      <c r="Q1947" s="1" t="s">
        <v>1066</v>
      </c>
    </row>
    <row r="1948">
      <c r="A1948" s="1">
        <v>1947.0</v>
      </c>
      <c r="B1948" s="1" t="s">
        <v>3722</v>
      </c>
      <c r="C1948" s="1" t="s">
        <v>25</v>
      </c>
      <c r="K1948" s="1">
        <v>200.0</v>
      </c>
      <c r="N1948" s="5">
        <v>44090.0</v>
      </c>
      <c r="Q1948" s="1" t="s">
        <v>3723</v>
      </c>
    </row>
    <row r="1949">
      <c r="A1949" s="1">
        <v>1948.0</v>
      </c>
      <c r="B1949" s="1" t="s">
        <v>3724</v>
      </c>
      <c r="C1949" s="1" t="s">
        <v>25</v>
      </c>
      <c r="K1949" s="1">
        <v>30.0</v>
      </c>
      <c r="N1949" s="5">
        <v>44280.0</v>
      </c>
      <c r="Q1949" s="1" t="s">
        <v>692</v>
      </c>
    </row>
    <row r="1950">
      <c r="A1950" s="1">
        <v>1949.0</v>
      </c>
      <c r="B1950" s="1" t="s">
        <v>3725</v>
      </c>
      <c r="C1950" s="1" t="s">
        <v>25</v>
      </c>
      <c r="K1950" s="1">
        <v>250.0</v>
      </c>
      <c r="N1950" s="5">
        <v>43845.0</v>
      </c>
      <c r="Q1950" s="1" t="s">
        <v>3726</v>
      </c>
    </row>
    <row r="1951">
      <c r="A1951" s="1">
        <v>1950.0</v>
      </c>
      <c r="B1951" s="1" t="s">
        <v>3727</v>
      </c>
      <c r="C1951" s="1" t="s">
        <v>25</v>
      </c>
      <c r="K1951" s="1">
        <v>200.0</v>
      </c>
      <c r="N1951" s="5">
        <v>45198.0</v>
      </c>
      <c r="Q1951" s="1" t="s">
        <v>3728</v>
      </c>
    </row>
    <row r="1952">
      <c r="A1952" s="1">
        <v>1951.0</v>
      </c>
      <c r="B1952" s="1" t="s">
        <v>3729</v>
      </c>
      <c r="C1952" s="1" t="s">
        <v>25</v>
      </c>
      <c r="K1952" s="1">
        <v>40.0</v>
      </c>
      <c r="N1952" s="5">
        <v>44467.0</v>
      </c>
      <c r="Q1952" s="1" t="s">
        <v>1726</v>
      </c>
    </row>
    <row r="1953">
      <c r="A1953" s="1">
        <v>1952.0</v>
      </c>
      <c r="B1953" s="1" t="s">
        <v>3730</v>
      </c>
      <c r="C1953" s="1" t="s">
        <v>25</v>
      </c>
      <c r="K1953" s="1">
        <v>80.0</v>
      </c>
      <c r="N1953" s="5">
        <v>43873.0</v>
      </c>
      <c r="Q1953" s="1" t="s">
        <v>1359</v>
      </c>
    </row>
    <row r="1954">
      <c r="A1954" s="1">
        <v>1953.0</v>
      </c>
      <c r="B1954" s="1" t="s">
        <v>3731</v>
      </c>
      <c r="C1954" s="1" t="s">
        <v>25</v>
      </c>
      <c r="K1954" s="1">
        <v>30.0</v>
      </c>
      <c r="N1954" s="5">
        <v>44499.0</v>
      </c>
      <c r="Q1954" s="1" t="s">
        <v>1568</v>
      </c>
    </row>
    <row r="1955">
      <c r="A1955" s="1">
        <v>1954.0</v>
      </c>
      <c r="B1955" s="1" t="s">
        <v>3732</v>
      </c>
      <c r="C1955" s="1" t="s">
        <v>25</v>
      </c>
      <c r="K1955" s="1">
        <v>70.0</v>
      </c>
      <c r="N1955" s="5">
        <v>44245.0</v>
      </c>
      <c r="Q1955" s="1" t="s">
        <v>2067</v>
      </c>
    </row>
    <row r="1956">
      <c r="A1956" s="1">
        <v>1955.0</v>
      </c>
      <c r="B1956" s="1" t="s">
        <v>3733</v>
      </c>
      <c r="C1956" s="1" t="s">
        <v>25</v>
      </c>
      <c r="K1956" s="1">
        <v>10.0</v>
      </c>
      <c r="N1956" s="5">
        <v>44964.0</v>
      </c>
      <c r="Q1956" s="1" t="s">
        <v>55</v>
      </c>
    </row>
    <row r="1957">
      <c r="A1957" s="1">
        <v>1956.0</v>
      </c>
      <c r="B1957" s="1" t="s">
        <v>3734</v>
      </c>
      <c r="C1957" s="1" t="s">
        <v>25</v>
      </c>
      <c r="K1957" s="1">
        <v>20.0</v>
      </c>
      <c r="N1957" s="5">
        <v>44859.0</v>
      </c>
      <c r="Q1957" s="1" t="s">
        <v>3735</v>
      </c>
    </row>
    <row r="1958">
      <c r="A1958" s="1">
        <v>1957.0</v>
      </c>
      <c r="B1958" s="1" t="s">
        <v>3736</v>
      </c>
      <c r="C1958" s="1" t="s">
        <v>25</v>
      </c>
      <c r="K1958" s="1">
        <v>40.0</v>
      </c>
      <c r="N1958" s="5">
        <v>45507.0</v>
      </c>
      <c r="Q1958" s="1" t="s">
        <v>3737</v>
      </c>
    </row>
    <row r="1959">
      <c r="A1959" s="1">
        <v>1958.0</v>
      </c>
      <c r="B1959" s="1" t="s">
        <v>3738</v>
      </c>
      <c r="C1959" s="1" t="s">
        <v>25</v>
      </c>
      <c r="K1959" s="1">
        <v>200.0</v>
      </c>
      <c r="N1959" s="5">
        <v>44080.0</v>
      </c>
      <c r="Q1959" s="1" t="s">
        <v>3739</v>
      </c>
    </row>
    <row r="1960">
      <c r="A1960" s="1">
        <v>1959.0</v>
      </c>
      <c r="B1960" s="1" t="s">
        <v>3740</v>
      </c>
      <c r="C1960" s="1" t="s">
        <v>25</v>
      </c>
      <c r="K1960" s="1">
        <v>50.0</v>
      </c>
      <c r="N1960" s="5">
        <v>43884.0</v>
      </c>
      <c r="Q1960" s="1" t="s">
        <v>55</v>
      </c>
    </row>
    <row r="1961">
      <c r="A1961" s="1">
        <v>1960.0</v>
      </c>
      <c r="B1961" s="1" t="s">
        <v>3741</v>
      </c>
      <c r="C1961" s="1" t="s">
        <v>25</v>
      </c>
      <c r="N1961" s="5">
        <v>43840.0</v>
      </c>
      <c r="Q1961" s="1" t="s">
        <v>55</v>
      </c>
    </row>
    <row r="1962">
      <c r="A1962" s="1">
        <v>1961.0</v>
      </c>
      <c r="B1962" s="1" t="s">
        <v>3742</v>
      </c>
      <c r="C1962" s="1" t="s">
        <v>25</v>
      </c>
      <c r="K1962" s="1">
        <v>100.0</v>
      </c>
      <c r="N1962" s="5">
        <v>44795.0</v>
      </c>
      <c r="Q1962" s="1" t="s">
        <v>55</v>
      </c>
    </row>
    <row r="1963">
      <c r="A1963" s="1">
        <v>1962.0</v>
      </c>
      <c r="B1963" s="1" t="s">
        <v>3743</v>
      </c>
      <c r="C1963" s="1" t="s">
        <v>25</v>
      </c>
      <c r="K1963" s="1">
        <v>80.0</v>
      </c>
      <c r="N1963" s="5">
        <v>45179.0</v>
      </c>
      <c r="Q1963" s="1" t="s">
        <v>2662</v>
      </c>
    </row>
    <row r="1964">
      <c r="A1964" s="1">
        <v>1963.0</v>
      </c>
      <c r="B1964" s="1" t="s">
        <v>3744</v>
      </c>
      <c r="C1964" s="1" t="s">
        <v>25</v>
      </c>
      <c r="K1964" s="1">
        <v>10.0</v>
      </c>
      <c r="N1964" s="5">
        <v>45729.0</v>
      </c>
      <c r="Q1964" s="1" t="s">
        <v>3745</v>
      </c>
    </row>
    <row r="1965">
      <c r="A1965" s="1">
        <v>1964.0</v>
      </c>
      <c r="B1965" s="1" t="s">
        <v>3746</v>
      </c>
      <c r="C1965" s="1" t="s">
        <v>25</v>
      </c>
      <c r="K1965" s="1">
        <v>70.0</v>
      </c>
      <c r="N1965" s="5">
        <v>45489.0</v>
      </c>
      <c r="Q1965" s="1" t="s">
        <v>3747</v>
      </c>
    </row>
    <row r="1966">
      <c r="A1966" s="1">
        <v>1965.0</v>
      </c>
      <c r="B1966" s="1" t="s">
        <v>3748</v>
      </c>
      <c r="C1966" s="1" t="s">
        <v>25</v>
      </c>
      <c r="K1966" s="1">
        <v>20.0</v>
      </c>
      <c r="N1966" s="5">
        <v>44420.0</v>
      </c>
      <c r="Q1966" s="1" t="s">
        <v>55</v>
      </c>
    </row>
    <row r="1967">
      <c r="A1967" s="1">
        <v>1966.0</v>
      </c>
      <c r="B1967" s="1" t="s">
        <v>3749</v>
      </c>
      <c r="C1967" s="1" t="s">
        <v>25</v>
      </c>
      <c r="K1967" s="1">
        <v>30.0</v>
      </c>
      <c r="N1967" s="5">
        <v>45678.0</v>
      </c>
      <c r="Q1967" s="1" t="s">
        <v>2152</v>
      </c>
    </row>
    <row r="1968">
      <c r="A1968" s="1">
        <v>1967.0</v>
      </c>
      <c r="B1968" s="1" t="s">
        <v>3750</v>
      </c>
      <c r="C1968" s="1" t="s">
        <v>25</v>
      </c>
      <c r="K1968" s="1">
        <v>50.0</v>
      </c>
      <c r="N1968" s="5">
        <v>43945.0</v>
      </c>
      <c r="Q1968" s="1" t="s">
        <v>93</v>
      </c>
    </row>
    <row r="1969">
      <c r="A1969" s="1">
        <v>1968.0</v>
      </c>
      <c r="B1969" s="1" t="s">
        <v>3751</v>
      </c>
      <c r="C1969" s="1" t="s">
        <v>25</v>
      </c>
      <c r="K1969" s="1">
        <v>150.0</v>
      </c>
      <c r="N1969" s="5">
        <v>44223.0</v>
      </c>
      <c r="Q1969" s="1" t="s">
        <v>1738</v>
      </c>
    </row>
    <row r="1970">
      <c r="A1970" s="1">
        <v>1969.0</v>
      </c>
      <c r="B1970" s="1" t="s">
        <v>3752</v>
      </c>
      <c r="C1970" s="1" t="s">
        <v>25</v>
      </c>
      <c r="K1970" s="1">
        <v>30.0</v>
      </c>
      <c r="N1970" s="5">
        <v>45489.0</v>
      </c>
      <c r="Q1970" s="1" t="s">
        <v>3753</v>
      </c>
    </row>
    <row r="1971">
      <c r="A1971" s="1">
        <v>1970.0</v>
      </c>
      <c r="B1971" s="1" t="s">
        <v>3754</v>
      </c>
      <c r="C1971" s="1" t="s">
        <v>25</v>
      </c>
      <c r="N1971" s="5">
        <v>44568.0</v>
      </c>
      <c r="Q1971" s="1" t="s">
        <v>55</v>
      </c>
    </row>
    <row r="1972">
      <c r="A1972" s="1">
        <v>1971.0</v>
      </c>
      <c r="B1972" s="1" t="s">
        <v>3755</v>
      </c>
      <c r="C1972" s="1" t="s">
        <v>25</v>
      </c>
      <c r="K1972" s="1">
        <v>150.0</v>
      </c>
      <c r="N1972" s="5">
        <v>44601.0</v>
      </c>
      <c r="Q1972" s="1" t="s">
        <v>3756</v>
      </c>
    </row>
    <row r="1973">
      <c r="A1973" s="1">
        <v>1972.0</v>
      </c>
      <c r="B1973" s="1" t="s">
        <v>3757</v>
      </c>
      <c r="C1973" s="1" t="s">
        <v>25</v>
      </c>
      <c r="N1973" s="5">
        <v>44511.0</v>
      </c>
      <c r="Q1973" s="1" t="s">
        <v>55</v>
      </c>
    </row>
    <row r="1974">
      <c r="A1974" s="1">
        <v>1973.0</v>
      </c>
      <c r="B1974" s="1" t="s">
        <v>3758</v>
      </c>
      <c r="C1974" s="1" t="s">
        <v>25</v>
      </c>
      <c r="K1974" s="1">
        <v>30.0</v>
      </c>
      <c r="N1974" s="5">
        <v>44730.0</v>
      </c>
      <c r="Q1974" s="1" t="s">
        <v>3759</v>
      </c>
    </row>
    <row r="1975">
      <c r="A1975" s="1">
        <v>1974.0</v>
      </c>
      <c r="B1975" s="1" t="s">
        <v>3760</v>
      </c>
      <c r="C1975" s="1" t="s">
        <v>25</v>
      </c>
      <c r="K1975" s="1">
        <v>150.0</v>
      </c>
      <c r="N1975" s="5">
        <v>43884.0</v>
      </c>
      <c r="Q1975" s="1" t="s">
        <v>1791</v>
      </c>
    </row>
    <row r="1976">
      <c r="A1976" s="1">
        <v>1975.0</v>
      </c>
      <c r="B1976" s="1" t="s">
        <v>3761</v>
      </c>
      <c r="C1976" s="1" t="s">
        <v>25</v>
      </c>
      <c r="N1976" s="5">
        <v>44239.0</v>
      </c>
      <c r="Q1976" s="1" t="s">
        <v>55</v>
      </c>
    </row>
    <row r="1977">
      <c r="A1977" s="1">
        <v>1976.0</v>
      </c>
      <c r="B1977" s="1" t="s">
        <v>3762</v>
      </c>
      <c r="C1977" s="1" t="s">
        <v>25</v>
      </c>
      <c r="N1977" s="5">
        <v>43883.0</v>
      </c>
      <c r="Q1977" s="1" t="s">
        <v>55</v>
      </c>
    </row>
    <row r="1978">
      <c r="A1978" s="1">
        <v>1977.0</v>
      </c>
      <c r="B1978" s="1" t="s">
        <v>3763</v>
      </c>
      <c r="C1978" s="1" t="s">
        <v>25</v>
      </c>
      <c r="K1978" s="1">
        <v>100.0</v>
      </c>
      <c r="N1978" s="5">
        <v>44161.0</v>
      </c>
      <c r="Q1978" s="1" t="s">
        <v>55</v>
      </c>
    </row>
    <row r="1979">
      <c r="A1979" s="1">
        <v>1978.0</v>
      </c>
      <c r="B1979" s="1" t="s">
        <v>3764</v>
      </c>
      <c r="C1979" s="1" t="s">
        <v>25</v>
      </c>
      <c r="K1979" s="1">
        <v>100.0</v>
      </c>
      <c r="N1979" s="5">
        <v>45660.0</v>
      </c>
      <c r="Q1979" s="1" t="s">
        <v>3765</v>
      </c>
    </row>
    <row r="1980">
      <c r="A1980" s="1">
        <v>1979.0</v>
      </c>
      <c r="B1980" s="1" t="s">
        <v>3766</v>
      </c>
      <c r="C1980" s="1" t="s">
        <v>25</v>
      </c>
      <c r="K1980" s="1">
        <v>10.0</v>
      </c>
      <c r="N1980" s="5">
        <v>43904.0</v>
      </c>
      <c r="Q1980" s="1" t="s">
        <v>55</v>
      </c>
    </row>
    <row r="1981">
      <c r="A1981" s="1">
        <v>1980.0</v>
      </c>
      <c r="B1981" s="1" t="s">
        <v>3767</v>
      </c>
      <c r="C1981" s="1" t="s">
        <v>25</v>
      </c>
      <c r="K1981" s="1">
        <v>30.0</v>
      </c>
      <c r="N1981" s="5">
        <v>45689.0</v>
      </c>
      <c r="Q1981" s="1" t="s">
        <v>3768</v>
      </c>
    </row>
    <row r="1982">
      <c r="A1982" s="1">
        <v>1981.0</v>
      </c>
      <c r="B1982" s="1" t="s">
        <v>3769</v>
      </c>
      <c r="C1982" s="1" t="s">
        <v>25</v>
      </c>
      <c r="K1982" s="1">
        <v>30.0</v>
      </c>
      <c r="N1982" s="5">
        <v>45704.0</v>
      </c>
      <c r="Q1982" s="1" t="s">
        <v>3770</v>
      </c>
    </row>
    <row r="1983">
      <c r="A1983" s="1">
        <v>1982.0</v>
      </c>
      <c r="B1983" s="1" t="s">
        <v>3771</v>
      </c>
      <c r="C1983" s="1" t="s">
        <v>25</v>
      </c>
      <c r="N1983" s="5">
        <v>44066.0</v>
      </c>
      <c r="Q1983" s="1" t="s">
        <v>851</v>
      </c>
    </row>
    <row r="1984">
      <c r="A1984" s="1">
        <v>1983.0</v>
      </c>
      <c r="B1984" s="1" t="s">
        <v>3772</v>
      </c>
      <c r="C1984" s="1" t="s">
        <v>25</v>
      </c>
      <c r="N1984" s="5">
        <v>44955.0</v>
      </c>
      <c r="Q1984" s="1" t="s">
        <v>55</v>
      </c>
    </row>
    <row r="1985">
      <c r="A1985" s="1">
        <v>1984.0</v>
      </c>
      <c r="B1985" s="1" t="s">
        <v>3773</v>
      </c>
      <c r="C1985" s="1" t="s">
        <v>25</v>
      </c>
      <c r="K1985" s="1">
        <v>150.0</v>
      </c>
      <c r="N1985" s="5">
        <v>44340.0</v>
      </c>
      <c r="Q1985" s="1" t="s">
        <v>3774</v>
      </c>
    </row>
    <row r="1986">
      <c r="A1986" s="1">
        <v>1985.0</v>
      </c>
      <c r="B1986" s="1" t="s">
        <v>3775</v>
      </c>
      <c r="C1986" s="1" t="s">
        <v>25</v>
      </c>
      <c r="K1986" s="1">
        <v>150.0</v>
      </c>
      <c r="N1986" s="5">
        <v>45572.0</v>
      </c>
      <c r="Q1986" s="1" t="s">
        <v>3776</v>
      </c>
    </row>
    <row r="1987">
      <c r="A1987" s="1">
        <v>1986.0</v>
      </c>
      <c r="B1987" s="1" t="s">
        <v>179</v>
      </c>
      <c r="C1987" s="1" t="s">
        <v>25</v>
      </c>
      <c r="N1987" s="5">
        <v>44723.0</v>
      </c>
      <c r="Q1987" s="1" t="s">
        <v>55</v>
      </c>
    </row>
    <row r="1988">
      <c r="A1988" s="1">
        <v>1987.0</v>
      </c>
      <c r="B1988" s="1" t="s">
        <v>3777</v>
      </c>
      <c r="C1988" s="1" t="s">
        <v>25</v>
      </c>
      <c r="K1988" s="1">
        <v>50.0</v>
      </c>
      <c r="N1988" s="5">
        <v>45933.0</v>
      </c>
      <c r="Q1988" s="1" t="s">
        <v>3778</v>
      </c>
    </row>
    <row r="1989">
      <c r="A1989" s="1">
        <v>1988.0</v>
      </c>
      <c r="B1989" s="1" t="s">
        <v>3779</v>
      </c>
      <c r="C1989" s="1" t="s">
        <v>25</v>
      </c>
      <c r="N1989" s="5">
        <v>45010.0</v>
      </c>
      <c r="Q1989" s="1" t="s">
        <v>55</v>
      </c>
    </row>
    <row r="1990">
      <c r="A1990" s="1">
        <v>1989.0</v>
      </c>
      <c r="B1990" s="1" t="s">
        <v>3780</v>
      </c>
      <c r="C1990" s="1" t="s">
        <v>25</v>
      </c>
      <c r="K1990" s="1">
        <v>40.0</v>
      </c>
      <c r="N1990" s="5">
        <v>45255.0</v>
      </c>
      <c r="Q1990" s="1" t="s">
        <v>3781</v>
      </c>
    </row>
    <row r="1991">
      <c r="A1991" s="1">
        <v>1990.0</v>
      </c>
      <c r="B1991" s="1" t="s">
        <v>3782</v>
      </c>
      <c r="C1991" s="1" t="s">
        <v>25</v>
      </c>
      <c r="K1991" s="1">
        <v>150.0</v>
      </c>
      <c r="N1991" s="5">
        <v>45215.0</v>
      </c>
      <c r="Q1991" s="1" t="s">
        <v>3783</v>
      </c>
    </row>
    <row r="1992">
      <c r="A1992" s="1">
        <v>1991.0</v>
      </c>
      <c r="B1992" s="1" t="s">
        <v>3784</v>
      </c>
      <c r="C1992" s="1" t="s">
        <v>25</v>
      </c>
      <c r="K1992" s="1">
        <v>150.0</v>
      </c>
      <c r="N1992" s="5">
        <v>45124.0</v>
      </c>
      <c r="Q1992" s="1" t="s">
        <v>3785</v>
      </c>
    </row>
    <row r="1993">
      <c r="A1993" s="1">
        <v>1992.0</v>
      </c>
      <c r="B1993" s="1" t="s">
        <v>3786</v>
      </c>
      <c r="C1993" s="1" t="s">
        <v>25</v>
      </c>
      <c r="K1993" s="1">
        <v>70.0</v>
      </c>
      <c r="N1993" s="5">
        <v>44329.0</v>
      </c>
      <c r="Q1993" s="1" t="s">
        <v>55</v>
      </c>
    </row>
    <row r="1994">
      <c r="A1994" s="1">
        <v>1993.0</v>
      </c>
      <c r="B1994" s="1" t="s">
        <v>3787</v>
      </c>
      <c r="C1994" s="1" t="s">
        <v>25</v>
      </c>
      <c r="K1994" s="1">
        <v>40.0</v>
      </c>
      <c r="N1994" s="5">
        <v>45622.0</v>
      </c>
      <c r="Q1994" s="1" t="s">
        <v>3788</v>
      </c>
    </row>
    <row r="1995">
      <c r="A1995" s="1">
        <v>1994.0</v>
      </c>
      <c r="B1995" s="1" t="s">
        <v>3789</v>
      </c>
      <c r="C1995" s="1" t="s">
        <v>25</v>
      </c>
      <c r="N1995" s="5">
        <v>44732.0</v>
      </c>
      <c r="Q1995" s="1" t="s">
        <v>55</v>
      </c>
    </row>
    <row r="1996">
      <c r="A1996" s="1">
        <v>1995.0</v>
      </c>
      <c r="B1996" s="1" t="s">
        <v>3790</v>
      </c>
      <c r="C1996" s="1" t="s">
        <v>25</v>
      </c>
      <c r="K1996" s="1">
        <v>30.0</v>
      </c>
      <c r="N1996" s="5">
        <v>44081.0</v>
      </c>
      <c r="Q1996" s="1" t="s">
        <v>3791</v>
      </c>
    </row>
    <row r="1997">
      <c r="A1997" s="1">
        <v>1996.0</v>
      </c>
      <c r="B1997" s="1" t="s">
        <v>3792</v>
      </c>
      <c r="C1997" s="1" t="s">
        <v>25</v>
      </c>
      <c r="K1997" s="1">
        <v>20.0</v>
      </c>
      <c r="N1997" s="5">
        <v>44371.0</v>
      </c>
      <c r="Q1997" s="1" t="s">
        <v>2310</v>
      </c>
    </row>
    <row r="1998">
      <c r="A1998" s="1">
        <v>1997.0</v>
      </c>
      <c r="B1998" s="1" t="s">
        <v>3793</v>
      </c>
      <c r="C1998" s="1" t="s">
        <v>25</v>
      </c>
      <c r="N1998" s="5">
        <v>43908.0</v>
      </c>
      <c r="Q1998" s="1" t="s">
        <v>55</v>
      </c>
    </row>
    <row r="1999">
      <c r="A1999" s="1">
        <v>1998.0</v>
      </c>
      <c r="B1999" s="1" t="s">
        <v>3794</v>
      </c>
      <c r="C1999" s="1" t="s">
        <v>25</v>
      </c>
      <c r="K1999" s="1">
        <v>70.0</v>
      </c>
      <c r="N1999" s="5">
        <v>44538.0</v>
      </c>
      <c r="Q1999" s="1" t="s">
        <v>3795</v>
      </c>
    </row>
    <row r="2000">
      <c r="A2000" s="1">
        <v>1999.0</v>
      </c>
      <c r="B2000" s="1" t="s">
        <v>3796</v>
      </c>
      <c r="C2000" s="1" t="s">
        <v>25</v>
      </c>
      <c r="K2000" s="1">
        <v>100.0</v>
      </c>
      <c r="N2000" s="5">
        <v>45550.0</v>
      </c>
      <c r="Q2000" s="1" t="s">
        <v>3797</v>
      </c>
    </row>
    <row r="2001">
      <c r="A2001" s="1">
        <v>2000.0</v>
      </c>
      <c r="B2001" s="1" t="s">
        <v>3798</v>
      </c>
      <c r="C2001" s="1" t="s">
        <v>25</v>
      </c>
      <c r="K2001" s="1">
        <v>90.0</v>
      </c>
      <c r="N2001" s="5">
        <v>44249.0</v>
      </c>
      <c r="Q2001" s="1" t="s">
        <v>3799</v>
      </c>
    </row>
    <row r="2002">
      <c r="A2002" s="1">
        <v>2001.0</v>
      </c>
      <c r="B2002" s="1" t="s">
        <v>3800</v>
      </c>
      <c r="C2002" s="1" t="s">
        <v>25</v>
      </c>
      <c r="K2002" s="1">
        <v>60.0</v>
      </c>
      <c r="N2002" s="5">
        <v>45626.0</v>
      </c>
      <c r="Q2002" s="1" t="s">
        <v>3801</v>
      </c>
    </row>
    <row r="2003">
      <c r="A2003" s="1">
        <v>2002.0</v>
      </c>
      <c r="B2003" s="1" t="s">
        <v>3802</v>
      </c>
      <c r="C2003" s="1" t="s">
        <v>25</v>
      </c>
      <c r="K2003" s="1">
        <v>100.0</v>
      </c>
      <c r="N2003" s="5">
        <v>44182.0</v>
      </c>
      <c r="Q2003" s="1" t="s">
        <v>3803</v>
      </c>
    </row>
    <row r="2004">
      <c r="A2004" s="1">
        <v>2003.0</v>
      </c>
      <c r="B2004" s="1" t="s">
        <v>3804</v>
      </c>
      <c r="C2004" s="1" t="s">
        <v>25</v>
      </c>
      <c r="K2004" s="1">
        <v>10.0</v>
      </c>
      <c r="N2004" s="5">
        <v>45276.0</v>
      </c>
      <c r="Q2004" s="1" t="s">
        <v>3137</v>
      </c>
    </row>
    <row r="2005">
      <c r="A2005" s="1">
        <v>2004.0</v>
      </c>
      <c r="B2005" s="1" t="s">
        <v>3805</v>
      </c>
      <c r="C2005" s="1" t="s">
        <v>25</v>
      </c>
      <c r="K2005" s="1">
        <v>200.0</v>
      </c>
      <c r="N2005" s="5">
        <v>43941.0</v>
      </c>
      <c r="Q2005" s="1" t="s">
        <v>3806</v>
      </c>
    </row>
    <row r="2006">
      <c r="A2006" s="1">
        <v>2005.0</v>
      </c>
      <c r="B2006" s="1" t="s">
        <v>3807</v>
      </c>
      <c r="C2006" s="1" t="s">
        <v>25</v>
      </c>
      <c r="K2006" s="1">
        <v>200.0</v>
      </c>
      <c r="N2006" s="5">
        <v>45774.0</v>
      </c>
      <c r="Q2006" s="1" t="s">
        <v>2845</v>
      </c>
    </row>
    <row r="2007">
      <c r="A2007" s="1">
        <v>2006.0</v>
      </c>
      <c r="B2007" s="1" t="s">
        <v>3808</v>
      </c>
      <c r="C2007" s="1" t="s">
        <v>25</v>
      </c>
      <c r="N2007" s="5">
        <v>43844.0</v>
      </c>
      <c r="Q2007" s="1" t="s">
        <v>55</v>
      </c>
    </row>
    <row r="2008">
      <c r="A2008" s="1">
        <v>2007.0</v>
      </c>
      <c r="B2008" s="1" t="s">
        <v>3809</v>
      </c>
      <c r="C2008" s="1" t="s">
        <v>25</v>
      </c>
      <c r="K2008" s="1">
        <v>30.0</v>
      </c>
      <c r="N2008" s="5">
        <v>44317.0</v>
      </c>
      <c r="Q2008" s="1" t="s">
        <v>3119</v>
      </c>
    </row>
    <row r="2009">
      <c r="A2009" s="1">
        <v>2008.0</v>
      </c>
      <c r="B2009" s="1" t="s">
        <v>3810</v>
      </c>
      <c r="C2009" s="1" t="s">
        <v>25</v>
      </c>
      <c r="K2009" s="1">
        <v>150.0</v>
      </c>
      <c r="N2009" s="5">
        <v>44157.0</v>
      </c>
      <c r="Q2009" s="1" t="s">
        <v>3811</v>
      </c>
    </row>
    <row r="2010">
      <c r="A2010" s="1">
        <v>2009.0</v>
      </c>
      <c r="B2010" s="1" t="s">
        <v>3812</v>
      </c>
      <c r="C2010" s="1" t="s">
        <v>25</v>
      </c>
      <c r="N2010" s="5">
        <v>44222.0</v>
      </c>
      <c r="Q2010" s="1" t="s">
        <v>55</v>
      </c>
    </row>
    <row r="2011">
      <c r="A2011" s="1">
        <v>2010.0</v>
      </c>
      <c r="B2011" s="1" t="s">
        <v>3813</v>
      </c>
      <c r="C2011" s="1" t="s">
        <v>25</v>
      </c>
      <c r="K2011" s="1">
        <v>100.0</v>
      </c>
      <c r="N2011" s="5">
        <v>44549.0</v>
      </c>
      <c r="Q2011" s="1" t="s">
        <v>3814</v>
      </c>
    </row>
    <row r="2012">
      <c r="A2012" s="1">
        <v>2011.0</v>
      </c>
      <c r="B2012" s="1" t="s">
        <v>3815</v>
      </c>
      <c r="C2012" s="1" t="s">
        <v>25</v>
      </c>
      <c r="K2012" s="1">
        <v>20.0</v>
      </c>
      <c r="N2012" s="5">
        <v>44525.0</v>
      </c>
      <c r="Q2012" s="1" t="s">
        <v>1218</v>
      </c>
    </row>
    <row r="2013">
      <c r="A2013" s="1">
        <v>2012.0</v>
      </c>
      <c r="B2013" s="1" t="s">
        <v>3816</v>
      </c>
      <c r="C2013" s="1" t="s">
        <v>25</v>
      </c>
      <c r="K2013" s="1">
        <v>90.0</v>
      </c>
      <c r="N2013" s="5">
        <v>45646.0</v>
      </c>
      <c r="Q2013" s="1" t="s">
        <v>3817</v>
      </c>
    </row>
    <row r="2014">
      <c r="A2014" s="1">
        <v>2013.0</v>
      </c>
      <c r="B2014" s="1" t="s">
        <v>3818</v>
      </c>
      <c r="C2014" s="1" t="s">
        <v>25</v>
      </c>
      <c r="K2014" s="1">
        <v>80.0</v>
      </c>
      <c r="N2014" s="5">
        <v>43951.0</v>
      </c>
      <c r="Q2014" s="1" t="s">
        <v>55</v>
      </c>
    </row>
    <row r="2015">
      <c r="A2015" s="1">
        <v>2014.0</v>
      </c>
      <c r="B2015" s="1" t="s">
        <v>3819</v>
      </c>
      <c r="C2015" s="1" t="s">
        <v>25</v>
      </c>
      <c r="K2015" s="1">
        <v>10.0</v>
      </c>
      <c r="N2015" s="5">
        <v>45593.0</v>
      </c>
      <c r="Q2015" s="1" t="s">
        <v>3820</v>
      </c>
    </row>
    <row r="2016">
      <c r="A2016" s="1">
        <v>2015.0</v>
      </c>
      <c r="B2016" s="1" t="s">
        <v>3821</v>
      </c>
      <c r="C2016" s="1" t="s">
        <v>25</v>
      </c>
      <c r="K2016" s="1">
        <v>30.0</v>
      </c>
      <c r="N2016" s="5">
        <v>45703.0</v>
      </c>
      <c r="Q2016" s="1" t="s">
        <v>3822</v>
      </c>
    </row>
    <row r="2017">
      <c r="A2017" s="1">
        <v>2016.0</v>
      </c>
      <c r="B2017" s="1" t="s">
        <v>3823</v>
      </c>
      <c r="C2017" s="1" t="s">
        <v>25</v>
      </c>
      <c r="K2017" s="1">
        <v>50.0</v>
      </c>
      <c r="N2017" s="5">
        <v>45063.0</v>
      </c>
      <c r="Q2017" s="1" t="s">
        <v>55</v>
      </c>
    </row>
    <row r="2018">
      <c r="A2018" s="1">
        <v>2017.0</v>
      </c>
      <c r="B2018" s="1" t="s">
        <v>3824</v>
      </c>
      <c r="C2018" s="1" t="s">
        <v>25</v>
      </c>
      <c r="K2018" s="1">
        <v>150.0</v>
      </c>
      <c r="N2018" s="5">
        <v>43916.0</v>
      </c>
      <c r="Q2018" s="1" t="s">
        <v>62</v>
      </c>
    </row>
    <row r="2019">
      <c r="A2019" s="1">
        <v>2018.0</v>
      </c>
      <c r="B2019" s="1" t="s">
        <v>3825</v>
      </c>
      <c r="C2019" s="1" t="s">
        <v>25</v>
      </c>
      <c r="K2019" s="1">
        <v>60.0</v>
      </c>
      <c r="N2019" s="5">
        <v>44777.0</v>
      </c>
      <c r="Q2019" s="1" t="s">
        <v>1226</v>
      </c>
    </row>
    <row r="2020">
      <c r="A2020" s="1">
        <v>2019.0</v>
      </c>
      <c r="B2020" s="1" t="s">
        <v>3826</v>
      </c>
      <c r="C2020" s="1" t="s">
        <v>25</v>
      </c>
      <c r="K2020" s="1">
        <v>100.0</v>
      </c>
      <c r="N2020" s="5">
        <v>44556.0</v>
      </c>
      <c r="Q2020" s="1" t="s">
        <v>3827</v>
      </c>
    </row>
    <row r="2021">
      <c r="A2021" s="1">
        <v>2020.0</v>
      </c>
      <c r="B2021" s="1" t="s">
        <v>3828</v>
      </c>
      <c r="C2021" s="1" t="s">
        <v>25</v>
      </c>
      <c r="K2021" s="1">
        <v>100.0</v>
      </c>
      <c r="N2021" s="5">
        <v>44272.0</v>
      </c>
      <c r="Q2021" s="1" t="s">
        <v>1218</v>
      </c>
    </row>
    <row r="2022">
      <c r="A2022" s="1">
        <v>2021.0</v>
      </c>
      <c r="B2022" s="1" t="s">
        <v>3829</v>
      </c>
      <c r="C2022" s="1" t="s">
        <v>25</v>
      </c>
      <c r="K2022" s="1">
        <v>40.0</v>
      </c>
      <c r="N2022" s="5">
        <v>44245.0</v>
      </c>
      <c r="Q2022" s="1" t="s">
        <v>569</v>
      </c>
    </row>
    <row r="2023">
      <c r="A2023" s="1">
        <v>2022.0</v>
      </c>
      <c r="B2023" s="1" t="s">
        <v>3830</v>
      </c>
      <c r="C2023" s="1" t="s">
        <v>25</v>
      </c>
      <c r="N2023" s="5">
        <v>44387.0</v>
      </c>
      <c r="Q2023" s="1" t="s">
        <v>55</v>
      </c>
    </row>
    <row r="2024">
      <c r="A2024" s="1">
        <v>2023.0</v>
      </c>
      <c r="B2024" s="1" t="s">
        <v>3831</v>
      </c>
      <c r="C2024" s="1" t="s">
        <v>25</v>
      </c>
      <c r="N2024" s="5">
        <v>43992.0</v>
      </c>
      <c r="Q2024" s="1" t="s">
        <v>55</v>
      </c>
    </row>
    <row r="2025">
      <c r="A2025" s="1">
        <v>2024.0</v>
      </c>
      <c r="B2025" s="1" t="s">
        <v>3832</v>
      </c>
      <c r="C2025" s="1" t="s">
        <v>25</v>
      </c>
      <c r="K2025" s="1">
        <v>50.0</v>
      </c>
      <c r="N2025" s="5">
        <v>44441.0</v>
      </c>
      <c r="Q2025" s="1" t="s">
        <v>3833</v>
      </c>
    </row>
    <row r="2026">
      <c r="A2026" s="1">
        <v>2025.0</v>
      </c>
      <c r="B2026" s="1" t="s">
        <v>3834</v>
      </c>
      <c r="C2026" s="1" t="s">
        <v>25</v>
      </c>
      <c r="K2026" s="1">
        <v>300.0</v>
      </c>
      <c r="N2026" s="5">
        <v>43872.0</v>
      </c>
      <c r="Q2026" s="1" t="s">
        <v>3835</v>
      </c>
    </row>
    <row r="2027">
      <c r="A2027" s="1">
        <v>2026.0</v>
      </c>
      <c r="B2027" s="1" t="s">
        <v>3836</v>
      </c>
      <c r="C2027" s="1" t="s">
        <v>25</v>
      </c>
      <c r="K2027" s="1">
        <v>60.0</v>
      </c>
      <c r="N2027" s="5">
        <v>44738.0</v>
      </c>
      <c r="Q2027" s="1" t="s">
        <v>1729</v>
      </c>
    </row>
    <row r="2028">
      <c r="A2028" s="1">
        <v>2027.0</v>
      </c>
      <c r="B2028" s="1" t="s">
        <v>3837</v>
      </c>
      <c r="C2028" s="1" t="s">
        <v>25</v>
      </c>
      <c r="K2028" s="1">
        <v>60.0</v>
      </c>
      <c r="N2028" s="5">
        <v>45335.0</v>
      </c>
      <c r="Q2028" s="1" t="s">
        <v>2237</v>
      </c>
    </row>
    <row r="2029">
      <c r="A2029" s="1">
        <v>2028.0</v>
      </c>
      <c r="B2029" s="1" t="s">
        <v>3838</v>
      </c>
      <c r="C2029" s="1" t="s">
        <v>25</v>
      </c>
      <c r="K2029" s="1">
        <v>50.0</v>
      </c>
      <c r="N2029" s="5">
        <v>44388.0</v>
      </c>
      <c r="Q2029" s="1" t="s">
        <v>55</v>
      </c>
    </row>
    <row r="2030">
      <c r="A2030" s="1">
        <v>2029.0</v>
      </c>
      <c r="B2030" s="1" t="s">
        <v>3839</v>
      </c>
      <c r="C2030" s="1" t="s">
        <v>25</v>
      </c>
      <c r="N2030" s="5">
        <v>43860.0</v>
      </c>
      <c r="Q2030" s="1" t="s">
        <v>55</v>
      </c>
    </row>
    <row r="2031">
      <c r="A2031" s="1">
        <v>2030.0</v>
      </c>
      <c r="B2031" s="1" t="s">
        <v>3840</v>
      </c>
      <c r="C2031" s="1" t="s">
        <v>25</v>
      </c>
      <c r="K2031" s="1">
        <v>100.0</v>
      </c>
      <c r="N2031" s="5">
        <v>45195.0</v>
      </c>
      <c r="Q2031" s="1" t="s">
        <v>3841</v>
      </c>
    </row>
    <row r="2032">
      <c r="A2032" s="1">
        <v>2031.0</v>
      </c>
      <c r="B2032" s="1" t="s">
        <v>3842</v>
      </c>
      <c r="C2032" s="1" t="s">
        <v>25</v>
      </c>
      <c r="K2032" s="1">
        <v>60.0</v>
      </c>
      <c r="N2032" s="5">
        <v>45629.0</v>
      </c>
      <c r="Q2032" s="1" t="s">
        <v>3578</v>
      </c>
    </row>
    <row r="2033">
      <c r="A2033" s="1">
        <v>2032.0</v>
      </c>
      <c r="B2033" s="1" t="s">
        <v>3843</v>
      </c>
      <c r="C2033" s="1" t="s">
        <v>25</v>
      </c>
      <c r="K2033" s="1">
        <v>40.0</v>
      </c>
      <c r="N2033" s="5">
        <v>45574.0</v>
      </c>
      <c r="Q2033" s="1" t="s">
        <v>3844</v>
      </c>
    </row>
    <row r="2034">
      <c r="A2034" s="1">
        <v>2033.0</v>
      </c>
      <c r="B2034" s="1" t="s">
        <v>3845</v>
      </c>
      <c r="C2034" s="1" t="s">
        <v>25</v>
      </c>
      <c r="K2034" s="1">
        <v>80.0</v>
      </c>
      <c r="N2034" s="5">
        <v>44335.0</v>
      </c>
      <c r="Q2034" s="1" t="s">
        <v>2288</v>
      </c>
    </row>
    <row r="2035">
      <c r="A2035" s="1">
        <v>2034.0</v>
      </c>
      <c r="B2035" s="1" t="s">
        <v>3846</v>
      </c>
      <c r="C2035" s="1" t="s">
        <v>25</v>
      </c>
      <c r="K2035" s="1">
        <v>30.0</v>
      </c>
      <c r="N2035" s="5">
        <v>45457.0</v>
      </c>
      <c r="Q2035" s="1" t="s">
        <v>3847</v>
      </c>
    </row>
    <row r="2036">
      <c r="A2036" s="1">
        <v>2035.0</v>
      </c>
      <c r="B2036" s="1" t="s">
        <v>3848</v>
      </c>
      <c r="C2036" s="1" t="s">
        <v>25</v>
      </c>
      <c r="K2036" s="1">
        <v>150.0</v>
      </c>
      <c r="N2036" s="5">
        <v>44022.0</v>
      </c>
      <c r="Q2036" s="1" t="s">
        <v>3849</v>
      </c>
    </row>
    <row r="2037">
      <c r="A2037" s="1">
        <v>2036.0</v>
      </c>
      <c r="B2037" s="1" t="s">
        <v>3850</v>
      </c>
      <c r="C2037" s="1" t="s">
        <v>25</v>
      </c>
      <c r="N2037" s="5">
        <v>44351.0</v>
      </c>
      <c r="Q2037" s="1" t="s">
        <v>55</v>
      </c>
    </row>
    <row r="2038">
      <c r="A2038" s="1">
        <v>2037.0</v>
      </c>
      <c r="B2038" s="1" t="s">
        <v>3851</v>
      </c>
      <c r="C2038" s="1" t="s">
        <v>25</v>
      </c>
      <c r="N2038" s="5">
        <v>44274.0</v>
      </c>
      <c r="Q2038" s="1" t="s">
        <v>55</v>
      </c>
    </row>
    <row r="2039">
      <c r="A2039" s="1">
        <v>2038.0</v>
      </c>
      <c r="B2039" s="1" t="s">
        <v>3852</v>
      </c>
      <c r="C2039" s="1" t="s">
        <v>25</v>
      </c>
      <c r="K2039" s="1">
        <v>150.0</v>
      </c>
      <c r="N2039" s="5">
        <v>45650.0</v>
      </c>
      <c r="Q2039" s="1" t="s">
        <v>3853</v>
      </c>
    </row>
    <row r="2040">
      <c r="A2040" s="1">
        <v>2039.0</v>
      </c>
      <c r="B2040" s="1" t="s">
        <v>3854</v>
      </c>
      <c r="C2040" s="1" t="s">
        <v>25</v>
      </c>
      <c r="K2040" s="1">
        <v>70.0</v>
      </c>
      <c r="N2040" s="5">
        <v>45720.0</v>
      </c>
      <c r="Q2040" s="1" t="s">
        <v>3855</v>
      </c>
    </row>
    <row r="2041">
      <c r="A2041" s="1">
        <v>2040.0</v>
      </c>
      <c r="B2041" s="1" t="s">
        <v>3856</v>
      </c>
      <c r="C2041" s="1" t="s">
        <v>25</v>
      </c>
      <c r="K2041" s="1">
        <v>10.0</v>
      </c>
      <c r="N2041" s="5">
        <v>44263.0</v>
      </c>
      <c r="Q2041" s="1" t="s">
        <v>55</v>
      </c>
    </row>
    <row r="2042">
      <c r="A2042" s="1">
        <v>2041.0</v>
      </c>
      <c r="B2042" s="1" t="s">
        <v>3857</v>
      </c>
      <c r="C2042" s="1" t="s">
        <v>25</v>
      </c>
      <c r="K2042" s="1">
        <v>20.0</v>
      </c>
      <c r="N2042" s="5">
        <v>44729.0</v>
      </c>
      <c r="Q2042" s="1" t="s">
        <v>1066</v>
      </c>
    </row>
    <row r="2043">
      <c r="A2043" s="1">
        <v>2042.0</v>
      </c>
      <c r="B2043" s="1" t="s">
        <v>3858</v>
      </c>
      <c r="C2043" s="1" t="s">
        <v>25</v>
      </c>
      <c r="K2043" s="1">
        <v>600.0</v>
      </c>
      <c r="N2043" s="5">
        <v>44311.0</v>
      </c>
      <c r="Q2043" s="1" t="s">
        <v>3859</v>
      </c>
    </row>
    <row r="2044">
      <c r="A2044" s="1">
        <v>2043.0</v>
      </c>
      <c r="B2044" s="1" t="s">
        <v>3860</v>
      </c>
      <c r="C2044" s="1" t="s">
        <v>25</v>
      </c>
      <c r="N2044" s="5">
        <v>44090.0</v>
      </c>
      <c r="Q2044" s="1" t="s">
        <v>80</v>
      </c>
    </row>
    <row r="2045">
      <c r="A2045" s="1">
        <v>2044.0</v>
      </c>
      <c r="B2045" s="1" t="s">
        <v>3861</v>
      </c>
      <c r="C2045" s="1" t="s">
        <v>25</v>
      </c>
      <c r="K2045" s="1">
        <v>30.0</v>
      </c>
      <c r="N2045" s="5">
        <v>45627.0</v>
      </c>
      <c r="Q2045" s="1" t="s">
        <v>3862</v>
      </c>
    </row>
    <row r="2046">
      <c r="A2046" s="1">
        <v>2045.0</v>
      </c>
      <c r="B2046" s="1" t="s">
        <v>3863</v>
      </c>
      <c r="C2046" s="1" t="s">
        <v>25</v>
      </c>
      <c r="K2046" s="1">
        <v>60.0</v>
      </c>
      <c r="N2046" s="5">
        <v>44033.0</v>
      </c>
      <c r="Q2046" s="1" t="s">
        <v>3864</v>
      </c>
    </row>
    <row r="2047">
      <c r="A2047" s="1">
        <v>2046.0</v>
      </c>
      <c r="B2047" s="1" t="s">
        <v>3865</v>
      </c>
      <c r="C2047" s="1" t="s">
        <v>25</v>
      </c>
      <c r="K2047" s="1">
        <v>150.0</v>
      </c>
      <c r="N2047" s="5">
        <v>43883.0</v>
      </c>
      <c r="Q2047" s="1" t="s">
        <v>1760</v>
      </c>
    </row>
    <row r="2048">
      <c r="A2048" s="1">
        <v>2047.0</v>
      </c>
      <c r="B2048" s="1" t="s">
        <v>3866</v>
      </c>
      <c r="C2048" s="1" t="s">
        <v>25</v>
      </c>
      <c r="K2048" s="1">
        <v>50.0</v>
      </c>
      <c r="N2048" s="5">
        <v>44485.0</v>
      </c>
      <c r="Q2048" s="1" t="s">
        <v>55</v>
      </c>
    </row>
    <row r="2049">
      <c r="A2049" s="1">
        <v>2048.0</v>
      </c>
      <c r="B2049" s="1" t="s">
        <v>3867</v>
      </c>
      <c r="C2049" s="1" t="s">
        <v>25</v>
      </c>
      <c r="K2049" s="1">
        <v>40.0</v>
      </c>
      <c r="N2049" s="5">
        <v>45611.0</v>
      </c>
      <c r="Q2049" s="1" t="s">
        <v>3868</v>
      </c>
    </row>
    <row r="2050">
      <c r="A2050" s="1">
        <v>2049.0</v>
      </c>
      <c r="B2050" s="1" t="s">
        <v>3869</v>
      </c>
      <c r="C2050" s="1" t="s">
        <v>25</v>
      </c>
      <c r="K2050" s="1">
        <v>20.0</v>
      </c>
      <c r="N2050" s="5">
        <v>44078.0</v>
      </c>
      <c r="Q2050" s="1" t="s">
        <v>55</v>
      </c>
    </row>
    <row r="2051">
      <c r="A2051" s="1">
        <v>2050.0</v>
      </c>
      <c r="B2051" s="1" t="s">
        <v>3870</v>
      </c>
      <c r="C2051" s="1" t="s">
        <v>25</v>
      </c>
      <c r="K2051" s="1">
        <v>60.0</v>
      </c>
      <c r="N2051" s="5">
        <v>45635.0</v>
      </c>
      <c r="Q2051" s="1" t="s">
        <v>3871</v>
      </c>
    </row>
    <row r="2052">
      <c r="A2052" s="1">
        <v>2051.0</v>
      </c>
      <c r="B2052" s="1" t="s">
        <v>3872</v>
      </c>
      <c r="C2052" s="1" t="s">
        <v>25</v>
      </c>
      <c r="N2052" s="5">
        <v>44078.0</v>
      </c>
      <c r="Q2052" s="1" t="s">
        <v>55</v>
      </c>
    </row>
    <row r="2053">
      <c r="A2053" s="1">
        <v>2052.0</v>
      </c>
      <c r="B2053" s="1" t="s">
        <v>3873</v>
      </c>
      <c r="C2053" s="1" t="s">
        <v>25</v>
      </c>
      <c r="K2053" s="1">
        <v>150.0</v>
      </c>
      <c r="N2053" s="5">
        <v>45327.0</v>
      </c>
      <c r="Q2053" s="1" t="s">
        <v>3874</v>
      </c>
    </row>
    <row r="2054">
      <c r="A2054" s="1">
        <v>2053.0</v>
      </c>
      <c r="B2054" s="1" t="s">
        <v>3875</v>
      </c>
      <c r="C2054" s="1" t="s">
        <v>25</v>
      </c>
      <c r="K2054" s="1">
        <v>10.0</v>
      </c>
      <c r="N2054" s="5">
        <v>44652.0</v>
      </c>
      <c r="Q2054" s="1" t="s">
        <v>3876</v>
      </c>
    </row>
    <row r="2055">
      <c r="A2055" s="1">
        <v>2054.0</v>
      </c>
      <c r="B2055" s="1" t="s">
        <v>3877</v>
      </c>
      <c r="C2055" s="1" t="s">
        <v>25</v>
      </c>
      <c r="K2055" s="1">
        <v>20.0</v>
      </c>
      <c r="N2055" s="5">
        <v>44711.0</v>
      </c>
      <c r="Q2055" s="1" t="s">
        <v>1218</v>
      </c>
    </row>
    <row r="2056">
      <c r="A2056" s="1">
        <v>2055.0</v>
      </c>
      <c r="B2056" s="1" t="s">
        <v>3878</v>
      </c>
      <c r="C2056" s="1" t="s">
        <v>25</v>
      </c>
      <c r="K2056" s="1">
        <v>1500.0</v>
      </c>
      <c r="N2056" s="5">
        <v>43867.0</v>
      </c>
      <c r="Q2056" s="1" t="s">
        <v>3879</v>
      </c>
    </row>
    <row r="2057">
      <c r="A2057" s="1">
        <v>2056.0</v>
      </c>
      <c r="B2057" s="1" t="s">
        <v>3880</v>
      </c>
      <c r="C2057" s="1" t="s">
        <v>25</v>
      </c>
      <c r="N2057" s="5">
        <v>44078.0</v>
      </c>
      <c r="Q2057" s="1" t="s">
        <v>55</v>
      </c>
    </row>
    <row r="2058">
      <c r="A2058" s="1">
        <v>2057.0</v>
      </c>
      <c r="B2058" s="1" t="s">
        <v>3881</v>
      </c>
      <c r="C2058" s="1" t="s">
        <v>25</v>
      </c>
      <c r="K2058" s="1">
        <v>20.0</v>
      </c>
      <c r="N2058" s="5">
        <v>43849.0</v>
      </c>
      <c r="Q2058" s="1" t="s">
        <v>55</v>
      </c>
    </row>
    <row r="2059">
      <c r="A2059" s="1">
        <v>2058.0</v>
      </c>
      <c r="B2059" s="1" t="s">
        <v>3882</v>
      </c>
      <c r="C2059" s="1" t="s">
        <v>25</v>
      </c>
      <c r="K2059" s="1">
        <v>100.0</v>
      </c>
      <c r="N2059" s="5">
        <v>45168.0</v>
      </c>
      <c r="Q2059" s="1" t="s">
        <v>3883</v>
      </c>
    </row>
    <row r="2060">
      <c r="A2060" s="1">
        <v>2059.0</v>
      </c>
      <c r="B2060" s="1" t="s">
        <v>3884</v>
      </c>
      <c r="C2060" s="1" t="s">
        <v>25</v>
      </c>
      <c r="N2060" s="5">
        <v>44134.0</v>
      </c>
      <c r="Q2060" s="1" t="s">
        <v>55</v>
      </c>
    </row>
    <row r="2061">
      <c r="A2061" s="1">
        <v>2060.0</v>
      </c>
      <c r="B2061" s="1" t="s">
        <v>3885</v>
      </c>
      <c r="C2061" s="1" t="s">
        <v>25</v>
      </c>
      <c r="K2061" s="1">
        <v>10.0</v>
      </c>
      <c r="N2061" s="5">
        <v>45060.0</v>
      </c>
      <c r="Q2061" s="1" t="s">
        <v>633</v>
      </c>
    </row>
    <row r="2062">
      <c r="A2062" s="1">
        <v>2061.0</v>
      </c>
      <c r="B2062" s="1" t="s">
        <v>3886</v>
      </c>
      <c r="C2062" s="1" t="s">
        <v>25</v>
      </c>
      <c r="K2062" s="1">
        <v>10.0</v>
      </c>
      <c r="N2062" s="5">
        <v>44104.0</v>
      </c>
      <c r="Q2062" s="1" t="s">
        <v>1738</v>
      </c>
    </row>
    <row r="2063">
      <c r="A2063" s="1">
        <v>2062.0</v>
      </c>
      <c r="B2063" s="1" t="s">
        <v>3887</v>
      </c>
      <c r="C2063" s="1" t="s">
        <v>25</v>
      </c>
      <c r="K2063" s="1">
        <v>200.0</v>
      </c>
      <c r="N2063" s="5">
        <v>43848.0</v>
      </c>
      <c r="Q2063" s="1" t="s">
        <v>3888</v>
      </c>
    </row>
    <row r="2064">
      <c r="A2064" s="1">
        <v>2063.0</v>
      </c>
      <c r="B2064" s="1" t="s">
        <v>3889</v>
      </c>
      <c r="C2064" s="1" t="s">
        <v>25</v>
      </c>
      <c r="K2064" s="1">
        <v>100.0</v>
      </c>
      <c r="N2064" s="5">
        <v>44895.0</v>
      </c>
      <c r="Q2064" s="1" t="s">
        <v>3890</v>
      </c>
    </row>
    <row r="2065">
      <c r="A2065" s="1">
        <v>2064.0</v>
      </c>
      <c r="B2065" s="1" t="s">
        <v>3891</v>
      </c>
      <c r="C2065" s="1" t="s">
        <v>25</v>
      </c>
      <c r="K2065" s="1">
        <v>30.0</v>
      </c>
      <c r="N2065" s="5">
        <v>44732.0</v>
      </c>
      <c r="Q2065" s="1" t="s">
        <v>55</v>
      </c>
    </row>
    <row r="2066">
      <c r="A2066" s="1">
        <v>2065.0</v>
      </c>
      <c r="B2066" s="1" t="s">
        <v>3892</v>
      </c>
      <c r="C2066" s="1" t="s">
        <v>25</v>
      </c>
      <c r="N2066" s="5">
        <v>44416.0</v>
      </c>
      <c r="Q2066" s="1" t="s">
        <v>55</v>
      </c>
    </row>
    <row r="2067">
      <c r="A2067" s="1">
        <v>2066.0</v>
      </c>
      <c r="B2067" s="1" t="s">
        <v>3893</v>
      </c>
      <c r="C2067" s="1" t="s">
        <v>25</v>
      </c>
      <c r="K2067" s="1">
        <v>150.0</v>
      </c>
      <c r="N2067" s="5">
        <v>45038.0</v>
      </c>
      <c r="Q2067" s="1" t="s">
        <v>3894</v>
      </c>
    </row>
    <row r="2068">
      <c r="A2068" s="1">
        <v>2067.0</v>
      </c>
      <c r="B2068" s="1" t="s">
        <v>3895</v>
      </c>
      <c r="C2068" s="1" t="s">
        <v>25</v>
      </c>
      <c r="N2068" s="5">
        <v>45245.0</v>
      </c>
      <c r="Q2068" s="1" t="s">
        <v>1724</v>
      </c>
    </row>
    <row r="2069">
      <c r="A2069" s="1">
        <v>2068.0</v>
      </c>
      <c r="B2069" s="1" t="s">
        <v>3896</v>
      </c>
      <c r="C2069" s="1" t="s">
        <v>25</v>
      </c>
      <c r="N2069" s="5">
        <v>44172.0</v>
      </c>
      <c r="Q2069" s="1" t="s">
        <v>55</v>
      </c>
    </row>
    <row r="2070">
      <c r="A2070" s="1">
        <v>2069.0</v>
      </c>
      <c r="B2070" s="1" t="s">
        <v>3897</v>
      </c>
      <c r="C2070" s="1" t="s">
        <v>25</v>
      </c>
      <c r="N2070" s="5">
        <v>43940.0</v>
      </c>
      <c r="Q2070" s="1" t="s">
        <v>55</v>
      </c>
    </row>
    <row r="2071">
      <c r="A2071" s="1">
        <v>2070.0</v>
      </c>
      <c r="B2071" s="1" t="s">
        <v>3898</v>
      </c>
      <c r="C2071" s="1" t="s">
        <v>25</v>
      </c>
      <c r="N2071" s="5">
        <v>43616.0</v>
      </c>
      <c r="Q2071" s="1" t="s">
        <v>55</v>
      </c>
    </row>
    <row r="2072">
      <c r="A2072" s="1">
        <v>2071.0</v>
      </c>
      <c r="B2072" s="1" t="s">
        <v>3899</v>
      </c>
      <c r="C2072" s="1" t="s">
        <v>25</v>
      </c>
      <c r="K2072" s="1">
        <v>30.0</v>
      </c>
      <c r="N2072" s="5">
        <v>44473.0</v>
      </c>
      <c r="Q2072" s="1" t="s">
        <v>2532</v>
      </c>
    </row>
    <row r="2073">
      <c r="A2073" s="1">
        <v>2072.0</v>
      </c>
      <c r="B2073" s="1" t="s">
        <v>3900</v>
      </c>
      <c r="C2073" s="1" t="s">
        <v>25</v>
      </c>
      <c r="N2073" s="5">
        <v>44086.0</v>
      </c>
      <c r="Q2073" s="1" t="s">
        <v>3901</v>
      </c>
    </row>
    <row r="2074">
      <c r="A2074" s="1">
        <v>2073.0</v>
      </c>
      <c r="B2074" s="1" t="s">
        <v>3902</v>
      </c>
      <c r="C2074" s="1" t="s">
        <v>25</v>
      </c>
      <c r="K2074" s="1">
        <v>40.0</v>
      </c>
      <c r="N2074" s="5">
        <v>43859.0</v>
      </c>
      <c r="Q2074" s="1" t="s">
        <v>569</v>
      </c>
    </row>
    <row r="2075">
      <c r="A2075" s="1">
        <v>2074.0</v>
      </c>
      <c r="B2075" s="1" t="s">
        <v>3903</v>
      </c>
      <c r="C2075" s="1" t="s">
        <v>25</v>
      </c>
      <c r="K2075" s="1">
        <v>100.0</v>
      </c>
      <c r="N2075" s="5">
        <v>44081.0</v>
      </c>
      <c r="Q2075" s="1" t="s">
        <v>3904</v>
      </c>
    </row>
    <row r="2076">
      <c r="A2076" s="1">
        <v>2075.0</v>
      </c>
      <c r="B2076" s="1" t="s">
        <v>3905</v>
      </c>
      <c r="C2076" s="1" t="s">
        <v>25</v>
      </c>
      <c r="K2076" s="1">
        <v>150.0</v>
      </c>
      <c r="N2076" s="5">
        <v>45184.0</v>
      </c>
      <c r="Q2076" s="1" t="s">
        <v>3906</v>
      </c>
    </row>
    <row r="2077">
      <c r="A2077" s="1">
        <v>2076.0</v>
      </c>
      <c r="B2077" s="1" t="s">
        <v>3907</v>
      </c>
      <c r="C2077" s="1" t="s">
        <v>25</v>
      </c>
      <c r="K2077" s="1">
        <v>150.0</v>
      </c>
      <c r="N2077" s="5">
        <v>44246.0</v>
      </c>
      <c r="Q2077" s="1" t="s">
        <v>3908</v>
      </c>
    </row>
    <row r="2078">
      <c r="A2078" s="1">
        <v>2077.0</v>
      </c>
      <c r="B2078" s="1" t="s">
        <v>3909</v>
      </c>
      <c r="C2078" s="1" t="s">
        <v>25</v>
      </c>
      <c r="K2078" s="1">
        <v>40.0</v>
      </c>
      <c r="N2078" s="5">
        <v>43880.0</v>
      </c>
      <c r="Q2078" s="1" t="s">
        <v>55</v>
      </c>
    </row>
    <row r="2079">
      <c r="A2079" s="1">
        <v>2078.0</v>
      </c>
      <c r="B2079" s="1" t="s">
        <v>3910</v>
      </c>
      <c r="C2079" s="1" t="s">
        <v>25</v>
      </c>
      <c r="N2079" s="5">
        <v>44019.0</v>
      </c>
      <c r="Q2079" s="1" t="s">
        <v>708</v>
      </c>
    </row>
    <row r="2080">
      <c r="A2080" s="1">
        <v>2079.0</v>
      </c>
      <c r="B2080" s="1" t="s">
        <v>3911</v>
      </c>
      <c r="C2080" s="1" t="s">
        <v>25</v>
      </c>
      <c r="N2080" s="5">
        <v>44383.0</v>
      </c>
      <c r="Q2080" s="1" t="s">
        <v>55</v>
      </c>
    </row>
    <row r="2081">
      <c r="A2081" s="1">
        <v>2080.0</v>
      </c>
      <c r="B2081" s="1" t="s">
        <v>3912</v>
      </c>
      <c r="C2081" s="1" t="s">
        <v>25</v>
      </c>
      <c r="K2081" s="1">
        <v>100.0</v>
      </c>
      <c r="N2081" s="5">
        <v>43913.0</v>
      </c>
      <c r="Q2081" s="1" t="s">
        <v>3913</v>
      </c>
    </row>
    <row r="2082">
      <c r="A2082" s="1">
        <v>2081.0</v>
      </c>
      <c r="B2082" s="1" t="s">
        <v>3914</v>
      </c>
      <c r="C2082" s="1" t="s">
        <v>25</v>
      </c>
      <c r="K2082" s="1">
        <v>300.0</v>
      </c>
      <c r="N2082" s="5">
        <v>43951.0</v>
      </c>
      <c r="Q2082" s="1" t="s">
        <v>3915</v>
      </c>
    </row>
    <row r="2083">
      <c r="A2083" s="1">
        <v>2082.0</v>
      </c>
      <c r="B2083" s="1" t="s">
        <v>3916</v>
      </c>
      <c r="C2083" s="1" t="s">
        <v>25</v>
      </c>
      <c r="K2083" s="1">
        <v>60.0</v>
      </c>
      <c r="N2083" s="5">
        <v>44459.0</v>
      </c>
      <c r="Q2083" s="1" t="s">
        <v>3917</v>
      </c>
    </row>
    <row r="2084">
      <c r="A2084" s="1">
        <v>2083.0</v>
      </c>
      <c r="B2084" s="1" t="s">
        <v>3918</v>
      </c>
      <c r="C2084" s="1" t="s">
        <v>25</v>
      </c>
      <c r="K2084" s="1">
        <v>10.0</v>
      </c>
      <c r="N2084" s="5">
        <v>45313.0</v>
      </c>
      <c r="Q2084" s="1" t="s">
        <v>55</v>
      </c>
    </row>
    <row r="2085">
      <c r="A2085" s="1">
        <v>2084.0</v>
      </c>
      <c r="B2085" s="1" t="s">
        <v>3919</v>
      </c>
      <c r="C2085" s="1" t="s">
        <v>25</v>
      </c>
      <c r="K2085" s="1">
        <v>40.0</v>
      </c>
      <c r="N2085" s="5">
        <v>45712.0</v>
      </c>
      <c r="Q2085" s="1" t="s">
        <v>3920</v>
      </c>
    </row>
    <row r="2086">
      <c r="A2086" s="1">
        <v>2085.0</v>
      </c>
      <c r="B2086" s="1" t="s">
        <v>3921</v>
      </c>
      <c r="C2086" s="1" t="s">
        <v>25</v>
      </c>
      <c r="K2086" s="1">
        <v>90.0</v>
      </c>
      <c r="N2086" s="5">
        <v>44177.0</v>
      </c>
      <c r="Q2086" s="1" t="s">
        <v>3922</v>
      </c>
    </row>
    <row r="2087">
      <c r="A2087" s="1">
        <v>2086.0</v>
      </c>
      <c r="B2087" s="1" t="s">
        <v>3923</v>
      </c>
      <c r="C2087" s="1" t="s">
        <v>25</v>
      </c>
      <c r="K2087" s="1">
        <v>150.0</v>
      </c>
      <c r="N2087" s="5">
        <v>44049.0</v>
      </c>
      <c r="Q2087" s="1" t="s">
        <v>3924</v>
      </c>
    </row>
    <row r="2088">
      <c r="A2088" s="1">
        <v>2087.0</v>
      </c>
      <c r="B2088" s="1" t="s">
        <v>3925</v>
      </c>
      <c r="C2088" s="1" t="s">
        <v>25</v>
      </c>
      <c r="K2088" s="1">
        <v>100.0</v>
      </c>
      <c r="N2088" s="5">
        <v>44307.0</v>
      </c>
      <c r="Q2088" s="1" t="s">
        <v>1387</v>
      </c>
    </row>
    <row r="2089">
      <c r="A2089" s="1">
        <v>2088.0</v>
      </c>
      <c r="B2089" s="1" t="s">
        <v>3926</v>
      </c>
      <c r="C2089" s="1" t="s">
        <v>25</v>
      </c>
      <c r="K2089" s="1">
        <v>100.0</v>
      </c>
      <c r="N2089" s="5">
        <v>43999.0</v>
      </c>
      <c r="Q2089" s="1" t="s">
        <v>3927</v>
      </c>
    </row>
    <row r="2090">
      <c r="A2090" s="1">
        <v>2089.0</v>
      </c>
      <c r="B2090" s="1" t="s">
        <v>3928</v>
      </c>
      <c r="C2090" s="1" t="s">
        <v>25</v>
      </c>
      <c r="K2090" s="1">
        <v>30.0</v>
      </c>
      <c r="N2090" s="5">
        <v>44223.0</v>
      </c>
      <c r="Q2090" s="1" t="s">
        <v>1312</v>
      </c>
    </row>
    <row r="2091">
      <c r="A2091" s="1">
        <v>2090.0</v>
      </c>
      <c r="B2091" s="1" t="s">
        <v>3929</v>
      </c>
      <c r="C2091" s="1" t="s">
        <v>25</v>
      </c>
      <c r="K2091" s="1">
        <v>20.0</v>
      </c>
      <c r="N2091" s="5">
        <v>44584.0</v>
      </c>
      <c r="Q2091" s="1" t="s">
        <v>55</v>
      </c>
    </row>
    <row r="2092">
      <c r="A2092" s="1">
        <v>2091.0</v>
      </c>
      <c r="B2092" s="1" t="s">
        <v>3930</v>
      </c>
      <c r="C2092" s="1" t="s">
        <v>25</v>
      </c>
      <c r="K2092" s="1">
        <v>40.0</v>
      </c>
      <c r="N2092" s="5">
        <v>44156.0</v>
      </c>
      <c r="Q2092" s="1" t="s">
        <v>93</v>
      </c>
    </row>
    <row r="2093">
      <c r="A2093" s="1">
        <v>2092.0</v>
      </c>
      <c r="B2093" s="1" t="s">
        <v>3931</v>
      </c>
      <c r="C2093" s="1" t="s">
        <v>25</v>
      </c>
      <c r="N2093" s="5">
        <v>43988.0</v>
      </c>
      <c r="Q2093" s="1" t="s">
        <v>55</v>
      </c>
    </row>
    <row r="2094">
      <c r="A2094" s="1">
        <v>2093.0</v>
      </c>
      <c r="B2094" s="1" t="s">
        <v>3932</v>
      </c>
      <c r="C2094" s="1" t="s">
        <v>25</v>
      </c>
      <c r="K2094" s="1">
        <v>70.0</v>
      </c>
      <c r="N2094" s="5">
        <v>44966.0</v>
      </c>
      <c r="Q2094" s="1" t="s">
        <v>345</v>
      </c>
    </row>
    <row r="2095">
      <c r="A2095" s="1">
        <v>2094.0</v>
      </c>
      <c r="B2095" s="1" t="s">
        <v>3933</v>
      </c>
      <c r="C2095" s="1" t="s">
        <v>25</v>
      </c>
      <c r="K2095" s="1">
        <v>80.0</v>
      </c>
      <c r="N2095" s="5">
        <v>44353.0</v>
      </c>
      <c r="Q2095" s="1" t="s">
        <v>849</v>
      </c>
    </row>
    <row r="2096">
      <c r="A2096" s="1">
        <v>2095.0</v>
      </c>
      <c r="B2096" s="1" t="s">
        <v>3934</v>
      </c>
      <c r="C2096" s="1" t="s">
        <v>25</v>
      </c>
      <c r="N2096" s="5">
        <v>44471.0</v>
      </c>
      <c r="Q2096" s="1" t="s">
        <v>55</v>
      </c>
    </row>
    <row r="2097">
      <c r="A2097" s="1">
        <v>2096.0</v>
      </c>
      <c r="B2097" s="1" t="s">
        <v>3935</v>
      </c>
      <c r="C2097" s="1" t="s">
        <v>25</v>
      </c>
      <c r="N2097" s="5">
        <v>43880.0</v>
      </c>
      <c r="Q2097" s="1" t="s">
        <v>55</v>
      </c>
    </row>
    <row r="2098">
      <c r="A2098" s="1">
        <v>2097.0</v>
      </c>
      <c r="B2098" s="1" t="s">
        <v>3936</v>
      </c>
      <c r="C2098" s="1" t="s">
        <v>25</v>
      </c>
      <c r="K2098" s="1">
        <v>10.0</v>
      </c>
      <c r="N2098" s="5">
        <v>44419.0</v>
      </c>
      <c r="Q2098" s="1" t="s">
        <v>55</v>
      </c>
    </row>
    <row r="2099">
      <c r="A2099" s="1">
        <v>2098.0</v>
      </c>
      <c r="B2099" s="1" t="s">
        <v>3937</v>
      </c>
      <c r="C2099" s="1" t="s">
        <v>25</v>
      </c>
      <c r="K2099" s="1">
        <v>40.0</v>
      </c>
      <c r="N2099" s="5">
        <v>44515.0</v>
      </c>
      <c r="Q2099" s="1" t="s">
        <v>172</v>
      </c>
    </row>
    <row r="2100">
      <c r="A2100" s="1">
        <v>2099.0</v>
      </c>
      <c r="B2100" s="1" t="s">
        <v>3938</v>
      </c>
      <c r="C2100" s="1" t="s">
        <v>25</v>
      </c>
      <c r="K2100" s="1">
        <v>30.0</v>
      </c>
      <c r="N2100" s="5">
        <v>43939.0</v>
      </c>
      <c r="Q2100" s="1" t="s">
        <v>3939</v>
      </c>
    </row>
    <row r="2101">
      <c r="A2101" s="1">
        <v>2100.0</v>
      </c>
      <c r="B2101" s="1" t="s">
        <v>3940</v>
      </c>
      <c r="C2101" s="1" t="s">
        <v>25</v>
      </c>
      <c r="K2101" s="1">
        <v>30.0</v>
      </c>
      <c r="N2101" s="5">
        <v>44244.0</v>
      </c>
      <c r="Q2101" s="1" t="s">
        <v>3941</v>
      </c>
    </row>
    <row r="2102">
      <c r="A2102" s="1">
        <v>2101.0</v>
      </c>
      <c r="B2102" s="1" t="s">
        <v>3942</v>
      </c>
      <c r="C2102" s="1" t="s">
        <v>25</v>
      </c>
      <c r="K2102" s="1">
        <v>100.0</v>
      </c>
      <c r="N2102" s="5">
        <v>44793.0</v>
      </c>
      <c r="Q2102" s="1" t="s">
        <v>569</v>
      </c>
    </row>
    <row r="2103">
      <c r="A2103" s="1">
        <v>2102.0</v>
      </c>
      <c r="B2103" s="1" t="s">
        <v>3943</v>
      </c>
      <c r="C2103" s="1" t="s">
        <v>25</v>
      </c>
      <c r="K2103" s="1">
        <v>10.0</v>
      </c>
      <c r="N2103" s="5">
        <v>44733.0</v>
      </c>
      <c r="Q2103" s="1" t="s">
        <v>55</v>
      </c>
    </row>
    <row r="2104">
      <c r="A2104" s="1">
        <v>2103.0</v>
      </c>
      <c r="B2104" s="1" t="s">
        <v>3944</v>
      </c>
      <c r="C2104" s="1" t="s">
        <v>25</v>
      </c>
      <c r="K2104" s="1">
        <v>50.0</v>
      </c>
      <c r="N2104" s="5">
        <v>45691.0</v>
      </c>
      <c r="Q2104" s="1" t="s">
        <v>3332</v>
      </c>
    </row>
    <row r="2105">
      <c r="A2105" s="1">
        <v>2104.0</v>
      </c>
      <c r="B2105" s="1" t="s">
        <v>3945</v>
      </c>
      <c r="C2105" s="1" t="s">
        <v>25</v>
      </c>
      <c r="K2105" s="1">
        <v>10.0</v>
      </c>
      <c r="N2105" s="5">
        <v>44476.0</v>
      </c>
      <c r="Q2105" s="1" t="s">
        <v>3008</v>
      </c>
    </row>
    <row r="2106">
      <c r="A2106" s="1">
        <v>2105.0</v>
      </c>
      <c r="B2106" s="1" t="s">
        <v>3946</v>
      </c>
      <c r="C2106" s="1" t="s">
        <v>25</v>
      </c>
      <c r="K2106" s="1">
        <v>60.0</v>
      </c>
      <c r="N2106" s="5">
        <v>44955.0</v>
      </c>
      <c r="Q2106" s="1" t="s">
        <v>1462</v>
      </c>
    </row>
    <row r="2107">
      <c r="A2107" s="1">
        <v>2106.0</v>
      </c>
      <c r="B2107" s="1" t="s">
        <v>183</v>
      </c>
      <c r="C2107" s="1" t="s">
        <v>25</v>
      </c>
      <c r="K2107" s="1">
        <v>30.0</v>
      </c>
      <c r="N2107" s="5">
        <v>44177.0</v>
      </c>
      <c r="Q2107" s="1" t="s">
        <v>186</v>
      </c>
    </row>
    <row r="2108">
      <c r="A2108" s="1">
        <v>2107.0</v>
      </c>
      <c r="B2108" s="1" t="s">
        <v>3947</v>
      </c>
      <c r="C2108" s="1" t="s">
        <v>25</v>
      </c>
      <c r="K2108" s="1">
        <v>200.0</v>
      </c>
      <c r="N2108" s="5">
        <v>43973.0</v>
      </c>
      <c r="Q2108" s="1" t="s">
        <v>3948</v>
      </c>
    </row>
    <row r="2109">
      <c r="A2109" s="1">
        <v>2108.0</v>
      </c>
      <c r="B2109" s="1" t="s">
        <v>3949</v>
      </c>
      <c r="C2109" s="1" t="s">
        <v>25</v>
      </c>
      <c r="K2109" s="1">
        <v>90.0</v>
      </c>
      <c r="N2109" s="5">
        <v>44417.0</v>
      </c>
      <c r="Q2109" s="1" t="s">
        <v>3950</v>
      </c>
    </row>
    <row r="2110">
      <c r="A2110" s="1">
        <v>2109.0</v>
      </c>
      <c r="B2110" s="1" t="s">
        <v>3951</v>
      </c>
      <c r="C2110" s="1" t="s">
        <v>25</v>
      </c>
      <c r="K2110" s="1">
        <v>50.0</v>
      </c>
      <c r="N2110" s="5">
        <v>44259.0</v>
      </c>
      <c r="Q2110" s="1" t="s">
        <v>3952</v>
      </c>
    </row>
    <row r="2111">
      <c r="A2111" s="1">
        <v>2110.0</v>
      </c>
      <c r="B2111" s="1" t="s">
        <v>3953</v>
      </c>
      <c r="C2111" s="1" t="s">
        <v>25</v>
      </c>
      <c r="K2111" s="1">
        <v>400.0</v>
      </c>
      <c r="N2111" s="5">
        <v>43980.0</v>
      </c>
      <c r="Q2111" s="1" t="s">
        <v>3954</v>
      </c>
    </row>
    <row r="2112">
      <c r="A2112" s="1">
        <v>2111.0</v>
      </c>
      <c r="B2112" s="1" t="s">
        <v>3955</v>
      </c>
      <c r="C2112" s="1" t="s">
        <v>25</v>
      </c>
      <c r="K2112" s="1">
        <v>10.0</v>
      </c>
      <c r="N2112" s="5">
        <v>45179.0</v>
      </c>
      <c r="Q2112" s="1" t="s">
        <v>55</v>
      </c>
    </row>
    <row r="2113">
      <c r="A2113" s="1">
        <v>2112.0</v>
      </c>
      <c r="B2113" s="1" t="s">
        <v>3956</v>
      </c>
      <c r="C2113" s="1" t="s">
        <v>25</v>
      </c>
      <c r="K2113" s="1">
        <v>30.0</v>
      </c>
      <c r="N2113" s="5">
        <v>43890.0</v>
      </c>
      <c r="Q2113" s="1" t="s">
        <v>55</v>
      </c>
    </row>
    <row r="2114">
      <c r="A2114" s="1">
        <v>2113.0</v>
      </c>
      <c r="B2114" s="1" t="s">
        <v>3957</v>
      </c>
      <c r="C2114" s="1" t="s">
        <v>25</v>
      </c>
      <c r="N2114" s="5">
        <v>44680.0</v>
      </c>
      <c r="Q2114" s="1" t="s">
        <v>55</v>
      </c>
    </row>
    <row r="2115">
      <c r="A2115" s="1">
        <v>2114.0</v>
      </c>
      <c r="B2115" s="1" t="s">
        <v>3958</v>
      </c>
      <c r="C2115" s="1" t="s">
        <v>25</v>
      </c>
      <c r="K2115" s="1">
        <v>40.0</v>
      </c>
      <c r="N2115" s="5">
        <v>44427.0</v>
      </c>
      <c r="Q2115" s="1" t="s">
        <v>203</v>
      </c>
    </row>
    <row r="2116">
      <c r="A2116" s="1">
        <v>2115.0</v>
      </c>
      <c r="B2116" s="1" t="s">
        <v>3959</v>
      </c>
      <c r="C2116" s="1" t="s">
        <v>25</v>
      </c>
      <c r="K2116" s="1">
        <v>150.0</v>
      </c>
      <c r="N2116" s="5">
        <v>43943.0</v>
      </c>
      <c r="Q2116" s="1" t="s">
        <v>3960</v>
      </c>
    </row>
    <row r="2117">
      <c r="A2117" s="1">
        <v>2116.0</v>
      </c>
      <c r="B2117" s="1" t="s">
        <v>3961</v>
      </c>
      <c r="C2117" s="1" t="s">
        <v>25</v>
      </c>
      <c r="K2117" s="1">
        <v>100.0</v>
      </c>
      <c r="N2117" s="5">
        <v>44438.0</v>
      </c>
      <c r="Q2117" s="1" t="s">
        <v>1616</v>
      </c>
    </row>
    <row r="2118">
      <c r="A2118" s="1">
        <v>2117.0</v>
      </c>
      <c r="B2118" s="1" t="s">
        <v>3962</v>
      </c>
      <c r="C2118" s="1" t="s">
        <v>25</v>
      </c>
      <c r="K2118" s="1">
        <v>20.0</v>
      </c>
      <c r="N2118" s="5">
        <v>45479.0</v>
      </c>
      <c r="Q2118" s="1" t="s">
        <v>3963</v>
      </c>
    </row>
    <row r="2119">
      <c r="A2119" s="1">
        <v>2118.0</v>
      </c>
      <c r="B2119" s="1" t="s">
        <v>3964</v>
      </c>
      <c r="C2119" s="1" t="s">
        <v>25</v>
      </c>
      <c r="N2119" s="5">
        <v>44271.0</v>
      </c>
      <c r="Q2119" s="1" t="s">
        <v>55</v>
      </c>
    </row>
    <row r="2120">
      <c r="A2120" s="1">
        <v>2119.0</v>
      </c>
      <c r="B2120" s="1" t="s">
        <v>3965</v>
      </c>
      <c r="C2120" s="1" t="s">
        <v>25</v>
      </c>
      <c r="K2120" s="1">
        <v>10.0</v>
      </c>
      <c r="N2120" s="5">
        <v>44226.0</v>
      </c>
      <c r="Q2120" s="1" t="s">
        <v>55</v>
      </c>
    </row>
    <row r="2121">
      <c r="A2121" s="1">
        <v>2120.0</v>
      </c>
      <c r="B2121" s="1" t="s">
        <v>3966</v>
      </c>
      <c r="C2121" s="1" t="s">
        <v>25</v>
      </c>
      <c r="K2121" s="1">
        <v>10.0</v>
      </c>
      <c r="N2121" s="5">
        <v>44103.0</v>
      </c>
      <c r="Q2121" s="1" t="s">
        <v>3967</v>
      </c>
    </row>
    <row r="2122">
      <c r="A2122" s="1">
        <v>2121.0</v>
      </c>
      <c r="B2122" s="1" t="s">
        <v>3968</v>
      </c>
      <c r="C2122" s="1" t="s">
        <v>25</v>
      </c>
      <c r="N2122" s="5">
        <v>45545.0</v>
      </c>
      <c r="Q2122" s="1" t="s">
        <v>1638</v>
      </c>
    </row>
    <row r="2123">
      <c r="A2123" s="1">
        <v>2122.0</v>
      </c>
      <c r="B2123" s="1" t="s">
        <v>3969</v>
      </c>
      <c r="C2123" s="1" t="s">
        <v>25</v>
      </c>
      <c r="K2123" s="1">
        <v>250.0</v>
      </c>
      <c r="N2123" s="5">
        <v>43888.0</v>
      </c>
      <c r="Q2123" s="1" t="s">
        <v>3970</v>
      </c>
    </row>
    <row r="2124">
      <c r="A2124" s="1">
        <v>2123.0</v>
      </c>
      <c r="B2124" s="1" t="s">
        <v>3971</v>
      </c>
      <c r="C2124" s="1" t="s">
        <v>25</v>
      </c>
      <c r="K2124" s="1">
        <v>300.0</v>
      </c>
      <c r="N2124" s="5">
        <v>43867.0</v>
      </c>
      <c r="Q2124" s="1" t="s">
        <v>3972</v>
      </c>
    </row>
    <row r="2125">
      <c r="A2125" s="1">
        <v>2124.0</v>
      </c>
      <c r="B2125" s="1" t="s">
        <v>3973</v>
      </c>
      <c r="C2125" s="1" t="s">
        <v>25</v>
      </c>
      <c r="K2125" s="1">
        <v>150.0</v>
      </c>
      <c r="N2125" s="5">
        <v>44795.0</v>
      </c>
      <c r="Q2125" s="1" t="s">
        <v>3974</v>
      </c>
    </row>
    <row r="2126">
      <c r="A2126" s="1">
        <v>2125.0</v>
      </c>
      <c r="B2126" s="1" t="s">
        <v>3975</v>
      </c>
      <c r="C2126" s="1" t="s">
        <v>25</v>
      </c>
      <c r="K2126" s="1">
        <v>150.0</v>
      </c>
      <c r="N2126" s="5">
        <v>44657.0</v>
      </c>
      <c r="Q2126" s="1" t="s">
        <v>1433</v>
      </c>
    </row>
    <row r="2127">
      <c r="A2127" s="1">
        <v>2126.0</v>
      </c>
      <c r="B2127" s="1" t="s">
        <v>3976</v>
      </c>
      <c r="C2127" s="1" t="s">
        <v>25</v>
      </c>
      <c r="K2127" s="1">
        <v>50.0</v>
      </c>
      <c r="N2127" s="5">
        <v>45668.0</v>
      </c>
      <c r="Q2127" s="1" t="s">
        <v>3977</v>
      </c>
    </row>
    <row r="2128">
      <c r="A2128" s="1">
        <v>2127.0</v>
      </c>
      <c r="B2128" s="1" t="s">
        <v>3978</v>
      </c>
      <c r="C2128" s="1" t="s">
        <v>25</v>
      </c>
      <c r="K2128" s="1">
        <v>100.0</v>
      </c>
      <c r="N2128" s="5">
        <v>45494.0</v>
      </c>
      <c r="Q2128" s="1" t="s">
        <v>3979</v>
      </c>
    </row>
    <row r="2129">
      <c r="A2129" s="1">
        <v>2128.0</v>
      </c>
      <c r="B2129" s="1" t="s">
        <v>3980</v>
      </c>
      <c r="C2129" s="1" t="s">
        <v>25</v>
      </c>
      <c r="K2129" s="1">
        <v>150.0</v>
      </c>
      <c r="N2129" s="5">
        <v>45422.0</v>
      </c>
      <c r="Q2129" s="1" t="s">
        <v>3981</v>
      </c>
    </row>
    <row r="2130">
      <c r="A2130" s="1">
        <v>2129.0</v>
      </c>
      <c r="B2130" s="1" t="s">
        <v>3982</v>
      </c>
      <c r="C2130" s="1" t="s">
        <v>25</v>
      </c>
      <c r="K2130" s="1">
        <v>40.0</v>
      </c>
      <c r="N2130" s="5">
        <v>45639.0</v>
      </c>
      <c r="Q2130" s="1" t="s">
        <v>859</v>
      </c>
    </row>
    <row r="2131">
      <c r="A2131" s="1">
        <v>2130.0</v>
      </c>
      <c r="B2131" s="1" t="s">
        <v>3983</v>
      </c>
      <c r="C2131" s="1" t="s">
        <v>25</v>
      </c>
      <c r="K2131" s="1">
        <v>30.0</v>
      </c>
      <c r="N2131" s="5">
        <v>44386.0</v>
      </c>
      <c r="Q2131" s="1" t="s">
        <v>3984</v>
      </c>
    </row>
    <row r="2132">
      <c r="A2132" s="1">
        <v>2131.0</v>
      </c>
      <c r="B2132" s="1" t="s">
        <v>3985</v>
      </c>
      <c r="C2132" s="1" t="s">
        <v>25</v>
      </c>
      <c r="K2132" s="1">
        <v>10.0</v>
      </c>
      <c r="N2132" s="5">
        <v>44110.0</v>
      </c>
      <c r="Q2132" s="1" t="s">
        <v>3986</v>
      </c>
    </row>
    <row r="2133">
      <c r="A2133" s="1">
        <v>2132.0</v>
      </c>
      <c r="B2133" s="1" t="s">
        <v>3987</v>
      </c>
      <c r="C2133" s="1" t="s">
        <v>25</v>
      </c>
      <c r="N2133" s="5">
        <v>43880.0</v>
      </c>
      <c r="Q2133" s="1" t="s">
        <v>55</v>
      </c>
    </row>
    <row r="2134">
      <c r="A2134" s="1">
        <v>2133.0</v>
      </c>
      <c r="B2134" s="1" t="s">
        <v>3988</v>
      </c>
      <c r="C2134" s="1" t="s">
        <v>25</v>
      </c>
      <c r="K2134" s="1">
        <v>80.0</v>
      </c>
      <c r="N2134" s="5">
        <v>43843.0</v>
      </c>
      <c r="Q2134" s="1" t="s">
        <v>3989</v>
      </c>
    </row>
    <row r="2135">
      <c r="A2135" s="1">
        <v>2134.0</v>
      </c>
      <c r="B2135" s="1" t="s">
        <v>3990</v>
      </c>
      <c r="C2135" s="1" t="s">
        <v>25</v>
      </c>
      <c r="K2135" s="1">
        <v>30.0</v>
      </c>
      <c r="N2135" s="5">
        <v>44099.0</v>
      </c>
      <c r="Q2135" s="1" t="s">
        <v>93</v>
      </c>
    </row>
    <row r="2136">
      <c r="A2136" s="1">
        <v>2135.0</v>
      </c>
      <c r="B2136" s="1" t="s">
        <v>3991</v>
      </c>
      <c r="C2136" s="1" t="s">
        <v>25</v>
      </c>
      <c r="K2136" s="1">
        <v>250.0</v>
      </c>
      <c r="N2136" s="5">
        <v>42267.0</v>
      </c>
      <c r="Q2136" s="1" t="s">
        <v>3992</v>
      </c>
    </row>
    <row r="2137">
      <c r="A2137" s="1">
        <v>2136.0</v>
      </c>
      <c r="B2137" s="1" t="s">
        <v>188</v>
      </c>
      <c r="C2137" s="1" t="s">
        <v>25</v>
      </c>
      <c r="N2137" s="5">
        <v>43929.0</v>
      </c>
      <c r="Q2137" s="1" t="s">
        <v>46</v>
      </c>
    </row>
    <row r="2138">
      <c r="A2138" s="1">
        <v>2137.0</v>
      </c>
      <c r="B2138" s="1" t="s">
        <v>3993</v>
      </c>
      <c r="C2138" s="1" t="s">
        <v>25</v>
      </c>
      <c r="N2138" s="5">
        <v>44652.0</v>
      </c>
      <c r="Q2138" s="1" t="s">
        <v>3994</v>
      </c>
    </row>
    <row r="2139">
      <c r="A2139" s="1">
        <v>2138.0</v>
      </c>
      <c r="B2139" s="1" t="s">
        <v>3995</v>
      </c>
      <c r="C2139" s="1" t="s">
        <v>25</v>
      </c>
      <c r="K2139" s="1">
        <v>10.0</v>
      </c>
      <c r="N2139" s="5">
        <v>44955.0</v>
      </c>
      <c r="Q2139" s="1" t="s">
        <v>55</v>
      </c>
    </row>
    <row r="2140">
      <c r="A2140" s="1">
        <v>2139.0</v>
      </c>
      <c r="B2140" s="1" t="s">
        <v>3996</v>
      </c>
      <c r="C2140" s="1" t="s">
        <v>25</v>
      </c>
      <c r="K2140" s="1">
        <v>90.0</v>
      </c>
      <c r="N2140" s="5">
        <v>45342.0</v>
      </c>
      <c r="Q2140" s="1" t="s">
        <v>633</v>
      </c>
    </row>
    <row r="2141">
      <c r="A2141" s="1">
        <v>2140.0</v>
      </c>
      <c r="B2141" s="1" t="s">
        <v>3997</v>
      </c>
      <c r="C2141" s="1" t="s">
        <v>25</v>
      </c>
      <c r="K2141" s="1">
        <v>150.0</v>
      </c>
      <c r="N2141" s="5">
        <v>44321.0</v>
      </c>
      <c r="Q2141" s="1" t="s">
        <v>3998</v>
      </c>
    </row>
    <row r="2142">
      <c r="A2142" s="1">
        <v>2141.0</v>
      </c>
      <c r="B2142" s="1" t="s">
        <v>3999</v>
      </c>
      <c r="C2142" s="1" t="s">
        <v>25</v>
      </c>
      <c r="N2142" s="5">
        <v>45507.0</v>
      </c>
      <c r="Q2142" s="1" t="s">
        <v>4000</v>
      </c>
    </row>
    <row r="2143">
      <c r="A2143" s="1">
        <v>2142.0</v>
      </c>
      <c r="B2143" s="1" t="s">
        <v>4001</v>
      </c>
      <c r="C2143" s="1" t="s">
        <v>25</v>
      </c>
      <c r="N2143" s="5">
        <v>44774.0</v>
      </c>
      <c r="Q2143" s="1" t="s">
        <v>4002</v>
      </c>
    </row>
    <row r="2144">
      <c r="A2144" s="1">
        <v>2143.0</v>
      </c>
      <c r="B2144" s="1" t="s">
        <v>4003</v>
      </c>
      <c r="C2144" s="1" t="s">
        <v>25</v>
      </c>
      <c r="K2144" s="1">
        <v>100.0</v>
      </c>
      <c r="N2144" s="5">
        <v>43876.0</v>
      </c>
      <c r="Q2144" s="1" t="s">
        <v>4004</v>
      </c>
    </row>
    <row r="2145">
      <c r="A2145" s="1">
        <v>2144.0</v>
      </c>
      <c r="B2145" s="1" t="s">
        <v>4005</v>
      </c>
      <c r="C2145" s="1" t="s">
        <v>25</v>
      </c>
      <c r="K2145" s="1">
        <v>90.0</v>
      </c>
      <c r="N2145" s="5">
        <v>44364.0</v>
      </c>
      <c r="Q2145" s="1" t="s">
        <v>904</v>
      </c>
    </row>
    <row r="2146">
      <c r="A2146" s="1">
        <v>2145.0</v>
      </c>
      <c r="B2146" s="1" t="s">
        <v>4006</v>
      </c>
      <c r="C2146" s="1" t="s">
        <v>25</v>
      </c>
      <c r="N2146" s="5">
        <v>44261.0</v>
      </c>
      <c r="Q2146" s="1" t="s">
        <v>55</v>
      </c>
    </row>
    <row r="2147">
      <c r="A2147" s="1">
        <v>2146.0</v>
      </c>
      <c r="B2147" s="1" t="s">
        <v>4007</v>
      </c>
      <c r="C2147" s="1" t="s">
        <v>25</v>
      </c>
      <c r="N2147" s="5">
        <v>44111.0</v>
      </c>
      <c r="Q2147" s="1" t="s">
        <v>55</v>
      </c>
    </row>
    <row r="2148">
      <c r="A2148" s="1">
        <v>2147.0</v>
      </c>
      <c r="B2148" s="1" t="s">
        <v>4008</v>
      </c>
      <c r="C2148" s="1" t="s">
        <v>25</v>
      </c>
      <c r="K2148" s="1">
        <v>90.0</v>
      </c>
      <c r="N2148" s="5">
        <v>44014.0</v>
      </c>
      <c r="Q2148" s="1" t="s">
        <v>4009</v>
      </c>
    </row>
    <row r="2149">
      <c r="A2149" s="1">
        <v>2148.0</v>
      </c>
      <c r="B2149" s="1" t="s">
        <v>4010</v>
      </c>
      <c r="C2149" s="1" t="s">
        <v>25</v>
      </c>
      <c r="K2149" s="1">
        <v>50.0</v>
      </c>
      <c r="N2149" s="5">
        <v>44285.0</v>
      </c>
      <c r="Q2149" s="1" t="s">
        <v>4011</v>
      </c>
    </row>
    <row r="2150">
      <c r="A2150" s="1">
        <v>2149.0</v>
      </c>
      <c r="B2150" s="1" t="s">
        <v>4012</v>
      </c>
      <c r="C2150" s="1" t="s">
        <v>25</v>
      </c>
      <c r="K2150" s="1">
        <v>100.0</v>
      </c>
      <c r="N2150" s="5">
        <v>44737.0</v>
      </c>
      <c r="Q2150" s="1" t="s">
        <v>4013</v>
      </c>
    </row>
    <row r="2151">
      <c r="A2151" s="1">
        <v>2150.0</v>
      </c>
      <c r="B2151" s="1" t="s">
        <v>4014</v>
      </c>
      <c r="C2151" s="1" t="s">
        <v>25</v>
      </c>
      <c r="K2151" s="1">
        <v>150.0</v>
      </c>
      <c r="N2151" s="5">
        <v>44444.0</v>
      </c>
      <c r="Q2151" s="1" t="s">
        <v>4015</v>
      </c>
    </row>
    <row r="2152">
      <c r="A2152" s="1">
        <v>2151.0</v>
      </c>
      <c r="B2152" s="1" t="s">
        <v>4016</v>
      </c>
      <c r="C2152" s="1" t="s">
        <v>25</v>
      </c>
      <c r="K2152" s="1">
        <v>10.0</v>
      </c>
      <c r="N2152" s="5">
        <v>44828.0</v>
      </c>
      <c r="Q2152" s="1" t="s">
        <v>4017</v>
      </c>
    </row>
    <row r="2153">
      <c r="A2153" s="1">
        <v>2152.0</v>
      </c>
      <c r="B2153" s="1" t="s">
        <v>4018</v>
      </c>
      <c r="C2153" s="1" t="s">
        <v>25</v>
      </c>
      <c r="N2153" s="5">
        <v>43450.0</v>
      </c>
      <c r="Q2153" s="1" t="s">
        <v>55</v>
      </c>
    </row>
    <row r="2154">
      <c r="A2154" s="1">
        <v>2153.0</v>
      </c>
      <c r="B2154" s="1" t="s">
        <v>4019</v>
      </c>
      <c r="C2154" s="1" t="s">
        <v>25</v>
      </c>
      <c r="K2154" s="1">
        <v>20.0</v>
      </c>
      <c r="N2154" s="5">
        <v>44649.0</v>
      </c>
      <c r="Q2154" s="1" t="s">
        <v>55</v>
      </c>
    </row>
    <row r="2155">
      <c r="A2155" s="1">
        <v>2154.0</v>
      </c>
      <c r="B2155" s="1" t="s">
        <v>4020</v>
      </c>
      <c r="C2155" s="1" t="s">
        <v>25</v>
      </c>
      <c r="K2155" s="1">
        <v>30.0</v>
      </c>
      <c r="N2155" s="5">
        <v>44174.0</v>
      </c>
      <c r="Q2155" s="1" t="s">
        <v>55</v>
      </c>
    </row>
    <row r="2156">
      <c r="A2156" s="1">
        <v>2155.0</v>
      </c>
      <c r="B2156" s="1" t="s">
        <v>4021</v>
      </c>
      <c r="C2156" s="1" t="s">
        <v>25</v>
      </c>
      <c r="K2156" s="1">
        <v>20.0</v>
      </c>
      <c r="N2156" s="5">
        <v>44285.0</v>
      </c>
      <c r="Q2156" s="1" t="s">
        <v>1066</v>
      </c>
    </row>
    <row r="2157">
      <c r="A2157" s="1">
        <v>2156.0</v>
      </c>
      <c r="B2157" s="1" t="s">
        <v>4022</v>
      </c>
      <c r="C2157" s="1" t="s">
        <v>25</v>
      </c>
      <c r="K2157" s="1">
        <v>300.0</v>
      </c>
      <c r="N2157" s="5">
        <v>43847.0</v>
      </c>
      <c r="Q2157" s="1" t="s">
        <v>4023</v>
      </c>
    </row>
    <row r="2158">
      <c r="A2158" s="1">
        <v>2157.0</v>
      </c>
      <c r="B2158" s="1" t="s">
        <v>4024</v>
      </c>
      <c r="C2158" s="1" t="s">
        <v>25</v>
      </c>
      <c r="K2158" s="1">
        <v>40.0</v>
      </c>
      <c r="N2158" s="5">
        <v>45797.0</v>
      </c>
      <c r="Q2158" s="1" t="s">
        <v>593</v>
      </c>
    </row>
    <row r="2159">
      <c r="A2159" s="1">
        <v>2158.0</v>
      </c>
      <c r="B2159" s="1" t="s">
        <v>4025</v>
      </c>
      <c r="C2159" s="1" t="s">
        <v>25</v>
      </c>
      <c r="K2159" s="1">
        <v>150.0</v>
      </c>
      <c r="N2159" s="5">
        <v>44689.0</v>
      </c>
      <c r="Q2159" s="1" t="s">
        <v>4026</v>
      </c>
    </row>
    <row r="2160">
      <c r="A2160" s="1">
        <v>2159.0</v>
      </c>
      <c r="B2160" s="1" t="s">
        <v>4027</v>
      </c>
      <c r="C2160" s="1" t="s">
        <v>25</v>
      </c>
      <c r="K2160" s="1">
        <v>30.0</v>
      </c>
      <c r="N2160" s="5">
        <v>45558.0</v>
      </c>
      <c r="Q2160" s="1" t="s">
        <v>4028</v>
      </c>
    </row>
    <row r="2161">
      <c r="A2161" s="1">
        <v>2160.0</v>
      </c>
      <c r="B2161" s="1" t="s">
        <v>4029</v>
      </c>
      <c r="C2161" s="1" t="s">
        <v>25</v>
      </c>
      <c r="K2161" s="1">
        <v>90.0</v>
      </c>
      <c r="N2161" s="5">
        <v>43880.0</v>
      </c>
      <c r="Q2161" s="1" t="s">
        <v>1733</v>
      </c>
    </row>
    <row r="2162">
      <c r="A2162" s="1">
        <v>2161.0</v>
      </c>
      <c r="B2162" s="1" t="s">
        <v>4030</v>
      </c>
      <c r="C2162" s="1" t="s">
        <v>25</v>
      </c>
      <c r="K2162" s="1">
        <v>10.0</v>
      </c>
      <c r="N2162" s="5">
        <v>45179.0</v>
      </c>
      <c r="Q2162" s="1" t="s">
        <v>55</v>
      </c>
    </row>
    <row r="2163">
      <c r="A2163" s="1">
        <v>2162.0</v>
      </c>
      <c r="B2163" s="1" t="s">
        <v>4031</v>
      </c>
      <c r="C2163" s="1" t="s">
        <v>25</v>
      </c>
      <c r="K2163" s="1">
        <v>70.0</v>
      </c>
      <c r="N2163" s="5">
        <v>44429.0</v>
      </c>
      <c r="Q2163" s="1" t="s">
        <v>4032</v>
      </c>
    </row>
    <row r="2164">
      <c r="A2164" s="1">
        <v>2163.0</v>
      </c>
      <c r="B2164" s="1" t="s">
        <v>4033</v>
      </c>
      <c r="C2164" s="1" t="s">
        <v>25</v>
      </c>
      <c r="K2164" s="1">
        <v>150.0</v>
      </c>
      <c r="N2164" s="5">
        <v>45252.0</v>
      </c>
      <c r="Q2164" s="1" t="s">
        <v>55</v>
      </c>
    </row>
    <row r="2165">
      <c r="A2165" s="1">
        <v>2164.0</v>
      </c>
      <c r="B2165" s="1" t="s">
        <v>4034</v>
      </c>
      <c r="C2165" s="1" t="s">
        <v>25</v>
      </c>
      <c r="K2165" s="1">
        <v>10.0</v>
      </c>
      <c r="N2165" s="5">
        <v>44131.0</v>
      </c>
      <c r="Q2165" s="1" t="s">
        <v>2253</v>
      </c>
    </row>
    <row r="2166">
      <c r="A2166" s="1">
        <v>2165.0</v>
      </c>
      <c r="B2166" s="1" t="s">
        <v>4035</v>
      </c>
      <c r="C2166" s="1" t="s">
        <v>25</v>
      </c>
      <c r="N2166" s="5">
        <v>45078.0</v>
      </c>
      <c r="Q2166" s="1" t="s">
        <v>55</v>
      </c>
    </row>
    <row r="2167">
      <c r="A2167" s="1">
        <v>2166.0</v>
      </c>
      <c r="B2167" s="1" t="s">
        <v>4036</v>
      </c>
      <c r="C2167" s="1" t="s">
        <v>25</v>
      </c>
      <c r="K2167" s="1">
        <v>40.0</v>
      </c>
      <c r="N2167" s="5">
        <v>44368.0</v>
      </c>
      <c r="Q2167" s="1" t="s">
        <v>55</v>
      </c>
    </row>
    <row r="2168">
      <c r="A2168" s="1">
        <v>2167.0</v>
      </c>
      <c r="B2168" s="1" t="s">
        <v>4037</v>
      </c>
      <c r="C2168" s="1" t="s">
        <v>25</v>
      </c>
      <c r="K2168" s="1">
        <v>40.0</v>
      </c>
      <c r="N2168" s="5">
        <v>43870.0</v>
      </c>
      <c r="Q2168" s="1" t="s">
        <v>2456</v>
      </c>
    </row>
    <row r="2169">
      <c r="A2169" s="1">
        <v>2168.0</v>
      </c>
      <c r="B2169" s="1" t="s">
        <v>4038</v>
      </c>
      <c r="C2169" s="1" t="s">
        <v>25</v>
      </c>
      <c r="N2169" s="5">
        <v>44108.0</v>
      </c>
      <c r="Q2169" s="1" t="s">
        <v>1591</v>
      </c>
    </row>
    <row r="2170">
      <c r="A2170" s="1">
        <v>2169.0</v>
      </c>
      <c r="B2170" s="1" t="s">
        <v>4039</v>
      </c>
      <c r="C2170" s="1" t="s">
        <v>25</v>
      </c>
      <c r="N2170" s="5">
        <v>44507.0</v>
      </c>
      <c r="Q2170" s="1" t="s">
        <v>55</v>
      </c>
    </row>
    <row r="2171">
      <c r="A2171" s="1">
        <v>2170.0</v>
      </c>
      <c r="B2171" s="1" t="s">
        <v>4040</v>
      </c>
      <c r="C2171" s="1" t="s">
        <v>25</v>
      </c>
      <c r="K2171" s="1">
        <v>20.0</v>
      </c>
      <c r="N2171" s="5">
        <v>45366.0</v>
      </c>
      <c r="Q2171" s="1" t="s">
        <v>80</v>
      </c>
    </row>
    <row r="2172">
      <c r="A2172" s="1">
        <v>2171.0</v>
      </c>
      <c r="B2172" s="1" t="s">
        <v>4041</v>
      </c>
      <c r="C2172" s="1" t="s">
        <v>25</v>
      </c>
      <c r="K2172" s="1">
        <v>60.0</v>
      </c>
      <c r="N2172" s="5">
        <v>43962.0</v>
      </c>
      <c r="Q2172" s="1" t="s">
        <v>4042</v>
      </c>
    </row>
    <row r="2173">
      <c r="A2173" s="1">
        <v>2172.0</v>
      </c>
      <c r="B2173" s="1" t="s">
        <v>4043</v>
      </c>
      <c r="C2173" s="1" t="s">
        <v>25</v>
      </c>
      <c r="K2173" s="1">
        <v>30.0</v>
      </c>
      <c r="N2173" s="5">
        <v>45347.0</v>
      </c>
      <c r="Q2173" s="1" t="s">
        <v>2395</v>
      </c>
    </row>
    <row r="2174">
      <c r="A2174" s="1">
        <v>2173.0</v>
      </c>
      <c r="B2174" s="1" t="s">
        <v>4044</v>
      </c>
      <c r="C2174" s="1" t="s">
        <v>25</v>
      </c>
      <c r="N2174" s="5">
        <v>45222.0</v>
      </c>
      <c r="Q2174" s="1" t="s">
        <v>55</v>
      </c>
    </row>
    <row r="2175">
      <c r="A2175" s="1">
        <v>2174.0</v>
      </c>
      <c r="B2175" s="1" t="s">
        <v>4045</v>
      </c>
      <c r="C2175" s="1" t="s">
        <v>25</v>
      </c>
      <c r="K2175" s="1">
        <v>200.0</v>
      </c>
      <c r="N2175" s="5">
        <v>44138.0</v>
      </c>
      <c r="Q2175" s="1" t="s">
        <v>4046</v>
      </c>
    </row>
    <row r="2176">
      <c r="A2176" s="1">
        <v>2175.0</v>
      </c>
      <c r="B2176" s="1" t="s">
        <v>4047</v>
      </c>
      <c r="C2176" s="1" t="s">
        <v>25</v>
      </c>
      <c r="K2176" s="1">
        <v>80.0</v>
      </c>
      <c r="N2176" s="5">
        <v>45423.0</v>
      </c>
      <c r="Q2176" s="1" t="s">
        <v>4048</v>
      </c>
    </row>
    <row r="2177">
      <c r="A2177" s="1">
        <v>2176.0</v>
      </c>
      <c r="B2177" s="1" t="s">
        <v>4049</v>
      </c>
      <c r="C2177" s="1" t="s">
        <v>25</v>
      </c>
      <c r="N2177" s="5">
        <v>45324.0</v>
      </c>
      <c r="Q2177" s="1" t="s">
        <v>55</v>
      </c>
    </row>
    <row r="2178">
      <c r="A2178" s="1">
        <v>2177.0</v>
      </c>
      <c r="B2178" s="1" t="s">
        <v>4050</v>
      </c>
      <c r="C2178" s="1" t="s">
        <v>25</v>
      </c>
      <c r="K2178" s="1">
        <v>150.0</v>
      </c>
      <c r="N2178" s="5">
        <v>43926.0</v>
      </c>
      <c r="Q2178" s="1" t="s">
        <v>4051</v>
      </c>
    </row>
    <row r="2179">
      <c r="A2179" s="1">
        <v>2178.0</v>
      </c>
      <c r="B2179" s="1" t="s">
        <v>4052</v>
      </c>
      <c r="C2179" s="1" t="s">
        <v>25</v>
      </c>
      <c r="N2179" s="5">
        <v>44072.0</v>
      </c>
      <c r="Q2179" s="1" t="s">
        <v>55</v>
      </c>
    </row>
    <row r="2180">
      <c r="A2180" s="1">
        <v>2179.0</v>
      </c>
      <c r="B2180" s="1" t="s">
        <v>4053</v>
      </c>
      <c r="C2180" s="1" t="s">
        <v>25</v>
      </c>
      <c r="K2180" s="1">
        <v>80.0</v>
      </c>
      <c r="N2180" s="5">
        <v>44020.0</v>
      </c>
      <c r="Q2180" s="1" t="s">
        <v>4054</v>
      </c>
    </row>
    <row r="2181">
      <c r="A2181" s="1">
        <v>2180.0</v>
      </c>
      <c r="B2181" s="1" t="s">
        <v>4055</v>
      </c>
      <c r="C2181" s="1" t="s">
        <v>25</v>
      </c>
      <c r="K2181" s="1">
        <v>70.0</v>
      </c>
      <c r="N2181" s="5">
        <v>43939.0</v>
      </c>
      <c r="Q2181" s="1" t="s">
        <v>4056</v>
      </c>
    </row>
    <row r="2182">
      <c r="A2182" s="1">
        <v>2181.0</v>
      </c>
      <c r="B2182" s="1" t="s">
        <v>194</v>
      </c>
      <c r="C2182" s="1" t="s">
        <v>25</v>
      </c>
      <c r="K2182" s="1">
        <v>20.0</v>
      </c>
      <c r="N2182" s="5">
        <v>45140.0</v>
      </c>
      <c r="Q2182" s="1" t="s">
        <v>197</v>
      </c>
    </row>
    <row r="2183">
      <c r="A2183" s="1">
        <v>2182.0</v>
      </c>
      <c r="B2183" s="1" t="s">
        <v>4057</v>
      </c>
      <c r="C2183" s="1" t="s">
        <v>25</v>
      </c>
      <c r="K2183" s="1">
        <v>60.0</v>
      </c>
      <c r="N2183" s="5">
        <v>43848.0</v>
      </c>
      <c r="Q2183" s="1" t="s">
        <v>4058</v>
      </c>
    </row>
    <row r="2184">
      <c r="A2184" s="1">
        <v>2183.0</v>
      </c>
      <c r="B2184" s="1" t="s">
        <v>4059</v>
      </c>
      <c r="C2184" s="1" t="s">
        <v>25</v>
      </c>
      <c r="N2184" s="5">
        <v>43874.0</v>
      </c>
      <c r="Q2184" s="1" t="s">
        <v>55</v>
      </c>
    </row>
    <row r="2185">
      <c r="A2185" s="1">
        <v>2184.0</v>
      </c>
      <c r="B2185" s="1" t="s">
        <v>4060</v>
      </c>
      <c r="C2185" s="1" t="s">
        <v>25</v>
      </c>
      <c r="K2185" s="1">
        <v>60.0</v>
      </c>
      <c r="N2185" s="5">
        <v>44034.0</v>
      </c>
      <c r="Q2185" s="1" t="s">
        <v>4061</v>
      </c>
    </row>
    <row r="2186">
      <c r="A2186" s="1">
        <v>2185.0</v>
      </c>
      <c r="B2186" s="1" t="s">
        <v>4062</v>
      </c>
      <c r="C2186" s="1" t="s">
        <v>25</v>
      </c>
      <c r="K2186" s="1">
        <v>150.0</v>
      </c>
      <c r="N2186" s="5">
        <v>43924.0</v>
      </c>
      <c r="Q2186" s="1" t="s">
        <v>4063</v>
      </c>
    </row>
    <row r="2187">
      <c r="A2187" s="1">
        <v>2186.0</v>
      </c>
      <c r="B2187" s="1" t="s">
        <v>199</v>
      </c>
      <c r="C2187" s="1" t="s">
        <v>25</v>
      </c>
      <c r="K2187" s="1">
        <v>50.0</v>
      </c>
      <c r="N2187" s="5">
        <v>45172.0</v>
      </c>
      <c r="Q2187" s="1" t="s">
        <v>203</v>
      </c>
    </row>
    <row r="2188">
      <c r="A2188" s="1">
        <v>2187.0</v>
      </c>
      <c r="B2188" s="1" t="s">
        <v>4064</v>
      </c>
      <c r="C2188" s="1" t="s">
        <v>25</v>
      </c>
      <c r="K2188" s="1">
        <v>20.0</v>
      </c>
      <c r="N2188" s="5">
        <v>45281.0</v>
      </c>
      <c r="Q2188" s="1" t="s">
        <v>4065</v>
      </c>
    </row>
    <row r="2189">
      <c r="A2189" s="1">
        <v>2188.0</v>
      </c>
      <c r="B2189" s="1" t="s">
        <v>4066</v>
      </c>
      <c r="C2189" s="1" t="s">
        <v>25</v>
      </c>
      <c r="K2189" s="1">
        <v>30.0</v>
      </c>
      <c r="N2189" s="5">
        <v>44642.0</v>
      </c>
      <c r="Q2189" s="1" t="s">
        <v>55</v>
      </c>
    </row>
    <row r="2190">
      <c r="A2190" s="1">
        <v>2189.0</v>
      </c>
      <c r="B2190" s="1" t="s">
        <v>4067</v>
      </c>
      <c r="C2190" s="1" t="s">
        <v>25</v>
      </c>
      <c r="K2190" s="1">
        <v>30.0</v>
      </c>
      <c r="N2190" s="5">
        <v>45256.0</v>
      </c>
      <c r="Q2190" s="1" t="s">
        <v>93</v>
      </c>
    </row>
    <row r="2191">
      <c r="A2191" s="1">
        <v>2190.0</v>
      </c>
      <c r="B2191" s="1" t="s">
        <v>4068</v>
      </c>
      <c r="C2191" s="1" t="s">
        <v>25</v>
      </c>
      <c r="K2191" s="1">
        <v>90.0</v>
      </c>
      <c r="N2191" s="5">
        <v>43848.0</v>
      </c>
      <c r="Q2191" s="1" t="s">
        <v>4069</v>
      </c>
    </row>
    <row r="2192">
      <c r="A2192" s="1">
        <v>2191.0</v>
      </c>
      <c r="B2192" s="1" t="s">
        <v>4070</v>
      </c>
      <c r="C2192" s="1" t="s">
        <v>25</v>
      </c>
      <c r="K2192" s="1">
        <v>200.0</v>
      </c>
      <c r="N2192" s="5">
        <v>44103.0</v>
      </c>
      <c r="Q2192" s="1" t="s">
        <v>4071</v>
      </c>
    </row>
    <row r="2193">
      <c r="A2193" s="1">
        <v>2192.0</v>
      </c>
      <c r="B2193" s="1" t="s">
        <v>4072</v>
      </c>
      <c r="C2193" s="1" t="s">
        <v>25</v>
      </c>
      <c r="K2193" s="1">
        <v>80.0</v>
      </c>
      <c r="N2193" s="5">
        <v>45174.0</v>
      </c>
      <c r="Q2193" s="1" t="s">
        <v>4073</v>
      </c>
    </row>
    <row r="2194">
      <c r="A2194" s="1">
        <v>2193.0</v>
      </c>
      <c r="B2194" s="1" t="s">
        <v>4074</v>
      </c>
      <c r="C2194" s="1" t="s">
        <v>25</v>
      </c>
      <c r="N2194" s="5">
        <v>44700.0</v>
      </c>
      <c r="Q2194" s="1" t="s">
        <v>55</v>
      </c>
    </row>
    <row r="2195">
      <c r="A2195" s="1">
        <v>2194.0</v>
      </c>
      <c r="B2195" s="1" t="s">
        <v>4075</v>
      </c>
      <c r="C2195" s="1" t="s">
        <v>25</v>
      </c>
      <c r="K2195" s="1">
        <v>30.0</v>
      </c>
      <c r="N2195" s="5">
        <v>45303.0</v>
      </c>
      <c r="Q2195" s="1" t="s">
        <v>100</v>
      </c>
    </row>
    <row r="2196">
      <c r="A2196" s="1">
        <v>2195.0</v>
      </c>
      <c r="B2196" s="1" t="s">
        <v>4076</v>
      </c>
      <c r="C2196" s="1" t="s">
        <v>25</v>
      </c>
      <c r="N2196" s="5">
        <v>44763.0</v>
      </c>
      <c r="Q2196" s="1" t="s">
        <v>55</v>
      </c>
    </row>
    <row r="2197">
      <c r="A2197" s="1">
        <v>2196.0</v>
      </c>
      <c r="B2197" s="1" t="s">
        <v>4077</v>
      </c>
      <c r="C2197" s="1" t="s">
        <v>25</v>
      </c>
      <c r="K2197" s="1">
        <v>10.0</v>
      </c>
      <c r="N2197" s="5">
        <v>45519.0</v>
      </c>
      <c r="Q2197" s="1" t="s">
        <v>4078</v>
      </c>
    </row>
    <row r="2198">
      <c r="A2198" s="1">
        <v>2197.0</v>
      </c>
      <c r="B2198" s="1" t="s">
        <v>4079</v>
      </c>
      <c r="C2198" s="1" t="s">
        <v>25</v>
      </c>
      <c r="K2198" s="1">
        <v>60.0</v>
      </c>
      <c r="N2198" s="5">
        <v>44152.0</v>
      </c>
      <c r="Q2198" s="1" t="s">
        <v>1726</v>
      </c>
    </row>
    <row r="2199">
      <c r="A2199" s="1">
        <v>2198.0</v>
      </c>
      <c r="B2199" s="1" t="s">
        <v>4080</v>
      </c>
      <c r="C2199" s="1" t="s">
        <v>25</v>
      </c>
      <c r="N2199" s="5">
        <v>44049.0</v>
      </c>
      <c r="Q2199" s="1" t="s">
        <v>55</v>
      </c>
    </row>
    <row r="2200">
      <c r="A2200" s="1">
        <v>2199.0</v>
      </c>
      <c r="B2200" s="1" t="s">
        <v>4081</v>
      </c>
      <c r="C2200" s="1" t="s">
        <v>25</v>
      </c>
      <c r="N2200" s="5">
        <v>44760.0</v>
      </c>
      <c r="Q2200" s="1" t="s">
        <v>55</v>
      </c>
    </row>
    <row r="2201">
      <c r="A2201" s="1">
        <v>2200.0</v>
      </c>
      <c r="B2201" s="1" t="s">
        <v>4082</v>
      </c>
      <c r="C2201" s="1" t="s">
        <v>25</v>
      </c>
      <c r="K2201" s="1">
        <v>30.0</v>
      </c>
      <c r="N2201" s="5">
        <v>44739.0</v>
      </c>
      <c r="Q2201" s="1" t="s">
        <v>55</v>
      </c>
    </row>
    <row r="2202">
      <c r="A2202" s="1">
        <v>2201.0</v>
      </c>
      <c r="B2202" s="1" t="s">
        <v>4083</v>
      </c>
      <c r="C2202" s="1" t="s">
        <v>25</v>
      </c>
      <c r="N2202" s="5">
        <v>44557.0</v>
      </c>
      <c r="Q2202" s="1" t="s">
        <v>125</v>
      </c>
    </row>
    <row r="2203">
      <c r="A2203" s="1">
        <v>2202.0</v>
      </c>
      <c r="B2203" s="1" t="s">
        <v>4084</v>
      </c>
      <c r="C2203" s="1" t="s">
        <v>25</v>
      </c>
      <c r="K2203" s="1">
        <v>300.0</v>
      </c>
      <c r="N2203" s="5">
        <v>43949.0</v>
      </c>
      <c r="Q2203" s="1" t="s">
        <v>4085</v>
      </c>
    </row>
    <row r="2204">
      <c r="A2204" s="1">
        <v>2203.0</v>
      </c>
      <c r="B2204" s="1" t="s">
        <v>4086</v>
      </c>
      <c r="C2204" s="1" t="s">
        <v>25</v>
      </c>
      <c r="K2204" s="1">
        <v>70.0</v>
      </c>
      <c r="N2204" s="5">
        <v>44125.0</v>
      </c>
      <c r="Q2204" s="1" t="s">
        <v>4087</v>
      </c>
    </row>
    <row r="2205">
      <c r="A2205" s="1">
        <v>2204.0</v>
      </c>
      <c r="B2205" s="1" t="s">
        <v>4088</v>
      </c>
      <c r="C2205" s="1" t="s">
        <v>25</v>
      </c>
      <c r="K2205" s="1">
        <v>150.0</v>
      </c>
      <c r="N2205" s="5">
        <v>44070.0</v>
      </c>
      <c r="Q2205" s="1" t="s">
        <v>4089</v>
      </c>
    </row>
    <row r="2206">
      <c r="A2206" s="1">
        <v>2205.0</v>
      </c>
      <c r="B2206" s="1" t="s">
        <v>4090</v>
      </c>
      <c r="C2206" s="1" t="s">
        <v>25</v>
      </c>
      <c r="K2206" s="1">
        <v>30.0</v>
      </c>
      <c r="N2206" s="5">
        <v>44788.0</v>
      </c>
      <c r="Q2206" s="1" t="s">
        <v>1611</v>
      </c>
    </row>
    <row r="2207">
      <c r="A2207" s="1">
        <v>2206.0</v>
      </c>
      <c r="B2207" s="1" t="s">
        <v>4091</v>
      </c>
      <c r="C2207" s="1" t="s">
        <v>25</v>
      </c>
      <c r="K2207" s="1">
        <v>90.0</v>
      </c>
      <c r="N2207" s="5">
        <v>44348.0</v>
      </c>
      <c r="Q2207" s="1" t="s">
        <v>55</v>
      </c>
    </row>
    <row r="2208">
      <c r="A2208" s="1">
        <v>2207.0</v>
      </c>
      <c r="B2208" s="1" t="s">
        <v>4092</v>
      </c>
      <c r="C2208" s="1" t="s">
        <v>25</v>
      </c>
      <c r="K2208" s="1">
        <v>10.0</v>
      </c>
      <c r="N2208" s="5">
        <v>45201.0</v>
      </c>
      <c r="Q2208" s="1" t="s">
        <v>55</v>
      </c>
    </row>
    <row r="2209">
      <c r="A2209" s="1">
        <v>2208.0</v>
      </c>
      <c r="B2209" s="1" t="s">
        <v>4093</v>
      </c>
      <c r="C2209" s="1" t="s">
        <v>25</v>
      </c>
      <c r="K2209" s="1">
        <v>30.0</v>
      </c>
      <c r="N2209" s="5">
        <v>45865.0</v>
      </c>
      <c r="Q2209" s="1" t="s">
        <v>4094</v>
      </c>
    </row>
    <row r="2210">
      <c r="A2210" s="1">
        <v>2209.0</v>
      </c>
      <c r="B2210" s="1" t="s">
        <v>4095</v>
      </c>
      <c r="C2210" s="1" t="s">
        <v>25</v>
      </c>
      <c r="K2210" s="1">
        <v>10.0</v>
      </c>
      <c r="N2210" s="5">
        <v>45588.0</v>
      </c>
      <c r="Q2210" s="1" t="s">
        <v>4096</v>
      </c>
    </row>
    <row r="2211">
      <c r="A2211" s="1">
        <v>2210.0</v>
      </c>
      <c r="B2211" s="1" t="s">
        <v>4097</v>
      </c>
      <c r="C2211" s="1" t="s">
        <v>25</v>
      </c>
      <c r="K2211" s="1">
        <v>10.0</v>
      </c>
      <c r="N2211" s="5">
        <v>44580.0</v>
      </c>
      <c r="Q2211" s="1" t="s">
        <v>4098</v>
      </c>
    </row>
    <row r="2212">
      <c r="A2212" s="1">
        <v>2211.0</v>
      </c>
      <c r="B2212" s="1" t="s">
        <v>4099</v>
      </c>
      <c r="C2212" s="1" t="s">
        <v>25</v>
      </c>
      <c r="K2212" s="1">
        <v>100.0</v>
      </c>
      <c r="N2212" s="5">
        <v>45735.0</v>
      </c>
      <c r="Q2212" s="1" t="s">
        <v>4100</v>
      </c>
    </row>
    <row r="2213">
      <c r="A2213" s="1">
        <v>2212.0</v>
      </c>
      <c r="B2213" s="1" t="s">
        <v>4101</v>
      </c>
      <c r="C2213" s="1" t="s">
        <v>25</v>
      </c>
      <c r="N2213" s="5">
        <v>45383.0</v>
      </c>
      <c r="Q2213" s="1" t="s">
        <v>4102</v>
      </c>
    </row>
    <row r="2214">
      <c r="A2214" s="1">
        <v>2213.0</v>
      </c>
      <c r="B2214" s="1" t="s">
        <v>4103</v>
      </c>
      <c r="C2214" s="1" t="s">
        <v>25</v>
      </c>
      <c r="K2214" s="1">
        <v>300.0</v>
      </c>
      <c r="N2214" s="5">
        <v>44273.0</v>
      </c>
      <c r="Q2214" s="1" t="s">
        <v>4104</v>
      </c>
    </row>
    <row r="2215">
      <c r="A2215" s="1">
        <v>2214.0</v>
      </c>
      <c r="B2215" s="1" t="s">
        <v>4105</v>
      </c>
      <c r="C2215" s="1" t="s">
        <v>25</v>
      </c>
      <c r="N2215" s="5">
        <v>45702.0</v>
      </c>
      <c r="Q2215" s="1" t="s">
        <v>4106</v>
      </c>
    </row>
    <row r="2216">
      <c r="A2216" s="1">
        <v>2215.0</v>
      </c>
      <c r="B2216" s="1" t="s">
        <v>4107</v>
      </c>
      <c r="C2216" s="1" t="s">
        <v>25</v>
      </c>
      <c r="K2216" s="1">
        <v>200.0</v>
      </c>
      <c r="N2216" s="5">
        <v>44726.0</v>
      </c>
      <c r="Q2216" s="1" t="s">
        <v>4108</v>
      </c>
    </row>
    <row r="2217">
      <c r="A2217" s="1">
        <v>2216.0</v>
      </c>
      <c r="B2217" s="1" t="s">
        <v>4109</v>
      </c>
      <c r="C2217" s="1" t="s">
        <v>25</v>
      </c>
      <c r="K2217" s="1">
        <v>80.0</v>
      </c>
      <c r="N2217" s="5">
        <v>45361.0</v>
      </c>
      <c r="Q2217" s="1" t="s">
        <v>4110</v>
      </c>
    </row>
    <row r="2218">
      <c r="A2218" s="1">
        <v>2217.0</v>
      </c>
      <c r="B2218" s="1" t="s">
        <v>4111</v>
      </c>
      <c r="C2218" s="1" t="s">
        <v>25</v>
      </c>
      <c r="K2218" s="1">
        <v>100.0</v>
      </c>
      <c r="N2218" s="5">
        <v>44399.0</v>
      </c>
      <c r="Q2218" s="1" t="s">
        <v>1462</v>
      </c>
    </row>
    <row r="2219">
      <c r="A2219" s="1">
        <v>2218.0</v>
      </c>
      <c r="B2219" s="1" t="s">
        <v>4112</v>
      </c>
      <c r="C2219" s="1" t="s">
        <v>25</v>
      </c>
      <c r="K2219" s="1">
        <v>60.0</v>
      </c>
      <c r="N2219" s="5">
        <v>45651.0</v>
      </c>
      <c r="Q2219" s="1" t="s">
        <v>1738</v>
      </c>
    </row>
    <row r="2220">
      <c r="A2220" s="1">
        <v>2219.0</v>
      </c>
      <c r="B2220" s="1" t="s">
        <v>4113</v>
      </c>
      <c r="C2220" s="1" t="s">
        <v>25</v>
      </c>
      <c r="N2220" s="5">
        <v>44693.0</v>
      </c>
      <c r="Q2220" s="1" t="s">
        <v>55</v>
      </c>
    </row>
    <row r="2221">
      <c r="A2221" s="1">
        <v>2220.0</v>
      </c>
      <c r="B2221" s="1" t="s">
        <v>4114</v>
      </c>
      <c r="C2221" s="1" t="s">
        <v>25</v>
      </c>
      <c r="N2221" s="5">
        <v>44823.0</v>
      </c>
      <c r="Q2221" s="1" t="s">
        <v>55</v>
      </c>
    </row>
    <row r="2222">
      <c r="A2222" s="1">
        <v>2221.0</v>
      </c>
      <c r="B2222" s="1" t="s">
        <v>4115</v>
      </c>
      <c r="C2222" s="1" t="s">
        <v>25</v>
      </c>
      <c r="N2222" s="5">
        <v>44226.0</v>
      </c>
      <c r="Q2222" s="1" t="s">
        <v>55</v>
      </c>
    </row>
    <row r="2223">
      <c r="A2223" s="1">
        <v>2222.0</v>
      </c>
      <c r="B2223" s="1" t="s">
        <v>4116</v>
      </c>
      <c r="C2223" s="1" t="s">
        <v>25</v>
      </c>
      <c r="K2223" s="1">
        <v>20.0</v>
      </c>
      <c r="N2223" s="5">
        <v>43852.0</v>
      </c>
      <c r="Q2223" s="1" t="s">
        <v>4117</v>
      </c>
    </row>
    <row r="2224">
      <c r="A2224" s="1">
        <v>2223.0</v>
      </c>
      <c r="B2224" s="1" t="s">
        <v>4118</v>
      </c>
      <c r="C2224" s="1" t="s">
        <v>25</v>
      </c>
      <c r="K2224" s="1">
        <v>150.0</v>
      </c>
      <c r="N2224" s="5">
        <v>44092.0</v>
      </c>
      <c r="Q2224" s="1" t="s">
        <v>4119</v>
      </c>
    </row>
    <row r="2225">
      <c r="A2225" s="1">
        <v>2224.0</v>
      </c>
      <c r="B2225" s="1" t="s">
        <v>4120</v>
      </c>
      <c r="C2225" s="1" t="s">
        <v>25</v>
      </c>
      <c r="N2225" s="5">
        <v>44733.0</v>
      </c>
      <c r="Q2225" s="1" t="s">
        <v>55</v>
      </c>
    </row>
    <row r="2226">
      <c r="A2226" s="1">
        <v>2225.0</v>
      </c>
      <c r="B2226" s="1" t="s">
        <v>4121</v>
      </c>
      <c r="C2226" s="1" t="s">
        <v>25</v>
      </c>
      <c r="K2226" s="1">
        <v>100.0</v>
      </c>
      <c r="N2226" s="5">
        <v>45753.0</v>
      </c>
      <c r="Q2226" s="1" t="s">
        <v>4122</v>
      </c>
    </row>
    <row r="2227">
      <c r="A2227" s="1">
        <v>2226.0</v>
      </c>
      <c r="B2227" s="1" t="s">
        <v>4123</v>
      </c>
      <c r="C2227" s="1" t="s">
        <v>25</v>
      </c>
      <c r="K2227" s="1">
        <v>50.0</v>
      </c>
      <c r="N2227" s="5">
        <v>44490.0</v>
      </c>
      <c r="Q2227" s="1" t="s">
        <v>55</v>
      </c>
    </row>
    <row r="2228">
      <c r="A2228" s="1">
        <v>2227.0</v>
      </c>
      <c r="B2228" s="1" t="s">
        <v>4124</v>
      </c>
      <c r="C2228" s="1" t="s">
        <v>25</v>
      </c>
      <c r="K2228" s="1">
        <v>150.0</v>
      </c>
      <c r="N2228" s="5">
        <v>43842.0</v>
      </c>
      <c r="Q2228" s="1" t="s">
        <v>4125</v>
      </c>
    </row>
    <row r="2229">
      <c r="A2229" s="1">
        <v>2228.0</v>
      </c>
      <c r="B2229" s="1" t="s">
        <v>4126</v>
      </c>
      <c r="C2229" s="1" t="s">
        <v>25</v>
      </c>
      <c r="N2229" s="5">
        <v>44311.0</v>
      </c>
      <c r="Q2229" s="1" t="s">
        <v>55</v>
      </c>
    </row>
    <row r="2230">
      <c r="A2230" s="1">
        <v>2229.0</v>
      </c>
      <c r="B2230" s="1" t="s">
        <v>4127</v>
      </c>
      <c r="C2230" s="1" t="s">
        <v>25</v>
      </c>
      <c r="N2230" s="5">
        <v>44283.0</v>
      </c>
      <c r="Q2230" s="1" t="s">
        <v>55</v>
      </c>
    </row>
    <row r="2231">
      <c r="A2231" s="1">
        <v>2230.0</v>
      </c>
      <c r="B2231" s="1" t="s">
        <v>4128</v>
      </c>
      <c r="C2231" s="1" t="s">
        <v>25</v>
      </c>
      <c r="K2231" s="1">
        <v>10.0</v>
      </c>
      <c r="N2231" s="5">
        <v>45200.0</v>
      </c>
      <c r="Q2231" s="1" t="s">
        <v>55</v>
      </c>
    </row>
    <row r="2232">
      <c r="A2232" s="1">
        <v>2231.0</v>
      </c>
      <c r="B2232" s="1" t="s">
        <v>4129</v>
      </c>
      <c r="C2232" s="1" t="s">
        <v>25</v>
      </c>
      <c r="K2232" s="1">
        <v>20.0</v>
      </c>
      <c r="N2232" s="5">
        <v>45666.0</v>
      </c>
      <c r="Q2232" s="1" t="s">
        <v>4130</v>
      </c>
    </row>
    <row r="2233">
      <c r="A2233" s="1">
        <v>2232.0</v>
      </c>
      <c r="B2233" s="1" t="s">
        <v>4131</v>
      </c>
      <c r="C2233" s="1" t="s">
        <v>25</v>
      </c>
      <c r="K2233" s="1">
        <v>20.0</v>
      </c>
      <c r="N2233" s="5">
        <v>44157.0</v>
      </c>
      <c r="Q2233" s="1" t="s">
        <v>569</v>
      </c>
    </row>
    <row r="2234">
      <c r="A2234" s="1">
        <v>2233.0</v>
      </c>
      <c r="B2234" s="1" t="s">
        <v>4132</v>
      </c>
      <c r="C2234" s="1" t="s">
        <v>25</v>
      </c>
      <c r="K2234" s="1">
        <v>10.0</v>
      </c>
      <c r="N2234" s="5">
        <v>44364.0</v>
      </c>
      <c r="Q2234" s="1" t="s">
        <v>55</v>
      </c>
    </row>
    <row r="2235">
      <c r="A2235" s="1">
        <v>2234.0</v>
      </c>
      <c r="B2235" s="1" t="s">
        <v>4133</v>
      </c>
      <c r="C2235" s="1" t="s">
        <v>25</v>
      </c>
      <c r="K2235" s="1">
        <v>150.0</v>
      </c>
      <c r="N2235" s="5">
        <v>44323.0</v>
      </c>
      <c r="Q2235" s="1" t="s">
        <v>4134</v>
      </c>
    </row>
    <row r="2236">
      <c r="A2236" s="1">
        <v>2235.0</v>
      </c>
      <c r="B2236" s="1" t="s">
        <v>4135</v>
      </c>
      <c r="C2236" s="1" t="s">
        <v>25</v>
      </c>
      <c r="K2236" s="1">
        <v>100.0</v>
      </c>
      <c r="N2236" s="5">
        <v>45156.0</v>
      </c>
      <c r="Q2236" s="1" t="s">
        <v>4136</v>
      </c>
    </row>
    <row r="2237">
      <c r="A2237" s="1">
        <v>2236.0</v>
      </c>
      <c r="B2237" s="1" t="s">
        <v>4137</v>
      </c>
      <c r="C2237" s="1" t="s">
        <v>25</v>
      </c>
      <c r="K2237" s="1">
        <v>90.0</v>
      </c>
      <c r="N2237" s="5">
        <v>43940.0</v>
      </c>
      <c r="Q2237" s="1" t="s">
        <v>4138</v>
      </c>
    </row>
    <row r="2238">
      <c r="A2238" s="1">
        <v>2237.0</v>
      </c>
      <c r="B2238" s="1" t="s">
        <v>4139</v>
      </c>
      <c r="C2238" s="1" t="s">
        <v>25</v>
      </c>
      <c r="N2238" s="5">
        <v>44929.0</v>
      </c>
      <c r="Q2238" s="1" t="s">
        <v>55</v>
      </c>
    </row>
    <row r="2239">
      <c r="A2239" s="1">
        <v>2238.0</v>
      </c>
      <c r="B2239" s="1" t="s">
        <v>4140</v>
      </c>
      <c r="C2239" s="1" t="s">
        <v>25</v>
      </c>
      <c r="K2239" s="1">
        <v>80.0</v>
      </c>
      <c r="N2239" s="5">
        <v>43931.0</v>
      </c>
      <c r="Q2239" s="1" t="s">
        <v>4141</v>
      </c>
    </row>
    <row r="2240">
      <c r="A2240" s="1">
        <v>2239.0</v>
      </c>
      <c r="B2240" s="1" t="s">
        <v>4142</v>
      </c>
      <c r="C2240" s="1" t="s">
        <v>25</v>
      </c>
      <c r="K2240" s="1">
        <v>80.0</v>
      </c>
      <c r="N2240" s="5">
        <v>44238.0</v>
      </c>
      <c r="Q2240" s="1" t="s">
        <v>4143</v>
      </c>
    </row>
    <row r="2241">
      <c r="A2241" s="1">
        <v>2240.0</v>
      </c>
      <c r="B2241" s="1" t="s">
        <v>4144</v>
      </c>
      <c r="C2241" s="1" t="s">
        <v>25</v>
      </c>
      <c r="N2241" s="5">
        <v>44900.0</v>
      </c>
      <c r="Q2241" s="1" t="s">
        <v>55</v>
      </c>
    </row>
    <row r="2242">
      <c r="A2242" s="1">
        <v>2241.0</v>
      </c>
      <c r="B2242" s="1" t="s">
        <v>4145</v>
      </c>
      <c r="C2242" s="1" t="s">
        <v>25</v>
      </c>
      <c r="N2242" s="5">
        <v>43988.0</v>
      </c>
      <c r="Q2242" s="1" t="s">
        <v>55</v>
      </c>
    </row>
    <row r="2243">
      <c r="A2243" s="1">
        <v>2242.0</v>
      </c>
      <c r="B2243" s="1" t="s">
        <v>4146</v>
      </c>
      <c r="C2243" s="1" t="s">
        <v>25</v>
      </c>
      <c r="K2243" s="1">
        <v>150.0</v>
      </c>
      <c r="N2243" s="5">
        <v>43848.0</v>
      </c>
      <c r="Q2243" s="1" t="s">
        <v>4147</v>
      </c>
    </row>
    <row r="2244">
      <c r="A2244" s="1">
        <v>2243.0</v>
      </c>
      <c r="B2244" s="1" t="s">
        <v>4148</v>
      </c>
      <c r="C2244" s="1" t="s">
        <v>25</v>
      </c>
      <c r="K2244" s="1">
        <v>60.0</v>
      </c>
      <c r="N2244" s="5">
        <v>44163.0</v>
      </c>
      <c r="Q2244" s="1" t="s">
        <v>4149</v>
      </c>
    </row>
    <row r="2245">
      <c r="A2245" s="1">
        <v>2244.0</v>
      </c>
      <c r="B2245" s="1" t="s">
        <v>4150</v>
      </c>
      <c r="C2245" s="1" t="s">
        <v>25</v>
      </c>
      <c r="K2245" s="1">
        <v>50.0</v>
      </c>
      <c r="N2245" s="5">
        <v>44058.0</v>
      </c>
      <c r="Q2245" s="1" t="s">
        <v>2810</v>
      </c>
    </row>
    <row r="2246">
      <c r="A2246" s="1">
        <v>2245.0</v>
      </c>
      <c r="B2246" s="1" t="s">
        <v>4151</v>
      </c>
      <c r="C2246" s="1" t="s">
        <v>25</v>
      </c>
      <c r="K2246" s="1">
        <v>40.0</v>
      </c>
      <c r="N2246" s="5">
        <v>44350.0</v>
      </c>
      <c r="Q2246" s="1" t="s">
        <v>4152</v>
      </c>
    </row>
    <row r="2247">
      <c r="A2247" s="1">
        <v>2246.0</v>
      </c>
      <c r="B2247" s="1" t="s">
        <v>4153</v>
      </c>
      <c r="C2247" s="1" t="s">
        <v>25</v>
      </c>
      <c r="K2247" s="1">
        <v>20.0</v>
      </c>
      <c r="N2247" s="5">
        <v>44252.0</v>
      </c>
      <c r="Q2247" s="1" t="s">
        <v>125</v>
      </c>
    </row>
    <row r="2248">
      <c r="A2248" s="1">
        <v>2247.0</v>
      </c>
      <c r="B2248" s="1" t="s">
        <v>4154</v>
      </c>
      <c r="C2248" s="1" t="s">
        <v>25</v>
      </c>
      <c r="K2248" s="1">
        <v>10.0</v>
      </c>
      <c r="N2248" s="5">
        <v>44012.0</v>
      </c>
      <c r="Q2248" s="1" t="s">
        <v>55</v>
      </c>
    </row>
    <row r="2249">
      <c r="A2249" s="1">
        <v>2248.0</v>
      </c>
      <c r="B2249" s="1" t="s">
        <v>4155</v>
      </c>
      <c r="C2249" s="1" t="s">
        <v>25</v>
      </c>
      <c r="K2249" s="1">
        <v>60.0</v>
      </c>
      <c r="N2249" s="5">
        <v>45542.0</v>
      </c>
      <c r="Q2249" s="1" t="s">
        <v>4156</v>
      </c>
    </row>
    <row r="2250">
      <c r="A2250" s="1">
        <v>2249.0</v>
      </c>
      <c r="B2250" s="1" t="s">
        <v>4157</v>
      </c>
      <c r="C2250" s="1" t="s">
        <v>25</v>
      </c>
      <c r="K2250" s="1">
        <v>20.0</v>
      </c>
      <c r="N2250" s="5">
        <v>44147.0</v>
      </c>
      <c r="Q2250" s="1" t="s">
        <v>3137</v>
      </c>
    </row>
    <row r="2251">
      <c r="A2251" s="1">
        <v>2250.0</v>
      </c>
      <c r="B2251" s="1" t="s">
        <v>4158</v>
      </c>
      <c r="C2251" s="1" t="s">
        <v>25</v>
      </c>
      <c r="K2251" s="1">
        <v>100.0</v>
      </c>
      <c r="N2251" s="5">
        <v>44311.0</v>
      </c>
      <c r="Q2251" s="1" t="s">
        <v>4159</v>
      </c>
    </row>
    <row r="2252">
      <c r="A2252" s="1">
        <v>2251.0</v>
      </c>
      <c r="B2252" s="1" t="s">
        <v>4160</v>
      </c>
      <c r="C2252" s="1" t="s">
        <v>25</v>
      </c>
      <c r="K2252" s="1">
        <v>20.0</v>
      </c>
      <c r="N2252" s="5">
        <v>43905.0</v>
      </c>
      <c r="Q2252" s="1" t="s">
        <v>55</v>
      </c>
    </row>
    <row r="2253">
      <c r="A2253" s="1">
        <v>2252.0</v>
      </c>
      <c r="B2253" s="1" t="s">
        <v>4161</v>
      </c>
      <c r="C2253" s="1" t="s">
        <v>25</v>
      </c>
      <c r="K2253" s="1">
        <v>150.0</v>
      </c>
      <c r="N2253" s="5">
        <v>44584.0</v>
      </c>
      <c r="Q2253" s="1" t="s">
        <v>4162</v>
      </c>
    </row>
    <row r="2254">
      <c r="A2254" s="1">
        <v>2253.0</v>
      </c>
      <c r="B2254" s="1" t="s">
        <v>4163</v>
      </c>
      <c r="C2254" s="1" t="s">
        <v>25</v>
      </c>
      <c r="K2254" s="1">
        <v>40.0</v>
      </c>
      <c r="N2254" s="5">
        <v>43917.0</v>
      </c>
      <c r="Q2254" s="1" t="s">
        <v>125</v>
      </c>
    </row>
    <row r="2255">
      <c r="A2255" s="1">
        <v>2254.0</v>
      </c>
      <c r="B2255" s="1" t="s">
        <v>4164</v>
      </c>
      <c r="C2255" s="1" t="s">
        <v>25</v>
      </c>
      <c r="N2255" s="5">
        <v>43878.0</v>
      </c>
      <c r="Q2255" s="1" t="s">
        <v>55</v>
      </c>
    </row>
    <row r="2256">
      <c r="A2256" s="1">
        <v>2255.0</v>
      </c>
      <c r="B2256" s="1" t="s">
        <v>205</v>
      </c>
      <c r="C2256" s="1" t="s">
        <v>25</v>
      </c>
      <c r="K2256" s="1">
        <v>10.0</v>
      </c>
      <c r="N2256" s="5">
        <v>46114.0</v>
      </c>
      <c r="Q2256" s="1" t="s">
        <v>207</v>
      </c>
    </row>
    <row r="2257">
      <c r="A2257" s="1">
        <v>2256.0</v>
      </c>
      <c r="B2257" s="1" t="s">
        <v>4165</v>
      </c>
      <c r="C2257" s="1" t="s">
        <v>25</v>
      </c>
      <c r="K2257" s="1">
        <v>100.0</v>
      </c>
      <c r="N2257" s="5">
        <v>45716.0</v>
      </c>
      <c r="Q2257" s="1" t="s">
        <v>1702</v>
      </c>
    </row>
    <row r="2258">
      <c r="A2258" s="1">
        <v>2257.0</v>
      </c>
      <c r="B2258" s="1" t="s">
        <v>4166</v>
      </c>
      <c r="C2258" s="1" t="s">
        <v>25</v>
      </c>
      <c r="N2258" s="5">
        <v>44523.0</v>
      </c>
      <c r="Q2258" s="1" t="s">
        <v>55</v>
      </c>
    </row>
    <row r="2259">
      <c r="A2259" s="1">
        <v>2258.0</v>
      </c>
      <c r="B2259" s="1" t="s">
        <v>4167</v>
      </c>
      <c r="C2259" s="1" t="s">
        <v>25</v>
      </c>
      <c r="N2259" s="5">
        <v>45507.0</v>
      </c>
      <c r="Q2259" s="1" t="s">
        <v>4168</v>
      </c>
    </row>
    <row r="2260">
      <c r="A2260" s="1">
        <v>2259.0</v>
      </c>
      <c r="B2260" s="1" t="s">
        <v>4169</v>
      </c>
      <c r="C2260" s="1" t="s">
        <v>25</v>
      </c>
      <c r="K2260" s="1">
        <v>90.0</v>
      </c>
      <c r="N2260" s="5">
        <v>43973.0</v>
      </c>
      <c r="Q2260" s="1" t="s">
        <v>1856</v>
      </c>
    </row>
    <row r="2261">
      <c r="A2261" s="1">
        <v>2260.0</v>
      </c>
      <c r="B2261" s="1" t="s">
        <v>4170</v>
      </c>
      <c r="C2261" s="1" t="s">
        <v>25</v>
      </c>
      <c r="K2261" s="1">
        <v>30.0</v>
      </c>
      <c r="N2261" s="5">
        <v>44320.0</v>
      </c>
      <c r="Q2261" s="1" t="s">
        <v>55</v>
      </c>
    </row>
    <row r="2262">
      <c r="A2262" s="1">
        <v>2261.0</v>
      </c>
      <c r="B2262" s="1" t="s">
        <v>4171</v>
      </c>
      <c r="C2262" s="1" t="s">
        <v>25</v>
      </c>
      <c r="K2262" s="1">
        <v>10.0</v>
      </c>
      <c r="N2262" s="5">
        <v>45186.0</v>
      </c>
      <c r="Q2262" s="1" t="s">
        <v>55</v>
      </c>
    </row>
    <row r="2263">
      <c r="A2263" s="1">
        <v>2262.0</v>
      </c>
      <c r="B2263" s="1" t="s">
        <v>4172</v>
      </c>
      <c r="C2263" s="1" t="s">
        <v>25</v>
      </c>
      <c r="K2263" s="1">
        <v>30.0</v>
      </c>
      <c r="N2263" s="5">
        <v>43858.0</v>
      </c>
      <c r="Q2263" s="1" t="s">
        <v>4173</v>
      </c>
    </row>
    <row r="2264">
      <c r="A2264" s="1">
        <v>2263.0</v>
      </c>
      <c r="B2264" s="1" t="s">
        <v>4174</v>
      </c>
      <c r="C2264" s="1" t="s">
        <v>25</v>
      </c>
      <c r="K2264" s="1">
        <v>200.0</v>
      </c>
      <c r="N2264" s="5">
        <v>44565.0</v>
      </c>
      <c r="Q2264" s="1" t="s">
        <v>4175</v>
      </c>
    </row>
    <row r="2265">
      <c r="A2265" s="1">
        <v>2264.0</v>
      </c>
      <c r="B2265" s="1" t="s">
        <v>4176</v>
      </c>
      <c r="C2265" s="1" t="s">
        <v>25</v>
      </c>
      <c r="K2265" s="1">
        <v>60.0</v>
      </c>
      <c r="N2265" s="5">
        <v>45642.0</v>
      </c>
      <c r="Q2265" s="1" t="s">
        <v>4177</v>
      </c>
    </row>
    <row r="2266">
      <c r="A2266" s="1">
        <v>2265.0</v>
      </c>
      <c r="B2266" s="1" t="s">
        <v>4178</v>
      </c>
      <c r="C2266" s="1" t="s">
        <v>25</v>
      </c>
      <c r="N2266" s="5">
        <v>44041.0</v>
      </c>
      <c r="Q2266" s="1" t="s">
        <v>55</v>
      </c>
    </row>
    <row r="2267">
      <c r="A2267" s="1">
        <v>2266.0</v>
      </c>
      <c r="B2267" s="1" t="s">
        <v>209</v>
      </c>
      <c r="C2267" s="1" t="s">
        <v>25</v>
      </c>
      <c r="K2267" s="1">
        <v>20.0</v>
      </c>
      <c r="N2267" s="5">
        <v>43954.0</v>
      </c>
      <c r="Q2267" s="1" t="s">
        <v>212</v>
      </c>
    </row>
    <row r="2268">
      <c r="A2268" s="1">
        <v>2267.0</v>
      </c>
      <c r="B2268" s="1" t="s">
        <v>4179</v>
      </c>
      <c r="C2268" s="1" t="s">
        <v>25</v>
      </c>
      <c r="K2268" s="1">
        <v>40.0</v>
      </c>
      <c r="N2268" s="5">
        <v>45021.0</v>
      </c>
      <c r="Q2268" s="1" t="s">
        <v>87</v>
      </c>
    </row>
    <row r="2269">
      <c r="A2269" s="1">
        <v>2268.0</v>
      </c>
      <c r="B2269" s="1" t="s">
        <v>4180</v>
      </c>
      <c r="C2269" s="1" t="s">
        <v>25</v>
      </c>
      <c r="K2269" s="1">
        <v>10.0</v>
      </c>
      <c r="N2269" s="5">
        <v>43842.0</v>
      </c>
      <c r="Q2269" s="1" t="s">
        <v>55</v>
      </c>
    </row>
    <row r="2270">
      <c r="A2270" s="1">
        <v>2269.0</v>
      </c>
      <c r="B2270" s="1" t="s">
        <v>4181</v>
      </c>
      <c r="C2270" s="1" t="s">
        <v>25</v>
      </c>
      <c r="K2270" s="1">
        <v>10.0</v>
      </c>
      <c r="N2270" s="5">
        <v>45188.0</v>
      </c>
      <c r="Q2270" s="1" t="s">
        <v>55</v>
      </c>
    </row>
    <row r="2271">
      <c r="A2271" s="1">
        <v>2270.0</v>
      </c>
      <c r="B2271" s="1" t="s">
        <v>4182</v>
      </c>
      <c r="C2271" s="1" t="s">
        <v>25</v>
      </c>
      <c r="K2271" s="1">
        <v>250.0</v>
      </c>
      <c r="N2271" s="5">
        <v>44580.0</v>
      </c>
      <c r="Q2271" s="1" t="s">
        <v>4183</v>
      </c>
    </row>
    <row r="2272">
      <c r="A2272" s="1">
        <v>2271.0</v>
      </c>
      <c r="B2272" s="1" t="s">
        <v>214</v>
      </c>
      <c r="C2272" s="1" t="s">
        <v>25</v>
      </c>
      <c r="N2272" s="5">
        <v>44350.0</v>
      </c>
      <c r="Q2272" s="1" t="s">
        <v>217</v>
      </c>
    </row>
    <row r="2273">
      <c r="A2273" s="1">
        <v>2272.0</v>
      </c>
      <c r="B2273" s="1" t="s">
        <v>4184</v>
      </c>
      <c r="C2273" s="1" t="s">
        <v>25</v>
      </c>
      <c r="N2273" s="5">
        <v>44150.0</v>
      </c>
      <c r="Q2273" s="1" t="s">
        <v>55</v>
      </c>
    </row>
    <row r="2274">
      <c r="A2274" s="1">
        <v>2273.0</v>
      </c>
      <c r="B2274" s="1" t="s">
        <v>4185</v>
      </c>
      <c r="C2274" s="1" t="s">
        <v>25</v>
      </c>
      <c r="K2274" s="1">
        <v>50.0</v>
      </c>
      <c r="N2274" s="5">
        <v>45644.0</v>
      </c>
      <c r="Q2274" s="1" t="s">
        <v>4186</v>
      </c>
    </row>
    <row r="2275">
      <c r="A2275" s="1">
        <v>2274.0</v>
      </c>
      <c r="B2275" s="1" t="s">
        <v>4187</v>
      </c>
      <c r="C2275" s="1" t="s">
        <v>25</v>
      </c>
      <c r="K2275" s="1">
        <v>100.0</v>
      </c>
      <c r="N2275" s="5">
        <v>44630.0</v>
      </c>
      <c r="Q2275" s="1" t="s">
        <v>569</v>
      </c>
    </row>
    <row r="2276">
      <c r="A2276" s="1">
        <v>2275.0</v>
      </c>
      <c r="B2276" s="1" t="s">
        <v>4188</v>
      </c>
      <c r="C2276" s="1" t="s">
        <v>25</v>
      </c>
      <c r="K2276" s="1">
        <v>90.0</v>
      </c>
      <c r="N2276" s="5">
        <v>44565.0</v>
      </c>
      <c r="Q2276" s="1" t="s">
        <v>4189</v>
      </c>
    </row>
    <row r="2277">
      <c r="A2277" s="1">
        <v>2276.0</v>
      </c>
      <c r="B2277" s="1" t="s">
        <v>4190</v>
      </c>
      <c r="C2277" s="1" t="s">
        <v>25</v>
      </c>
      <c r="N2277" s="5">
        <v>44635.0</v>
      </c>
      <c r="Q2277" s="1" t="s">
        <v>55</v>
      </c>
    </row>
    <row r="2278">
      <c r="A2278" s="1">
        <v>2277.0</v>
      </c>
      <c r="B2278" s="1" t="s">
        <v>4191</v>
      </c>
      <c r="C2278" s="1" t="s">
        <v>25</v>
      </c>
      <c r="K2278" s="1">
        <v>30.0</v>
      </c>
      <c r="N2278" s="5">
        <v>43923.0</v>
      </c>
      <c r="Q2278" s="1" t="s">
        <v>55</v>
      </c>
    </row>
    <row r="2279">
      <c r="A2279" s="1">
        <v>2278.0</v>
      </c>
      <c r="B2279" s="1" t="s">
        <v>4192</v>
      </c>
      <c r="C2279" s="1" t="s">
        <v>25</v>
      </c>
      <c r="K2279" s="1">
        <v>30.0</v>
      </c>
      <c r="N2279" s="5">
        <v>44133.0</v>
      </c>
      <c r="Q2279" s="1" t="s">
        <v>4193</v>
      </c>
    </row>
    <row r="2280">
      <c r="A2280" s="1">
        <v>2279.0</v>
      </c>
      <c r="B2280" s="1" t="s">
        <v>4194</v>
      </c>
      <c r="C2280" s="1" t="s">
        <v>25</v>
      </c>
      <c r="K2280" s="1">
        <v>150.0</v>
      </c>
      <c r="N2280" s="5">
        <v>44259.0</v>
      </c>
      <c r="Q2280" s="1" t="s">
        <v>4195</v>
      </c>
    </row>
    <row r="2281">
      <c r="A2281" s="1">
        <v>2280.0</v>
      </c>
      <c r="B2281" s="1" t="s">
        <v>4196</v>
      </c>
      <c r="C2281" s="1" t="s">
        <v>25</v>
      </c>
      <c r="K2281" s="1">
        <v>40.0</v>
      </c>
      <c r="N2281" s="5">
        <v>45307.0</v>
      </c>
      <c r="Q2281" s="1" t="s">
        <v>55</v>
      </c>
    </row>
    <row r="2282">
      <c r="A2282" s="1">
        <v>2281.0</v>
      </c>
      <c r="B2282" s="1" t="s">
        <v>4197</v>
      </c>
      <c r="C2282" s="1" t="s">
        <v>25</v>
      </c>
      <c r="K2282" s="1">
        <v>350.0</v>
      </c>
      <c r="N2282" s="5">
        <v>43501.0</v>
      </c>
      <c r="Q2282" s="1" t="s">
        <v>4198</v>
      </c>
    </row>
    <row r="2283">
      <c r="A2283" s="1">
        <v>2282.0</v>
      </c>
      <c r="B2283" s="1" t="s">
        <v>4199</v>
      </c>
      <c r="C2283" s="1" t="s">
        <v>25</v>
      </c>
      <c r="K2283" s="1">
        <v>100.0</v>
      </c>
      <c r="N2283" s="5">
        <v>44079.0</v>
      </c>
      <c r="Q2283" s="1" t="s">
        <v>4200</v>
      </c>
    </row>
    <row r="2284">
      <c r="A2284" s="1">
        <v>2283.0</v>
      </c>
      <c r="B2284" s="1" t="s">
        <v>4201</v>
      </c>
      <c r="C2284" s="1" t="s">
        <v>25</v>
      </c>
      <c r="K2284" s="1">
        <v>50.0</v>
      </c>
      <c r="N2284" s="5">
        <v>44015.0</v>
      </c>
      <c r="Q2284" s="1" t="s">
        <v>569</v>
      </c>
    </row>
    <row r="2285">
      <c r="A2285" s="1">
        <v>2284.0</v>
      </c>
      <c r="B2285" s="1" t="s">
        <v>4202</v>
      </c>
      <c r="C2285" s="1" t="s">
        <v>25</v>
      </c>
      <c r="N2285" s="5">
        <v>44227.0</v>
      </c>
      <c r="Q2285" s="1" t="s">
        <v>55</v>
      </c>
    </row>
    <row r="2286">
      <c r="A2286" s="1">
        <v>2285.0</v>
      </c>
      <c r="B2286" s="1" t="s">
        <v>4203</v>
      </c>
      <c r="C2286" s="1" t="s">
        <v>25</v>
      </c>
      <c r="K2286" s="1">
        <v>60.0</v>
      </c>
      <c r="N2286" s="5">
        <v>44403.0</v>
      </c>
      <c r="Q2286" s="1" t="s">
        <v>4204</v>
      </c>
    </row>
    <row r="2287">
      <c r="A2287" s="1">
        <v>2286.0</v>
      </c>
      <c r="B2287" s="1" t="s">
        <v>4205</v>
      </c>
      <c r="C2287" s="1" t="s">
        <v>25</v>
      </c>
      <c r="K2287" s="1">
        <v>40.0</v>
      </c>
      <c r="N2287" s="5">
        <v>45690.0</v>
      </c>
      <c r="Q2287" s="1" t="s">
        <v>1936</v>
      </c>
    </row>
    <row r="2288">
      <c r="A2288" s="1">
        <v>2287.0</v>
      </c>
      <c r="B2288" s="1" t="s">
        <v>4206</v>
      </c>
      <c r="C2288" s="1" t="s">
        <v>25</v>
      </c>
      <c r="K2288" s="1">
        <v>10.0</v>
      </c>
      <c r="N2288" s="5">
        <v>44357.0</v>
      </c>
      <c r="Q2288" s="1" t="s">
        <v>4207</v>
      </c>
    </row>
    <row r="2289">
      <c r="A2289" s="1">
        <v>2288.0</v>
      </c>
      <c r="B2289" s="1" t="s">
        <v>4208</v>
      </c>
      <c r="C2289" s="1" t="s">
        <v>25</v>
      </c>
      <c r="K2289" s="1">
        <v>100.0</v>
      </c>
      <c r="N2289" s="5">
        <v>45744.0</v>
      </c>
      <c r="Q2289" s="1" t="s">
        <v>4209</v>
      </c>
    </row>
    <row r="2290">
      <c r="A2290" s="1">
        <v>2289.0</v>
      </c>
      <c r="B2290" s="1" t="s">
        <v>4210</v>
      </c>
      <c r="C2290" s="1" t="s">
        <v>25</v>
      </c>
      <c r="K2290" s="1">
        <v>200.0</v>
      </c>
      <c r="N2290" s="5">
        <v>44837.0</v>
      </c>
      <c r="Q2290" s="1" t="s">
        <v>4211</v>
      </c>
    </row>
    <row r="2291">
      <c r="A2291" s="1">
        <v>2290.0</v>
      </c>
      <c r="B2291" s="1" t="s">
        <v>4212</v>
      </c>
      <c r="C2291" s="1" t="s">
        <v>25</v>
      </c>
      <c r="N2291" s="5">
        <v>45289.0</v>
      </c>
      <c r="Q2291" s="1" t="s">
        <v>55</v>
      </c>
    </row>
    <row r="2292">
      <c r="A2292" s="1">
        <v>2291.0</v>
      </c>
      <c r="B2292" s="1" t="s">
        <v>4213</v>
      </c>
      <c r="C2292" s="1" t="s">
        <v>25</v>
      </c>
      <c r="K2292" s="1">
        <v>10.0</v>
      </c>
      <c r="N2292" s="5">
        <v>45483.0</v>
      </c>
      <c r="Q2292" s="1" t="s">
        <v>4214</v>
      </c>
    </row>
    <row r="2293">
      <c r="A2293" s="1">
        <v>2292.0</v>
      </c>
      <c r="B2293" s="1" t="s">
        <v>4215</v>
      </c>
      <c r="C2293" s="1" t="s">
        <v>25</v>
      </c>
      <c r="N2293" s="5">
        <v>44039.0</v>
      </c>
      <c r="Q2293" s="1" t="s">
        <v>1226</v>
      </c>
    </row>
    <row r="2294">
      <c r="A2294" s="1">
        <v>2293.0</v>
      </c>
      <c r="B2294" s="1" t="s">
        <v>4216</v>
      </c>
      <c r="C2294" s="1" t="s">
        <v>25</v>
      </c>
      <c r="N2294" s="5">
        <v>45535.0</v>
      </c>
      <c r="Q2294" s="1" t="s">
        <v>694</v>
      </c>
    </row>
    <row r="2295">
      <c r="A2295" s="1">
        <v>2294.0</v>
      </c>
      <c r="B2295" s="1" t="s">
        <v>4217</v>
      </c>
      <c r="C2295" s="1" t="s">
        <v>25</v>
      </c>
      <c r="N2295" s="5">
        <v>44035.0</v>
      </c>
      <c r="Q2295" s="1" t="s">
        <v>55</v>
      </c>
    </row>
    <row r="2296">
      <c r="A2296" s="1">
        <v>2295.0</v>
      </c>
      <c r="B2296" s="1" t="s">
        <v>4218</v>
      </c>
      <c r="C2296" s="1" t="s">
        <v>25</v>
      </c>
      <c r="K2296" s="1">
        <v>150.0</v>
      </c>
      <c r="N2296" s="5">
        <v>44317.0</v>
      </c>
      <c r="Q2296" s="1" t="s">
        <v>4219</v>
      </c>
    </row>
    <row r="2297">
      <c r="A2297" s="1">
        <v>2296.0</v>
      </c>
      <c r="B2297" s="1" t="s">
        <v>4220</v>
      </c>
      <c r="C2297" s="1" t="s">
        <v>25</v>
      </c>
      <c r="K2297" s="1">
        <v>10.0</v>
      </c>
      <c r="N2297" s="5">
        <v>43855.0</v>
      </c>
      <c r="Q2297" s="1" t="s">
        <v>55</v>
      </c>
    </row>
    <row r="2298">
      <c r="A2298" s="1">
        <v>2297.0</v>
      </c>
      <c r="B2298" s="1" t="s">
        <v>4221</v>
      </c>
      <c r="C2298" s="1" t="s">
        <v>25</v>
      </c>
      <c r="K2298" s="1">
        <v>60.0</v>
      </c>
      <c r="N2298" s="5">
        <v>44322.0</v>
      </c>
      <c r="Q2298" s="1" t="s">
        <v>55</v>
      </c>
    </row>
    <row r="2299">
      <c r="A2299" s="1">
        <v>2298.0</v>
      </c>
      <c r="B2299" s="1" t="s">
        <v>4222</v>
      </c>
      <c r="C2299" s="1" t="s">
        <v>25</v>
      </c>
      <c r="K2299" s="1">
        <v>30.0</v>
      </c>
      <c r="N2299" s="5">
        <v>44703.0</v>
      </c>
      <c r="Q2299" s="1" t="s">
        <v>93</v>
      </c>
    </row>
    <row r="2300">
      <c r="A2300" s="1">
        <v>2299.0</v>
      </c>
      <c r="B2300" s="1" t="s">
        <v>4223</v>
      </c>
      <c r="C2300" s="1" t="s">
        <v>25</v>
      </c>
      <c r="K2300" s="1">
        <v>150.0</v>
      </c>
      <c r="N2300" s="5">
        <v>43886.0</v>
      </c>
      <c r="Q2300" s="1" t="s">
        <v>4224</v>
      </c>
    </row>
    <row r="2301">
      <c r="A2301" s="1">
        <v>2300.0</v>
      </c>
      <c r="B2301" s="1" t="s">
        <v>4225</v>
      </c>
      <c r="C2301" s="1" t="s">
        <v>25</v>
      </c>
      <c r="K2301" s="1">
        <v>150.0</v>
      </c>
      <c r="N2301" s="5">
        <v>44536.0</v>
      </c>
      <c r="Q2301" s="1" t="s">
        <v>1791</v>
      </c>
    </row>
    <row r="2302">
      <c r="A2302" s="1">
        <v>2301.0</v>
      </c>
      <c r="B2302" s="1" t="s">
        <v>4226</v>
      </c>
      <c r="C2302" s="1" t="s">
        <v>25</v>
      </c>
      <c r="K2302" s="1">
        <v>10.0</v>
      </c>
      <c r="N2302" s="5">
        <v>45527.0</v>
      </c>
      <c r="Q2302" s="1" t="s">
        <v>1666</v>
      </c>
    </row>
    <row r="2303">
      <c r="A2303" s="1">
        <v>2302.0</v>
      </c>
      <c r="B2303" s="1" t="s">
        <v>4227</v>
      </c>
      <c r="C2303" s="1" t="s">
        <v>25</v>
      </c>
      <c r="N2303" s="5">
        <v>43899.0</v>
      </c>
      <c r="Q2303" s="1" t="s">
        <v>55</v>
      </c>
    </row>
    <row r="2304">
      <c r="A2304" s="1">
        <v>2303.0</v>
      </c>
      <c r="B2304" s="1" t="s">
        <v>4228</v>
      </c>
      <c r="C2304" s="1" t="s">
        <v>25</v>
      </c>
      <c r="K2304" s="1">
        <v>150.0</v>
      </c>
      <c r="N2304" s="5">
        <v>44260.0</v>
      </c>
      <c r="Q2304" s="1" t="s">
        <v>826</v>
      </c>
    </row>
    <row r="2305">
      <c r="A2305" s="1">
        <v>2304.0</v>
      </c>
      <c r="B2305" s="1" t="s">
        <v>4229</v>
      </c>
      <c r="C2305" s="1" t="s">
        <v>25</v>
      </c>
      <c r="K2305" s="1">
        <v>300.0</v>
      </c>
      <c r="N2305" s="5">
        <v>44027.0</v>
      </c>
      <c r="Q2305" s="1" t="s">
        <v>4230</v>
      </c>
    </row>
    <row r="2306">
      <c r="A2306" s="1">
        <v>2305.0</v>
      </c>
      <c r="B2306" s="1" t="s">
        <v>4231</v>
      </c>
      <c r="C2306" s="1" t="s">
        <v>25</v>
      </c>
      <c r="K2306" s="1">
        <v>100.0</v>
      </c>
      <c r="N2306" s="5">
        <v>44644.0</v>
      </c>
      <c r="Q2306" s="1" t="s">
        <v>1611</v>
      </c>
    </row>
    <row r="2307">
      <c r="A2307" s="1">
        <v>2306.0</v>
      </c>
      <c r="B2307" s="1" t="s">
        <v>4232</v>
      </c>
      <c r="C2307" s="1" t="s">
        <v>25</v>
      </c>
      <c r="K2307" s="1">
        <v>200.0</v>
      </c>
      <c r="N2307" s="5">
        <v>43973.0</v>
      </c>
      <c r="Q2307" s="1" t="s">
        <v>4233</v>
      </c>
    </row>
    <row r="2308">
      <c r="A2308" s="1">
        <v>2307.0</v>
      </c>
      <c r="B2308" s="1" t="s">
        <v>4234</v>
      </c>
      <c r="C2308" s="1" t="s">
        <v>25</v>
      </c>
      <c r="N2308" s="5">
        <v>43874.0</v>
      </c>
      <c r="Q2308" s="1" t="s">
        <v>55</v>
      </c>
    </row>
    <row r="2309">
      <c r="A2309" s="1">
        <v>2308.0</v>
      </c>
      <c r="B2309" s="1" t="s">
        <v>4235</v>
      </c>
      <c r="C2309" s="1" t="s">
        <v>25</v>
      </c>
      <c r="K2309" s="1">
        <v>200.0</v>
      </c>
      <c r="N2309" s="5">
        <v>43947.0</v>
      </c>
      <c r="Q2309" s="1" t="s">
        <v>4236</v>
      </c>
    </row>
    <row r="2310">
      <c r="A2310" s="1">
        <v>2309.0</v>
      </c>
      <c r="B2310" s="1" t="s">
        <v>4237</v>
      </c>
      <c r="C2310" s="1" t="s">
        <v>25</v>
      </c>
      <c r="N2310" s="5">
        <v>44833.0</v>
      </c>
      <c r="Q2310" s="1" t="s">
        <v>55</v>
      </c>
    </row>
    <row r="2311">
      <c r="A2311" s="1">
        <v>2310.0</v>
      </c>
      <c r="B2311" s="1" t="s">
        <v>4238</v>
      </c>
      <c r="C2311" s="1" t="s">
        <v>25</v>
      </c>
      <c r="K2311" s="1">
        <v>30.0</v>
      </c>
      <c r="N2311" s="5">
        <v>45497.0</v>
      </c>
      <c r="Q2311" s="1" t="s">
        <v>4239</v>
      </c>
    </row>
    <row r="2312">
      <c r="A2312" s="1">
        <v>2311.0</v>
      </c>
      <c r="B2312" s="1" t="s">
        <v>4240</v>
      </c>
      <c r="C2312" s="1" t="s">
        <v>25</v>
      </c>
      <c r="K2312" s="1">
        <v>20.0</v>
      </c>
      <c r="N2312" s="5">
        <v>44668.0</v>
      </c>
      <c r="Q2312" s="1" t="s">
        <v>1312</v>
      </c>
    </row>
    <row r="2313">
      <c r="A2313" s="1">
        <v>2312.0</v>
      </c>
      <c r="B2313" s="1" t="s">
        <v>4241</v>
      </c>
      <c r="C2313" s="1" t="s">
        <v>25</v>
      </c>
      <c r="K2313" s="1">
        <v>40.0</v>
      </c>
      <c r="N2313" s="5">
        <v>44257.0</v>
      </c>
      <c r="Q2313" s="1" t="s">
        <v>1387</v>
      </c>
    </row>
    <row r="2314">
      <c r="A2314" s="1">
        <v>2313.0</v>
      </c>
      <c r="B2314" s="1" t="s">
        <v>4242</v>
      </c>
      <c r="C2314" s="1" t="s">
        <v>25</v>
      </c>
      <c r="K2314" s="1">
        <v>50.0</v>
      </c>
      <c r="N2314" s="5">
        <v>44274.0</v>
      </c>
      <c r="Q2314" s="1" t="s">
        <v>4243</v>
      </c>
    </row>
    <row r="2315">
      <c r="A2315" s="1">
        <v>2314.0</v>
      </c>
      <c r="B2315" s="1" t="s">
        <v>4244</v>
      </c>
      <c r="C2315" s="1" t="s">
        <v>25</v>
      </c>
      <c r="K2315" s="1">
        <v>70.0</v>
      </c>
      <c r="N2315" s="5">
        <v>45276.0</v>
      </c>
      <c r="Q2315" s="1" t="s">
        <v>4245</v>
      </c>
    </row>
    <row r="2316">
      <c r="A2316" s="1">
        <v>2315.0</v>
      </c>
      <c r="B2316" s="1" t="s">
        <v>4246</v>
      </c>
      <c r="C2316" s="1" t="s">
        <v>25</v>
      </c>
      <c r="N2316" s="5">
        <v>46103.0</v>
      </c>
      <c r="Q2316" s="1" t="s">
        <v>4247</v>
      </c>
    </row>
    <row r="2317">
      <c r="A2317" s="1">
        <v>2316.0</v>
      </c>
      <c r="B2317" s="1" t="s">
        <v>4248</v>
      </c>
      <c r="C2317" s="1" t="s">
        <v>25</v>
      </c>
      <c r="K2317" s="1">
        <v>10.0</v>
      </c>
      <c r="N2317" s="5">
        <v>45193.0</v>
      </c>
      <c r="Q2317" s="1" t="s">
        <v>172</v>
      </c>
    </row>
    <row r="2318">
      <c r="A2318" s="1">
        <v>2317.0</v>
      </c>
      <c r="B2318" s="1" t="s">
        <v>4249</v>
      </c>
      <c r="C2318" s="1" t="s">
        <v>25</v>
      </c>
      <c r="K2318" s="1">
        <v>100.0</v>
      </c>
      <c r="N2318" s="5">
        <v>44428.0</v>
      </c>
      <c r="Q2318" s="1" t="s">
        <v>1066</v>
      </c>
    </row>
    <row r="2319">
      <c r="A2319" s="1">
        <v>2318.0</v>
      </c>
      <c r="B2319" s="1" t="s">
        <v>4250</v>
      </c>
      <c r="C2319" s="1" t="s">
        <v>25</v>
      </c>
      <c r="K2319" s="1">
        <v>10.0</v>
      </c>
      <c r="N2319" s="5">
        <v>45586.0</v>
      </c>
      <c r="Q2319" s="1" t="s">
        <v>4251</v>
      </c>
    </row>
    <row r="2320">
      <c r="A2320" s="1">
        <v>2319.0</v>
      </c>
      <c r="B2320" s="1" t="s">
        <v>4252</v>
      </c>
      <c r="C2320" s="1" t="s">
        <v>25</v>
      </c>
      <c r="K2320" s="1">
        <v>30.0</v>
      </c>
      <c r="N2320" s="5">
        <v>44410.0</v>
      </c>
      <c r="Q2320" s="1" t="s">
        <v>1726</v>
      </c>
    </row>
    <row r="2321">
      <c r="A2321" s="1">
        <v>2320.0</v>
      </c>
      <c r="B2321" s="1" t="s">
        <v>4253</v>
      </c>
      <c r="C2321" s="1" t="s">
        <v>25</v>
      </c>
      <c r="K2321" s="1">
        <v>100.0</v>
      </c>
      <c r="N2321" s="5">
        <v>44424.0</v>
      </c>
      <c r="Q2321" s="1" t="s">
        <v>278</v>
      </c>
    </row>
    <row r="2322">
      <c r="A2322" s="1">
        <v>2321.0</v>
      </c>
      <c r="B2322" s="1" t="s">
        <v>4254</v>
      </c>
      <c r="C2322" s="1" t="s">
        <v>25</v>
      </c>
      <c r="K2322" s="1">
        <v>200.0</v>
      </c>
      <c r="N2322" s="5">
        <v>43925.0</v>
      </c>
      <c r="Q2322" s="1" t="s">
        <v>4255</v>
      </c>
    </row>
    <row r="2323">
      <c r="A2323" s="1">
        <v>2322.0</v>
      </c>
      <c r="B2323" s="1" t="s">
        <v>4256</v>
      </c>
      <c r="C2323" s="1" t="s">
        <v>25</v>
      </c>
      <c r="K2323" s="1">
        <v>50.0</v>
      </c>
      <c r="N2323" s="5">
        <v>44259.0</v>
      </c>
      <c r="Q2323" s="1" t="s">
        <v>55</v>
      </c>
    </row>
    <row r="2324">
      <c r="A2324" s="1">
        <v>2323.0</v>
      </c>
      <c r="B2324" s="1" t="s">
        <v>4257</v>
      </c>
      <c r="C2324" s="1" t="s">
        <v>25</v>
      </c>
      <c r="K2324" s="1">
        <v>150.0</v>
      </c>
      <c r="N2324" s="5">
        <v>45782.0</v>
      </c>
      <c r="Q2324" s="1" t="s">
        <v>4258</v>
      </c>
    </row>
    <row r="2325">
      <c r="A2325" s="1">
        <v>2324.0</v>
      </c>
      <c r="B2325" s="1" t="s">
        <v>4259</v>
      </c>
      <c r="C2325" s="1" t="s">
        <v>25</v>
      </c>
      <c r="K2325" s="1">
        <v>100.0</v>
      </c>
      <c r="N2325" s="5">
        <v>45550.0</v>
      </c>
      <c r="Q2325" s="1" t="s">
        <v>4260</v>
      </c>
    </row>
    <row r="2326">
      <c r="A2326" s="1">
        <v>2325.0</v>
      </c>
      <c r="B2326" s="1" t="s">
        <v>218</v>
      </c>
      <c r="C2326" s="1" t="s">
        <v>25</v>
      </c>
      <c r="N2326" s="5">
        <v>45155.0</v>
      </c>
      <c r="Q2326" s="1" t="s">
        <v>222</v>
      </c>
    </row>
    <row r="2327">
      <c r="A2327" s="1">
        <v>2326.0</v>
      </c>
      <c r="B2327" s="1" t="s">
        <v>4261</v>
      </c>
      <c r="C2327" s="1" t="s">
        <v>25</v>
      </c>
      <c r="N2327" s="5">
        <v>44419.0</v>
      </c>
      <c r="Q2327" s="1" t="s">
        <v>55</v>
      </c>
    </row>
    <row r="2328">
      <c r="A2328" s="1">
        <v>2327.0</v>
      </c>
      <c r="B2328" s="1" t="s">
        <v>4262</v>
      </c>
      <c r="C2328" s="1" t="s">
        <v>25</v>
      </c>
      <c r="K2328" s="1">
        <v>10.0</v>
      </c>
      <c r="N2328" s="5">
        <v>44034.0</v>
      </c>
      <c r="Q2328" s="1" t="s">
        <v>55</v>
      </c>
    </row>
    <row r="2329">
      <c r="A2329" s="1">
        <v>2328.0</v>
      </c>
      <c r="B2329" s="1" t="s">
        <v>4263</v>
      </c>
      <c r="C2329" s="1" t="s">
        <v>25</v>
      </c>
      <c r="K2329" s="1">
        <v>100.0</v>
      </c>
      <c r="N2329" s="5">
        <v>43910.0</v>
      </c>
      <c r="Q2329" s="1" t="s">
        <v>1729</v>
      </c>
    </row>
    <row r="2330">
      <c r="A2330" s="1">
        <v>2329.0</v>
      </c>
      <c r="B2330" s="1" t="s">
        <v>4264</v>
      </c>
      <c r="C2330" s="1" t="s">
        <v>25</v>
      </c>
      <c r="N2330" s="5">
        <v>43910.0</v>
      </c>
      <c r="Q2330" s="1" t="s">
        <v>80</v>
      </c>
    </row>
    <row r="2331">
      <c r="A2331" s="1">
        <v>2330.0</v>
      </c>
      <c r="B2331" s="1" t="s">
        <v>4265</v>
      </c>
      <c r="C2331" s="1" t="s">
        <v>25</v>
      </c>
      <c r="K2331" s="1">
        <v>10.0</v>
      </c>
      <c r="N2331" s="5">
        <v>45221.0</v>
      </c>
      <c r="Q2331" s="1" t="s">
        <v>55</v>
      </c>
    </row>
    <row r="2332">
      <c r="A2332" s="1">
        <v>2331.0</v>
      </c>
      <c r="B2332" s="1" t="s">
        <v>4266</v>
      </c>
      <c r="C2332" s="1" t="s">
        <v>25</v>
      </c>
      <c r="K2332" s="1">
        <v>200.0</v>
      </c>
      <c r="N2332" s="5">
        <v>44061.0</v>
      </c>
      <c r="Q2332" s="1" t="s">
        <v>4267</v>
      </c>
    </row>
    <row r="2333">
      <c r="A2333" s="1">
        <v>2332.0</v>
      </c>
      <c r="B2333" s="1" t="s">
        <v>4268</v>
      </c>
      <c r="C2333" s="1" t="s">
        <v>25</v>
      </c>
      <c r="K2333" s="1">
        <v>80.0</v>
      </c>
      <c r="N2333" s="5">
        <v>44877.0</v>
      </c>
      <c r="Q2333" s="1" t="s">
        <v>1471</v>
      </c>
    </row>
    <row r="2334">
      <c r="A2334" s="1">
        <v>2333.0</v>
      </c>
      <c r="B2334" s="1" t="s">
        <v>4269</v>
      </c>
      <c r="C2334" s="1" t="s">
        <v>25</v>
      </c>
      <c r="K2334" s="1">
        <v>200.0</v>
      </c>
      <c r="N2334" s="5">
        <v>44115.0</v>
      </c>
      <c r="Q2334" s="1" t="s">
        <v>3095</v>
      </c>
    </row>
    <row r="2335">
      <c r="A2335" s="1">
        <v>2334.0</v>
      </c>
      <c r="B2335" s="1" t="s">
        <v>4270</v>
      </c>
      <c r="C2335" s="1" t="s">
        <v>25</v>
      </c>
      <c r="N2335" s="5">
        <v>45535.0</v>
      </c>
      <c r="Q2335" s="1" t="s">
        <v>287</v>
      </c>
    </row>
    <row r="2336">
      <c r="A2336" s="1">
        <v>2335.0</v>
      </c>
      <c r="B2336" s="1" t="s">
        <v>4271</v>
      </c>
      <c r="C2336" s="1" t="s">
        <v>25</v>
      </c>
      <c r="K2336" s="1">
        <v>150.0</v>
      </c>
      <c r="N2336" s="5">
        <v>44582.0</v>
      </c>
      <c r="Q2336" s="1" t="s">
        <v>4272</v>
      </c>
    </row>
    <row r="2337">
      <c r="A2337" s="1">
        <v>2336.0</v>
      </c>
      <c r="B2337" s="1" t="s">
        <v>4273</v>
      </c>
      <c r="C2337" s="1" t="s">
        <v>25</v>
      </c>
      <c r="K2337" s="1">
        <v>100.0</v>
      </c>
      <c r="N2337" s="5">
        <v>45016.0</v>
      </c>
      <c r="Q2337" s="1" t="s">
        <v>4274</v>
      </c>
    </row>
    <row r="2338">
      <c r="A2338" s="1">
        <v>2337.0</v>
      </c>
      <c r="B2338" s="1" t="s">
        <v>4275</v>
      </c>
      <c r="C2338" s="1" t="s">
        <v>25</v>
      </c>
      <c r="N2338" s="5">
        <v>44263.0</v>
      </c>
      <c r="Q2338" s="1" t="s">
        <v>55</v>
      </c>
    </row>
    <row r="2339">
      <c r="A2339" s="1">
        <v>2338.0</v>
      </c>
      <c r="B2339" s="1" t="s">
        <v>4276</v>
      </c>
      <c r="C2339" s="1" t="s">
        <v>25</v>
      </c>
      <c r="K2339" s="1">
        <v>100.0</v>
      </c>
      <c r="N2339" s="5">
        <v>44041.0</v>
      </c>
      <c r="Q2339" s="1" t="s">
        <v>4277</v>
      </c>
    </row>
    <row r="2340">
      <c r="A2340" s="1">
        <v>2339.0</v>
      </c>
      <c r="B2340" s="1" t="s">
        <v>4278</v>
      </c>
      <c r="C2340" s="1" t="s">
        <v>25</v>
      </c>
      <c r="K2340" s="1">
        <v>150.0</v>
      </c>
      <c r="N2340" s="5">
        <v>44731.0</v>
      </c>
      <c r="Q2340" s="1" t="s">
        <v>4279</v>
      </c>
    </row>
    <row r="2341">
      <c r="A2341" s="1">
        <v>2340.0</v>
      </c>
      <c r="B2341" s="1" t="s">
        <v>4280</v>
      </c>
      <c r="C2341" s="1" t="s">
        <v>25</v>
      </c>
      <c r="K2341" s="1">
        <v>150.0</v>
      </c>
      <c r="N2341" s="5">
        <v>44148.0</v>
      </c>
      <c r="Q2341" s="1" t="s">
        <v>4281</v>
      </c>
    </row>
    <row r="2342">
      <c r="A2342" s="1">
        <v>2341.0</v>
      </c>
      <c r="B2342" s="1" t="s">
        <v>4282</v>
      </c>
      <c r="C2342" s="1" t="s">
        <v>25</v>
      </c>
      <c r="N2342" s="5">
        <v>44294.0</v>
      </c>
      <c r="Q2342" s="1" t="s">
        <v>55</v>
      </c>
    </row>
    <row r="2343">
      <c r="A2343" s="1">
        <v>2342.0</v>
      </c>
      <c r="B2343" s="1" t="s">
        <v>4283</v>
      </c>
      <c r="C2343" s="1" t="s">
        <v>25</v>
      </c>
      <c r="K2343" s="1">
        <v>150.0</v>
      </c>
      <c r="N2343" s="5">
        <v>44322.0</v>
      </c>
      <c r="Q2343" s="1" t="s">
        <v>4284</v>
      </c>
    </row>
    <row r="2344">
      <c r="A2344" s="1">
        <v>2343.0</v>
      </c>
      <c r="B2344" s="1" t="s">
        <v>4285</v>
      </c>
      <c r="C2344" s="1" t="s">
        <v>25</v>
      </c>
      <c r="K2344" s="1">
        <v>10.0</v>
      </c>
      <c r="N2344" s="5">
        <v>44389.0</v>
      </c>
      <c r="Q2344" s="1" t="s">
        <v>93</v>
      </c>
    </row>
    <row r="2345">
      <c r="A2345" s="1">
        <v>2344.0</v>
      </c>
      <c r="B2345" s="1" t="s">
        <v>4286</v>
      </c>
      <c r="C2345" s="1" t="s">
        <v>25</v>
      </c>
      <c r="K2345" s="1">
        <v>50.0</v>
      </c>
      <c r="N2345" s="5">
        <v>43881.0</v>
      </c>
      <c r="Q2345" s="1" t="s">
        <v>4287</v>
      </c>
    </row>
    <row r="2346">
      <c r="A2346" s="1">
        <v>2345.0</v>
      </c>
      <c r="B2346" s="1" t="s">
        <v>4288</v>
      </c>
      <c r="C2346" s="1" t="s">
        <v>25</v>
      </c>
      <c r="K2346" s="1">
        <v>60.0</v>
      </c>
      <c r="N2346" s="5">
        <v>45376.0</v>
      </c>
      <c r="Q2346" s="1" t="s">
        <v>4289</v>
      </c>
    </row>
    <row r="2347">
      <c r="A2347" s="1">
        <v>2346.0</v>
      </c>
      <c r="B2347" s="1" t="s">
        <v>4290</v>
      </c>
      <c r="C2347" s="1" t="s">
        <v>25</v>
      </c>
      <c r="K2347" s="1">
        <v>50.0</v>
      </c>
      <c r="N2347" s="5">
        <v>45063.0</v>
      </c>
      <c r="Q2347" s="1" t="s">
        <v>4291</v>
      </c>
    </row>
    <row r="2348">
      <c r="A2348" s="1">
        <v>2347.0</v>
      </c>
      <c r="B2348" s="1" t="s">
        <v>4292</v>
      </c>
      <c r="C2348" s="1" t="s">
        <v>25</v>
      </c>
      <c r="N2348" s="5">
        <v>44622.0</v>
      </c>
      <c r="Q2348" s="1" t="s">
        <v>125</v>
      </c>
    </row>
    <row r="2349">
      <c r="A2349" s="1">
        <v>2348.0</v>
      </c>
      <c r="B2349" s="1" t="s">
        <v>4293</v>
      </c>
      <c r="C2349" s="1" t="s">
        <v>25</v>
      </c>
      <c r="K2349" s="1">
        <v>10.0</v>
      </c>
      <c r="N2349" s="5">
        <v>44244.0</v>
      </c>
      <c r="Q2349" s="1" t="s">
        <v>4294</v>
      </c>
    </row>
    <row r="2350">
      <c r="A2350" s="1">
        <v>2349.0</v>
      </c>
      <c r="B2350" s="1" t="s">
        <v>4295</v>
      </c>
      <c r="C2350" s="1" t="s">
        <v>25</v>
      </c>
      <c r="N2350" s="5">
        <v>44466.0</v>
      </c>
      <c r="Q2350" s="1" t="s">
        <v>55</v>
      </c>
    </row>
    <row r="2351">
      <c r="A2351" s="1">
        <v>2350.0</v>
      </c>
      <c r="B2351" s="1" t="s">
        <v>4296</v>
      </c>
      <c r="C2351" s="1" t="s">
        <v>25</v>
      </c>
      <c r="K2351" s="1">
        <v>600.0</v>
      </c>
      <c r="N2351" s="5">
        <v>43961.0</v>
      </c>
      <c r="Q2351" s="1" t="s">
        <v>4297</v>
      </c>
    </row>
    <row r="2352">
      <c r="A2352" s="1">
        <v>2351.0</v>
      </c>
      <c r="B2352" s="1" t="s">
        <v>4298</v>
      </c>
      <c r="C2352" s="1" t="s">
        <v>25</v>
      </c>
      <c r="K2352" s="1">
        <v>100.0</v>
      </c>
      <c r="N2352" s="5">
        <v>43849.0</v>
      </c>
      <c r="Q2352" s="1" t="s">
        <v>1726</v>
      </c>
    </row>
    <row r="2353">
      <c r="A2353" s="1">
        <v>2352.0</v>
      </c>
      <c r="B2353" s="1" t="s">
        <v>4299</v>
      </c>
      <c r="C2353" s="1" t="s">
        <v>25</v>
      </c>
      <c r="K2353" s="1">
        <v>80.0</v>
      </c>
      <c r="N2353" s="5">
        <v>44688.0</v>
      </c>
      <c r="Q2353" s="1" t="s">
        <v>55</v>
      </c>
    </row>
    <row r="2354">
      <c r="A2354" s="1">
        <v>2353.0</v>
      </c>
      <c r="B2354" s="1" t="s">
        <v>4300</v>
      </c>
      <c r="C2354" s="1" t="s">
        <v>25</v>
      </c>
      <c r="K2354" s="1">
        <v>150.0</v>
      </c>
      <c r="N2354" s="5">
        <v>44445.0</v>
      </c>
      <c r="Q2354" s="1" t="s">
        <v>4301</v>
      </c>
    </row>
    <row r="2355">
      <c r="A2355" s="1">
        <v>2354.0</v>
      </c>
      <c r="B2355" s="1" t="s">
        <v>4302</v>
      </c>
      <c r="C2355" s="1" t="s">
        <v>25</v>
      </c>
      <c r="K2355" s="1">
        <v>30.0</v>
      </c>
      <c r="N2355" s="5">
        <v>43934.0</v>
      </c>
      <c r="Q2355" s="1" t="s">
        <v>55</v>
      </c>
    </row>
    <row r="2356">
      <c r="A2356" s="1">
        <v>2355.0</v>
      </c>
      <c r="B2356" s="1" t="s">
        <v>4303</v>
      </c>
      <c r="C2356" s="1" t="s">
        <v>25</v>
      </c>
      <c r="N2356" s="5">
        <v>44507.0</v>
      </c>
      <c r="Q2356" s="1" t="s">
        <v>46</v>
      </c>
    </row>
    <row r="2357">
      <c r="A2357" s="1">
        <v>2356.0</v>
      </c>
      <c r="B2357" s="1" t="s">
        <v>4304</v>
      </c>
      <c r="C2357" s="1" t="s">
        <v>25</v>
      </c>
      <c r="K2357" s="1">
        <v>50.0</v>
      </c>
      <c r="N2357" s="5">
        <v>44846.0</v>
      </c>
      <c r="Q2357" s="1" t="s">
        <v>4305</v>
      </c>
    </row>
    <row r="2358">
      <c r="A2358" s="1">
        <v>2357.0</v>
      </c>
      <c r="B2358" s="1" t="s">
        <v>4306</v>
      </c>
      <c r="C2358" s="1" t="s">
        <v>25</v>
      </c>
      <c r="N2358" s="5">
        <v>44650.0</v>
      </c>
      <c r="Q2358" s="1" t="s">
        <v>55</v>
      </c>
    </row>
    <row r="2359">
      <c r="A2359" s="1">
        <v>2358.0</v>
      </c>
      <c r="B2359" s="1" t="s">
        <v>4307</v>
      </c>
      <c r="C2359" s="1" t="s">
        <v>25</v>
      </c>
      <c r="N2359" s="5">
        <v>44439.0</v>
      </c>
      <c r="Q2359" s="1" t="s">
        <v>55</v>
      </c>
    </row>
    <row r="2360">
      <c r="A2360" s="1">
        <v>2359.0</v>
      </c>
      <c r="B2360" s="1" t="s">
        <v>4308</v>
      </c>
      <c r="C2360" s="1" t="s">
        <v>25</v>
      </c>
      <c r="K2360" s="1">
        <v>150.0</v>
      </c>
      <c r="N2360" s="5">
        <v>44014.0</v>
      </c>
      <c r="Q2360" s="1" t="s">
        <v>4309</v>
      </c>
    </row>
    <row r="2361">
      <c r="A2361" s="1">
        <v>2360.0</v>
      </c>
      <c r="B2361" s="1" t="s">
        <v>4310</v>
      </c>
      <c r="C2361" s="1" t="s">
        <v>25</v>
      </c>
      <c r="K2361" s="1">
        <v>150.0</v>
      </c>
      <c r="N2361" s="5">
        <v>45609.0</v>
      </c>
      <c r="Q2361" s="1" t="s">
        <v>3833</v>
      </c>
    </row>
    <row r="2362">
      <c r="A2362" s="1">
        <v>2361.0</v>
      </c>
      <c r="B2362" s="1" t="s">
        <v>223</v>
      </c>
      <c r="C2362" s="1" t="s">
        <v>25</v>
      </c>
      <c r="K2362" s="1">
        <v>50.0</v>
      </c>
      <c r="N2362" s="5">
        <v>45080.0</v>
      </c>
      <c r="Q2362" s="1" t="s">
        <v>227</v>
      </c>
    </row>
    <row r="2363">
      <c r="A2363" s="1">
        <v>2362.0</v>
      </c>
      <c r="B2363" s="1" t="s">
        <v>4311</v>
      </c>
      <c r="C2363" s="1" t="s">
        <v>25</v>
      </c>
      <c r="K2363" s="1">
        <v>50.0</v>
      </c>
      <c r="N2363" s="5">
        <v>45652.0</v>
      </c>
      <c r="Q2363" s="1" t="s">
        <v>2532</v>
      </c>
    </row>
    <row r="2364">
      <c r="A2364" s="1">
        <v>2363.0</v>
      </c>
      <c r="B2364" s="1" t="s">
        <v>4312</v>
      </c>
      <c r="C2364" s="1" t="s">
        <v>25</v>
      </c>
      <c r="N2364" s="5">
        <v>45341.0</v>
      </c>
      <c r="Q2364" s="1" t="s">
        <v>55</v>
      </c>
    </row>
    <row r="2365">
      <c r="A2365" s="1">
        <v>2364.0</v>
      </c>
      <c r="B2365" s="1" t="s">
        <v>4313</v>
      </c>
      <c r="C2365" s="1" t="s">
        <v>25</v>
      </c>
      <c r="K2365" s="1">
        <v>100.0</v>
      </c>
      <c r="N2365" s="5">
        <v>43972.0</v>
      </c>
      <c r="Q2365" s="1" t="s">
        <v>4314</v>
      </c>
    </row>
    <row r="2366">
      <c r="A2366" s="1">
        <v>2365.0</v>
      </c>
      <c r="B2366" s="1" t="s">
        <v>4315</v>
      </c>
      <c r="C2366" s="1" t="s">
        <v>25</v>
      </c>
      <c r="K2366" s="1">
        <v>200.0</v>
      </c>
      <c r="N2366" s="5">
        <v>44072.0</v>
      </c>
      <c r="Q2366" s="1" t="s">
        <v>4316</v>
      </c>
    </row>
    <row r="2367">
      <c r="A2367" s="1">
        <v>2366.0</v>
      </c>
      <c r="B2367" s="1" t="s">
        <v>4317</v>
      </c>
      <c r="C2367" s="1" t="s">
        <v>25</v>
      </c>
      <c r="K2367" s="1">
        <v>20.0</v>
      </c>
      <c r="N2367" s="5">
        <v>44791.0</v>
      </c>
      <c r="Q2367" s="1" t="s">
        <v>55</v>
      </c>
    </row>
    <row r="2368">
      <c r="A2368" s="1">
        <v>2367.0</v>
      </c>
      <c r="B2368" s="1" t="s">
        <v>4318</v>
      </c>
      <c r="C2368" s="1" t="s">
        <v>25</v>
      </c>
      <c r="K2368" s="1">
        <v>20.0</v>
      </c>
      <c r="N2368" s="5">
        <v>44289.0</v>
      </c>
      <c r="Q2368" s="1" t="s">
        <v>1218</v>
      </c>
    </row>
    <row r="2369">
      <c r="A2369" s="1">
        <v>2368.0</v>
      </c>
      <c r="B2369" s="1" t="s">
        <v>4319</v>
      </c>
      <c r="C2369" s="1" t="s">
        <v>25</v>
      </c>
      <c r="N2369" s="5">
        <v>44068.0</v>
      </c>
      <c r="Q2369" s="1" t="s">
        <v>55</v>
      </c>
    </row>
    <row r="2370">
      <c r="A2370" s="1">
        <v>2369.0</v>
      </c>
      <c r="B2370" s="1" t="s">
        <v>4320</v>
      </c>
      <c r="C2370" s="1" t="s">
        <v>25</v>
      </c>
      <c r="K2370" s="1">
        <v>150.0</v>
      </c>
      <c r="N2370" s="5">
        <v>43932.0</v>
      </c>
      <c r="Q2370" s="1" t="s">
        <v>4321</v>
      </c>
    </row>
    <row r="2371">
      <c r="A2371" s="1">
        <v>2370.0</v>
      </c>
      <c r="B2371" s="1" t="s">
        <v>4322</v>
      </c>
      <c r="C2371" s="1" t="s">
        <v>25</v>
      </c>
      <c r="K2371" s="1">
        <v>10.0</v>
      </c>
      <c r="N2371" s="5">
        <v>44505.0</v>
      </c>
      <c r="Q2371" s="1" t="s">
        <v>125</v>
      </c>
    </row>
    <row r="2372">
      <c r="A2372" s="1">
        <v>2371.0</v>
      </c>
      <c r="B2372" s="1" t="s">
        <v>4323</v>
      </c>
      <c r="C2372" s="1" t="s">
        <v>25</v>
      </c>
      <c r="N2372" s="5">
        <v>42899.0</v>
      </c>
      <c r="Q2372" s="1" t="s">
        <v>55</v>
      </c>
    </row>
    <row r="2373">
      <c r="A2373" s="1">
        <v>2372.0</v>
      </c>
      <c r="B2373" s="1" t="s">
        <v>4324</v>
      </c>
      <c r="C2373" s="1" t="s">
        <v>25</v>
      </c>
      <c r="N2373" s="5">
        <v>44211.0</v>
      </c>
      <c r="Q2373" s="1" t="s">
        <v>55</v>
      </c>
    </row>
    <row r="2374">
      <c r="A2374" s="1">
        <v>2373.0</v>
      </c>
      <c r="B2374" s="1" t="s">
        <v>4325</v>
      </c>
      <c r="C2374" s="1" t="s">
        <v>25</v>
      </c>
      <c r="K2374" s="1">
        <v>100.0</v>
      </c>
      <c r="N2374" s="5">
        <v>43857.0</v>
      </c>
      <c r="Q2374" s="1" t="s">
        <v>4326</v>
      </c>
    </row>
    <row r="2375">
      <c r="A2375" s="1">
        <v>2374.0</v>
      </c>
      <c r="B2375" s="1" t="s">
        <v>4327</v>
      </c>
      <c r="C2375" s="1" t="s">
        <v>25</v>
      </c>
      <c r="N2375" s="5">
        <v>45728.0</v>
      </c>
      <c r="Q2375" s="1" t="s">
        <v>4328</v>
      </c>
    </row>
    <row r="2376">
      <c r="A2376" s="1">
        <v>2375.0</v>
      </c>
      <c r="B2376" s="1" t="s">
        <v>4329</v>
      </c>
      <c r="C2376" s="1" t="s">
        <v>25</v>
      </c>
      <c r="K2376" s="1">
        <v>30.0</v>
      </c>
      <c r="N2376" s="5">
        <v>45671.0</v>
      </c>
      <c r="Q2376" s="1" t="s">
        <v>4330</v>
      </c>
    </row>
    <row r="2377">
      <c r="A2377" s="1">
        <v>2376.0</v>
      </c>
      <c r="B2377" s="1" t="s">
        <v>4331</v>
      </c>
      <c r="C2377" s="1" t="s">
        <v>25</v>
      </c>
      <c r="K2377" s="1">
        <v>250.0</v>
      </c>
      <c r="N2377" s="5">
        <v>43920.0</v>
      </c>
      <c r="Q2377" s="1" t="s">
        <v>4332</v>
      </c>
    </row>
    <row r="2378">
      <c r="A2378" s="1">
        <v>2377.0</v>
      </c>
      <c r="B2378" s="1" t="s">
        <v>4333</v>
      </c>
      <c r="C2378" s="1" t="s">
        <v>25</v>
      </c>
      <c r="K2378" s="1">
        <v>150.0</v>
      </c>
      <c r="N2378" s="5">
        <v>44453.0</v>
      </c>
      <c r="Q2378" s="1" t="s">
        <v>4334</v>
      </c>
    </row>
    <row r="2379">
      <c r="A2379" s="1">
        <v>2378.0</v>
      </c>
      <c r="B2379" s="1" t="s">
        <v>4335</v>
      </c>
      <c r="C2379" s="1" t="s">
        <v>25</v>
      </c>
      <c r="N2379" s="5">
        <v>44214.0</v>
      </c>
      <c r="Q2379" s="1" t="s">
        <v>55</v>
      </c>
    </row>
    <row r="2380">
      <c r="A2380" s="1">
        <v>2379.0</v>
      </c>
      <c r="B2380" s="1" t="s">
        <v>4336</v>
      </c>
      <c r="C2380" s="1" t="s">
        <v>25</v>
      </c>
      <c r="K2380" s="1">
        <v>100.0</v>
      </c>
      <c r="N2380" s="5">
        <v>44543.0</v>
      </c>
      <c r="Q2380" s="1" t="s">
        <v>4337</v>
      </c>
    </row>
    <row r="2381">
      <c r="A2381" s="1">
        <v>2380.0</v>
      </c>
      <c r="B2381" s="1" t="s">
        <v>4338</v>
      </c>
      <c r="C2381" s="1" t="s">
        <v>25</v>
      </c>
      <c r="N2381" s="5">
        <v>44540.0</v>
      </c>
      <c r="Q2381" s="1" t="s">
        <v>55</v>
      </c>
    </row>
    <row r="2382">
      <c r="A2382" s="1">
        <v>2381.0</v>
      </c>
      <c r="B2382" s="1" t="s">
        <v>4339</v>
      </c>
      <c r="C2382" s="1" t="s">
        <v>25</v>
      </c>
      <c r="N2382" s="5">
        <v>44636.0</v>
      </c>
      <c r="Q2382" s="1" t="s">
        <v>55</v>
      </c>
    </row>
    <row r="2383">
      <c r="A2383" s="1">
        <v>2382.0</v>
      </c>
      <c r="B2383" s="1" t="s">
        <v>4340</v>
      </c>
      <c r="C2383" s="1" t="s">
        <v>25</v>
      </c>
      <c r="N2383" s="5">
        <v>44347.0</v>
      </c>
      <c r="Q2383" s="1" t="s">
        <v>55</v>
      </c>
    </row>
    <row r="2384">
      <c r="A2384" s="1">
        <v>2383.0</v>
      </c>
      <c r="B2384" s="1" t="s">
        <v>4341</v>
      </c>
      <c r="C2384" s="1" t="s">
        <v>25</v>
      </c>
      <c r="K2384" s="1">
        <v>20.0</v>
      </c>
      <c r="N2384" s="5">
        <v>44425.0</v>
      </c>
      <c r="Q2384" s="1" t="s">
        <v>55</v>
      </c>
    </row>
    <row r="2385">
      <c r="A2385" s="1">
        <v>2384.0</v>
      </c>
      <c r="B2385" s="1" t="s">
        <v>4342</v>
      </c>
      <c r="C2385" s="1" t="s">
        <v>25</v>
      </c>
      <c r="N2385" s="5">
        <v>43890.0</v>
      </c>
      <c r="Q2385" s="1" t="s">
        <v>55</v>
      </c>
    </row>
    <row r="2386">
      <c r="A2386" s="1">
        <v>2385.0</v>
      </c>
      <c r="B2386" s="1" t="s">
        <v>4343</v>
      </c>
      <c r="C2386" s="1" t="s">
        <v>25</v>
      </c>
      <c r="K2386" s="1">
        <v>70.0</v>
      </c>
      <c r="N2386" s="5">
        <v>45429.0</v>
      </c>
      <c r="Q2386" s="1" t="s">
        <v>974</v>
      </c>
    </row>
    <row r="2387">
      <c r="A2387" s="1">
        <v>2386.0</v>
      </c>
      <c r="B2387" s="1" t="s">
        <v>4344</v>
      </c>
      <c r="C2387" s="1" t="s">
        <v>25</v>
      </c>
      <c r="K2387" s="1">
        <v>100.0</v>
      </c>
      <c r="N2387" s="5">
        <v>44553.0</v>
      </c>
      <c r="Q2387" s="1" t="s">
        <v>2397</v>
      </c>
    </row>
    <row r="2388">
      <c r="A2388" s="1">
        <v>2387.0</v>
      </c>
      <c r="B2388" s="1" t="s">
        <v>4345</v>
      </c>
      <c r="C2388" s="1" t="s">
        <v>25</v>
      </c>
      <c r="N2388" s="5">
        <v>44408.0</v>
      </c>
      <c r="Q2388" s="1" t="s">
        <v>55</v>
      </c>
    </row>
    <row r="2389">
      <c r="A2389" s="1">
        <v>2388.0</v>
      </c>
      <c r="B2389" s="1" t="s">
        <v>4346</v>
      </c>
      <c r="C2389" s="1" t="s">
        <v>25</v>
      </c>
      <c r="K2389" s="1">
        <v>50.0</v>
      </c>
      <c r="N2389" s="5">
        <v>44529.0</v>
      </c>
      <c r="Q2389" s="1" t="s">
        <v>4347</v>
      </c>
    </row>
    <row r="2390">
      <c r="A2390" s="1">
        <v>2389.0</v>
      </c>
      <c r="B2390" s="1" t="s">
        <v>4348</v>
      </c>
      <c r="C2390" s="1" t="s">
        <v>25</v>
      </c>
      <c r="K2390" s="1">
        <v>30.0</v>
      </c>
      <c r="N2390" s="5">
        <v>44402.0</v>
      </c>
      <c r="Q2390" s="1" t="s">
        <v>55</v>
      </c>
    </row>
    <row r="2391">
      <c r="A2391" s="1">
        <v>2390.0</v>
      </c>
      <c r="B2391" s="1" t="s">
        <v>4349</v>
      </c>
      <c r="C2391" s="1" t="s">
        <v>25</v>
      </c>
      <c r="K2391" s="1">
        <v>60.0</v>
      </c>
      <c r="N2391" s="5">
        <v>45228.0</v>
      </c>
      <c r="Q2391" s="1" t="s">
        <v>4350</v>
      </c>
    </row>
    <row r="2392">
      <c r="A2392" s="1">
        <v>2391.0</v>
      </c>
      <c r="B2392" s="1" t="s">
        <v>4351</v>
      </c>
      <c r="C2392" s="1" t="s">
        <v>25</v>
      </c>
      <c r="K2392" s="1">
        <v>400.0</v>
      </c>
      <c r="N2392" s="5">
        <v>45635.0</v>
      </c>
      <c r="Q2392" s="1" t="s">
        <v>4352</v>
      </c>
    </row>
    <row r="2393">
      <c r="A2393" s="1">
        <v>2392.0</v>
      </c>
      <c r="B2393" s="1" t="s">
        <v>4022</v>
      </c>
      <c r="C2393" s="1" t="s">
        <v>25</v>
      </c>
      <c r="K2393" s="1">
        <v>40.0</v>
      </c>
      <c r="N2393" s="5">
        <v>45698.0</v>
      </c>
      <c r="Q2393" s="1" t="s">
        <v>4353</v>
      </c>
    </row>
    <row r="2394">
      <c r="A2394" s="1">
        <v>2393.0</v>
      </c>
      <c r="B2394" s="1" t="s">
        <v>4354</v>
      </c>
      <c r="C2394" s="1" t="s">
        <v>25</v>
      </c>
      <c r="K2394" s="1">
        <v>10.0</v>
      </c>
      <c r="N2394" s="5">
        <v>44689.0</v>
      </c>
      <c r="Q2394" s="1" t="s">
        <v>46</v>
      </c>
    </row>
    <row r="2395">
      <c r="A2395" s="1">
        <v>2394.0</v>
      </c>
      <c r="B2395" s="1" t="s">
        <v>4355</v>
      </c>
      <c r="C2395" s="1" t="s">
        <v>25</v>
      </c>
      <c r="K2395" s="1">
        <v>150.0</v>
      </c>
      <c r="N2395" s="5">
        <v>43843.0</v>
      </c>
      <c r="Q2395" s="1" t="s">
        <v>4356</v>
      </c>
    </row>
    <row r="2396">
      <c r="A2396" s="1">
        <v>2395.0</v>
      </c>
      <c r="B2396" s="1" t="s">
        <v>4357</v>
      </c>
      <c r="C2396" s="1" t="s">
        <v>25</v>
      </c>
      <c r="K2396" s="1">
        <v>60.0</v>
      </c>
      <c r="N2396" s="5">
        <v>45727.0</v>
      </c>
      <c r="Q2396" s="1" t="s">
        <v>2296</v>
      </c>
    </row>
    <row r="2397">
      <c r="A2397" s="1">
        <v>2396.0</v>
      </c>
      <c r="B2397" s="1" t="s">
        <v>4358</v>
      </c>
      <c r="C2397" s="1" t="s">
        <v>25</v>
      </c>
      <c r="K2397" s="1">
        <v>80.0</v>
      </c>
      <c r="N2397" s="5">
        <v>45376.0</v>
      </c>
      <c r="Q2397" s="1" t="s">
        <v>1387</v>
      </c>
    </row>
    <row r="2398">
      <c r="A2398" s="1">
        <v>2397.0</v>
      </c>
      <c r="B2398" s="1" t="s">
        <v>4359</v>
      </c>
      <c r="C2398" s="1" t="s">
        <v>25</v>
      </c>
      <c r="K2398" s="1">
        <v>20.0</v>
      </c>
      <c r="N2398" s="5">
        <v>45267.0</v>
      </c>
      <c r="Q2398" s="1" t="s">
        <v>4360</v>
      </c>
    </row>
    <row r="2399">
      <c r="A2399" s="1">
        <v>2398.0</v>
      </c>
      <c r="B2399" s="1" t="s">
        <v>4361</v>
      </c>
      <c r="C2399" s="1" t="s">
        <v>25</v>
      </c>
      <c r="K2399" s="1">
        <v>100.0</v>
      </c>
      <c r="N2399" s="5">
        <v>44315.0</v>
      </c>
      <c r="Q2399" s="1" t="s">
        <v>4362</v>
      </c>
    </row>
    <row r="2400">
      <c r="A2400" s="1">
        <v>2399.0</v>
      </c>
      <c r="B2400" s="1" t="s">
        <v>4363</v>
      </c>
      <c r="C2400" s="1" t="s">
        <v>25</v>
      </c>
      <c r="K2400" s="1">
        <v>90.0</v>
      </c>
      <c r="N2400" s="5">
        <v>43841.0</v>
      </c>
      <c r="Q2400" s="1" t="s">
        <v>4364</v>
      </c>
    </row>
    <row r="2401">
      <c r="A2401" s="1">
        <v>2400.0</v>
      </c>
      <c r="B2401" s="1" t="s">
        <v>4365</v>
      </c>
      <c r="C2401" s="1" t="s">
        <v>25</v>
      </c>
      <c r="K2401" s="1">
        <v>60.0</v>
      </c>
      <c r="N2401" s="5">
        <v>44529.0</v>
      </c>
      <c r="Q2401" s="1" t="s">
        <v>4366</v>
      </c>
    </row>
    <row r="2402">
      <c r="A2402" s="1">
        <v>2401.0</v>
      </c>
      <c r="B2402" s="1" t="s">
        <v>4367</v>
      </c>
      <c r="C2402" s="1" t="s">
        <v>25</v>
      </c>
      <c r="N2402" s="5">
        <v>44390.0</v>
      </c>
      <c r="Q2402" s="1" t="s">
        <v>55</v>
      </c>
    </row>
    <row r="2403">
      <c r="A2403" s="1">
        <v>2402.0</v>
      </c>
      <c r="B2403" s="1" t="s">
        <v>4368</v>
      </c>
      <c r="C2403" s="1" t="s">
        <v>25</v>
      </c>
      <c r="K2403" s="1">
        <v>200.0</v>
      </c>
      <c r="N2403" s="5">
        <v>44598.0</v>
      </c>
      <c r="Q2403" s="1" t="s">
        <v>4369</v>
      </c>
    </row>
    <row r="2404">
      <c r="A2404" s="1">
        <v>2403.0</v>
      </c>
      <c r="B2404" s="1" t="s">
        <v>4370</v>
      </c>
      <c r="C2404" s="1" t="s">
        <v>25</v>
      </c>
      <c r="K2404" s="1">
        <v>20.0</v>
      </c>
      <c r="N2404" s="5">
        <v>44578.0</v>
      </c>
      <c r="Q2404" s="1" t="s">
        <v>4371</v>
      </c>
    </row>
    <row r="2405">
      <c r="A2405" s="1">
        <v>2404.0</v>
      </c>
      <c r="B2405" s="1" t="s">
        <v>4372</v>
      </c>
      <c r="C2405" s="1" t="s">
        <v>25</v>
      </c>
      <c r="K2405" s="1">
        <v>150.0</v>
      </c>
      <c r="N2405" s="5">
        <v>43990.0</v>
      </c>
      <c r="Q2405" s="1" t="s">
        <v>4373</v>
      </c>
    </row>
    <row r="2406">
      <c r="A2406" s="1">
        <v>2405.0</v>
      </c>
      <c r="B2406" s="1" t="s">
        <v>4374</v>
      </c>
      <c r="C2406" s="1" t="s">
        <v>25</v>
      </c>
      <c r="N2406" s="5">
        <v>42264.0</v>
      </c>
      <c r="Q2406" s="1" t="s">
        <v>55</v>
      </c>
    </row>
    <row r="2407">
      <c r="A2407" s="1">
        <v>2406.0</v>
      </c>
      <c r="B2407" s="1" t="s">
        <v>229</v>
      </c>
      <c r="C2407" s="1" t="s">
        <v>25</v>
      </c>
      <c r="K2407" s="1">
        <v>40.0</v>
      </c>
      <c r="N2407" s="5">
        <v>43279.0</v>
      </c>
      <c r="Q2407" s="1" t="s">
        <v>232</v>
      </c>
    </row>
    <row r="2408">
      <c r="A2408" s="1">
        <v>2407.0</v>
      </c>
      <c r="B2408" s="1" t="s">
        <v>4375</v>
      </c>
      <c r="C2408" s="1" t="s">
        <v>25</v>
      </c>
      <c r="K2408" s="1">
        <v>70.0</v>
      </c>
      <c r="N2408" s="5">
        <v>43898.0</v>
      </c>
      <c r="Q2408" s="1" t="s">
        <v>55</v>
      </c>
    </row>
    <row r="2409">
      <c r="A2409" s="1">
        <v>2408.0</v>
      </c>
      <c r="B2409" s="1" t="s">
        <v>4376</v>
      </c>
      <c r="C2409" s="1" t="s">
        <v>25</v>
      </c>
      <c r="K2409" s="1">
        <v>100.0</v>
      </c>
      <c r="N2409" s="5">
        <v>44363.0</v>
      </c>
      <c r="Q2409" s="1" t="s">
        <v>125</v>
      </c>
    </row>
    <row r="2410">
      <c r="A2410" s="1">
        <v>2409.0</v>
      </c>
      <c r="B2410" s="1" t="s">
        <v>4377</v>
      </c>
      <c r="C2410" s="1" t="s">
        <v>25</v>
      </c>
      <c r="K2410" s="1">
        <v>10.0</v>
      </c>
      <c r="N2410" s="5">
        <v>45165.0</v>
      </c>
      <c r="Q2410" s="1" t="s">
        <v>55</v>
      </c>
    </row>
    <row r="2411">
      <c r="A2411" s="1">
        <v>2410.0</v>
      </c>
      <c r="B2411" s="1" t="s">
        <v>4378</v>
      </c>
      <c r="C2411" s="1" t="s">
        <v>25</v>
      </c>
      <c r="K2411" s="1">
        <v>10.0</v>
      </c>
      <c r="N2411" s="5">
        <v>44130.0</v>
      </c>
      <c r="Q2411" s="1" t="s">
        <v>55</v>
      </c>
    </row>
    <row r="2412">
      <c r="A2412" s="1">
        <v>2411.0</v>
      </c>
      <c r="B2412" s="1" t="s">
        <v>4379</v>
      </c>
      <c r="C2412" s="1" t="s">
        <v>25</v>
      </c>
      <c r="N2412" s="5">
        <v>44567.0</v>
      </c>
      <c r="Q2412" s="1" t="s">
        <v>55</v>
      </c>
    </row>
    <row r="2413">
      <c r="A2413" s="1">
        <v>2412.0</v>
      </c>
      <c r="B2413" s="1" t="s">
        <v>4380</v>
      </c>
      <c r="C2413" s="1" t="s">
        <v>25</v>
      </c>
      <c r="N2413" s="5">
        <v>45482.0</v>
      </c>
      <c r="Q2413" s="1" t="s">
        <v>838</v>
      </c>
    </row>
    <row r="2414">
      <c r="A2414" s="1">
        <v>2413.0</v>
      </c>
      <c r="B2414" s="1" t="s">
        <v>4381</v>
      </c>
      <c r="C2414" s="1" t="s">
        <v>25</v>
      </c>
      <c r="K2414" s="1">
        <v>60.0</v>
      </c>
      <c r="N2414" s="5">
        <v>45442.0</v>
      </c>
      <c r="Q2414" s="1" t="s">
        <v>4382</v>
      </c>
    </row>
    <row r="2415">
      <c r="A2415" s="1">
        <v>2414.0</v>
      </c>
      <c r="B2415" s="1" t="s">
        <v>4383</v>
      </c>
      <c r="C2415" s="1" t="s">
        <v>25</v>
      </c>
      <c r="K2415" s="1">
        <v>30.0</v>
      </c>
      <c r="N2415" s="5">
        <v>45677.0</v>
      </c>
      <c r="Q2415" s="1" t="s">
        <v>4384</v>
      </c>
    </row>
    <row r="2416">
      <c r="A2416" s="1">
        <v>2415.0</v>
      </c>
      <c r="B2416" s="1" t="s">
        <v>1802</v>
      </c>
      <c r="C2416" s="1" t="s">
        <v>25</v>
      </c>
      <c r="K2416" s="1">
        <v>40.0</v>
      </c>
      <c r="N2416" s="5">
        <v>45608.0</v>
      </c>
      <c r="Q2416" s="1" t="s">
        <v>4385</v>
      </c>
    </row>
    <row r="2417">
      <c r="A2417" s="1">
        <v>2416.0</v>
      </c>
      <c r="B2417" s="1" t="s">
        <v>4386</v>
      </c>
      <c r="C2417" s="1" t="s">
        <v>25</v>
      </c>
      <c r="K2417" s="1">
        <v>10.0</v>
      </c>
      <c r="N2417" s="5">
        <v>44078.0</v>
      </c>
      <c r="Q2417" s="1" t="s">
        <v>55</v>
      </c>
    </row>
    <row r="2418">
      <c r="A2418" s="1">
        <v>2417.0</v>
      </c>
      <c r="B2418" s="1" t="s">
        <v>4387</v>
      </c>
      <c r="C2418" s="1" t="s">
        <v>25</v>
      </c>
      <c r="K2418" s="1">
        <v>30.0</v>
      </c>
      <c r="N2418" s="5">
        <v>44319.0</v>
      </c>
      <c r="Q2418" s="1" t="s">
        <v>55</v>
      </c>
    </row>
    <row r="2419">
      <c r="A2419" s="1">
        <v>2418.0</v>
      </c>
      <c r="B2419" s="1" t="s">
        <v>4388</v>
      </c>
      <c r="C2419" s="1" t="s">
        <v>25</v>
      </c>
      <c r="K2419" s="1">
        <v>30.0</v>
      </c>
      <c r="N2419" s="5">
        <v>44361.0</v>
      </c>
      <c r="Q2419" s="1" t="s">
        <v>125</v>
      </c>
    </row>
    <row r="2420">
      <c r="A2420" s="1">
        <v>2419.0</v>
      </c>
      <c r="B2420" s="1" t="s">
        <v>4389</v>
      </c>
      <c r="C2420" s="1" t="s">
        <v>25</v>
      </c>
      <c r="N2420" s="5">
        <v>44283.0</v>
      </c>
      <c r="Q2420" s="1" t="s">
        <v>55</v>
      </c>
    </row>
    <row r="2421">
      <c r="A2421" s="1">
        <v>2420.0</v>
      </c>
      <c r="B2421" s="1" t="s">
        <v>4390</v>
      </c>
      <c r="C2421" s="1" t="s">
        <v>25</v>
      </c>
      <c r="K2421" s="1">
        <v>70.0</v>
      </c>
      <c r="N2421" s="5">
        <v>45502.0</v>
      </c>
      <c r="Q2421" s="1" t="s">
        <v>4391</v>
      </c>
    </row>
    <row r="2422">
      <c r="A2422" s="1">
        <v>2421.0</v>
      </c>
      <c r="B2422" s="1" t="s">
        <v>4392</v>
      </c>
      <c r="C2422" s="1" t="s">
        <v>25</v>
      </c>
      <c r="N2422" s="5">
        <v>45712.0</v>
      </c>
      <c r="Q2422" s="1" t="s">
        <v>1931</v>
      </c>
    </row>
    <row r="2423">
      <c r="A2423" s="1">
        <v>2422.0</v>
      </c>
      <c r="B2423" s="1" t="s">
        <v>4393</v>
      </c>
      <c r="C2423" s="1" t="s">
        <v>25</v>
      </c>
      <c r="K2423" s="1">
        <v>30.0</v>
      </c>
      <c r="N2423" s="5">
        <v>44364.0</v>
      </c>
      <c r="Q2423" s="1" t="s">
        <v>4394</v>
      </c>
    </row>
    <row r="2424">
      <c r="A2424" s="1">
        <v>2423.0</v>
      </c>
      <c r="B2424" s="1" t="s">
        <v>4395</v>
      </c>
      <c r="C2424" s="1" t="s">
        <v>25</v>
      </c>
      <c r="N2424" s="5">
        <v>44605.0</v>
      </c>
      <c r="Q2424" s="1" t="s">
        <v>55</v>
      </c>
    </row>
    <row r="2425">
      <c r="A2425" s="1">
        <v>2424.0</v>
      </c>
      <c r="B2425" s="1" t="s">
        <v>4396</v>
      </c>
      <c r="C2425" s="1" t="s">
        <v>25</v>
      </c>
      <c r="K2425" s="1">
        <v>100.0</v>
      </c>
      <c r="N2425" s="5">
        <v>43981.0</v>
      </c>
      <c r="Q2425" s="1" t="s">
        <v>4397</v>
      </c>
    </row>
    <row r="2426">
      <c r="A2426" s="1">
        <v>2425.0</v>
      </c>
      <c r="B2426" s="1" t="s">
        <v>4398</v>
      </c>
      <c r="C2426" s="1" t="s">
        <v>25</v>
      </c>
      <c r="N2426" s="5">
        <v>44973.0</v>
      </c>
      <c r="Q2426" s="1" t="s">
        <v>55</v>
      </c>
    </row>
    <row r="2427">
      <c r="A2427" s="1">
        <v>2426.0</v>
      </c>
      <c r="B2427" s="1" t="s">
        <v>4399</v>
      </c>
      <c r="C2427" s="1" t="s">
        <v>25</v>
      </c>
      <c r="N2427" s="5">
        <v>44069.0</v>
      </c>
      <c r="Q2427" s="1" t="s">
        <v>55</v>
      </c>
    </row>
    <row r="2428">
      <c r="A2428" s="1">
        <v>2427.0</v>
      </c>
      <c r="B2428" s="1" t="s">
        <v>4400</v>
      </c>
      <c r="C2428" s="1" t="s">
        <v>25</v>
      </c>
      <c r="K2428" s="1">
        <v>20.0</v>
      </c>
      <c r="N2428" s="5">
        <v>45653.0</v>
      </c>
      <c r="Q2428" s="1" t="s">
        <v>4401</v>
      </c>
    </row>
    <row r="2429">
      <c r="A2429" s="1">
        <v>2428.0</v>
      </c>
      <c r="B2429" s="1" t="s">
        <v>4402</v>
      </c>
      <c r="C2429" s="1" t="s">
        <v>25</v>
      </c>
      <c r="K2429" s="1">
        <v>20.0</v>
      </c>
      <c r="N2429" s="5">
        <v>44045.0</v>
      </c>
      <c r="Q2429" s="1" t="s">
        <v>4403</v>
      </c>
    </row>
    <row r="2430">
      <c r="A2430" s="1">
        <v>2429.0</v>
      </c>
      <c r="B2430" s="1" t="s">
        <v>4404</v>
      </c>
      <c r="C2430" s="1" t="s">
        <v>25</v>
      </c>
      <c r="K2430" s="1">
        <v>70.0</v>
      </c>
      <c r="N2430" s="5">
        <v>44483.0</v>
      </c>
      <c r="Q2430" s="1" t="s">
        <v>4405</v>
      </c>
    </row>
    <row r="2431">
      <c r="A2431" s="1">
        <v>2430.0</v>
      </c>
      <c r="B2431" s="1" t="s">
        <v>4406</v>
      </c>
      <c r="C2431" s="1" t="s">
        <v>25</v>
      </c>
      <c r="K2431" s="1">
        <v>40.0</v>
      </c>
      <c r="N2431" s="5">
        <v>44641.0</v>
      </c>
      <c r="Q2431" s="1" t="s">
        <v>4407</v>
      </c>
    </row>
    <row r="2432">
      <c r="A2432" s="1">
        <v>2431.0</v>
      </c>
      <c r="B2432" s="1" t="s">
        <v>4408</v>
      </c>
      <c r="C2432" s="1" t="s">
        <v>25</v>
      </c>
      <c r="K2432" s="1">
        <v>100.0</v>
      </c>
      <c r="N2432" s="5">
        <v>45104.0</v>
      </c>
      <c r="Q2432" s="1" t="s">
        <v>4409</v>
      </c>
    </row>
    <row r="2433">
      <c r="A2433" s="1">
        <v>2432.0</v>
      </c>
      <c r="B2433" s="1" t="s">
        <v>4410</v>
      </c>
      <c r="C2433" s="1" t="s">
        <v>25</v>
      </c>
      <c r="N2433" s="5">
        <v>42354.0</v>
      </c>
      <c r="O2433" s="1" t="s">
        <v>1596</v>
      </c>
      <c r="P2433" s="1" t="s">
        <v>36</v>
      </c>
      <c r="Q2433" s="1" t="s">
        <v>55</v>
      </c>
      <c r="S2433" s="1" t="s">
        <v>40</v>
      </c>
    </row>
    <row r="2434">
      <c r="A2434" s="1">
        <v>2433.0</v>
      </c>
      <c r="B2434" s="1" t="s">
        <v>4411</v>
      </c>
      <c r="C2434" s="1" t="s">
        <v>25</v>
      </c>
      <c r="N2434" s="5">
        <v>44160.0</v>
      </c>
      <c r="Q2434" s="1" t="s">
        <v>851</v>
      </c>
    </row>
    <row r="2435">
      <c r="A2435" s="1">
        <v>2434.0</v>
      </c>
      <c r="B2435" s="1" t="s">
        <v>4412</v>
      </c>
      <c r="C2435" s="1" t="s">
        <v>25</v>
      </c>
      <c r="K2435" s="1">
        <v>250.0</v>
      </c>
      <c r="N2435" s="5">
        <v>43874.0</v>
      </c>
      <c r="Q2435" s="1" t="s">
        <v>4413</v>
      </c>
    </row>
    <row r="2436">
      <c r="A2436" s="1">
        <v>2435.0</v>
      </c>
      <c r="B2436" s="1" t="s">
        <v>4414</v>
      </c>
      <c r="C2436" s="1" t="s">
        <v>25</v>
      </c>
      <c r="K2436" s="1">
        <v>10.0</v>
      </c>
      <c r="N2436" s="5">
        <v>45179.0</v>
      </c>
      <c r="Q2436" s="1" t="s">
        <v>55</v>
      </c>
    </row>
    <row r="2437">
      <c r="A2437" s="1">
        <v>2436.0</v>
      </c>
      <c r="B2437" s="1" t="s">
        <v>4415</v>
      </c>
      <c r="C2437" s="1" t="s">
        <v>25</v>
      </c>
      <c r="K2437" s="1">
        <v>40.0</v>
      </c>
      <c r="N2437" s="5">
        <v>44374.0</v>
      </c>
      <c r="Q2437" s="1" t="s">
        <v>4416</v>
      </c>
    </row>
    <row r="2438">
      <c r="A2438" s="1">
        <v>2437.0</v>
      </c>
      <c r="B2438" s="1" t="s">
        <v>4417</v>
      </c>
      <c r="C2438" s="1" t="s">
        <v>25</v>
      </c>
      <c r="K2438" s="1">
        <v>80.0</v>
      </c>
      <c r="N2438" s="5">
        <v>43910.0</v>
      </c>
      <c r="Q2438" s="1" t="s">
        <v>4418</v>
      </c>
    </row>
    <row r="2439">
      <c r="A2439" s="1">
        <v>2438.0</v>
      </c>
      <c r="B2439" s="1" t="s">
        <v>4419</v>
      </c>
      <c r="C2439" s="1" t="s">
        <v>25</v>
      </c>
      <c r="K2439" s="1">
        <v>40.0</v>
      </c>
      <c r="N2439" s="5">
        <v>44123.0</v>
      </c>
      <c r="Q2439" s="1" t="s">
        <v>55</v>
      </c>
    </row>
    <row r="2440">
      <c r="A2440" s="1">
        <v>2439.0</v>
      </c>
      <c r="B2440" s="1" t="s">
        <v>4420</v>
      </c>
      <c r="C2440" s="1" t="s">
        <v>25</v>
      </c>
      <c r="K2440" s="1">
        <v>60.0</v>
      </c>
      <c r="N2440" s="5">
        <v>44372.0</v>
      </c>
      <c r="Q2440" s="1" t="s">
        <v>1948</v>
      </c>
    </row>
    <row r="2441">
      <c r="A2441" s="1">
        <v>2440.0</v>
      </c>
      <c r="B2441" s="1" t="s">
        <v>4421</v>
      </c>
      <c r="C2441" s="1" t="s">
        <v>25</v>
      </c>
      <c r="K2441" s="1">
        <v>40.0</v>
      </c>
      <c r="N2441" s="5">
        <v>44290.0</v>
      </c>
      <c r="Q2441" s="1" t="s">
        <v>46</v>
      </c>
    </row>
    <row r="2442">
      <c r="A2442" s="1">
        <v>2441.0</v>
      </c>
      <c r="B2442" s="1" t="s">
        <v>4422</v>
      </c>
      <c r="C2442" s="1" t="s">
        <v>25</v>
      </c>
      <c r="K2442" s="1">
        <v>90.0</v>
      </c>
      <c r="N2442" s="5">
        <v>45727.0</v>
      </c>
      <c r="Q2442" s="1" t="s">
        <v>4423</v>
      </c>
    </row>
    <row r="2443">
      <c r="A2443" s="1">
        <v>2442.0</v>
      </c>
      <c r="B2443" s="1" t="s">
        <v>247</v>
      </c>
      <c r="C2443" s="1" t="s">
        <v>25</v>
      </c>
      <c r="K2443" s="1">
        <v>20.0</v>
      </c>
      <c r="N2443" s="5">
        <v>45144.0</v>
      </c>
      <c r="Q2443" s="1" t="s">
        <v>250</v>
      </c>
    </row>
    <row r="2444">
      <c r="A2444" s="1">
        <v>2443.0</v>
      </c>
      <c r="B2444" s="1" t="s">
        <v>4424</v>
      </c>
      <c r="C2444" s="1" t="s">
        <v>25</v>
      </c>
      <c r="K2444" s="1">
        <v>80.0</v>
      </c>
      <c r="N2444" s="5">
        <v>44957.0</v>
      </c>
      <c r="Q2444" s="1" t="s">
        <v>55</v>
      </c>
    </row>
    <row r="2445">
      <c r="A2445" s="1">
        <v>2444.0</v>
      </c>
      <c r="B2445" s="1" t="s">
        <v>4425</v>
      </c>
      <c r="C2445" s="1" t="s">
        <v>25</v>
      </c>
      <c r="K2445" s="1">
        <v>250.0</v>
      </c>
      <c r="N2445" s="5">
        <v>45827.0</v>
      </c>
      <c r="Q2445" s="1" t="s">
        <v>4426</v>
      </c>
    </row>
    <row r="2446">
      <c r="A2446" s="1">
        <v>2445.0</v>
      </c>
      <c r="B2446" s="1" t="s">
        <v>4427</v>
      </c>
      <c r="C2446" s="1" t="s">
        <v>25</v>
      </c>
      <c r="K2446" s="1">
        <v>90.0</v>
      </c>
      <c r="N2446" s="5">
        <v>44120.0</v>
      </c>
      <c r="Q2446" s="1" t="s">
        <v>4428</v>
      </c>
    </row>
    <row r="2447">
      <c r="A2447" s="1">
        <v>2446.0</v>
      </c>
      <c r="B2447" s="1" t="s">
        <v>4429</v>
      </c>
      <c r="C2447" s="1" t="s">
        <v>25</v>
      </c>
      <c r="N2447" s="5">
        <v>44190.0</v>
      </c>
      <c r="Q2447" s="1" t="s">
        <v>55</v>
      </c>
    </row>
    <row r="2448">
      <c r="A2448" s="1">
        <v>2447.0</v>
      </c>
      <c r="B2448" s="1" t="s">
        <v>4430</v>
      </c>
      <c r="C2448" s="1" t="s">
        <v>25</v>
      </c>
      <c r="K2448" s="1">
        <v>200.0</v>
      </c>
      <c r="N2448" s="5">
        <v>45779.0</v>
      </c>
      <c r="Q2448" s="1" t="s">
        <v>4431</v>
      </c>
    </row>
    <row r="2449">
      <c r="A2449" s="1">
        <v>2448.0</v>
      </c>
      <c r="B2449" s="1" t="s">
        <v>4432</v>
      </c>
      <c r="C2449" s="1" t="s">
        <v>25</v>
      </c>
      <c r="N2449" s="5">
        <v>43873.0</v>
      </c>
      <c r="Q2449" s="1" t="s">
        <v>55</v>
      </c>
    </row>
    <row r="2450">
      <c r="A2450" s="1">
        <v>2449.0</v>
      </c>
      <c r="B2450" s="1" t="s">
        <v>4433</v>
      </c>
      <c r="C2450" s="1" t="s">
        <v>25</v>
      </c>
      <c r="K2450" s="1">
        <v>100.0</v>
      </c>
      <c r="N2450" s="5">
        <v>44212.0</v>
      </c>
      <c r="Q2450" s="1" t="s">
        <v>4434</v>
      </c>
    </row>
    <row r="2451">
      <c r="A2451" s="1">
        <v>2450.0</v>
      </c>
      <c r="B2451" s="1" t="s">
        <v>4435</v>
      </c>
      <c r="C2451" s="1" t="s">
        <v>25</v>
      </c>
      <c r="K2451" s="1">
        <v>200.0</v>
      </c>
      <c r="N2451" s="5">
        <v>43996.0</v>
      </c>
      <c r="Q2451" s="1" t="s">
        <v>4436</v>
      </c>
    </row>
    <row r="2452">
      <c r="A2452" s="1">
        <v>2451.0</v>
      </c>
      <c r="B2452" s="1" t="s">
        <v>4437</v>
      </c>
      <c r="C2452" s="1" t="s">
        <v>25</v>
      </c>
      <c r="K2452" s="1">
        <v>40.0</v>
      </c>
      <c r="N2452" s="5">
        <v>45630.0</v>
      </c>
      <c r="Q2452" s="1" t="s">
        <v>4438</v>
      </c>
    </row>
    <row r="2453">
      <c r="A2453" s="1">
        <v>2452.0</v>
      </c>
      <c r="B2453" s="1" t="s">
        <v>4439</v>
      </c>
      <c r="C2453" s="1" t="s">
        <v>25</v>
      </c>
      <c r="K2453" s="1">
        <v>60.0</v>
      </c>
      <c r="N2453" s="5">
        <v>44242.0</v>
      </c>
      <c r="Q2453" s="1" t="s">
        <v>4440</v>
      </c>
    </row>
    <row r="2454">
      <c r="A2454" s="1">
        <v>2453.0</v>
      </c>
      <c r="B2454" s="1" t="s">
        <v>4441</v>
      </c>
      <c r="C2454" s="1" t="s">
        <v>25</v>
      </c>
      <c r="K2454" s="1">
        <v>20.0</v>
      </c>
      <c r="N2454" s="5">
        <v>46173.0</v>
      </c>
      <c r="Q2454" s="1" t="s">
        <v>4442</v>
      </c>
    </row>
    <row r="2455">
      <c r="A2455" s="1">
        <v>2454.0</v>
      </c>
      <c r="B2455" s="1" t="s">
        <v>4443</v>
      </c>
      <c r="C2455" s="1" t="s">
        <v>25</v>
      </c>
      <c r="N2455" s="5">
        <v>43970.0</v>
      </c>
      <c r="Q2455" s="1" t="s">
        <v>55</v>
      </c>
    </row>
    <row r="2456">
      <c r="A2456" s="1">
        <v>2455.0</v>
      </c>
      <c r="B2456" s="1" t="s">
        <v>4444</v>
      </c>
      <c r="C2456" s="1" t="s">
        <v>25</v>
      </c>
      <c r="N2456" s="5">
        <v>45340.0</v>
      </c>
      <c r="Q2456" s="1" t="s">
        <v>851</v>
      </c>
    </row>
    <row r="2457">
      <c r="A2457" s="1">
        <v>2456.0</v>
      </c>
      <c r="B2457" s="1" t="s">
        <v>4445</v>
      </c>
      <c r="C2457" s="1" t="s">
        <v>25</v>
      </c>
      <c r="N2457" s="5">
        <v>44048.0</v>
      </c>
      <c r="Q2457" s="1" t="s">
        <v>55</v>
      </c>
    </row>
    <row r="2458">
      <c r="A2458" s="1">
        <v>2457.0</v>
      </c>
      <c r="B2458" s="1" t="s">
        <v>4446</v>
      </c>
      <c r="C2458" s="1" t="s">
        <v>25</v>
      </c>
      <c r="K2458" s="1">
        <v>400.0</v>
      </c>
      <c r="N2458" s="5">
        <v>44504.0</v>
      </c>
      <c r="Q2458" s="1" t="s">
        <v>4447</v>
      </c>
    </row>
    <row r="2459">
      <c r="A2459" s="1">
        <v>2458.0</v>
      </c>
      <c r="B2459" s="1" t="s">
        <v>4448</v>
      </c>
      <c r="C2459" s="1" t="s">
        <v>25</v>
      </c>
      <c r="N2459" s="5">
        <v>45259.0</v>
      </c>
      <c r="Q2459" s="1" t="s">
        <v>55</v>
      </c>
    </row>
    <row r="2460">
      <c r="A2460" s="1">
        <v>2459.0</v>
      </c>
      <c r="B2460" s="1" t="s">
        <v>4449</v>
      </c>
      <c r="C2460" s="1" t="s">
        <v>25</v>
      </c>
      <c r="K2460" s="1">
        <v>30.0</v>
      </c>
      <c r="N2460" s="5">
        <v>43847.0</v>
      </c>
      <c r="Q2460" s="1" t="s">
        <v>2157</v>
      </c>
    </row>
    <row r="2461">
      <c r="A2461" s="1">
        <v>2460.0</v>
      </c>
      <c r="B2461" s="1" t="s">
        <v>4450</v>
      </c>
      <c r="C2461" s="1" t="s">
        <v>25</v>
      </c>
      <c r="K2461" s="1">
        <v>90.0</v>
      </c>
      <c r="N2461" s="5">
        <v>45689.0</v>
      </c>
      <c r="Q2461" s="1" t="s">
        <v>4451</v>
      </c>
    </row>
    <row r="2462">
      <c r="A2462" s="1">
        <v>2461.0</v>
      </c>
      <c r="B2462" s="1" t="s">
        <v>4452</v>
      </c>
      <c r="C2462" s="1" t="s">
        <v>25</v>
      </c>
      <c r="K2462" s="1">
        <v>150.0</v>
      </c>
      <c r="N2462" s="5">
        <v>43919.0</v>
      </c>
      <c r="Q2462" s="1" t="s">
        <v>4453</v>
      </c>
    </row>
    <row r="2463">
      <c r="A2463" s="1">
        <v>2462.0</v>
      </c>
      <c r="B2463" s="1" t="s">
        <v>4454</v>
      </c>
      <c r="C2463" s="1" t="s">
        <v>25</v>
      </c>
      <c r="K2463" s="1">
        <v>100.0</v>
      </c>
      <c r="N2463" s="5">
        <v>44101.0</v>
      </c>
      <c r="Q2463" s="1" t="s">
        <v>4455</v>
      </c>
    </row>
    <row r="2464">
      <c r="A2464" s="1">
        <v>2463.0</v>
      </c>
      <c r="B2464" s="1" t="s">
        <v>4456</v>
      </c>
      <c r="C2464" s="1" t="s">
        <v>25</v>
      </c>
      <c r="K2464" s="1">
        <v>100.0</v>
      </c>
      <c r="N2464" s="5">
        <v>45657.0</v>
      </c>
      <c r="Q2464" s="1" t="s">
        <v>2828</v>
      </c>
    </row>
    <row r="2465">
      <c r="A2465" s="1">
        <v>2464.0</v>
      </c>
      <c r="B2465" s="1" t="s">
        <v>4457</v>
      </c>
      <c r="C2465" s="1" t="s">
        <v>25</v>
      </c>
      <c r="K2465" s="1">
        <v>30.0</v>
      </c>
      <c r="N2465" s="5">
        <v>44300.0</v>
      </c>
      <c r="Q2465" s="1" t="s">
        <v>4458</v>
      </c>
    </row>
    <row r="2466">
      <c r="A2466" s="1">
        <v>2465.0</v>
      </c>
      <c r="B2466" s="1" t="s">
        <v>4459</v>
      </c>
      <c r="C2466" s="1" t="s">
        <v>25</v>
      </c>
      <c r="K2466" s="1">
        <v>450.0</v>
      </c>
      <c r="N2466" s="5">
        <v>43403.0</v>
      </c>
      <c r="Q2466" s="1" t="s">
        <v>4460</v>
      </c>
    </row>
    <row r="2467">
      <c r="A2467" s="1">
        <v>2466.0</v>
      </c>
      <c r="B2467" s="1" t="s">
        <v>4461</v>
      </c>
      <c r="C2467" s="1" t="s">
        <v>25</v>
      </c>
      <c r="N2467" s="5">
        <v>44599.0</v>
      </c>
      <c r="Q2467" s="1" t="s">
        <v>55</v>
      </c>
    </row>
    <row r="2468">
      <c r="A2468" s="1">
        <v>2467.0</v>
      </c>
      <c r="B2468" s="1" t="s">
        <v>4462</v>
      </c>
      <c r="C2468" s="1" t="s">
        <v>25</v>
      </c>
      <c r="K2468" s="1">
        <v>10.0</v>
      </c>
      <c r="N2468" s="5">
        <v>43870.0</v>
      </c>
      <c r="Q2468" s="1" t="s">
        <v>4463</v>
      </c>
    </row>
    <row r="2469">
      <c r="A2469" s="1">
        <v>2468.0</v>
      </c>
      <c r="B2469" s="1" t="s">
        <v>4464</v>
      </c>
      <c r="C2469" s="1" t="s">
        <v>25</v>
      </c>
      <c r="K2469" s="1">
        <v>10.0</v>
      </c>
      <c r="N2469" s="5">
        <v>45218.0</v>
      </c>
      <c r="Q2469" s="1" t="s">
        <v>55</v>
      </c>
    </row>
    <row r="2470">
      <c r="A2470" s="1">
        <v>2469.0</v>
      </c>
      <c r="B2470" s="1" t="s">
        <v>4465</v>
      </c>
      <c r="C2470" s="1" t="s">
        <v>25</v>
      </c>
      <c r="N2470" s="5">
        <v>45017.0</v>
      </c>
      <c r="Q2470" s="1" t="s">
        <v>55</v>
      </c>
    </row>
    <row r="2471">
      <c r="A2471" s="1">
        <v>2470.0</v>
      </c>
      <c r="B2471" s="1" t="s">
        <v>4466</v>
      </c>
      <c r="C2471" s="1" t="s">
        <v>25</v>
      </c>
      <c r="K2471" s="1">
        <v>30.0</v>
      </c>
      <c r="N2471" s="5">
        <v>44269.0</v>
      </c>
      <c r="Q2471" s="1" t="s">
        <v>4467</v>
      </c>
    </row>
    <row r="2472">
      <c r="A2472" s="1">
        <v>2471.0</v>
      </c>
      <c r="B2472" s="1" t="s">
        <v>4468</v>
      </c>
      <c r="C2472" s="1" t="s">
        <v>25</v>
      </c>
      <c r="K2472" s="1">
        <v>30.0</v>
      </c>
      <c r="N2472" s="5">
        <v>43973.0</v>
      </c>
      <c r="Q2472" s="1" t="s">
        <v>1471</v>
      </c>
    </row>
    <row r="2473">
      <c r="A2473" s="1">
        <v>2472.0</v>
      </c>
      <c r="B2473" s="1" t="s">
        <v>4469</v>
      </c>
      <c r="C2473" s="1" t="s">
        <v>25</v>
      </c>
      <c r="K2473" s="1">
        <v>150.0</v>
      </c>
      <c r="N2473" s="5">
        <v>43840.0</v>
      </c>
      <c r="Q2473" s="1" t="s">
        <v>4470</v>
      </c>
    </row>
    <row r="2474">
      <c r="A2474" s="1">
        <v>2473.0</v>
      </c>
      <c r="B2474" s="1" t="s">
        <v>4471</v>
      </c>
      <c r="C2474" s="1" t="s">
        <v>25</v>
      </c>
      <c r="K2474" s="1">
        <v>50.0</v>
      </c>
      <c r="N2474" s="5">
        <v>45375.0</v>
      </c>
      <c r="Q2474" s="1" t="s">
        <v>55</v>
      </c>
    </row>
    <row r="2475">
      <c r="A2475" s="1">
        <v>2474.0</v>
      </c>
      <c r="B2475" s="1" t="s">
        <v>4472</v>
      </c>
      <c r="C2475" s="1" t="s">
        <v>25</v>
      </c>
      <c r="N2475" s="5">
        <v>44389.0</v>
      </c>
      <c r="Q2475" s="1" t="s">
        <v>55</v>
      </c>
    </row>
    <row r="2476">
      <c r="A2476" s="1">
        <v>2475.0</v>
      </c>
      <c r="B2476" s="1" t="s">
        <v>4473</v>
      </c>
      <c r="C2476" s="1" t="s">
        <v>25</v>
      </c>
      <c r="K2476" s="1">
        <v>150.0</v>
      </c>
      <c r="N2476" s="5">
        <v>44298.0</v>
      </c>
      <c r="Q2476" s="1" t="s">
        <v>4474</v>
      </c>
    </row>
    <row r="2477">
      <c r="A2477" s="1">
        <v>2476.0</v>
      </c>
      <c r="B2477" s="1" t="s">
        <v>4475</v>
      </c>
      <c r="C2477" s="1" t="s">
        <v>25</v>
      </c>
      <c r="N2477" s="5">
        <v>44201.0</v>
      </c>
      <c r="Q2477" s="1" t="s">
        <v>55</v>
      </c>
    </row>
    <row r="2478">
      <c r="A2478" s="1">
        <v>2477.0</v>
      </c>
      <c r="B2478" s="1" t="s">
        <v>4476</v>
      </c>
      <c r="C2478" s="1" t="s">
        <v>25</v>
      </c>
      <c r="K2478" s="1">
        <v>70.0</v>
      </c>
      <c r="N2478" s="5">
        <v>44223.0</v>
      </c>
      <c r="Q2478" s="1" t="s">
        <v>93</v>
      </c>
    </row>
    <row r="2479">
      <c r="A2479" s="1">
        <v>2478.0</v>
      </c>
      <c r="B2479" s="1" t="s">
        <v>4477</v>
      </c>
      <c r="C2479" s="1" t="s">
        <v>25</v>
      </c>
      <c r="K2479" s="1">
        <v>30.0</v>
      </c>
      <c r="N2479" s="5">
        <v>45281.0</v>
      </c>
      <c r="Q2479" s="1" t="s">
        <v>4478</v>
      </c>
    </row>
    <row r="2480">
      <c r="A2480" s="1">
        <v>2479.0</v>
      </c>
      <c r="B2480" s="1" t="s">
        <v>4479</v>
      </c>
      <c r="C2480" s="1" t="s">
        <v>25</v>
      </c>
      <c r="N2480" s="5">
        <v>44244.0</v>
      </c>
      <c r="Q2480" s="1" t="s">
        <v>55</v>
      </c>
    </row>
    <row r="2481">
      <c r="A2481" s="1">
        <v>2480.0</v>
      </c>
      <c r="B2481" s="1" t="s">
        <v>4480</v>
      </c>
      <c r="C2481" s="1" t="s">
        <v>25</v>
      </c>
      <c r="K2481" s="1">
        <v>30.0</v>
      </c>
      <c r="N2481" s="5">
        <v>45123.0</v>
      </c>
      <c r="Q2481" s="1" t="s">
        <v>93</v>
      </c>
    </row>
    <row r="2482">
      <c r="A2482" s="1">
        <v>2481.0</v>
      </c>
      <c r="B2482" s="1" t="s">
        <v>4481</v>
      </c>
      <c r="C2482" s="1" t="s">
        <v>25</v>
      </c>
      <c r="K2482" s="1">
        <v>60.0</v>
      </c>
      <c r="N2482" s="5">
        <v>44830.0</v>
      </c>
      <c r="Q2482" s="1" t="s">
        <v>4482</v>
      </c>
    </row>
    <row r="2483">
      <c r="A2483" s="1">
        <v>2482.0</v>
      </c>
      <c r="B2483" s="1" t="s">
        <v>4483</v>
      </c>
      <c r="C2483" s="1" t="s">
        <v>25</v>
      </c>
      <c r="N2483" s="5">
        <v>46101.0</v>
      </c>
      <c r="Q2483" s="1" t="s">
        <v>4484</v>
      </c>
    </row>
    <row r="2484">
      <c r="A2484" s="1">
        <v>2483.0</v>
      </c>
      <c r="B2484" s="1" t="s">
        <v>4485</v>
      </c>
      <c r="C2484" s="1" t="s">
        <v>25</v>
      </c>
      <c r="K2484" s="1">
        <v>40.0</v>
      </c>
      <c r="N2484" s="5">
        <v>44514.0</v>
      </c>
      <c r="Q2484" s="1" t="s">
        <v>2438</v>
      </c>
    </row>
    <row r="2485">
      <c r="A2485" s="1">
        <v>2484.0</v>
      </c>
      <c r="B2485" s="1" t="s">
        <v>4486</v>
      </c>
      <c r="C2485" s="1" t="s">
        <v>25</v>
      </c>
      <c r="N2485" s="5">
        <v>44950.0</v>
      </c>
      <c r="Q2485" s="1" t="s">
        <v>55</v>
      </c>
    </row>
    <row r="2486">
      <c r="A2486" s="1">
        <v>2485.0</v>
      </c>
      <c r="B2486" s="1" t="s">
        <v>4487</v>
      </c>
      <c r="C2486" s="1" t="s">
        <v>25</v>
      </c>
      <c r="K2486" s="1">
        <v>80.0</v>
      </c>
      <c r="N2486" s="5">
        <v>44101.0</v>
      </c>
      <c r="Q2486" s="1" t="s">
        <v>606</v>
      </c>
    </row>
    <row r="2487">
      <c r="A2487" s="1">
        <v>2486.0</v>
      </c>
      <c r="B2487" s="1" t="s">
        <v>4488</v>
      </c>
      <c r="C2487" s="1" t="s">
        <v>25</v>
      </c>
      <c r="K2487" s="1">
        <v>200.0</v>
      </c>
      <c r="N2487" s="5">
        <v>43929.0</v>
      </c>
      <c r="Q2487" s="1" t="s">
        <v>4489</v>
      </c>
    </row>
    <row r="2488">
      <c r="A2488" s="1">
        <v>2487.0</v>
      </c>
      <c r="B2488" s="1" t="s">
        <v>4490</v>
      </c>
      <c r="C2488" s="1" t="s">
        <v>25</v>
      </c>
      <c r="K2488" s="1">
        <v>150.0</v>
      </c>
      <c r="N2488" s="5">
        <v>44283.0</v>
      </c>
      <c r="Q2488" s="1" t="s">
        <v>4491</v>
      </c>
    </row>
    <row r="2489">
      <c r="A2489" s="1">
        <v>2488.0</v>
      </c>
      <c r="B2489" s="1" t="s">
        <v>4492</v>
      </c>
      <c r="C2489" s="1" t="s">
        <v>25</v>
      </c>
      <c r="N2489" s="5">
        <v>44744.0</v>
      </c>
      <c r="Q2489" s="1" t="s">
        <v>55</v>
      </c>
    </row>
    <row r="2490">
      <c r="A2490" s="1">
        <v>2489.0</v>
      </c>
      <c r="B2490" s="1" t="s">
        <v>4493</v>
      </c>
      <c r="C2490" s="1" t="s">
        <v>25</v>
      </c>
      <c r="K2490" s="1">
        <v>30.0</v>
      </c>
      <c r="N2490" s="5">
        <v>43931.0</v>
      </c>
      <c r="Q2490" s="1" t="s">
        <v>55</v>
      </c>
    </row>
    <row r="2491">
      <c r="A2491" s="1">
        <v>2490.0</v>
      </c>
      <c r="B2491" s="1" t="s">
        <v>4494</v>
      </c>
      <c r="C2491" s="1" t="s">
        <v>25</v>
      </c>
      <c r="K2491" s="1">
        <v>30.0</v>
      </c>
      <c r="N2491" s="5">
        <v>44673.0</v>
      </c>
      <c r="Q2491" s="1" t="s">
        <v>316</v>
      </c>
    </row>
    <row r="2492">
      <c r="A2492" s="1">
        <v>2491.0</v>
      </c>
      <c r="B2492" s="1" t="s">
        <v>4495</v>
      </c>
      <c r="C2492" s="1" t="s">
        <v>25</v>
      </c>
      <c r="K2492" s="1">
        <v>100.0</v>
      </c>
      <c r="N2492" s="5">
        <v>44160.0</v>
      </c>
      <c r="Q2492" s="1" t="s">
        <v>1813</v>
      </c>
    </row>
    <row r="2493">
      <c r="A2493" s="1">
        <v>2492.0</v>
      </c>
      <c r="B2493" s="1" t="s">
        <v>4496</v>
      </c>
      <c r="C2493" s="1" t="s">
        <v>25</v>
      </c>
      <c r="N2493" s="5">
        <v>44247.0</v>
      </c>
      <c r="Q2493" s="1" t="s">
        <v>55</v>
      </c>
    </row>
    <row r="2494">
      <c r="A2494" s="1">
        <v>2493.0</v>
      </c>
      <c r="B2494" s="1" t="s">
        <v>4497</v>
      </c>
      <c r="C2494" s="1" t="s">
        <v>25</v>
      </c>
      <c r="N2494" s="5">
        <v>45318.0</v>
      </c>
      <c r="Q2494" s="1" t="s">
        <v>1726</v>
      </c>
    </row>
    <row r="2495">
      <c r="A2495" s="1">
        <v>2494.0</v>
      </c>
      <c r="B2495" s="1" t="s">
        <v>4498</v>
      </c>
      <c r="C2495" s="1" t="s">
        <v>25</v>
      </c>
      <c r="K2495" s="1">
        <v>50.0</v>
      </c>
      <c r="N2495" s="5">
        <v>44620.0</v>
      </c>
      <c r="Q2495" s="1" t="s">
        <v>4499</v>
      </c>
    </row>
    <row r="2496">
      <c r="A2496" s="1">
        <v>2495.0</v>
      </c>
      <c r="B2496" s="1" t="s">
        <v>4500</v>
      </c>
      <c r="C2496" s="1" t="s">
        <v>25</v>
      </c>
      <c r="N2496" s="5">
        <v>45707.0</v>
      </c>
      <c r="Q2496" s="1" t="s">
        <v>4501</v>
      </c>
    </row>
    <row r="2497">
      <c r="A2497" s="1">
        <v>2496.0</v>
      </c>
      <c r="B2497" s="1" t="s">
        <v>4502</v>
      </c>
      <c r="C2497" s="1" t="s">
        <v>25</v>
      </c>
      <c r="K2497" s="1">
        <v>10.0</v>
      </c>
      <c r="N2497" s="5">
        <v>44312.0</v>
      </c>
      <c r="Q2497" s="1" t="s">
        <v>55</v>
      </c>
    </row>
    <row r="2498">
      <c r="A2498" s="1">
        <v>2497.0</v>
      </c>
      <c r="B2498" s="1" t="s">
        <v>4503</v>
      </c>
      <c r="C2498" s="1" t="s">
        <v>25</v>
      </c>
      <c r="K2498" s="1">
        <v>100.0</v>
      </c>
      <c r="N2498" s="5">
        <v>45013.0</v>
      </c>
      <c r="Q2498" s="1" t="s">
        <v>1218</v>
      </c>
    </row>
    <row r="2499">
      <c r="A2499" s="1">
        <v>2498.0</v>
      </c>
      <c r="B2499" s="1" t="s">
        <v>4504</v>
      </c>
      <c r="C2499" s="1" t="s">
        <v>25</v>
      </c>
      <c r="K2499" s="1">
        <v>30.0</v>
      </c>
      <c r="N2499" s="5">
        <v>44196.0</v>
      </c>
      <c r="Q2499" s="1" t="s">
        <v>125</v>
      </c>
    </row>
    <row r="2500">
      <c r="A2500" s="1">
        <v>2499.0</v>
      </c>
      <c r="B2500" s="1" t="s">
        <v>4505</v>
      </c>
      <c r="C2500" s="1" t="s">
        <v>25</v>
      </c>
      <c r="K2500" s="1">
        <v>150.0</v>
      </c>
      <c r="N2500" s="5">
        <v>44565.0</v>
      </c>
      <c r="Q2500" s="1" t="s">
        <v>4506</v>
      </c>
    </row>
    <row r="2501">
      <c r="A2501" s="1">
        <v>2500.0</v>
      </c>
      <c r="B2501" s="1" t="s">
        <v>4507</v>
      </c>
      <c r="C2501" s="1" t="s">
        <v>25</v>
      </c>
      <c r="K2501" s="1">
        <v>10.0</v>
      </c>
      <c r="N2501" s="5">
        <v>45339.0</v>
      </c>
      <c r="Q2501" s="1" t="s">
        <v>2237</v>
      </c>
    </row>
    <row r="2502">
      <c r="A2502" s="1">
        <v>2501.0</v>
      </c>
      <c r="B2502" s="1" t="s">
        <v>4508</v>
      </c>
      <c r="C2502" s="1" t="s">
        <v>25</v>
      </c>
      <c r="K2502" s="1">
        <v>200.0</v>
      </c>
      <c r="N2502" s="5">
        <v>44539.0</v>
      </c>
      <c r="Q2502" s="1" t="s">
        <v>4509</v>
      </c>
    </row>
    <row r="2503">
      <c r="A2503" s="1">
        <v>2502.0</v>
      </c>
      <c r="B2503" s="1" t="s">
        <v>4510</v>
      </c>
      <c r="C2503" s="1" t="s">
        <v>25</v>
      </c>
      <c r="K2503" s="1">
        <v>100.0</v>
      </c>
      <c r="N2503" s="5">
        <v>44035.0</v>
      </c>
      <c r="Q2503" s="1" t="s">
        <v>55</v>
      </c>
    </row>
    <row r="2504">
      <c r="A2504" s="1">
        <v>2503.0</v>
      </c>
      <c r="B2504" s="1" t="s">
        <v>4511</v>
      </c>
      <c r="C2504" s="1" t="s">
        <v>25</v>
      </c>
      <c r="K2504" s="1">
        <v>10.0</v>
      </c>
      <c r="N2504" s="5">
        <v>45347.0</v>
      </c>
      <c r="Q2504" s="1" t="s">
        <v>606</v>
      </c>
    </row>
    <row r="2505">
      <c r="A2505" s="1">
        <v>2504.0</v>
      </c>
      <c r="B2505" s="1" t="s">
        <v>4512</v>
      </c>
      <c r="C2505" s="1" t="s">
        <v>25</v>
      </c>
      <c r="N2505" s="5">
        <v>44080.0</v>
      </c>
      <c r="Q2505" s="1" t="s">
        <v>55</v>
      </c>
    </row>
    <row r="2506">
      <c r="A2506" s="1">
        <v>2505.0</v>
      </c>
      <c r="B2506" s="1" t="s">
        <v>4513</v>
      </c>
      <c r="C2506" s="1" t="s">
        <v>25</v>
      </c>
      <c r="K2506" s="1">
        <v>50.0</v>
      </c>
      <c r="N2506" s="5">
        <v>45197.0</v>
      </c>
      <c r="Q2506" s="1" t="s">
        <v>1726</v>
      </c>
    </row>
    <row r="2507">
      <c r="A2507" s="1">
        <v>2506.0</v>
      </c>
      <c r="B2507" s="1" t="s">
        <v>4514</v>
      </c>
      <c r="C2507" s="1" t="s">
        <v>25</v>
      </c>
      <c r="N2507" s="5">
        <v>44642.0</v>
      </c>
      <c r="Q2507" s="1" t="s">
        <v>55</v>
      </c>
    </row>
    <row r="2508">
      <c r="A2508" s="1">
        <v>2507.0</v>
      </c>
      <c r="B2508" s="1" t="s">
        <v>4515</v>
      </c>
      <c r="C2508" s="1" t="s">
        <v>25</v>
      </c>
      <c r="K2508" s="1">
        <v>90.0</v>
      </c>
      <c r="N2508" s="5">
        <v>45287.0</v>
      </c>
      <c r="Q2508" s="1" t="s">
        <v>4516</v>
      </c>
    </row>
    <row r="2509">
      <c r="A2509" s="1">
        <v>2508.0</v>
      </c>
      <c r="B2509" s="1" t="s">
        <v>4517</v>
      </c>
      <c r="C2509" s="1" t="s">
        <v>25</v>
      </c>
      <c r="K2509" s="1">
        <v>40.0</v>
      </c>
      <c r="N2509" s="5">
        <v>44867.0</v>
      </c>
      <c r="Q2509" s="1" t="s">
        <v>826</v>
      </c>
    </row>
    <row r="2510">
      <c r="A2510" s="1">
        <v>2509.0</v>
      </c>
      <c r="B2510" s="1" t="s">
        <v>4518</v>
      </c>
      <c r="C2510" s="1" t="s">
        <v>25</v>
      </c>
      <c r="K2510" s="1">
        <v>90.0</v>
      </c>
      <c r="N2510" s="5">
        <v>43966.0</v>
      </c>
      <c r="Q2510" s="1" t="s">
        <v>4519</v>
      </c>
    </row>
    <row r="2511">
      <c r="A2511" s="1">
        <v>2510.0</v>
      </c>
      <c r="B2511" s="1" t="s">
        <v>4520</v>
      </c>
      <c r="C2511" s="1" t="s">
        <v>25</v>
      </c>
      <c r="K2511" s="1">
        <v>10.0</v>
      </c>
      <c r="N2511" s="5">
        <v>45256.0</v>
      </c>
      <c r="Q2511" s="1" t="s">
        <v>55</v>
      </c>
    </row>
    <row r="2512">
      <c r="A2512" s="1">
        <v>2511.0</v>
      </c>
      <c r="B2512" s="1" t="s">
        <v>4521</v>
      </c>
      <c r="C2512" s="1" t="s">
        <v>25</v>
      </c>
      <c r="K2512" s="1">
        <v>200.0</v>
      </c>
      <c r="N2512" s="5">
        <v>45314.0</v>
      </c>
      <c r="Q2512" s="1" t="s">
        <v>4522</v>
      </c>
    </row>
    <row r="2513">
      <c r="A2513" s="1">
        <v>2512.0</v>
      </c>
      <c r="B2513" s="1" t="s">
        <v>4523</v>
      </c>
      <c r="C2513" s="1" t="s">
        <v>25</v>
      </c>
      <c r="K2513" s="1">
        <v>40.0</v>
      </c>
      <c r="N2513" s="5">
        <v>44772.0</v>
      </c>
      <c r="Q2513" s="1" t="s">
        <v>1312</v>
      </c>
    </row>
    <row r="2514">
      <c r="A2514" s="1">
        <v>2513.0</v>
      </c>
      <c r="B2514" s="1" t="s">
        <v>4524</v>
      </c>
      <c r="C2514" s="1" t="s">
        <v>25</v>
      </c>
      <c r="K2514" s="1">
        <v>150.0</v>
      </c>
      <c r="N2514" s="5">
        <v>45036.0</v>
      </c>
      <c r="Q2514" s="1" t="s">
        <v>4525</v>
      </c>
    </row>
    <row r="2515">
      <c r="A2515" s="1">
        <v>2514.0</v>
      </c>
      <c r="B2515" s="1" t="s">
        <v>4526</v>
      </c>
      <c r="C2515" s="1" t="s">
        <v>25</v>
      </c>
      <c r="N2515" s="5">
        <v>45726.0</v>
      </c>
      <c r="Q2515" s="1" t="s">
        <v>4527</v>
      </c>
    </row>
    <row r="2516">
      <c r="A2516" s="1">
        <v>2515.0</v>
      </c>
      <c r="B2516" s="1" t="s">
        <v>4528</v>
      </c>
      <c r="C2516" s="1" t="s">
        <v>25</v>
      </c>
      <c r="K2516" s="1">
        <v>500.0</v>
      </c>
      <c r="N2516" s="5">
        <v>43848.0</v>
      </c>
      <c r="Q2516" s="1" t="s">
        <v>4529</v>
      </c>
    </row>
    <row r="2517">
      <c r="A2517" s="1">
        <v>2516.0</v>
      </c>
      <c r="B2517" s="1" t="s">
        <v>4530</v>
      </c>
      <c r="C2517" s="1" t="s">
        <v>25</v>
      </c>
      <c r="K2517" s="1">
        <v>20.0</v>
      </c>
      <c r="N2517" s="5">
        <v>44073.0</v>
      </c>
      <c r="Q2517" s="1" t="s">
        <v>55</v>
      </c>
    </row>
    <row r="2518">
      <c r="A2518" s="1">
        <v>2517.0</v>
      </c>
      <c r="B2518" s="1" t="s">
        <v>4531</v>
      </c>
      <c r="C2518" s="1" t="s">
        <v>25</v>
      </c>
      <c r="K2518" s="1">
        <v>70.0</v>
      </c>
      <c r="N2518" s="5">
        <v>44083.0</v>
      </c>
      <c r="Q2518" s="1" t="s">
        <v>4532</v>
      </c>
    </row>
    <row r="2519">
      <c r="A2519" s="1">
        <v>2518.0</v>
      </c>
      <c r="B2519" s="1" t="s">
        <v>4533</v>
      </c>
      <c r="C2519" s="1" t="s">
        <v>25</v>
      </c>
      <c r="K2519" s="1">
        <v>200.0</v>
      </c>
      <c r="N2519" s="5">
        <v>44683.0</v>
      </c>
      <c r="Q2519" s="1" t="s">
        <v>4534</v>
      </c>
    </row>
    <row r="2520">
      <c r="A2520" s="1">
        <v>2519.0</v>
      </c>
      <c r="B2520" s="1" t="s">
        <v>4535</v>
      </c>
      <c r="C2520" s="1" t="s">
        <v>25</v>
      </c>
      <c r="K2520" s="1">
        <v>200.0</v>
      </c>
      <c r="N2520" s="5">
        <v>43939.0</v>
      </c>
      <c r="Q2520" s="1" t="s">
        <v>4536</v>
      </c>
    </row>
    <row r="2521">
      <c r="A2521" s="1">
        <v>2520.0</v>
      </c>
      <c r="B2521" s="1" t="s">
        <v>4537</v>
      </c>
      <c r="C2521" s="1" t="s">
        <v>25</v>
      </c>
      <c r="K2521" s="1">
        <v>10.0</v>
      </c>
      <c r="N2521" s="5">
        <v>45141.0</v>
      </c>
      <c r="Q2521" s="1" t="s">
        <v>4538</v>
      </c>
    </row>
    <row r="2522">
      <c r="A2522" s="1">
        <v>2521.0</v>
      </c>
      <c r="B2522" s="1" t="s">
        <v>4539</v>
      </c>
      <c r="C2522" s="1" t="s">
        <v>25</v>
      </c>
      <c r="K2522" s="1">
        <v>20.0</v>
      </c>
      <c r="N2522" s="5">
        <v>44758.0</v>
      </c>
      <c r="Q2522" s="1" t="s">
        <v>4540</v>
      </c>
    </row>
    <row r="2523">
      <c r="A2523" s="1">
        <v>2522.0</v>
      </c>
      <c r="B2523" s="1" t="s">
        <v>4541</v>
      </c>
      <c r="C2523" s="1" t="s">
        <v>25</v>
      </c>
      <c r="N2523" s="5">
        <v>45694.0</v>
      </c>
      <c r="Q2523" s="1" t="s">
        <v>4542</v>
      </c>
    </row>
    <row r="2524">
      <c r="A2524" s="1">
        <v>2523.0</v>
      </c>
      <c r="B2524" s="1" t="s">
        <v>4543</v>
      </c>
      <c r="C2524" s="1" t="s">
        <v>25</v>
      </c>
      <c r="N2524" s="5">
        <v>45236.0</v>
      </c>
      <c r="Q2524" s="1" t="s">
        <v>4544</v>
      </c>
    </row>
    <row r="2525">
      <c r="A2525" s="1">
        <v>2524.0</v>
      </c>
      <c r="B2525" s="1" t="s">
        <v>4545</v>
      </c>
      <c r="C2525" s="1" t="s">
        <v>25</v>
      </c>
      <c r="F2525" s="1">
        <v>1.0</v>
      </c>
      <c r="K2525" s="1">
        <v>400.0</v>
      </c>
      <c r="N2525" s="5">
        <v>43851.0</v>
      </c>
      <c r="Q2525" s="1" t="s">
        <v>4546</v>
      </c>
    </row>
    <row r="2526">
      <c r="A2526" s="1">
        <v>2525.0</v>
      </c>
      <c r="B2526" s="1" t="s">
        <v>4547</v>
      </c>
      <c r="C2526" s="1" t="s">
        <v>25</v>
      </c>
      <c r="N2526" s="5">
        <v>44573.0</v>
      </c>
      <c r="Q2526" s="1" t="s">
        <v>55</v>
      </c>
    </row>
    <row r="2527">
      <c r="A2527" s="1">
        <v>2526.0</v>
      </c>
      <c r="B2527" s="1" t="s">
        <v>4548</v>
      </c>
      <c r="C2527" s="1" t="s">
        <v>25</v>
      </c>
      <c r="N2527" s="5">
        <v>46103.0</v>
      </c>
      <c r="Q2527" s="1" t="s">
        <v>4549</v>
      </c>
    </row>
    <row r="2528">
      <c r="A2528" s="1">
        <v>2527.0</v>
      </c>
      <c r="B2528" s="1" t="s">
        <v>4550</v>
      </c>
      <c r="C2528" s="1" t="s">
        <v>25</v>
      </c>
      <c r="K2528" s="1">
        <v>10.0</v>
      </c>
      <c r="N2528" s="5">
        <v>44689.0</v>
      </c>
      <c r="Q2528" s="1" t="s">
        <v>55</v>
      </c>
    </row>
    <row r="2529">
      <c r="A2529" s="1">
        <v>2528.0</v>
      </c>
      <c r="B2529" s="1" t="s">
        <v>4551</v>
      </c>
      <c r="C2529" s="1" t="s">
        <v>25</v>
      </c>
      <c r="K2529" s="1">
        <v>30.0</v>
      </c>
      <c r="N2529" s="5">
        <v>44484.0</v>
      </c>
      <c r="Q2529" s="1" t="s">
        <v>4552</v>
      </c>
    </row>
    <row r="2530">
      <c r="A2530" s="1">
        <v>2529.0</v>
      </c>
      <c r="B2530" s="1" t="s">
        <v>4553</v>
      </c>
      <c r="C2530" s="1" t="s">
        <v>25</v>
      </c>
      <c r="N2530" s="5">
        <v>43877.0</v>
      </c>
      <c r="Q2530" s="1" t="s">
        <v>55</v>
      </c>
    </row>
    <row r="2531">
      <c r="A2531" s="1">
        <v>2530.0</v>
      </c>
      <c r="B2531" s="1" t="s">
        <v>4554</v>
      </c>
      <c r="C2531" s="1" t="s">
        <v>25</v>
      </c>
      <c r="K2531" s="1">
        <v>100.0</v>
      </c>
      <c r="N2531" s="5">
        <v>43855.0</v>
      </c>
      <c r="Q2531" s="1" t="s">
        <v>77</v>
      </c>
    </row>
    <row r="2532">
      <c r="A2532" s="1">
        <v>2531.0</v>
      </c>
      <c r="B2532" s="1" t="s">
        <v>4555</v>
      </c>
      <c r="C2532" s="1" t="s">
        <v>25</v>
      </c>
      <c r="N2532" s="5">
        <v>44654.0</v>
      </c>
      <c r="Q2532" s="1" t="s">
        <v>1066</v>
      </c>
    </row>
    <row r="2533">
      <c r="A2533" s="1">
        <v>2532.0</v>
      </c>
      <c r="B2533" s="1" t="s">
        <v>4556</v>
      </c>
      <c r="C2533" s="1" t="s">
        <v>25</v>
      </c>
      <c r="K2533" s="1">
        <v>60.0</v>
      </c>
      <c r="N2533" s="5">
        <v>43927.0</v>
      </c>
      <c r="Q2533" s="1" t="s">
        <v>4557</v>
      </c>
    </row>
    <row r="2534">
      <c r="A2534" s="1">
        <v>2533.0</v>
      </c>
      <c r="B2534" s="1" t="s">
        <v>234</v>
      </c>
      <c r="C2534" s="1" t="s">
        <v>25</v>
      </c>
      <c r="K2534" s="1">
        <v>10.0</v>
      </c>
      <c r="N2534" s="5">
        <v>45672.0</v>
      </c>
      <c r="Q2534" s="1" t="s">
        <v>238</v>
      </c>
    </row>
    <row r="2535">
      <c r="A2535" s="1">
        <v>2534.0</v>
      </c>
      <c r="B2535" s="1" t="s">
        <v>4558</v>
      </c>
      <c r="C2535" s="1" t="s">
        <v>25</v>
      </c>
      <c r="K2535" s="1">
        <v>20.0</v>
      </c>
      <c r="N2535" s="5">
        <v>44276.0</v>
      </c>
      <c r="Q2535" s="1" t="s">
        <v>680</v>
      </c>
    </row>
    <row r="2536">
      <c r="A2536" s="1">
        <v>2535.0</v>
      </c>
      <c r="B2536" s="1" t="s">
        <v>4559</v>
      </c>
      <c r="C2536" s="1" t="s">
        <v>25</v>
      </c>
      <c r="N2536" s="5">
        <v>44172.0</v>
      </c>
      <c r="Q2536" s="1" t="s">
        <v>55</v>
      </c>
    </row>
    <row r="2537">
      <c r="A2537" s="1">
        <v>2536.0</v>
      </c>
      <c r="B2537" s="1" t="s">
        <v>4560</v>
      </c>
      <c r="C2537" s="1" t="s">
        <v>25</v>
      </c>
      <c r="K2537" s="1">
        <v>10.0</v>
      </c>
      <c r="N2537" s="5">
        <v>45621.0</v>
      </c>
      <c r="Q2537" s="1" t="s">
        <v>4561</v>
      </c>
    </row>
    <row r="2538">
      <c r="A2538" s="1">
        <v>2537.0</v>
      </c>
      <c r="B2538" s="1" t="s">
        <v>4562</v>
      </c>
      <c r="C2538" s="1" t="s">
        <v>25</v>
      </c>
      <c r="K2538" s="1">
        <v>200.0</v>
      </c>
      <c r="N2538" s="5">
        <v>43842.0</v>
      </c>
      <c r="Q2538" s="1" t="s">
        <v>4563</v>
      </c>
    </row>
    <row r="2539">
      <c r="A2539" s="1">
        <v>2538.0</v>
      </c>
      <c r="B2539" s="1" t="s">
        <v>4564</v>
      </c>
      <c r="C2539" s="1" t="s">
        <v>25</v>
      </c>
      <c r="K2539" s="1">
        <v>10.0</v>
      </c>
      <c r="N2539" s="5">
        <v>44891.0</v>
      </c>
      <c r="Q2539" s="1" t="s">
        <v>1312</v>
      </c>
    </row>
    <row r="2540">
      <c r="A2540" s="1">
        <v>2539.0</v>
      </c>
      <c r="B2540" s="1" t="s">
        <v>4565</v>
      </c>
      <c r="C2540" s="1" t="s">
        <v>25</v>
      </c>
      <c r="K2540" s="1">
        <v>100.0</v>
      </c>
      <c r="N2540" s="5">
        <v>45393.0</v>
      </c>
      <c r="Q2540" s="1" t="s">
        <v>4566</v>
      </c>
    </row>
    <row r="2541">
      <c r="A2541" s="1">
        <v>2540.0</v>
      </c>
      <c r="B2541" s="1" t="s">
        <v>4567</v>
      </c>
      <c r="C2541" s="1" t="s">
        <v>25</v>
      </c>
      <c r="K2541" s="1">
        <v>150.0</v>
      </c>
      <c r="N2541" s="5">
        <v>43886.0</v>
      </c>
      <c r="Q2541" s="1" t="s">
        <v>4568</v>
      </c>
    </row>
    <row r="2542">
      <c r="A2542" s="1">
        <v>2541.0</v>
      </c>
      <c r="B2542" s="1" t="s">
        <v>4569</v>
      </c>
      <c r="C2542" s="1" t="s">
        <v>25</v>
      </c>
      <c r="N2542" s="5">
        <v>44644.0</v>
      </c>
      <c r="Q2542" s="1" t="s">
        <v>4570</v>
      </c>
    </row>
    <row r="2543">
      <c r="A2543" s="1">
        <v>2542.0</v>
      </c>
      <c r="B2543" s="1" t="s">
        <v>4571</v>
      </c>
      <c r="C2543" s="1" t="s">
        <v>25</v>
      </c>
      <c r="K2543" s="1">
        <v>200.0</v>
      </c>
      <c r="N2543" s="5">
        <v>44573.0</v>
      </c>
      <c r="Q2543" s="1" t="s">
        <v>4572</v>
      </c>
    </row>
    <row r="2544">
      <c r="A2544" s="1">
        <v>2543.0</v>
      </c>
      <c r="B2544" s="1" t="s">
        <v>4573</v>
      </c>
      <c r="C2544" s="1" t="s">
        <v>25</v>
      </c>
      <c r="N2544" s="5">
        <v>43979.0</v>
      </c>
      <c r="Q2544" s="1" t="s">
        <v>55</v>
      </c>
    </row>
    <row r="2545">
      <c r="A2545" s="1">
        <v>2544.0</v>
      </c>
      <c r="B2545" s="1" t="s">
        <v>4574</v>
      </c>
      <c r="C2545" s="1" t="s">
        <v>25</v>
      </c>
      <c r="K2545" s="1">
        <v>150.0</v>
      </c>
      <c r="N2545" s="5">
        <v>43897.0</v>
      </c>
      <c r="Q2545" s="1" t="s">
        <v>4575</v>
      </c>
    </row>
    <row r="2546">
      <c r="A2546" s="1">
        <v>2545.0</v>
      </c>
      <c r="B2546" s="1" t="s">
        <v>4576</v>
      </c>
      <c r="C2546" s="1" t="s">
        <v>25</v>
      </c>
      <c r="K2546" s="1">
        <v>150.0</v>
      </c>
      <c r="N2546" s="5">
        <v>44272.0</v>
      </c>
      <c r="Q2546" s="1" t="s">
        <v>4577</v>
      </c>
    </row>
    <row r="2547">
      <c r="A2547" s="1">
        <v>2546.0</v>
      </c>
      <c r="B2547" s="1" t="s">
        <v>4578</v>
      </c>
      <c r="C2547" s="1" t="s">
        <v>25</v>
      </c>
      <c r="K2547" s="1">
        <v>10.0</v>
      </c>
      <c r="N2547" s="5">
        <v>44260.0</v>
      </c>
      <c r="Q2547" s="1" t="s">
        <v>4579</v>
      </c>
    </row>
    <row r="2548">
      <c r="A2548" s="1">
        <v>2547.0</v>
      </c>
      <c r="B2548" s="1" t="s">
        <v>4580</v>
      </c>
      <c r="C2548" s="1" t="s">
        <v>25</v>
      </c>
      <c r="K2548" s="1">
        <v>80.0</v>
      </c>
      <c r="N2548" s="5">
        <v>44014.0</v>
      </c>
      <c r="Q2548" s="1" t="s">
        <v>1471</v>
      </c>
    </row>
    <row r="2549">
      <c r="A2549" s="1">
        <v>2548.0</v>
      </c>
      <c r="B2549" s="1" t="s">
        <v>4581</v>
      </c>
      <c r="C2549" s="1" t="s">
        <v>25</v>
      </c>
      <c r="K2549" s="1">
        <v>80.0</v>
      </c>
      <c r="N2549" s="5">
        <v>43851.0</v>
      </c>
      <c r="Q2549" s="1" t="s">
        <v>4582</v>
      </c>
    </row>
    <row r="2550">
      <c r="A2550" s="1">
        <v>2549.0</v>
      </c>
      <c r="B2550" s="1" t="s">
        <v>4583</v>
      </c>
      <c r="C2550" s="1" t="s">
        <v>25</v>
      </c>
      <c r="K2550" s="1">
        <v>10.0</v>
      </c>
      <c r="N2550" s="5">
        <v>45231.0</v>
      </c>
      <c r="Q2550" s="1" t="s">
        <v>55</v>
      </c>
    </row>
    <row r="2551">
      <c r="A2551" s="1">
        <v>2550.0</v>
      </c>
      <c r="B2551" s="1" t="s">
        <v>4584</v>
      </c>
      <c r="C2551" s="1" t="s">
        <v>25</v>
      </c>
      <c r="K2551" s="1">
        <v>20.0</v>
      </c>
      <c r="N2551" s="5">
        <v>44915.0</v>
      </c>
      <c r="Q2551" s="1" t="s">
        <v>55</v>
      </c>
    </row>
    <row r="2552">
      <c r="A2552" s="1">
        <v>2551.0</v>
      </c>
      <c r="B2552" s="1" t="s">
        <v>4585</v>
      </c>
      <c r="C2552" s="1" t="s">
        <v>25</v>
      </c>
      <c r="K2552" s="1">
        <v>40.0</v>
      </c>
      <c r="N2552" s="5">
        <v>45630.0</v>
      </c>
      <c r="Q2552" s="1" t="s">
        <v>4586</v>
      </c>
    </row>
    <row r="2553">
      <c r="A2553" s="1">
        <v>2552.0</v>
      </c>
      <c r="B2553" s="1" t="s">
        <v>4587</v>
      </c>
      <c r="C2553" s="1" t="s">
        <v>25</v>
      </c>
      <c r="K2553" s="1">
        <v>250.0</v>
      </c>
      <c r="N2553" s="5">
        <v>44676.0</v>
      </c>
      <c r="Q2553" s="1" t="s">
        <v>4588</v>
      </c>
    </row>
    <row r="2554">
      <c r="A2554" s="1">
        <v>2553.0</v>
      </c>
      <c r="B2554" s="1" t="s">
        <v>4589</v>
      </c>
      <c r="C2554" s="1" t="s">
        <v>25</v>
      </c>
      <c r="N2554" s="5">
        <v>44079.0</v>
      </c>
      <c r="Q2554" s="1" t="s">
        <v>55</v>
      </c>
    </row>
    <row r="2555">
      <c r="A2555" s="1">
        <v>2554.0</v>
      </c>
      <c r="B2555" s="1" t="s">
        <v>4590</v>
      </c>
      <c r="C2555" s="1" t="s">
        <v>25</v>
      </c>
      <c r="N2555" s="5">
        <v>44772.0</v>
      </c>
      <c r="Q2555" s="1" t="s">
        <v>55</v>
      </c>
    </row>
    <row r="2556">
      <c r="A2556" s="1">
        <v>2555.0</v>
      </c>
      <c r="B2556" s="1" t="s">
        <v>4591</v>
      </c>
      <c r="C2556" s="1" t="s">
        <v>25</v>
      </c>
      <c r="K2556" s="1">
        <v>50.0</v>
      </c>
      <c r="N2556" s="5">
        <v>45729.0</v>
      </c>
      <c r="Q2556" s="1" t="s">
        <v>4592</v>
      </c>
    </row>
    <row r="2557">
      <c r="A2557" s="1">
        <v>2556.0</v>
      </c>
      <c r="B2557" s="1" t="s">
        <v>4593</v>
      </c>
      <c r="C2557" s="1" t="s">
        <v>25</v>
      </c>
      <c r="K2557" s="1">
        <v>100.0</v>
      </c>
      <c r="N2557" s="5">
        <v>43883.0</v>
      </c>
      <c r="Q2557" s="1" t="s">
        <v>4594</v>
      </c>
    </row>
    <row r="2558">
      <c r="A2558" s="1">
        <v>2557.0</v>
      </c>
      <c r="B2558" s="1" t="s">
        <v>4595</v>
      </c>
      <c r="C2558" s="1" t="s">
        <v>25</v>
      </c>
      <c r="K2558" s="1">
        <v>30.0</v>
      </c>
      <c r="N2558" s="5">
        <v>44330.0</v>
      </c>
      <c r="Q2558" s="1" t="s">
        <v>55</v>
      </c>
    </row>
    <row r="2559">
      <c r="A2559" s="1">
        <v>2558.0</v>
      </c>
      <c r="B2559" s="1" t="s">
        <v>4596</v>
      </c>
      <c r="C2559" s="1" t="s">
        <v>25</v>
      </c>
      <c r="K2559" s="1">
        <v>40.0</v>
      </c>
      <c r="N2559" s="5">
        <v>44049.0</v>
      </c>
      <c r="Q2559" s="1" t="s">
        <v>55</v>
      </c>
    </row>
    <row r="2560">
      <c r="A2560" s="1">
        <v>2559.0</v>
      </c>
      <c r="B2560" s="1" t="s">
        <v>4597</v>
      </c>
      <c r="C2560" s="1" t="s">
        <v>25</v>
      </c>
      <c r="N2560" s="5">
        <v>46102.0</v>
      </c>
      <c r="Q2560" s="1" t="s">
        <v>4598</v>
      </c>
    </row>
    <row r="2561">
      <c r="A2561" s="1">
        <v>2560.0</v>
      </c>
      <c r="B2561" s="1" t="s">
        <v>4599</v>
      </c>
      <c r="C2561" s="1" t="s">
        <v>25</v>
      </c>
      <c r="K2561" s="1">
        <v>80.0</v>
      </c>
      <c r="N2561" s="5">
        <v>45793.0</v>
      </c>
      <c r="Q2561" s="1" t="s">
        <v>4600</v>
      </c>
    </row>
    <row r="2562">
      <c r="A2562" s="1">
        <v>2561.0</v>
      </c>
      <c r="B2562" s="1" t="s">
        <v>4601</v>
      </c>
      <c r="C2562" s="1" t="s">
        <v>25</v>
      </c>
      <c r="N2562" s="5">
        <v>44827.0</v>
      </c>
      <c r="Q2562" s="1" t="s">
        <v>4602</v>
      </c>
    </row>
    <row r="2563">
      <c r="A2563" s="1">
        <v>2562.0</v>
      </c>
      <c r="B2563" s="1" t="s">
        <v>4603</v>
      </c>
      <c r="C2563" s="1" t="s">
        <v>25</v>
      </c>
      <c r="K2563" s="1">
        <v>20.0</v>
      </c>
      <c r="N2563" s="5">
        <v>44341.0</v>
      </c>
      <c r="Q2563" s="1" t="s">
        <v>4604</v>
      </c>
    </row>
    <row r="2564">
      <c r="A2564" s="1">
        <v>2563.0</v>
      </c>
      <c r="B2564" s="1" t="s">
        <v>4605</v>
      </c>
      <c r="C2564" s="1" t="s">
        <v>25</v>
      </c>
      <c r="K2564" s="1">
        <v>10.0</v>
      </c>
      <c r="N2564" s="5">
        <v>45473.0</v>
      </c>
      <c r="Q2564" s="1" t="s">
        <v>4606</v>
      </c>
    </row>
    <row r="2565">
      <c r="A2565" s="1">
        <v>2564.0</v>
      </c>
      <c r="B2565" s="1" t="s">
        <v>4607</v>
      </c>
      <c r="C2565" s="1" t="s">
        <v>25</v>
      </c>
      <c r="K2565" s="1">
        <v>10.0</v>
      </c>
      <c r="N2565" s="5">
        <v>45217.0</v>
      </c>
      <c r="Q2565" s="1" t="s">
        <v>55</v>
      </c>
    </row>
    <row r="2566">
      <c r="A2566" s="1">
        <v>2565.0</v>
      </c>
      <c r="B2566" s="1" t="s">
        <v>4608</v>
      </c>
      <c r="C2566" s="1" t="s">
        <v>25</v>
      </c>
      <c r="K2566" s="1">
        <v>700.0</v>
      </c>
      <c r="N2566" s="5">
        <v>43847.0</v>
      </c>
      <c r="Q2566" s="1" t="s">
        <v>4609</v>
      </c>
    </row>
    <row r="2567">
      <c r="A2567" s="1">
        <v>2566.0</v>
      </c>
      <c r="B2567" s="1" t="s">
        <v>4610</v>
      </c>
      <c r="C2567" s="1" t="s">
        <v>25</v>
      </c>
      <c r="K2567" s="1">
        <v>10.0</v>
      </c>
      <c r="N2567" s="5">
        <v>45339.0</v>
      </c>
      <c r="Q2567" s="1" t="s">
        <v>4611</v>
      </c>
    </row>
    <row r="2568">
      <c r="A2568" s="1">
        <v>2567.0</v>
      </c>
      <c r="B2568" s="1" t="s">
        <v>4612</v>
      </c>
      <c r="C2568" s="1" t="s">
        <v>25</v>
      </c>
      <c r="K2568" s="1">
        <v>70.0</v>
      </c>
      <c r="N2568" s="5">
        <v>44849.0</v>
      </c>
      <c r="Q2568" s="1" t="s">
        <v>4143</v>
      </c>
    </row>
    <row r="2569">
      <c r="A2569" s="1">
        <v>2568.0</v>
      </c>
      <c r="B2569" s="1" t="s">
        <v>4613</v>
      </c>
      <c r="C2569" s="1" t="s">
        <v>25</v>
      </c>
      <c r="K2569" s="1">
        <v>60.0</v>
      </c>
      <c r="N2569" s="5">
        <v>45718.0</v>
      </c>
      <c r="Q2569" s="1" t="s">
        <v>4614</v>
      </c>
    </row>
    <row r="2570">
      <c r="A2570" s="1">
        <v>2569.0</v>
      </c>
      <c r="B2570" s="1" t="s">
        <v>4615</v>
      </c>
      <c r="C2570" s="1" t="s">
        <v>25</v>
      </c>
      <c r="N2570" s="5">
        <v>44931.0</v>
      </c>
      <c r="Q2570" s="1" t="s">
        <v>55</v>
      </c>
    </row>
    <row r="2571">
      <c r="A2571" s="1">
        <v>2570.0</v>
      </c>
      <c r="B2571" s="1" t="s">
        <v>4616</v>
      </c>
      <c r="C2571" s="1" t="s">
        <v>25</v>
      </c>
      <c r="N2571" s="5">
        <v>44514.0</v>
      </c>
      <c r="Q2571" s="1" t="s">
        <v>4617</v>
      </c>
    </row>
    <row r="2572">
      <c r="A2572" s="1">
        <v>2571.0</v>
      </c>
      <c r="B2572" s="1" t="s">
        <v>4618</v>
      </c>
      <c r="C2572" s="1" t="s">
        <v>25</v>
      </c>
      <c r="K2572" s="1">
        <v>10.0</v>
      </c>
      <c r="N2572" s="5">
        <v>45201.0</v>
      </c>
      <c r="Q2572" s="1" t="s">
        <v>55</v>
      </c>
    </row>
    <row r="2573">
      <c r="A2573" s="1">
        <v>2572.0</v>
      </c>
      <c r="B2573" s="1" t="s">
        <v>4619</v>
      </c>
      <c r="C2573" s="1" t="s">
        <v>25</v>
      </c>
      <c r="K2573" s="1">
        <v>10.0</v>
      </c>
      <c r="N2573" s="5">
        <v>45172.0</v>
      </c>
      <c r="Q2573" s="1" t="s">
        <v>55</v>
      </c>
    </row>
    <row r="2574">
      <c r="A2574" s="1">
        <v>2573.0</v>
      </c>
      <c r="B2574" s="1" t="s">
        <v>4620</v>
      </c>
      <c r="C2574" s="1" t="s">
        <v>25</v>
      </c>
      <c r="N2574" s="5">
        <v>45142.0</v>
      </c>
      <c r="Q2574" s="1" t="s">
        <v>55</v>
      </c>
    </row>
    <row r="2575">
      <c r="A2575" s="1">
        <v>2574.0</v>
      </c>
      <c r="B2575" s="1" t="s">
        <v>4621</v>
      </c>
      <c r="C2575" s="1" t="s">
        <v>25</v>
      </c>
      <c r="K2575" s="1">
        <v>40.0</v>
      </c>
      <c r="N2575" s="5">
        <v>45400.0</v>
      </c>
      <c r="Q2575" s="1" t="s">
        <v>1791</v>
      </c>
    </row>
    <row r="2576">
      <c r="A2576" s="1">
        <v>2575.0</v>
      </c>
      <c r="B2576" s="1" t="s">
        <v>4622</v>
      </c>
      <c r="C2576" s="1" t="s">
        <v>25</v>
      </c>
      <c r="K2576" s="1">
        <v>90.0</v>
      </c>
      <c r="N2576" s="5">
        <v>45372.0</v>
      </c>
      <c r="Q2576" s="1" t="s">
        <v>4623</v>
      </c>
    </row>
    <row r="2577">
      <c r="A2577" s="1">
        <v>2576.0</v>
      </c>
      <c r="B2577" s="1" t="s">
        <v>4624</v>
      </c>
      <c r="C2577" s="1" t="s">
        <v>25</v>
      </c>
      <c r="N2577" s="5">
        <v>45080.0</v>
      </c>
      <c r="Q2577" s="1" t="s">
        <v>55</v>
      </c>
    </row>
    <row r="2578">
      <c r="A2578" s="1">
        <v>2577.0</v>
      </c>
      <c r="B2578" s="1" t="s">
        <v>4625</v>
      </c>
      <c r="C2578" s="1" t="s">
        <v>25</v>
      </c>
      <c r="K2578" s="1">
        <v>70.0</v>
      </c>
      <c r="N2578" s="5">
        <v>44053.0</v>
      </c>
      <c r="Q2578" s="1" t="s">
        <v>4626</v>
      </c>
    </row>
    <row r="2579">
      <c r="A2579" s="1">
        <v>2578.0</v>
      </c>
      <c r="B2579" s="1" t="s">
        <v>4627</v>
      </c>
      <c r="C2579" s="1" t="s">
        <v>25</v>
      </c>
      <c r="K2579" s="1">
        <v>250.0</v>
      </c>
      <c r="N2579" s="5">
        <v>45748.0</v>
      </c>
      <c r="Q2579" s="1" t="s">
        <v>4628</v>
      </c>
    </row>
    <row r="2580">
      <c r="A2580" s="1">
        <v>2579.0</v>
      </c>
      <c r="B2580" s="1" t="s">
        <v>4629</v>
      </c>
      <c r="C2580" s="1" t="s">
        <v>25</v>
      </c>
      <c r="K2580" s="1">
        <v>10.0</v>
      </c>
      <c r="N2580" s="5">
        <v>44542.0</v>
      </c>
      <c r="Q2580" s="1" t="s">
        <v>55</v>
      </c>
    </row>
    <row r="2581">
      <c r="A2581" s="1">
        <v>2580.0</v>
      </c>
      <c r="B2581" s="1" t="s">
        <v>4630</v>
      </c>
      <c r="C2581" s="1" t="s">
        <v>25</v>
      </c>
      <c r="K2581" s="1">
        <v>100.0</v>
      </c>
      <c r="N2581" s="5">
        <v>43942.0</v>
      </c>
      <c r="Q2581" s="1" t="s">
        <v>4631</v>
      </c>
    </row>
    <row r="2582">
      <c r="A2582" s="1">
        <v>2581.0</v>
      </c>
      <c r="B2582" s="1" t="s">
        <v>4632</v>
      </c>
      <c r="C2582" s="1" t="s">
        <v>25</v>
      </c>
      <c r="K2582" s="1">
        <v>150.0</v>
      </c>
      <c r="N2582" s="5">
        <v>44805.0</v>
      </c>
      <c r="Q2582" s="1" t="s">
        <v>4633</v>
      </c>
    </row>
    <row r="2583">
      <c r="A2583" s="1">
        <v>2582.0</v>
      </c>
      <c r="B2583" s="1" t="s">
        <v>4634</v>
      </c>
      <c r="C2583" s="1" t="s">
        <v>25</v>
      </c>
      <c r="K2583" s="1">
        <v>150.0</v>
      </c>
      <c r="N2583" s="5">
        <v>45603.0</v>
      </c>
      <c r="Q2583" s="1" t="s">
        <v>4635</v>
      </c>
    </row>
    <row r="2584">
      <c r="A2584" s="1">
        <v>2583.0</v>
      </c>
      <c r="B2584" s="1" t="s">
        <v>4636</v>
      </c>
      <c r="C2584" s="1" t="s">
        <v>25</v>
      </c>
      <c r="K2584" s="1">
        <v>50.0</v>
      </c>
      <c r="N2584" s="5">
        <v>43853.0</v>
      </c>
      <c r="Q2584" s="1" t="s">
        <v>4637</v>
      </c>
    </row>
    <row r="2585">
      <c r="A2585" s="1">
        <v>2584.0</v>
      </c>
      <c r="B2585" s="1" t="s">
        <v>4638</v>
      </c>
      <c r="C2585" s="1" t="s">
        <v>25</v>
      </c>
      <c r="N2585" s="5">
        <v>44576.0</v>
      </c>
      <c r="Q2585" s="1" t="s">
        <v>55</v>
      </c>
    </row>
    <row r="2586">
      <c r="A2586" s="1">
        <v>2585.0</v>
      </c>
      <c r="B2586" s="1" t="s">
        <v>4639</v>
      </c>
      <c r="C2586" s="1" t="s">
        <v>25</v>
      </c>
      <c r="K2586" s="1">
        <v>100.0</v>
      </c>
      <c r="N2586" s="5">
        <v>43952.0</v>
      </c>
      <c r="Q2586" s="1" t="s">
        <v>4640</v>
      </c>
    </row>
    <row r="2587">
      <c r="A2587" s="1">
        <v>2586.0</v>
      </c>
      <c r="B2587" s="1" t="s">
        <v>4641</v>
      </c>
      <c r="C2587" s="1" t="s">
        <v>25</v>
      </c>
      <c r="K2587" s="1">
        <v>10.0</v>
      </c>
      <c r="N2587" s="5">
        <v>45560.0</v>
      </c>
      <c r="Q2587" s="1" t="s">
        <v>4193</v>
      </c>
    </row>
    <row r="2588">
      <c r="A2588" s="1">
        <v>2587.0</v>
      </c>
      <c r="B2588" s="1" t="s">
        <v>4642</v>
      </c>
      <c r="C2588" s="1" t="s">
        <v>25</v>
      </c>
      <c r="N2588" s="5">
        <v>44994.0</v>
      </c>
      <c r="Q2588" s="1" t="s">
        <v>55</v>
      </c>
    </row>
    <row r="2589">
      <c r="A2589" s="1">
        <v>2588.0</v>
      </c>
      <c r="B2589" s="1" t="s">
        <v>4643</v>
      </c>
      <c r="C2589" s="1" t="s">
        <v>25</v>
      </c>
      <c r="K2589" s="1">
        <v>200.0</v>
      </c>
      <c r="N2589" s="5">
        <v>44616.0</v>
      </c>
      <c r="Q2589" s="1" t="s">
        <v>4644</v>
      </c>
    </row>
    <row r="2590">
      <c r="A2590" s="1">
        <v>2589.0</v>
      </c>
      <c r="B2590" s="1" t="s">
        <v>4645</v>
      </c>
      <c r="C2590" s="1" t="s">
        <v>25</v>
      </c>
      <c r="N2590" s="5">
        <v>44950.0</v>
      </c>
      <c r="Q2590" s="1" t="s">
        <v>55</v>
      </c>
    </row>
    <row r="2591">
      <c r="A2591" s="1">
        <v>2590.0</v>
      </c>
      <c r="B2591" s="1" t="s">
        <v>4646</v>
      </c>
      <c r="C2591" s="1" t="s">
        <v>25</v>
      </c>
      <c r="N2591" s="5">
        <v>44829.0</v>
      </c>
      <c r="Q2591" s="1" t="s">
        <v>1069</v>
      </c>
    </row>
    <row r="2592">
      <c r="A2592" s="1">
        <v>2591.0</v>
      </c>
      <c r="B2592" s="1" t="s">
        <v>4647</v>
      </c>
      <c r="C2592" s="1" t="s">
        <v>25</v>
      </c>
      <c r="K2592" s="1">
        <v>100.0</v>
      </c>
      <c r="N2592" s="5">
        <v>44105.0</v>
      </c>
      <c r="Q2592" s="1" t="s">
        <v>4648</v>
      </c>
    </row>
    <row r="2593">
      <c r="A2593" s="1">
        <v>2592.0</v>
      </c>
      <c r="B2593" s="1" t="s">
        <v>4649</v>
      </c>
      <c r="C2593" s="1" t="s">
        <v>25</v>
      </c>
      <c r="N2593" s="5">
        <v>44103.0</v>
      </c>
      <c r="Q2593" s="1" t="s">
        <v>2709</v>
      </c>
    </row>
    <row r="2594">
      <c r="A2594" s="1">
        <v>2593.0</v>
      </c>
      <c r="B2594" s="1" t="s">
        <v>4650</v>
      </c>
      <c r="C2594" s="1" t="s">
        <v>25</v>
      </c>
      <c r="K2594" s="1">
        <v>40.0</v>
      </c>
      <c r="N2594" s="5">
        <v>45607.0</v>
      </c>
      <c r="Q2594" s="1" t="s">
        <v>4651</v>
      </c>
    </row>
    <row r="2595">
      <c r="A2595" s="1">
        <v>2594.0</v>
      </c>
      <c r="B2595" s="1" t="s">
        <v>4652</v>
      </c>
      <c r="C2595" s="1" t="s">
        <v>25</v>
      </c>
      <c r="N2595" s="5">
        <v>44650.0</v>
      </c>
      <c r="Q2595" s="1" t="s">
        <v>55</v>
      </c>
    </row>
    <row r="2596">
      <c r="A2596" s="1">
        <v>2595.0</v>
      </c>
      <c r="B2596" s="1" t="s">
        <v>4653</v>
      </c>
      <c r="C2596" s="1" t="s">
        <v>25</v>
      </c>
      <c r="K2596" s="1">
        <v>30.0</v>
      </c>
      <c r="N2596" s="5">
        <v>45343.0</v>
      </c>
      <c r="Q2596" s="1" t="s">
        <v>55</v>
      </c>
    </row>
    <row r="2597">
      <c r="A2597" s="1">
        <v>2596.0</v>
      </c>
      <c r="B2597" s="1" t="s">
        <v>4654</v>
      </c>
      <c r="C2597" s="1" t="s">
        <v>25</v>
      </c>
      <c r="K2597" s="1">
        <v>10.0</v>
      </c>
      <c r="N2597" s="5">
        <v>45375.0</v>
      </c>
      <c r="Q2597" s="1" t="s">
        <v>55</v>
      </c>
    </row>
    <row r="2598">
      <c r="A2598" s="1">
        <v>2597.0</v>
      </c>
      <c r="B2598" s="1" t="s">
        <v>4655</v>
      </c>
      <c r="C2598" s="1" t="s">
        <v>25</v>
      </c>
      <c r="K2598" s="1">
        <v>30.0</v>
      </c>
      <c r="N2598" s="5">
        <v>43926.0</v>
      </c>
      <c r="Q2598" s="1" t="s">
        <v>55</v>
      </c>
    </row>
    <row r="2599">
      <c r="A2599" s="1">
        <v>2598.0</v>
      </c>
      <c r="B2599" s="1" t="s">
        <v>4656</v>
      </c>
      <c r="C2599" s="1" t="s">
        <v>25</v>
      </c>
      <c r="K2599" s="1">
        <v>200.0</v>
      </c>
      <c r="N2599" s="5">
        <v>45190.0</v>
      </c>
      <c r="Q2599" s="1" t="s">
        <v>4657</v>
      </c>
    </row>
    <row r="2600">
      <c r="A2600" s="1">
        <v>2599.0</v>
      </c>
      <c r="B2600" s="1" t="s">
        <v>4658</v>
      </c>
      <c r="C2600" s="1" t="s">
        <v>25</v>
      </c>
      <c r="K2600" s="1">
        <v>150.0</v>
      </c>
      <c r="N2600" s="5">
        <v>44622.0</v>
      </c>
      <c r="Q2600" s="1" t="s">
        <v>4659</v>
      </c>
    </row>
    <row r="2601">
      <c r="A2601" s="1">
        <v>2600.0</v>
      </c>
      <c r="B2601" s="1" t="s">
        <v>4660</v>
      </c>
      <c r="C2601" s="1" t="s">
        <v>25</v>
      </c>
      <c r="N2601" s="5">
        <v>44307.0</v>
      </c>
      <c r="Q2601" s="1" t="s">
        <v>55</v>
      </c>
    </row>
    <row r="2602">
      <c r="A2602" s="1">
        <v>2601.0</v>
      </c>
      <c r="B2602" s="1" t="s">
        <v>4661</v>
      </c>
      <c r="C2602" s="1" t="s">
        <v>25</v>
      </c>
      <c r="K2602" s="1">
        <v>150.0</v>
      </c>
      <c r="N2602" s="5">
        <v>44515.0</v>
      </c>
      <c r="Q2602" s="1" t="s">
        <v>172</v>
      </c>
    </row>
    <row r="2603">
      <c r="A2603" s="1">
        <v>2602.0</v>
      </c>
      <c r="B2603" s="1" t="s">
        <v>4662</v>
      </c>
      <c r="C2603" s="1" t="s">
        <v>25</v>
      </c>
      <c r="K2603" s="1">
        <v>50.0</v>
      </c>
      <c r="N2603" s="5">
        <v>44516.0</v>
      </c>
      <c r="Q2603" s="1" t="s">
        <v>4663</v>
      </c>
    </row>
    <row r="2604">
      <c r="A2604" s="1">
        <v>2603.0</v>
      </c>
      <c r="B2604" s="1" t="s">
        <v>4664</v>
      </c>
      <c r="C2604" s="1" t="s">
        <v>25</v>
      </c>
      <c r="K2604" s="1">
        <v>80.0</v>
      </c>
      <c r="N2604" s="5">
        <v>44298.0</v>
      </c>
      <c r="Q2604" s="1" t="s">
        <v>1187</v>
      </c>
    </row>
    <row r="2605">
      <c r="A2605" s="1">
        <v>2604.0</v>
      </c>
      <c r="B2605" s="1" t="s">
        <v>4665</v>
      </c>
      <c r="C2605" s="1" t="s">
        <v>25</v>
      </c>
      <c r="K2605" s="1">
        <v>10.0</v>
      </c>
      <c r="N2605" s="5">
        <v>44960.0</v>
      </c>
      <c r="Q2605" s="1" t="s">
        <v>4666</v>
      </c>
    </row>
    <row r="2606">
      <c r="A2606" s="1">
        <v>2605.0</v>
      </c>
      <c r="B2606" s="1" t="s">
        <v>4667</v>
      </c>
      <c r="C2606" s="1" t="s">
        <v>25</v>
      </c>
      <c r="K2606" s="1">
        <v>40.0</v>
      </c>
      <c r="N2606" s="5">
        <v>45138.0</v>
      </c>
      <c r="Q2606" s="1" t="s">
        <v>4668</v>
      </c>
    </row>
    <row r="2607">
      <c r="A2607" s="1">
        <v>2606.0</v>
      </c>
      <c r="B2607" s="1" t="s">
        <v>4669</v>
      </c>
      <c r="C2607" s="1" t="s">
        <v>25</v>
      </c>
      <c r="N2607" s="5">
        <v>44214.0</v>
      </c>
      <c r="Q2607" s="1" t="s">
        <v>55</v>
      </c>
    </row>
    <row r="2608">
      <c r="A2608" s="1">
        <v>2607.0</v>
      </c>
      <c r="B2608" s="1" t="s">
        <v>4670</v>
      </c>
      <c r="C2608" s="1" t="s">
        <v>25</v>
      </c>
      <c r="K2608" s="1">
        <v>150.0</v>
      </c>
      <c r="N2608" s="5">
        <v>45599.0</v>
      </c>
      <c r="Q2608" s="1" t="s">
        <v>4671</v>
      </c>
    </row>
    <row r="2609">
      <c r="A2609" s="1">
        <v>2608.0</v>
      </c>
      <c r="B2609" s="1" t="s">
        <v>4672</v>
      </c>
      <c r="C2609" s="1" t="s">
        <v>25</v>
      </c>
      <c r="K2609" s="1">
        <v>300.0</v>
      </c>
      <c r="N2609" s="5">
        <v>44119.0</v>
      </c>
      <c r="Q2609" s="1" t="s">
        <v>4673</v>
      </c>
    </row>
    <row r="2610">
      <c r="A2610" s="1">
        <v>2609.0</v>
      </c>
      <c r="B2610" s="1" t="s">
        <v>4674</v>
      </c>
      <c r="C2610" s="1" t="s">
        <v>25</v>
      </c>
      <c r="K2610" s="1">
        <v>100.0</v>
      </c>
      <c r="N2610" s="5">
        <v>44683.0</v>
      </c>
      <c r="Q2610" s="1" t="s">
        <v>2057</v>
      </c>
    </row>
    <row r="2611">
      <c r="A2611" s="1">
        <v>2610.0</v>
      </c>
      <c r="B2611" s="1" t="s">
        <v>4675</v>
      </c>
      <c r="C2611" s="1" t="s">
        <v>25</v>
      </c>
      <c r="N2611" s="5">
        <v>44396.0</v>
      </c>
      <c r="Q2611" s="1" t="s">
        <v>55</v>
      </c>
    </row>
    <row r="2612">
      <c r="A2612" s="1">
        <v>2611.0</v>
      </c>
      <c r="B2612" s="1" t="s">
        <v>4676</v>
      </c>
      <c r="C2612" s="1" t="s">
        <v>25</v>
      </c>
      <c r="K2612" s="1">
        <v>150.0</v>
      </c>
      <c r="N2612" s="5">
        <v>44585.0</v>
      </c>
      <c r="Q2612" s="1" t="s">
        <v>3481</v>
      </c>
    </row>
    <row r="2613">
      <c r="A2613" s="1">
        <v>2612.0</v>
      </c>
      <c r="B2613" s="1" t="s">
        <v>4677</v>
      </c>
      <c r="C2613" s="1" t="s">
        <v>25</v>
      </c>
      <c r="K2613" s="1">
        <v>50.0</v>
      </c>
      <c r="N2613" s="5">
        <v>44827.0</v>
      </c>
      <c r="Q2613" s="1" t="s">
        <v>93</v>
      </c>
    </row>
    <row r="2614">
      <c r="A2614" s="1">
        <v>2613.0</v>
      </c>
      <c r="B2614" s="1" t="s">
        <v>4678</v>
      </c>
      <c r="C2614" s="1" t="s">
        <v>25</v>
      </c>
      <c r="N2614" s="5">
        <v>44153.0</v>
      </c>
      <c r="Q2614" s="1" t="s">
        <v>55</v>
      </c>
    </row>
    <row r="2615">
      <c r="A2615" s="1">
        <v>2614.0</v>
      </c>
      <c r="B2615" s="1" t="s">
        <v>4679</v>
      </c>
      <c r="C2615" s="1" t="s">
        <v>25</v>
      </c>
      <c r="K2615" s="1">
        <v>20.0</v>
      </c>
      <c r="N2615" s="5">
        <v>45711.0</v>
      </c>
      <c r="Q2615" s="1" t="s">
        <v>4680</v>
      </c>
    </row>
    <row r="2616">
      <c r="A2616" s="1">
        <v>2615.0</v>
      </c>
      <c r="B2616" s="1" t="s">
        <v>4681</v>
      </c>
      <c r="C2616" s="1" t="s">
        <v>25</v>
      </c>
      <c r="K2616" s="1">
        <v>80.0</v>
      </c>
      <c r="N2616" s="5">
        <v>44693.0</v>
      </c>
      <c r="Q2616" s="1" t="s">
        <v>4682</v>
      </c>
    </row>
    <row r="2617">
      <c r="A2617" s="1">
        <v>2616.0</v>
      </c>
      <c r="B2617" s="1" t="s">
        <v>4683</v>
      </c>
      <c r="C2617" s="1" t="s">
        <v>25</v>
      </c>
      <c r="K2617" s="1">
        <v>40.0</v>
      </c>
      <c r="N2617" s="5">
        <v>43911.0</v>
      </c>
      <c r="Q2617" s="1" t="s">
        <v>2022</v>
      </c>
    </row>
    <row r="2618">
      <c r="A2618" s="1">
        <v>2617.0</v>
      </c>
      <c r="B2618" s="1" t="s">
        <v>4684</v>
      </c>
      <c r="C2618" s="1" t="s">
        <v>25</v>
      </c>
      <c r="K2618" s="1">
        <v>150.0</v>
      </c>
      <c r="N2618" s="5">
        <v>45441.0</v>
      </c>
      <c r="Q2618" s="1" t="s">
        <v>97</v>
      </c>
    </row>
    <row r="2619">
      <c r="A2619" s="1">
        <v>2618.0</v>
      </c>
      <c r="B2619" s="1" t="s">
        <v>4685</v>
      </c>
      <c r="C2619" s="1" t="s">
        <v>25</v>
      </c>
      <c r="K2619" s="1">
        <v>200.0</v>
      </c>
      <c r="N2619" s="5">
        <v>43843.0</v>
      </c>
      <c r="Q2619" s="1" t="s">
        <v>4686</v>
      </c>
    </row>
    <row r="2620">
      <c r="A2620" s="1">
        <v>2619.0</v>
      </c>
      <c r="B2620" s="1" t="s">
        <v>4687</v>
      </c>
      <c r="C2620" s="1" t="s">
        <v>25</v>
      </c>
      <c r="N2620" s="5">
        <v>44923.0</v>
      </c>
      <c r="Q2620" s="1" t="s">
        <v>55</v>
      </c>
    </row>
    <row r="2621">
      <c r="A2621" s="1">
        <v>2620.0</v>
      </c>
      <c r="B2621" s="1" t="s">
        <v>4688</v>
      </c>
      <c r="C2621" s="1" t="s">
        <v>25</v>
      </c>
      <c r="K2621" s="1">
        <v>60.0</v>
      </c>
      <c r="N2621" s="5">
        <v>45237.0</v>
      </c>
      <c r="Q2621" s="1" t="s">
        <v>4689</v>
      </c>
    </row>
    <row r="2622">
      <c r="A2622" s="1">
        <v>2621.0</v>
      </c>
      <c r="B2622" s="1" t="s">
        <v>4690</v>
      </c>
      <c r="C2622" s="1" t="s">
        <v>25</v>
      </c>
      <c r="K2622" s="1">
        <v>350.0</v>
      </c>
      <c r="N2622" s="5">
        <v>44624.0</v>
      </c>
      <c r="Q2622" s="1" t="s">
        <v>4691</v>
      </c>
    </row>
    <row r="2623">
      <c r="A2623" s="1">
        <v>2622.0</v>
      </c>
      <c r="B2623" s="1" t="s">
        <v>4692</v>
      </c>
      <c r="C2623" s="1" t="s">
        <v>25</v>
      </c>
      <c r="K2623" s="1">
        <v>90.0</v>
      </c>
      <c r="N2623" s="5">
        <v>45757.0</v>
      </c>
      <c r="Q2623" s="1" t="s">
        <v>4693</v>
      </c>
    </row>
    <row r="2624">
      <c r="A2624" s="1">
        <v>2623.0</v>
      </c>
      <c r="B2624" s="1" t="s">
        <v>4694</v>
      </c>
      <c r="C2624" s="1" t="s">
        <v>25</v>
      </c>
      <c r="K2624" s="1">
        <v>100.0</v>
      </c>
      <c r="N2624" s="5">
        <v>43856.0</v>
      </c>
      <c r="Q2624" s="1" t="s">
        <v>4506</v>
      </c>
    </row>
    <row r="2625">
      <c r="A2625" s="1">
        <v>2624.0</v>
      </c>
      <c r="B2625" s="1" t="s">
        <v>4695</v>
      </c>
      <c r="C2625" s="1" t="s">
        <v>25</v>
      </c>
      <c r="K2625" s="1">
        <v>250.0</v>
      </c>
      <c r="N2625" s="5">
        <v>44082.0</v>
      </c>
      <c r="Q2625" s="1" t="s">
        <v>4696</v>
      </c>
    </row>
    <row r="2626">
      <c r="A2626" s="1">
        <v>2625.0</v>
      </c>
      <c r="B2626" s="1" t="s">
        <v>4697</v>
      </c>
      <c r="C2626" s="1" t="s">
        <v>25</v>
      </c>
      <c r="K2626" s="1">
        <v>60.0</v>
      </c>
      <c r="N2626" s="5">
        <v>44124.0</v>
      </c>
      <c r="Q2626" s="1" t="s">
        <v>4698</v>
      </c>
    </row>
    <row r="2627">
      <c r="A2627" s="1">
        <v>2626.0</v>
      </c>
      <c r="B2627" s="1" t="s">
        <v>4699</v>
      </c>
      <c r="C2627" s="1" t="s">
        <v>25</v>
      </c>
      <c r="K2627" s="1">
        <v>60.0</v>
      </c>
      <c r="N2627" s="5">
        <v>44729.0</v>
      </c>
      <c r="Q2627" s="1" t="s">
        <v>2395</v>
      </c>
    </row>
    <row r="2628">
      <c r="A2628" s="1">
        <v>2627.0</v>
      </c>
      <c r="B2628" s="1" t="s">
        <v>4700</v>
      </c>
      <c r="C2628" s="1" t="s">
        <v>25</v>
      </c>
      <c r="K2628" s="1">
        <v>90.0</v>
      </c>
      <c r="N2628" s="5">
        <v>44367.0</v>
      </c>
      <c r="Q2628" s="1" t="s">
        <v>4701</v>
      </c>
    </row>
    <row r="2629">
      <c r="A2629" s="1">
        <v>2628.0</v>
      </c>
      <c r="B2629" s="1" t="s">
        <v>4702</v>
      </c>
      <c r="C2629" s="1" t="s">
        <v>25</v>
      </c>
      <c r="N2629" s="5">
        <v>44407.0</v>
      </c>
      <c r="Q2629" s="1" t="s">
        <v>55</v>
      </c>
    </row>
    <row r="2630">
      <c r="A2630" s="1">
        <v>2629.0</v>
      </c>
      <c r="B2630" s="1" t="s">
        <v>4703</v>
      </c>
      <c r="C2630" s="1" t="s">
        <v>25</v>
      </c>
      <c r="K2630" s="1">
        <v>200.0</v>
      </c>
      <c r="N2630" s="5">
        <v>44320.0</v>
      </c>
      <c r="Q2630" s="1" t="s">
        <v>4704</v>
      </c>
    </row>
    <row r="2631">
      <c r="A2631" s="1">
        <v>2630.0</v>
      </c>
      <c r="B2631" s="1" t="s">
        <v>4705</v>
      </c>
      <c r="C2631" s="1" t="s">
        <v>25</v>
      </c>
      <c r="K2631" s="1">
        <v>200.0</v>
      </c>
      <c r="N2631" s="5">
        <v>44996.0</v>
      </c>
      <c r="Q2631" s="1" t="s">
        <v>4706</v>
      </c>
    </row>
    <row r="2632">
      <c r="A2632" s="1">
        <v>2631.0</v>
      </c>
      <c r="B2632" s="1" t="s">
        <v>4707</v>
      </c>
      <c r="C2632" s="1" t="s">
        <v>25</v>
      </c>
      <c r="N2632" s="5">
        <v>44227.0</v>
      </c>
      <c r="Q2632" s="1" t="s">
        <v>55</v>
      </c>
    </row>
    <row r="2633">
      <c r="A2633" s="1">
        <v>2632.0</v>
      </c>
      <c r="B2633" s="1" t="s">
        <v>4708</v>
      </c>
      <c r="C2633" s="1" t="s">
        <v>25</v>
      </c>
      <c r="K2633" s="1">
        <v>150.0</v>
      </c>
      <c r="N2633" s="5">
        <v>44298.0</v>
      </c>
      <c r="Q2633" s="1" t="s">
        <v>4709</v>
      </c>
    </row>
    <row r="2634">
      <c r="A2634" s="1">
        <v>2633.0</v>
      </c>
      <c r="B2634" s="1" t="s">
        <v>4710</v>
      </c>
      <c r="C2634" s="1" t="s">
        <v>25</v>
      </c>
      <c r="K2634" s="1">
        <v>100.0</v>
      </c>
      <c r="N2634" s="5">
        <v>44256.0</v>
      </c>
      <c r="Q2634" s="1" t="s">
        <v>1611</v>
      </c>
    </row>
    <row r="2635">
      <c r="A2635" s="1">
        <v>2634.0</v>
      </c>
      <c r="B2635" s="1" t="s">
        <v>4711</v>
      </c>
      <c r="C2635" s="1" t="s">
        <v>25</v>
      </c>
      <c r="K2635" s="1">
        <v>80.0</v>
      </c>
      <c r="N2635" s="5">
        <v>44091.0</v>
      </c>
      <c r="Q2635" s="1" t="s">
        <v>55</v>
      </c>
    </row>
    <row r="2636">
      <c r="A2636" s="1">
        <v>2635.0</v>
      </c>
      <c r="B2636" s="1" t="s">
        <v>4712</v>
      </c>
      <c r="C2636" s="1" t="s">
        <v>25</v>
      </c>
      <c r="K2636" s="1">
        <v>70.0</v>
      </c>
      <c r="N2636" s="5">
        <v>44521.0</v>
      </c>
      <c r="Q2636" s="1" t="s">
        <v>4713</v>
      </c>
    </row>
    <row r="2637">
      <c r="A2637" s="1">
        <v>2636.0</v>
      </c>
      <c r="B2637" s="1" t="s">
        <v>4714</v>
      </c>
      <c r="C2637" s="1" t="s">
        <v>25</v>
      </c>
      <c r="K2637" s="1">
        <v>90.0</v>
      </c>
      <c r="N2637" s="5">
        <v>45715.0</v>
      </c>
      <c r="Q2637" s="1" t="s">
        <v>4463</v>
      </c>
    </row>
    <row r="2638">
      <c r="A2638" s="1">
        <v>2637.0</v>
      </c>
      <c r="B2638" s="1" t="s">
        <v>4715</v>
      </c>
      <c r="C2638" s="1" t="s">
        <v>25</v>
      </c>
      <c r="K2638" s="1">
        <v>90.0</v>
      </c>
      <c r="N2638" s="5">
        <v>45739.0</v>
      </c>
      <c r="Q2638" s="1" t="s">
        <v>4716</v>
      </c>
    </row>
    <row r="2639">
      <c r="A2639" s="1">
        <v>2638.0</v>
      </c>
      <c r="B2639" s="1" t="s">
        <v>4717</v>
      </c>
      <c r="C2639" s="1" t="s">
        <v>25</v>
      </c>
      <c r="K2639" s="1">
        <v>10.0</v>
      </c>
      <c r="N2639" s="5">
        <v>44794.0</v>
      </c>
      <c r="Q2639" s="1" t="s">
        <v>278</v>
      </c>
    </row>
    <row r="2640">
      <c r="A2640" s="1">
        <v>2639.0</v>
      </c>
      <c r="B2640" s="1" t="s">
        <v>4718</v>
      </c>
      <c r="C2640" s="1" t="s">
        <v>25</v>
      </c>
      <c r="N2640" s="5">
        <v>43937.0</v>
      </c>
      <c r="Q2640" s="1" t="s">
        <v>46</v>
      </c>
    </row>
    <row r="2641">
      <c r="A2641" s="1">
        <v>2640.0</v>
      </c>
      <c r="B2641" s="1" t="s">
        <v>4719</v>
      </c>
      <c r="C2641" s="1" t="s">
        <v>25</v>
      </c>
      <c r="K2641" s="1">
        <v>200.0</v>
      </c>
      <c r="N2641" s="5">
        <v>45342.0</v>
      </c>
      <c r="Q2641" s="1" t="s">
        <v>4720</v>
      </c>
    </row>
    <row r="2642">
      <c r="A2642" s="1">
        <v>2641.0</v>
      </c>
      <c r="B2642" s="1" t="s">
        <v>4721</v>
      </c>
      <c r="C2642" s="1" t="s">
        <v>25</v>
      </c>
      <c r="K2642" s="1">
        <v>20.0</v>
      </c>
      <c r="N2642" s="5">
        <v>44713.0</v>
      </c>
      <c r="Q2642" s="1" t="s">
        <v>4722</v>
      </c>
    </row>
    <row r="2643">
      <c r="A2643" s="1">
        <v>2642.0</v>
      </c>
      <c r="B2643" s="1" t="s">
        <v>4723</v>
      </c>
      <c r="C2643" s="1" t="s">
        <v>25</v>
      </c>
      <c r="K2643" s="1">
        <v>100.0</v>
      </c>
      <c r="N2643" s="5">
        <v>45825.0</v>
      </c>
      <c r="Q2643" s="1" t="s">
        <v>4724</v>
      </c>
    </row>
    <row r="2644">
      <c r="A2644" s="1">
        <v>2643.0</v>
      </c>
      <c r="B2644" s="1" t="s">
        <v>4725</v>
      </c>
      <c r="C2644" s="1" t="s">
        <v>25</v>
      </c>
      <c r="K2644" s="1">
        <v>50.0</v>
      </c>
      <c r="N2644" s="5">
        <v>45685.0</v>
      </c>
      <c r="Q2644" s="1" t="s">
        <v>4726</v>
      </c>
    </row>
    <row r="2645">
      <c r="A2645" s="1">
        <v>2644.0</v>
      </c>
      <c r="B2645" s="1" t="s">
        <v>4727</v>
      </c>
      <c r="C2645" s="1" t="s">
        <v>25</v>
      </c>
      <c r="K2645" s="1">
        <v>10.0</v>
      </c>
      <c r="N2645" s="5">
        <v>44052.0</v>
      </c>
      <c r="Q2645" s="1" t="s">
        <v>55</v>
      </c>
    </row>
    <row r="2646">
      <c r="A2646" s="1">
        <v>2645.0</v>
      </c>
      <c r="B2646" s="1" t="s">
        <v>4728</v>
      </c>
      <c r="C2646" s="1" t="s">
        <v>25</v>
      </c>
      <c r="N2646" s="5">
        <v>44666.0</v>
      </c>
      <c r="Q2646" s="1" t="s">
        <v>55</v>
      </c>
    </row>
    <row r="2647">
      <c r="A2647" s="1">
        <v>2646.0</v>
      </c>
      <c r="B2647" s="1" t="s">
        <v>4729</v>
      </c>
      <c r="C2647" s="1" t="s">
        <v>25</v>
      </c>
      <c r="K2647" s="1">
        <v>150.0</v>
      </c>
      <c r="N2647" s="5">
        <v>43974.0</v>
      </c>
      <c r="Q2647" s="1" t="s">
        <v>1218</v>
      </c>
    </row>
    <row r="2648">
      <c r="A2648" s="1">
        <v>2647.0</v>
      </c>
      <c r="B2648" s="1" t="s">
        <v>4730</v>
      </c>
      <c r="C2648" s="1" t="s">
        <v>25</v>
      </c>
      <c r="K2648" s="1">
        <v>30.0</v>
      </c>
      <c r="N2648" s="5">
        <v>44672.0</v>
      </c>
      <c r="Q2648" s="1" t="s">
        <v>55</v>
      </c>
    </row>
    <row r="2649">
      <c r="A2649" s="1">
        <v>2648.0</v>
      </c>
      <c r="B2649" s="1" t="s">
        <v>4731</v>
      </c>
      <c r="C2649" s="1" t="s">
        <v>25</v>
      </c>
      <c r="N2649" s="5">
        <v>43849.0</v>
      </c>
      <c r="Q2649" s="1" t="s">
        <v>55</v>
      </c>
    </row>
    <row r="2650">
      <c r="A2650" s="1">
        <v>2649.0</v>
      </c>
      <c r="B2650" s="1" t="s">
        <v>4732</v>
      </c>
      <c r="C2650" s="1" t="s">
        <v>25</v>
      </c>
      <c r="K2650" s="1">
        <v>150.0</v>
      </c>
      <c r="N2650" s="5">
        <v>44799.0</v>
      </c>
      <c r="Q2650" s="1" t="s">
        <v>4733</v>
      </c>
    </row>
    <row r="2651">
      <c r="A2651" s="1">
        <v>2650.0</v>
      </c>
      <c r="B2651" s="1" t="s">
        <v>4734</v>
      </c>
      <c r="C2651" s="1" t="s">
        <v>25</v>
      </c>
      <c r="N2651" s="5">
        <v>44370.0</v>
      </c>
      <c r="Q2651" s="1" t="s">
        <v>55</v>
      </c>
    </row>
    <row r="2652">
      <c r="A2652" s="1">
        <v>2651.0</v>
      </c>
      <c r="B2652" s="1" t="s">
        <v>4735</v>
      </c>
      <c r="C2652" s="1" t="s">
        <v>25</v>
      </c>
      <c r="K2652" s="1">
        <v>100.0</v>
      </c>
      <c r="N2652" s="5">
        <v>43944.0</v>
      </c>
      <c r="Q2652" s="1" t="s">
        <v>2189</v>
      </c>
    </row>
    <row r="2653">
      <c r="A2653" s="1">
        <v>2652.0</v>
      </c>
      <c r="B2653" s="1" t="s">
        <v>4736</v>
      </c>
      <c r="C2653" s="1" t="s">
        <v>25</v>
      </c>
      <c r="K2653" s="1">
        <v>50.0</v>
      </c>
      <c r="N2653" s="5">
        <v>45697.0</v>
      </c>
      <c r="Q2653" s="1" t="s">
        <v>4737</v>
      </c>
    </row>
    <row r="2654">
      <c r="A2654" s="1">
        <v>2653.0</v>
      </c>
      <c r="B2654" s="1" t="s">
        <v>4738</v>
      </c>
      <c r="C2654" s="1" t="s">
        <v>25</v>
      </c>
      <c r="K2654" s="1">
        <v>40.0</v>
      </c>
      <c r="N2654" s="5">
        <v>43978.0</v>
      </c>
      <c r="Q2654" s="1" t="s">
        <v>4739</v>
      </c>
    </row>
    <row r="2655">
      <c r="A2655" s="1">
        <v>2654.0</v>
      </c>
      <c r="B2655" s="1" t="s">
        <v>4740</v>
      </c>
      <c r="C2655" s="1" t="s">
        <v>25</v>
      </c>
      <c r="K2655" s="1">
        <v>350.0</v>
      </c>
      <c r="N2655" s="5">
        <v>45656.0</v>
      </c>
      <c r="Q2655" s="1" t="s">
        <v>4741</v>
      </c>
    </row>
    <row r="2656">
      <c r="A2656" s="1">
        <v>2655.0</v>
      </c>
      <c r="B2656" s="1" t="s">
        <v>4742</v>
      </c>
      <c r="C2656" s="1" t="s">
        <v>25</v>
      </c>
      <c r="K2656" s="1">
        <v>100.0</v>
      </c>
      <c r="N2656" s="5">
        <v>44113.0</v>
      </c>
      <c r="Q2656" s="1" t="s">
        <v>4743</v>
      </c>
    </row>
    <row r="2657">
      <c r="A2657" s="1">
        <v>2656.0</v>
      </c>
      <c r="B2657" s="1" t="s">
        <v>4744</v>
      </c>
      <c r="C2657" s="1" t="s">
        <v>25</v>
      </c>
      <c r="N2657" s="5">
        <v>44390.0</v>
      </c>
      <c r="Q2657" s="1" t="s">
        <v>55</v>
      </c>
    </row>
    <row r="2658">
      <c r="A2658" s="1">
        <v>2657.0</v>
      </c>
      <c r="B2658" s="1" t="s">
        <v>4745</v>
      </c>
      <c r="C2658" s="1" t="s">
        <v>25</v>
      </c>
      <c r="N2658" s="5">
        <v>45699.0</v>
      </c>
      <c r="Q2658" s="1" t="s">
        <v>4746</v>
      </c>
    </row>
    <row r="2659">
      <c r="A2659" s="1">
        <v>2658.0</v>
      </c>
      <c r="B2659" s="1" t="s">
        <v>4747</v>
      </c>
      <c r="C2659" s="1" t="s">
        <v>25</v>
      </c>
      <c r="K2659" s="1">
        <v>30.0</v>
      </c>
      <c r="N2659" s="5">
        <v>45814.0</v>
      </c>
      <c r="Q2659" s="1" t="s">
        <v>4748</v>
      </c>
    </row>
    <row r="2660">
      <c r="A2660" s="1">
        <v>2659.0</v>
      </c>
      <c r="B2660" s="1" t="s">
        <v>4749</v>
      </c>
      <c r="C2660" s="1" t="s">
        <v>25</v>
      </c>
      <c r="N2660" s="5">
        <v>43974.0</v>
      </c>
      <c r="Q2660" s="1" t="s">
        <v>55</v>
      </c>
    </row>
    <row r="2661">
      <c r="A2661" s="1">
        <v>2660.0</v>
      </c>
      <c r="B2661" s="1" t="s">
        <v>4750</v>
      </c>
      <c r="C2661" s="1" t="s">
        <v>25</v>
      </c>
      <c r="N2661" s="5">
        <v>43916.0</v>
      </c>
      <c r="Q2661" s="1" t="s">
        <v>55</v>
      </c>
    </row>
    <row r="2662">
      <c r="A2662" s="1">
        <v>2661.0</v>
      </c>
      <c r="B2662" s="1" t="s">
        <v>4751</v>
      </c>
      <c r="C2662" s="1" t="s">
        <v>25</v>
      </c>
      <c r="K2662" s="1">
        <v>90.0</v>
      </c>
      <c r="N2662" s="5">
        <v>44192.0</v>
      </c>
      <c r="Q2662" s="1" t="s">
        <v>4752</v>
      </c>
    </row>
    <row r="2663">
      <c r="A2663" s="1">
        <v>2662.0</v>
      </c>
      <c r="B2663" s="1" t="s">
        <v>4753</v>
      </c>
      <c r="C2663" s="1" t="s">
        <v>25</v>
      </c>
      <c r="N2663" s="5">
        <v>44806.0</v>
      </c>
      <c r="Q2663" s="1" t="s">
        <v>55</v>
      </c>
    </row>
    <row r="2664">
      <c r="A2664" s="1">
        <v>2663.0</v>
      </c>
      <c r="B2664" s="1" t="s">
        <v>4754</v>
      </c>
      <c r="C2664" s="1" t="s">
        <v>25</v>
      </c>
      <c r="N2664" s="5">
        <v>44128.0</v>
      </c>
      <c r="Q2664" s="1" t="s">
        <v>55</v>
      </c>
    </row>
    <row r="2665">
      <c r="A2665" s="1">
        <v>2664.0</v>
      </c>
      <c r="B2665" s="1" t="s">
        <v>4755</v>
      </c>
      <c r="C2665" s="1" t="s">
        <v>25</v>
      </c>
      <c r="K2665" s="1">
        <v>20.0</v>
      </c>
      <c r="N2665" s="5">
        <v>44720.0</v>
      </c>
      <c r="Q2665" s="1" t="s">
        <v>55</v>
      </c>
    </row>
    <row r="2666">
      <c r="A2666" s="1">
        <v>2665.0</v>
      </c>
      <c r="B2666" s="1" t="s">
        <v>4756</v>
      </c>
      <c r="C2666" s="1" t="s">
        <v>25</v>
      </c>
      <c r="K2666" s="1">
        <v>50.0</v>
      </c>
      <c r="N2666" s="5">
        <v>44280.0</v>
      </c>
      <c r="Q2666" s="1" t="s">
        <v>2443</v>
      </c>
    </row>
    <row r="2667">
      <c r="A2667" s="1">
        <v>2666.0</v>
      </c>
      <c r="B2667" s="1" t="s">
        <v>4757</v>
      </c>
      <c r="C2667" s="1" t="s">
        <v>25</v>
      </c>
      <c r="K2667" s="1">
        <v>150.0</v>
      </c>
      <c r="N2667" s="5">
        <v>45591.0</v>
      </c>
      <c r="Q2667" s="1" t="s">
        <v>4758</v>
      </c>
    </row>
    <row r="2668">
      <c r="A2668" s="1">
        <v>2667.0</v>
      </c>
      <c r="B2668" s="1" t="s">
        <v>4759</v>
      </c>
      <c r="C2668" s="1" t="s">
        <v>25</v>
      </c>
      <c r="N2668" s="5">
        <v>44298.0</v>
      </c>
      <c r="Q2668" s="1" t="s">
        <v>606</v>
      </c>
    </row>
    <row r="2669">
      <c r="A2669" s="1">
        <v>2668.0</v>
      </c>
      <c r="B2669" s="1" t="s">
        <v>4760</v>
      </c>
      <c r="C2669" s="1" t="s">
        <v>25</v>
      </c>
      <c r="K2669" s="1">
        <v>30.0</v>
      </c>
      <c r="N2669" s="5">
        <v>44945.0</v>
      </c>
      <c r="Q2669" s="1" t="s">
        <v>1218</v>
      </c>
    </row>
    <row r="2670">
      <c r="A2670" s="1">
        <v>2669.0</v>
      </c>
      <c r="B2670" s="1" t="s">
        <v>4761</v>
      </c>
      <c r="C2670" s="1" t="s">
        <v>25</v>
      </c>
      <c r="N2670" s="5">
        <v>45708.0</v>
      </c>
      <c r="Q2670" s="1" t="s">
        <v>1936</v>
      </c>
    </row>
    <row r="2671">
      <c r="A2671" s="1">
        <v>2670.0</v>
      </c>
      <c r="B2671" s="1" t="s">
        <v>4762</v>
      </c>
      <c r="C2671" s="1" t="s">
        <v>25</v>
      </c>
      <c r="N2671" s="5">
        <v>44561.0</v>
      </c>
      <c r="Q2671" s="1" t="s">
        <v>55</v>
      </c>
    </row>
    <row r="2672">
      <c r="A2672" s="1">
        <v>2671.0</v>
      </c>
      <c r="B2672" s="1" t="s">
        <v>4763</v>
      </c>
      <c r="C2672" s="1" t="s">
        <v>25</v>
      </c>
      <c r="K2672" s="1">
        <v>200.0</v>
      </c>
      <c r="N2672" s="5">
        <v>44067.0</v>
      </c>
      <c r="Q2672" s="1" t="s">
        <v>4764</v>
      </c>
    </row>
    <row r="2673">
      <c r="A2673" s="1">
        <v>2672.0</v>
      </c>
      <c r="B2673" s="1" t="s">
        <v>4765</v>
      </c>
      <c r="C2673" s="1" t="s">
        <v>25</v>
      </c>
      <c r="K2673" s="1">
        <v>1300.0</v>
      </c>
      <c r="N2673" s="5">
        <v>43859.0</v>
      </c>
      <c r="Q2673" s="1" t="s">
        <v>4766</v>
      </c>
    </row>
    <row r="2674">
      <c r="A2674" s="1">
        <v>2673.0</v>
      </c>
      <c r="B2674" s="1" t="s">
        <v>4767</v>
      </c>
      <c r="C2674" s="1" t="s">
        <v>25</v>
      </c>
      <c r="K2674" s="1">
        <v>40.0</v>
      </c>
      <c r="N2674" s="5">
        <v>44385.0</v>
      </c>
      <c r="Q2674" s="1" t="s">
        <v>1218</v>
      </c>
    </row>
    <row r="2675">
      <c r="A2675" s="1">
        <v>2674.0</v>
      </c>
      <c r="B2675" s="1" t="s">
        <v>4768</v>
      </c>
      <c r="C2675" s="1" t="s">
        <v>25</v>
      </c>
      <c r="K2675" s="1">
        <v>450.0</v>
      </c>
      <c r="N2675" s="5">
        <v>43856.0</v>
      </c>
      <c r="Q2675" s="1" t="s">
        <v>4769</v>
      </c>
    </row>
    <row r="2676">
      <c r="A2676" s="1">
        <v>2675.0</v>
      </c>
      <c r="B2676" s="1" t="s">
        <v>4770</v>
      </c>
      <c r="C2676" s="1" t="s">
        <v>25</v>
      </c>
      <c r="N2676" s="5">
        <v>44296.0</v>
      </c>
      <c r="Q2676" s="1" t="s">
        <v>55</v>
      </c>
    </row>
    <row r="2677">
      <c r="A2677" s="1">
        <v>2676.0</v>
      </c>
      <c r="B2677" s="1" t="s">
        <v>4771</v>
      </c>
      <c r="C2677" s="1" t="s">
        <v>25</v>
      </c>
      <c r="N2677" s="5">
        <v>44050.0</v>
      </c>
      <c r="Q2677" s="1" t="s">
        <v>55</v>
      </c>
    </row>
    <row r="2678">
      <c r="A2678" s="1">
        <v>2677.0</v>
      </c>
      <c r="B2678" s="1" t="s">
        <v>4772</v>
      </c>
      <c r="C2678" s="1" t="s">
        <v>25</v>
      </c>
      <c r="K2678" s="1">
        <v>150.0</v>
      </c>
      <c r="N2678" s="5">
        <v>44452.0</v>
      </c>
      <c r="Q2678" s="1" t="s">
        <v>2623</v>
      </c>
    </row>
    <row r="2679">
      <c r="A2679" s="1">
        <v>2678.0</v>
      </c>
      <c r="B2679" s="1" t="s">
        <v>4773</v>
      </c>
      <c r="C2679" s="1" t="s">
        <v>25</v>
      </c>
      <c r="K2679" s="1">
        <v>350.0</v>
      </c>
      <c r="N2679" s="5">
        <v>44469.0</v>
      </c>
      <c r="Q2679" s="1" t="s">
        <v>4774</v>
      </c>
    </row>
    <row r="2680">
      <c r="A2680" s="1">
        <v>2679.0</v>
      </c>
      <c r="B2680" s="1" t="s">
        <v>4775</v>
      </c>
      <c r="C2680" s="1" t="s">
        <v>25</v>
      </c>
      <c r="K2680" s="1">
        <v>10.0</v>
      </c>
      <c r="N2680" s="5">
        <v>44920.0</v>
      </c>
      <c r="Q2680" s="1" t="s">
        <v>55</v>
      </c>
    </row>
    <row r="2681">
      <c r="A2681" s="1">
        <v>2680.0</v>
      </c>
      <c r="B2681" s="1" t="s">
        <v>4776</v>
      </c>
      <c r="C2681" s="1" t="s">
        <v>25</v>
      </c>
      <c r="N2681" s="5">
        <v>45167.0</v>
      </c>
      <c r="Q2681" s="1" t="s">
        <v>55</v>
      </c>
    </row>
    <row r="2682">
      <c r="A2682" s="1">
        <v>2681.0</v>
      </c>
      <c r="B2682" s="1" t="s">
        <v>4777</v>
      </c>
      <c r="C2682" s="1" t="s">
        <v>25</v>
      </c>
      <c r="K2682" s="1">
        <v>10.0</v>
      </c>
      <c r="N2682" s="5">
        <v>45127.0</v>
      </c>
      <c r="Q2682" s="1" t="s">
        <v>4778</v>
      </c>
    </row>
    <row r="2683">
      <c r="A2683" s="1">
        <v>2682.0</v>
      </c>
      <c r="B2683" s="1" t="s">
        <v>4779</v>
      </c>
      <c r="C2683" s="1" t="s">
        <v>25</v>
      </c>
      <c r="K2683" s="1">
        <v>90.0</v>
      </c>
      <c r="N2683" s="5">
        <v>44893.0</v>
      </c>
      <c r="Q2683" s="1" t="s">
        <v>2443</v>
      </c>
    </row>
    <row r="2684">
      <c r="A2684" s="1">
        <v>2683.0</v>
      </c>
      <c r="B2684" s="1" t="s">
        <v>4780</v>
      </c>
      <c r="C2684" s="1" t="s">
        <v>25</v>
      </c>
      <c r="K2684" s="1">
        <v>100.0</v>
      </c>
      <c r="N2684" s="5">
        <v>44142.0</v>
      </c>
      <c r="Q2684" s="1" t="s">
        <v>4781</v>
      </c>
    </row>
    <row r="2685">
      <c r="A2685" s="1">
        <v>2684.0</v>
      </c>
      <c r="B2685" s="1" t="s">
        <v>4782</v>
      </c>
      <c r="C2685" s="1" t="s">
        <v>25</v>
      </c>
      <c r="N2685" s="5">
        <v>45107.0</v>
      </c>
      <c r="Q2685" s="1" t="s">
        <v>55</v>
      </c>
    </row>
    <row r="2686">
      <c r="A2686" s="1">
        <v>2685.0</v>
      </c>
      <c r="B2686" s="1" t="s">
        <v>4783</v>
      </c>
      <c r="C2686" s="1" t="s">
        <v>25</v>
      </c>
      <c r="K2686" s="1">
        <v>10.0</v>
      </c>
      <c r="N2686" s="5">
        <v>46087.0</v>
      </c>
      <c r="Q2686" s="1" t="s">
        <v>4784</v>
      </c>
    </row>
    <row r="2687">
      <c r="A2687" s="1">
        <v>2686.0</v>
      </c>
      <c r="B2687" s="1" t="s">
        <v>4785</v>
      </c>
      <c r="C2687" s="1" t="s">
        <v>25</v>
      </c>
      <c r="N2687" s="5">
        <v>44027.0</v>
      </c>
      <c r="Q2687" s="1" t="s">
        <v>46</v>
      </c>
    </row>
    <row r="2688">
      <c r="A2688" s="1">
        <v>2687.0</v>
      </c>
      <c r="B2688" s="1" t="s">
        <v>4786</v>
      </c>
      <c r="C2688" s="1" t="s">
        <v>25</v>
      </c>
      <c r="K2688" s="1">
        <v>150.0</v>
      </c>
      <c r="N2688" s="5">
        <v>43997.0</v>
      </c>
      <c r="Q2688" s="1" t="s">
        <v>4778</v>
      </c>
    </row>
    <row r="2689">
      <c r="A2689" s="1">
        <v>2688.0</v>
      </c>
      <c r="B2689" s="1" t="s">
        <v>4787</v>
      </c>
      <c r="C2689" s="1" t="s">
        <v>25</v>
      </c>
      <c r="N2689" s="5">
        <v>44533.0</v>
      </c>
      <c r="Q2689" s="1" t="s">
        <v>55</v>
      </c>
    </row>
    <row r="2690">
      <c r="A2690" s="1">
        <v>2689.0</v>
      </c>
      <c r="B2690" s="1" t="s">
        <v>4788</v>
      </c>
      <c r="C2690" s="1" t="s">
        <v>25</v>
      </c>
      <c r="K2690" s="1">
        <v>10.0</v>
      </c>
      <c r="N2690" s="5">
        <v>44712.0</v>
      </c>
      <c r="Q2690" s="1" t="s">
        <v>1218</v>
      </c>
    </row>
    <row r="2691">
      <c r="A2691" s="1">
        <v>2690.0</v>
      </c>
      <c r="B2691" s="1" t="s">
        <v>4789</v>
      </c>
      <c r="C2691" s="1" t="s">
        <v>25</v>
      </c>
      <c r="K2691" s="1">
        <v>100.0</v>
      </c>
      <c r="N2691" s="5">
        <v>44067.0</v>
      </c>
      <c r="Q2691" s="1" t="s">
        <v>4790</v>
      </c>
    </row>
    <row r="2692">
      <c r="A2692" s="1">
        <v>2691.0</v>
      </c>
      <c r="B2692" s="1" t="s">
        <v>4791</v>
      </c>
      <c r="C2692" s="1" t="s">
        <v>25</v>
      </c>
      <c r="K2692" s="1">
        <v>450.0</v>
      </c>
      <c r="N2692" s="5">
        <v>45321.0</v>
      </c>
      <c r="Q2692" s="1" t="s">
        <v>4792</v>
      </c>
    </row>
    <row r="2693">
      <c r="A2693" s="1">
        <v>2692.0</v>
      </c>
      <c r="B2693" s="1" t="s">
        <v>4793</v>
      </c>
      <c r="C2693" s="1" t="s">
        <v>25</v>
      </c>
      <c r="N2693" s="5">
        <v>45457.0</v>
      </c>
      <c r="Q2693" s="1" t="s">
        <v>4794</v>
      </c>
    </row>
    <row r="2694">
      <c r="A2694" s="1">
        <v>2693.0</v>
      </c>
      <c r="B2694" s="1" t="s">
        <v>4795</v>
      </c>
      <c r="C2694" s="1" t="s">
        <v>25</v>
      </c>
      <c r="K2694" s="1">
        <v>200.0</v>
      </c>
      <c r="N2694" s="5">
        <v>45194.0</v>
      </c>
      <c r="Q2694" s="1" t="s">
        <v>4796</v>
      </c>
    </row>
    <row r="2695">
      <c r="A2695" s="1">
        <v>2694.0</v>
      </c>
      <c r="B2695" s="1" t="s">
        <v>4797</v>
      </c>
      <c r="C2695" s="1" t="s">
        <v>25</v>
      </c>
      <c r="K2695" s="1">
        <v>200.0</v>
      </c>
      <c r="N2695" s="5">
        <v>45143.0</v>
      </c>
      <c r="Q2695" s="1" t="s">
        <v>4798</v>
      </c>
    </row>
    <row r="2696">
      <c r="A2696" s="1">
        <v>2695.0</v>
      </c>
      <c r="B2696" s="1" t="s">
        <v>4799</v>
      </c>
      <c r="C2696" s="1" t="s">
        <v>25</v>
      </c>
      <c r="K2696" s="1">
        <v>20.0</v>
      </c>
      <c r="N2696" s="5">
        <v>44574.0</v>
      </c>
      <c r="Q2696" s="1" t="s">
        <v>93</v>
      </c>
    </row>
    <row r="2697">
      <c r="A2697" s="1">
        <v>2696.0</v>
      </c>
      <c r="B2697" s="1" t="s">
        <v>4800</v>
      </c>
      <c r="C2697" s="1" t="s">
        <v>25</v>
      </c>
      <c r="K2697" s="1">
        <v>10.0</v>
      </c>
      <c r="N2697" s="5">
        <v>45242.0</v>
      </c>
      <c r="Q2697" s="1" t="s">
        <v>684</v>
      </c>
    </row>
    <row r="2698">
      <c r="A2698" s="1">
        <v>2697.0</v>
      </c>
      <c r="B2698" s="1" t="s">
        <v>4801</v>
      </c>
      <c r="C2698" s="1" t="s">
        <v>25</v>
      </c>
      <c r="N2698" s="5">
        <v>44705.0</v>
      </c>
      <c r="Q2698" s="1" t="s">
        <v>55</v>
      </c>
    </row>
    <row r="2699">
      <c r="A2699" s="1">
        <v>2698.0</v>
      </c>
      <c r="B2699" s="1" t="s">
        <v>4802</v>
      </c>
      <c r="C2699" s="1" t="s">
        <v>25</v>
      </c>
      <c r="K2699" s="1">
        <v>150.0</v>
      </c>
      <c r="N2699" s="5">
        <v>43932.0</v>
      </c>
      <c r="Q2699" s="1" t="s">
        <v>4803</v>
      </c>
    </row>
    <row r="2700">
      <c r="A2700" s="1">
        <v>2699.0</v>
      </c>
      <c r="B2700" s="1" t="s">
        <v>4804</v>
      </c>
      <c r="C2700" s="1" t="s">
        <v>25</v>
      </c>
      <c r="K2700" s="1">
        <v>200.0</v>
      </c>
      <c r="N2700" s="5">
        <v>43910.0</v>
      </c>
      <c r="Q2700" s="1" t="s">
        <v>4805</v>
      </c>
    </row>
    <row r="2701">
      <c r="A2701" s="1">
        <v>2700.0</v>
      </c>
      <c r="B2701" s="1" t="s">
        <v>4806</v>
      </c>
      <c r="C2701" s="1" t="s">
        <v>25</v>
      </c>
      <c r="N2701" s="5">
        <v>46099.0</v>
      </c>
      <c r="Q2701" s="1" t="s">
        <v>4807</v>
      </c>
    </row>
    <row r="2702">
      <c r="A2702" s="1">
        <v>2701.0</v>
      </c>
      <c r="B2702" s="1" t="s">
        <v>4808</v>
      </c>
      <c r="C2702" s="1" t="s">
        <v>25</v>
      </c>
      <c r="K2702" s="1">
        <v>40.0</v>
      </c>
      <c r="N2702" s="5">
        <v>44648.0</v>
      </c>
      <c r="Q2702" s="1" t="s">
        <v>4809</v>
      </c>
    </row>
    <row r="2703">
      <c r="A2703" s="1">
        <v>2702.0</v>
      </c>
      <c r="B2703" s="1" t="s">
        <v>4810</v>
      </c>
      <c r="C2703" s="1" t="s">
        <v>25</v>
      </c>
      <c r="K2703" s="1">
        <v>40.0</v>
      </c>
      <c r="N2703" s="5">
        <v>44666.0</v>
      </c>
      <c r="Q2703" s="1" t="s">
        <v>55</v>
      </c>
    </row>
    <row r="2704">
      <c r="A2704" s="1">
        <v>2703.0</v>
      </c>
      <c r="B2704" s="1" t="s">
        <v>4811</v>
      </c>
      <c r="C2704" s="1" t="s">
        <v>25</v>
      </c>
      <c r="K2704" s="1">
        <v>80.0</v>
      </c>
      <c r="N2704" s="5">
        <v>43863.0</v>
      </c>
      <c r="Q2704" s="1" t="s">
        <v>55</v>
      </c>
    </row>
    <row r="2705">
      <c r="A2705" s="1">
        <v>2704.0</v>
      </c>
      <c r="B2705" s="1" t="s">
        <v>4812</v>
      </c>
      <c r="C2705" s="1" t="s">
        <v>25</v>
      </c>
      <c r="K2705" s="1">
        <v>70.0</v>
      </c>
      <c r="N2705" s="5">
        <v>44795.0</v>
      </c>
      <c r="Q2705" s="1" t="s">
        <v>4813</v>
      </c>
    </row>
    <row r="2706">
      <c r="A2706" s="1">
        <v>2705.0</v>
      </c>
      <c r="B2706" s="1" t="s">
        <v>4814</v>
      </c>
      <c r="C2706" s="1" t="s">
        <v>25</v>
      </c>
      <c r="K2706" s="1">
        <v>150.0</v>
      </c>
      <c r="N2706" s="5">
        <v>43970.0</v>
      </c>
      <c r="Q2706" s="1" t="s">
        <v>4815</v>
      </c>
    </row>
    <row r="2707">
      <c r="A2707" s="1">
        <v>2706.0</v>
      </c>
      <c r="B2707" s="1" t="s">
        <v>4816</v>
      </c>
      <c r="C2707" s="1" t="s">
        <v>25</v>
      </c>
      <c r="K2707" s="1">
        <v>300.0</v>
      </c>
      <c r="N2707" s="5">
        <v>44068.0</v>
      </c>
      <c r="Q2707" s="1" t="s">
        <v>4817</v>
      </c>
    </row>
    <row r="2708">
      <c r="A2708" s="1">
        <v>2707.0</v>
      </c>
      <c r="B2708" s="1" t="s">
        <v>4818</v>
      </c>
      <c r="C2708" s="1" t="s">
        <v>25</v>
      </c>
      <c r="K2708" s="1">
        <v>40.0</v>
      </c>
      <c r="N2708" s="5">
        <v>44275.0</v>
      </c>
      <c r="Q2708" s="1" t="s">
        <v>4819</v>
      </c>
    </row>
    <row r="2709">
      <c r="A2709" s="1">
        <v>2708.0</v>
      </c>
      <c r="B2709" s="1" t="s">
        <v>4820</v>
      </c>
      <c r="C2709" s="1" t="s">
        <v>25</v>
      </c>
      <c r="N2709" s="5">
        <v>44228.0</v>
      </c>
      <c r="Q2709" s="1" t="s">
        <v>55</v>
      </c>
    </row>
    <row r="2710">
      <c r="A2710" s="1">
        <v>2709.0</v>
      </c>
      <c r="B2710" s="1" t="s">
        <v>4821</v>
      </c>
      <c r="C2710" s="1" t="s">
        <v>25</v>
      </c>
      <c r="K2710" s="1">
        <v>10.0</v>
      </c>
      <c r="N2710" s="5">
        <v>45319.0</v>
      </c>
      <c r="Q2710" s="1" t="s">
        <v>80</v>
      </c>
    </row>
    <row r="2711">
      <c r="A2711" s="1">
        <v>2710.0</v>
      </c>
      <c r="B2711" s="1" t="s">
        <v>4822</v>
      </c>
      <c r="C2711" s="1" t="s">
        <v>25</v>
      </c>
      <c r="N2711" s="5">
        <v>43943.0</v>
      </c>
      <c r="Q2711" s="1" t="s">
        <v>55</v>
      </c>
    </row>
    <row r="2712">
      <c r="A2712" s="1">
        <v>2711.0</v>
      </c>
      <c r="B2712" s="1" t="s">
        <v>4823</v>
      </c>
      <c r="C2712" s="1" t="s">
        <v>25</v>
      </c>
      <c r="N2712" s="5">
        <v>44620.0</v>
      </c>
      <c r="Q2712" s="1" t="s">
        <v>55</v>
      </c>
    </row>
    <row r="2713">
      <c r="A2713" s="1">
        <v>2712.0</v>
      </c>
      <c r="B2713" s="1" t="s">
        <v>4824</v>
      </c>
      <c r="C2713" s="1" t="s">
        <v>25</v>
      </c>
      <c r="K2713" s="1">
        <v>30.0</v>
      </c>
      <c r="N2713" s="5">
        <v>44548.0</v>
      </c>
      <c r="Q2713" s="1" t="s">
        <v>1726</v>
      </c>
    </row>
    <row r="2714">
      <c r="A2714" s="1">
        <v>2713.0</v>
      </c>
      <c r="B2714" s="1" t="s">
        <v>4825</v>
      </c>
      <c r="C2714" s="1" t="s">
        <v>25</v>
      </c>
      <c r="N2714" s="5">
        <v>44000.0</v>
      </c>
      <c r="Q2714" s="1" t="s">
        <v>55</v>
      </c>
    </row>
    <row r="2715">
      <c r="A2715" s="1">
        <v>2714.0</v>
      </c>
      <c r="B2715" s="1" t="s">
        <v>4826</v>
      </c>
      <c r="C2715" s="1" t="s">
        <v>25</v>
      </c>
      <c r="K2715" s="1">
        <v>70.0</v>
      </c>
      <c r="N2715" s="5">
        <v>43900.0</v>
      </c>
      <c r="Q2715" s="1" t="s">
        <v>4017</v>
      </c>
    </row>
    <row r="2716">
      <c r="A2716" s="1">
        <v>2715.0</v>
      </c>
      <c r="B2716" s="1" t="s">
        <v>4827</v>
      </c>
      <c r="C2716" s="1" t="s">
        <v>25</v>
      </c>
      <c r="N2716" s="5">
        <v>44284.0</v>
      </c>
      <c r="Q2716" s="1" t="s">
        <v>55</v>
      </c>
    </row>
    <row r="2717">
      <c r="A2717" s="1">
        <v>2716.0</v>
      </c>
      <c r="B2717" s="1" t="s">
        <v>4828</v>
      </c>
      <c r="C2717" s="1" t="s">
        <v>25</v>
      </c>
      <c r="K2717" s="1">
        <v>200.0</v>
      </c>
      <c r="N2717" s="5">
        <v>44056.0</v>
      </c>
      <c r="Q2717" s="1" t="s">
        <v>4829</v>
      </c>
    </row>
    <row r="2718">
      <c r="A2718" s="1">
        <v>2717.0</v>
      </c>
      <c r="B2718" s="1" t="s">
        <v>4830</v>
      </c>
      <c r="C2718" s="1" t="s">
        <v>25</v>
      </c>
      <c r="K2718" s="1">
        <v>30.0</v>
      </c>
      <c r="N2718" s="5">
        <v>44068.0</v>
      </c>
      <c r="Q2718" s="1" t="s">
        <v>4831</v>
      </c>
    </row>
    <row r="2719">
      <c r="A2719" s="1">
        <v>2718.0</v>
      </c>
      <c r="B2719" s="1" t="s">
        <v>4832</v>
      </c>
      <c r="C2719" s="1" t="s">
        <v>25</v>
      </c>
      <c r="K2719" s="1">
        <v>20.0</v>
      </c>
      <c r="N2719" s="5">
        <v>45220.0</v>
      </c>
      <c r="Q2719" s="1" t="s">
        <v>4833</v>
      </c>
    </row>
    <row r="2720">
      <c r="A2720" s="1">
        <v>2719.0</v>
      </c>
      <c r="B2720" s="1" t="s">
        <v>4834</v>
      </c>
      <c r="C2720" s="1" t="s">
        <v>25</v>
      </c>
      <c r="K2720" s="1">
        <v>150.0</v>
      </c>
      <c r="N2720" s="5">
        <v>44576.0</v>
      </c>
      <c r="Q2720" s="1" t="s">
        <v>4835</v>
      </c>
    </row>
    <row r="2721">
      <c r="A2721" s="1">
        <v>2720.0</v>
      </c>
      <c r="B2721" s="1" t="s">
        <v>4836</v>
      </c>
      <c r="C2721" s="1" t="s">
        <v>25</v>
      </c>
      <c r="K2721" s="1">
        <v>20.0</v>
      </c>
      <c r="N2721" s="5">
        <v>44675.0</v>
      </c>
      <c r="Q2721" s="1" t="s">
        <v>718</v>
      </c>
    </row>
    <row r="2722">
      <c r="A2722" s="1">
        <v>2721.0</v>
      </c>
      <c r="B2722" s="1" t="s">
        <v>4837</v>
      </c>
      <c r="C2722" s="1" t="s">
        <v>25</v>
      </c>
      <c r="N2722" s="5">
        <v>44585.0</v>
      </c>
      <c r="Q2722" s="1" t="s">
        <v>55</v>
      </c>
    </row>
    <row r="2723">
      <c r="A2723" s="1">
        <v>2722.0</v>
      </c>
      <c r="B2723" s="1" t="s">
        <v>4838</v>
      </c>
      <c r="C2723" s="1" t="s">
        <v>25</v>
      </c>
      <c r="K2723" s="1">
        <v>100.0</v>
      </c>
      <c r="N2723" s="5">
        <v>44574.0</v>
      </c>
      <c r="Q2723" s="1" t="s">
        <v>4839</v>
      </c>
    </row>
    <row r="2724">
      <c r="A2724" s="1">
        <v>2723.0</v>
      </c>
      <c r="B2724" s="1" t="s">
        <v>4840</v>
      </c>
      <c r="C2724" s="1" t="s">
        <v>25</v>
      </c>
      <c r="K2724" s="1">
        <v>70.0</v>
      </c>
      <c r="N2724" s="5">
        <v>44937.0</v>
      </c>
      <c r="Q2724" s="1" t="s">
        <v>521</v>
      </c>
    </row>
    <row r="2725">
      <c r="A2725" s="1">
        <v>2724.0</v>
      </c>
      <c r="B2725" s="1" t="s">
        <v>4841</v>
      </c>
      <c r="C2725" s="1" t="s">
        <v>25</v>
      </c>
      <c r="N2725" s="5">
        <v>45406.0</v>
      </c>
      <c r="Q2725" s="1" t="s">
        <v>1638</v>
      </c>
    </row>
    <row r="2726">
      <c r="A2726" s="1">
        <v>2725.0</v>
      </c>
      <c r="B2726" s="1" t="s">
        <v>4842</v>
      </c>
      <c r="C2726" s="1" t="s">
        <v>25</v>
      </c>
      <c r="N2726" s="5">
        <v>44226.0</v>
      </c>
      <c r="Q2726" s="1" t="s">
        <v>55</v>
      </c>
    </row>
    <row r="2727">
      <c r="A2727" s="1">
        <v>2726.0</v>
      </c>
      <c r="B2727" s="1" t="s">
        <v>4843</v>
      </c>
      <c r="C2727" s="1" t="s">
        <v>25</v>
      </c>
      <c r="K2727" s="1">
        <v>200.0</v>
      </c>
      <c r="N2727" s="5">
        <v>43909.0</v>
      </c>
      <c r="Q2727" s="1" t="s">
        <v>4844</v>
      </c>
    </row>
    <row r="2728">
      <c r="A2728" s="1">
        <v>2727.0</v>
      </c>
      <c r="B2728" s="1" t="s">
        <v>4845</v>
      </c>
      <c r="C2728" s="1" t="s">
        <v>25</v>
      </c>
      <c r="N2728" s="5">
        <v>44050.0</v>
      </c>
      <c r="Q2728" s="1" t="s">
        <v>55</v>
      </c>
    </row>
    <row r="2729">
      <c r="A2729" s="1">
        <v>2728.0</v>
      </c>
      <c r="B2729" s="1" t="s">
        <v>4846</v>
      </c>
      <c r="C2729" s="1" t="s">
        <v>25</v>
      </c>
      <c r="K2729" s="1">
        <v>30.0</v>
      </c>
      <c r="N2729" s="5">
        <v>44626.0</v>
      </c>
      <c r="Q2729" s="1" t="s">
        <v>4847</v>
      </c>
    </row>
    <row r="2730">
      <c r="A2730" s="1">
        <v>2729.0</v>
      </c>
      <c r="B2730" s="1" t="s">
        <v>4848</v>
      </c>
      <c r="C2730" s="1" t="s">
        <v>25</v>
      </c>
      <c r="N2730" s="5">
        <v>44350.0</v>
      </c>
      <c r="Q2730" s="1" t="s">
        <v>55</v>
      </c>
    </row>
    <row r="2731">
      <c r="A2731" s="1">
        <v>2730.0</v>
      </c>
      <c r="B2731" s="1" t="s">
        <v>4849</v>
      </c>
      <c r="C2731" s="1" t="s">
        <v>25</v>
      </c>
      <c r="K2731" s="1">
        <v>10.0</v>
      </c>
      <c r="N2731" s="5">
        <v>45337.0</v>
      </c>
      <c r="Q2731" s="1" t="s">
        <v>2438</v>
      </c>
    </row>
    <row r="2732">
      <c r="A2732" s="1">
        <v>2731.0</v>
      </c>
      <c r="B2732" s="1" t="s">
        <v>4850</v>
      </c>
      <c r="C2732" s="1" t="s">
        <v>25</v>
      </c>
      <c r="K2732" s="1">
        <v>10.0</v>
      </c>
      <c r="N2732" s="5">
        <v>44300.0</v>
      </c>
      <c r="Q2732" s="1" t="s">
        <v>125</v>
      </c>
    </row>
    <row r="2733">
      <c r="A2733" s="1">
        <v>2732.0</v>
      </c>
      <c r="B2733" s="1" t="s">
        <v>4851</v>
      </c>
      <c r="C2733" s="1" t="s">
        <v>25</v>
      </c>
      <c r="K2733" s="1">
        <v>200.0</v>
      </c>
      <c r="N2733" s="5">
        <v>44396.0</v>
      </c>
      <c r="Q2733" s="1" t="s">
        <v>4852</v>
      </c>
    </row>
    <row r="2734">
      <c r="A2734" s="1">
        <v>2733.0</v>
      </c>
      <c r="B2734" s="1" t="s">
        <v>4853</v>
      </c>
      <c r="C2734" s="1" t="s">
        <v>25</v>
      </c>
      <c r="K2734" s="1">
        <v>100.0</v>
      </c>
      <c r="N2734" s="5">
        <v>45243.0</v>
      </c>
      <c r="Q2734" s="1" t="s">
        <v>3359</v>
      </c>
    </row>
    <row r="2735">
      <c r="A2735" s="1">
        <v>2734.0</v>
      </c>
      <c r="B2735" s="1" t="s">
        <v>4854</v>
      </c>
      <c r="C2735" s="1" t="s">
        <v>25</v>
      </c>
      <c r="K2735" s="1">
        <v>150.0</v>
      </c>
      <c r="N2735" s="5">
        <v>44459.0</v>
      </c>
      <c r="Q2735" s="1" t="s">
        <v>93</v>
      </c>
    </row>
    <row r="2736">
      <c r="A2736" s="1">
        <v>2735.0</v>
      </c>
      <c r="B2736" s="1" t="s">
        <v>4855</v>
      </c>
      <c r="C2736" s="1" t="s">
        <v>25</v>
      </c>
      <c r="K2736" s="1">
        <v>100.0</v>
      </c>
      <c r="N2736" s="5">
        <v>44866.0</v>
      </c>
      <c r="Q2736" s="1" t="s">
        <v>2456</v>
      </c>
    </row>
    <row r="2737">
      <c r="A2737" s="1">
        <v>2736.0</v>
      </c>
      <c r="B2737" s="1" t="s">
        <v>4856</v>
      </c>
      <c r="C2737" s="1" t="s">
        <v>25</v>
      </c>
      <c r="K2737" s="1">
        <v>40.0</v>
      </c>
      <c r="N2737" s="5">
        <v>45678.0</v>
      </c>
      <c r="Q2737" s="1" t="s">
        <v>4857</v>
      </c>
    </row>
    <row r="2738">
      <c r="A2738" s="1">
        <v>2737.0</v>
      </c>
      <c r="B2738" s="1" t="s">
        <v>4858</v>
      </c>
      <c r="C2738" s="1" t="s">
        <v>25</v>
      </c>
      <c r="K2738" s="1">
        <v>50.0</v>
      </c>
      <c r="N2738" s="5">
        <v>44685.0</v>
      </c>
      <c r="Q2738" s="1" t="s">
        <v>125</v>
      </c>
    </row>
    <row r="2739">
      <c r="A2739" s="1">
        <v>2738.0</v>
      </c>
      <c r="B2739" s="1" t="s">
        <v>4859</v>
      </c>
      <c r="C2739" s="1" t="s">
        <v>25</v>
      </c>
      <c r="K2739" s="1">
        <v>150.0</v>
      </c>
      <c r="N2739" s="5">
        <v>44063.0</v>
      </c>
      <c r="Q2739" s="1" t="s">
        <v>4860</v>
      </c>
    </row>
    <row r="2740">
      <c r="A2740" s="1">
        <v>2739.0</v>
      </c>
      <c r="B2740" s="1" t="s">
        <v>4861</v>
      </c>
      <c r="C2740" s="1" t="s">
        <v>25</v>
      </c>
      <c r="N2740" s="5">
        <v>44391.0</v>
      </c>
      <c r="Q2740" s="1" t="s">
        <v>55</v>
      </c>
    </row>
    <row r="2741">
      <c r="A2741" s="1">
        <v>2740.0</v>
      </c>
      <c r="B2741" s="1" t="s">
        <v>4862</v>
      </c>
      <c r="C2741" s="1" t="s">
        <v>25</v>
      </c>
      <c r="K2741" s="1">
        <v>30.0</v>
      </c>
      <c r="N2741" s="5">
        <v>45235.0</v>
      </c>
      <c r="Q2741" s="1" t="s">
        <v>4863</v>
      </c>
    </row>
    <row r="2742">
      <c r="A2742" s="1">
        <v>2741.0</v>
      </c>
      <c r="B2742" s="1" t="s">
        <v>4864</v>
      </c>
      <c r="C2742" s="1" t="s">
        <v>25</v>
      </c>
      <c r="K2742" s="1">
        <v>60.0</v>
      </c>
      <c r="N2742" s="5">
        <v>45694.0</v>
      </c>
      <c r="Q2742" s="1" t="s">
        <v>4865</v>
      </c>
    </row>
    <row r="2743">
      <c r="A2743" s="1">
        <v>2742.0</v>
      </c>
      <c r="B2743" s="1" t="s">
        <v>4866</v>
      </c>
      <c r="C2743" s="1" t="s">
        <v>25</v>
      </c>
      <c r="K2743" s="1">
        <v>250.0</v>
      </c>
      <c r="N2743" s="5">
        <v>44648.0</v>
      </c>
      <c r="Q2743" s="1" t="s">
        <v>4867</v>
      </c>
    </row>
    <row r="2744">
      <c r="A2744" s="1">
        <v>2743.0</v>
      </c>
      <c r="B2744" s="1" t="s">
        <v>239</v>
      </c>
      <c r="C2744" s="1" t="s">
        <v>25</v>
      </c>
      <c r="N2744" s="5">
        <v>46123.0</v>
      </c>
      <c r="Q2744" s="1" t="s">
        <v>243</v>
      </c>
    </row>
    <row r="2745">
      <c r="A2745" s="1">
        <v>2744.0</v>
      </c>
      <c r="B2745" s="1" t="s">
        <v>4868</v>
      </c>
      <c r="C2745" s="1" t="s">
        <v>25</v>
      </c>
      <c r="N2745" s="5">
        <v>45091.0</v>
      </c>
      <c r="Q2745" s="1" t="s">
        <v>55</v>
      </c>
    </row>
    <row r="2746">
      <c r="A2746" s="1">
        <v>2745.0</v>
      </c>
      <c r="B2746" s="1" t="s">
        <v>244</v>
      </c>
      <c r="C2746" s="1" t="s">
        <v>25</v>
      </c>
      <c r="K2746" s="1">
        <v>200.0</v>
      </c>
      <c r="N2746" s="5">
        <v>43896.0</v>
      </c>
      <c r="Q2746" s="1" t="s">
        <v>248</v>
      </c>
    </row>
    <row r="2747">
      <c r="A2747" s="1">
        <v>2746.0</v>
      </c>
      <c r="B2747" s="1" t="s">
        <v>4869</v>
      </c>
      <c r="C2747" s="1" t="s">
        <v>25</v>
      </c>
      <c r="K2747" s="1">
        <v>30.0</v>
      </c>
      <c r="N2747" s="5">
        <v>45084.0</v>
      </c>
      <c r="Q2747" s="1" t="s">
        <v>2428</v>
      </c>
    </row>
    <row r="2748">
      <c r="A2748" s="1">
        <v>2747.0</v>
      </c>
      <c r="B2748" s="1" t="s">
        <v>4870</v>
      </c>
      <c r="C2748" s="1" t="s">
        <v>25</v>
      </c>
      <c r="K2748" s="1">
        <v>10.0</v>
      </c>
      <c r="N2748" s="5">
        <v>45171.0</v>
      </c>
      <c r="Q2748" s="1" t="s">
        <v>55</v>
      </c>
    </row>
    <row r="2749">
      <c r="A2749" s="1">
        <v>2748.0</v>
      </c>
      <c r="B2749" s="1" t="s">
        <v>4871</v>
      </c>
      <c r="C2749" s="1" t="s">
        <v>25</v>
      </c>
      <c r="N2749" s="5">
        <v>44229.0</v>
      </c>
      <c r="Q2749" s="1" t="s">
        <v>55</v>
      </c>
    </row>
    <row r="2750">
      <c r="A2750" s="1">
        <v>2749.0</v>
      </c>
      <c r="B2750" s="1" t="s">
        <v>4872</v>
      </c>
      <c r="C2750" s="1" t="s">
        <v>25</v>
      </c>
      <c r="N2750" s="5">
        <v>44569.0</v>
      </c>
      <c r="Q2750" s="1" t="s">
        <v>55</v>
      </c>
    </row>
    <row r="2751">
      <c r="A2751" s="1">
        <v>2750.0</v>
      </c>
      <c r="B2751" s="1" t="s">
        <v>4873</v>
      </c>
      <c r="C2751" s="1" t="s">
        <v>25</v>
      </c>
      <c r="K2751" s="1">
        <v>90.0</v>
      </c>
      <c r="N2751" s="5">
        <v>45647.0</v>
      </c>
      <c r="Q2751" s="1" t="s">
        <v>3702</v>
      </c>
    </row>
    <row r="2752">
      <c r="A2752" s="1">
        <v>2751.0</v>
      </c>
      <c r="B2752" s="1" t="s">
        <v>4874</v>
      </c>
      <c r="C2752" s="1" t="s">
        <v>25</v>
      </c>
      <c r="K2752" s="1">
        <v>60.0</v>
      </c>
      <c r="N2752" s="5">
        <v>43856.0</v>
      </c>
      <c r="Q2752" s="1" t="s">
        <v>4875</v>
      </c>
    </row>
    <row r="2753">
      <c r="A2753" s="1">
        <v>2752.0</v>
      </c>
      <c r="B2753" s="1" t="s">
        <v>4876</v>
      </c>
      <c r="C2753" s="1" t="s">
        <v>25</v>
      </c>
      <c r="K2753" s="1">
        <v>70.0</v>
      </c>
      <c r="N2753" s="5">
        <v>43974.0</v>
      </c>
      <c r="Q2753" s="1" t="s">
        <v>1125</v>
      </c>
    </row>
    <row r="2754">
      <c r="A2754" s="1">
        <v>2753.0</v>
      </c>
      <c r="B2754" s="1" t="s">
        <v>4877</v>
      </c>
      <c r="C2754" s="1" t="s">
        <v>25</v>
      </c>
      <c r="K2754" s="1">
        <v>10.0</v>
      </c>
      <c r="N2754" s="5">
        <v>44264.0</v>
      </c>
      <c r="Q2754" s="1" t="s">
        <v>4878</v>
      </c>
    </row>
    <row r="2755">
      <c r="A2755" s="1">
        <v>2754.0</v>
      </c>
      <c r="B2755" s="1" t="s">
        <v>4879</v>
      </c>
      <c r="C2755" s="1" t="s">
        <v>25</v>
      </c>
      <c r="K2755" s="1">
        <v>80.0</v>
      </c>
      <c r="N2755" s="5">
        <v>44319.0</v>
      </c>
      <c r="Q2755" s="1" t="s">
        <v>4880</v>
      </c>
    </row>
    <row r="2756">
      <c r="A2756" s="1">
        <v>2755.0</v>
      </c>
      <c r="B2756" s="1" t="s">
        <v>4881</v>
      </c>
      <c r="C2756" s="1" t="s">
        <v>25</v>
      </c>
      <c r="K2756" s="1">
        <v>60.0</v>
      </c>
      <c r="N2756" s="5">
        <v>43965.0</v>
      </c>
      <c r="Q2756" s="1" t="s">
        <v>1066</v>
      </c>
    </row>
    <row r="2757">
      <c r="A2757" s="1">
        <v>2756.0</v>
      </c>
      <c r="B2757" s="1" t="s">
        <v>4882</v>
      </c>
      <c r="C2757" s="1" t="s">
        <v>25</v>
      </c>
      <c r="N2757" s="5">
        <v>44305.0</v>
      </c>
      <c r="Q2757" s="1" t="s">
        <v>55</v>
      </c>
    </row>
    <row r="2758">
      <c r="A2758" s="1">
        <v>2757.0</v>
      </c>
      <c r="B2758" s="1" t="s">
        <v>4883</v>
      </c>
      <c r="C2758" s="1" t="s">
        <v>25</v>
      </c>
      <c r="N2758" s="5">
        <v>46100.0</v>
      </c>
      <c r="Q2758" s="1" t="s">
        <v>4884</v>
      </c>
    </row>
    <row r="2759">
      <c r="A2759" s="1">
        <v>2758.0</v>
      </c>
      <c r="B2759" s="1" t="s">
        <v>4885</v>
      </c>
      <c r="C2759" s="1" t="s">
        <v>25</v>
      </c>
      <c r="K2759" s="1">
        <v>300.0</v>
      </c>
      <c r="N2759" s="5">
        <v>43952.0</v>
      </c>
      <c r="Q2759" s="1" t="s">
        <v>4886</v>
      </c>
    </row>
    <row r="2760">
      <c r="A2760" s="1">
        <v>2759.0</v>
      </c>
      <c r="B2760" s="1" t="s">
        <v>4887</v>
      </c>
      <c r="C2760" s="1" t="s">
        <v>25</v>
      </c>
      <c r="K2760" s="1">
        <v>10.0</v>
      </c>
      <c r="N2760" s="5">
        <v>45636.0</v>
      </c>
      <c r="Q2760" s="1" t="s">
        <v>4888</v>
      </c>
    </row>
    <row r="2761">
      <c r="A2761" s="1">
        <v>2760.0</v>
      </c>
      <c r="B2761" s="1" t="s">
        <v>4889</v>
      </c>
      <c r="C2761" s="1" t="s">
        <v>25</v>
      </c>
      <c r="N2761" s="5">
        <v>44565.0</v>
      </c>
      <c r="Q2761" s="1" t="s">
        <v>55</v>
      </c>
    </row>
    <row r="2762">
      <c r="A2762" s="1">
        <v>2761.0</v>
      </c>
      <c r="B2762" s="1" t="s">
        <v>4890</v>
      </c>
      <c r="C2762" s="1" t="s">
        <v>25</v>
      </c>
      <c r="K2762" s="1">
        <v>10.0</v>
      </c>
      <c r="N2762" s="5">
        <v>44412.0</v>
      </c>
      <c r="Q2762" s="1" t="s">
        <v>55</v>
      </c>
    </row>
    <row r="2763">
      <c r="A2763" s="1">
        <v>2762.0</v>
      </c>
      <c r="B2763" s="1" t="s">
        <v>4891</v>
      </c>
      <c r="C2763" s="1" t="s">
        <v>25</v>
      </c>
      <c r="K2763" s="1">
        <v>40.0</v>
      </c>
      <c r="N2763" s="5">
        <v>44886.0</v>
      </c>
      <c r="Q2763" s="1" t="s">
        <v>55</v>
      </c>
    </row>
    <row r="2764">
      <c r="A2764" s="1">
        <v>2763.0</v>
      </c>
      <c r="B2764" s="1" t="s">
        <v>4892</v>
      </c>
      <c r="C2764" s="1" t="s">
        <v>25</v>
      </c>
      <c r="K2764" s="1">
        <v>10.0</v>
      </c>
      <c r="N2764" s="5">
        <v>44135.0</v>
      </c>
      <c r="Q2764" s="1" t="s">
        <v>55</v>
      </c>
    </row>
    <row r="2765">
      <c r="A2765" s="1">
        <v>2764.0</v>
      </c>
      <c r="B2765" s="1" t="s">
        <v>4893</v>
      </c>
      <c r="C2765" s="1" t="s">
        <v>25</v>
      </c>
      <c r="K2765" s="1">
        <v>250.0</v>
      </c>
      <c r="N2765" s="5">
        <v>44209.0</v>
      </c>
      <c r="Q2765" s="1" t="s">
        <v>4894</v>
      </c>
    </row>
    <row r="2766">
      <c r="A2766" s="1">
        <v>2765.0</v>
      </c>
      <c r="B2766" s="1" t="s">
        <v>4895</v>
      </c>
      <c r="C2766" s="1" t="s">
        <v>25</v>
      </c>
      <c r="K2766" s="1">
        <v>200.0</v>
      </c>
      <c r="N2766" s="5">
        <v>43955.0</v>
      </c>
      <c r="Q2766" s="1" t="s">
        <v>4896</v>
      </c>
    </row>
    <row r="2767">
      <c r="A2767" s="1">
        <v>2766.0</v>
      </c>
      <c r="B2767" s="1" t="s">
        <v>4897</v>
      </c>
      <c r="C2767" s="1" t="s">
        <v>25</v>
      </c>
      <c r="K2767" s="1">
        <v>50.0</v>
      </c>
      <c r="N2767" s="5">
        <v>44326.0</v>
      </c>
      <c r="Q2767" s="1" t="s">
        <v>4898</v>
      </c>
    </row>
    <row r="2768">
      <c r="A2768" s="1">
        <v>2767.0</v>
      </c>
      <c r="B2768" s="1" t="s">
        <v>4899</v>
      </c>
      <c r="C2768" s="1" t="s">
        <v>25</v>
      </c>
      <c r="N2768" s="5">
        <v>44568.0</v>
      </c>
      <c r="Q2768" s="1" t="s">
        <v>55</v>
      </c>
    </row>
    <row r="2769">
      <c r="A2769" s="1">
        <v>2768.0</v>
      </c>
      <c r="B2769" s="1" t="s">
        <v>4900</v>
      </c>
      <c r="C2769" s="1" t="s">
        <v>25</v>
      </c>
      <c r="N2769" s="5">
        <v>45359.0</v>
      </c>
      <c r="Q2769" s="1" t="s">
        <v>4901</v>
      </c>
    </row>
    <row r="2770">
      <c r="A2770" s="1">
        <v>2769.0</v>
      </c>
      <c r="B2770" s="1" t="s">
        <v>4902</v>
      </c>
      <c r="C2770" s="1" t="s">
        <v>25</v>
      </c>
      <c r="N2770" s="5">
        <v>43874.0</v>
      </c>
      <c r="Q2770" s="1" t="s">
        <v>55</v>
      </c>
    </row>
    <row r="2771">
      <c r="A2771" s="1">
        <v>2770.0</v>
      </c>
      <c r="B2771" s="1" t="s">
        <v>4903</v>
      </c>
      <c r="C2771" s="1" t="s">
        <v>25</v>
      </c>
      <c r="K2771" s="1">
        <v>150.0</v>
      </c>
      <c r="N2771" s="5">
        <v>45276.0</v>
      </c>
      <c r="Q2771" s="1" t="s">
        <v>2106</v>
      </c>
    </row>
    <row r="2772">
      <c r="A2772" s="1">
        <v>2771.0</v>
      </c>
      <c r="B2772" s="1" t="s">
        <v>4904</v>
      </c>
      <c r="C2772" s="1" t="s">
        <v>25</v>
      </c>
      <c r="K2772" s="1">
        <v>10.0</v>
      </c>
      <c r="N2772" s="5">
        <v>44329.0</v>
      </c>
      <c r="Q2772" s="1" t="s">
        <v>93</v>
      </c>
    </row>
    <row r="2773">
      <c r="A2773" s="1">
        <v>2772.0</v>
      </c>
      <c r="B2773" s="1" t="s">
        <v>4905</v>
      </c>
      <c r="C2773" s="1" t="s">
        <v>25</v>
      </c>
      <c r="K2773" s="1">
        <v>100.0</v>
      </c>
      <c r="N2773" s="5">
        <v>44388.0</v>
      </c>
      <c r="Q2773" s="1" t="s">
        <v>4906</v>
      </c>
    </row>
    <row r="2774">
      <c r="A2774" s="1">
        <v>2773.0</v>
      </c>
      <c r="B2774" s="1" t="s">
        <v>4907</v>
      </c>
      <c r="C2774" s="1" t="s">
        <v>25</v>
      </c>
      <c r="K2774" s="1">
        <v>60.0</v>
      </c>
      <c r="N2774" s="5">
        <v>45635.0</v>
      </c>
      <c r="Q2774" s="1" t="s">
        <v>4908</v>
      </c>
    </row>
    <row r="2775">
      <c r="A2775" s="1">
        <v>2774.0</v>
      </c>
      <c r="B2775" s="1" t="s">
        <v>4909</v>
      </c>
      <c r="C2775" s="1" t="s">
        <v>25</v>
      </c>
      <c r="K2775" s="1">
        <v>10.0</v>
      </c>
      <c r="N2775" s="5">
        <v>44223.0</v>
      </c>
      <c r="Q2775" s="1" t="s">
        <v>1066</v>
      </c>
    </row>
    <row r="2776">
      <c r="A2776" s="1">
        <v>2775.0</v>
      </c>
      <c r="B2776" s="1" t="s">
        <v>4910</v>
      </c>
      <c r="C2776" s="1" t="s">
        <v>25</v>
      </c>
      <c r="K2776" s="1">
        <v>20.0</v>
      </c>
      <c r="N2776" s="5">
        <v>44221.0</v>
      </c>
      <c r="Q2776" s="1" t="s">
        <v>55</v>
      </c>
    </row>
    <row r="2777">
      <c r="A2777" s="1">
        <v>2776.0</v>
      </c>
      <c r="B2777" s="1" t="s">
        <v>4911</v>
      </c>
      <c r="C2777" s="1" t="s">
        <v>25</v>
      </c>
      <c r="K2777" s="1">
        <v>70.0</v>
      </c>
      <c r="N2777" s="5">
        <v>44692.0</v>
      </c>
      <c r="Q2777" s="1" t="s">
        <v>606</v>
      </c>
    </row>
    <row r="2778">
      <c r="A2778" s="1">
        <v>2777.0</v>
      </c>
      <c r="B2778" s="1" t="s">
        <v>4912</v>
      </c>
      <c r="C2778" s="1" t="s">
        <v>25</v>
      </c>
      <c r="K2778" s="1">
        <v>100.0</v>
      </c>
      <c r="N2778" s="5">
        <v>44811.0</v>
      </c>
      <c r="Q2778" s="1" t="s">
        <v>4913</v>
      </c>
    </row>
    <row r="2779">
      <c r="A2779" s="1">
        <v>2778.0</v>
      </c>
      <c r="B2779" s="1" t="s">
        <v>4914</v>
      </c>
      <c r="C2779" s="1" t="s">
        <v>25</v>
      </c>
      <c r="K2779" s="1">
        <v>10.0</v>
      </c>
      <c r="N2779" s="5">
        <v>45217.0</v>
      </c>
      <c r="Q2779" s="1" t="s">
        <v>55</v>
      </c>
    </row>
    <row r="2780">
      <c r="A2780" s="1">
        <v>2779.0</v>
      </c>
      <c r="B2780" s="1" t="s">
        <v>4915</v>
      </c>
      <c r="C2780" s="1" t="s">
        <v>25</v>
      </c>
      <c r="K2780" s="1">
        <v>80.0</v>
      </c>
      <c r="N2780" s="5">
        <v>44284.0</v>
      </c>
      <c r="Q2780" s="1" t="s">
        <v>2456</v>
      </c>
    </row>
    <row r="2781">
      <c r="A2781" s="1">
        <v>2780.0</v>
      </c>
      <c r="B2781" s="1" t="s">
        <v>4916</v>
      </c>
      <c r="C2781" s="1" t="s">
        <v>25</v>
      </c>
      <c r="N2781" s="5">
        <v>44119.0</v>
      </c>
      <c r="Q2781" s="1" t="s">
        <v>606</v>
      </c>
    </row>
    <row r="2782">
      <c r="A2782" s="1">
        <v>2781.0</v>
      </c>
      <c r="B2782" s="1" t="s">
        <v>4917</v>
      </c>
      <c r="C2782" s="1" t="s">
        <v>25</v>
      </c>
      <c r="K2782" s="1">
        <v>80.0</v>
      </c>
      <c r="N2782" s="5">
        <v>43949.0</v>
      </c>
      <c r="Q2782" s="1" t="s">
        <v>3137</v>
      </c>
    </row>
    <row r="2783">
      <c r="A2783" s="1">
        <v>2782.0</v>
      </c>
      <c r="B2783" s="1" t="s">
        <v>4918</v>
      </c>
      <c r="C2783" s="1" t="s">
        <v>25</v>
      </c>
      <c r="K2783" s="1">
        <v>70.0</v>
      </c>
      <c r="N2783" s="5">
        <v>45399.0</v>
      </c>
      <c r="Q2783" s="1" t="s">
        <v>4919</v>
      </c>
    </row>
    <row r="2784">
      <c r="A2784" s="1">
        <v>2783.0</v>
      </c>
      <c r="B2784" s="1" t="s">
        <v>4920</v>
      </c>
      <c r="C2784" s="1" t="s">
        <v>25</v>
      </c>
      <c r="K2784" s="1">
        <v>30.0</v>
      </c>
      <c r="N2784" s="5">
        <v>43853.0</v>
      </c>
      <c r="Q2784" s="1" t="s">
        <v>4921</v>
      </c>
    </row>
    <row r="2785">
      <c r="A2785" s="1">
        <v>2784.0</v>
      </c>
      <c r="B2785" s="1" t="s">
        <v>4922</v>
      </c>
      <c r="C2785" s="1" t="s">
        <v>25</v>
      </c>
      <c r="K2785" s="1">
        <v>50.0</v>
      </c>
      <c r="N2785" s="5">
        <v>45685.0</v>
      </c>
      <c r="Q2785" s="1" t="s">
        <v>4923</v>
      </c>
    </row>
    <row r="2786">
      <c r="A2786" s="1">
        <v>2785.0</v>
      </c>
      <c r="B2786" s="1" t="s">
        <v>4924</v>
      </c>
      <c r="C2786" s="1" t="s">
        <v>25</v>
      </c>
      <c r="N2786" s="5">
        <v>44942.0</v>
      </c>
      <c r="Q2786" s="1" t="s">
        <v>55</v>
      </c>
    </row>
    <row r="2787">
      <c r="A2787" s="1">
        <v>2786.0</v>
      </c>
      <c r="B2787" s="1" t="s">
        <v>4925</v>
      </c>
      <c r="C2787" s="1" t="s">
        <v>25</v>
      </c>
      <c r="N2787" s="5">
        <v>44597.0</v>
      </c>
      <c r="Q2787" s="1" t="s">
        <v>55</v>
      </c>
    </row>
    <row r="2788">
      <c r="A2788" s="1">
        <v>2787.0</v>
      </c>
      <c r="B2788" s="1" t="s">
        <v>4926</v>
      </c>
      <c r="C2788" s="1" t="s">
        <v>25</v>
      </c>
      <c r="N2788" s="5">
        <v>43958.0</v>
      </c>
      <c r="Q2788" s="1" t="s">
        <v>55</v>
      </c>
    </row>
    <row r="2789">
      <c r="A2789" s="1">
        <v>2788.0</v>
      </c>
      <c r="B2789" s="1" t="s">
        <v>4927</v>
      </c>
      <c r="C2789" s="1" t="s">
        <v>25</v>
      </c>
      <c r="F2789" s="1">
        <v>1.3</v>
      </c>
      <c r="K2789" s="1">
        <v>800.0</v>
      </c>
      <c r="N2789" s="5">
        <v>43855.0</v>
      </c>
      <c r="Q2789" s="1" t="s">
        <v>4928</v>
      </c>
    </row>
    <row r="2790">
      <c r="A2790" s="1">
        <v>2789.0</v>
      </c>
      <c r="B2790" s="1" t="s">
        <v>4929</v>
      </c>
      <c r="C2790" s="1" t="s">
        <v>25</v>
      </c>
      <c r="K2790" s="1">
        <v>80.0</v>
      </c>
      <c r="N2790" s="5">
        <v>43930.0</v>
      </c>
      <c r="Q2790" s="1" t="s">
        <v>55</v>
      </c>
    </row>
    <row r="2791">
      <c r="A2791" s="1">
        <v>2790.0</v>
      </c>
      <c r="B2791" s="1" t="s">
        <v>4930</v>
      </c>
      <c r="C2791" s="1" t="s">
        <v>25</v>
      </c>
      <c r="K2791" s="1">
        <v>50.0</v>
      </c>
      <c r="N2791" s="5">
        <v>44372.0</v>
      </c>
      <c r="Q2791" s="1" t="s">
        <v>55</v>
      </c>
    </row>
    <row r="2792">
      <c r="A2792" s="1">
        <v>2791.0</v>
      </c>
      <c r="B2792" s="1" t="s">
        <v>4931</v>
      </c>
      <c r="C2792" s="1" t="s">
        <v>25</v>
      </c>
      <c r="K2792" s="1">
        <v>90.0</v>
      </c>
      <c r="N2792" s="5">
        <v>44262.0</v>
      </c>
      <c r="Q2792" s="1" t="s">
        <v>4932</v>
      </c>
    </row>
    <row r="2793">
      <c r="A2793" s="1">
        <v>2792.0</v>
      </c>
      <c r="B2793" s="1" t="s">
        <v>4933</v>
      </c>
      <c r="C2793" s="1" t="s">
        <v>25</v>
      </c>
      <c r="K2793" s="1">
        <v>30.0</v>
      </c>
      <c r="N2793" s="5">
        <v>44368.0</v>
      </c>
      <c r="Q2793" s="1" t="s">
        <v>55</v>
      </c>
    </row>
    <row r="2794">
      <c r="A2794" s="1">
        <v>2793.0</v>
      </c>
      <c r="B2794" s="1" t="s">
        <v>4934</v>
      </c>
      <c r="C2794" s="1" t="s">
        <v>25</v>
      </c>
      <c r="K2794" s="1">
        <v>1900.0</v>
      </c>
      <c r="N2794" s="5">
        <v>43841.0</v>
      </c>
      <c r="Q2794" s="1" t="s">
        <v>4935</v>
      </c>
    </row>
    <row r="2795">
      <c r="A2795" s="1">
        <v>2794.0</v>
      </c>
      <c r="B2795" s="1" t="s">
        <v>4936</v>
      </c>
      <c r="C2795" s="1" t="s">
        <v>25</v>
      </c>
      <c r="K2795" s="1">
        <v>400.0</v>
      </c>
      <c r="N2795" s="5">
        <v>45272.0</v>
      </c>
      <c r="Q2795" s="1" t="s">
        <v>4937</v>
      </c>
    </row>
    <row r="2796">
      <c r="A2796" s="1">
        <v>2795.0</v>
      </c>
      <c r="B2796" s="1" t="s">
        <v>4938</v>
      </c>
      <c r="C2796" s="1" t="s">
        <v>25</v>
      </c>
      <c r="N2796" s="5">
        <v>44701.0</v>
      </c>
      <c r="Q2796" s="1" t="s">
        <v>55</v>
      </c>
    </row>
    <row r="2797">
      <c r="A2797" s="1">
        <v>2796.0</v>
      </c>
      <c r="B2797" s="1" t="s">
        <v>4939</v>
      </c>
      <c r="C2797" s="1" t="s">
        <v>25</v>
      </c>
      <c r="K2797" s="1">
        <v>200.0</v>
      </c>
      <c r="N2797" s="5">
        <v>45376.0</v>
      </c>
      <c r="Q2797" s="1" t="s">
        <v>4940</v>
      </c>
    </row>
    <row r="2798">
      <c r="A2798" s="1">
        <v>2797.0</v>
      </c>
      <c r="B2798" s="1" t="s">
        <v>4941</v>
      </c>
      <c r="C2798" s="1" t="s">
        <v>25</v>
      </c>
      <c r="K2798" s="1">
        <v>200.0</v>
      </c>
      <c r="N2798" s="5">
        <v>43971.0</v>
      </c>
      <c r="Q2798" s="1" t="s">
        <v>4942</v>
      </c>
    </row>
    <row r="2799">
      <c r="A2799" s="1">
        <v>2798.0</v>
      </c>
      <c r="B2799" s="1" t="s">
        <v>4943</v>
      </c>
      <c r="C2799" s="1" t="s">
        <v>25</v>
      </c>
      <c r="K2799" s="1">
        <v>30.0</v>
      </c>
      <c r="N2799" s="5">
        <v>44833.0</v>
      </c>
      <c r="Q2799" s="1" t="s">
        <v>4944</v>
      </c>
    </row>
    <row r="2800">
      <c r="A2800" s="1">
        <v>2799.0</v>
      </c>
      <c r="B2800" s="1" t="s">
        <v>4945</v>
      </c>
      <c r="C2800" s="1" t="s">
        <v>25</v>
      </c>
      <c r="K2800" s="1">
        <v>80.0</v>
      </c>
      <c r="N2800" s="5">
        <v>44329.0</v>
      </c>
      <c r="Q2800" s="1" t="s">
        <v>4946</v>
      </c>
    </row>
    <row r="2801">
      <c r="A2801" s="1">
        <v>2800.0</v>
      </c>
      <c r="B2801" s="1" t="s">
        <v>4947</v>
      </c>
      <c r="C2801" s="1" t="s">
        <v>25</v>
      </c>
      <c r="K2801" s="1">
        <v>50.0</v>
      </c>
      <c r="N2801" s="5">
        <v>45602.0</v>
      </c>
      <c r="Q2801" s="1" t="s">
        <v>4948</v>
      </c>
    </row>
    <row r="2802">
      <c r="A2802" s="1">
        <v>2801.0</v>
      </c>
      <c r="B2802" s="1" t="s">
        <v>4949</v>
      </c>
      <c r="C2802" s="1" t="s">
        <v>25</v>
      </c>
      <c r="K2802" s="1">
        <v>30.0</v>
      </c>
      <c r="N2802" s="5">
        <v>44265.0</v>
      </c>
      <c r="Q2802" s="1" t="s">
        <v>4950</v>
      </c>
    </row>
    <row r="2803">
      <c r="A2803" s="1">
        <v>2802.0</v>
      </c>
      <c r="B2803" s="1" t="s">
        <v>4951</v>
      </c>
      <c r="C2803" s="1" t="s">
        <v>25</v>
      </c>
      <c r="K2803" s="1">
        <v>10.0</v>
      </c>
      <c r="N2803" s="5">
        <v>45608.0</v>
      </c>
      <c r="Q2803" s="1" t="s">
        <v>3008</v>
      </c>
    </row>
    <row r="2804">
      <c r="A2804" s="1">
        <v>2803.0</v>
      </c>
      <c r="B2804" s="1" t="s">
        <v>4952</v>
      </c>
      <c r="C2804" s="1" t="s">
        <v>25</v>
      </c>
      <c r="N2804" s="5">
        <v>44715.0</v>
      </c>
      <c r="Q2804" s="1" t="s">
        <v>131</v>
      </c>
    </row>
    <row r="2805">
      <c r="A2805" s="1">
        <v>2804.0</v>
      </c>
      <c r="B2805" s="1" t="s">
        <v>4953</v>
      </c>
      <c r="C2805" s="1" t="s">
        <v>25</v>
      </c>
      <c r="K2805" s="1">
        <v>20.0</v>
      </c>
      <c r="N2805" s="5">
        <v>43888.0</v>
      </c>
      <c r="Q2805" s="1" t="s">
        <v>4954</v>
      </c>
    </row>
    <row r="2806">
      <c r="A2806" s="1">
        <v>2805.0</v>
      </c>
      <c r="B2806" s="1" t="s">
        <v>4955</v>
      </c>
      <c r="C2806" s="1" t="s">
        <v>25</v>
      </c>
      <c r="K2806" s="1">
        <v>10.0</v>
      </c>
      <c r="N2806" s="5">
        <v>45723.0</v>
      </c>
      <c r="Q2806" s="1" t="s">
        <v>3512</v>
      </c>
    </row>
    <row r="2807">
      <c r="A2807" s="1">
        <v>2806.0</v>
      </c>
      <c r="B2807" s="1" t="s">
        <v>4956</v>
      </c>
      <c r="C2807" s="1" t="s">
        <v>25</v>
      </c>
      <c r="K2807" s="1">
        <v>60.0</v>
      </c>
      <c r="N2807" s="5">
        <v>45736.0</v>
      </c>
      <c r="Q2807" s="1" t="s">
        <v>4957</v>
      </c>
    </row>
    <row r="2808">
      <c r="A2808" s="1">
        <v>2807.0</v>
      </c>
      <c r="B2808" s="1" t="s">
        <v>4958</v>
      </c>
      <c r="C2808" s="1" t="s">
        <v>25</v>
      </c>
      <c r="K2808" s="1">
        <v>150.0</v>
      </c>
      <c r="N2808" s="5">
        <v>43899.0</v>
      </c>
      <c r="Q2808" s="1" t="s">
        <v>4959</v>
      </c>
    </row>
    <row r="2809">
      <c r="A2809" s="1">
        <v>2808.0</v>
      </c>
      <c r="B2809" s="1" t="s">
        <v>4960</v>
      </c>
      <c r="C2809" s="1" t="s">
        <v>25</v>
      </c>
      <c r="N2809" s="5">
        <v>44503.0</v>
      </c>
      <c r="Q2809" s="1" t="s">
        <v>55</v>
      </c>
    </row>
    <row r="2810">
      <c r="A2810" s="1">
        <v>2809.0</v>
      </c>
      <c r="B2810" s="1" t="s">
        <v>4961</v>
      </c>
      <c r="C2810" s="1" t="s">
        <v>25</v>
      </c>
      <c r="K2810" s="1">
        <v>60.0</v>
      </c>
      <c r="N2810" s="5">
        <v>45733.0</v>
      </c>
      <c r="Q2810" s="1" t="s">
        <v>4962</v>
      </c>
    </row>
    <row r="2811">
      <c r="A2811" s="1">
        <v>2810.0</v>
      </c>
      <c r="B2811" s="1" t="s">
        <v>4963</v>
      </c>
      <c r="C2811" s="1" t="s">
        <v>25</v>
      </c>
      <c r="N2811" s="5">
        <v>44266.0</v>
      </c>
      <c r="Q2811" s="1" t="s">
        <v>55</v>
      </c>
    </row>
    <row r="2812">
      <c r="A2812" s="1">
        <v>2811.0</v>
      </c>
      <c r="B2812" s="1" t="s">
        <v>4964</v>
      </c>
      <c r="C2812" s="1" t="s">
        <v>25</v>
      </c>
      <c r="N2812" s="5">
        <v>43910.0</v>
      </c>
      <c r="Q2812" s="1" t="s">
        <v>172</v>
      </c>
    </row>
    <row r="2813">
      <c r="A2813" s="1">
        <v>2812.0</v>
      </c>
      <c r="B2813" s="1" t="s">
        <v>4965</v>
      </c>
      <c r="C2813" s="1" t="s">
        <v>25</v>
      </c>
      <c r="K2813" s="1">
        <v>20.0</v>
      </c>
      <c r="N2813" s="5">
        <v>44635.0</v>
      </c>
      <c r="Q2813" s="1" t="s">
        <v>4966</v>
      </c>
    </row>
    <row r="2814">
      <c r="A2814" s="1">
        <v>2813.0</v>
      </c>
      <c r="B2814" s="1" t="s">
        <v>4967</v>
      </c>
      <c r="C2814" s="1" t="s">
        <v>25</v>
      </c>
      <c r="K2814" s="1">
        <v>30.0</v>
      </c>
      <c r="N2814" s="5">
        <v>44571.0</v>
      </c>
      <c r="Q2814" s="1" t="s">
        <v>55</v>
      </c>
    </row>
    <row r="2815">
      <c r="A2815" s="1">
        <v>2814.0</v>
      </c>
      <c r="B2815" s="1" t="s">
        <v>4968</v>
      </c>
      <c r="C2815" s="1" t="s">
        <v>25</v>
      </c>
      <c r="N2815" s="5">
        <v>44064.0</v>
      </c>
      <c r="Q2815" s="1" t="s">
        <v>55</v>
      </c>
    </row>
    <row r="2816">
      <c r="A2816" s="1">
        <v>2815.0</v>
      </c>
      <c r="B2816" s="1" t="s">
        <v>4969</v>
      </c>
      <c r="C2816" s="1" t="s">
        <v>25</v>
      </c>
      <c r="K2816" s="1">
        <v>150.0</v>
      </c>
      <c r="N2816" s="5">
        <v>44804.0</v>
      </c>
      <c r="Q2816" s="1" t="s">
        <v>4970</v>
      </c>
    </row>
    <row r="2817">
      <c r="A2817" s="1">
        <v>2816.0</v>
      </c>
      <c r="B2817" s="1" t="s">
        <v>4971</v>
      </c>
      <c r="C2817" s="1" t="s">
        <v>25</v>
      </c>
      <c r="K2817" s="1">
        <v>60.0</v>
      </c>
      <c r="N2817" s="5">
        <v>45361.0</v>
      </c>
      <c r="Q2817" s="1" t="s">
        <v>1856</v>
      </c>
    </row>
    <row r="2818">
      <c r="A2818" s="1">
        <v>2817.0</v>
      </c>
      <c r="B2818" s="1" t="s">
        <v>4972</v>
      </c>
      <c r="C2818" s="1" t="s">
        <v>25</v>
      </c>
      <c r="K2818" s="1">
        <v>150.0</v>
      </c>
      <c r="N2818" s="5">
        <v>45244.0</v>
      </c>
      <c r="Q2818" s="1" t="s">
        <v>4973</v>
      </c>
    </row>
    <row r="2819">
      <c r="A2819" s="1">
        <v>2818.0</v>
      </c>
      <c r="B2819" s="1" t="s">
        <v>4974</v>
      </c>
      <c r="C2819" s="1" t="s">
        <v>25</v>
      </c>
      <c r="K2819" s="1">
        <v>150.0</v>
      </c>
      <c r="N2819" s="5">
        <v>44256.0</v>
      </c>
      <c r="Q2819" s="1" t="s">
        <v>4975</v>
      </c>
    </row>
    <row r="2820">
      <c r="A2820" s="1">
        <v>2819.0</v>
      </c>
      <c r="B2820" s="1" t="s">
        <v>4976</v>
      </c>
      <c r="C2820" s="1" t="s">
        <v>25</v>
      </c>
      <c r="K2820" s="1">
        <v>40.0</v>
      </c>
      <c r="N2820" s="5">
        <v>44416.0</v>
      </c>
      <c r="Q2820" s="1" t="s">
        <v>93</v>
      </c>
    </row>
    <row r="2821">
      <c r="A2821" s="1">
        <v>2820.0</v>
      </c>
      <c r="B2821" s="1" t="s">
        <v>4977</v>
      </c>
      <c r="C2821" s="1" t="s">
        <v>25</v>
      </c>
      <c r="N2821" s="5">
        <v>44054.0</v>
      </c>
      <c r="Q2821" s="1" t="s">
        <v>55</v>
      </c>
    </row>
    <row r="2822">
      <c r="A2822" s="1">
        <v>2821.0</v>
      </c>
      <c r="B2822" s="1" t="s">
        <v>4978</v>
      </c>
      <c r="C2822" s="1" t="s">
        <v>25</v>
      </c>
      <c r="K2822" s="1">
        <v>50.0</v>
      </c>
      <c r="N2822" s="5">
        <v>43943.0</v>
      </c>
      <c r="Q2822" s="1" t="s">
        <v>55</v>
      </c>
    </row>
    <row r="2823">
      <c r="A2823" s="1">
        <v>2822.0</v>
      </c>
      <c r="B2823" s="1" t="s">
        <v>4979</v>
      </c>
      <c r="C2823" s="1" t="s">
        <v>25</v>
      </c>
      <c r="K2823" s="1">
        <v>300.0</v>
      </c>
      <c r="N2823" s="5">
        <v>43919.0</v>
      </c>
      <c r="Q2823" s="1" t="s">
        <v>4980</v>
      </c>
    </row>
    <row r="2824">
      <c r="A2824" s="1">
        <v>2823.0</v>
      </c>
      <c r="B2824" s="1" t="s">
        <v>4981</v>
      </c>
      <c r="C2824" s="1" t="s">
        <v>25</v>
      </c>
      <c r="K2824" s="1">
        <v>150.0</v>
      </c>
      <c r="N2824" s="5">
        <v>43859.0</v>
      </c>
      <c r="Q2824" s="1" t="s">
        <v>4982</v>
      </c>
    </row>
    <row r="2825">
      <c r="A2825" s="1">
        <v>2824.0</v>
      </c>
      <c r="B2825" s="1" t="s">
        <v>4983</v>
      </c>
      <c r="C2825" s="1" t="s">
        <v>25</v>
      </c>
      <c r="K2825" s="1">
        <v>80.0</v>
      </c>
      <c r="N2825" s="5">
        <v>45784.0</v>
      </c>
      <c r="Q2825" s="1" t="s">
        <v>4984</v>
      </c>
    </row>
    <row r="2826">
      <c r="A2826" s="1">
        <v>2825.0</v>
      </c>
      <c r="B2826" s="1" t="s">
        <v>4985</v>
      </c>
      <c r="C2826" s="1" t="s">
        <v>25</v>
      </c>
      <c r="K2826" s="1">
        <v>30.0</v>
      </c>
      <c r="N2826" s="5">
        <v>45413.0</v>
      </c>
      <c r="Q2826" s="1" t="s">
        <v>4986</v>
      </c>
    </row>
    <row r="2827">
      <c r="A2827" s="1">
        <v>2826.0</v>
      </c>
      <c r="B2827" s="1" t="s">
        <v>4987</v>
      </c>
      <c r="C2827" s="1" t="s">
        <v>25</v>
      </c>
      <c r="N2827" s="5">
        <v>44543.0</v>
      </c>
      <c r="Q2827" s="1" t="s">
        <v>55</v>
      </c>
    </row>
    <row r="2828">
      <c r="A2828" s="1">
        <v>2827.0</v>
      </c>
      <c r="B2828" s="1" t="s">
        <v>4988</v>
      </c>
      <c r="C2828" s="1" t="s">
        <v>25</v>
      </c>
      <c r="N2828" s="5">
        <v>44704.0</v>
      </c>
      <c r="Q2828" s="1" t="s">
        <v>55</v>
      </c>
    </row>
    <row r="2829">
      <c r="A2829" s="1">
        <v>2828.0</v>
      </c>
      <c r="B2829" s="1" t="s">
        <v>4989</v>
      </c>
      <c r="C2829" s="1" t="s">
        <v>25</v>
      </c>
      <c r="K2829" s="1">
        <v>30.0</v>
      </c>
      <c r="N2829" s="5">
        <v>45010.0</v>
      </c>
      <c r="Q2829" s="1" t="s">
        <v>4990</v>
      </c>
    </row>
    <row r="2830">
      <c r="A2830" s="1">
        <v>2829.0</v>
      </c>
      <c r="B2830" s="1" t="s">
        <v>4991</v>
      </c>
      <c r="C2830" s="1" t="s">
        <v>25</v>
      </c>
      <c r="K2830" s="1">
        <v>70.0</v>
      </c>
      <c r="N2830" s="5">
        <v>44262.0</v>
      </c>
      <c r="Q2830" s="1" t="s">
        <v>4992</v>
      </c>
    </row>
    <row r="2831">
      <c r="A2831" s="1">
        <v>2830.0</v>
      </c>
      <c r="B2831" s="1" t="s">
        <v>4993</v>
      </c>
      <c r="C2831" s="1" t="s">
        <v>25</v>
      </c>
      <c r="K2831" s="1">
        <v>10.0</v>
      </c>
      <c r="N2831" s="5">
        <v>44102.0</v>
      </c>
      <c r="Q2831" s="1" t="s">
        <v>4994</v>
      </c>
    </row>
    <row r="2832">
      <c r="A2832" s="1">
        <v>2831.0</v>
      </c>
      <c r="B2832" s="1" t="s">
        <v>4995</v>
      </c>
      <c r="C2832" s="1" t="s">
        <v>25</v>
      </c>
      <c r="K2832" s="1">
        <v>20.0</v>
      </c>
      <c r="N2832" s="5">
        <v>44425.0</v>
      </c>
      <c r="Q2832" s="1" t="s">
        <v>55</v>
      </c>
    </row>
    <row r="2833">
      <c r="A2833" s="1">
        <v>2832.0</v>
      </c>
      <c r="B2833" s="1" t="s">
        <v>4996</v>
      </c>
      <c r="C2833" s="1" t="s">
        <v>25</v>
      </c>
      <c r="K2833" s="1">
        <v>50.0</v>
      </c>
      <c r="N2833" s="5">
        <v>44192.0</v>
      </c>
      <c r="Q2833" s="1" t="s">
        <v>4997</v>
      </c>
    </row>
    <row r="2834">
      <c r="A2834" s="1">
        <v>2833.0</v>
      </c>
      <c r="B2834" s="1" t="s">
        <v>4998</v>
      </c>
      <c r="C2834" s="1" t="s">
        <v>25</v>
      </c>
      <c r="K2834" s="1">
        <v>20.0</v>
      </c>
      <c r="N2834" s="5">
        <v>44074.0</v>
      </c>
      <c r="Q2834" s="1" t="s">
        <v>55</v>
      </c>
    </row>
    <row r="2835">
      <c r="A2835" s="1">
        <v>2834.0</v>
      </c>
      <c r="B2835" s="1" t="s">
        <v>4999</v>
      </c>
      <c r="C2835" s="1" t="s">
        <v>25</v>
      </c>
      <c r="K2835" s="1">
        <v>90.0</v>
      </c>
      <c r="N2835" s="5">
        <v>43974.0</v>
      </c>
      <c r="Q2835" s="1" t="s">
        <v>5000</v>
      </c>
    </row>
    <row r="2836">
      <c r="A2836" s="1">
        <v>2835.0</v>
      </c>
      <c r="B2836" s="1" t="s">
        <v>5001</v>
      </c>
      <c r="C2836" s="1" t="s">
        <v>25</v>
      </c>
      <c r="K2836" s="1">
        <v>30.0</v>
      </c>
      <c r="N2836" s="5">
        <v>44495.0</v>
      </c>
      <c r="Q2836" s="1" t="s">
        <v>5002</v>
      </c>
    </row>
    <row r="2837">
      <c r="A2837" s="1">
        <v>2836.0</v>
      </c>
      <c r="B2837" s="1" t="s">
        <v>5003</v>
      </c>
      <c r="C2837" s="1" t="s">
        <v>25</v>
      </c>
      <c r="K2837" s="1">
        <v>40.0</v>
      </c>
      <c r="N2837" s="5">
        <v>44375.0</v>
      </c>
      <c r="Q2837" s="1" t="s">
        <v>55</v>
      </c>
    </row>
    <row r="2838">
      <c r="A2838" s="1">
        <v>2837.0</v>
      </c>
      <c r="B2838" s="1" t="s">
        <v>5004</v>
      </c>
      <c r="C2838" s="1" t="s">
        <v>25</v>
      </c>
      <c r="K2838" s="1">
        <v>30.0</v>
      </c>
      <c r="N2838" s="5">
        <v>45619.0</v>
      </c>
      <c r="Q2838" s="1" t="s">
        <v>5005</v>
      </c>
    </row>
    <row r="2839">
      <c r="A2839" s="1">
        <v>2838.0</v>
      </c>
      <c r="B2839" s="1" t="s">
        <v>5006</v>
      </c>
      <c r="C2839" s="1" t="s">
        <v>25</v>
      </c>
      <c r="K2839" s="1">
        <v>150.0</v>
      </c>
      <c r="N2839" s="5">
        <v>44047.0</v>
      </c>
      <c r="Q2839" s="1" t="s">
        <v>93</v>
      </c>
    </row>
    <row r="2840">
      <c r="A2840" s="1">
        <v>2839.0</v>
      </c>
      <c r="B2840" s="1" t="s">
        <v>5007</v>
      </c>
      <c r="C2840" s="1" t="s">
        <v>25</v>
      </c>
      <c r="K2840" s="1">
        <v>200.0</v>
      </c>
      <c r="N2840" s="5">
        <v>44272.0</v>
      </c>
      <c r="Q2840" s="1" t="s">
        <v>5008</v>
      </c>
    </row>
    <row r="2841">
      <c r="A2841" s="1">
        <v>2840.0</v>
      </c>
      <c r="B2841" s="1" t="s">
        <v>5009</v>
      </c>
      <c r="C2841" s="1" t="s">
        <v>25</v>
      </c>
      <c r="K2841" s="1">
        <v>20.0</v>
      </c>
      <c r="N2841" s="5">
        <v>45624.0</v>
      </c>
      <c r="Q2841" s="1" t="s">
        <v>5010</v>
      </c>
    </row>
    <row r="2842">
      <c r="A2842" s="1">
        <v>2841.0</v>
      </c>
      <c r="B2842" s="1" t="s">
        <v>5011</v>
      </c>
      <c r="C2842" s="1" t="s">
        <v>25</v>
      </c>
      <c r="K2842" s="1">
        <v>60.0</v>
      </c>
      <c r="N2842" s="5">
        <v>44579.0</v>
      </c>
      <c r="Q2842" s="1" t="s">
        <v>55</v>
      </c>
    </row>
    <row r="2843">
      <c r="A2843" s="1">
        <v>2842.0</v>
      </c>
      <c r="B2843" s="1" t="s">
        <v>5012</v>
      </c>
      <c r="C2843" s="1" t="s">
        <v>25</v>
      </c>
      <c r="K2843" s="1">
        <v>40.0</v>
      </c>
      <c r="N2843" s="5">
        <v>44188.0</v>
      </c>
      <c r="Q2843" s="1" t="s">
        <v>5013</v>
      </c>
    </row>
    <row r="2844">
      <c r="A2844" s="1">
        <v>2843.0</v>
      </c>
      <c r="B2844" s="1" t="s">
        <v>5014</v>
      </c>
      <c r="C2844" s="1" t="s">
        <v>25</v>
      </c>
      <c r="K2844" s="1">
        <v>50.0</v>
      </c>
      <c r="N2844" s="5">
        <v>44228.0</v>
      </c>
      <c r="Q2844" s="1" t="s">
        <v>55</v>
      </c>
    </row>
    <row r="2845">
      <c r="A2845" s="1">
        <v>2844.0</v>
      </c>
      <c r="B2845" s="1" t="s">
        <v>249</v>
      </c>
      <c r="C2845" s="1" t="s">
        <v>25</v>
      </c>
      <c r="N2845" s="5">
        <v>45312.0</v>
      </c>
      <c r="Q2845" s="1" t="s">
        <v>55</v>
      </c>
    </row>
    <row r="2846">
      <c r="A2846" s="1">
        <v>2845.0</v>
      </c>
      <c r="B2846" s="1" t="s">
        <v>5015</v>
      </c>
      <c r="C2846" s="1" t="s">
        <v>25</v>
      </c>
      <c r="K2846" s="1">
        <v>150.0</v>
      </c>
      <c r="N2846" s="5">
        <v>44479.0</v>
      </c>
      <c r="Q2846" s="1" t="s">
        <v>5016</v>
      </c>
    </row>
    <row r="2847">
      <c r="A2847" s="1">
        <v>2846.0</v>
      </c>
      <c r="B2847" s="1" t="s">
        <v>5017</v>
      </c>
      <c r="C2847" s="1" t="s">
        <v>25</v>
      </c>
      <c r="K2847" s="1">
        <v>400.0</v>
      </c>
      <c r="N2847" s="5">
        <v>43842.0</v>
      </c>
      <c r="Q2847" s="1" t="s">
        <v>5018</v>
      </c>
    </row>
    <row r="2848">
      <c r="A2848" s="1">
        <v>2847.0</v>
      </c>
      <c r="B2848" s="1" t="s">
        <v>5019</v>
      </c>
      <c r="C2848" s="1" t="s">
        <v>25</v>
      </c>
      <c r="K2848" s="1">
        <v>80.0</v>
      </c>
      <c r="N2848" s="5">
        <v>45719.0</v>
      </c>
      <c r="Q2848" s="1" t="s">
        <v>3395</v>
      </c>
    </row>
    <row r="2849">
      <c r="A2849" s="1">
        <v>2848.0</v>
      </c>
      <c r="B2849" s="1" t="s">
        <v>5020</v>
      </c>
      <c r="C2849" s="1" t="s">
        <v>25</v>
      </c>
      <c r="N2849" s="5">
        <v>46114.0</v>
      </c>
      <c r="Q2849" s="1" t="s">
        <v>5021</v>
      </c>
    </row>
    <row r="2850">
      <c r="A2850" s="1">
        <v>2849.0</v>
      </c>
      <c r="B2850" s="1" t="s">
        <v>5022</v>
      </c>
      <c r="C2850" s="1" t="s">
        <v>25</v>
      </c>
      <c r="N2850" s="5">
        <v>44666.0</v>
      </c>
      <c r="Q2850" s="1" t="s">
        <v>55</v>
      </c>
    </row>
    <row r="2851">
      <c r="A2851" s="1">
        <v>2850.0</v>
      </c>
      <c r="B2851" s="1" t="s">
        <v>5023</v>
      </c>
      <c r="C2851" s="1" t="s">
        <v>25</v>
      </c>
      <c r="K2851" s="1">
        <v>400.0</v>
      </c>
      <c r="N2851" s="5">
        <v>43921.0</v>
      </c>
      <c r="Q2851" s="1" t="s">
        <v>5024</v>
      </c>
    </row>
    <row r="2852">
      <c r="A2852" s="1">
        <v>2851.0</v>
      </c>
      <c r="B2852" s="1" t="s">
        <v>5025</v>
      </c>
      <c r="C2852" s="1" t="s">
        <v>25</v>
      </c>
      <c r="K2852" s="1">
        <v>10.0</v>
      </c>
      <c r="N2852" s="5">
        <v>44544.0</v>
      </c>
      <c r="Q2852" s="1" t="s">
        <v>569</v>
      </c>
    </row>
    <row r="2853">
      <c r="A2853" s="1">
        <v>2852.0</v>
      </c>
      <c r="B2853" s="1" t="s">
        <v>5026</v>
      </c>
      <c r="C2853" s="1" t="s">
        <v>25</v>
      </c>
      <c r="K2853" s="1">
        <v>60.0</v>
      </c>
      <c r="N2853" s="5">
        <v>44354.0</v>
      </c>
      <c r="Q2853" s="1" t="s">
        <v>3562</v>
      </c>
    </row>
    <row r="2854">
      <c r="A2854" s="1">
        <v>2853.0</v>
      </c>
      <c r="B2854" s="1" t="s">
        <v>5027</v>
      </c>
      <c r="C2854" s="1" t="s">
        <v>25</v>
      </c>
      <c r="N2854" s="5">
        <v>44087.0</v>
      </c>
      <c r="Q2854" s="1" t="s">
        <v>55</v>
      </c>
    </row>
    <row r="2855">
      <c r="A2855" s="1">
        <v>2854.0</v>
      </c>
      <c r="B2855" s="1" t="s">
        <v>5028</v>
      </c>
      <c r="C2855" s="1" t="s">
        <v>25</v>
      </c>
      <c r="K2855" s="1">
        <v>100.0</v>
      </c>
      <c r="N2855" s="5">
        <v>45446.0</v>
      </c>
      <c r="Q2855" s="1" t="s">
        <v>5029</v>
      </c>
    </row>
    <row r="2856">
      <c r="A2856" s="1">
        <v>2855.0</v>
      </c>
      <c r="B2856" s="1" t="s">
        <v>5030</v>
      </c>
      <c r="C2856" s="1" t="s">
        <v>25</v>
      </c>
      <c r="K2856" s="1">
        <v>150.0</v>
      </c>
      <c r="N2856" s="5">
        <v>44143.0</v>
      </c>
      <c r="Q2856" s="1" t="s">
        <v>5031</v>
      </c>
    </row>
    <row r="2857">
      <c r="A2857" s="1">
        <v>2856.0</v>
      </c>
      <c r="B2857" s="1" t="s">
        <v>5032</v>
      </c>
      <c r="C2857" s="1" t="s">
        <v>25</v>
      </c>
      <c r="K2857" s="1">
        <v>100.0</v>
      </c>
      <c r="N2857" s="5">
        <v>43842.0</v>
      </c>
      <c r="Q2857" s="1" t="s">
        <v>5033</v>
      </c>
    </row>
    <row r="2858">
      <c r="A2858" s="1">
        <v>2857.0</v>
      </c>
      <c r="B2858" s="1" t="s">
        <v>5034</v>
      </c>
      <c r="C2858" s="1" t="s">
        <v>25</v>
      </c>
      <c r="K2858" s="1">
        <v>40.0</v>
      </c>
      <c r="N2858" s="5">
        <v>45125.0</v>
      </c>
      <c r="Q2858" s="1" t="s">
        <v>1066</v>
      </c>
    </row>
    <row r="2859">
      <c r="A2859" s="1">
        <v>2858.0</v>
      </c>
      <c r="B2859" s="1" t="s">
        <v>5035</v>
      </c>
      <c r="C2859" s="1" t="s">
        <v>25</v>
      </c>
      <c r="K2859" s="1">
        <v>300.0</v>
      </c>
      <c r="N2859" s="5">
        <v>43866.0</v>
      </c>
      <c r="Q2859" s="1" t="s">
        <v>5036</v>
      </c>
    </row>
    <row r="2860">
      <c r="A2860" s="1">
        <v>2859.0</v>
      </c>
      <c r="B2860" s="1" t="s">
        <v>5037</v>
      </c>
      <c r="C2860" s="1" t="s">
        <v>25</v>
      </c>
      <c r="N2860" s="5">
        <v>43941.0</v>
      </c>
      <c r="Q2860" s="1" t="s">
        <v>55</v>
      </c>
    </row>
    <row r="2861">
      <c r="A2861" s="1">
        <v>2860.0</v>
      </c>
      <c r="B2861" s="1" t="s">
        <v>5038</v>
      </c>
      <c r="C2861" s="1" t="s">
        <v>25</v>
      </c>
      <c r="K2861" s="1">
        <v>40.0</v>
      </c>
      <c r="N2861" s="5">
        <v>44128.0</v>
      </c>
      <c r="Q2861" s="1" t="s">
        <v>3008</v>
      </c>
    </row>
    <row r="2862">
      <c r="A2862" s="1">
        <v>2861.0</v>
      </c>
      <c r="B2862" s="1" t="s">
        <v>5039</v>
      </c>
      <c r="C2862" s="1" t="s">
        <v>25</v>
      </c>
      <c r="K2862" s="1">
        <v>150.0</v>
      </c>
      <c r="N2862" s="5">
        <v>44023.0</v>
      </c>
      <c r="Q2862" s="1" t="s">
        <v>5040</v>
      </c>
    </row>
    <row r="2863">
      <c r="A2863" s="1">
        <v>2862.0</v>
      </c>
      <c r="B2863" s="1" t="s">
        <v>5041</v>
      </c>
      <c r="C2863" s="1" t="s">
        <v>25</v>
      </c>
      <c r="K2863" s="1">
        <v>70.0</v>
      </c>
      <c r="N2863" s="5">
        <v>45466.0</v>
      </c>
      <c r="Q2863" s="1" t="s">
        <v>5042</v>
      </c>
    </row>
    <row r="2864">
      <c r="A2864" s="1">
        <v>2863.0</v>
      </c>
      <c r="B2864" s="1" t="s">
        <v>5043</v>
      </c>
      <c r="C2864" s="1" t="s">
        <v>25</v>
      </c>
      <c r="K2864" s="1">
        <v>150.0</v>
      </c>
      <c r="N2864" s="5">
        <v>45662.0</v>
      </c>
      <c r="Q2864" s="1" t="s">
        <v>2152</v>
      </c>
    </row>
    <row r="2865">
      <c r="A2865" s="1">
        <v>2864.0</v>
      </c>
      <c r="B2865" s="1" t="s">
        <v>5044</v>
      </c>
      <c r="C2865" s="1" t="s">
        <v>25</v>
      </c>
      <c r="K2865" s="1">
        <v>10.0</v>
      </c>
      <c r="N2865" s="5">
        <v>44777.0</v>
      </c>
      <c r="Q2865" s="1" t="s">
        <v>851</v>
      </c>
    </row>
    <row r="2866">
      <c r="A2866" s="1">
        <v>2865.0</v>
      </c>
      <c r="B2866" s="1" t="s">
        <v>5045</v>
      </c>
      <c r="C2866" s="1" t="s">
        <v>25</v>
      </c>
      <c r="K2866" s="1">
        <v>30.0</v>
      </c>
      <c r="N2866" s="5">
        <v>45735.0</v>
      </c>
      <c r="Q2866" s="1" t="s">
        <v>5046</v>
      </c>
    </row>
    <row r="2867">
      <c r="A2867" s="1">
        <v>2866.0</v>
      </c>
      <c r="B2867" s="1" t="s">
        <v>5047</v>
      </c>
      <c r="C2867" s="1" t="s">
        <v>25</v>
      </c>
      <c r="N2867" s="5">
        <v>44160.0</v>
      </c>
      <c r="Q2867" s="1" t="s">
        <v>55</v>
      </c>
    </row>
    <row r="2868">
      <c r="A2868" s="1">
        <v>2867.0</v>
      </c>
      <c r="B2868" s="1" t="s">
        <v>5048</v>
      </c>
      <c r="C2868" s="1" t="s">
        <v>25</v>
      </c>
      <c r="N2868" s="5">
        <v>44965.0</v>
      </c>
      <c r="Q2868" s="1" t="s">
        <v>55</v>
      </c>
    </row>
    <row r="2869">
      <c r="A2869" s="1">
        <v>2868.0</v>
      </c>
      <c r="B2869" s="1" t="s">
        <v>5049</v>
      </c>
      <c r="C2869" s="1" t="s">
        <v>25</v>
      </c>
      <c r="K2869" s="1">
        <v>40.0</v>
      </c>
      <c r="N2869" s="5">
        <v>44073.0</v>
      </c>
      <c r="Q2869" s="1" t="s">
        <v>5050</v>
      </c>
    </row>
    <row r="2870">
      <c r="A2870" s="1">
        <v>2869.0</v>
      </c>
      <c r="B2870" s="1" t="s">
        <v>5051</v>
      </c>
      <c r="C2870" s="1" t="s">
        <v>25</v>
      </c>
      <c r="N2870" s="5">
        <v>42429.0</v>
      </c>
      <c r="Q2870" s="1" t="s">
        <v>55</v>
      </c>
    </row>
    <row r="2871">
      <c r="A2871" s="1">
        <v>2870.0</v>
      </c>
      <c r="B2871" s="1" t="s">
        <v>5052</v>
      </c>
      <c r="C2871" s="1" t="s">
        <v>25</v>
      </c>
      <c r="N2871" s="5">
        <v>44021.0</v>
      </c>
      <c r="Q2871" s="1" t="s">
        <v>55</v>
      </c>
    </row>
    <row r="2872">
      <c r="A2872" s="1">
        <v>2871.0</v>
      </c>
      <c r="B2872" s="1" t="s">
        <v>5053</v>
      </c>
      <c r="C2872" s="1" t="s">
        <v>25</v>
      </c>
      <c r="K2872" s="1">
        <v>100.0</v>
      </c>
      <c r="N2872" s="5">
        <v>45465.0</v>
      </c>
      <c r="Q2872" s="1" t="s">
        <v>1736</v>
      </c>
    </row>
    <row r="2873">
      <c r="A2873" s="1">
        <v>2872.0</v>
      </c>
      <c r="B2873" s="1" t="s">
        <v>5054</v>
      </c>
      <c r="C2873" s="1" t="s">
        <v>25</v>
      </c>
      <c r="K2873" s="1">
        <v>250.0</v>
      </c>
      <c r="N2873" s="5">
        <v>44654.0</v>
      </c>
      <c r="Q2873" s="1" t="s">
        <v>5055</v>
      </c>
    </row>
    <row r="2874">
      <c r="A2874" s="1">
        <v>2873.0</v>
      </c>
      <c r="B2874" s="1" t="s">
        <v>5056</v>
      </c>
      <c r="C2874" s="1" t="s">
        <v>25</v>
      </c>
      <c r="K2874" s="1">
        <v>100.0</v>
      </c>
      <c r="N2874" s="5">
        <v>44160.0</v>
      </c>
      <c r="Q2874" s="1" t="s">
        <v>172</v>
      </c>
    </row>
    <row r="2875">
      <c r="A2875" s="1">
        <v>2874.0</v>
      </c>
      <c r="B2875" s="1" t="s">
        <v>5057</v>
      </c>
      <c r="C2875" s="1" t="s">
        <v>25</v>
      </c>
      <c r="N2875" s="5">
        <v>45700.0</v>
      </c>
      <c r="Q2875" s="1" t="s">
        <v>5058</v>
      </c>
    </row>
    <row r="2876">
      <c r="A2876" s="1">
        <v>2875.0</v>
      </c>
      <c r="B2876" s="1" t="s">
        <v>5059</v>
      </c>
      <c r="C2876" s="1" t="s">
        <v>25</v>
      </c>
      <c r="N2876" s="5">
        <v>44168.0</v>
      </c>
      <c r="Q2876" s="1" t="s">
        <v>55</v>
      </c>
    </row>
    <row r="2877">
      <c r="A2877" s="1">
        <v>2876.0</v>
      </c>
      <c r="B2877" s="1" t="s">
        <v>5060</v>
      </c>
      <c r="C2877" s="1" t="s">
        <v>25</v>
      </c>
      <c r="K2877" s="1">
        <v>90.0</v>
      </c>
      <c r="N2877" s="5">
        <v>45077.0</v>
      </c>
      <c r="Q2877" s="1" t="s">
        <v>1218</v>
      </c>
    </row>
    <row r="2878">
      <c r="A2878" s="1">
        <v>2877.0</v>
      </c>
      <c r="B2878" s="1" t="s">
        <v>5061</v>
      </c>
      <c r="C2878" s="1" t="s">
        <v>25</v>
      </c>
      <c r="K2878" s="1">
        <v>100.0</v>
      </c>
      <c r="N2878" s="5">
        <v>43930.0</v>
      </c>
      <c r="Q2878" s="1" t="s">
        <v>5062</v>
      </c>
    </row>
    <row r="2879">
      <c r="A2879" s="1">
        <v>2878.0</v>
      </c>
      <c r="B2879" s="1" t="s">
        <v>5063</v>
      </c>
      <c r="C2879" s="1" t="s">
        <v>25</v>
      </c>
      <c r="K2879" s="1">
        <v>40.0</v>
      </c>
      <c r="N2879" s="5">
        <v>44406.0</v>
      </c>
      <c r="Q2879" s="1" t="s">
        <v>203</v>
      </c>
    </row>
    <row r="2880">
      <c r="A2880" s="1">
        <v>2879.0</v>
      </c>
      <c r="B2880" s="1" t="s">
        <v>5064</v>
      </c>
      <c r="C2880" s="1" t="s">
        <v>25</v>
      </c>
      <c r="N2880" s="5">
        <v>45792.0</v>
      </c>
      <c r="Q2880" s="1" t="s">
        <v>2562</v>
      </c>
    </row>
    <row r="2881">
      <c r="A2881" s="1">
        <v>2880.0</v>
      </c>
      <c r="B2881" s="1" t="s">
        <v>5065</v>
      </c>
      <c r="C2881" s="1" t="s">
        <v>25</v>
      </c>
      <c r="N2881" s="5">
        <v>44185.0</v>
      </c>
      <c r="Q2881" s="1" t="s">
        <v>55</v>
      </c>
    </row>
    <row r="2882">
      <c r="A2882" s="1">
        <v>2881.0</v>
      </c>
      <c r="B2882" s="1" t="s">
        <v>5066</v>
      </c>
      <c r="C2882" s="1" t="s">
        <v>25</v>
      </c>
      <c r="K2882" s="1">
        <v>60.0</v>
      </c>
      <c r="N2882" s="5">
        <v>44336.0</v>
      </c>
      <c r="Q2882" s="1" t="s">
        <v>5067</v>
      </c>
    </row>
    <row r="2883">
      <c r="A2883" s="1">
        <v>2882.0</v>
      </c>
      <c r="B2883" s="1" t="s">
        <v>5068</v>
      </c>
      <c r="C2883" s="1" t="s">
        <v>25</v>
      </c>
      <c r="N2883" s="5">
        <v>44092.0</v>
      </c>
      <c r="Q2883" s="1" t="s">
        <v>55</v>
      </c>
    </row>
    <row r="2884">
      <c r="A2884" s="1">
        <v>2883.0</v>
      </c>
      <c r="B2884" s="1" t="s">
        <v>5069</v>
      </c>
      <c r="C2884" s="1" t="s">
        <v>25</v>
      </c>
      <c r="K2884" s="1">
        <v>100.0</v>
      </c>
      <c r="N2884" s="5">
        <v>44054.0</v>
      </c>
      <c r="Q2884" s="1" t="s">
        <v>3648</v>
      </c>
    </row>
    <row r="2885">
      <c r="A2885" s="1">
        <v>2884.0</v>
      </c>
      <c r="B2885" s="1" t="s">
        <v>5070</v>
      </c>
      <c r="C2885" s="1" t="s">
        <v>25</v>
      </c>
      <c r="K2885" s="1">
        <v>150.0</v>
      </c>
      <c r="N2885" s="5">
        <v>43849.0</v>
      </c>
      <c r="Q2885" s="1" t="s">
        <v>5071</v>
      </c>
    </row>
    <row r="2886">
      <c r="A2886" s="1">
        <v>2885.0</v>
      </c>
      <c r="B2886" s="1" t="s">
        <v>5072</v>
      </c>
      <c r="C2886" s="1" t="s">
        <v>25</v>
      </c>
      <c r="K2886" s="1">
        <v>10.0</v>
      </c>
      <c r="N2886" s="5">
        <v>44858.0</v>
      </c>
      <c r="Q2886" s="1" t="s">
        <v>55</v>
      </c>
    </row>
    <row r="2887">
      <c r="A2887" s="1">
        <v>2886.0</v>
      </c>
      <c r="B2887" s="1" t="s">
        <v>5073</v>
      </c>
      <c r="C2887" s="1" t="s">
        <v>25</v>
      </c>
      <c r="K2887" s="1">
        <v>30.0</v>
      </c>
      <c r="N2887" s="5">
        <v>44086.0</v>
      </c>
      <c r="Q2887" s="1" t="s">
        <v>55</v>
      </c>
    </row>
    <row r="2888">
      <c r="A2888" s="1">
        <v>2887.0</v>
      </c>
      <c r="B2888" s="1" t="s">
        <v>5074</v>
      </c>
      <c r="C2888" s="1" t="s">
        <v>25</v>
      </c>
      <c r="K2888" s="1">
        <v>250.0</v>
      </c>
      <c r="N2888" s="5">
        <v>43944.0</v>
      </c>
      <c r="Q2888" s="1" t="s">
        <v>5075</v>
      </c>
    </row>
    <row r="2889">
      <c r="A2889" s="1">
        <v>2888.0</v>
      </c>
      <c r="B2889" s="1" t="s">
        <v>5076</v>
      </c>
      <c r="C2889" s="1" t="s">
        <v>25</v>
      </c>
      <c r="N2889" s="5">
        <v>45141.0</v>
      </c>
      <c r="Q2889" s="1" t="s">
        <v>55</v>
      </c>
    </row>
    <row r="2890">
      <c r="A2890" s="1">
        <v>2889.0</v>
      </c>
      <c r="B2890" s="1" t="s">
        <v>5077</v>
      </c>
      <c r="C2890" s="1" t="s">
        <v>25</v>
      </c>
      <c r="K2890" s="1">
        <v>150.0</v>
      </c>
      <c r="N2890" s="5">
        <v>44317.0</v>
      </c>
      <c r="Q2890" s="1" t="s">
        <v>93</v>
      </c>
    </row>
    <row r="2891">
      <c r="A2891" s="1">
        <v>2890.0</v>
      </c>
      <c r="B2891" s="1" t="s">
        <v>5078</v>
      </c>
      <c r="C2891" s="1" t="s">
        <v>25</v>
      </c>
      <c r="N2891" s="5">
        <v>45639.0</v>
      </c>
      <c r="Q2891" s="1" t="s">
        <v>2584</v>
      </c>
    </row>
    <row r="2892">
      <c r="A2892" s="1">
        <v>2891.0</v>
      </c>
      <c r="B2892" s="1" t="s">
        <v>5079</v>
      </c>
      <c r="C2892" s="1" t="s">
        <v>25</v>
      </c>
      <c r="N2892" s="5">
        <v>45284.0</v>
      </c>
      <c r="Q2892" s="1" t="s">
        <v>5080</v>
      </c>
    </row>
    <row r="2893">
      <c r="A2893" s="1">
        <v>2892.0</v>
      </c>
      <c r="B2893" s="1" t="s">
        <v>5081</v>
      </c>
      <c r="C2893" s="1" t="s">
        <v>25</v>
      </c>
      <c r="K2893" s="1">
        <v>60.0</v>
      </c>
      <c r="N2893" s="5">
        <v>44410.0</v>
      </c>
      <c r="Q2893" s="1" t="s">
        <v>55</v>
      </c>
    </row>
    <row r="2894">
      <c r="A2894" s="1">
        <v>2893.0</v>
      </c>
      <c r="B2894" s="1" t="s">
        <v>5082</v>
      </c>
      <c r="C2894" s="1" t="s">
        <v>25</v>
      </c>
      <c r="K2894" s="1">
        <v>80.0</v>
      </c>
      <c r="N2894" s="5">
        <v>44466.0</v>
      </c>
      <c r="Q2894" s="1" t="s">
        <v>5083</v>
      </c>
    </row>
    <row r="2895">
      <c r="A2895" s="1">
        <v>2894.0</v>
      </c>
      <c r="B2895" s="1" t="s">
        <v>5084</v>
      </c>
      <c r="C2895" s="1" t="s">
        <v>25</v>
      </c>
      <c r="K2895" s="1">
        <v>10.0</v>
      </c>
      <c r="N2895" s="5">
        <v>45640.0</v>
      </c>
      <c r="Q2895" s="1" t="s">
        <v>5085</v>
      </c>
    </row>
    <row r="2896">
      <c r="A2896" s="1">
        <v>2895.0</v>
      </c>
      <c r="B2896" s="1" t="s">
        <v>5086</v>
      </c>
      <c r="C2896" s="1" t="s">
        <v>25</v>
      </c>
      <c r="K2896" s="1">
        <v>10.0</v>
      </c>
      <c r="N2896" s="5">
        <v>45328.0</v>
      </c>
      <c r="Q2896" s="1" t="s">
        <v>2397</v>
      </c>
    </row>
    <row r="2897">
      <c r="A2897" s="1">
        <v>2896.0</v>
      </c>
      <c r="B2897" s="1" t="s">
        <v>5087</v>
      </c>
      <c r="C2897" s="1" t="s">
        <v>25</v>
      </c>
      <c r="K2897" s="1">
        <v>10.0</v>
      </c>
      <c r="N2897" s="5">
        <v>44243.0</v>
      </c>
      <c r="Q2897" s="1" t="s">
        <v>46</v>
      </c>
    </row>
    <row r="2898">
      <c r="A2898" s="1">
        <v>2897.0</v>
      </c>
      <c r="B2898" s="1" t="s">
        <v>5088</v>
      </c>
      <c r="C2898" s="1" t="s">
        <v>25</v>
      </c>
      <c r="N2898" s="5">
        <v>44040.0</v>
      </c>
      <c r="Q2898" s="1" t="s">
        <v>55</v>
      </c>
    </row>
    <row r="2899">
      <c r="A2899" s="1">
        <v>2898.0</v>
      </c>
      <c r="B2899" s="1" t="s">
        <v>5089</v>
      </c>
      <c r="C2899" s="1" t="s">
        <v>25</v>
      </c>
      <c r="K2899" s="1">
        <v>100.0</v>
      </c>
      <c r="N2899" s="5">
        <v>45120.0</v>
      </c>
      <c r="Q2899" s="1" t="s">
        <v>5090</v>
      </c>
    </row>
    <row r="2900">
      <c r="A2900" s="1">
        <v>2899.0</v>
      </c>
      <c r="B2900" s="1" t="s">
        <v>5091</v>
      </c>
      <c r="C2900" s="1" t="s">
        <v>25</v>
      </c>
      <c r="K2900" s="1">
        <v>20.0</v>
      </c>
      <c r="N2900" s="5">
        <v>44589.0</v>
      </c>
      <c r="Q2900" s="1" t="s">
        <v>125</v>
      </c>
    </row>
    <row r="2901">
      <c r="A2901" s="1">
        <v>2900.0</v>
      </c>
      <c r="B2901" s="1" t="s">
        <v>5092</v>
      </c>
      <c r="C2901" s="1" t="s">
        <v>25</v>
      </c>
      <c r="N2901" s="5">
        <v>44219.0</v>
      </c>
      <c r="Q2901" s="1" t="s">
        <v>55</v>
      </c>
    </row>
    <row r="2902">
      <c r="A2902" s="1">
        <v>2901.0</v>
      </c>
      <c r="B2902" s="1" t="s">
        <v>5093</v>
      </c>
      <c r="C2902" s="1" t="s">
        <v>25</v>
      </c>
      <c r="K2902" s="1">
        <v>30.0</v>
      </c>
      <c r="N2902" s="5">
        <v>44923.0</v>
      </c>
      <c r="Q2902" s="1" t="s">
        <v>55</v>
      </c>
    </row>
    <row r="2903">
      <c r="A2903" s="1">
        <v>2902.0</v>
      </c>
      <c r="B2903" s="1" t="s">
        <v>5094</v>
      </c>
      <c r="C2903" s="1" t="s">
        <v>25</v>
      </c>
      <c r="K2903" s="1">
        <v>150.0</v>
      </c>
      <c r="N2903" s="5">
        <v>45244.0</v>
      </c>
      <c r="Q2903" s="1" t="s">
        <v>62</v>
      </c>
    </row>
    <row r="2904">
      <c r="A2904" s="1">
        <v>2903.0</v>
      </c>
      <c r="B2904" s="1" t="s">
        <v>5095</v>
      </c>
      <c r="C2904" s="1" t="s">
        <v>25</v>
      </c>
      <c r="N2904" s="5">
        <v>44427.0</v>
      </c>
      <c r="Q2904" s="1" t="s">
        <v>55</v>
      </c>
    </row>
    <row r="2905">
      <c r="A2905" s="1">
        <v>2904.0</v>
      </c>
      <c r="B2905" s="1" t="s">
        <v>5096</v>
      </c>
      <c r="C2905" s="1" t="s">
        <v>25</v>
      </c>
      <c r="K2905" s="1">
        <v>30.0</v>
      </c>
      <c r="N2905" s="5">
        <v>44406.0</v>
      </c>
      <c r="Q2905" s="1" t="s">
        <v>55</v>
      </c>
    </row>
    <row r="2906">
      <c r="A2906" s="1">
        <v>2905.0</v>
      </c>
      <c r="B2906" s="1" t="s">
        <v>5097</v>
      </c>
      <c r="C2906" s="1" t="s">
        <v>25</v>
      </c>
      <c r="N2906" s="5">
        <v>44067.0</v>
      </c>
      <c r="Q2906" s="1" t="s">
        <v>55</v>
      </c>
    </row>
    <row r="2907">
      <c r="A2907" s="1">
        <v>2906.0</v>
      </c>
      <c r="B2907" s="1" t="s">
        <v>5098</v>
      </c>
      <c r="C2907" s="1" t="s">
        <v>25</v>
      </c>
      <c r="K2907" s="1">
        <v>100.0</v>
      </c>
      <c r="N2907" s="5">
        <v>44476.0</v>
      </c>
      <c r="Q2907" s="1" t="s">
        <v>5099</v>
      </c>
    </row>
    <row r="2908">
      <c r="A2908" s="1">
        <v>2907.0</v>
      </c>
      <c r="B2908" s="1" t="s">
        <v>5100</v>
      </c>
      <c r="C2908" s="1" t="s">
        <v>25</v>
      </c>
      <c r="K2908" s="1">
        <v>20.0</v>
      </c>
      <c r="N2908" s="5">
        <v>44260.0</v>
      </c>
      <c r="Q2908" s="1" t="s">
        <v>55</v>
      </c>
    </row>
    <row r="2909">
      <c r="A2909" s="1">
        <v>2908.0</v>
      </c>
      <c r="B2909" s="1" t="s">
        <v>5101</v>
      </c>
      <c r="C2909" s="1" t="s">
        <v>25</v>
      </c>
      <c r="K2909" s="1">
        <v>90.0</v>
      </c>
      <c r="N2909" s="5">
        <v>43857.0</v>
      </c>
      <c r="Q2909" s="1" t="s">
        <v>5102</v>
      </c>
    </row>
    <row r="2910">
      <c r="A2910" s="1">
        <v>2909.0</v>
      </c>
      <c r="B2910" s="1" t="s">
        <v>5103</v>
      </c>
      <c r="C2910" s="1" t="s">
        <v>25</v>
      </c>
      <c r="K2910" s="1">
        <v>100.0</v>
      </c>
      <c r="N2910" s="5">
        <v>45206.0</v>
      </c>
      <c r="Q2910" s="1" t="s">
        <v>5104</v>
      </c>
    </row>
    <row r="2911">
      <c r="A2911" s="1">
        <v>2910.0</v>
      </c>
      <c r="B2911" s="1" t="s">
        <v>5105</v>
      </c>
      <c r="C2911" s="1" t="s">
        <v>25</v>
      </c>
      <c r="K2911" s="1">
        <v>150.0</v>
      </c>
      <c r="N2911" s="5">
        <v>44230.0</v>
      </c>
      <c r="Q2911" s="1" t="s">
        <v>80</v>
      </c>
    </row>
    <row r="2912">
      <c r="A2912" s="1">
        <v>2911.0</v>
      </c>
      <c r="B2912" s="1" t="s">
        <v>5106</v>
      </c>
      <c r="C2912" s="1" t="s">
        <v>25</v>
      </c>
      <c r="N2912" s="5">
        <v>42453.0</v>
      </c>
      <c r="O2912" s="1" t="s">
        <v>1596</v>
      </c>
      <c r="P2912" s="1" t="s">
        <v>36</v>
      </c>
      <c r="Q2912" s="1" t="s">
        <v>55</v>
      </c>
      <c r="S2912" s="1" t="s">
        <v>40</v>
      </c>
    </row>
    <row r="2913">
      <c r="A2913" s="1">
        <v>2912.0</v>
      </c>
      <c r="B2913" s="1" t="s">
        <v>5107</v>
      </c>
      <c r="C2913" s="1" t="s">
        <v>25</v>
      </c>
      <c r="K2913" s="1">
        <v>200.0</v>
      </c>
      <c r="N2913" s="5">
        <v>44689.0</v>
      </c>
      <c r="Q2913" s="1" t="s">
        <v>5108</v>
      </c>
    </row>
    <row r="2914">
      <c r="A2914" s="1">
        <v>2913.0</v>
      </c>
      <c r="B2914" s="1" t="s">
        <v>5109</v>
      </c>
      <c r="C2914" s="1" t="s">
        <v>25</v>
      </c>
      <c r="K2914" s="1">
        <v>30.0</v>
      </c>
      <c r="N2914" s="5">
        <v>45662.0</v>
      </c>
      <c r="Q2914" s="1" t="s">
        <v>5110</v>
      </c>
    </row>
    <row r="2915">
      <c r="A2915" s="1">
        <v>2914.0</v>
      </c>
      <c r="B2915" s="1" t="s">
        <v>5111</v>
      </c>
      <c r="C2915" s="1" t="s">
        <v>25</v>
      </c>
      <c r="N2915" s="5">
        <v>44284.0</v>
      </c>
      <c r="Q2915" s="1" t="s">
        <v>55</v>
      </c>
    </row>
    <row r="2916">
      <c r="A2916" s="1">
        <v>2915.0</v>
      </c>
      <c r="B2916" s="1" t="s">
        <v>5112</v>
      </c>
      <c r="C2916" s="1" t="s">
        <v>25</v>
      </c>
      <c r="K2916" s="1">
        <v>100.0</v>
      </c>
      <c r="N2916" s="5">
        <v>45782.0</v>
      </c>
      <c r="Q2916" s="1" t="s">
        <v>4431</v>
      </c>
    </row>
    <row r="2917">
      <c r="A2917" s="1">
        <v>2916.0</v>
      </c>
      <c r="B2917" s="1" t="s">
        <v>5113</v>
      </c>
      <c r="C2917" s="1" t="s">
        <v>25</v>
      </c>
      <c r="K2917" s="1">
        <v>100.0</v>
      </c>
      <c r="N2917" s="5">
        <v>43932.0</v>
      </c>
      <c r="Q2917" s="1" t="s">
        <v>1426</v>
      </c>
    </row>
    <row r="2918">
      <c r="A2918" s="1">
        <v>2917.0</v>
      </c>
      <c r="B2918" s="1" t="s">
        <v>5114</v>
      </c>
      <c r="C2918" s="1" t="s">
        <v>25</v>
      </c>
      <c r="K2918" s="1">
        <v>500.0</v>
      </c>
      <c r="N2918" s="5">
        <v>43841.0</v>
      </c>
      <c r="Q2918" s="1" t="s">
        <v>5115</v>
      </c>
    </row>
    <row r="2919">
      <c r="A2919" s="1">
        <v>2918.0</v>
      </c>
      <c r="B2919" s="1" t="s">
        <v>5116</v>
      </c>
      <c r="C2919" s="1" t="s">
        <v>25</v>
      </c>
      <c r="K2919" s="1">
        <v>100.0</v>
      </c>
      <c r="N2919" s="5">
        <v>43887.0</v>
      </c>
      <c r="Q2919" s="1" t="s">
        <v>2438</v>
      </c>
    </row>
    <row r="2920">
      <c r="A2920" s="1">
        <v>2919.0</v>
      </c>
      <c r="B2920" s="1" t="s">
        <v>5117</v>
      </c>
      <c r="C2920" s="1" t="s">
        <v>25</v>
      </c>
      <c r="N2920" s="5">
        <v>44113.0</v>
      </c>
      <c r="Q2920" s="1" t="s">
        <v>55</v>
      </c>
    </row>
    <row r="2921">
      <c r="A2921" s="1">
        <v>2920.0</v>
      </c>
      <c r="B2921" s="1" t="s">
        <v>3914</v>
      </c>
      <c r="C2921" s="1" t="s">
        <v>25</v>
      </c>
      <c r="K2921" s="1">
        <v>40.0</v>
      </c>
      <c r="N2921" s="5">
        <v>45606.0</v>
      </c>
      <c r="Q2921" s="1" t="s">
        <v>5118</v>
      </c>
    </row>
    <row r="2922">
      <c r="A2922" s="1">
        <v>2921.0</v>
      </c>
      <c r="B2922" s="1" t="s">
        <v>5119</v>
      </c>
      <c r="C2922" s="1" t="s">
        <v>25</v>
      </c>
      <c r="K2922" s="1">
        <v>20.0</v>
      </c>
      <c r="N2922" s="5">
        <v>45159.0</v>
      </c>
      <c r="Q2922" s="1" t="s">
        <v>5120</v>
      </c>
    </row>
    <row r="2923">
      <c r="A2923" s="1">
        <v>2922.0</v>
      </c>
      <c r="B2923" s="1" t="s">
        <v>5121</v>
      </c>
      <c r="C2923" s="1" t="s">
        <v>25</v>
      </c>
      <c r="K2923" s="1">
        <v>20.0</v>
      </c>
      <c r="N2923" s="5">
        <v>43947.0</v>
      </c>
      <c r="Q2923" s="1" t="s">
        <v>606</v>
      </c>
    </row>
    <row r="2924">
      <c r="A2924" s="1">
        <v>2923.0</v>
      </c>
      <c r="B2924" s="1" t="s">
        <v>5122</v>
      </c>
      <c r="C2924" s="1" t="s">
        <v>25</v>
      </c>
      <c r="K2924" s="1">
        <v>10.0</v>
      </c>
      <c r="N2924" s="5">
        <v>44679.0</v>
      </c>
      <c r="Q2924" s="1" t="s">
        <v>1726</v>
      </c>
    </row>
    <row r="2925">
      <c r="A2925" s="1">
        <v>2924.0</v>
      </c>
      <c r="B2925" s="1" t="s">
        <v>5123</v>
      </c>
      <c r="C2925" s="1" t="s">
        <v>25</v>
      </c>
      <c r="K2925" s="1">
        <v>10.0</v>
      </c>
      <c r="N2925" s="5">
        <v>45319.0</v>
      </c>
      <c r="Q2925" s="1" t="s">
        <v>55</v>
      </c>
    </row>
    <row r="2926">
      <c r="A2926" s="1">
        <v>2925.0</v>
      </c>
      <c r="B2926" s="1" t="s">
        <v>5124</v>
      </c>
      <c r="C2926" s="1" t="s">
        <v>25</v>
      </c>
      <c r="K2926" s="1">
        <v>150.0</v>
      </c>
      <c r="N2926" s="5">
        <v>45664.0</v>
      </c>
      <c r="Q2926" s="1" t="s">
        <v>5125</v>
      </c>
    </row>
    <row r="2927">
      <c r="A2927" s="1">
        <v>2926.0</v>
      </c>
      <c r="B2927" s="1" t="s">
        <v>5126</v>
      </c>
      <c r="C2927" s="1" t="s">
        <v>25</v>
      </c>
      <c r="K2927" s="1">
        <v>60.0</v>
      </c>
      <c r="N2927" s="5">
        <v>43924.0</v>
      </c>
      <c r="Q2927" s="1" t="s">
        <v>55</v>
      </c>
    </row>
    <row r="2928">
      <c r="A2928" s="1">
        <v>2927.0</v>
      </c>
      <c r="B2928" s="1" t="s">
        <v>5127</v>
      </c>
      <c r="C2928" s="1" t="s">
        <v>25</v>
      </c>
      <c r="N2928" s="5">
        <v>45400.0</v>
      </c>
      <c r="Q2928" s="1" t="s">
        <v>5128</v>
      </c>
    </row>
    <row r="2929">
      <c r="A2929" s="1">
        <v>2928.0</v>
      </c>
      <c r="B2929" s="1" t="s">
        <v>5129</v>
      </c>
      <c r="C2929" s="1" t="s">
        <v>25</v>
      </c>
      <c r="K2929" s="1">
        <v>150.0</v>
      </c>
      <c r="N2929" s="5">
        <v>44105.0</v>
      </c>
      <c r="Q2929" s="1" t="s">
        <v>55</v>
      </c>
    </row>
    <row r="2930">
      <c r="A2930" s="1">
        <v>2929.0</v>
      </c>
      <c r="B2930" s="1" t="s">
        <v>5130</v>
      </c>
      <c r="C2930" s="1" t="s">
        <v>25</v>
      </c>
      <c r="K2930" s="1">
        <v>60.0</v>
      </c>
      <c r="N2930" s="5">
        <v>43921.0</v>
      </c>
      <c r="Q2930" s="1" t="s">
        <v>1218</v>
      </c>
    </row>
    <row r="2931">
      <c r="A2931" s="1">
        <v>2930.0</v>
      </c>
      <c r="B2931" s="1" t="s">
        <v>5131</v>
      </c>
      <c r="C2931" s="1" t="s">
        <v>25</v>
      </c>
      <c r="K2931" s="1">
        <v>250.0</v>
      </c>
      <c r="N2931" s="5">
        <v>43899.0</v>
      </c>
      <c r="Q2931" s="1" t="s">
        <v>5132</v>
      </c>
    </row>
    <row r="2932">
      <c r="A2932" s="1">
        <v>2931.0</v>
      </c>
      <c r="B2932" s="1" t="s">
        <v>5133</v>
      </c>
      <c r="C2932" s="1" t="s">
        <v>25</v>
      </c>
      <c r="N2932" s="5">
        <v>44527.0</v>
      </c>
      <c r="Q2932" s="1" t="s">
        <v>55</v>
      </c>
    </row>
    <row r="2933">
      <c r="A2933" s="1">
        <v>2932.0</v>
      </c>
      <c r="B2933" s="1" t="s">
        <v>5134</v>
      </c>
      <c r="C2933" s="1" t="s">
        <v>25</v>
      </c>
      <c r="K2933" s="1">
        <v>150.0</v>
      </c>
      <c r="N2933" s="5">
        <v>44470.0</v>
      </c>
      <c r="Q2933" s="1" t="s">
        <v>5135</v>
      </c>
    </row>
    <row r="2934">
      <c r="A2934" s="1">
        <v>2933.0</v>
      </c>
      <c r="B2934" s="1" t="s">
        <v>5136</v>
      </c>
      <c r="C2934" s="1" t="s">
        <v>25</v>
      </c>
      <c r="N2934" s="5">
        <v>44228.0</v>
      </c>
      <c r="Q2934" s="1" t="s">
        <v>55</v>
      </c>
    </row>
    <row r="2935">
      <c r="A2935" s="1">
        <v>2934.0</v>
      </c>
      <c r="B2935" s="1" t="s">
        <v>5137</v>
      </c>
      <c r="C2935" s="1" t="s">
        <v>25</v>
      </c>
      <c r="K2935" s="1">
        <v>60.0</v>
      </c>
      <c r="N2935" s="5">
        <v>44106.0</v>
      </c>
      <c r="Q2935" s="1" t="s">
        <v>5138</v>
      </c>
    </row>
    <row r="2936">
      <c r="A2936" s="1">
        <v>2935.0</v>
      </c>
      <c r="B2936" s="1" t="s">
        <v>5139</v>
      </c>
      <c r="C2936" s="1" t="s">
        <v>25</v>
      </c>
      <c r="K2936" s="1">
        <v>90.0</v>
      </c>
      <c r="N2936" s="5">
        <v>44678.0</v>
      </c>
      <c r="Q2936" s="1" t="s">
        <v>5140</v>
      </c>
    </row>
    <row r="2937">
      <c r="A2937" s="1">
        <v>2936.0</v>
      </c>
      <c r="B2937" s="1" t="s">
        <v>5141</v>
      </c>
      <c r="C2937" s="1" t="s">
        <v>25</v>
      </c>
      <c r="K2937" s="1">
        <v>40.0</v>
      </c>
      <c r="N2937" s="5">
        <v>44389.0</v>
      </c>
      <c r="Q2937" s="1" t="s">
        <v>55</v>
      </c>
    </row>
    <row r="2938">
      <c r="A2938" s="1">
        <v>2937.0</v>
      </c>
      <c r="B2938" s="1" t="s">
        <v>5142</v>
      </c>
      <c r="C2938" s="1" t="s">
        <v>25</v>
      </c>
      <c r="K2938" s="1">
        <v>80.0</v>
      </c>
      <c r="N2938" s="5">
        <v>43846.0</v>
      </c>
      <c r="Q2938" s="1" t="s">
        <v>5143</v>
      </c>
    </row>
    <row r="2939">
      <c r="A2939" s="1">
        <v>2938.0</v>
      </c>
      <c r="B2939" s="1" t="s">
        <v>5144</v>
      </c>
      <c r="C2939" s="1" t="s">
        <v>25</v>
      </c>
      <c r="K2939" s="1">
        <v>70.0</v>
      </c>
      <c r="N2939" s="5">
        <v>44746.0</v>
      </c>
      <c r="Q2939" s="1" t="s">
        <v>5145</v>
      </c>
    </row>
    <row r="2940">
      <c r="A2940" s="1">
        <v>2939.0</v>
      </c>
      <c r="B2940" s="1" t="s">
        <v>5146</v>
      </c>
      <c r="C2940" s="1" t="s">
        <v>25</v>
      </c>
      <c r="K2940" s="1">
        <v>20.0</v>
      </c>
      <c r="N2940" s="5">
        <v>44749.0</v>
      </c>
      <c r="Q2940" s="1" t="s">
        <v>2931</v>
      </c>
    </row>
    <row r="2941">
      <c r="A2941" s="1">
        <v>2940.0</v>
      </c>
      <c r="B2941" s="1" t="s">
        <v>5147</v>
      </c>
      <c r="C2941" s="1" t="s">
        <v>25</v>
      </c>
      <c r="N2941" s="5">
        <v>43970.0</v>
      </c>
      <c r="Q2941" s="1" t="s">
        <v>55</v>
      </c>
    </row>
    <row r="2942">
      <c r="A2942" s="1">
        <v>2941.0</v>
      </c>
      <c r="B2942" s="1" t="s">
        <v>5148</v>
      </c>
      <c r="C2942" s="1" t="s">
        <v>25</v>
      </c>
      <c r="K2942" s="1">
        <v>30.0</v>
      </c>
      <c r="N2942" s="5">
        <v>44200.0</v>
      </c>
      <c r="Q2942" s="1" t="s">
        <v>125</v>
      </c>
    </row>
    <row r="2943">
      <c r="A2943" s="1">
        <v>2942.0</v>
      </c>
      <c r="B2943" s="1" t="s">
        <v>5149</v>
      </c>
      <c r="C2943" s="1" t="s">
        <v>25</v>
      </c>
      <c r="K2943" s="1">
        <v>50.0</v>
      </c>
      <c r="N2943" s="5">
        <v>44260.0</v>
      </c>
      <c r="Q2943" s="1" t="s">
        <v>5150</v>
      </c>
    </row>
    <row r="2944">
      <c r="A2944" s="1">
        <v>2943.0</v>
      </c>
      <c r="B2944" s="1" t="s">
        <v>5151</v>
      </c>
      <c r="C2944" s="1" t="s">
        <v>25</v>
      </c>
      <c r="K2944" s="1">
        <v>30.0</v>
      </c>
      <c r="N2944" s="5">
        <v>45094.0</v>
      </c>
      <c r="Q2944" s="1" t="s">
        <v>5152</v>
      </c>
    </row>
    <row r="2945">
      <c r="A2945" s="1">
        <v>2944.0</v>
      </c>
      <c r="B2945" s="1" t="s">
        <v>5153</v>
      </c>
      <c r="C2945" s="1" t="s">
        <v>25</v>
      </c>
      <c r="K2945" s="1">
        <v>10.0</v>
      </c>
      <c r="N2945" s="5">
        <v>43940.0</v>
      </c>
      <c r="Q2945" s="1" t="s">
        <v>55</v>
      </c>
    </row>
    <row r="2946">
      <c r="A2946" s="1">
        <v>2945.0</v>
      </c>
      <c r="B2946" s="1" t="s">
        <v>5154</v>
      </c>
      <c r="C2946" s="1" t="s">
        <v>25</v>
      </c>
      <c r="K2946" s="1">
        <v>30.0</v>
      </c>
      <c r="N2946" s="5">
        <v>44713.0</v>
      </c>
      <c r="Q2946" s="1" t="s">
        <v>5155</v>
      </c>
    </row>
    <row r="2947">
      <c r="A2947" s="1">
        <v>2946.0</v>
      </c>
      <c r="B2947" s="1" t="s">
        <v>5156</v>
      </c>
      <c r="C2947" s="1" t="s">
        <v>25</v>
      </c>
      <c r="K2947" s="1">
        <v>10.0</v>
      </c>
      <c r="N2947" s="5">
        <v>45162.0</v>
      </c>
      <c r="Q2947" s="1" t="s">
        <v>1218</v>
      </c>
    </row>
    <row r="2948">
      <c r="A2948" s="1">
        <v>2947.0</v>
      </c>
      <c r="B2948" s="1" t="s">
        <v>5157</v>
      </c>
      <c r="C2948" s="1" t="s">
        <v>25</v>
      </c>
      <c r="K2948" s="1">
        <v>150.0</v>
      </c>
      <c r="N2948" s="5">
        <v>43846.0</v>
      </c>
      <c r="Q2948" s="1" t="s">
        <v>5158</v>
      </c>
    </row>
    <row r="2949">
      <c r="A2949" s="1">
        <v>2948.0</v>
      </c>
      <c r="B2949" s="1" t="s">
        <v>5159</v>
      </c>
      <c r="C2949" s="1" t="s">
        <v>25</v>
      </c>
      <c r="K2949" s="1">
        <v>20.0</v>
      </c>
      <c r="N2949" s="5">
        <v>45708.0</v>
      </c>
      <c r="Q2949" s="1" t="s">
        <v>5160</v>
      </c>
    </row>
    <row r="2950">
      <c r="A2950" s="1">
        <v>2949.0</v>
      </c>
      <c r="B2950" s="1" t="s">
        <v>5161</v>
      </c>
      <c r="C2950" s="1" t="s">
        <v>25</v>
      </c>
      <c r="K2950" s="1">
        <v>150.0</v>
      </c>
      <c r="N2950" s="5">
        <v>43970.0</v>
      </c>
      <c r="Q2950" s="1" t="s">
        <v>569</v>
      </c>
    </row>
    <row r="2951">
      <c r="A2951" s="1">
        <v>2950.0</v>
      </c>
      <c r="B2951" s="1" t="s">
        <v>5162</v>
      </c>
      <c r="C2951" s="1" t="s">
        <v>25</v>
      </c>
      <c r="K2951" s="1">
        <v>80.0</v>
      </c>
      <c r="N2951" s="5">
        <v>45641.0</v>
      </c>
      <c r="Q2951" s="1" t="s">
        <v>5163</v>
      </c>
    </row>
    <row r="2952">
      <c r="A2952" s="1">
        <v>2951.0</v>
      </c>
      <c r="B2952" s="1" t="s">
        <v>5164</v>
      </c>
      <c r="C2952" s="1" t="s">
        <v>25</v>
      </c>
      <c r="K2952" s="1">
        <v>250.0</v>
      </c>
      <c r="N2952" s="5">
        <v>43844.0</v>
      </c>
      <c r="Q2952" s="1" t="s">
        <v>5165</v>
      </c>
    </row>
    <row r="2953">
      <c r="A2953" s="1">
        <v>2952.0</v>
      </c>
      <c r="B2953" s="1" t="s">
        <v>5166</v>
      </c>
      <c r="C2953" s="1" t="s">
        <v>25</v>
      </c>
      <c r="K2953" s="1">
        <v>20.0</v>
      </c>
      <c r="N2953" s="5">
        <v>44574.0</v>
      </c>
      <c r="Q2953" s="1" t="s">
        <v>278</v>
      </c>
    </row>
    <row r="2954">
      <c r="A2954" s="1">
        <v>2953.0</v>
      </c>
      <c r="B2954" s="1" t="s">
        <v>5167</v>
      </c>
      <c r="C2954" s="1" t="s">
        <v>25</v>
      </c>
      <c r="K2954" s="1">
        <v>60.0</v>
      </c>
      <c r="N2954" s="5">
        <v>44088.0</v>
      </c>
      <c r="Q2954" s="1" t="s">
        <v>5168</v>
      </c>
    </row>
    <row r="2955">
      <c r="A2955" s="1">
        <v>2954.0</v>
      </c>
      <c r="B2955" s="1" t="s">
        <v>5169</v>
      </c>
      <c r="C2955" s="1" t="s">
        <v>25</v>
      </c>
      <c r="K2955" s="1">
        <v>50.0</v>
      </c>
      <c r="N2955" s="5">
        <v>45437.0</v>
      </c>
      <c r="Q2955" s="1" t="s">
        <v>1218</v>
      </c>
    </row>
    <row r="2956">
      <c r="A2956" s="1">
        <v>2955.0</v>
      </c>
      <c r="B2956" s="1" t="s">
        <v>5170</v>
      </c>
      <c r="C2956" s="1" t="s">
        <v>25</v>
      </c>
      <c r="K2956" s="1">
        <v>30.0</v>
      </c>
      <c r="N2956" s="5">
        <v>44133.0</v>
      </c>
      <c r="Q2956" s="1" t="s">
        <v>55</v>
      </c>
    </row>
    <row r="2957">
      <c r="A2957" s="1">
        <v>2956.0</v>
      </c>
      <c r="B2957" s="1" t="s">
        <v>5171</v>
      </c>
      <c r="C2957" s="1" t="s">
        <v>25</v>
      </c>
      <c r="K2957" s="1">
        <v>250.0</v>
      </c>
      <c r="N2957" s="5">
        <v>43922.0</v>
      </c>
      <c r="Q2957" s="1" t="s">
        <v>5172</v>
      </c>
    </row>
    <row r="2958">
      <c r="A2958" s="1">
        <v>2957.0</v>
      </c>
      <c r="B2958" s="1" t="s">
        <v>5173</v>
      </c>
      <c r="C2958" s="1" t="s">
        <v>25</v>
      </c>
      <c r="K2958" s="1">
        <v>100.0</v>
      </c>
      <c r="N2958" s="5">
        <v>44406.0</v>
      </c>
      <c r="Q2958" s="1" t="s">
        <v>5174</v>
      </c>
    </row>
    <row r="2959">
      <c r="A2959" s="1">
        <v>2958.0</v>
      </c>
      <c r="B2959" s="1" t="s">
        <v>5175</v>
      </c>
      <c r="C2959" s="1" t="s">
        <v>25</v>
      </c>
      <c r="K2959" s="1">
        <v>20.0</v>
      </c>
      <c r="N2959" s="5">
        <v>45649.0</v>
      </c>
      <c r="Q2959" s="1" t="s">
        <v>5176</v>
      </c>
    </row>
    <row r="2960">
      <c r="A2960" s="1">
        <v>2959.0</v>
      </c>
      <c r="B2960" s="1" t="s">
        <v>5177</v>
      </c>
      <c r="C2960" s="1" t="s">
        <v>25</v>
      </c>
      <c r="N2960" s="5">
        <v>44472.0</v>
      </c>
      <c r="Q2960" s="1" t="s">
        <v>55</v>
      </c>
    </row>
    <row r="2961">
      <c r="A2961" s="1">
        <v>2960.0</v>
      </c>
      <c r="B2961" s="1" t="s">
        <v>5178</v>
      </c>
      <c r="C2961" s="1" t="s">
        <v>25</v>
      </c>
      <c r="K2961" s="1">
        <v>200.0</v>
      </c>
      <c r="N2961" s="5">
        <v>43901.0</v>
      </c>
      <c r="Q2961" s="1" t="s">
        <v>5179</v>
      </c>
    </row>
    <row r="2962">
      <c r="A2962" s="1">
        <v>2961.0</v>
      </c>
      <c r="B2962" s="1" t="s">
        <v>5180</v>
      </c>
      <c r="C2962" s="1" t="s">
        <v>25</v>
      </c>
      <c r="K2962" s="1">
        <v>40.0</v>
      </c>
      <c r="N2962" s="5">
        <v>44784.0</v>
      </c>
      <c r="Q2962" s="1" t="s">
        <v>569</v>
      </c>
    </row>
    <row r="2963">
      <c r="A2963" s="1">
        <v>2962.0</v>
      </c>
      <c r="B2963" s="1" t="s">
        <v>5181</v>
      </c>
      <c r="C2963" s="1" t="s">
        <v>25</v>
      </c>
      <c r="K2963" s="1">
        <v>150.0</v>
      </c>
      <c r="N2963" s="5">
        <v>44217.0</v>
      </c>
      <c r="Q2963" s="1" t="s">
        <v>5182</v>
      </c>
    </row>
    <row r="2964">
      <c r="A2964" s="1">
        <v>2963.0</v>
      </c>
      <c r="B2964" s="1" t="s">
        <v>5183</v>
      </c>
      <c r="C2964" s="1" t="s">
        <v>25</v>
      </c>
      <c r="K2964" s="1">
        <v>40.0</v>
      </c>
      <c r="N2964" s="5">
        <v>44375.0</v>
      </c>
      <c r="Q2964" s="1" t="s">
        <v>1948</v>
      </c>
    </row>
    <row r="2965">
      <c r="A2965" s="1">
        <v>2964.0</v>
      </c>
      <c r="B2965" s="1" t="s">
        <v>5184</v>
      </c>
      <c r="C2965" s="1" t="s">
        <v>25</v>
      </c>
      <c r="K2965" s="1">
        <v>500.0</v>
      </c>
      <c r="N2965" s="5">
        <v>45312.0</v>
      </c>
      <c r="Q2965" s="1" t="s">
        <v>1616</v>
      </c>
    </row>
    <row r="2966">
      <c r="A2966" s="1">
        <v>2965.0</v>
      </c>
      <c r="B2966" s="1" t="s">
        <v>5185</v>
      </c>
      <c r="C2966" s="1" t="s">
        <v>25</v>
      </c>
      <c r="N2966" s="5">
        <v>43935.0</v>
      </c>
      <c r="Q2966" s="1" t="s">
        <v>55</v>
      </c>
    </row>
    <row r="2967">
      <c r="A2967" s="1">
        <v>2966.0</v>
      </c>
      <c r="B2967" s="1" t="s">
        <v>5186</v>
      </c>
      <c r="C2967" s="1" t="s">
        <v>25</v>
      </c>
      <c r="K2967" s="1">
        <v>100.0</v>
      </c>
      <c r="N2967" s="5">
        <v>45300.0</v>
      </c>
      <c r="Q2967" s="1" t="s">
        <v>5187</v>
      </c>
    </row>
    <row r="2968">
      <c r="A2968" s="1">
        <v>2967.0</v>
      </c>
      <c r="B2968" s="1" t="s">
        <v>5188</v>
      </c>
      <c r="C2968" s="1" t="s">
        <v>25</v>
      </c>
      <c r="K2968" s="1">
        <v>150.0</v>
      </c>
      <c r="N2968" s="5">
        <v>44789.0</v>
      </c>
      <c r="Q2968" s="1" t="s">
        <v>5189</v>
      </c>
    </row>
    <row r="2969">
      <c r="A2969" s="1">
        <v>2968.0</v>
      </c>
      <c r="B2969" s="1" t="s">
        <v>5190</v>
      </c>
      <c r="C2969" s="1" t="s">
        <v>25</v>
      </c>
      <c r="N2969" s="5">
        <v>42503.0</v>
      </c>
      <c r="Q2969" s="1" t="s">
        <v>55</v>
      </c>
    </row>
    <row r="2970">
      <c r="A2970" s="1">
        <v>2969.0</v>
      </c>
      <c r="B2970" s="1" t="s">
        <v>5191</v>
      </c>
      <c r="C2970" s="1" t="s">
        <v>25</v>
      </c>
      <c r="K2970" s="1">
        <v>100.0</v>
      </c>
      <c r="N2970" s="5">
        <v>44188.0</v>
      </c>
      <c r="Q2970" s="1" t="s">
        <v>1066</v>
      </c>
    </row>
    <row r="2971">
      <c r="A2971" s="1">
        <v>2970.0</v>
      </c>
      <c r="B2971" s="1" t="s">
        <v>5192</v>
      </c>
      <c r="C2971" s="1" t="s">
        <v>25</v>
      </c>
      <c r="N2971" s="5">
        <v>44970.0</v>
      </c>
      <c r="Q2971" s="1" t="s">
        <v>55</v>
      </c>
    </row>
    <row r="2972">
      <c r="A2972" s="1">
        <v>2971.0</v>
      </c>
      <c r="B2972" s="1" t="s">
        <v>5193</v>
      </c>
      <c r="C2972" s="1" t="s">
        <v>25</v>
      </c>
      <c r="K2972" s="1">
        <v>150.0</v>
      </c>
      <c r="N2972" s="5">
        <v>44442.0</v>
      </c>
      <c r="Q2972" s="1" t="s">
        <v>5194</v>
      </c>
    </row>
    <row r="2973">
      <c r="A2973" s="1">
        <v>2972.0</v>
      </c>
      <c r="B2973" s="1" t="s">
        <v>5195</v>
      </c>
      <c r="C2973" s="1" t="s">
        <v>25</v>
      </c>
      <c r="K2973" s="1">
        <v>20.0</v>
      </c>
      <c r="N2973" s="5">
        <v>44917.0</v>
      </c>
      <c r="Q2973" s="1" t="s">
        <v>55</v>
      </c>
    </row>
    <row r="2974">
      <c r="A2974" s="1">
        <v>2973.0</v>
      </c>
      <c r="B2974" s="1" t="s">
        <v>5196</v>
      </c>
      <c r="C2974" s="1" t="s">
        <v>25</v>
      </c>
      <c r="K2974" s="1">
        <v>100.0</v>
      </c>
      <c r="N2974" s="5">
        <v>44448.0</v>
      </c>
      <c r="Q2974" s="1" t="s">
        <v>5197</v>
      </c>
    </row>
    <row r="2975">
      <c r="A2975" s="1">
        <v>2974.0</v>
      </c>
      <c r="B2975" s="1" t="s">
        <v>5198</v>
      </c>
      <c r="C2975" s="1" t="s">
        <v>25</v>
      </c>
      <c r="K2975" s="1">
        <v>150.0</v>
      </c>
      <c r="N2975" s="5">
        <v>43908.0</v>
      </c>
      <c r="Q2975" s="1" t="s">
        <v>5199</v>
      </c>
    </row>
    <row r="2976">
      <c r="A2976" s="1">
        <v>2975.0</v>
      </c>
      <c r="B2976" s="1" t="s">
        <v>5200</v>
      </c>
      <c r="C2976" s="1" t="s">
        <v>25</v>
      </c>
      <c r="N2976" s="5">
        <v>43868.0</v>
      </c>
      <c r="Q2976" s="1" t="s">
        <v>55</v>
      </c>
    </row>
    <row r="2977">
      <c r="A2977" s="1">
        <v>2976.0</v>
      </c>
      <c r="B2977" s="1" t="s">
        <v>5201</v>
      </c>
      <c r="C2977" s="1" t="s">
        <v>25</v>
      </c>
      <c r="K2977" s="1">
        <v>150.0</v>
      </c>
      <c r="N2977" s="5">
        <v>44251.0</v>
      </c>
      <c r="Q2977" s="1" t="s">
        <v>5202</v>
      </c>
    </row>
    <row r="2978">
      <c r="A2978" s="1">
        <v>2977.0</v>
      </c>
      <c r="B2978" s="1" t="s">
        <v>5203</v>
      </c>
      <c r="C2978" s="1" t="s">
        <v>25</v>
      </c>
      <c r="K2978" s="1">
        <v>350.0</v>
      </c>
      <c r="N2978" s="5">
        <v>43841.0</v>
      </c>
      <c r="Q2978" s="1" t="s">
        <v>5204</v>
      </c>
    </row>
    <row r="2979">
      <c r="A2979" s="1">
        <v>2978.0</v>
      </c>
      <c r="B2979" s="1" t="s">
        <v>5205</v>
      </c>
      <c r="C2979" s="1" t="s">
        <v>25</v>
      </c>
      <c r="N2979" s="5">
        <v>43931.0</v>
      </c>
      <c r="Q2979" s="1" t="s">
        <v>55</v>
      </c>
    </row>
    <row r="2980">
      <c r="A2980" s="1">
        <v>2979.0</v>
      </c>
      <c r="B2980" s="1" t="s">
        <v>5206</v>
      </c>
      <c r="C2980" s="1" t="s">
        <v>25</v>
      </c>
      <c r="K2980" s="1">
        <v>40.0</v>
      </c>
      <c r="N2980" s="5">
        <v>44356.0</v>
      </c>
      <c r="Q2980" s="1" t="s">
        <v>606</v>
      </c>
    </row>
    <row r="2981">
      <c r="A2981" s="1">
        <v>2980.0</v>
      </c>
      <c r="B2981" s="1" t="s">
        <v>5207</v>
      </c>
      <c r="C2981" s="1" t="s">
        <v>25</v>
      </c>
      <c r="K2981" s="1">
        <v>60.0</v>
      </c>
      <c r="N2981" s="5">
        <v>45654.0</v>
      </c>
      <c r="Q2981" s="1" t="s">
        <v>5208</v>
      </c>
    </row>
    <row r="2982">
      <c r="A2982" s="1">
        <v>2981.0</v>
      </c>
      <c r="B2982" s="1" t="s">
        <v>5209</v>
      </c>
      <c r="C2982" s="1" t="s">
        <v>25</v>
      </c>
      <c r="N2982" s="5">
        <v>44723.0</v>
      </c>
      <c r="Q2982" s="1" t="s">
        <v>55</v>
      </c>
    </row>
    <row r="2983">
      <c r="A2983" s="1">
        <v>2982.0</v>
      </c>
      <c r="B2983" s="1" t="s">
        <v>5210</v>
      </c>
      <c r="C2983" s="1" t="s">
        <v>25</v>
      </c>
      <c r="N2983" s="5">
        <v>46103.0</v>
      </c>
      <c r="Q2983" s="1" t="s">
        <v>5211</v>
      </c>
    </row>
    <row r="2984">
      <c r="A2984" s="1">
        <v>2983.0</v>
      </c>
      <c r="B2984" s="1" t="s">
        <v>5212</v>
      </c>
      <c r="C2984" s="1" t="s">
        <v>25</v>
      </c>
      <c r="K2984" s="1">
        <v>150.0</v>
      </c>
      <c r="N2984" s="5">
        <v>45638.0</v>
      </c>
      <c r="Q2984" s="1" t="s">
        <v>5213</v>
      </c>
    </row>
    <row r="2985">
      <c r="A2985" s="1">
        <v>2984.0</v>
      </c>
      <c r="B2985" s="1" t="s">
        <v>5214</v>
      </c>
      <c r="C2985" s="1" t="s">
        <v>25</v>
      </c>
      <c r="N2985" s="5">
        <v>45681.0</v>
      </c>
      <c r="Q2985" s="1" t="s">
        <v>5215</v>
      </c>
    </row>
    <row r="2986">
      <c r="A2986" s="1">
        <v>2985.0</v>
      </c>
      <c r="B2986" s="1" t="s">
        <v>5216</v>
      </c>
      <c r="C2986" s="1" t="s">
        <v>25</v>
      </c>
      <c r="N2986" s="5">
        <v>44334.0</v>
      </c>
      <c r="Q2986" s="1" t="s">
        <v>55</v>
      </c>
    </row>
    <row r="2987">
      <c r="A2987" s="1">
        <v>2986.0</v>
      </c>
      <c r="B2987" s="1" t="s">
        <v>5217</v>
      </c>
      <c r="C2987" s="1" t="s">
        <v>25</v>
      </c>
      <c r="N2987" s="5">
        <v>44549.0</v>
      </c>
      <c r="Q2987" s="1" t="s">
        <v>55</v>
      </c>
    </row>
    <row r="2988">
      <c r="A2988" s="1">
        <v>2987.0</v>
      </c>
      <c r="B2988" s="1" t="s">
        <v>5218</v>
      </c>
      <c r="C2988" s="1" t="s">
        <v>25</v>
      </c>
      <c r="K2988" s="1">
        <v>10.0</v>
      </c>
      <c r="N2988" s="5">
        <v>45193.0</v>
      </c>
      <c r="Q2988" s="1" t="s">
        <v>55</v>
      </c>
    </row>
    <row r="2989">
      <c r="A2989" s="1">
        <v>2988.0</v>
      </c>
      <c r="B2989" s="1" t="s">
        <v>5219</v>
      </c>
      <c r="C2989" s="1" t="s">
        <v>25</v>
      </c>
      <c r="N2989" s="5">
        <v>42275.0</v>
      </c>
      <c r="Q2989" s="1" t="s">
        <v>55</v>
      </c>
    </row>
    <row r="2990">
      <c r="A2990" s="1">
        <v>2989.0</v>
      </c>
      <c r="B2990" s="1" t="s">
        <v>5220</v>
      </c>
      <c r="C2990" s="1" t="s">
        <v>25</v>
      </c>
      <c r="N2990" s="5">
        <v>44605.0</v>
      </c>
      <c r="Q2990" s="1" t="s">
        <v>55</v>
      </c>
    </row>
    <row r="2991">
      <c r="A2991" s="1">
        <v>2990.0</v>
      </c>
      <c r="B2991" s="1" t="s">
        <v>5221</v>
      </c>
      <c r="C2991" s="1" t="s">
        <v>25</v>
      </c>
      <c r="K2991" s="1">
        <v>10.0</v>
      </c>
      <c r="N2991" s="5">
        <v>44335.0</v>
      </c>
      <c r="Q2991" s="1" t="s">
        <v>55</v>
      </c>
    </row>
    <row r="2992">
      <c r="A2992" s="1">
        <v>2991.0</v>
      </c>
      <c r="B2992" s="1" t="s">
        <v>5222</v>
      </c>
      <c r="C2992" s="1" t="s">
        <v>25</v>
      </c>
      <c r="K2992" s="1">
        <v>80.0</v>
      </c>
      <c r="N2992" s="5">
        <v>45471.0</v>
      </c>
      <c r="Q2992" s="1" t="s">
        <v>4065</v>
      </c>
    </row>
    <row r="2993">
      <c r="A2993" s="1">
        <v>2992.0</v>
      </c>
      <c r="B2993" s="1" t="s">
        <v>5223</v>
      </c>
      <c r="C2993" s="1" t="s">
        <v>25</v>
      </c>
      <c r="K2993" s="1">
        <v>10.0</v>
      </c>
      <c r="N2993" s="5">
        <v>44897.0</v>
      </c>
      <c r="Q2993" s="1" t="s">
        <v>5224</v>
      </c>
    </row>
    <row r="2994">
      <c r="A2994" s="1">
        <v>2993.0</v>
      </c>
      <c r="B2994" s="1" t="s">
        <v>5225</v>
      </c>
      <c r="C2994" s="1" t="s">
        <v>25</v>
      </c>
      <c r="K2994" s="1">
        <v>60.0</v>
      </c>
      <c r="N2994" s="5">
        <v>45760.0</v>
      </c>
      <c r="Q2994" s="1" t="s">
        <v>5226</v>
      </c>
    </row>
    <row r="2995">
      <c r="A2995" s="1">
        <v>2994.0</v>
      </c>
      <c r="B2995" s="1" t="s">
        <v>5227</v>
      </c>
      <c r="C2995" s="1" t="s">
        <v>25</v>
      </c>
      <c r="N2995" s="5">
        <v>44616.0</v>
      </c>
      <c r="Q2995" s="1" t="s">
        <v>55</v>
      </c>
    </row>
    <row r="2996">
      <c r="A2996" s="1">
        <v>2995.0</v>
      </c>
      <c r="B2996" s="1" t="s">
        <v>5228</v>
      </c>
      <c r="C2996" s="1" t="s">
        <v>25</v>
      </c>
      <c r="K2996" s="1">
        <v>20.0</v>
      </c>
      <c r="N2996" s="5">
        <v>44400.0</v>
      </c>
      <c r="Q2996" s="1" t="s">
        <v>5229</v>
      </c>
    </row>
    <row r="2997">
      <c r="A2997" s="1">
        <v>2996.0</v>
      </c>
      <c r="B2997" s="1" t="s">
        <v>5230</v>
      </c>
      <c r="C2997" s="1" t="s">
        <v>25</v>
      </c>
      <c r="K2997" s="1">
        <v>60.0</v>
      </c>
      <c r="N2997" s="5">
        <v>44432.0</v>
      </c>
      <c r="Q2997" s="1" t="s">
        <v>5231</v>
      </c>
    </row>
    <row r="2998">
      <c r="A2998" s="1">
        <v>2997.0</v>
      </c>
      <c r="B2998" s="1" t="s">
        <v>5232</v>
      </c>
      <c r="C2998" s="1" t="s">
        <v>25</v>
      </c>
      <c r="K2998" s="1">
        <v>100.0</v>
      </c>
      <c r="N2998" s="5">
        <v>44321.0</v>
      </c>
      <c r="Q2998" s="1" t="s">
        <v>5233</v>
      </c>
    </row>
    <row r="2999">
      <c r="A2999" s="1">
        <v>2998.0</v>
      </c>
      <c r="B2999" s="1" t="s">
        <v>5234</v>
      </c>
      <c r="C2999" s="1" t="s">
        <v>25</v>
      </c>
      <c r="N2999" s="5">
        <v>44271.0</v>
      </c>
      <c r="Q2999" s="1" t="s">
        <v>55</v>
      </c>
    </row>
    <row r="3000">
      <c r="A3000" s="1">
        <v>2999.0</v>
      </c>
      <c r="B3000" s="1" t="s">
        <v>5235</v>
      </c>
      <c r="C3000" s="1" t="s">
        <v>25</v>
      </c>
      <c r="N3000" s="5">
        <v>44018.0</v>
      </c>
      <c r="Q3000" s="1" t="s">
        <v>55</v>
      </c>
    </row>
    <row r="3001">
      <c r="A3001" s="1">
        <v>3000.0</v>
      </c>
      <c r="B3001" s="1" t="s">
        <v>5236</v>
      </c>
      <c r="C3001" s="1" t="s">
        <v>25</v>
      </c>
      <c r="K3001" s="1">
        <v>40.0</v>
      </c>
      <c r="N3001" s="5">
        <v>45216.0</v>
      </c>
      <c r="Q3001" s="1" t="s">
        <v>606</v>
      </c>
    </row>
    <row r="3002">
      <c r="A3002" s="1">
        <v>3001.0</v>
      </c>
      <c r="B3002" s="1" t="s">
        <v>5237</v>
      </c>
      <c r="C3002" s="1" t="s">
        <v>25</v>
      </c>
      <c r="K3002" s="1">
        <v>20.0</v>
      </c>
      <c r="N3002" s="5">
        <v>44172.0</v>
      </c>
      <c r="Q3002" s="1" t="s">
        <v>5238</v>
      </c>
    </row>
    <row r="3003">
      <c r="A3003" s="1">
        <v>3002.0</v>
      </c>
      <c r="B3003" s="1" t="s">
        <v>5239</v>
      </c>
      <c r="C3003" s="1" t="s">
        <v>25</v>
      </c>
      <c r="N3003" s="5">
        <v>43924.0</v>
      </c>
      <c r="Q3003" s="1" t="s">
        <v>55</v>
      </c>
    </row>
    <row r="3004">
      <c r="A3004" s="1">
        <v>3003.0</v>
      </c>
      <c r="B3004" s="1" t="s">
        <v>5240</v>
      </c>
      <c r="C3004" s="1" t="s">
        <v>25</v>
      </c>
      <c r="K3004" s="1">
        <v>100.0</v>
      </c>
      <c r="N3004" s="5">
        <v>44062.0</v>
      </c>
      <c r="Q3004" s="1" t="s">
        <v>5241</v>
      </c>
    </row>
    <row r="3005">
      <c r="A3005" s="1">
        <v>3004.0</v>
      </c>
      <c r="B3005" s="1" t="s">
        <v>5242</v>
      </c>
      <c r="C3005" s="1" t="s">
        <v>25</v>
      </c>
      <c r="K3005" s="1">
        <v>50.0</v>
      </c>
      <c r="N3005" s="5">
        <v>45098.0</v>
      </c>
      <c r="Q3005" s="1" t="s">
        <v>46</v>
      </c>
    </row>
    <row r="3006">
      <c r="A3006" s="1">
        <v>3005.0</v>
      </c>
      <c r="B3006" s="1" t="s">
        <v>5243</v>
      </c>
      <c r="C3006" s="1" t="s">
        <v>25</v>
      </c>
      <c r="N3006" s="5">
        <v>44585.0</v>
      </c>
      <c r="Q3006" s="1" t="s">
        <v>55</v>
      </c>
    </row>
    <row r="3007">
      <c r="A3007" s="1">
        <v>3006.0</v>
      </c>
      <c r="B3007" s="1" t="s">
        <v>5244</v>
      </c>
      <c r="C3007" s="1" t="s">
        <v>25</v>
      </c>
      <c r="K3007" s="1">
        <v>200.0</v>
      </c>
      <c r="N3007" s="5">
        <v>44842.0</v>
      </c>
      <c r="Q3007" s="1" t="s">
        <v>5245</v>
      </c>
    </row>
    <row r="3008">
      <c r="A3008" s="1">
        <v>3007.0</v>
      </c>
      <c r="B3008" s="1" t="s">
        <v>5246</v>
      </c>
      <c r="C3008" s="1" t="s">
        <v>25</v>
      </c>
      <c r="N3008" s="5">
        <v>43952.0</v>
      </c>
      <c r="Q3008" s="1" t="s">
        <v>55</v>
      </c>
    </row>
    <row r="3009">
      <c r="A3009" s="1">
        <v>3008.0</v>
      </c>
      <c r="B3009" s="1" t="s">
        <v>5247</v>
      </c>
      <c r="C3009" s="1" t="s">
        <v>25</v>
      </c>
      <c r="K3009" s="1">
        <v>80.0</v>
      </c>
      <c r="N3009" s="5">
        <v>43853.0</v>
      </c>
      <c r="Q3009" s="1" t="s">
        <v>5248</v>
      </c>
    </row>
    <row r="3010">
      <c r="A3010" s="1">
        <v>3009.0</v>
      </c>
      <c r="B3010" s="1" t="s">
        <v>5249</v>
      </c>
      <c r="C3010" s="1" t="s">
        <v>25</v>
      </c>
      <c r="K3010" s="1">
        <v>50.0</v>
      </c>
      <c r="N3010" s="5">
        <v>44326.0</v>
      </c>
      <c r="Q3010" s="1" t="s">
        <v>1738</v>
      </c>
    </row>
    <row r="3011">
      <c r="A3011" s="1">
        <v>3010.0</v>
      </c>
      <c r="B3011" s="1" t="s">
        <v>5250</v>
      </c>
      <c r="C3011" s="1" t="s">
        <v>25</v>
      </c>
      <c r="K3011" s="1">
        <v>10.0</v>
      </c>
      <c r="N3011" s="5">
        <v>44331.0</v>
      </c>
      <c r="Q3011" s="1" t="s">
        <v>5251</v>
      </c>
    </row>
    <row r="3012">
      <c r="A3012" s="1">
        <v>3011.0</v>
      </c>
      <c r="B3012" s="1" t="s">
        <v>5252</v>
      </c>
      <c r="C3012" s="1" t="s">
        <v>25</v>
      </c>
      <c r="K3012" s="1">
        <v>40.0</v>
      </c>
      <c r="N3012" s="5">
        <v>44848.0</v>
      </c>
      <c r="Q3012" s="1" t="s">
        <v>5253</v>
      </c>
    </row>
    <row r="3013">
      <c r="A3013" s="1">
        <v>3012.0</v>
      </c>
      <c r="B3013" s="1" t="s">
        <v>5254</v>
      </c>
      <c r="C3013" s="1" t="s">
        <v>25</v>
      </c>
      <c r="K3013" s="1">
        <v>150.0</v>
      </c>
      <c r="N3013" s="5">
        <v>44090.0</v>
      </c>
      <c r="Q3013" s="1" t="s">
        <v>569</v>
      </c>
    </row>
    <row r="3014">
      <c r="A3014" s="1">
        <v>3013.0</v>
      </c>
      <c r="B3014" s="1" t="s">
        <v>5255</v>
      </c>
      <c r="C3014" s="1" t="s">
        <v>25</v>
      </c>
      <c r="N3014" s="5">
        <v>44061.0</v>
      </c>
      <c r="Q3014" s="1" t="s">
        <v>55</v>
      </c>
    </row>
    <row r="3015">
      <c r="A3015" s="1">
        <v>3014.0</v>
      </c>
      <c r="B3015" s="1" t="s">
        <v>5256</v>
      </c>
      <c r="C3015" s="1" t="s">
        <v>25</v>
      </c>
      <c r="K3015" s="1">
        <v>70.0</v>
      </c>
      <c r="N3015" s="5">
        <v>45314.0</v>
      </c>
      <c r="Q3015" s="1" t="s">
        <v>5257</v>
      </c>
    </row>
    <row r="3016">
      <c r="A3016" s="1">
        <v>3015.0</v>
      </c>
      <c r="B3016" s="1" t="s">
        <v>5258</v>
      </c>
      <c r="C3016" s="1" t="s">
        <v>25</v>
      </c>
      <c r="N3016" s="5">
        <v>44068.0</v>
      </c>
      <c r="Q3016" s="1" t="s">
        <v>55</v>
      </c>
    </row>
    <row r="3017">
      <c r="A3017" s="1">
        <v>3016.0</v>
      </c>
      <c r="B3017" s="1" t="s">
        <v>5259</v>
      </c>
      <c r="C3017" s="1" t="s">
        <v>25</v>
      </c>
      <c r="K3017" s="1">
        <v>200.0</v>
      </c>
      <c r="N3017" s="5">
        <v>43905.0</v>
      </c>
      <c r="Q3017" s="1" t="s">
        <v>5260</v>
      </c>
    </row>
    <row r="3018">
      <c r="A3018" s="1">
        <v>3017.0</v>
      </c>
      <c r="B3018" s="1" t="s">
        <v>5261</v>
      </c>
      <c r="C3018" s="1" t="s">
        <v>25</v>
      </c>
      <c r="K3018" s="1">
        <v>10.0</v>
      </c>
      <c r="N3018" s="5">
        <v>44509.0</v>
      </c>
      <c r="Q3018" s="1" t="s">
        <v>2267</v>
      </c>
    </row>
    <row r="3019">
      <c r="A3019" s="1">
        <v>3018.0</v>
      </c>
      <c r="B3019" s="1" t="s">
        <v>5262</v>
      </c>
      <c r="C3019" s="1" t="s">
        <v>25</v>
      </c>
      <c r="K3019" s="1">
        <v>30.0</v>
      </c>
      <c r="N3019" s="5">
        <v>44686.0</v>
      </c>
      <c r="Q3019" s="1" t="s">
        <v>93</v>
      </c>
    </row>
    <row r="3020">
      <c r="A3020" s="1">
        <v>3019.0</v>
      </c>
      <c r="B3020" s="1" t="s">
        <v>5263</v>
      </c>
      <c r="C3020" s="1" t="s">
        <v>25</v>
      </c>
      <c r="K3020" s="1">
        <v>20.0</v>
      </c>
      <c r="N3020" s="5">
        <v>43860.0</v>
      </c>
      <c r="Q3020" s="1" t="s">
        <v>644</v>
      </c>
    </row>
    <row r="3021">
      <c r="A3021" s="1">
        <v>3020.0</v>
      </c>
      <c r="B3021" s="1" t="s">
        <v>5264</v>
      </c>
      <c r="C3021" s="1" t="s">
        <v>25</v>
      </c>
      <c r="K3021" s="1">
        <v>150.0</v>
      </c>
      <c r="N3021" s="5">
        <v>44267.0</v>
      </c>
      <c r="Q3021" s="1" t="s">
        <v>5265</v>
      </c>
    </row>
    <row r="3022">
      <c r="A3022" s="1">
        <v>3021.0</v>
      </c>
      <c r="B3022" s="1" t="s">
        <v>5266</v>
      </c>
      <c r="C3022" s="1" t="s">
        <v>25</v>
      </c>
      <c r="K3022" s="1">
        <v>20.0</v>
      </c>
      <c r="N3022" s="5">
        <v>44732.0</v>
      </c>
      <c r="Q3022" s="1" t="s">
        <v>1066</v>
      </c>
    </row>
    <row r="3023">
      <c r="A3023" s="1">
        <v>3022.0</v>
      </c>
      <c r="B3023" s="1" t="s">
        <v>5267</v>
      </c>
      <c r="C3023" s="1" t="s">
        <v>25</v>
      </c>
      <c r="N3023" s="5">
        <v>44167.0</v>
      </c>
      <c r="Q3023" s="1" t="s">
        <v>55</v>
      </c>
    </row>
    <row r="3024">
      <c r="A3024" s="1">
        <v>3023.0</v>
      </c>
      <c r="B3024" s="1" t="s">
        <v>5268</v>
      </c>
      <c r="C3024" s="1" t="s">
        <v>25</v>
      </c>
      <c r="K3024" s="1">
        <v>30.0</v>
      </c>
      <c r="N3024" s="5">
        <v>43949.0</v>
      </c>
      <c r="Q3024" s="1" t="s">
        <v>5269</v>
      </c>
    </row>
    <row r="3025">
      <c r="A3025" s="1">
        <v>3024.0</v>
      </c>
      <c r="B3025" s="1" t="s">
        <v>5270</v>
      </c>
      <c r="C3025" s="1" t="s">
        <v>25</v>
      </c>
      <c r="K3025" s="1">
        <v>70.0</v>
      </c>
      <c r="N3025" s="5">
        <v>44858.0</v>
      </c>
      <c r="Q3025" s="1" t="s">
        <v>1218</v>
      </c>
    </row>
    <row r="3026">
      <c r="A3026" s="1">
        <v>3025.0</v>
      </c>
      <c r="B3026" s="1" t="s">
        <v>5271</v>
      </c>
      <c r="C3026" s="1" t="s">
        <v>25</v>
      </c>
      <c r="K3026" s="1">
        <v>50.0</v>
      </c>
      <c r="N3026" s="5">
        <v>44420.0</v>
      </c>
      <c r="Q3026" s="1" t="s">
        <v>55</v>
      </c>
    </row>
    <row r="3027">
      <c r="A3027" s="1">
        <v>3026.0</v>
      </c>
      <c r="B3027" s="1" t="s">
        <v>5272</v>
      </c>
      <c r="C3027" s="1" t="s">
        <v>25</v>
      </c>
      <c r="K3027" s="1">
        <v>200.0</v>
      </c>
      <c r="N3027" s="5">
        <v>44317.0</v>
      </c>
      <c r="Q3027" s="1" t="s">
        <v>5273</v>
      </c>
    </row>
    <row r="3028">
      <c r="A3028" s="1">
        <v>3027.0</v>
      </c>
      <c r="B3028" s="1" t="s">
        <v>5274</v>
      </c>
      <c r="C3028" s="1" t="s">
        <v>25</v>
      </c>
      <c r="K3028" s="1">
        <v>50.0</v>
      </c>
      <c r="N3028" s="5">
        <v>44758.0</v>
      </c>
      <c r="Q3028" s="1" t="s">
        <v>548</v>
      </c>
    </row>
    <row r="3029">
      <c r="A3029" s="1">
        <v>3028.0</v>
      </c>
      <c r="B3029" s="1" t="s">
        <v>5275</v>
      </c>
      <c r="C3029" s="1" t="s">
        <v>25</v>
      </c>
      <c r="K3029" s="1">
        <v>90.0</v>
      </c>
      <c r="N3029" s="5">
        <v>44230.0</v>
      </c>
      <c r="Q3029" s="1" t="s">
        <v>569</v>
      </c>
    </row>
    <row r="3030">
      <c r="A3030" s="1">
        <v>3029.0</v>
      </c>
      <c r="B3030" s="1" t="s">
        <v>5276</v>
      </c>
      <c r="C3030" s="1" t="s">
        <v>25</v>
      </c>
      <c r="K3030" s="1">
        <v>70.0</v>
      </c>
      <c r="N3030" s="5">
        <v>44123.0</v>
      </c>
      <c r="Q3030" s="1" t="s">
        <v>5277</v>
      </c>
    </row>
    <row r="3031">
      <c r="A3031" s="1">
        <v>3030.0</v>
      </c>
      <c r="B3031" s="1" t="s">
        <v>5278</v>
      </c>
      <c r="C3031" s="1" t="s">
        <v>25</v>
      </c>
      <c r="K3031" s="1">
        <v>300.0</v>
      </c>
      <c r="N3031" s="5">
        <v>43961.0</v>
      </c>
      <c r="Q3031" s="1" t="s">
        <v>5279</v>
      </c>
    </row>
    <row r="3032">
      <c r="A3032" s="1">
        <v>3031.0</v>
      </c>
      <c r="B3032" s="1" t="s">
        <v>5280</v>
      </c>
      <c r="C3032" s="1" t="s">
        <v>25</v>
      </c>
      <c r="K3032" s="1">
        <v>200.0</v>
      </c>
      <c r="N3032" s="5">
        <v>43926.0</v>
      </c>
      <c r="Q3032" s="1" t="s">
        <v>5281</v>
      </c>
    </row>
    <row r="3033">
      <c r="A3033" s="1">
        <v>3032.0</v>
      </c>
      <c r="B3033" s="1" t="s">
        <v>5282</v>
      </c>
      <c r="C3033" s="1" t="s">
        <v>25</v>
      </c>
      <c r="K3033" s="1">
        <v>150.0</v>
      </c>
      <c r="N3033" s="5">
        <v>45463.0</v>
      </c>
      <c r="Q3033" s="1" t="s">
        <v>5283</v>
      </c>
    </row>
    <row r="3034">
      <c r="A3034" s="1">
        <v>3033.0</v>
      </c>
      <c r="B3034" s="1" t="s">
        <v>5284</v>
      </c>
      <c r="C3034" s="1" t="s">
        <v>25</v>
      </c>
      <c r="N3034" s="5">
        <v>44584.0</v>
      </c>
      <c r="Q3034" s="1" t="s">
        <v>55</v>
      </c>
    </row>
    <row r="3035">
      <c r="A3035" s="1">
        <v>3034.0</v>
      </c>
      <c r="B3035" s="1" t="s">
        <v>5285</v>
      </c>
      <c r="C3035" s="1" t="s">
        <v>25</v>
      </c>
      <c r="N3035" s="5">
        <v>45293.0</v>
      </c>
      <c r="Q3035" s="1" t="s">
        <v>5286</v>
      </c>
    </row>
    <row r="3036">
      <c r="A3036" s="1">
        <v>3035.0</v>
      </c>
      <c r="B3036" s="1" t="s">
        <v>5287</v>
      </c>
      <c r="C3036" s="1" t="s">
        <v>25</v>
      </c>
      <c r="K3036" s="1">
        <v>40.0</v>
      </c>
      <c r="N3036" s="5">
        <v>44097.0</v>
      </c>
      <c r="Q3036" s="1" t="s">
        <v>55</v>
      </c>
    </row>
    <row r="3037">
      <c r="A3037" s="1">
        <v>3036.0</v>
      </c>
      <c r="B3037" s="1" t="s">
        <v>5288</v>
      </c>
      <c r="C3037" s="1" t="s">
        <v>25</v>
      </c>
      <c r="K3037" s="1">
        <v>40.0</v>
      </c>
      <c r="N3037" s="5">
        <v>45139.0</v>
      </c>
      <c r="Q3037" s="1" t="s">
        <v>1218</v>
      </c>
    </row>
    <row r="3038">
      <c r="A3038" s="1">
        <v>3037.0</v>
      </c>
      <c r="B3038" s="1" t="s">
        <v>5289</v>
      </c>
      <c r="C3038" s="1" t="s">
        <v>25</v>
      </c>
      <c r="K3038" s="1">
        <v>200.0</v>
      </c>
      <c r="N3038" s="5">
        <v>43063.0</v>
      </c>
      <c r="Q3038" s="1" t="s">
        <v>5290</v>
      </c>
    </row>
    <row r="3039">
      <c r="A3039" s="1">
        <v>3038.0</v>
      </c>
      <c r="B3039" s="1" t="s">
        <v>5291</v>
      </c>
      <c r="C3039" s="1" t="s">
        <v>25</v>
      </c>
      <c r="K3039" s="1">
        <v>200.0</v>
      </c>
      <c r="N3039" s="5">
        <v>44576.0</v>
      </c>
      <c r="Q3039" s="1" t="s">
        <v>5292</v>
      </c>
    </row>
    <row r="3040">
      <c r="A3040" s="1">
        <v>3039.0</v>
      </c>
      <c r="B3040" s="1" t="s">
        <v>5293</v>
      </c>
      <c r="C3040" s="1" t="s">
        <v>25</v>
      </c>
      <c r="K3040" s="1">
        <v>150.0</v>
      </c>
      <c r="N3040" s="5">
        <v>43916.0</v>
      </c>
      <c r="Q3040" s="1" t="s">
        <v>5294</v>
      </c>
    </row>
    <row r="3041">
      <c r="A3041" s="1">
        <v>3040.0</v>
      </c>
      <c r="B3041" s="1" t="s">
        <v>5295</v>
      </c>
      <c r="C3041" s="1" t="s">
        <v>25</v>
      </c>
      <c r="K3041" s="1">
        <v>50.0</v>
      </c>
      <c r="N3041" s="5">
        <v>43880.0</v>
      </c>
      <c r="Q3041" s="1" t="s">
        <v>5296</v>
      </c>
    </row>
    <row r="3042">
      <c r="A3042" s="1">
        <v>3041.0</v>
      </c>
      <c r="B3042" s="1" t="s">
        <v>5297</v>
      </c>
      <c r="C3042" s="1" t="s">
        <v>25</v>
      </c>
      <c r="K3042" s="1">
        <v>100.0</v>
      </c>
      <c r="N3042" s="5">
        <v>44067.0</v>
      </c>
      <c r="Q3042" s="1" t="s">
        <v>55</v>
      </c>
    </row>
    <row r="3043">
      <c r="A3043" s="1">
        <v>3042.0</v>
      </c>
      <c r="B3043" s="1" t="s">
        <v>5298</v>
      </c>
      <c r="C3043" s="1" t="s">
        <v>25</v>
      </c>
      <c r="K3043" s="1">
        <v>30.0</v>
      </c>
      <c r="N3043" s="5">
        <v>44438.0</v>
      </c>
      <c r="Q3043" s="1" t="s">
        <v>1218</v>
      </c>
    </row>
    <row r="3044">
      <c r="A3044" s="1">
        <v>3043.0</v>
      </c>
      <c r="B3044" s="1" t="s">
        <v>5299</v>
      </c>
      <c r="C3044" s="1" t="s">
        <v>25</v>
      </c>
      <c r="K3044" s="1">
        <v>50.0</v>
      </c>
      <c r="N3044" s="5">
        <v>44651.0</v>
      </c>
      <c r="Q3044" s="1" t="s">
        <v>55</v>
      </c>
    </row>
    <row r="3045">
      <c r="A3045" s="1">
        <v>3044.0</v>
      </c>
      <c r="B3045" s="1" t="s">
        <v>5300</v>
      </c>
      <c r="C3045" s="1" t="s">
        <v>25</v>
      </c>
      <c r="N3045" s="5">
        <v>45264.0</v>
      </c>
      <c r="Q3045" s="1" t="s">
        <v>55</v>
      </c>
    </row>
    <row r="3046">
      <c r="A3046" s="1">
        <v>3045.0</v>
      </c>
      <c r="B3046" s="1" t="s">
        <v>5301</v>
      </c>
      <c r="C3046" s="1" t="s">
        <v>25</v>
      </c>
      <c r="K3046" s="1">
        <v>60.0</v>
      </c>
      <c r="N3046" s="5">
        <v>45745.0</v>
      </c>
      <c r="Q3046" s="1" t="s">
        <v>3332</v>
      </c>
    </row>
    <row r="3047">
      <c r="A3047" s="1">
        <v>3046.0</v>
      </c>
      <c r="B3047" s="1" t="s">
        <v>5302</v>
      </c>
      <c r="C3047" s="1" t="s">
        <v>25</v>
      </c>
      <c r="K3047" s="1">
        <v>100.0</v>
      </c>
      <c r="N3047" s="5">
        <v>44686.0</v>
      </c>
      <c r="Q3047" s="1" t="s">
        <v>5303</v>
      </c>
    </row>
    <row r="3048">
      <c r="A3048" s="1">
        <v>3047.0</v>
      </c>
      <c r="B3048" s="1" t="s">
        <v>5304</v>
      </c>
      <c r="C3048" s="1" t="s">
        <v>25</v>
      </c>
      <c r="K3048" s="1">
        <v>250.0</v>
      </c>
      <c r="N3048" s="5">
        <v>43845.0</v>
      </c>
      <c r="Q3048" s="1" t="s">
        <v>5305</v>
      </c>
    </row>
    <row r="3049">
      <c r="A3049" s="1">
        <v>3048.0</v>
      </c>
      <c r="B3049" s="1" t="s">
        <v>5306</v>
      </c>
      <c r="C3049" s="1" t="s">
        <v>25</v>
      </c>
      <c r="K3049" s="1">
        <v>30.0</v>
      </c>
      <c r="N3049" s="5">
        <v>44256.0</v>
      </c>
      <c r="Q3049" s="1" t="s">
        <v>2584</v>
      </c>
    </row>
    <row r="3050">
      <c r="A3050" s="1">
        <v>3049.0</v>
      </c>
      <c r="B3050" s="1" t="s">
        <v>5307</v>
      </c>
      <c r="C3050" s="1" t="s">
        <v>25</v>
      </c>
      <c r="N3050" s="5">
        <v>43982.0</v>
      </c>
      <c r="Q3050" s="1" t="s">
        <v>55</v>
      </c>
    </row>
    <row r="3051">
      <c r="A3051" s="1">
        <v>3050.0</v>
      </c>
      <c r="B3051" s="1" t="s">
        <v>5308</v>
      </c>
      <c r="C3051" s="1" t="s">
        <v>25</v>
      </c>
      <c r="N3051" s="5">
        <v>44596.0</v>
      </c>
      <c r="Q3051" s="1" t="s">
        <v>55</v>
      </c>
    </row>
    <row r="3052">
      <c r="A3052" s="1">
        <v>3051.0</v>
      </c>
      <c r="B3052" s="1" t="s">
        <v>5309</v>
      </c>
      <c r="C3052" s="1" t="s">
        <v>25</v>
      </c>
      <c r="K3052" s="1">
        <v>10.0</v>
      </c>
      <c r="N3052" s="5">
        <v>43947.0</v>
      </c>
      <c r="Q3052" s="1" t="s">
        <v>2296</v>
      </c>
    </row>
    <row r="3053">
      <c r="A3053" s="1">
        <v>3052.0</v>
      </c>
      <c r="B3053" s="1" t="s">
        <v>5310</v>
      </c>
      <c r="C3053" s="1" t="s">
        <v>25</v>
      </c>
      <c r="K3053" s="1">
        <v>100.0</v>
      </c>
      <c r="N3053" s="5">
        <v>45515.0</v>
      </c>
      <c r="Q3053" s="1" t="s">
        <v>5311</v>
      </c>
    </row>
    <row r="3054">
      <c r="A3054" s="1">
        <v>3053.0</v>
      </c>
      <c r="B3054" s="1" t="s">
        <v>5312</v>
      </c>
      <c r="C3054" s="1" t="s">
        <v>25</v>
      </c>
      <c r="K3054" s="1">
        <v>60.0</v>
      </c>
      <c r="N3054" s="5">
        <v>44245.0</v>
      </c>
      <c r="Q3054" s="1" t="s">
        <v>5313</v>
      </c>
    </row>
    <row r="3055">
      <c r="A3055" s="1">
        <v>3054.0</v>
      </c>
      <c r="B3055" s="1" t="s">
        <v>5314</v>
      </c>
      <c r="C3055" s="1" t="s">
        <v>25</v>
      </c>
      <c r="K3055" s="1">
        <v>50.0</v>
      </c>
      <c r="N3055" s="5">
        <v>45249.0</v>
      </c>
      <c r="Q3055" s="1" t="s">
        <v>5315</v>
      </c>
    </row>
    <row r="3056">
      <c r="A3056" s="1">
        <v>3055.0</v>
      </c>
      <c r="B3056" s="1" t="s">
        <v>5316</v>
      </c>
      <c r="C3056" s="1" t="s">
        <v>25</v>
      </c>
      <c r="K3056" s="1">
        <v>40.0</v>
      </c>
      <c r="N3056" s="5">
        <v>44232.0</v>
      </c>
      <c r="Q3056" s="1" t="s">
        <v>1578</v>
      </c>
    </row>
    <row r="3057">
      <c r="A3057" s="1">
        <v>3056.0</v>
      </c>
      <c r="B3057" s="1" t="s">
        <v>5317</v>
      </c>
      <c r="C3057" s="1" t="s">
        <v>25</v>
      </c>
      <c r="K3057" s="1">
        <v>60.0</v>
      </c>
      <c r="N3057" s="5">
        <v>43900.0</v>
      </c>
      <c r="Q3057" s="1" t="s">
        <v>93</v>
      </c>
    </row>
    <row r="3058">
      <c r="A3058" s="1">
        <v>3057.0</v>
      </c>
      <c r="B3058" s="1" t="s">
        <v>5318</v>
      </c>
      <c r="C3058" s="1" t="s">
        <v>25</v>
      </c>
      <c r="N3058" s="5">
        <v>44548.0</v>
      </c>
      <c r="Q3058" s="1" t="s">
        <v>55</v>
      </c>
    </row>
    <row r="3059">
      <c r="A3059" s="1">
        <v>3058.0</v>
      </c>
      <c r="B3059" s="1" t="s">
        <v>5319</v>
      </c>
      <c r="C3059" s="1" t="s">
        <v>25</v>
      </c>
      <c r="K3059" s="1">
        <v>200.0</v>
      </c>
      <c r="N3059" s="5">
        <v>43870.0</v>
      </c>
      <c r="Q3059" s="1" t="s">
        <v>5320</v>
      </c>
    </row>
    <row r="3060">
      <c r="A3060" s="1">
        <v>3059.0</v>
      </c>
      <c r="B3060" s="1" t="s">
        <v>5321</v>
      </c>
      <c r="C3060" s="1" t="s">
        <v>25</v>
      </c>
      <c r="K3060" s="1">
        <v>250.0</v>
      </c>
      <c r="N3060" s="5">
        <v>44411.0</v>
      </c>
      <c r="Q3060" s="1" t="s">
        <v>5322</v>
      </c>
    </row>
    <row r="3061">
      <c r="A3061" s="1">
        <v>3060.0</v>
      </c>
      <c r="B3061" s="1" t="s">
        <v>5323</v>
      </c>
      <c r="C3061" s="1" t="s">
        <v>25</v>
      </c>
      <c r="N3061" s="5">
        <v>44765.0</v>
      </c>
      <c r="Q3061" s="1" t="s">
        <v>316</v>
      </c>
    </row>
    <row r="3062">
      <c r="A3062" s="1">
        <v>3061.0</v>
      </c>
      <c r="B3062" s="1" t="s">
        <v>5324</v>
      </c>
      <c r="C3062" s="1" t="s">
        <v>25</v>
      </c>
      <c r="K3062" s="1">
        <v>30.0</v>
      </c>
      <c r="N3062" s="5">
        <v>44047.0</v>
      </c>
      <c r="Q3062" s="1" t="s">
        <v>5325</v>
      </c>
    </row>
    <row r="3063">
      <c r="A3063" s="1">
        <v>3062.0</v>
      </c>
      <c r="B3063" s="1" t="s">
        <v>5326</v>
      </c>
      <c r="C3063" s="1" t="s">
        <v>25</v>
      </c>
      <c r="K3063" s="1">
        <v>200.0</v>
      </c>
      <c r="N3063" s="5">
        <v>43924.0</v>
      </c>
      <c r="Q3063" s="1" t="s">
        <v>5327</v>
      </c>
    </row>
    <row r="3064">
      <c r="A3064" s="1">
        <v>3063.0</v>
      </c>
      <c r="B3064" s="1" t="s">
        <v>5328</v>
      </c>
      <c r="C3064" s="1" t="s">
        <v>25</v>
      </c>
      <c r="N3064" s="5">
        <v>44112.0</v>
      </c>
      <c r="Q3064" s="1" t="s">
        <v>55</v>
      </c>
    </row>
    <row r="3065">
      <c r="A3065" s="1">
        <v>3064.0</v>
      </c>
      <c r="B3065" s="1" t="s">
        <v>5329</v>
      </c>
      <c r="C3065" s="1" t="s">
        <v>25</v>
      </c>
      <c r="K3065" s="1">
        <v>60.0</v>
      </c>
      <c r="N3065" s="5">
        <v>45651.0</v>
      </c>
      <c r="Q3065" s="1" t="s">
        <v>5330</v>
      </c>
    </row>
    <row r="3066">
      <c r="A3066" s="1">
        <v>3065.0</v>
      </c>
      <c r="B3066" s="1" t="s">
        <v>5331</v>
      </c>
      <c r="C3066" s="1" t="s">
        <v>25</v>
      </c>
      <c r="K3066" s="1">
        <v>100.0</v>
      </c>
      <c r="N3066" s="5">
        <v>44320.0</v>
      </c>
      <c r="Q3066" s="1" t="s">
        <v>5332</v>
      </c>
    </row>
    <row r="3067">
      <c r="A3067" s="1">
        <v>3066.0</v>
      </c>
      <c r="B3067" s="1" t="s">
        <v>5333</v>
      </c>
      <c r="C3067" s="1" t="s">
        <v>25</v>
      </c>
      <c r="K3067" s="1">
        <v>90.0</v>
      </c>
      <c r="N3067" s="5">
        <v>43926.0</v>
      </c>
      <c r="Q3067" s="1" t="s">
        <v>93</v>
      </c>
    </row>
    <row r="3068">
      <c r="A3068" s="1">
        <v>3067.0</v>
      </c>
      <c r="B3068" s="1" t="s">
        <v>5334</v>
      </c>
      <c r="C3068" s="1" t="s">
        <v>25</v>
      </c>
      <c r="K3068" s="1">
        <v>100.0</v>
      </c>
      <c r="N3068" s="5">
        <v>45817.0</v>
      </c>
      <c r="Q3068" s="1" t="s">
        <v>5335</v>
      </c>
    </row>
    <row r="3069">
      <c r="A3069" s="1">
        <v>3068.0</v>
      </c>
      <c r="B3069" s="1" t="s">
        <v>254</v>
      </c>
      <c r="C3069" s="1" t="s">
        <v>25</v>
      </c>
      <c r="N3069" s="5">
        <v>44253.0</v>
      </c>
      <c r="Q3069" s="1" t="s">
        <v>255</v>
      </c>
    </row>
    <row r="3070">
      <c r="A3070" s="1">
        <v>3069.0</v>
      </c>
      <c r="B3070" s="1" t="s">
        <v>5336</v>
      </c>
      <c r="C3070" s="1" t="s">
        <v>25</v>
      </c>
      <c r="K3070" s="1">
        <v>80.0</v>
      </c>
      <c r="N3070" s="5">
        <v>44096.0</v>
      </c>
      <c r="Q3070" s="1" t="s">
        <v>93</v>
      </c>
    </row>
    <row r="3071">
      <c r="A3071" s="1">
        <v>3070.0</v>
      </c>
      <c r="B3071" s="1" t="s">
        <v>5337</v>
      </c>
      <c r="C3071" s="1" t="s">
        <v>25</v>
      </c>
      <c r="N3071" s="5">
        <v>43388.0</v>
      </c>
      <c r="Q3071" s="1" t="s">
        <v>55</v>
      </c>
    </row>
    <row r="3072">
      <c r="A3072" s="1">
        <v>3071.0</v>
      </c>
      <c r="B3072" s="1" t="s">
        <v>5338</v>
      </c>
      <c r="C3072" s="1" t="s">
        <v>25</v>
      </c>
      <c r="N3072" s="5">
        <v>44690.0</v>
      </c>
      <c r="Q3072" s="1" t="s">
        <v>55</v>
      </c>
    </row>
    <row r="3073">
      <c r="A3073" s="1">
        <v>3072.0</v>
      </c>
      <c r="B3073" s="1" t="s">
        <v>5339</v>
      </c>
      <c r="C3073" s="1" t="s">
        <v>25</v>
      </c>
      <c r="K3073" s="1">
        <v>100.0</v>
      </c>
      <c r="N3073" s="5">
        <v>43868.0</v>
      </c>
      <c r="Q3073" s="1" t="s">
        <v>5340</v>
      </c>
    </row>
    <row r="3074">
      <c r="A3074" s="1">
        <v>3073.0</v>
      </c>
      <c r="B3074" s="1" t="s">
        <v>5341</v>
      </c>
      <c r="C3074" s="1" t="s">
        <v>25</v>
      </c>
      <c r="K3074" s="1">
        <v>200.0</v>
      </c>
      <c r="N3074" s="5">
        <v>45237.0</v>
      </c>
      <c r="Q3074" s="1" t="s">
        <v>5342</v>
      </c>
    </row>
    <row r="3075">
      <c r="A3075" s="1">
        <v>3074.0</v>
      </c>
      <c r="B3075" s="1" t="s">
        <v>5343</v>
      </c>
      <c r="C3075" s="1" t="s">
        <v>25</v>
      </c>
      <c r="N3075" s="5">
        <v>45367.0</v>
      </c>
      <c r="Q3075" s="1" t="s">
        <v>55</v>
      </c>
    </row>
    <row r="3076">
      <c r="A3076" s="1">
        <v>3075.0</v>
      </c>
      <c r="B3076" s="1" t="s">
        <v>5344</v>
      </c>
      <c r="C3076" s="1" t="s">
        <v>25</v>
      </c>
      <c r="N3076" s="5">
        <v>45082.0</v>
      </c>
      <c r="Q3076" s="1" t="s">
        <v>55</v>
      </c>
    </row>
    <row r="3077">
      <c r="A3077" s="1">
        <v>3076.0</v>
      </c>
      <c r="B3077" s="1" t="s">
        <v>5345</v>
      </c>
      <c r="C3077" s="1" t="s">
        <v>25</v>
      </c>
      <c r="N3077" s="5">
        <v>44336.0</v>
      </c>
      <c r="Q3077" s="1" t="s">
        <v>55</v>
      </c>
    </row>
    <row r="3078">
      <c r="A3078" s="1">
        <v>3077.0</v>
      </c>
      <c r="B3078" s="1" t="s">
        <v>5346</v>
      </c>
      <c r="C3078" s="1" t="s">
        <v>25</v>
      </c>
      <c r="K3078" s="1">
        <v>150.0</v>
      </c>
      <c r="N3078" s="5">
        <v>43963.0</v>
      </c>
      <c r="Q3078" s="1" t="s">
        <v>5347</v>
      </c>
    </row>
    <row r="3079">
      <c r="A3079" s="1">
        <v>3078.0</v>
      </c>
      <c r="B3079" s="1" t="s">
        <v>5348</v>
      </c>
      <c r="C3079" s="1" t="s">
        <v>25</v>
      </c>
      <c r="K3079" s="1">
        <v>10.0</v>
      </c>
      <c r="N3079" s="5">
        <v>46104.0</v>
      </c>
      <c r="Q3079" s="1" t="s">
        <v>5349</v>
      </c>
    </row>
    <row r="3080">
      <c r="A3080" s="1">
        <v>3079.0</v>
      </c>
      <c r="B3080" s="1" t="s">
        <v>5350</v>
      </c>
      <c r="C3080" s="1" t="s">
        <v>25</v>
      </c>
      <c r="K3080" s="1">
        <v>100.0</v>
      </c>
      <c r="N3080" s="5">
        <v>45637.0</v>
      </c>
      <c r="Q3080" s="1" t="s">
        <v>4189</v>
      </c>
    </row>
    <row r="3081">
      <c r="A3081" s="1">
        <v>3080.0</v>
      </c>
      <c r="B3081" s="1" t="s">
        <v>5351</v>
      </c>
      <c r="C3081" s="1" t="s">
        <v>25</v>
      </c>
      <c r="K3081" s="1">
        <v>60.0</v>
      </c>
      <c r="N3081" s="5">
        <v>45733.0</v>
      </c>
      <c r="Q3081" s="1" t="s">
        <v>4592</v>
      </c>
    </row>
    <row r="3082">
      <c r="A3082" s="1">
        <v>3081.0</v>
      </c>
      <c r="B3082" s="1" t="s">
        <v>5352</v>
      </c>
      <c r="C3082" s="1" t="s">
        <v>25</v>
      </c>
      <c r="N3082" s="5">
        <v>46103.0</v>
      </c>
      <c r="Q3082" s="1" t="s">
        <v>5353</v>
      </c>
    </row>
    <row r="3083">
      <c r="A3083" s="1">
        <v>3082.0</v>
      </c>
      <c r="B3083" s="1" t="s">
        <v>5354</v>
      </c>
      <c r="C3083" s="1" t="s">
        <v>25</v>
      </c>
      <c r="N3083" s="5">
        <v>42725.0</v>
      </c>
      <c r="Q3083" s="1" t="s">
        <v>55</v>
      </c>
    </row>
    <row r="3084">
      <c r="A3084" s="1">
        <v>3083.0</v>
      </c>
      <c r="B3084" s="1" t="s">
        <v>5355</v>
      </c>
      <c r="C3084" s="1" t="s">
        <v>25</v>
      </c>
      <c r="K3084" s="1">
        <v>90.0</v>
      </c>
      <c r="N3084" s="5">
        <v>44275.0</v>
      </c>
      <c r="Q3084" s="1" t="s">
        <v>125</v>
      </c>
    </row>
    <row r="3085">
      <c r="A3085" s="1">
        <v>3084.0</v>
      </c>
      <c r="B3085" s="1" t="s">
        <v>5356</v>
      </c>
      <c r="C3085" s="1" t="s">
        <v>25</v>
      </c>
      <c r="K3085" s="1">
        <v>500.0</v>
      </c>
      <c r="N3085" s="5">
        <v>43895.0</v>
      </c>
      <c r="Q3085" s="1" t="s">
        <v>5357</v>
      </c>
    </row>
    <row r="3086">
      <c r="A3086" s="1">
        <v>3085.0</v>
      </c>
      <c r="B3086" s="1" t="s">
        <v>5358</v>
      </c>
      <c r="C3086" s="1" t="s">
        <v>25</v>
      </c>
      <c r="K3086" s="1">
        <v>150.0</v>
      </c>
      <c r="N3086" s="5">
        <v>43961.0</v>
      </c>
      <c r="Q3086" s="1" t="s">
        <v>5359</v>
      </c>
    </row>
    <row r="3087">
      <c r="A3087" s="1">
        <v>3086.0</v>
      </c>
      <c r="B3087" s="1" t="s">
        <v>5360</v>
      </c>
      <c r="C3087" s="1" t="s">
        <v>25</v>
      </c>
      <c r="K3087" s="1">
        <v>100.0</v>
      </c>
      <c r="N3087" s="5">
        <v>43865.0</v>
      </c>
      <c r="Q3087" s="1" t="s">
        <v>55</v>
      </c>
    </row>
    <row r="3088">
      <c r="A3088" s="1">
        <v>3087.0</v>
      </c>
      <c r="B3088" s="1" t="s">
        <v>5361</v>
      </c>
      <c r="C3088" s="1" t="s">
        <v>25</v>
      </c>
      <c r="K3088" s="1">
        <v>10.0</v>
      </c>
      <c r="N3088" s="5">
        <v>44586.0</v>
      </c>
      <c r="Q3088" s="1" t="s">
        <v>5362</v>
      </c>
    </row>
    <row r="3089">
      <c r="A3089" s="1">
        <v>3088.0</v>
      </c>
      <c r="B3089" s="1" t="s">
        <v>5363</v>
      </c>
      <c r="C3089" s="1" t="s">
        <v>25</v>
      </c>
      <c r="K3089" s="1">
        <v>150.0</v>
      </c>
      <c r="N3089" s="5">
        <v>44065.0</v>
      </c>
      <c r="Q3089" s="1" t="s">
        <v>5364</v>
      </c>
    </row>
    <row r="3090">
      <c r="A3090" s="1">
        <v>3089.0</v>
      </c>
      <c r="B3090" s="1" t="s">
        <v>5365</v>
      </c>
      <c r="C3090" s="1" t="s">
        <v>25</v>
      </c>
      <c r="K3090" s="1">
        <v>100.0</v>
      </c>
      <c r="N3090" s="5">
        <v>45808.0</v>
      </c>
      <c r="Q3090" s="1" t="s">
        <v>2590</v>
      </c>
    </row>
    <row r="3091">
      <c r="A3091" s="1">
        <v>3090.0</v>
      </c>
      <c r="B3091" s="1" t="s">
        <v>5366</v>
      </c>
      <c r="C3091" s="1" t="s">
        <v>25</v>
      </c>
      <c r="K3091" s="1">
        <v>10.0</v>
      </c>
      <c r="N3091" s="5">
        <v>43929.0</v>
      </c>
      <c r="Q3091" s="1" t="s">
        <v>55</v>
      </c>
    </row>
    <row r="3092">
      <c r="A3092" s="1">
        <v>3091.0</v>
      </c>
      <c r="B3092" s="1" t="s">
        <v>5367</v>
      </c>
      <c r="C3092" s="1" t="s">
        <v>25</v>
      </c>
      <c r="K3092" s="1">
        <v>50.0</v>
      </c>
      <c r="N3092" s="5">
        <v>45235.0</v>
      </c>
      <c r="Q3092" s="1" t="s">
        <v>55</v>
      </c>
    </row>
    <row r="3093">
      <c r="A3093" s="1">
        <v>3092.0</v>
      </c>
      <c r="B3093" s="1" t="s">
        <v>5368</v>
      </c>
      <c r="C3093" s="1" t="s">
        <v>25</v>
      </c>
      <c r="K3093" s="1">
        <v>50.0</v>
      </c>
      <c r="N3093" s="5">
        <v>44943.0</v>
      </c>
      <c r="Q3093" s="1" t="s">
        <v>5369</v>
      </c>
    </row>
    <row r="3094">
      <c r="A3094" s="1">
        <v>3093.0</v>
      </c>
      <c r="B3094" s="1" t="s">
        <v>5370</v>
      </c>
      <c r="C3094" s="1" t="s">
        <v>25</v>
      </c>
      <c r="N3094" s="5">
        <v>44278.0</v>
      </c>
      <c r="Q3094" s="1" t="s">
        <v>55</v>
      </c>
    </row>
    <row r="3095">
      <c r="A3095" s="1">
        <v>3094.0</v>
      </c>
      <c r="B3095" s="1" t="s">
        <v>5371</v>
      </c>
      <c r="C3095" s="1" t="s">
        <v>25</v>
      </c>
      <c r="K3095" s="1">
        <v>60.0</v>
      </c>
      <c r="N3095" s="5">
        <v>44386.0</v>
      </c>
      <c r="Q3095" s="1" t="s">
        <v>55</v>
      </c>
    </row>
    <row r="3096">
      <c r="A3096" s="1">
        <v>3095.0</v>
      </c>
      <c r="B3096" s="1" t="s">
        <v>5372</v>
      </c>
      <c r="C3096" s="1" t="s">
        <v>25</v>
      </c>
      <c r="N3096" s="5">
        <v>43933.0</v>
      </c>
      <c r="Q3096" s="1" t="s">
        <v>55</v>
      </c>
    </row>
    <row r="3097">
      <c r="A3097" s="1">
        <v>3096.0</v>
      </c>
      <c r="B3097" s="1" t="s">
        <v>5373</v>
      </c>
      <c r="C3097" s="1" t="s">
        <v>25</v>
      </c>
      <c r="K3097" s="1">
        <v>90.0</v>
      </c>
      <c r="N3097" s="5">
        <v>44151.0</v>
      </c>
      <c r="Q3097" s="1" t="s">
        <v>2456</v>
      </c>
    </row>
    <row r="3098">
      <c r="A3098" s="1">
        <v>3097.0</v>
      </c>
      <c r="B3098" s="1" t="s">
        <v>5374</v>
      </c>
      <c r="C3098" s="1" t="s">
        <v>25</v>
      </c>
      <c r="N3098" s="5">
        <v>43961.0</v>
      </c>
      <c r="Q3098" s="1" t="s">
        <v>55</v>
      </c>
    </row>
    <row r="3099">
      <c r="A3099" s="1">
        <v>3098.0</v>
      </c>
      <c r="B3099" s="1" t="s">
        <v>5375</v>
      </c>
      <c r="C3099" s="1" t="s">
        <v>25</v>
      </c>
      <c r="N3099" s="5">
        <v>44367.0</v>
      </c>
      <c r="Q3099" s="1" t="s">
        <v>55</v>
      </c>
    </row>
    <row r="3100">
      <c r="A3100" s="1">
        <v>3099.0</v>
      </c>
      <c r="B3100" s="1" t="s">
        <v>5376</v>
      </c>
      <c r="C3100" s="1" t="s">
        <v>25</v>
      </c>
      <c r="K3100" s="1">
        <v>30.0</v>
      </c>
      <c r="N3100" s="5">
        <v>44242.0</v>
      </c>
      <c r="Q3100" s="1" t="s">
        <v>55</v>
      </c>
    </row>
    <row r="3101">
      <c r="A3101" s="1">
        <v>3100.0</v>
      </c>
      <c r="B3101" s="1" t="s">
        <v>258</v>
      </c>
      <c r="C3101" s="1" t="s">
        <v>25</v>
      </c>
      <c r="K3101" s="1">
        <v>10.0</v>
      </c>
      <c r="N3101" s="5">
        <v>45040.0</v>
      </c>
      <c r="Q3101" s="1" t="s">
        <v>262</v>
      </c>
    </row>
    <row r="3102">
      <c r="A3102" s="1">
        <v>3101.0</v>
      </c>
      <c r="B3102" s="1" t="s">
        <v>5377</v>
      </c>
      <c r="C3102" s="1" t="s">
        <v>25</v>
      </c>
      <c r="K3102" s="1">
        <v>200.0</v>
      </c>
      <c r="N3102" s="5">
        <v>45150.0</v>
      </c>
      <c r="Q3102" s="1" t="s">
        <v>5378</v>
      </c>
    </row>
    <row r="3103">
      <c r="A3103" s="1">
        <v>3102.0</v>
      </c>
      <c r="B3103" s="1" t="s">
        <v>5379</v>
      </c>
      <c r="C3103" s="1" t="s">
        <v>25</v>
      </c>
      <c r="K3103" s="1">
        <v>10.0</v>
      </c>
      <c r="N3103" s="5">
        <v>45355.0</v>
      </c>
      <c r="Q3103" s="1" t="s">
        <v>55</v>
      </c>
    </row>
    <row r="3104">
      <c r="A3104" s="1">
        <v>3103.0</v>
      </c>
      <c r="B3104" s="1" t="s">
        <v>5380</v>
      </c>
      <c r="C3104" s="1" t="s">
        <v>25</v>
      </c>
      <c r="K3104" s="1">
        <v>10.0</v>
      </c>
      <c r="N3104" s="5">
        <v>45256.0</v>
      </c>
      <c r="Q3104" s="1" t="s">
        <v>55</v>
      </c>
    </row>
    <row r="3105">
      <c r="A3105" s="1">
        <v>3104.0</v>
      </c>
      <c r="B3105" s="1" t="s">
        <v>5381</v>
      </c>
      <c r="C3105" s="1" t="s">
        <v>25</v>
      </c>
      <c r="K3105" s="1">
        <v>30.0</v>
      </c>
      <c r="N3105" s="5">
        <v>45681.0</v>
      </c>
      <c r="Q3105" s="1" t="s">
        <v>5382</v>
      </c>
    </row>
    <row r="3106">
      <c r="A3106" s="1">
        <v>3105.0</v>
      </c>
      <c r="B3106" s="1" t="s">
        <v>5383</v>
      </c>
      <c r="C3106" s="1" t="s">
        <v>25</v>
      </c>
      <c r="N3106" s="5">
        <v>44348.0</v>
      </c>
      <c r="Q3106" s="1" t="s">
        <v>55</v>
      </c>
    </row>
    <row r="3107">
      <c r="A3107" s="1">
        <v>3106.0</v>
      </c>
      <c r="B3107" s="1" t="s">
        <v>5384</v>
      </c>
      <c r="C3107" s="1" t="s">
        <v>25</v>
      </c>
      <c r="K3107" s="1">
        <v>150.0</v>
      </c>
      <c r="N3107" s="5">
        <v>43949.0</v>
      </c>
      <c r="Q3107" s="1" t="s">
        <v>5385</v>
      </c>
    </row>
    <row r="3108">
      <c r="A3108" s="1">
        <v>3107.0</v>
      </c>
      <c r="B3108" s="1" t="s">
        <v>5386</v>
      </c>
      <c r="C3108" s="1" t="s">
        <v>25</v>
      </c>
      <c r="K3108" s="1">
        <v>20.0</v>
      </c>
      <c r="N3108" s="5">
        <v>44580.0</v>
      </c>
      <c r="Q3108" s="1" t="s">
        <v>55</v>
      </c>
    </row>
    <row r="3109">
      <c r="A3109" s="1">
        <v>3108.0</v>
      </c>
      <c r="B3109" s="1" t="s">
        <v>5387</v>
      </c>
      <c r="C3109" s="1" t="s">
        <v>25</v>
      </c>
      <c r="N3109" s="5">
        <v>45474.0</v>
      </c>
      <c r="Q3109" s="1" t="s">
        <v>5388</v>
      </c>
    </row>
    <row r="3110">
      <c r="A3110" s="1">
        <v>3109.0</v>
      </c>
      <c r="B3110" s="1" t="s">
        <v>5389</v>
      </c>
      <c r="C3110" s="1" t="s">
        <v>25</v>
      </c>
      <c r="K3110" s="1">
        <v>90.0</v>
      </c>
      <c r="N3110" s="5">
        <v>45664.0</v>
      </c>
      <c r="Q3110" s="1" t="s">
        <v>5390</v>
      </c>
    </row>
    <row r="3111">
      <c r="A3111" s="1">
        <v>3110.0</v>
      </c>
      <c r="B3111" s="1" t="s">
        <v>5391</v>
      </c>
      <c r="C3111" s="1" t="s">
        <v>25</v>
      </c>
      <c r="N3111" s="5">
        <v>46101.0</v>
      </c>
      <c r="Q3111" s="1" t="s">
        <v>5392</v>
      </c>
    </row>
    <row r="3112">
      <c r="A3112" s="1">
        <v>3111.0</v>
      </c>
      <c r="B3112" s="1" t="s">
        <v>5393</v>
      </c>
      <c r="C3112" s="1" t="s">
        <v>25</v>
      </c>
      <c r="N3112" s="5">
        <v>45408.0</v>
      </c>
      <c r="Q3112" s="1" t="s">
        <v>1638</v>
      </c>
    </row>
    <row r="3113">
      <c r="A3113" s="1">
        <v>3112.0</v>
      </c>
      <c r="B3113" s="1" t="s">
        <v>5394</v>
      </c>
      <c r="C3113" s="1" t="s">
        <v>25</v>
      </c>
      <c r="K3113" s="1">
        <v>40.0</v>
      </c>
      <c r="N3113" s="5">
        <v>45657.0</v>
      </c>
      <c r="Q3113" s="1" t="s">
        <v>5395</v>
      </c>
    </row>
    <row r="3114">
      <c r="A3114" s="1">
        <v>3113.0</v>
      </c>
      <c r="B3114" s="1" t="s">
        <v>5396</v>
      </c>
      <c r="C3114" s="1" t="s">
        <v>25</v>
      </c>
      <c r="K3114" s="1">
        <v>30.0</v>
      </c>
      <c r="N3114" s="5">
        <v>44736.0</v>
      </c>
      <c r="Q3114" s="1" t="s">
        <v>5397</v>
      </c>
    </row>
    <row r="3115">
      <c r="A3115" s="1">
        <v>3114.0</v>
      </c>
      <c r="B3115" s="1" t="s">
        <v>5398</v>
      </c>
      <c r="C3115" s="1" t="s">
        <v>25</v>
      </c>
      <c r="K3115" s="1">
        <v>200.0</v>
      </c>
      <c r="N3115" s="5">
        <v>43865.0</v>
      </c>
      <c r="Q3115" s="1" t="s">
        <v>5399</v>
      </c>
    </row>
    <row r="3116">
      <c r="A3116" s="1">
        <v>3115.0</v>
      </c>
      <c r="B3116" s="1" t="s">
        <v>5400</v>
      </c>
      <c r="C3116" s="1" t="s">
        <v>25</v>
      </c>
      <c r="N3116" s="5">
        <v>44592.0</v>
      </c>
      <c r="Q3116" s="1" t="s">
        <v>55</v>
      </c>
    </row>
    <row r="3117">
      <c r="A3117" s="1">
        <v>3116.0</v>
      </c>
      <c r="B3117" s="1" t="s">
        <v>5401</v>
      </c>
      <c r="C3117" s="1" t="s">
        <v>25</v>
      </c>
      <c r="K3117" s="1">
        <v>20.0</v>
      </c>
      <c r="N3117" s="5">
        <v>44373.0</v>
      </c>
      <c r="Q3117" s="1" t="s">
        <v>5402</v>
      </c>
    </row>
    <row r="3118">
      <c r="A3118" s="1">
        <v>3117.0</v>
      </c>
      <c r="B3118" s="1" t="s">
        <v>5403</v>
      </c>
      <c r="C3118" s="1" t="s">
        <v>25</v>
      </c>
      <c r="K3118" s="1">
        <v>10.0</v>
      </c>
      <c r="N3118" s="5">
        <v>45455.0</v>
      </c>
      <c r="Q3118" s="1" t="s">
        <v>556</v>
      </c>
    </row>
    <row r="3119">
      <c r="A3119" s="1">
        <v>3118.0</v>
      </c>
      <c r="B3119" s="1" t="s">
        <v>5404</v>
      </c>
      <c r="C3119" s="1" t="s">
        <v>25</v>
      </c>
      <c r="N3119" s="5">
        <v>44249.0</v>
      </c>
      <c r="Q3119" s="1" t="s">
        <v>55</v>
      </c>
    </row>
    <row r="3120">
      <c r="A3120" s="1">
        <v>3119.0</v>
      </c>
      <c r="B3120" s="1" t="s">
        <v>642</v>
      </c>
      <c r="C3120" s="1" t="s">
        <v>25</v>
      </c>
      <c r="K3120" s="1">
        <v>40.0</v>
      </c>
      <c r="N3120" s="5">
        <v>45670.0</v>
      </c>
      <c r="Q3120" s="1" t="s">
        <v>5405</v>
      </c>
    </row>
    <row r="3121">
      <c r="A3121" s="1">
        <v>3120.0</v>
      </c>
      <c r="B3121" s="1" t="s">
        <v>264</v>
      </c>
      <c r="C3121" s="1" t="s">
        <v>25</v>
      </c>
      <c r="K3121" s="1">
        <v>200.0</v>
      </c>
      <c r="N3121" s="5">
        <v>43843.0</v>
      </c>
      <c r="Q3121" s="1" t="s">
        <v>269</v>
      </c>
    </row>
    <row r="3122">
      <c r="A3122" s="1">
        <v>3121.0</v>
      </c>
      <c r="B3122" s="1" t="s">
        <v>5406</v>
      </c>
      <c r="C3122" s="1" t="s">
        <v>25</v>
      </c>
      <c r="N3122" s="5">
        <v>45712.0</v>
      </c>
      <c r="Q3122" s="1" t="s">
        <v>5407</v>
      </c>
    </row>
    <row r="3123">
      <c r="A3123" s="1">
        <v>3122.0</v>
      </c>
      <c r="B3123" s="1" t="s">
        <v>5408</v>
      </c>
      <c r="C3123" s="1" t="s">
        <v>25</v>
      </c>
      <c r="K3123" s="1">
        <v>10.0</v>
      </c>
      <c r="N3123" s="5">
        <v>43888.0</v>
      </c>
      <c r="Q3123" s="1" t="s">
        <v>606</v>
      </c>
    </row>
    <row r="3124">
      <c r="A3124" s="1">
        <v>3123.0</v>
      </c>
      <c r="B3124" s="1" t="s">
        <v>5409</v>
      </c>
      <c r="C3124" s="1" t="s">
        <v>25</v>
      </c>
      <c r="K3124" s="1">
        <v>100.0</v>
      </c>
      <c r="N3124" s="5">
        <v>45780.0</v>
      </c>
      <c r="Q3124" s="1" t="s">
        <v>3015</v>
      </c>
    </row>
    <row r="3125">
      <c r="A3125" s="1">
        <v>3124.0</v>
      </c>
      <c r="B3125" s="1" t="s">
        <v>5410</v>
      </c>
      <c r="C3125" s="1" t="s">
        <v>25</v>
      </c>
      <c r="N3125" s="5">
        <v>44392.0</v>
      </c>
      <c r="Q3125" s="1" t="s">
        <v>55</v>
      </c>
    </row>
    <row r="3126">
      <c r="A3126" s="1">
        <v>3125.0</v>
      </c>
      <c r="B3126" s="1" t="s">
        <v>5411</v>
      </c>
      <c r="C3126" s="1" t="s">
        <v>25</v>
      </c>
      <c r="K3126" s="1">
        <v>40.0</v>
      </c>
      <c r="N3126" s="5">
        <v>44391.0</v>
      </c>
      <c r="Q3126" s="1" t="s">
        <v>5412</v>
      </c>
    </row>
    <row r="3127">
      <c r="A3127" s="1">
        <v>3126.0</v>
      </c>
      <c r="B3127" s="1" t="s">
        <v>5413</v>
      </c>
      <c r="C3127" s="1" t="s">
        <v>25</v>
      </c>
      <c r="K3127" s="1">
        <v>40.0</v>
      </c>
      <c r="N3127" s="5">
        <v>45487.0</v>
      </c>
      <c r="Q3127" s="1" t="s">
        <v>287</v>
      </c>
    </row>
    <row r="3128">
      <c r="A3128" s="1">
        <v>3127.0</v>
      </c>
      <c r="B3128" s="1" t="s">
        <v>5414</v>
      </c>
      <c r="C3128" s="1" t="s">
        <v>25</v>
      </c>
      <c r="K3128" s="1">
        <v>70.0</v>
      </c>
      <c r="N3128" s="5">
        <v>44114.0</v>
      </c>
      <c r="Q3128" s="1" t="s">
        <v>1218</v>
      </c>
    </row>
    <row r="3129">
      <c r="A3129" s="1">
        <v>3128.0</v>
      </c>
      <c r="B3129" s="1" t="s">
        <v>5415</v>
      </c>
      <c r="C3129" s="1" t="s">
        <v>25</v>
      </c>
      <c r="K3129" s="1">
        <v>50.0</v>
      </c>
      <c r="N3129" s="5">
        <v>44264.0</v>
      </c>
      <c r="Q3129" s="1" t="s">
        <v>55</v>
      </c>
    </row>
    <row r="3130">
      <c r="A3130" s="1">
        <v>3129.0</v>
      </c>
      <c r="B3130" s="1" t="s">
        <v>5416</v>
      </c>
      <c r="C3130" s="1" t="s">
        <v>25</v>
      </c>
      <c r="K3130" s="1">
        <v>40.0</v>
      </c>
      <c r="N3130" s="5">
        <v>44382.0</v>
      </c>
      <c r="Q3130" s="1" t="s">
        <v>55</v>
      </c>
    </row>
    <row r="3131">
      <c r="A3131" s="1">
        <v>3130.0</v>
      </c>
      <c r="B3131" s="1" t="s">
        <v>5417</v>
      </c>
      <c r="C3131" s="1" t="s">
        <v>25</v>
      </c>
      <c r="K3131" s="1">
        <v>100.0</v>
      </c>
      <c r="N3131" s="5">
        <v>43871.0</v>
      </c>
      <c r="Q3131" s="1" t="s">
        <v>2183</v>
      </c>
    </row>
    <row r="3132">
      <c r="A3132" s="1">
        <v>3131.0</v>
      </c>
      <c r="B3132" s="1" t="s">
        <v>5418</v>
      </c>
      <c r="C3132" s="1" t="s">
        <v>25</v>
      </c>
      <c r="K3132" s="1">
        <v>150.0</v>
      </c>
      <c r="N3132" s="5">
        <v>44091.0</v>
      </c>
      <c r="Q3132" s="1" t="s">
        <v>5419</v>
      </c>
    </row>
    <row r="3133">
      <c r="A3133" s="1">
        <v>3132.0</v>
      </c>
      <c r="B3133" s="1" t="s">
        <v>5420</v>
      </c>
      <c r="C3133" s="1" t="s">
        <v>25</v>
      </c>
      <c r="N3133" s="5">
        <v>44052.0</v>
      </c>
      <c r="Q3133" s="1" t="s">
        <v>55</v>
      </c>
    </row>
    <row r="3134">
      <c r="A3134" s="1">
        <v>3133.0</v>
      </c>
      <c r="B3134" s="1" t="s">
        <v>5421</v>
      </c>
      <c r="C3134" s="1" t="s">
        <v>25</v>
      </c>
      <c r="N3134" s="5">
        <v>45139.0</v>
      </c>
      <c r="Q3134" s="1" t="s">
        <v>55</v>
      </c>
    </row>
    <row r="3135">
      <c r="A3135" s="1">
        <v>3134.0</v>
      </c>
      <c r="B3135" s="1" t="s">
        <v>5422</v>
      </c>
      <c r="C3135" s="1" t="s">
        <v>25</v>
      </c>
      <c r="K3135" s="1">
        <v>10.0</v>
      </c>
      <c r="N3135" s="5">
        <v>45774.0</v>
      </c>
      <c r="Q3135" s="1" t="s">
        <v>5423</v>
      </c>
    </row>
    <row r="3136">
      <c r="A3136" s="1">
        <v>3135.0</v>
      </c>
      <c r="B3136" s="1" t="s">
        <v>5424</v>
      </c>
      <c r="C3136" s="1" t="s">
        <v>25</v>
      </c>
      <c r="N3136" s="5">
        <v>43852.0</v>
      </c>
      <c r="Q3136" s="1" t="s">
        <v>55</v>
      </c>
    </row>
    <row r="3137">
      <c r="A3137" s="1">
        <v>3136.0</v>
      </c>
      <c r="B3137" s="1" t="s">
        <v>5425</v>
      </c>
      <c r="C3137" s="1" t="s">
        <v>25</v>
      </c>
      <c r="K3137" s="1">
        <v>20.0</v>
      </c>
      <c r="N3137" s="5">
        <v>44235.0</v>
      </c>
      <c r="Q3137" s="1" t="s">
        <v>55</v>
      </c>
    </row>
    <row r="3138">
      <c r="A3138" s="1">
        <v>3137.0</v>
      </c>
      <c r="B3138" s="1" t="s">
        <v>5426</v>
      </c>
      <c r="C3138" s="1" t="s">
        <v>25</v>
      </c>
      <c r="K3138" s="1">
        <v>40.0</v>
      </c>
      <c r="N3138" s="5">
        <v>44280.0</v>
      </c>
      <c r="Q3138" s="1" t="s">
        <v>2310</v>
      </c>
    </row>
    <row r="3139">
      <c r="A3139" s="1">
        <v>3138.0</v>
      </c>
      <c r="B3139" s="1" t="s">
        <v>5427</v>
      </c>
      <c r="C3139" s="1" t="s">
        <v>25</v>
      </c>
      <c r="K3139" s="1">
        <v>50.0</v>
      </c>
      <c r="N3139" s="5">
        <v>44258.0</v>
      </c>
      <c r="Q3139" s="1" t="s">
        <v>5428</v>
      </c>
    </row>
    <row r="3140">
      <c r="A3140" s="1">
        <v>3139.0</v>
      </c>
      <c r="B3140" s="1" t="s">
        <v>5429</v>
      </c>
      <c r="C3140" s="1" t="s">
        <v>25</v>
      </c>
      <c r="N3140" s="5">
        <v>44384.0</v>
      </c>
      <c r="Q3140" s="1" t="s">
        <v>55</v>
      </c>
    </row>
    <row r="3141">
      <c r="A3141" s="1">
        <v>3140.0</v>
      </c>
      <c r="B3141" s="1" t="s">
        <v>5430</v>
      </c>
      <c r="C3141" s="1" t="s">
        <v>25</v>
      </c>
      <c r="K3141" s="1">
        <v>60.0</v>
      </c>
      <c r="N3141" s="5">
        <v>44314.0</v>
      </c>
      <c r="Q3141" s="1" t="s">
        <v>5431</v>
      </c>
    </row>
    <row r="3142">
      <c r="A3142" s="1">
        <v>3141.0</v>
      </c>
      <c r="B3142" s="1" t="s">
        <v>5432</v>
      </c>
      <c r="C3142" s="1" t="s">
        <v>25</v>
      </c>
      <c r="K3142" s="1">
        <v>150.0</v>
      </c>
      <c r="N3142" s="5">
        <v>45107.0</v>
      </c>
      <c r="Q3142" s="1" t="s">
        <v>125</v>
      </c>
    </row>
    <row r="3143">
      <c r="A3143" s="1">
        <v>3142.0</v>
      </c>
      <c r="B3143" s="1" t="s">
        <v>5433</v>
      </c>
      <c r="C3143" s="1" t="s">
        <v>25</v>
      </c>
      <c r="K3143" s="1">
        <v>250.0</v>
      </c>
      <c r="N3143" s="5">
        <v>43875.0</v>
      </c>
      <c r="Q3143" s="1" t="s">
        <v>5434</v>
      </c>
    </row>
    <row r="3144">
      <c r="A3144" s="1">
        <v>3143.0</v>
      </c>
      <c r="B3144" s="1" t="s">
        <v>265</v>
      </c>
      <c r="C3144" s="1" t="s">
        <v>25</v>
      </c>
      <c r="K3144" s="1">
        <v>10.0</v>
      </c>
      <c r="N3144" s="5">
        <v>43941.0</v>
      </c>
      <c r="Q3144" s="1" t="s">
        <v>268</v>
      </c>
    </row>
    <row r="3145">
      <c r="A3145" s="1">
        <v>3144.0</v>
      </c>
      <c r="B3145" s="1" t="s">
        <v>5435</v>
      </c>
      <c r="C3145" s="1" t="s">
        <v>25</v>
      </c>
      <c r="N3145" s="5">
        <v>44606.0</v>
      </c>
      <c r="Q3145" s="1" t="s">
        <v>55</v>
      </c>
    </row>
    <row r="3146">
      <c r="A3146" s="1">
        <v>3145.0</v>
      </c>
      <c r="B3146" s="1" t="s">
        <v>5436</v>
      </c>
      <c r="C3146" s="1" t="s">
        <v>25</v>
      </c>
      <c r="K3146" s="1">
        <v>20.0</v>
      </c>
      <c r="N3146" s="5">
        <v>44749.0</v>
      </c>
      <c r="Q3146" s="1" t="s">
        <v>55</v>
      </c>
    </row>
    <row r="3147">
      <c r="A3147" s="1">
        <v>3146.0</v>
      </c>
      <c r="B3147" s="1" t="s">
        <v>5437</v>
      </c>
      <c r="C3147" s="1" t="s">
        <v>25</v>
      </c>
      <c r="N3147" s="5">
        <v>44360.0</v>
      </c>
      <c r="Q3147" s="1" t="s">
        <v>55</v>
      </c>
    </row>
    <row r="3148">
      <c r="A3148" s="1">
        <v>3147.0</v>
      </c>
      <c r="B3148" s="1" t="s">
        <v>5438</v>
      </c>
      <c r="C3148" s="1" t="s">
        <v>25</v>
      </c>
      <c r="N3148" s="5">
        <v>44184.0</v>
      </c>
      <c r="Q3148" s="1" t="s">
        <v>55</v>
      </c>
    </row>
    <row r="3149">
      <c r="A3149" s="1">
        <v>3148.0</v>
      </c>
      <c r="B3149" s="1" t="s">
        <v>5439</v>
      </c>
      <c r="C3149" s="1" t="s">
        <v>25</v>
      </c>
      <c r="K3149" s="1">
        <v>50.0</v>
      </c>
      <c r="N3149" s="5">
        <v>44380.0</v>
      </c>
      <c r="Q3149" s="1" t="s">
        <v>5440</v>
      </c>
    </row>
    <row r="3150">
      <c r="A3150" s="1">
        <v>3149.0</v>
      </c>
      <c r="B3150" s="1" t="s">
        <v>5441</v>
      </c>
      <c r="C3150" s="1" t="s">
        <v>25</v>
      </c>
      <c r="K3150" s="1">
        <v>30.0</v>
      </c>
      <c r="N3150" s="5">
        <v>44104.0</v>
      </c>
      <c r="Q3150" s="1" t="s">
        <v>1387</v>
      </c>
    </row>
    <row r="3151">
      <c r="A3151" s="1">
        <v>3150.0</v>
      </c>
      <c r="B3151" s="1" t="s">
        <v>5442</v>
      </c>
      <c r="C3151" s="1" t="s">
        <v>25</v>
      </c>
      <c r="K3151" s="1">
        <v>40.0</v>
      </c>
      <c r="N3151" s="5">
        <v>44930.0</v>
      </c>
      <c r="Q3151" s="1" t="s">
        <v>1736</v>
      </c>
    </row>
    <row r="3152">
      <c r="A3152" s="1">
        <v>3151.0</v>
      </c>
      <c r="B3152" s="1" t="s">
        <v>5443</v>
      </c>
      <c r="C3152" s="1" t="s">
        <v>25</v>
      </c>
      <c r="K3152" s="1">
        <v>40.0</v>
      </c>
      <c r="N3152" s="5">
        <v>44332.0</v>
      </c>
      <c r="Q3152" s="1" t="s">
        <v>55</v>
      </c>
    </row>
    <row r="3153">
      <c r="A3153" s="1">
        <v>3152.0</v>
      </c>
      <c r="B3153" s="1" t="s">
        <v>5444</v>
      </c>
      <c r="C3153" s="1" t="s">
        <v>25</v>
      </c>
      <c r="K3153" s="1">
        <v>40.0</v>
      </c>
      <c r="N3153" s="5">
        <v>44399.0</v>
      </c>
      <c r="Q3153" s="1" t="s">
        <v>55</v>
      </c>
    </row>
    <row r="3154">
      <c r="A3154" s="1">
        <v>3153.0</v>
      </c>
      <c r="B3154" s="1" t="s">
        <v>5445</v>
      </c>
      <c r="C3154" s="1" t="s">
        <v>25</v>
      </c>
      <c r="K3154" s="1">
        <v>50.0</v>
      </c>
      <c r="N3154" s="5">
        <v>45695.0</v>
      </c>
      <c r="Q3154" s="1" t="s">
        <v>5446</v>
      </c>
    </row>
    <row r="3155">
      <c r="A3155" s="1">
        <v>3154.0</v>
      </c>
      <c r="B3155" s="1" t="s">
        <v>5447</v>
      </c>
      <c r="C3155" s="1" t="s">
        <v>25</v>
      </c>
      <c r="K3155" s="1">
        <v>150.0</v>
      </c>
      <c r="N3155" s="5">
        <v>44296.0</v>
      </c>
      <c r="Q3155" s="1" t="s">
        <v>5448</v>
      </c>
    </row>
    <row r="3156">
      <c r="A3156" s="1">
        <v>3155.0</v>
      </c>
      <c r="B3156" s="1" t="s">
        <v>5449</v>
      </c>
      <c r="C3156" s="1" t="s">
        <v>25</v>
      </c>
      <c r="N3156" s="5">
        <v>43927.0</v>
      </c>
      <c r="Q3156" s="1" t="s">
        <v>55</v>
      </c>
    </row>
    <row r="3157">
      <c r="A3157" s="1">
        <v>3156.0</v>
      </c>
      <c r="B3157" s="1" t="s">
        <v>5450</v>
      </c>
      <c r="C3157" s="1" t="s">
        <v>25</v>
      </c>
      <c r="K3157" s="1">
        <v>200.0</v>
      </c>
      <c r="N3157" s="5">
        <v>44315.0</v>
      </c>
      <c r="Q3157" s="1" t="s">
        <v>5451</v>
      </c>
    </row>
    <row r="3158">
      <c r="A3158" s="1">
        <v>3157.0</v>
      </c>
      <c r="B3158" s="1" t="s">
        <v>5452</v>
      </c>
      <c r="C3158" s="1" t="s">
        <v>25</v>
      </c>
      <c r="K3158" s="1">
        <v>150.0</v>
      </c>
      <c r="N3158" s="5">
        <v>45678.0</v>
      </c>
      <c r="Q3158" s="1" t="s">
        <v>5453</v>
      </c>
    </row>
    <row r="3159">
      <c r="A3159" s="1">
        <v>3158.0</v>
      </c>
      <c r="B3159" s="1" t="s">
        <v>5454</v>
      </c>
      <c r="C3159" s="1" t="s">
        <v>25</v>
      </c>
      <c r="K3159" s="1">
        <v>30.0</v>
      </c>
      <c r="N3159" s="5">
        <v>44391.0</v>
      </c>
      <c r="Q3159" s="1" t="s">
        <v>1726</v>
      </c>
    </row>
    <row r="3160">
      <c r="A3160" s="1">
        <v>3159.0</v>
      </c>
      <c r="B3160" s="1" t="s">
        <v>5455</v>
      </c>
      <c r="C3160" s="1" t="s">
        <v>25</v>
      </c>
      <c r="K3160" s="1">
        <v>10.0</v>
      </c>
      <c r="N3160" s="5">
        <v>44619.0</v>
      </c>
      <c r="Q3160" s="1" t="s">
        <v>2520</v>
      </c>
    </row>
    <row r="3161">
      <c r="A3161" s="1">
        <v>3160.0</v>
      </c>
      <c r="B3161" s="1" t="s">
        <v>5456</v>
      </c>
      <c r="C3161" s="1" t="s">
        <v>25</v>
      </c>
      <c r="K3161" s="1">
        <v>250.0</v>
      </c>
      <c r="N3161" s="5">
        <v>45359.0</v>
      </c>
      <c r="Q3161" s="1" t="s">
        <v>5457</v>
      </c>
    </row>
    <row r="3162">
      <c r="A3162" s="1">
        <v>3161.0</v>
      </c>
      <c r="B3162" s="1" t="s">
        <v>5458</v>
      </c>
      <c r="C3162" s="1" t="s">
        <v>25</v>
      </c>
      <c r="N3162" s="5">
        <v>44187.0</v>
      </c>
      <c r="Q3162" s="1" t="s">
        <v>55</v>
      </c>
    </row>
    <row r="3163">
      <c r="A3163" s="1">
        <v>3162.0</v>
      </c>
      <c r="B3163" s="1" t="s">
        <v>5459</v>
      </c>
      <c r="C3163" s="1" t="s">
        <v>25</v>
      </c>
      <c r="K3163" s="1">
        <v>300.0</v>
      </c>
      <c r="N3163" s="5">
        <v>44008.0</v>
      </c>
      <c r="Q3163" s="1" t="s">
        <v>55</v>
      </c>
    </row>
    <row r="3164">
      <c r="A3164" s="1">
        <v>3163.0</v>
      </c>
      <c r="B3164" s="1" t="s">
        <v>5460</v>
      </c>
      <c r="C3164" s="1" t="s">
        <v>25</v>
      </c>
      <c r="K3164" s="1">
        <v>400.0</v>
      </c>
      <c r="N3164" s="5">
        <v>43857.0</v>
      </c>
      <c r="Q3164" s="1" t="s">
        <v>5461</v>
      </c>
    </row>
    <row r="3165">
      <c r="A3165" s="1">
        <v>3164.0</v>
      </c>
      <c r="B3165" s="1" t="s">
        <v>5462</v>
      </c>
      <c r="C3165" s="1" t="s">
        <v>25</v>
      </c>
      <c r="N3165" s="5">
        <v>46101.0</v>
      </c>
      <c r="Q3165" s="1" t="s">
        <v>5463</v>
      </c>
    </row>
    <row r="3166">
      <c r="A3166" s="1">
        <v>3165.0</v>
      </c>
      <c r="B3166" s="1" t="s">
        <v>5464</v>
      </c>
      <c r="C3166" s="1" t="s">
        <v>25</v>
      </c>
      <c r="N3166" s="5">
        <v>44565.0</v>
      </c>
      <c r="Q3166" s="1" t="s">
        <v>55</v>
      </c>
    </row>
    <row r="3167">
      <c r="A3167" s="1">
        <v>3166.0</v>
      </c>
      <c r="B3167" s="1" t="s">
        <v>5465</v>
      </c>
      <c r="C3167" s="1" t="s">
        <v>25</v>
      </c>
      <c r="K3167" s="1">
        <v>150.0</v>
      </c>
      <c r="N3167" s="5">
        <v>43909.0</v>
      </c>
      <c r="Q3167" s="1" t="s">
        <v>5466</v>
      </c>
    </row>
    <row r="3168">
      <c r="A3168" s="1">
        <v>3167.0</v>
      </c>
      <c r="B3168" s="1" t="s">
        <v>5467</v>
      </c>
      <c r="C3168" s="1" t="s">
        <v>25</v>
      </c>
      <c r="K3168" s="1">
        <v>200.0</v>
      </c>
      <c r="N3168" s="5">
        <v>45641.0</v>
      </c>
      <c r="Q3168" s="1" t="s">
        <v>5468</v>
      </c>
    </row>
    <row r="3169">
      <c r="A3169" s="1">
        <v>3168.0</v>
      </c>
      <c r="B3169" s="1" t="s">
        <v>5469</v>
      </c>
      <c r="C3169" s="1" t="s">
        <v>25</v>
      </c>
      <c r="K3169" s="1">
        <v>80.0</v>
      </c>
      <c r="N3169" s="5">
        <v>43891.0</v>
      </c>
      <c r="Q3169" s="1" t="s">
        <v>5470</v>
      </c>
    </row>
    <row r="3170">
      <c r="A3170" s="1">
        <v>3169.0</v>
      </c>
      <c r="B3170" s="1" t="s">
        <v>5471</v>
      </c>
      <c r="C3170" s="1" t="s">
        <v>25</v>
      </c>
      <c r="N3170" s="5">
        <v>44260.0</v>
      </c>
      <c r="Q3170" s="1" t="s">
        <v>55</v>
      </c>
    </row>
    <row r="3171">
      <c r="A3171" s="1">
        <v>3170.0</v>
      </c>
      <c r="B3171" s="1" t="s">
        <v>5472</v>
      </c>
      <c r="C3171" s="1" t="s">
        <v>25</v>
      </c>
      <c r="N3171" s="5">
        <v>45210.0</v>
      </c>
      <c r="Q3171" s="1" t="s">
        <v>55</v>
      </c>
    </row>
    <row r="3172">
      <c r="A3172" s="1">
        <v>3171.0</v>
      </c>
      <c r="B3172" s="1" t="s">
        <v>5473</v>
      </c>
      <c r="C3172" s="1" t="s">
        <v>25</v>
      </c>
      <c r="K3172" s="1">
        <v>300.0</v>
      </c>
      <c r="N3172" s="5">
        <v>44727.0</v>
      </c>
      <c r="Q3172" s="1" t="s">
        <v>5474</v>
      </c>
    </row>
    <row r="3173">
      <c r="A3173" s="1">
        <v>3172.0</v>
      </c>
      <c r="B3173" s="1" t="s">
        <v>5475</v>
      </c>
      <c r="C3173" s="1" t="s">
        <v>25</v>
      </c>
      <c r="N3173" s="5">
        <v>44290.0</v>
      </c>
      <c r="Q3173" s="1" t="s">
        <v>1670</v>
      </c>
    </row>
    <row r="3174">
      <c r="A3174" s="1">
        <v>3173.0</v>
      </c>
      <c r="B3174" s="1" t="s">
        <v>5476</v>
      </c>
      <c r="C3174" s="1" t="s">
        <v>25</v>
      </c>
      <c r="K3174" s="1">
        <v>30.0</v>
      </c>
      <c r="N3174" s="5">
        <v>44405.0</v>
      </c>
      <c r="Q3174" s="1" t="s">
        <v>5477</v>
      </c>
    </row>
    <row r="3175">
      <c r="A3175" s="1">
        <v>3174.0</v>
      </c>
      <c r="B3175" s="1" t="s">
        <v>5478</v>
      </c>
      <c r="C3175" s="1" t="s">
        <v>25</v>
      </c>
      <c r="K3175" s="1">
        <v>100.0</v>
      </c>
      <c r="N3175" s="5">
        <v>44183.0</v>
      </c>
      <c r="Q3175" s="1" t="s">
        <v>5479</v>
      </c>
    </row>
    <row r="3176">
      <c r="A3176" s="1">
        <v>3175.0</v>
      </c>
      <c r="B3176" s="1" t="s">
        <v>5480</v>
      </c>
      <c r="C3176" s="1" t="s">
        <v>25</v>
      </c>
      <c r="N3176" s="5">
        <v>44985.0</v>
      </c>
      <c r="Q3176" s="1" t="s">
        <v>55</v>
      </c>
    </row>
    <row r="3177">
      <c r="A3177" s="1">
        <v>3176.0</v>
      </c>
      <c r="B3177" s="1" t="s">
        <v>5481</v>
      </c>
      <c r="C3177" s="1" t="s">
        <v>25</v>
      </c>
      <c r="K3177" s="1">
        <v>10.0</v>
      </c>
      <c r="N3177" s="5">
        <v>45267.0</v>
      </c>
      <c r="Q3177" s="1" t="s">
        <v>227</v>
      </c>
    </row>
    <row r="3178">
      <c r="A3178" s="1">
        <v>3177.0</v>
      </c>
      <c r="B3178" s="1" t="s">
        <v>5482</v>
      </c>
      <c r="C3178" s="1" t="s">
        <v>25</v>
      </c>
      <c r="K3178" s="1">
        <v>60.0</v>
      </c>
      <c r="N3178" s="5">
        <v>45621.0</v>
      </c>
      <c r="Q3178" s="1" t="s">
        <v>5483</v>
      </c>
    </row>
    <row r="3179">
      <c r="A3179" s="1">
        <v>3178.0</v>
      </c>
      <c r="B3179" s="1" t="s">
        <v>5484</v>
      </c>
      <c r="C3179" s="1" t="s">
        <v>25</v>
      </c>
      <c r="N3179" s="5">
        <v>44178.0</v>
      </c>
      <c r="Q3179" s="1" t="s">
        <v>55</v>
      </c>
    </row>
    <row r="3180">
      <c r="A3180" s="1">
        <v>3179.0</v>
      </c>
      <c r="B3180" s="1" t="s">
        <v>5485</v>
      </c>
      <c r="C3180" s="1" t="s">
        <v>25</v>
      </c>
      <c r="N3180" s="5">
        <v>45366.0</v>
      </c>
      <c r="Q3180" s="1" t="s">
        <v>1668</v>
      </c>
    </row>
    <row r="3181">
      <c r="A3181" s="1">
        <v>3180.0</v>
      </c>
      <c r="B3181" s="1" t="s">
        <v>5486</v>
      </c>
      <c r="C3181" s="1" t="s">
        <v>25</v>
      </c>
      <c r="K3181" s="1">
        <v>40.0</v>
      </c>
      <c r="N3181" s="5">
        <v>44238.0</v>
      </c>
      <c r="Q3181" s="1" t="s">
        <v>1678</v>
      </c>
    </row>
    <row r="3182">
      <c r="A3182" s="1">
        <v>3181.0</v>
      </c>
      <c r="B3182" s="1" t="s">
        <v>5487</v>
      </c>
      <c r="C3182" s="1" t="s">
        <v>25</v>
      </c>
      <c r="K3182" s="1">
        <v>50.0</v>
      </c>
      <c r="N3182" s="5">
        <v>45683.0</v>
      </c>
      <c r="Q3182" s="1" t="s">
        <v>5488</v>
      </c>
    </row>
    <row r="3183">
      <c r="A3183" s="1">
        <v>3182.0</v>
      </c>
      <c r="B3183" s="1" t="s">
        <v>5489</v>
      </c>
      <c r="C3183" s="1" t="s">
        <v>25</v>
      </c>
      <c r="K3183" s="1">
        <v>30.0</v>
      </c>
      <c r="N3183" s="5">
        <v>44334.0</v>
      </c>
      <c r="Q3183" s="1" t="s">
        <v>5490</v>
      </c>
    </row>
    <row r="3184">
      <c r="A3184" s="1">
        <v>3183.0</v>
      </c>
      <c r="B3184" s="1" t="s">
        <v>5491</v>
      </c>
      <c r="C3184" s="1" t="s">
        <v>25</v>
      </c>
      <c r="K3184" s="1">
        <v>10.0</v>
      </c>
      <c r="N3184" s="5">
        <v>45478.0</v>
      </c>
      <c r="Q3184" s="1" t="s">
        <v>2532</v>
      </c>
    </row>
    <row r="3185">
      <c r="A3185" s="1">
        <v>3184.0</v>
      </c>
      <c r="B3185" s="1" t="s">
        <v>5492</v>
      </c>
      <c r="C3185" s="1" t="s">
        <v>25</v>
      </c>
      <c r="K3185" s="1">
        <v>40.0</v>
      </c>
      <c r="N3185" s="5">
        <v>45788.0</v>
      </c>
      <c r="Q3185" s="1" t="s">
        <v>5493</v>
      </c>
    </row>
    <row r="3186">
      <c r="A3186" s="1">
        <v>3185.0</v>
      </c>
      <c r="B3186" s="1" t="s">
        <v>5494</v>
      </c>
      <c r="C3186" s="1" t="s">
        <v>25</v>
      </c>
      <c r="K3186" s="1">
        <v>60.0</v>
      </c>
      <c r="N3186" s="5">
        <v>44012.0</v>
      </c>
      <c r="Q3186" s="1" t="s">
        <v>55</v>
      </c>
    </row>
    <row r="3187">
      <c r="A3187" s="1">
        <v>3186.0</v>
      </c>
      <c r="B3187" s="1" t="s">
        <v>5495</v>
      </c>
      <c r="C3187" s="1" t="s">
        <v>25</v>
      </c>
      <c r="K3187" s="1">
        <v>30.0</v>
      </c>
      <c r="N3187" s="5">
        <v>44571.0</v>
      </c>
      <c r="Q3187" s="1" t="s">
        <v>569</v>
      </c>
    </row>
    <row r="3188">
      <c r="A3188" s="1">
        <v>3187.0</v>
      </c>
      <c r="B3188" s="1" t="s">
        <v>5496</v>
      </c>
      <c r="C3188" s="1" t="s">
        <v>25</v>
      </c>
      <c r="K3188" s="1">
        <v>10.0</v>
      </c>
      <c r="N3188" s="5">
        <v>44324.0</v>
      </c>
      <c r="Q3188" s="1" t="s">
        <v>55</v>
      </c>
    </row>
    <row r="3189">
      <c r="A3189" s="1">
        <v>3188.0</v>
      </c>
      <c r="B3189" s="1" t="s">
        <v>5497</v>
      </c>
      <c r="C3189" s="1" t="s">
        <v>25</v>
      </c>
      <c r="K3189" s="1">
        <v>200.0</v>
      </c>
      <c r="N3189" s="5">
        <v>44267.0</v>
      </c>
      <c r="Q3189" s="1" t="s">
        <v>5498</v>
      </c>
    </row>
    <row r="3190">
      <c r="A3190" s="1">
        <v>3189.0</v>
      </c>
      <c r="B3190" s="1" t="s">
        <v>5499</v>
      </c>
      <c r="C3190" s="1" t="s">
        <v>25</v>
      </c>
      <c r="N3190" s="5">
        <v>45596.0</v>
      </c>
      <c r="Q3190" s="1" t="s">
        <v>548</v>
      </c>
    </row>
    <row r="3191">
      <c r="A3191" s="1">
        <v>3190.0</v>
      </c>
      <c r="B3191" s="1" t="s">
        <v>5500</v>
      </c>
      <c r="C3191" s="1" t="s">
        <v>25</v>
      </c>
      <c r="N3191" s="5">
        <v>45714.0</v>
      </c>
      <c r="Q3191" s="1" t="s">
        <v>2057</v>
      </c>
    </row>
    <row r="3192">
      <c r="A3192" s="1">
        <v>3191.0</v>
      </c>
      <c r="B3192" s="1" t="s">
        <v>5501</v>
      </c>
      <c r="C3192" s="1" t="s">
        <v>25</v>
      </c>
      <c r="K3192" s="1">
        <v>150.0</v>
      </c>
      <c r="N3192" s="5">
        <v>44092.0</v>
      </c>
      <c r="Q3192" s="1" t="s">
        <v>5502</v>
      </c>
    </row>
    <row r="3193">
      <c r="A3193" s="1">
        <v>3192.0</v>
      </c>
      <c r="B3193" s="1" t="s">
        <v>5503</v>
      </c>
      <c r="C3193" s="1" t="s">
        <v>25</v>
      </c>
      <c r="K3193" s="1">
        <v>80.0</v>
      </c>
      <c r="N3193" s="5">
        <v>43928.0</v>
      </c>
      <c r="Q3193" s="1" t="s">
        <v>5504</v>
      </c>
    </row>
    <row r="3194">
      <c r="A3194" s="1">
        <v>3193.0</v>
      </c>
      <c r="B3194" s="1" t="s">
        <v>5505</v>
      </c>
      <c r="C3194" s="1" t="s">
        <v>25</v>
      </c>
      <c r="K3194" s="1">
        <v>10.0</v>
      </c>
      <c r="N3194" s="5">
        <v>44250.0</v>
      </c>
      <c r="Q3194" s="1" t="s">
        <v>1948</v>
      </c>
    </row>
    <row r="3195">
      <c r="A3195" s="1">
        <v>3194.0</v>
      </c>
      <c r="B3195" s="1" t="s">
        <v>5506</v>
      </c>
      <c r="C3195" s="1" t="s">
        <v>25</v>
      </c>
      <c r="K3195" s="1">
        <v>60.0</v>
      </c>
      <c r="N3195" s="5">
        <v>45650.0</v>
      </c>
      <c r="Q3195" s="1" t="s">
        <v>5507</v>
      </c>
    </row>
    <row r="3196">
      <c r="A3196" s="1">
        <v>3195.0</v>
      </c>
      <c r="B3196" s="1" t="s">
        <v>5508</v>
      </c>
      <c r="C3196" s="1" t="s">
        <v>25</v>
      </c>
      <c r="K3196" s="1">
        <v>70.0</v>
      </c>
      <c r="N3196" s="5">
        <v>44296.0</v>
      </c>
      <c r="Q3196" s="1" t="s">
        <v>5509</v>
      </c>
    </row>
    <row r="3197">
      <c r="A3197" s="1">
        <v>3196.0</v>
      </c>
      <c r="B3197" s="1" t="s">
        <v>5510</v>
      </c>
      <c r="C3197" s="1" t="s">
        <v>25</v>
      </c>
      <c r="K3197" s="1">
        <v>60.0</v>
      </c>
      <c r="N3197" s="5">
        <v>44289.0</v>
      </c>
      <c r="Q3197" s="1" t="s">
        <v>1387</v>
      </c>
    </row>
    <row r="3198">
      <c r="A3198" s="1">
        <v>3197.0</v>
      </c>
      <c r="B3198" s="1" t="s">
        <v>5511</v>
      </c>
      <c r="C3198" s="1" t="s">
        <v>25</v>
      </c>
      <c r="K3198" s="1">
        <v>10.0</v>
      </c>
      <c r="N3198" s="5">
        <v>44072.0</v>
      </c>
      <c r="Q3198" s="1" t="s">
        <v>55</v>
      </c>
    </row>
    <row r="3199">
      <c r="A3199" s="1">
        <v>3198.0</v>
      </c>
      <c r="B3199" s="1" t="s">
        <v>5512</v>
      </c>
      <c r="C3199" s="1" t="s">
        <v>25</v>
      </c>
      <c r="K3199" s="1">
        <v>800.0</v>
      </c>
      <c r="N3199" s="5">
        <v>43956.0</v>
      </c>
      <c r="Q3199" s="1" t="s">
        <v>5513</v>
      </c>
    </row>
    <row r="3200">
      <c r="A3200" s="1">
        <v>3199.0</v>
      </c>
      <c r="B3200" s="1" t="s">
        <v>5514</v>
      </c>
      <c r="C3200" s="1" t="s">
        <v>25</v>
      </c>
      <c r="K3200" s="1">
        <v>40.0</v>
      </c>
      <c r="N3200" s="5">
        <v>45723.0</v>
      </c>
      <c r="Q3200" s="1" t="s">
        <v>5515</v>
      </c>
    </row>
    <row r="3201">
      <c r="A3201" s="1">
        <v>3200.0</v>
      </c>
      <c r="B3201" s="1" t="s">
        <v>5516</v>
      </c>
      <c r="C3201" s="1" t="s">
        <v>25</v>
      </c>
      <c r="K3201" s="1">
        <v>300.0</v>
      </c>
      <c r="N3201" s="5">
        <v>45166.0</v>
      </c>
      <c r="Q3201" s="1" t="s">
        <v>5517</v>
      </c>
    </row>
    <row r="3202">
      <c r="A3202" s="1">
        <v>3201.0</v>
      </c>
      <c r="B3202" s="1" t="s">
        <v>5518</v>
      </c>
      <c r="C3202" s="1" t="s">
        <v>25</v>
      </c>
      <c r="K3202" s="1">
        <v>50.0</v>
      </c>
      <c r="N3202" s="5">
        <v>45805.0</v>
      </c>
      <c r="Q3202" s="1" t="s">
        <v>5519</v>
      </c>
    </row>
    <row r="3203">
      <c r="A3203" s="1">
        <v>3202.0</v>
      </c>
      <c r="B3203" s="1" t="s">
        <v>5520</v>
      </c>
      <c r="C3203" s="1" t="s">
        <v>25</v>
      </c>
      <c r="K3203" s="1">
        <v>20.0</v>
      </c>
      <c r="N3203" s="5">
        <v>45185.0</v>
      </c>
      <c r="Q3203" s="1" t="s">
        <v>93</v>
      </c>
    </row>
    <row r="3204">
      <c r="A3204" s="1">
        <v>3203.0</v>
      </c>
      <c r="B3204" s="1" t="s">
        <v>5521</v>
      </c>
      <c r="C3204" s="1" t="s">
        <v>25</v>
      </c>
      <c r="K3204" s="1">
        <v>20.0</v>
      </c>
      <c r="N3204" s="5">
        <v>44754.0</v>
      </c>
      <c r="Q3204" s="1" t="s">
        <v>93</v>
      </c>
    </row>
    <row r="3205">
      <c r="A3205" s="1">
        <v>3204.0</v>
      </c>
      <c r="B3205" s="1" t="s">
        <v>5522</v>
      </c>
      <c r="C3205" s="1" t="s">
        <v>25</v>
      </c>
      <c r="K3205" s="1">
        <v>150.0</v>
      </c>
      <c r="N3205" s="5">
        <v>44063.0</v>
      </c>
      <c r="Q3205" s="1" t="s">
        <v>5523</v>
      </c>
    </row>
    <row r="3206">
      <c r="A3206" s="1">
        <v>3205.0</v>
      </c>
      <c r="B3206" s="1" t="s">
        <v>5524</v>
      </c>
      <c r="C3206" s="1" t="s">
        <v>25</v>
      </c>
      <c r="K3206" s="1">
        <v>50.0</v>
      </c>
      <c r="N3206" s="5">
        <v>44321.0</v>
      </c>
      <c r="Q3206" s="1" t="s">
        <v>1726</v>
      </c>
    </row>
    <row r="3207">
      <c r="A3207" s="1">
        <v>3206.0</v>
      </c>
      <c r="B3207" s="1" t="s">
        <v>5525</v>
      </c>
      <c r="C3207" s="1" t="s">
        <v>25</v>
      </c>
      <c r="K3207" s="1">
        <v>10.0</v>
      </c>
      <c r="N3207" s="5">
        <v>45927.0</v>
      </c>
      <c r="Q3207" s="1" t="s">
        <v>5526</v>
      </c>
    </row>
    <row r="3208">
      <c r="A3208" s="1">
        <v>3207.0</v>
      </c>
      <c r="B3208" s="1" t="s">
        <v>5527</v>
      </c>
      <c r="C3208" s="1" t="s">
        <v>25</v>
      </c>
      <c r="K3208" s="1">
        <v>200.0</v>
      </c>
      <c r="N3208" s="5">
        <v>45779.0</v>
      </c>
      <c r="Q3208" s="1" t="s">
        <v>5528</v>
      </c>
    </row>
    <row r="3209">
      <c r="A3209" s="1">
        <v>3208.0</v>
      </c>
      <c r="B3209" s="1" t="s">
        <v>5529</v>
      </c>
      <c r="C3209" s="1" t="s">
        <v>25</v>
      </c>
      <c r="N3209" s="5">
        <v>44712.0</v>
      </c>
      <c r="Q3209" s="1" t="s">
        <v>55</v>
      </c>
    </row>
    <row r="3210">
      <c r="A3210" s="1">
        <v>3209.0</v>
      </c>
      <c r="B3210" s="1" t="s">
        <v>5530</v>
      </c>
      <c r="C3210" s="1" t="s">
        <v>25</v>
      </c>
      <c r="K3210" s="1">
        <v>150.0</v>
      </c>
      <c r="N3210" s="5">
        <v>43883.0</v>
      </c>
      <c r="Q3210" s="1" t="s">
        <v>5531</v>
      </c>
    </row>
    <row r="3211">
      <c r="A3211" s="1">
        <v>3210.0</v>
      </c>
      <c r="B3211" s="1" t="s">
        <v>5532</v>
      </c>
      <c r="C3211" s="1" t="s">
        <v>25</v>
      </c>
      <c r="N3211" s="5">
        <v>43846.0</v>
      </c>
      <c r="Q3211" s="1" t="s">
        <v>55</v>
      </c>
    </row>
    <row r="3212">
      <c r="A3212" s="1">
        <v>3211.0</v>
      </c>
      <c r="B3212" s="1" t="s">
        <v>5533</v>
      </c>
      <c r="C3212" s="1" t="s">
        <v>25</v>
      </c>
      <c r="K3212" s="1">
        <v>30.0</v>
      </c>
      <c r="N3212" s="5">
        <v>44571.0</v>
      </c>
      <c r="Q3212" s="1" t="s">
        <v>606</v>
      </c>
    </row>
    <row r="3213">
      <c r="A3213" s="1">
        <v>3212.0</v>
      </c>
      <c r="B3213" s="1" t="s">
        <v>5534</v>
      </c>
      <c r="C3213" s="1" t="s">
        <v>25</v>
      </c>
      <c r="K3213" s="1">
        <v>100.0</v>
      </c>
      <c r="N3213" s="5">
        <v>44545.0</v>
      </c>
      <c r="Q3213" s="1" t="s">
        <v>5535</v>
      </c>
    </row>
    <row r="3214">
      <c r="A3214" s="1">
        <v>3213.0</v>
      </c>
      <c r="B3214" s="1" t="s">
        <v>5536</v>
      </c>
      <c r="C3214" s="1" t="s">
        <v>25</v>
      </c>
      <c r="K3214" s="1">
        <v>90.0</v>
      </c>
      <c r="N3214" s="5">
        <v>44119.0</v>
      </c>
      <c r="Q3214" s="1" t="s">
        <v>55</v>
      </c>
    </row>
    <row r="3215">
      <c r="A3215" s="1">
        <v>3214.0</v>
      </c>
      <c r="B3215" s="1" t="s">
        <v>5537</v>
      </c>
      <c r="C3215" s="1" t="s">
        <v>25</v>
      </c>
      <c r="K3215" s="1">
        <v>10.0</v>
      </c>
      <c r="N3215" s="5">
        <v>44259.0</v>
      </c>
      <c r="Q3215" s="1" t="s">
        <v>5538</v>
      </c>
    </row>
    <row r="3216">
      <c r="A3216" s="1">
        <v>3215.0</v>
      </c>
      <c r="B3216" s="1" t="s">
        <v>5539</v>
      </c>
      <c r="C3216" s="1" t="s">
        <v>25</v>
      </c>
      <c r="N3216" s="5">
        <v>44606.0</v>
      </c>
      <c r="Q3216" s="1" t="s">
        <v>55</v>
      </c>
    </row>
    <row r="3217">
      <c r="A3217" s="1">
        <v>3216.0</v>
      </c>
      <c r="B3217" s="1" t="s">
        <v>5540</v>
      </c>
      <c r="C3217" s="1" t="s">
        <v>25</v>
      </c>
      <c r="N3217" s="5">
        <v>46100.0</v>
      </c>
      <c r="Q3217" s="1" t="s">
        <v>5541</v>
      </c>
    </row>
    <row r="3218">
      <c r="A3218" s="1">
        <v>3217.0</v>
      </c>
      <c r="B3218" s="1" t="s">
        <v>5542</v>
      </c>
      <c r="C3218" s="1" t="s">
        <v>25</v>
      </c>
      <c r="K3218" s="1">
        <v>70.0</v>
      </c>
      <c r="N3218" s="5">
        <v>45417.0</v>
      </c>
      <c r="Q3218" s="1" t="s">
        <v>2022</v>
      </c>
    </row>
    <row r="3219">
      <c r="A3219" s="1">
        <v>3218.0</v>
      </c>
      <c r="B3219" s="1" t="s">
        <v>5543</v>
      </c>
      <c r="C3219" s="1" t="s">
        <v>25</v>
      </c>
      <c r="K3219" s="1">
        <v>90.0</v>
      </c>
      <c r="N3219" s="5">
        <v>44347.0</v>
      </c>
      <c r="Q3219" s="1" t="s">
        <v>5544</v>
      </c>
    </row>
    <row r="3220">
      <c r="A3220" s="1">
        <v>3219.0</v>
      </c>
      <c r="B3220" s="1" t="s">
        <v>5545</v>
      </c>
      <c r="C3220" s="1" t="s">
        <v>25</v>
      </c>
      <c r="K3220" s="1">
        <v>100.0</v>
      </c>
      <c r="N3220" s="5">
        <v>44516.0</v>
      </c>
      <c r="Q3220" s="1" t="s">
        <v>5546</v>
      </c>
    </row>
    <row r="3221">
      <c r="A3221" s="1">
        <v>3220.0</v>
      </c>
      <c r="B3221" s="1" t="s">
        <v>5547</v>
      </c>
      <c r="C3221" s="1" t="s">
        <v>25</v>
      </c>
      <c r="N3221" s="5">
        <v>44237.0</v>
      </c>
      <c r="Q3221" s="1" t="s">
        <v>55</v>
      </c>
    </row>
    <row r="3222">
      <c r="A3222" s="1">
        <v>3221.0</v>
      </c>
      <c r="B3222" s="1" t="s">
        <v>5548</v>
      </c>
      <c r="C3222" s="1" t="s">
        <v>25</v>
      </c>
      <c r="K3222" s="1">
        <v>60.0</v>
      </c>
      <c r="N3222" s="5">
        <v>45785.0</v>
      </c>
      <c r="Q3222" s="1" t="s">
        <v>4258</v>
      </c>
    </row>
    <row r="3223">
      <c r="A3223" s="1">
        <v>3222.0</v>
      </c>
      <c r="B3223" s="1" t="s">
        <v>5549</v>
      </c>
      <c r="C3223" s="1" t="s">
        <v>25</v>
      </c>
      <c r="K3223" s="1">
        <v>100.0</v>
      </c>
      <c r="N3223" s="5">
        <v>43924.0</v>
      </c>
      <c r="Q3223" s="1" t="s">
        <v>5550</v>
      </c>
    </row>
    <row r="3224">
      <c r="A3224" s="1">
        <v>3223.0</v>
      </c>
      <c r="B3224" s="1" t="s">
        <v>5551</v>
      </c>
      <c r="C3224" s="1" t="s">
        <v>25</v>
      </c>
      <c r="K3224" s="1">
        <v>30.0</v>
      </c>
      <c r="N3224" s="5">
        <v>45606.0</v>
      </c>
      <c r="Q3224" s="1" t="s">
        <v>5552</v>
      </c>
    </row>
    <row r="3225">
      <c r="A3225" s="1">
        <v>3224.0</v>
      </c>
      <c r="B3225" s="1" t="s">
        <v>5553</v>
      </c>
      <c r="C3225" s="1" t="s">
        <v>25</v>
      </c>
      <c r="N3225" s="5">
        <v>43950.0</v>
      </c>
      <c r="Q3225" s="1" t="s">
        <v>55</v>
      </c>
    </row>
    <row r="3226">
      <c r="A3226" s="1">
        <v>3225.0</v>
      </c>
      <c r="B3226" s="1" t="s">
        <v>5554</v>
      </c>
      <c r="C3226" s="1" t="s">
        <v>25</v>
      </c>
      <c r="K3226" s="1">
        <v>40.0</v>
      </c>
      <c r="N3226" s="5">
        <v>44535.0</v>
      </c>
      <c r="Q3226" s="1" t="s">
        <v>5555</v>
      </c>
    </row>
    <row r="3227">
      <c r="A3227" s="1">
        <v>3226.0</v>
      </c>
      <c r="B3227" s="1" t="s">
        <v>5556</v>
      </c>
      <c r="C3227" s="1" t="s">
        <v>25</v>
      </c>
      <c r="K3227" s="1">
        <v>150.0</v>
      </c>
      <c r="N3227" s="5">
        <v>44427.0</v>
      </c>
      <c r="Q3227" s="1" t="s">
        <v>5557</v>
      </c>
    </row>
    <row r="3228">
      <c r="A3228" s="1">
        <v>3227.0</v>
      </c>
      <c r="B3228" s="1" t="s">
        <v>5558</v>
      </c>
      <c r="C3228" s="1" t="s">
        <v>25</v>
      </c>
      <c r="K3228" s="1">
        <v>50.0</v>
      </c>
      <c r="N3228" s="5">
        <v>44587.0</v>
      </c>
      <c r="Q3228" s="1" t="s">
        <v>5559</v>
      </c>
    </row>
    <row r="3229">
      <c r="A3229" s="1">
        <v>3228.0</v>
      </c>
      <c r="B3229" s="1" t="s">
        <v>5560</v>
      </c>
      <c r="C3229" s="1" t="s">
        <v>25</v>
      </c>
      <c r="N3229" s="5">
        <v>45666.0</v>
      </c>
      <c r="Q3229" s="1" t="s">
        <v>316</v>
      </c>
    </row>
    <row r="3230">
      <c r="A3230" s="1">
        <v>3229.0</v>
      </c>
      <c r="B3230" s="1" t="s">
        <v>5561</v>
      </c>
      <c r="C3230" s="1" t="s">
        <v>25</v>
      </c>
      <c r="N3230" s="5">
        <v>44514.0</v>
      </c>
      <c r="Q3230" s="1" t="s">
        <v>55</v>
      </c>
    </row>
    <row r="3231">
      <c r="A3231" s="1">
        <v>3230.0</v>
      </c>
      <c r="B3231" s="1" t="s">
        <v>270</v>
      </c>
      <c r="C3231" s="1" t="s">
        <v>25</v>
      </c>
      <c r="K3231" s="1">
        <v>10.0</v>
      </c>
      <c r="N3231" s="5">
        <v>44236.0</v>
      </c>
      <c r="Q3231" s="1" t="s">
        <v>273</v>
      </c>
    </row>
    <row r="3232">
      <c r="A3232" s="1">
        <v>3231.0</v>
      </c>
      <c r="B3232" s="1" t="s">
        <v>5562</v>
      </c>
      <c r="C3232" s="1" t="s">
        <v>25</v>
      </c>
      <c r="K3232" s="1">
        <v>150.0</v>
      </c>
      <c r="N3232" s="5">
        <v>44199.0</v>
      </c>
      <c r="Q3232" s="1" t="s">
        <v>5563</v>
      </c>
    </row>
    <row r="3233">
      <c r="A3233" s="1">
        <v>3232.0</v>
      </c>
      <c r="B3233" s="1" t="s">
        <v>5564</v>
      </c>
      <c r="C3233" s="1" t="s">
        <v>25</v>
      </c>
      <c r="N3233" s="5">
        <v>44076.0</v>
      </c>
      <c r="Q3233" s="1" t="s">
        <v>55</v>
      </c>
    </row>
    <row r="3234">
      <c r="A3234" s="1">
        <v>3233.0</v>
      </c>
      <c r="B3234" s="1" t="s">
        <v>5565</v>
      </c>
      <c r="C3234" s="1" t="s">
        <v>25</v>
      </c>
      <c r="N3234" s="5">
        <v>44654.0</v>
      </c>
      <c r="Q3234" s="1" t="s">
        <v>55</v>
      </c>
    </row>
    <row r="3235">
      <c r="A3235" s="1">
        <v>3234.0</v>
      </c>
      <c r="B3235" s="1" t="s">
        <v>5566</v>
      </c>
      <c r="C3235" s="1" t="s">
        <v>25</v>
      </c>
      <c r="N3235" s="5">
        <v>46098.0</v>
      </c>
      <c r="Q3235" s="1" t="s">
        <v>5567</v>
      </c>
    </row>
    <row r="3236">
      <c r="A3236" s="1">
        <v>3235.0</v>
      </c>
      <c r="B3236" s="1" t="s">
        <v>5568</v>
      </c>
      <c r="C3236" s="1" t="s">
        <v>25</v>
      </c>
      <c r="K3236" s="1">
        <v>10.0</v>
      </c>
      <c r="N3236" s="5">
        <v>45172.0</v>
      </c>
      <c r="Q3236" s="1" t="s">
        <v>55</v>
      </c>
    </row>
    <row r="3237">
      <c r="A3237" s="1">
        <v>3236.0</v>
      </c>
      <c r="B3237" s="1" t="s">
        <v>5569</v>
      </c>
      <c r="C3237" s="1" t="s">
        <v>25</v>
      </c>
      <c r="K3237" s="1">
        <v>350.0</v>
      </c>
      <c r="N3237" s="5">
        <v>43897.0</v>
      </c>
      <c r="Q3237" s="1" t="s">
        <v>5570</v>
      </c>
    </row>
    <row r="3238">
      <c r="A3238" s="1">
        <v>3237.0</v>
      </c>
      <c r="B3238" s="1" t="s">
        <v>5571</v>
      </c>
      <c r="C3238" s="1" t="s">
        <v>25</v>
      </c>
      <c r="N3238" s="5">
        <v>45065.0</v>
      </c>
      <c r="Q3238" s="1" t="s">
        <v>55</v>
      </c>
    </row>
    <row r="3239">
      <c r="A3239" s="1">
        <v>3238.0</v>
      </c>
      <c r="B3239" s="1" t="s">
        <v>5572</v>
      </c>
      <c r="C3239" s="1" t="s">
        <v>25</v>
      </c>
      <c r="K3239" s="1">
        <v>10.0</v>
      </c>
      <c r="N3239" s="5">
        <v>45013.0</v>
      </c>
      <c r="Q3239" s="1" t="s">
        <v>5573</v>
      </c>
    </row>
    <row r="3240">
      <c r="A3240" s="1">
        <v>3239.0</v>
      </c>
      <c r="B3240" s="1" t="s">
        <v>5574</v>
      </c>
      <c r="C3240" s="1" t="s">
        <v>25</v>
      </c>
      <c r="N3240" s="5">
        <v>44092.0</v>
      </c>
      <c r="Q3240" s="1" t="s">
        <v>55</v>
      </c>
    </row>
    <row r="3241">
      <c r="A3241" s="1">
        <v>3240.0</v>
      </c>
      <c r="B3241" s="1" t="s">
        <v>5575</v>
      </c>
      <c r="C3241" s="1" t="s">
        <v>25</v>
      </c>
      <c r="K3241" s="1">
        <v>50.0</v>
      </c>
      <c r="N3241" s="5">
        <v>45109.0</v>
      </c>
      <c r="Q3241" s="1" t="s">
        <v>5576</v>
      </c>
    </row>
    <row r="3242">
      <c r="A3242" s="1">
        <v>3241.0</v>
      </c>
      <c r="B3242" s="1" t="s">
        <v>5577</v>
      </c>
      <c r="C3242" s="1" t="s">
        <v>25</v>
      </c>
      <c r="K3242" s="1">
        <v>70.0</v>
      </c>
      <c r="N3242" s="5">
        <v>44308.0</v>
      </c>
      <c r="Q3242" s="1" t="s">
        <v>5578</v>
      </c>
    </row>
    <row r="3243">
      <c r="A3243" s="1">
        <v>3242.0</v>
      </c>
      <c r="B3243" s="1" t="s">
        <v>5579</v>
      </c>
      <c r="C3243" s="1" t="s">
        <v>25</v>
      </c>
      <c r="K3243" s="1">
        <v>10.0</v>
      </c>
      <c r="N3243" s="5">
        <v>45714.0</v>
      </c>
      <c r="Q3243" s="1" t="s">
        <v>316</v>
      </c>
    </row>
    <row r="3244">
      <c r="A3244" s="1">
        <v>3243.0</v>
      </c>
      <c r="B3244" s="1" t="s">
        <v>5580</v>
      </c>
      <c r="C3244" s="1" t="s">
        <v>25</v>
      </c>
      <c r="K3244" s="1">
        <v>250.0</v>
      </c>
      <c r="N3244" s="5">
        <v>43943.0</v>
      </c>
      <c r="Q3244" s="1" t="s">
        <v>5581</v>
      </c>
    </row>
    <row r="3245">
      <c r="A3245" s="1">
        <v>3244.0</v>
      </c>
      <c r="B3245" s="1" t="s">
        <v>5582</v>
      </c>
      <c r="C3245" s="1" t="s">
        <v>25</v>
      </c>
      <c r="K3245" s="1">
        <v>150.0</v>
      </c>
      <c r="N3245" s="5">
        <v>44273.0</v>
      </c>
      <c r="Q3245" s="1" t="s">
        <v>5583</v>
      </c>
    </row>
    <row r="3246">
      <c r="A3246" s="1">
        <v>3245.0</v>
      </c>
      <c r="B3246" s="1" t="s">
        <v>5584</v>
      </c>
      <c r="C3246" s="1" t="s">
        <v>25</v>
      </c>
      <c r="N3246" s="5">
        <v>44264.0</v>
      </c>
      <c r="Q3246" s="1" t="s">
        <v>55</v>
      </c>
    </row>
    <row r="3247">
      <c r="A3247" s="1">
        <v>3246.0</v>
      </c>
      <c r="B3247" s="1" t="s">
        <v>5585</v>
      </c>
      <c r="C3247" s="1" t="s">
        <v>25</v>
      </c>
      <c r="K3247" s="1">
        <v>250.0</v>
      </c>
      <c r="N3247" s="5">
        <v>43857.0</v>
      </c>
      <c r="Q3247" s="1" t="s">
        <v>5586</v>
      </c>
    </row>
    <row r="3248">
      <c r="A3248" s="1">
        <v>3247.0</v>
      </c>
      <c r="B3248" s="1" t="s">
        <v>5587</v>
      </c>
      <c r="C3248" s="1" t="s">
        <v>25</v>
      </c>
      <c r="K3248" s="1">
        <v>150.0</v>
      </c>
      <c r="N3248" s="5">
        <v>44013.0</v>
      </c>
      <c r="Q3248" s="1" t="s">
        <v>5588</v>
      </c>
    </row>
    <row r="3249">
      <c r="A3249" s="1">
        <v>3248.0</v>
      </c>
      <c r="B3249" s="1" t="s">
        <v>5589</v>
      </c>
      <c r="C3249" s="1" t="s">
        <v>25</v>
      </c>
      <c r="K3249" s="1">
        <v>40.0</v>
      </c>
      <c r="N3249" s="5">
        <v>45504.0</v>
      </c>
      <c r="Q3249" s="1" t="s">
        <v>5590</v>
      </c>
    </row>
    <row r="3250">
      <c r="A3250" s="1">
        <v>3249.0</v>
      </c>
      <c r="B3250" s="1" t="s">
        <v>5591</v>
      </c>
      <c r="C3250" s="1" t="s">
        <v>25</v>
      </c>
      <c r="K3250" s="1">
        <v>100.0</v>
      </c>
      <c r="N3250" s="5">
        <v>44131.0</v>
      </c>
      <c r="Q3250" s="1" t="s">
        <v>5592</v>
      </c>
    </row>
    <row r="3251">
      <c r="A3251" s="1">
        <v>3250.0</v>
      </c>
      <c r="B3251" s="1" t="s">
        <v>5593</v>
      </c>
      <c r="C3251" s="1" t="s">
        <v>25</v>
      </c>
      <c r="K3251" s="1">
        <v>10.0</v>
      </c>
      <c r="N3251" s="5">
        <v>45296.0</v>
      </c>
      <c r="Q3251" s="1" t="s">
        <v>55</v>
      </c>
    </row>
    <row r="3252">
      <c r="A3252" s="1">
        <v>3251.0</v>
      </c>
      <c r="B3252" s="1" t="s">
        <v>5594</v>
      </c>
      <c r="C3252" s="1" t="s">
        <v>25</v>
      </c>
      <c r="K3252" s="1">
        <v>30.0</v>
      </c>
      <c r="N3252" s="5">
        <v>45695.0</v>
      </c>
      <c r="Q3252" s="1" t="s">
        <v>5595</v>
      </c>
    </row>
    <row r="3253">
      <c r="A3253" s="1">
        <v>3252.0</v>
      </c>
      <c r="B3253" s="1" t="s">
        <v>5596</v>
      </c>
      <c r="C3253" s="1" t="s">
        <v>25</v>
      </c>
      <c r="K3253" s="1">
        <v>60.0</v>
      </c>
      <c r="N3253" s="5">
        <v>44316.0</v>
      </c>
      <c r="Q3253" s="1" t="s">
        <v>3008</v>
      </c>
    </row>
    <row r="3254">
      <c r="A3254" s="1">
        <v>3253.0</v>
      </c>
      <c r="B3254" s="1" t="s">
        <v>5597</v>
      </c>
      <c r="C3254" s="1" t="s">
        <v>25</v>
      </c>
      <c r="K3254" s="1">
        <v>250.0</v>
      </c>
      <c r="N3254" s="5">
        <v>45629.0</v>
      </c>
      <c r="Q3254" s="1" t="s">
        <v>2920</v>
      </c>
    </row>
    <row r="3255">
      <c r="A3255" s="1">
        <v>3254.0</v>
      </c>
      <c r="B3255" s="1" t="s">
        <v>5598</v>
      </c>
      <c r="C3255" s="1" t="s">
        <v>25</v>
      </c>
      <c r="K3255" s="1">
        <v>50.0</v>
      </c>
      <c r="N3255" s="5">
        <v>44059.0</v>
      </c>
      <c r="Q3255" s="1" t="s">
        <v>1611</v>
      </c>
    </row>
    <row r="3256">
      <c r="A3256" s="1">
        <v>3255.0</v>
      </c>
      <c r="B3256" s="1" t="s">
        <v>5599</v>
      </c>
      <c r="C3256" s="1" t="s">
        <v>25</v>
      </c>
      <c r="K3256" s="1">
        <v>300.0</v>
      </c>
      <c r="N3256" s="5">
        <v>44065.0</v>
      </c>
      <c r="Q3256" s="1" t="s">
        <v>5600</v>
      </c>
    </row>
    <row r="3257">
      <c r="A3257" s="1">
        <v>3256.0</v>
      </c>
      <c r="B3257" s="1" t="s">
        <v>5601</v>
      </c>
      <c r="C3257" s="1" t="s">
        <v>25</v>
      </c>
      <c r="N3257" s="5">
        <v>44032.0</v>
      </c>
      <c r="Q3257" s="1" t="s">
        <v>55</v>
      </c>
    </row>
    <row r="3258">
      <c r="A3258" s="1">
        <v>3257.0</v>
      </c>
      <c r="B3258" s="1" t="s">
        <v>5602</v>
      </c>
      <c r="C3258" s="1" t="s">
        <v>25</v>
      </c>
      <c r="K3258" s="1">
        <v>40.0</v>
      </c>
      <c r="N3258" s="5">
        <v>43894.0</v>
      </c>
      <c r="Q3258" s="1" t="s">
        <v>849</v>
      </c>
    </row>
    <row r="3259">
      <c r="A3259" s="1">
        <v>3258.0</v>
      </c>
      <c r="B3259" s="1" t="s">
        <v>5603</v>
      </c>
      <c r="C3259" s="1" t="s">
        <v>25</v>
      </c>
      <c r="K3259" s="1">
        <v>10.0</v>
      </c>
      <c r="N3259" s="5">
        <v>43904.0</v>
      </c>
      <c r="Q3259" s="1" t="s">
        <v>55</v>
      </c>
    </row>
    <row r="3260">
      <c r="A3260" s="1">
        <v>3259.0</v>
      </c>
      <c r="B3260" s="1" t="s">
        <v>5604</v>
      </c>
      <c r="C3260" s="1" t="s">
        <v>25</v>
      </c>
      <c r="K3260" s="1">
        <v>10.0</v>
      </c>
      <c r="N3260" s="5">
        <v>43340.0</v>
      </c>
      <c r="Q3260" s="1" t="s">
        <v>5605</v>
      </c>
    </row>
    <row r="3261">
      <c r="A3261" s="1">
        <v>3260.0</v>
      </c>
      <c r="B3261" s="1" t="s">
        <v>5606</v>
      </c>
      <c r="C3261" s="1" t="s">
        <v>25</v>
      </c>
      <c r="K3261" s="1">
        <v>20.0</v>
      </c>
      <c r="N3261" s="5">
        <v>45186.0</v>
      </c>
      <c r="Q3261" s="1" t="s">
        <v>46</v>
      </c>
    </row>
    <row r="3262">
      <c r="A3262" s="1">
        <v>3261.0</v>
      </c>
      <c r="B3262" s="1" t="s">
        <v>5607</v>
      </c>
      <c r="C3262" s="1" t="s">
        <v>25</v>
      </c>
      <c r="K3262" s="1">
        <v>40.0</v>
      </c>
      <c r="N3262" s="5">
        <v>45689.0</v>
      </c>
      <c r="Q3262" s="1" t="s">
        <v>5608</v>
      </c>
    </row>
    <row r="3263">
      <c r="A3263" s="1">
        <v>3262.0</v>
      </c>
      <c r="B3263" s="1" t="s">
        <v>5609</v>
      </c>
      <c r="C3263" s="1" t="s">
        <v>25</v>
      </c>
      <c r="K3263" s="1">
        <v>40.0</v>
      </c>
      <c r="N3263" s="5">
        <v>44354.0</v>
      </c>
      <c r="Q3263" s="1" t="s">
        <v>569</v>
      </c>
    </row>
    <row r="3264">
      <c r="A3264" s="1">
        <v>3263.0</v>
      </c>
      <c r="B3264" s="1" t="s">
        <v>5610</v>
      </c>
      <c r="C3264" s="1" t="s">
        <v>25</v>
      </c>
      <c r="N3264" s="5">
        <v>46103.0</v>
      </c>
      <c r="Q3264" s="1" t="s">
        <v>5611</v>
      </c>
    </row>
    <row r="3265">
      <c r="A3265" s="1">
        <v>3264.0</v>
      </c>
      <c r="B3265" s="1" t="s">
        <v>5612</v>
      </c>
      <c r="C3265" s="1" t="s">
        <v>25</v>
      </c>
      <c r="K3265" s="1">
        <v>60.0</v>
      </c>
      <c r="N3265" s="5">
        <v>44265.0</v>
      </c>
      <c r="Q3265" s="1" t="s">
        <v>1724</v>
      </c>
    </row>
    <row r="3266">
      <c r="A3266" s="1">
        <v>3265.0</v>
      </c>
      <c r="B3266" s="1" t="s">
        <v>5613</v>
      </c>
      <c r="C3266" s="1" t="s">
        <v>25</v>
      </c>
      <c r="N3266" s="5">
        <v>44180.0</v>
      </c>
      <c r="Q3266" s="1" t="s">
        <v>55</v>
      </c>
    </row>
    <row r="3267">
      <c r="A3267" s="1">
        <v>3266.0</v>
      </c>
      <c r="B3267" s="1" t="s">
        <v>5614</v>
      </c>
      <c r="C3267" s="1" t="s">
        <v>25</v>
      </c>
      <c r="K3267" s="1">
        <v>10.0</v>
      </c>
      <c r="N3267" s="5">
        <v>44294.0</v>
      </c>
      <c r="Q3267" s="1" t="s">
        <v>55</v>
      </c>
    </row>
    <row r="3268">
      <c r="A3268" s="1">
        <v>3267.0</v>
      </c>
      <c r="B3268" s="1" t="s">
        <v>5615</v>
      </c>
      <c r="C3268" s="1" t="s">
        <v>25</v>
      </c>
      <c r="K3268" s="1">
        <v>60.0</v>
      </c>
      <c r="N3268" s="5">
        <v>45650.0</v>
      </c>
      <c r="Q3268" s="1" t="s">
        <v>5616</v>
      </c>
    </row>
    <row r="3269">
      <c r="A3269" s="1">
        <v>3268.0</v>
      </c>
      <c r="B3269" s="1" t="s">
        <v>275</v>
      </c>
      <c r="C3269" s="1" t="s">
        <v>25</v>
      </c>
      <c r="K3269" s="1">
        <v>20.0</v>
      </c>
      <c r="N3269" s="5">
        <v>44053.0</v>
      </c>
      <c r="Q3269" s="1" t="s">
        <v>278</v>
      </c>
    </row>
    <row r="3270">
      <c r="A3270" s="1">
        <v>3269.0</v>
      </c>
      <c r="B3270" s="1" t="s">
        <v>5617</v>
      </c>
      <c r="C3270" s="1" t="s">
        <v>25</v>
      </c>
      <c r="K3270" s="1">
        <v>150.0</v>
      </c>
      <c r="N3270" s="5">
        <v>44566.0</v>
      </c>
      <c r="Q3270" s="1" t="s">
        <v>5618</v>
      </c>
    </row>
    <row r="3271">
      <c r="A3271" s="1">
        <v>3270.0</v>
      </c>
      <c r="B3271" s="1" t="s">
        <v>5619</v>
      </c>
      <c r="C3271" s="1" t="s">
        <v>25</v>
      </c>
      <c r="K3271" s="1">
        <v>90.0</v>
      </c>
      <c r="N3271" s="5">
        <v>44560.0</v>
      </c>
      <c r="Q3271" s="1" t="s">
        <v>1729</v>
      </c>
    </row>
    <row r="3272">
      <c r="A3272" s="1">
        <v>3271.0</v>
      </c>
      <c r="B3272" s="1" t="s">
        <v>5620</v>
      </c>
      <c r="C3272" s="1" t="s">
        <v>25</v>
      </c>
      <c r="K3272" s="1">
        <v>60.0</v>
      </c>
      <c r="N3272" s="5">
        <v>45733.0</v>
      </c>
      <c r="Q3272" s="1" t="s">
        <v>5621</v>
      </c>
    </row>
    <row r="3273">
      <c r="A3273" s="1">
        <v>3272.0</v>
      </c>
      <c r="B3273" s="1" t="s">
        <v>5622</v>
      </c>
      <c r="C3273" s="1" t="s">
        <v>25</v>
      </c>
      <c r="K3273" s="1">
        <v>10.0</v>
      </c>
      <c r="N3273" s="5">
        <v>43964.0</v>
      </c>
      <c r="Q3273" s="1" t="s">
        <v>2310</v>
      </c>
    </row>
    <row r="3274">
      <c r="A3274" s="1">
        <v>3273.0</v>
      </c>
      <c r="B3274" s="1" t="s">
        <v>280</v>
      </c>
      <c r="C3274" s="1" t="s">
        <v>25</v>
      </c>
      <c r="K3274" s="1">
        <v>60.0</v>
      </c>
      <c r="N3274" s="5">
        <v>45083.0</v>
      </c>
      <c r="Q3274" s="1" t="s">
        <v>283</v>
      </c>
    </row>
    <row r="3275">
      <c r="A3275" s="1">
        <v>3274.0</v>
      </c>
      <c r="B3275" s="1" t="s">
        <v>5623</v>
      </c>
      <c r="C3275" s="1" t="s">
        <v>25</v>
      </c>
      <c r="K3275" s="1">
        <v>70.0</v>
      </c>
      <c r="N3275" s="5">
        <v>44450.0</v>
      </c>
      <c r="Q3275" s="1" t="s">
        <v>5624</v>
      </c>
    </row>
    <row r="3276">
      <c r="A3276" s="1">
        <v>3275.0</v>
      </c>
      <c r="B3276" s="1" t="s">
        <v>5625</v>
      </c>
      <c r="C3276" s="1" t="s">
        <v>25</v>
      </c>
      <c r="K3276" s="1">
        <v>200.0</v>
      </c>
      <c r="N3276" s="5">
        <v>45349.0</v>
      </c>
      <c r="Q3276" s="1" t="s">
        <v>5626</v>
      </c>
    </row>
    <row r="3277">
      <c r="A3277" s="1">
        <v>3276.0</v>
      </c>
      <c r="B3277" s="1" t="s">
        <v>5627</v>
      </c>
      <c r="C3277" s="1" t="s">
        <v>25</v>
      </c>
      <c r="K3277" s="1">
        <v>300.0</v>
      </c>
      <c r="N3277" s="5">
        <v>44029.0</v>
      </c>
      <c r="Q3277" s="1" t="s">
        <v>5628</v>
      </c>
    </row>
    <row r="3278">
      <c r="A3278" s="1">
        <v>3277.0</v>
      </c>
      <c r="B3278" s="1" t="s">
        <v>5629</v>
      </c>
      <c r="C3278" s="1" t="s">
        <v>25</v>
      </c>
      <c r="K3278" s="1">
        <v>80.0</v>
      </c>
      <c r="N3278" s="5">
        <v>44770.0</v>
      </c>
      <c r="Q3278" s="1" t="s">
        <v>5630</v>
      </c>
    </row>
    <row r="3279">
      <c r="A3279" s="1">
        <v>3278.0</v>
      </c>
      <c r="B3279" s="1" t="s">
        <v>5631</v>
      </c>
      <c r="C3279" s="1" t="s">
        <v>25</v>
      </c>
      <c r="K3279" s="1">
        <v>150.0</v>
      </c>
      <c r="N3279" s="5">
        <v>43842.0</v>
      </c>
      <c r="Q3279" s="1" t="s">
        <v>5632</v>
      </c>
    </row>
    <row r="3280">
      <c r="A3280" s="1">
        <v>3279.0</v>
      </c>
      <c r="B3280" s="1" t="s">
        <v>5633</v>
      </c>
      <c r="C3280" s="1" t="s">
        <v>25</v>
      </c>
      <c r="K3280" s="1">
        <v>40.0</v>
      </c>
      <c r="N3280" s="5">
        <v>44272.0</v>
      </c>
      <c r="Q3280" s="1" t="s">
        <v>5634</v>
      </c>
    </row>
    <row r="3281">
      <c r="A3281" s="1">
        <v>3280.0</v>
      </c>
      <c r="B3281" s="1" t="s">
        <v>5635</v>
      </c>
      <c r="C3281" s="1" t="s">
        <v>25</v>
      </c>
      <c r="K3281" s="1">
        <v>100.0</v>
      </c>
      <c r="N3281" s="5">
        <v>44865.0</v>
      </c>
      <c r="Q3281" s="1" t="s">
        <v>5636</v>
      </c>
    </row>
    <row r="3282">
      <c r="A3282" s="1">
        <v>3281.0</v>
      </c>
      <c r="B3282" s="1" t="s">
        <v>5637</v>
      </c>
      <c r="C3282" s="1" t="s">
        <v>25</v>
      </c>
      <c r="K3282" s="1">
        <v>150.0</v>
      </c>
      <c r="N3282" s="5">
        <v>44635.0</v>
      </c>
      <c r="Q3282" s="1" t="s">
        <v>1611</v>
      </c>
    </row>
    <row r="3283">
      <c r="A3283" s="1">
        <v>3282.0</v>
      </c>
      <c r="B3283" s="1" t="s">
        <v>5638</v>
      </c>
      <c r="C3283" s="1" t="s">
        <v>25</v>
      </c>
      <c r="N3283" s="5">
        <v>44050.0</v>
      </c>
      <c r="Q3283" s="1" t="s">
        <v>55</v>
      </c>
    </row>
    <row r="3284">
      <c r="A3284" s="1">
        <v>3283.0</v>
      </c>
      <c r="B3284" s="1" t="s">
        <v>5639</v>
      </c>
      <c r="C3284" s="1" t="s">
        <v>25</v>
      </c>
      <c r="K3284" s="1">
        <v>40.0</v>
      </c>
      <c r="N3284" s="5">
        <v>44836.0</v>
      </c>
      <c r="Q3284" s="1" t="s">
        <v>3181</v>
      </c>
    </row>
    <row r="3285">
      <c r="A3285" s="1">
        <v>3284.0</v>
      </c>
      <c r="B3285" s="1" t="s">
        <v>5640</v>
      </c>
      <c r="C3285" s="1" t="s">
        <v>25</v>
      </c>
      <c r="K3285" s="1">
        <v>300.0</v>
      </c>
      <c r="N3285" s="5">
        <v>42941.0</v>
      </c>
      <c r="Q3285" s="1" t="s">
        <v>5641</v>
      </c>
    </row>
    <row r="3286">
      <c r="A3286" s="1">
        <v>3285.0</v>
      </c>
      <c r="B3286" s="1" t="s">
        <v>5642</v>
      </c>
      <c r="C3286" s="1" t="s">
        <v>25</v>
      </c>
      <c r="K3286" s="1">
        <v>80.0</v>
      </c>
      <c r="N3286" s="5">
        <v>45624.0</v>
      </c>
      <c r="Q3286" s="1" t="s">
        <v>5643</v>
      </c>
    </row>
    <row r="3287">
      <c r="A3287" s="1">
        <v>3286.0</v>
      </c>
      <c r="B3287" s="1" t="s">
        <v>5644</v>
      </c>
      <c r="C3287" s="1" t="s">
        <v>25</v>
      </c>
      <c r="N3287" s="5">
        <v>44609.0</v>
      </c>
      <c r="Q3287" s="1" t="s">
        <v>55</v>
      </c>
    </row>
    <row r="3288">
      <c r="A3288" s="1">
        <v>3287.0</v>
      </c>
      <c r="B3288" s="1" t="s">
        <v>5645</v>
      </c>
      <c r="C3288" s="1" t="s">
        <v>25</v>
      </c>
      <c r="K3288" s="1">
        <v>10.0</v>
      </c>
      <c r="N3288" s="5">
        <v>45496.0</v>
      </c>
      <c r="Q3288" s="1" t="s">
        <v>5646</v>
      </c>
    </row>
    <row r="3289">
      <c r="A3289" s="1">
        <v>3288.0</v>
      </c>
      <c r="B3289" s="1" t="s">
        <v>5647</v>
      </c>
      <c r="C3289" s="1" t="s">
        <v>25</v>
      </c>
      <c r="K3289" s="1">
        <v>400.0</v>
      </c>
      <c r="N3289" s="5">
        <v>43862.0</v>
      </c>
      <c r="Q3289" s="1" t="s">
        <v>5648</v>
      </c>
    </row>
    <row r="3290">
      <c r="A3290" s="1">
        <v>3289.0</v>
      </c>
      <c r="B3290" s="1" t="s">
        <v>5649</v>
      </c>
      <c r="C3290" s="1" t="s">
        <v>25</v>
      </c>
      <c r="K3290" s="1">
        <v>200.0</v>
      </c>
      <c r="N3290" s="5">
        <v>44600.0</v>
      </c>
      <c r="Q3290" s="1" t="s">
        <v>5650</v>
      </c>
    </row>
    <row r="3291">
      <c r="A3291" s="1">
        <v>3290.0</v>
      </c>
      <c r="B3291" s="1" t="s">
        <v>5651</v>
      </c>
      <c r="C3291" s="1" t="s">
        <v>25</v>
      </c>
      <c r="K3291" s="1">
        <v>60.0</v>
      </c>
      <c r="N3291" s="5">
        <v>44239.0</v>
      </c>
      <c r="Q3291" s="1" t="s">
        <v>55</v>
      </c>
    </row>
    <row r="3292">
      <c r="A3292" s="1">
        <v>3291.0</v>
      </c>
      <c r="B3292" s="1" t="s">
        <v>5652</v>
      </c>
      <c r="C3292" s="1" t="s">
        <v>25</v>
      </c>
      <c r="K3292" s="1">
        <v>80.0</v>
      </c>
      <c r="N3292" s="5">
        <v>44660.0</v>
      </c>
      <c r="Q3292" s="1" t="s">
        <v>5653</v>
      </c>
    </row>
    <row r="3293">
      <c r="A3293" s="1">
        <v>3292.0</v>
      </c>
      <c r="B3293" s="1" t="s">
        <v>277</v>
      </c>
      <c r="C3293" s="1" t="s">
        <v>25</v>
      </c>
      <c r="K3293" s="1">
        <v>700.0</v>
      </c>
      <c r="N3293" s="5">
        <v>43909.0</v>
      </c>
      <c r="Q3293" s="1" t="s">
        <v>281</v>
      </c>
    </row>
    <row r="3294">
      <c r="A3294" s="1">
        <v>3293.0</v>
      </c>
      <c r="B3294" s="1" t="s">
        <v>5654</v>
      </c>
      <c r="C3294" s="1" t="s">
        <v>25</v>
      </c>
      <c r="K3294" s="1">
        <v>100.0</v>
      </c>
      <c r="N3294" s="5">
        <v>45780.0</v>
      </c>
      <c r="Q3294" s="1" t="s">
        <v>3357</v>
      </c>
    </row>
    <row r="3295">
      <c r="A3295" s="1">
        <v>3294.0</v>
      </c>
      <c r="B3295" s="1" t="s">
        <v>5655</v>
      </c>
      <c r="C3295" s="1" t="s">
        <v>25</v>
      </c>
      <c r="K3295" s="1">
        <v>90.0</v>
      </c>
      <c r="N3295" s="5">
        <v>44551.0</v>
      </c>
      <c r="Q3295" s="1" t="s">
        <v>5656</v>
      </c>
    </row>
    <row r="3296">
      <c r="A3296" s="1">
        <v>3295.0</v>
      </c>
      <c r="B3296" s="1" t="s">
        <v>5657</v>
      </c>
      <c r="C3296" s="1" t="s">
        <v>25</v>
      </c>
      <c r="K3296" s="1">
        <v>150.0</v>
      </c>
      <c r="N3296" s="5">
        <v>45642.0</v>
      </c>
      <c r="Q3296" s="1" t="s">
        <v>5658</v>
      </c>
    </row>
    <row r="3297">
      <c r="A3297" s="1">
        <v>3296.0</v>
      </c>
      <c r="B3297" s="1" t="s">
        <v>5659</v>
      </c>
      <c r="C3297" s="1" t="s">
        <v>25</v>
      </c>
      <c r="K3297" s="1">
        <v>150.0</v>
      </c>
      <c r="N3297" s="5">
        <v>43946.0</v>
      </c>
      <c r="Q3297" s="1" t="s">
        <v>1678</v>
      </c>
    </row>
    <row r="3298">
      <c r="A3298" s="1">
        <v>3297.0</v>
      </c>
      <c r="B3298" s="1" t="s">
        <v>5660</v>
      </c>
      <c r="C3298" s="1" t="s">
        <v>25</v>
      </c>
      <c r="K3298" s="1">
        <v>300.0</v>
      </c>
      <c r="N3298" s="5">
        <v>43859.0</v>
      </c>
      <c r="Q3298" s="1" t="s">
        <v>5661</v>
      </c>
    </row>
    <row r="3299">
      <c r="A3299" s="1">
        <v>3298.0</v>
      </c>
      <c r="B3299" s="1" t="s">
        <v>5662</v>
      </c>
      <c r="C3299" s="1" t="s">
        <v>25</v>
      </c>
      <c r="K3299" s="1">
        <v>300.0</v>
      </c>
      <c r="N3299" s="5">
        <v>43936.0</v>
      </c>
      <c r="Q3299" s="1" t="s">
        <v>5663</v>
      </c>
    </row>
    <row r="3300">
      <c r="A3300" s="1">
        <v>3299.0</v>
      </c>
      <c r="B3300" s="1" t="s">
        <v>5664</v>
      </c>
      <c r="C3300" s="1" t="s">
        <v>25</v>
      </c>
      <c r="K3300" s="1">
        <v>40.0</v>
      </c>
      <c r="N3300" s="5">
        <v>44915.0</v>
      </c>
      <c r="Q3300" s="1" t="s">
        <v>5665</v>
      </c>
    </row>
    <row r="3301">
      <c r="A3301" s="1">
        <v>3300.0</v>
      </c>
      <c r="B3301" s="1" t="s">
        <v>5666</v>
      </c>
      <c r="C3301" s="1" t="s">
        <v>25</v>
      </c>
      <c r="K3301" s="1">
        <v>30.0</v>
      </c>
      <c r="N3301" s="5">
        <v>44781.0</v>
      </c>
      <c r="Q3301" s="1" t="s">
        <v>5667</v>
      </c>
    </row>
    <row r="3302">
      <c r="A3302" s="1">
        <v>3301.0</v>
      </c>
      <c r="B3302" s="1" t="s">
        <v>5668</v>
      </c>
      <c r="C3302" s="1" t="s">
        <v>25</v>
      </c>
      <c r="N3302" s="5">
        <v>44336.0</v>
      </c>
      <c r="Q3302" s="1" t="s">
        <v>55</v>
      </c>
    </row>
    <row r="3303">
      <c r="A3303" s="1">
        <v>3302.0</v>
      </c>
      <c r="B3303" s="1" t="s">
        <v>5669</v>
      </c>
      <c r="C3303" s="1" t="s">
        <v>25</v>
      </c>
      <c r="K3303" s="1">
        <v>70.0</v>
      </c>
      <c r="N3303" s="5">
        <v>43840.0</v>
      </c>
      <c r="Q3303" s="1" t="s">
        <v>5670</v>
      </c>
    </row>
    <row r="3304">
      <c r="A3304" s="1">
        <v>3303.0</v>
      </c>
      <c r="B3304" s="1" t="s">
        <v>5671</v>
      </c>
      <c r="C3304" s="1" t="s">
        <v>25</v>
      </c>
      <c r="K3304" s="1">
        <v>70.0</v>
      </c>
      <c r="N3304" s="5">
        <v>45737.0</v>
      </c>
      <c r="Q3304" s="1" t="s">
        <v>5672</v>
      </c>
    </row>
    <row r="3305">
      <c r="A3305" s="1">
        <v>3304.0</v>
      </c>
      <c r="B3305" s="1" t="s">
        <v>5673</v>
      </c>
      <c r="C3305" s="1" t="s">
        <v>25</v>
      </c>
      <c r="K3305" s="1">
        <v>50.0</v>
      </c>
      <c r="N3305" s="5">
        <v>45438.0</v>
      </c>
      <c r="Q3305" s="1" t="s">
        <v>1066</v>
      </c>
    </row>
    <row r="3306">
      <c r="A3306" s="1">
        <v>3305.0</v>
      </c>
      <c r="B3306" s="1" t="s">
        <v>5674</v>
      </c>
      <c r="C3306" s="1" t="s">
        <v>25</v>
      </c>
      <c r="K3306" s="1">
        <v>100.0</v>
      </c>
      <c r="N3306" s="5">
        <v>44267.0</v>
      </c>
      <c r="Q3306" s="1" t="s">
        <v>5675</v>
      </c>
    </row>
    <row r="3307">
      <c r="A3307" s="1">
        <v>3306.0</v>
      </c>
      <c r="B3307" s="1" t="s">
        <v>5676</v>
      </c>
      <c r="C3307" s="1" t="s">
        <v>25</v>
      </c>
      <c r="N3307" s="5">
        <v>44185.0</v>
      </c>
      <c r="Q3307" s="1" t="s">
        <v>55</v>
      </c>
    </row>
    <row r="3308">
      <c r="A3308" s="1">
        <v>3307.0</v>
      </c>
      <c r="B3308" s="1" t="s">
        <v>5677</v>
      </c>
      <c r="C3308" s="1" t="s">
        <v>25</v>
      </c>
      <c r="N3308" s="5">
        <v>43890.0</v>
      </c>
      <c r="Q3308" s="1" t="s">
        <v>55</v>
      </c>
    </row>
    <row r="3309">
      <c r="A3309" s="1">
        <v>3308.0</v>
      </c>
      <c r="B3309" s="1" t="s">
        <v>5678</v>
      </c>
      <c r="C3309" s="1" t="s">
        <v>25</v>
      </c>
      <c r="K3309" s="1">
        <v>70.0</v>
      </c>
      <c r="N3309" s="5">
        <v>45761.0</v>
      </c>
      <c r="Q3309" s="1" t="s">
        <v>5679</v>
      </c>
    </row>
    <row r="3310">
      <c r="A3310" s="1">
        <v>3309.0</v>
      </c>
      <c r="B3310" s="1" t="s">
        <v>5680</v>
      </c>
      <c r="C3310" s="1" t="s">
        <v>25</v>
      </c>
      <c r="K3310" s="1">
        <v>30.0</v>
      </c>
      <c r="N3310" s="5">
        <v>45594.0</v>
      </c>
      <c r="Q3310" s="1" t="s">
        <v>2413</v>
      </c>
    </row>
    <row r="3311">
      <c r="A3311" s="1">
        <v>3310.0</v>
      </c>
      <c r="B3311" s="1" t="s">
        <v>5681</v>
      </c>
      <c r="C3311" s="1" t="s">
        <v>25</v>
      </c>
      <c r="N3311" s="5">
        <v>45447.0</v>
      </c>
      <c r="Q3311" s="1" t="s">
        <v>1638</v>
      </c>
    </row>
    <row r="3312">
      <c r="A3312" s="1">
        <v>3311.0</v>
      </c>
      <c r="B3312" s="1" t="s">
        <v>5682</v>
      </c>
      <c r="C3312" s="1" t="s">
        <v>25</v>
      </c>
      <c r="K3312" s="1">
        <v>30.0</v>
      </c>
      <c r="N3312" s="5">
        <v>44567.0</v>
      </c>
      <c r="Q3312" s="1" t="s">
        <v>5683</v>
      </c>
    </row>
    <row r="3313">
      <c r="A3313" s="1">
        <v>3312.0</v>
      </c>
      <c r="B3313" s="1" t="s">
        <v>285</v>
      </c>
      <c r="C3313" s="1" t="s">
        <v>25</v>
      </c>
      <c r="K3313" s="1">
        <v>20.0</v>
      </c>
      <c r="N3313" s="5">
        <v>44241.0</v>
      </c>
      <c r="Q3313" s="1" t="s">
        <v>288</v>
      </c>
    </row>
    <row r="3314">
      <c r="A3314" s="1">
        <v>3313.0</v>
      </c>
      <c r="B3314" s="1" t="s">
        <v>5684</v>
      </c>
      <c r="C3314" s="1" t="s">
        <v>25</v>
      </c>
      <c r="K3314" s="1">
        <v>80.0</v>
      </c>
      <c r="N3314" s="5">
        <v>44102.0</v>
      </c>
      <c r="Q3314" s="1" t="s">
        <v>5685</v>
      </c>
    </row>
    <row r="3315">
      <c r="A3315" s="1">
        <v>3314.0</v>
      </c>
      <c r="B3315" s="1" t="s">
        <v>5686</v>
      </c>
      <c r="C3315" s="1" t="s">
        <v>25</v>
      </c>
      <c r="K3315" s="1">
        <v>50.0</v>
      </c>
      <c r="N3315" s="5">
        <v>44224.0</v>
      </c>
      <c r="Q3315" s="1" t="s">
        <v>5687</v>
      </c>
    </row>
    <row r="3316">
      <c r="A3316" s="1">
        <v>3315.0</v>
      </c>
      <c r="B3316" s="1" t="s">
        <v>5688</v>
      </c>
      <c r="C3316" s="1" t="s">
        <v>25</v>
      </c>
      <c r="K3316" s="1">
        <v>70.0</v>
      </c>
      <c r="N3316" s="5">
        <v>44027.0</v>
      </c>
      <c r="Q3316" s="1" t="s">
        <v>5689</v>
      </c>
    </row>
    <row r="3317">
      <c r="A3317" s="1">
        <v>3316.0</v>
      </c>
      <c r="B3317" s="1" t="s">
        <v>5690</v>
      </c>
      <c r="C3317" s="1" t="s">
        <v>25</v>
      </c>
      <c r="K3317" s="1">
        <v>300.0</v>
      </c>
      <c r="N3317" s="5">
        <v>44321.0</v>
      </c>
      <c r="Q3317" s="1" t="s">
        <v>5691</v>
      </c>
    </row>
    <row r="3318">
      <c r="A3318" s="1">
        <v>3317.0</v>
      </c>
      <c r="B3318" s="1" t="s">
        <v>5692</v>
      </c>
      <c r="C3318" s="1" t="s">
        <v>25</v>
      </c>
      <c r="K3318" s="1">
        <v>70.0</v>
      </c>
      <c r="N3318" s="5">
        <v>44321.0</v>
      </c>
      <c r="Q3318" s="1" t="s">
        <v>5693</v>
      </c>
    </row>
    <row r="3319">
      <c r="A3319" s="1">
        <v>3318.0</v>
      </c>
      <c r="B3319" s="1" t="s">
        <v>5694</v>
      </c>
      <c r="C3319" s="1" t="s">
        <v>25</v>
      </c>
      <c r="N3319" s="5">
        <v>44359.0</v>
      </c>
      <c r="Q3319" s="1" t="s">
        <v>55</v>
      </c>
    </row>
    <row r="3320">
      <c r="A3320" s="1">
        <v>3319.0</v>
      </c>
      <c r="B3320" s="1" t="s">
        <v>5695</v>
      </c>
      <c r="C3320" s="1" t="s">
        <v>25</v>
      </c>
      <c r="N3320" s="5">
        <v>44656.0</v>
      </c>
      <c r="Q3320" s="1" t="s">
        <v>55</v>
      </c>
    </row>
    <row r="3321">
      <c r="A3321" s="1">
        <v>3320.0</v>
      </c>
      <c r="B3321" s="1" t="s">
        <v>5696</v>
      </c>
      <c r="C3321" s="1" t="s">
        <v>25</v>
      </c>
      <c r="K3321" s="1">
        <v>100.0</v>
      </c>
      <c r="N3321" s="5">
        <v>43901.0</v>
      </c>
      <c r="Q3321" s="1" t="s">
        <v>1226</v>
      </c>
    </row>
    <row r="3322">
      <c r="A3322" s="1">
        <v>3321.0</v>
      </c>
      <c r="B3322" s="1" t="s">
        <v>5697</v>
      </c>
      <c r="C3322" s="1" t="s">
        <v>25</v>
      </c>
      <c r="K3322" s="1">
        <v>100.0</v>
      </c>
      <c r="N3322" s="5">
        <v>43878.0</v>
      </c>
      <c r="Q3322" s="1" t="s">
        <v>5698</v>
      </c>
    </row>
    <row r="3323">
      <c r="A3323" s="1">
        <v>3322.0</v>
      </c>
      <c r="B3323" s="1" t="s">
        <v>5699</v>
      </c>
      <c r="C3323" s="1" t="s">
        <v>25</v>
      </c>
      <c r="N3323" s="5">
        <v>44890.0</v>
      </c>
      <c r="Q3323" s="1" t="s">
        <v>55</v>
      </c>
    </row>
    <row r="3324">
      <c r="A3324" s="1">
        <v>3323.0</v>
      </c>
      <c r="B3324" s="1" t="s">
        <v>5700</v>
      </c>
      <c r="C3324" s="1" t="s">
        <v>25</v>
      </c>
      <c r="K3324" s="1">
        <v>200.0</v>
      </c>
      <c r="N3324" s="5">
        <v>45068.0</v>
      </c>
      <c r="Q3324" s="1" t="s">
        <v>5701</v>
      </c>
    </row>
    <row r="3325">
      <c r="A3325" s="1">
        <v>3324.0</v>
      </c>
      <c r="B3325" s="1" t="s">
        <v>5702</v>
      </c>
      <c r="C3325" s="1" t="s">
        <v>25</v>
      </c>
      <c r="K3325" s="1">
        <v>10.0</v>
      </c>
      <c r="N3325" s="5">
        <v>44616.0</v>
      </c>
      <c r="Q3325" s="1" t="s">
        <v>55</v>
      </c>
    </row>
    <row r="3326">
      <c r="A3326" s="1">
        <v>3325.0</v>
      </c>
      <c r="B3326" s="1" t="s">
        <v>5703</v>
      </c>
      <c r="C3326" s="1" t="s">
        <v>25</v>
      </c>
      <c r="N3326" s="5">
        <v>44054.0</v>
      </c>
      <c r="Q3326" s="1" t="s">
        <v>55</v>
      </c>
    </row>
    <row r="3327">
      <c r="A3327" s="1">
        <v>3326.0</v>
      </c>
      <c r="B3327" s="1" t="s">
        <v>5704</v>
      </c>
      <c r="C3327" s="1" t="s">
        <v>25</v>
      </c>
      <c r="N3327" s="5">
        <v>44574.0</v>
      </c>
      <c r="Q3327" s="1" t="s">
        <v>55</v>
      </c>
    </row>
    <row r="3328">
      <c r="A3328" s="1">
        <v>3327.0</v>
      </c>
      <c r="B3328" s="1" t="s">
        <v>5705</v>
      </c>
      <c r="C3328" s="1" t="s">
        <v>25</v>
      </c>
      <c r="K3328" s="1">
        <v>80.0</v>
      </c>
      <c r="N3328" s="5">
        <v>44508.0</v>
      </c>
      <c r="Q3328" s="1" t="s">
        <v>55</v>
      </c>
    </row>
    <row r="3329">
      <c r="A3329" s="1">
        <v>3328.0</v>
      </c>
      <c r="B3329" s="1" t="s">
        <v>5706</v>
      </c>
      <c r="C3329" s="1" t="s">
        <v>25</v>
      </c>
      <c r="K3329" s="1">
        <v>150.0</v>
      </c>
      <c r="N3329" s="5">
        <v>44754.0</v>
      </c>
      <c r="Q3329" s="1" t="s">
        <v>5707</v>
      </c>
    </row>
    <row r="3330">
      <c r="A3330" s="1">
        <v>3329.0</v>
      </c>
      <c r="B3330" s="1" t="s">
        <v>5708</v>
      </c>
      <c r="C3330" s="1" t="s">
        <v>25</v>
      </c>
      <c r="N3330" s="5">
        <v>43874.0</v>
      </c>
      <c r="Q3330" s="1" t="s">
        <v>55</v>
      </c>
    </row>
    <row r="3331">
      <c r="A3331" s="1">
        <v>3330.0</v>
      </c>
      <c r="B3331" s="1" t="s">
        <v>5709</v>
      </c>
      <c r="C3331" s="1" t="s">
        <v>25</v>
      </c>
      <c r="K3331" s="1">
        <v>200.0</v>
      </c>
      <c r="N3331" s="5">
        <v>44191.0</v>
      </c>
      <c r="Q3331" s="1" t="s">
        <v>569</v>
      </c>
    </row>
    <row r="3332">
      <c r="A3332" s="1">
        <v>3331.0</v>
      </c>
      <c r="B3332" s="1" t="s">
        <v>5710</v>
      </c>
      <c r="C3332" s="1" t="s">
        <v>25</v>
      </c>
      <c r="K3332" s="1">
        <v>20.0</v>
      </c>
      <c r="N3332" s="5">
        <v>44089.0</v>
      </c>
      <c r="Q3332" s="1" t="s">
        <v>125</v>
      </c>
    </row>
    <row r="3333">
      <c r="A3333" s="1">
        <v>3332.0</v>
      </c>
      <c r="B3333" s="1" t="s">
        <v>5711</v>
      </c>
      <c r="C3333" s="1" t="s">
        <v>25</v>
      </c>
      <c r="K3333" s="1">
        <v>200.0</v>
      </c>
      <c r="N3333" s="5">
        <v>44034.0</v>
      </c>
      <c r="Q3333" s="1" t="s">
        <v>5712</v>
      </c>
    </row>
    <row r="3334">
      <c r="A3334" s="1">
        <v>3333.0</v>
      </c>
      <c r="B3334" s="1" t="s">
        <v>5713</v>
      </c>
      <c r="C3334" s="1" t="s">
        <v>25</v>
      </c>
      <c r="K3334" s="1">
        <v>100.0</v>
      </c>
      <c r="N3334" s="5">
        <v>45789.0</v>
      </c>
      <c r="Q3334" s="1" t="s">
        <v>4431</v>
      </c>
    </row>
    <row r="3335">
      <c r="A3335" s="1">
        <v>3334.0</v>
      </c>
      <c r="B3335" s="1" t="s">
        <v>5714</v>
      </c>
      <c r="C3335" s="1" t="s">
        <v>25</v>
      </c>
      <c r="K3335" s="1">
        <v>80.0</v>
      </c>
      <c r="N3335" s="5">
        <v>43931.0</v>
      </c>
      <c r="Q3335" s="1" t="s">
        <v>1387</v>
      </c>
    </row>
    <row r="3336">
      <c r="A3336" s="1">
        <v>3335.0</v>
      </c>
      <c r="B3336" s="1" t="s">
        <v>5715</v>
      </c>
      <c r="C3336" s="1" t="s">
        <v>25</v>
      </c>
      <c r="K3336" s="1">
        <v>20.0</v>
      </c>
      <c r="N3336" s="5">
        <v>43891.0</v>
      </c>
      <c r="Q3336" s="1" t="s">
        <v>1678</v>
      </c>
    </row>
    <row r="3337">
      <c r="A3337" s="1">
        <v>3336.0</v>
      </c>
      <c r="B3337" s="1" t="s">
        <v>5716</v>
      </c>
      <c r="C3337" s="1" t="s">
        <v>25</v>
      </c>
      <c r="K3337" s="1">
        <v>20.0</v>
      </c>
      <c r="N3337" s="5">
        <v>44425.0</v>
      </c>
      <c r="Q3337" s="1" t="s">
        <v>55</v>
      </c>
    </row>
    <row r="3338">
      <c r="A3338" s="1">
        <v>3337.0</v>
      </c>
      <c r="B3338" s="1" t="s">
        <v>5717</v>
      </c>
      <c r="C3338" s="1" t="s">
        <v>25</v>
      </c>
      <c r="K3338" s="1">
        <v>250.0</v>
      </c>
      <c r="N3338" s="5">
        <v>44577.0</v>
      </c>
      <c r="Q3338" s="1" t="s">
        <v>5718</v>
      </c>
    </row>
    <row r="3339">
      <c r="A3339" s="1">
        <v>3338.0</v>
      </c>
      <c r="B3339" s="1" t="s">
        <v>5719</v>
      </c>
      <c r="C3339" s="1" t="s">
        <v>25</v>
      </c>
      <c r="K3339" s="1">
        <v>20.0</v>
      </c>
      <c r="N3339" s="5">
        <v>45608.0</v>
      </c>
      <c r="Q3339" s="1" t="s">
        <v>5720</v>
      </c>
    </row>
    <row r="3340">
      <c r="A3340" s="1">
        <v>3339.0</v>
      </c>
      <c r="B3340" s="1" t="s">
        <v>5721</v>
      </c>
      <c r="C3340" s="1" t="s">
        <v>25</v>
      </c>
      <c r="K3340" s="1">
        <v>10.0</v>
      </c>
      <c r="N3340" s="5">
        <v>45172.0</v>
      </c>
      <c r="Q3340" s="1" t="s">
        <v>55</v>
      </c>
    </row>
    <row r="3341">
      <c r="A3341" s="1">
        <v>3340.0</v>
      </c>
      <c r="B3341" s="1" t="s">
        <v>5722</v>
      </c>
      <c r="C3341" s="1" t="s">
        <v>25</v>
      </c>
      <c r="K3341" s="1">
        <v>90.0</v>
      </c>
      <c r="N3341" s="5">
        <v>45728.0</v>
      </c>
      <c r="Q3341" s="1" t="s">
        <v>5723</v>
      </c>
    </row>
    <row r="3342">
      <c r="A3342" s="1">
        <v>3341.0</v>
      </c>
      <c r="B3342" s="1" t="s">
        <v>5724</v>
      </c>
      <c r="C3342" s="1" t="s">
        <v>25</v>
      </c>
      <c r="K3342" s="1">
        <v>450.0</v>
      </c>
      <c r="N3342" s="5">
        <v>43944.0</v>
      </c>
      <c r="Q3342" s="1" t="s">
        <v>5725</v>
      </c>
    </row>
    <row r="3343">
      <c r="A3343" s="1">
        <v>3342.0</v>
      </c>
      <c r="B3343" s="1" t="s">
        <v>5726</v>
      </c>
      <c r="C3343" s="1" t="s">
        <v>25</v>
      </c>
      <c r="N3343" s="5">
        <v>44235.0</v>
      </c>
      <c r="Q3343" s="1" t="s">
        <v>55</v>
      </c>
    </row>
    <row r="3344">
      <c r="A3344" s="1">
        <v>3343.0</v>
      </c>
      <c r="B3344" s="1" t="s">
        <v>5727</v>
      </c>
      <c r="C3344" s="1" t="s">
        <v>25</v>
      </c>
      <c r="N3344" s="5">
        <v>43918.0</v>
      </c>
      <c r="Q3344" s="1" t="s">
        <v>55</v>
      </c>
    </row>
    <row r="3345">
      <c r="A3345" s="1">
        <v>3344.0</v>
      </c>
      <c r="B3345" s="1" t="s">
        <v>5728</v>
      </c>
      <c r="C3345" s="1" t="s">
        <v>25</v>
      </c>
      <c r="K3345" s="1">
        <v>20.0</v>
      </c>
      <c r="N3345" s="5">
        <v>44824.0</v>
      </c>
      <c r="Q3345" s="1" t="s">
        <v>1396</v>
      </c>
    </row>
    <row r="3346">
      <c r="A3346" s="1">
        <v>3345.0</v>
      </c>
      <c r="B3346" s="1" t="s">
        <v>5729</v>
      </c>
      <c r="C3346" s="1" t="s">
        <v>25</v>
      </c>
      <c r="K3346" s="1">
        <v>90.0</v>
      </c>
      <c r="N3346" s="5">
        <v>43857.0</v>
      </c>
      <c r="Q3346" s="1" t="s">
        <v>125</v>
      </c>
    </row>
    <row r="3347">
      <c r="A3347" s="1">
        <v>3346.0</v>
      </c>
      <c r="B3347" s="1" t="s">
        <v>5730</v>
      </c>
      <c r="C3347" s="1" t="s">
        <v>25</v>
      </c>
      <c r="K3347" s="1">
        <v>150.0</v>
      </c>
      <c r="N3347" s="5">
        <v>43924.0</v>
      </c>
      <c r="Q3347" s="1" t="s">
        <v>5731</v>
      </c>
    </row>
    <row r="3348">
      <c r="A3348" s="1">
        <v>3347.0</v>
      </c>
      <c r="B3348" s="1" t="s">
        <v>5732</v>
      </c>
      <c r="C3348" s="1" t="s">
        <v>25</v>
      </c>
      <c r="K3348" s="1">
        <v>40.0</v>
      </c>
      <c r="N3348" s="5">
        <v>44364.0</v>
      </c>
      <c r="Q3348" s="1" t="s">
        <v>55</v>
      </c>
    </row>
    <row r="3349">
      <c r="A3349" s="1">
        <v>3348.0</v>
      </c>
      <c r="B3349" s="1" t="s">
        <v>5733</v>
      </c>
      <c r="C3349" s="1" t="s">
        <v>25</v>
      </c>
      <c r="K3349" s="1">
        <v>70.0</v>
      </c>
      <c r="N3349" s="5">
        <v>44488.0</v>
      </c>
      <c r="Q3349" s="1" t="s">
        <v>5734</v>
      </c>
    </row>
    <row r="3350">
      <c r="A3350" s="1">
        <v>3349.0</v>
      </c>
      <c r="B3350" s="1" t="s">
        <v>5735</v>
      </c>
      <c r="C3350" s="1" t="s">
        <v>25</v>
      </c>
      <c r="K3350" s="1">
        <v>60.0</v>
      </c>
      <c r="N3350" s="5">
        <v>45705.0</v>
      </c>
      <c r="Q3350" s="1" t="s">
        <v>5736</v>
      </c>
    </row>
    <row r="3351">
      <c r="A3351" s="1">
        <v>3350.0</v>
      </c>
      <c r="B3351" s="1" t="s">
        <v>5737</v>
      </c>
      <c r="C3351" s="1" t="s">
        <v>25</v>
      </c>
      <c r="K3351" s="1">
        <v>20.0</v>
      </c>
      <c r="N3351" s="5">
        <v>45700.0</v>
      </c>
      <c r="Q3351" s="1" t="s">
        <v>5738</v>
      </c>
    </row>
    <row r="3352">
      <c r="A3352" s="1">
        <v>3351.0</v>
      </c>
      <c r="B3352" s="1" t="s">
        <v>5739</v>
      </c>
      <c r="C3352" s="1" t="s">
        <v>25</v>
      </c>
      <c r="K3352" s="1">
        <v>90.0</v>
      </c>
      <c r="N3352" s="5">
        <v>44771.0</v>
      </c>
      <c r="Q3352" s="1" t="s">
        <v>1387</v>
      </c>
    </row>
    <row r="3353">
      <c r="A3353" s="1">
        <v>3352.0</v>
      </c>
      <c r="B3353" s="1" t="s">
        <v>5740</v>
      </c>
      <c r="C3353" s="1" t="s">
        <v>25</v>
      </c>
      <c r="K3353" s="1">
        <v>20.0</v>
      </c>
      <c r="N3353" s="5">
        <v>44424.0</v>
      </c>
      <c r="Q3353" s="1" t="s">
        <v>5741</v>
      </c>
    </row>
    <row r="3354">
      <c r="A3354" s="1">
        <v>3353.0</v>
      </c>
      <c r="B3354" s="1" t="s">
        <v>5742</v>
      </c>
      <c r="C3354" s="1" t="s">
        <v>25</v>
      </c>
      <c r="K3354" s="1">
        <v>30.0</v>
      </c>
      <c r="N3354" s="5">
        <v>44419.0</v>
      </c>
      <c r="Q3354" s="1" t="s">
        <v>3901</v>
      </c>
    </row>
    <row r="3355">
      <c r="A3355" s="1">
        <v>3354.0</v>
      </c>
      <c r="B3355" s="1" t="s">
        <v>5743</v>
      </c>
      <c r="C3355" s="1" t="s">
        <v>25</v>
      </c>
      <c r="N3355" s="5">
        <v>43963.0</v>
      </c>
      <c r="Q3355" s="1" t="s">
        <v>55</v>
      </c>
    </row>
    <row r="3356">
      <c r="A3356" s="1">
        <v>3355.0</v>
      </c>
      <c r="B3356" s="1" t="s">
        <v>5744</v>
      </c>
      <c r="C3356" s="1" t="s">
        <v>25</v>
      </c>
      <c r="N3356" s="5">
        <v>45439.0</v>
      </c>
      <c r="Q3356" s="1" t="s">
        <v>3123</v>
      </c>
    </row>
    <row r="3357">
      <c r="A3357" s="1">
        <v>3356.0</v>
      </c>
      <c r="B3357" s="1" t="s">
        <v>5745</v>
      </c>
      <c r="C3357" s="1" t="s">
        <v>25</v>
      </c>
      <c r="N3357" s="5">
        <v>44357.0</v>
      </c>
      <c r="Q3357" s="1" t="s">
        <v>55</v>
      </c>
    </row>
    <row r="3358">
      <c r="A3358" s="1">
        <v>3357.0</v>
      </c>
      <c r="B3358" s="1" t="s">
        <v>5746</v>
      </c>
      <c r="C3358" s="1" t="s">
        <v>25</v>
      </c>
      <c r="N3358" s="5">
        <v>44250.0</v>
      </c>
      <c r="Q3358" s="1" t="s">
        <v>55</v>
      </c>
    </row>
    <row r="3359">
      <c r="A3359" s="1">
        <v>3358.0</v>
      </c>
      <c r="B3359" s="1" t="s">
        <v>5747</v>
      </c>
      <c r="C3359" s="1" t="s">
        <v>25</v>
      </c>
      <c r="K3359" s="1">
        <v>50.0</v>
      </c>
      <c r="N3359" s="5">
        <v>45604.0</v>
      </c>
      <c r="Q3359" s="1" t="s">
        <v>5748</v>
      </c>
    </row>
    <row r="3360">
      <c r="A3360" s="1">
        <v>3359.0</v>
      </c>
      <c r="B3360" s="1" t="s">
        <v>5749</v>
      </c>
      <c r="C3360" s="1" t="s">
        <v>25</v>
      </c>
      <c r="K3360" s="1">
        <v>60.0</v>
      </c>
      <c r="N3360" s="5">
        <v>45056.0</v>
      </c>
      <c r="Q3360" s="1" t="s">
        <v>5750</v>
      </c>
    </row>
    <row r="3361">
      <c r="A3361" s="1">
        <v>3360.0</v>
      </c>
      <c r="B3361" s="1" t="s">
        <v>5751</v>
      </c>
      <c r="C3361" s="1" t="s">
        <v>25</v>
      </c>
      <c r="K3361" s="1">
        <v>500.0</v>
      </c>
      <c r="N3361" s="5">
        <v>43843.0</v>
      </c>
      <c r="Q3361" s="1" t="s">
        <v>5752</v>
      </c>
    </row>
    <row r="3362">
      <c r="A3362" s="1">
        <v>3361.0</v>
      </c>
      <c r="B3362" s="1" t="s">
        <v>5753</v>
      </c>
      <c r="C3362" s="1" t="s">
        <v>25</v>
      </c>
      <c r="K3362" s="1">
        <v>60.0</v>
      </c>
      <c r="N3362" s="5">
        <v>43961.0</v>
      </c>
      <c r="Q3362" s="1" t="s">
        <v>1218</v>
      </c>
    </row>
    <row r="3363">
      <c r="A3363" s="1">
        <v>3362.0</v>
      </c>
      <c r="B3363" s="1" t="s">
        <v>5754</v>
      </c>
      <c r="C3363" s="1" t="s">
        <v>25</v>
      </c>
      <c r="K3363" s="1">
        <v>30.0</v>
      </c>
      <c r="N3363" s="5">
        <v>44462.0</v>
      </c>
      <c r="Q3363" s="1" t="s">
        <v>55</v>
      </c>
    </row>
    <row r="3364">
      <c r="A3364" s="1">
        <v>3363.0</v>
      </c>
      <c r="B3364" s="1" t="s">
        <v>5755</v>
      </c>
      <c r="C3364" s="1" t="s">
        <v>25</v>
      </c>
      <c r="K3364" s="1">
        <v>50.0</v>
      </c>
      <c r="N3364" s="5">
        <v>44669.0</v>
      </c>
      <c r="Q3364" s="1" t="s">
        <v>5756</v>
      </c>
    </row>
    <row r="3365">
      <c r="A3365" s="1">
        <v>3364.0</v>
      </c>
      <c r="B3365" s="1" t="s">
        <v>5757</v>
      </c>
      <c r="C3365" s="1" t="s">
        <v>25</v>
      </c>
      <c r="N3365" s="5">
        <v>44013.0</v>
      </c>
      <c r="Q3365" s="1" t="s">
        <v>55</v>
      </c>
    </row>
    <row r="3366">
      <c r="A3366" s="1">
        <v>3365.0</v>
      </c>
      <c r="B3366" s="1" t="s">
        <v>5758</v>
      </c>
      <c r="C3366" s="1" t="s">
        <v>25</v>
      </c>
      <c r="K3366" s="1">
        <v>450.0</v>
      </c>
      <c r="N3366" s="5">
        <v>43879.0</v>
      </c>
      <c r="Q3366" s="1" t="s">
        <v>5759</v>
      </c>
    </row>
    <row r="3367">
      <c r="A3367" s="1">
        <v>3366.0</v>
      </c>
      <c r="B3367" s="1" t="s">
        <v>5760</v>
      </c>
      <c r="C3367" s="1" t="s">
        <v>25</v>
      </c>
      <c r="N3367" s="5">
        <v>44391.0</v>
      </c>
      <c r="Q3367" s="1" t="s">
        <v>46</v>
      </c>
    </row>
    <row r="3368">
      <c r="A3368" s="1">
        <v>3367.0</v>
      </c>
      <c r="B3368" s="1" t="s">
        <v>5761</v>
      </c>
      <c r="C3368" s="1" t="s">
        <v>25</v>
      </c>
      <c r="K3368" s="1">
        <v>40.0</v>
      </c>
      <c r="N3368" s="5">
        <v>44249.0</v>
      </c>
      <c r="Q3368" s="1" t="s">
        <v>55</v>
      </c>
    </row>
    <row r="3369">
      <c r="A3369" s="1">
        <v>3368.0</v>
      </c>
      <c r="B3369" s="1" t="s">
        <v>5762</v>
      </c>
      <c r="C3369" s="1" t="s">
        <v>25</v>
      </c>
      <c r="K3369" s="1">
        <v>60.0</v>
      </c>
      <c r="N3369" s="5">
        <v>44370.0</v>
      </c>
      <c r="Q3369" s="1" t="s">
        <v>5152</v>
      </c>
    </row>
    <row r="3370">
      <c r="A3370" s="1">
        <v>3369.0</v>
      </c>
      <c r="B3370" s="1" t="s">
        <v>5763</v>
      </c>
      <c r="C3370" s="1" t="s">
        <v>25</v>
      </c>
      <c r="K3370" s="1">
        <v>20.0</v>
      </c>
      <c r="N3370" s="5">
        <v>44810.0</v>
      </c>
      <c r="Q3370" s="1" t="s">
        <v>55</v>
      </c>
    </row>
    <row r="3371">
      <c r="A3371" s="1">
        <v>3370.0</v>
      </c>
      <c r="B3371" s="1" t="s">
        <v>5764</v>
      </c>
      <c r="C3371" s="1" t="s">
        <v>25</v>
      </c>
      <c r="K3371" s="1">
        <v>10.0</v>
      </c>
      <c r="N3371" s="5">
        <v>44939.0</v>
      </c>
      <c r="Q3371" s="1" t="s">
        <v>5765</v>
      </c>
    </row>
    <row r="3372">
      <c r="A3372" s="1">
        <v>3371.0</v>
      </c>
      <c r="B3372" s="1" t="s">
        <v>5766</v>
      </c>
      <c r="C3372" s="1" t="s">
        <v>25</v>
      </c>
      <c r="K3372" s="1">
        <v>90.0</v>
      </c>
      <c r="N3372" s="5">
        <v>43865.0</v>
      </c>
      <c r="Q3372" s="1" t="s">
        <v>5767</v>
      </c>
    </row>
    <row r="3373">
      <c r="A3373" s="1">
        <v>3372.0</v>
      </c>
      <c r="B3373" s="1" t="s">
        <v>5768</v>
      </c>
      <c r="C3373" s="1" t="s">
        <v>25</v>
      </c>
      <c r="K3373" s="1">
        <v>60.0</v>
      </c>
      <c r="N3373" s="5">
        <v>45651.0</v>
      </c>
      <c r="Q3373" s="1" t="s">
        <v>5769</v>
      </c>
    </row>
    <row r="3374">
      <c r="A3374" s="1">
        <v>3373.0</v>
      </c>
      <c r="B3374" s="1" t="s">
        <v>5770</v>
      </c>
      <c r="C3374" s="1" t="s">
        <v>25</v>
      </c>
      <c r="K3374" s="1">
        <v>200.0</v>
      </c>
      <c r="N3374" s="5">
        <v>45015.0</v>
      </c>
      <c r="Q3374" s="1" t="s">
        <v>5771</v>
      </c>
    </row>
    <row r="3375">
      <c r="A3375" s="1">
        <v>3374.0</v>
      </c>
      <c r="B3375" s="1" t="s">
        <v>5772</v>
      </c>
      <c r="C3375" s="1" t="s">
        <v>25</v>
      </c>
      <c r="K3375" s="1">
        <v>20.0</v>
      </c>
      <c r="N3375" s="5">
        <v>44133.0</v>
      </c>
      <c r="Q3375" s="1" t="s">
        <v>5773</v>
      </c>
    </row>
    <row r="3376">
      <c r="A3376" s="1">
        <v>3375.0</v>
      </c>
      <c r="B3376" s="1" t="s">
        <v>5774</v>
      </c>
      <c r="C3376" s="1" t="s">
        <v>25</v>
      </c>
      <c r="K3376" s="1">
        <v>20.0</v>
      </c>
      <c r="N3376" s="5">
        <v>46078.0</v>
      </c>
      <c r="Q3376" s="1" t="s">
        <v>5775</v>
      </c>
    </row>
    <row r="3377">
      <c r="A3377" s="1">
        <v>3376.0</v>
      </c>
      <c r="B3377" s="1" t="s">
        <v>5776</v>
      </c>
      <c r="C3377" s="1" t="s">
        <v>25</v>
      </c>
      <c r="K3377" s="1">
        <v>900.0</v>
      </c>
      <c r="N3377" s="5">
        <v>43893.0</v>
      </c>
      <c r="Q3377" s="1" t="s">
        <v>5777</v>
      </c>
    </row>
    <row r="3378">
      <c r="A3378" s="1">
        <v>3377.0</v>
      </c>
      <c r="B3378" s="1" t="s">
        <v>5778</v>
      </c>
      <c r="C3378" s="1" t="s">
        <v>25</v>
      </c>
      <c r="N3378" s="5">
        <v>44138.0</v>
      </c>
      <c r="Q3378" s="1" t="s">
        <v>55</v>
      </c>
    </row>
    <row r="3379">
      <c r="A3379" s="1">
        <v>3378.0</v>
      </c>
      <c r="B3379" s="1" t="s">
        <v>5779</v>
      </c>
      <c r="C3379" s="1" t="s">
        <v>25</v>
      </c>
      <c r="N3379" s="5">
        <v>44165.0</v>
      </c>
      <c r="Q3379" s="1" t="s">
        <v>55</v>
      </c>
    </row>
    <row r="3380">
      <c r="A3380" s="1">
        <v>3379.0</v>
      </c>
      <c r="B3380" s="1" t="s">
        <v>5780</v>
      </c>
      <c r="C3380" s="1" t="s">
        <v>25</v>
      </c>
      <c r="N3380" s="5">
        <v>44053.0</v>
      </c>
      <c r="Q3380" s="1" t="s">
        <v>55</v>
      </c>
    </row>
    <row r="3381">
      <c r="A3381" s="1">
        <v>3380.0</v>
      </c>
      <c r="B3381" s="1" t="s">
        <v>5781</v>
      </c>
      <c r="C3381" s="1" t="s">
        <v>25</v>
      </c>
      <c r="K3381" s="1">
        <v>40.0</v>
      </c>
      <c r="N3381" s="5">
        <v>44657.0</v>
      </c>
      <c r="Q3381" s="1" t="s">
        <v>55</v>
      </c>
    </row>
    <row r="3382">
      <c r="A3382" s="1">
        <v>3381.0</v>
      </c>
      <c r="B3382" s="1" t="s">
        <v>5782</v>
      </c>
      <c r="C3382" s="1" t="s">
        <v>25</v>
      </c>
      <c r="K3382" s="1">
        <v>250.0</v>
      </c>
      <c r="N3382" s="5">
        <v>44667.0</v>
      </c>
      <c r="Q3382" s="1" t="s">
        <v>5783</v>
      </c>
    </row>
    <row r="3383">
      <c r="A3383" s="1">
        <v>3382.0</v>
      </c>
      <c r="B3383" s="1" t="s">
        <v>5784</v>
      </c>
      <c r="C3383" s="1" t="s">
        <v>25</v>
      </c>
      <c r="K3383" s="1">
        <v>150.0</v>
      </c>
      <c r="N3383" s="5">
        <v>44031.0</v>
      </c>
      <c r="Q3383" s="1" t="s">
        <v>5785</v>
      </c>
    </row>
    <row r="3384">
      <c r="A3384" s="1">
        <v>3383.0</v>
      </c>
      <c r="B3384" s="1" t="s">
        <v>5786</v>
      </c>
      <c r="C3384" s="1" t="s">
        <v>25</v>
      </c>
      <c r="K3384" s="1">
        <v>300.0</v>
      </c>
      <c r="N3384" s="5">
        <v>43908.0</v>
      </c>
      <c r="Q3384" s="1" t="s">
        <v>5787</v>
      </c>
    </row>
    <row r="3385">
      <c r="A3385" s="1">
        <v>3384.0</v>
      </c>
      <c r="B3385" s="1" t="s">
        <v>5788</v>
      </c>
      <c r="C3385" s="1" t="s">
        <v>25</v>
      </c>
      <c r="K3385" s="1">
        <v>200.0</v>
      </c>
      <c r="N3385" s="5">
        <v>43863.0</v>
      </c>
      <c r="Q3385" s="1" t="s">
        <v>5789</v>
      </c>
    </row>
    <row r="3386">
      <c r="A3386" s="1">
        <v>3385.0</v>
      </c>
      <c r="B3386" s="1" t="s">
        <v>5790</v>
      </c>
      <c r="C3386" s="1" t="s">
        <v>25</v>
      </c>
      <c r="N3386" s="5">
        <v>44242.0</v>
      </c>
      <c r="Q3386" s="1" t="s">
        <v>55</v>
      </c>
    </row>
    <row r="3387">
      <c r="A3387" s="1">
        <v>3386.0</v>
      </c>
      <c r="B3387" s="1" t="s">
        <v>5791</v>
      </c>
      <c r="C3387" s="1" t="s">
        <v>25</v>
      </c>
      <c r="K3387" s="1">
        <v>60.0</v>
      </c>
      <c r="N3387" s="5">
        <v>44362.0</v>
      </c>
      <c r="Q3387" s="1" t="s">
        <v>5792</v>
      </c>
    </row>
    <row r="3388">
      <c r="A3388" s="1">
        <v>3387.0</v>
      </c>
      <c r="B3388" s="1" t="s">
        <v>5793</v>
      </c>
      <c r="C3388" s="1" t="s">
        <v>25</v>
      </c>
      <c r="K3388" s="1">
        <v>40.0</v>
      </c>
      <c r="N3388" s="5">
        <v>44446.0</v>
      </c>
      <c r="Q3388" s="1" t="s">
        <v>5794</v>
      </c>
    </row>
    <row r="3389">
      <c r="A3389" s="1">
        <v>3388.0</v>
      </c>
      <c r="B3389" s="1" t="s">
        <v>5795</v>
      </c>
      <c r="C3389" s="1" t="s">
        <v>25</v>
      </c>
      <c r="N3389" s="5">
        <v>44155.0</v>
      </c>
      <c r="Q3389" s="1" t="s">
        <v>55</v>
      </c>
    </row>
    <row r="3390">
      <c r="A3390" s="1">
        <v>3389.0</v>
      </c>
      <c r="B3390" s="1" t="s">
        <v>5796</v>
      </c>
      <c r="C3390" s="1" t="s">
        <v>25</v>
      </c>
      <c r="K3390" s="1">
        <v>10.0</v>
      </c>
      <c r="N3390" s="5">
        <v>44254.0</v>
      </c>
      <c r="Q3390" s="1" t="s">
        <v>203</v>
      </c>
    </row>
    <row r="3391">
      <c r="A3391" s="1">
        <v>3390.0</v>
      </c>
      <c r="B3391" s="1" t="s">
        <v>5797</v>
      </c>
      <c r="C3391" s="1" t="s">
        <v>25</v>
      </c>
      <c r="N3391" s="5">
        <v>44129.0</v>
      </c>
      <c r="Q3391" s="1" t="s">
        <v>55</v>
      </c>
    </row>
    <row r="3392">
      <c r="A3392" s="1">
        <v>3391.0</v>
      </c>
      <c r="B3392" s="1" t="s">
        <v>5798</v>
      </c>
      <c r="C3392" s="1" t="s">
        <v>25</v>
      </c>
      <c r="K3392" s="1">
        <v>500.0</v>
      </c>
      <c r="N3392" s="5">
        <v>45354.0</v>
      </c>
      <c r="Q3392" s="1" t="s">
        <v>5799</v>
      </c>
    </row>
    <row r="3393">
      <c r="A3393" s="1">
        <v>3392.0</v>
      </c>
      <c r="B3393" s="1" t="s">
        <v>5800</v>
      </c>
      <c r="C3393" s="1" t="s">
        <v>25</v>
      </c>
      <c r="N3393" s="5">
        <v>43941.0</v>
      </c>
      <c r="Q3393" s="1" t="s">
        <v>55</v>
      </c>
    </row>
    <row r="3394">
      <c r="A3394" s="1">
        <v>3393.0</v>
      </c>
      <c r="B3394" s="1" t="s">
        <v>5801</v>
      </c>
      <c r="C3394" s="1" t="s">
        <v>25</v>
      </c>
      <c r="N3394" s="5">
        <v>44269.0</v>
      </c>
      <c r="Q3394" s="1" t="s">
        <v>55</v>
      </c>
    </row>
    <row r="3395">
      <c r="A3395" s="1">
        <v>3394.0</v>
      </c>
      <c r="B3395" s="1" t="s">
        <v>5802</v>
      </c>
      <c r="C3395" s="1" t="s">
        <v>25</v>
      </c>
      <c r="N3395" s="5">
        <v>44100.0</v>
      </c>
      <c r="Q3395" s="1" t="s">
        <v>55</v>
      </c>
    </row>
    <row r="3396">
      <c r="A3396" s="1">
        <v>3395.0</v>
      </c>
      <c r="B3396" s="1" t="s">
        <v>291</v>
      </c>
      <c r="C3396" s="1" t="s">
        <v>25</v>
      </c>
      <c r="K3396" s="1">
        <v>70.0</v>
      </c>
      <c r="N3396" s="5">
        <v>43975.0</v>
      </c>
      <c r="Q3396" s="1" t="s">
        <v>294</v>
      </c>
    </row>
    <row r="3397">
      <c r="A3397" s="1">
        <v>3396.0</v>
      </c>
      <c r="B3397" s="1" t="s">
        <v>5803</v>
      </c>
      <c r="C3397" s="1" t="s">
        <v>25</v>
      </c>
      <c r="K3397" s="1">
        <v>90.0</v>
      </c>
      <c r="N3397" s="5">
        <v>43863.0</v>
      </c>
      <c r="Q3397" s="1" t="s">
        <v>5010</v>
      </c>
    </row>
    <row r="3398">
      <c r="A3398" s="1">
        <v>3397.0</v>
      </c>
      <c r="B3398" s="1" t="s">
        <v>5804</v>
      </c>
      <c r="C3398" s="1" t="s">
        <v>25</v>
      </c>
      <c r="K3398" s="1">
        <v>700.0</v>
      </c>
      <c r="N3398" s="5">
        <v>43887.0</v>
      </c>
      <c r="Q3398" s="1" t="s">
        <v>5805</v>
      </c>
    </row>
    <row r="3399">
      <c r="A3399" s="1">
        <v>3398.0</v>
      </c>
      <c r="B3399" s="1" t="s">
        <v>5806</v>
      </c>
      <c r="C3399" s="1" t="s">
        <v>25</v>
      </c>
      <c r="K3399" s="1">
        <v>300.0</v>
      </c>
      <c r="N3399" s="5">
        <v>43925.0</v>
      </c>
      <c r="Q3399" s="1" t="s">
        <v>5807</v>
      </c>
    </row>
    <row r="3400">
      <c r="A3400" s="1">
        <v>3399.0</v>
      </c>
      <c r="B3400" s="1" t="s">
        <v>5808</v>
      </c>
      <c r="C3400" s="1" t="s">
        <v>25</v>
      </c>
      <c r="K3400" s="1">
        <v>150.0</v>
      </c>
      <c r="N3400" s="5">
        <v>44567.0</v>
      </c>
      <c r="Q3400" s="1" t="s">
        <v>3352</v>
      </c>
    </row>
    <row r="3401">
      <c r="A3401" s="1">
        <v>3400.0</v>
      </c>
      <c r="B3401" s="1" t="s">
        <v>5809</v>
      </c>
      <c r="C3401" s="1" t="s">
        <v>25</v>
      </c>
      <c r="N3401" s="5">
        <v>44131.0</v>
      </c>
      <c r="Q3401" s="1" t="s">
        <v>55</v>
      </c>
    </row>
    <row r="3402">
      <c r="A3402" s="1">
        <v>3401.0</v>
      </c>
      <c r="B3402" s="1" t="s">
        <v>5810</v>
      </c>
      <c r="C3402" s="1" t="s">
        <v>25</v>
      </c>
      <c r="K3402" s="1">
        <v>20.0</v>
      </c>
      <c r="N3402" s="5">
        <v>44502.0</v>
      </c>
      <c r="Q3402" s="1" t="s">
        <v>93</v>
      </c>
    </row>
    <row r="3403">
      <c r="A3403" s="1">
        <v>3402.0</v>
      </c>
      <c r="B3403" s="1" t="s">
        <v>5811</v>
      </c>
      <c r="C3403" s="1" t="s">
        <v>25</v>
      </c>
      <c r="K3403" s="1">
        <v>40.0</v>
      </c>
      <c r="N3403" s="5">
        <v>44496.0</v>
      </c>
      <c r="Q3403" s="1" t="s">
        <v>5812</v>
      </c>
    </row>
    <row r="3404">
      <c r="A3404" s="1">
        <v>3403.0</v>
      </c>
      <c r="B3404" s="1" t="s">
        <v>5813</v>
      </c>
      <c r="C3404" s="1" t="s">
        <v>25</v>
      </c>
      <c r="N3404" s="5">
        <v>42376.0</v>
      </c>
      <c r="Q3404" s="1" t="s">
        <v>55</v>
      </c>
    </row>
    <row r="3405">
      <c r="A3405" s="1">
        <v>3404.0</v>
      </c>
      <c r="B3405" s="1" t="s">
        <v>5814</v>
      </c>
      <c r="C3405" s="1" t="s">
        <v>25</v>
      </c>
      <c r="K3405" s="1">
        <v>10.0</v>
      </c>
      <c r="N3405" s="5">
        <v>44830.0</v>
      </c>
      <c r="Q3405" s="1" t="s">
        <v>5815</v>
      </c>
    </row>
    <row r="3406">
      <c r="A3406" s="1">
        <v>3405.0</v>
      </c>
      <c r="B3406" s="1" t="s">
        <v>5816</v>
      </c>
      <c r="C3406" s="1" t="s">
        <v>25</v>
      </c>
      <c r="K3406" s="1">
        <v>70.0</v>
      </c>
      <c r="N3406" s="5">
        <v>45722.0</v>
      </c>
      <c r="Q3406" s="1" t="s">
        <v>2623</v>
      </c>
    </row>
    <row r="3407">
      <c r="A3407" s="1">
        <v>3406.0</v>
      </c>
      <c r="B3407" s="1" t="s">
        <v>5817</v>
      </c>
      <c r="C3407" s="1" t="s">
        <v>25</v>
      </c>
      <c r="N3407" s="5">
        <v>45382.0</v>
      </c>
      <c r="Q3407" s="1" t="s">
        <v>5818</v>
      </c>
    </row>
    <row r="3408">
      <c r="A3408" s="1">
        <v>3407.0</v>
      </c>
      <c r="B3408" s="1" t="s">
        <v>5819</v>
      </c>
      <c r="C3408" s="1" t="s">
        <v>25</v>
      </c>
      <c r="K3408" s="1">
        <v>10.0</v>
      </c>
      <c r="N3408" s="5">
        <v>44248.0</v>
      </c>
      <c r="Q3408" s="1" t="s">
        <v>55</v>
      </c>
    </row>
    <row r="3409">
      <c r="A3409" s="1">
        <v>3408.0</v>
      </c>
      <c r="B3409" s="1" t="s">
        <v>5820</v>
      </c>
      <c r="C3409" s="1" t="s">
        <v>25</v>
      </c>
      <c r="K3409" s="1">
        <v>20.0</v>
      </c>
      <c r="N3409" s="5">
        <v>45611.0</v>
      </c>
      <c r="Q3409" s="1" t="s">
        <v>4251</v>
      </c>
    </row>
    <row r="3410">
      <c r="A3410" s="1">
        <v>3409.0</v>
      </c>
      <c r="B3410" s="1" t="s">
        <v>5821</v>
      </c>
      <c r="C3410" s="1" t="s">
        <v>25</v>
      </c>
      <c r="K3410" s="1">
        <v>80.0</v>
      </c>
      <c r="N3410" s="5">
        <v>44551.0</v>
      </c>
      <c r="Q3410" s="1" t="s">
        <v>1387</v>
      </c>
    </row>
    <row r="3411">
      <c r="A3411" s="1">
        <v>3410.0</v>
      </c>
      <c r="B3411" s="1" t="s">
        <v>5822</v>
      </c>
      <c r="C3411" s="1" t="s">
        <v>25</v>
      </c>
      <c r="K3411" s="1">
        <v>50.0</v>
      </c>
      <c r="N3411" s="5">
        <v>44199.0</v>
      </c>
      <c r="Q3411" s="1" t="s">
        <v>5823</v>
      </c>
    </row>
    <row r="3412">
      <c r="A3412" s="1">
        <v>3411.0</v>
      </c>
      <c r="B3412" s="1" t="s">
        <v>5824</v>
      </c>
      <c r="C3412" s="1" t="s">
        <v>25</v>
      </c>
      <c r="K3412" s="1">
        <v>50.0</v>
      </c>
      <c r="N3412" s="5">
        <v>44433.0</v>
      </c>
      <c r="Q3412" s="1" t="s">
        <v>1471</v>
      </c>
    </row>
    <row r="3413">
      <c r="A3413" s="1">
        <v>3412.0</v>
      </c>
      <c r="B3413" s="1" t="s">
        <v>5825</v>
      </c>
      <c r="C3413" s="1" t="s">
        <v>25</v>
      </c>
      <c r="K3413" s="1">
        <v>200.0</v>
      </c>
      <c r="N3413" s="5">
        <v>44050.0</v>
      </c>
      <c r="Q3413" s="1" t="s">
        <v>5826</v>
      </c>
    </row>
    <row r="3414">
      <c r="A3414" s="1">
        <v>3413.0</v>
      </c>
      <c r="B3414" s="1" t="s">
        <v>5827</v>
      </c>
      <c r="C3414" s="1" t="s">
        <v>25</v>
      </c>
      <c r="K3414" s="1">
        <v>40.0</v>
      </c>
      <c r="N3414" s="5">
        <v>45685.0</v>
      </c>
      <c r="Q3414" s="1" t="s">
        <v>4106</v>
      </c>
    </row>
    <row r="3415">
      <c r="A3415" s="1">
        <v>3414.0</v>
      </c>
      <c r="B3415" s="1" t="s">
        <v>5828</v>
      </c>
      <c r="C3415" s="1" t="s">
        <v>25</v>
      </c>
      <c r="K3415" s="1">
        <v>60.0</v>
      </c>
      <c r="N3415" s="5">
        <v>44077.0</v>
      </c>
      <c r="Q3415" s="1" t="s">
        <v>5829</v>
      </c>
    </row>
    <row r="3416">
      <c r="A3416" s="1">
        <v>3415.0</v>
      </c>
      <c r="B3416" s="1" t="s">
        <v>5830</v>
      </c>
      <c r="C3416" s="1" t="s">
        <v>25</v>
      </c>
      <c r="N3416" s="5">
        <v>45163.0</v>
      </c>
      <c r="Q3416" s="1" t="s">
        <v>55</v>
      </c>
    </row>
    <row r="3417">
      <c r="A3417" s="1">
        <v>3416.0</v>
      </c>
      <c r="B3417" s="1" t="s">
        <v>5831</v>
      </c>
      <c r="C3417" s="1" t="s">
        <v>25</v>
      </c>
      <c r="K3417" s="1">
        <v>200.0</v>
      </c>
      <c r="N3417" s="5">
        <v>44028.0</v>
      </c>
      <c r="Q3417" s="1" t="s">
        <v>5832</v>
      </c>
    </row>
    <row r="3418">
      <c r="A3418" s="1">
        <v>3417.0</v>
      </c>
      <c r="B3418" s="1" t="s">
        <v>5833</v>
      </c>
      <c r="C3418" s="1" t="s">
        <v>25</v>
      </c>
      <c r="K3418" s="1">
        <v>200.0</v>
      </c>
      <c r="N3418" s="5">
        <v>43843.0</v>
      </c>
      <c r="Q3418" s="1" t="s">
        <v>5834</v>
      </c>
    </row>
    <row r="3419">
      <c r="A3419" s="1">
        <v>3418.0</v>
      </c>
      <c r="B3419" s="1" t="s">
        <v>5835</v>
      </c>
      <c r="C3419" s="1" t="s">
        <v>25</v>
      </c>
      <c r="K3419" s="1">
        <v>30.0</v>
      </c>
      <c r="N3419" s="5">
        <v>44875.0</v>
      </c>
      <c r="Q3419" s="1" t="s">
        <v>55</v>
      </c>
    </row>
    <row r="3420">
      <c r="A3420" s="1">
        <v>3419.0</v>
      </c>
      <c r="B3420" s="1" t="s">
        <v>5836</v>
      </c>
      <c r="C3420" s="1" t="s">
        <v>25</v>
      </c>
      <c r="K3420" s="1">
        <v>90.0</v>
      </c>
      <c r="N3420" s="5">
        <v>45791.0</v>
      </c>
      <c r="Q3420" s="1" t="s">
        <v>4600</v>
      </c>
    </row>
    <row r="3421">
      <c r="A3421" s="1">
        <v>3420.0</v>
      </c>
      <c r="B3421" s="1" t="s">
        <v>5837</v>
      </c>
      <c r="C3421" s="1" t="s">
        <v>25</v>
      </c>
      <c r="K3421" s="1">
        <v>60.0</v>
      </c>
      <c r="N3421" s="5">
        <v>45472.0</v>
      </c>
      <c r="Q3421" s="1" t="s">
        <v>2169</v>
      </c>
    </row>
    <row r="3422">
      <c r="A3422" s="1">
        <v>3421.0</v>
      </c>
      <c r="B3422" s="1" t="s">
        <v>5838</v>
      </c>
      <c r="C3422" s="1" t="s">
        <v>25</v>
      </c>
      <c r="K3422" s="1">
        <v>10.0</v>
      </c>
      <c r="N3422" s="5">
        <v>44374.0</v>
      </c>
      <c r="Q3422" s="1" t="s">
        <v>55</v>
      </c>
    </row>
    <row r="3423">
      <c r="A3423" s="1">
        <v>3422.0</v>
      </c>
      <c r="B3423" s="1" t="s">
        <v>5839</v>
      </c>
      <c r="C3423" s="1" t="s">
        <v>25</v>
      </c>
      <c r="K3423" s="1">
        <v>50.0</v>
      </c>
      <c r="N3423" s="5">
        <v>44308.0</v>
      </c>
      <c r="Q3423" s="1" t="s">
        <v>5840</v>
      </c>
    </row>
    <row r="3424">
      <c r="A3424" s="1">
        <v>3423.0</v>
      </c>
      <c r="B3424" s="1" t="s">
        <v>5841</v>
      </c>
      <c r="C3424" s="1" t="s">
        <v>25</v>
      </c>
      <c r="K3424" s="1">
        <v>150.0</v>
      </c>
      <c r="N3424" s="5">
        <v>44070.0</v>
      </c>
      <c r="Q3424" s="1" t="s">
        <v>5842</v>
      </c>
    </row>
    <row r="3425">
      <c r="A3425" s="1">
        <v>3424.0</v>
      </c>
      <c r="B3425" s="1" t="s">
        <v>5843</v>
      </c>
      <c r="C3425" s="1" t="s">
        <v>25</v>
      </c>
      <c r="K3425" s="1">
        <v>50.0</v>
      </c>
      <c r="N3425" s="5">
        <v>43929.0</v>
      </c>
      <c r="Q3425" s="1" t="s">
        <v>5844</v>
      </c>
    </row>
    <row r="3426">
      <c r="A3426" s="1">
        <v>3425.0</v>
      </c>
      <c r="B3426" s="1" t="s">
        <v>5845</v>
      </c>
      <c r="C3426" s="1" t="s">
        <v>25</v>
      </c>
      <c r="K3426" s="1">
        <v>80.0</v>
      </c>
      <c r="N3426" s="5">
        <v>44417.0</v>
      </c>
      <c r="Q3426" s="1" t="s">
        <v>5846</v>
      </c>
    </row>
    <row r="3427">
      <c r="A3427" s="1">
        <v>3426.0</v>
      </c>
      <c r="B3427" s="1" t="s">
        <v>5847</v>
      </c>
      <c r="C3427" s="1" t="s">
        <v>25</v>
      </c>
      <c r="K3427" s="1">
        <v>100.0</v>
      </c>
      <c r="N3427" s="5">
        <v>44113.0</v>
      </c>
      <c r="Q3427" s="1" t="s">
        <v>55</v>
      </c>
    </row>
    <row r="3428">
      <c r="A3428" s="1">
        <v>3427.0</v>
      </c>
      <c r="B3428" s="1" t="s">
        <v>5848</v>
      </c>
      <c r="C3428" s="1" t="s">
        <v>25</v>
      </c>
      <c r="K3428" s="1">
        <v>20.0</v>
      </c>
      <c r="N3428" s="5">
        <v>44055.0</v>
      </c>
      <c r="Q3428" s="1" t="s">
        <v>684</v>
      </c>
    </row>
    <row r="3429">
      <c r="A3429" s="1">
        <v>3428.0</v>
      </c>
      <c r="B3429" s="1" t="s">
        <v>5849</v>
      </c>
      <c r="C3429" s="1" t="s">
        <v>25</v>
      </c>
      <c r="N3429" s="5">
        <v>45215.0</v>
      </c>
      <c r="Q3429" s="1" t="s">
        <v>2022</v>
      </c>
    </row>
    <row r="3430">
      <c r="A3430" s="1">
        <v>3429.0</v>
      </c>
      <c r="B3430" s="1" t="s">
        <v>5850</v>
      </c>
      <c r="C3430" s="1" t="s">
        <v>25</v>
      </c>
      <c r="K3430" s="1">
        <v>100.0</v>
      </c>
      <c r="N3430" s="5">
        <v>45773.0</v>
      </c>
      <c r="Q3430" s="1" t="s">
        <v>5851</v>
      </c>
    </row>
    <row r="3431">
      <c r="A3431" s="1">
        <v>3430.0</v>
      </c>
      <c r="B3431" s="1" t="s">
        <v>5852</v>
      </c>
      <c r="C3431" s="1" t="s">
        <v>25</v>
      </c>
      <c r="K3431" s="1">
        <v>40.0</v>
      </c>
      <c r="N3431" s="5">
        <v>43912.0</v>
      </c>
      <c r="Q3431" s="1" t="s">
        <v>5853</v>
      </c>
    </row>
    <row r="3432">
      <c r="A3432" s="1">
        <v>3431.0</v>
      </c>
      <c r="B3432" s="1" t="s">
        <v>5854</v>
      </c>
      <c r="C3432" s="1" t="s">
        <v>25</v>
      </c>
      <c r="K3432" s="1">
        <v>10.0</v>
      </c>
      <c r="N3432" s="5">
        <v>45584.0</v>
      </c>
      <c r="Q3432" s="1" t="s">
        <v>5855</v>
      </c>
    </row>
    <row r="3433">
      <c r="A3433" s="1">
        <v>3432.0</v>
      </c>
      <c r="B3433" s="1" t="s">
        <v>5856</v>
      </c>
      <c r="C3433" s="1" t="s">
        <v>25</v>
      </c>
      <c r="K3433" s="1">
        <v>20.0</v>
      </c>
      <c r="N3433" s="5">
        <v>43847.0</v>
      </c>
      <c r="Q3433" s="1" t="s">
        <v>5857</v>
      </c>
    </row>
    <row r="3434">
      <c r="A3434" s="1">
        <v>3433.0</v>
      </c>
      <c r="B3434" s="1" t="s">
        <v>5858</v>
      </c>
      <c r="C3434" s="1" t="s">
        <v>25</v>
      </c>
      <c r="K3434" s="1">
        <v>40.0</v>
      </c>
      <c r="N3434" s="5">
        <v>45624.0</v>
      </c>
      <c r="Q3434" s="1" t="s">
        <v>5859</v>
      </c>
    </row>
    <row r="3435">
      <c r="A3435" s="1">
        <v>3434.0</v>
      </c>
      <c r="B3435" s="1" t="s">
        <v>5860</v>
      </c>
      <c r="C3435" s="1" t="s">
        <v>25</v>
      </c>
      <c r="K3435" s="1">
        <v>150.0</v>
      </c>
      <c r="N3435" s="5">
        <v>45217.0</v>
      </c>
      <c r="Q3435" s="1" t="s">
        <v>5861</v>
      </c>
    </row>
    <row r="3436">
      <c r="A3436" s="1">
        <v>3435.0</v>
      </c>
      <c r="B3436" s="1" t="s">
        <v>5862</v>
      </c>
      <c r="C3436" s="1" t="s">
        <v>25</v>
      </c>
      <c r="K3436" s="1">
        <v>70.0</v>
      </c>
      <c r="N3436" s="5">
        <v>43872.0</v>
      </c>
      <c r="Q3436" s="1" t="s">
        <v>5863</v>
      </c>
    </row>
    <row r="3437">
      <c r="A3437" s="1">
        <v>3436.0</v>
      </c>
      <c r="B3437" s="1" t="s">
        <v>5864</v>
      </c>
      <c r="C3437" s="1" t="s">
        <v>25</v>
      </c>
      <c r="K3437" s="1">
        <v>150.0</v>
      </c>
      <c r="N3437" s="5">
        <v>44076.0</v>
      </c>
      <c r="Q3437" s="1" t="s">
        <v>5865</v>
      </c>
    </row>
    <row r="3438">
      <c r="A3438" s="1">
        <v>3437.0</v>
      </c>
      <c r="B3438" s="1" t="s">
        <v>5866</v>
      </c>
      <c r="C3438" s="1" t="s">
        <v>25</v>
      </c>
      <c r="N3438" s="5">
        <v>44052.0</v>
      </c>
      <c r="Q3438" s="1" t="s">
        <v>55</v>
      </c>
    </row>
    <row r="3439">
      <c r="A3439" s="1">
        <v>3438.0</v>
      </c>
      <c r="B3439" s="1" t="s">
        <v>5867</v>
      </c>
      <c r="C3439" s="1" t="s">
        <v>25</v>
      </c>
      <c r="K3439" s="1">
        <v>30.0</v>
      </c>
      <c r="N3439" s="5">
        <v>44768.0</v>
      </c>
      <c r="Q3439" s="1" t="s">
        <v>5868</v>
      </c>
    </row>
    <row r="3440">
      <c r="A3440" s="1">
        <v>3439.0</v>
      </c>
      <c r="B3440" s="1" t="s">
        <v>5869</v>
      </c>
      <c r="C3440" s="1" t="s">
        <v>25</v>
      </c>
      <c r="K3440" s="1">
        <v>400.0</v>
      </c>
      <c r="N3440" s="5">
        <v>44012.0</v>
      </c>
      <c r="Q3440" s="1" t="s">
        <v>5870</v>
      </c>
    </row>
    <row r="3441">
      <c r="A3441" s="1">
        <v>3440.0</v>
      </c>
      <c r="B3441" s="1" t="s">
        <v>5871</v>
      </c>
      <c r="C3441" s="1" t="s">
        <v>25</v>
      </c>
      <c r="K3441" s="1">
        <v>150.0</v>
      </c>
      <c r="N3441" s="5">
        <v>45157.0</v>
      </c>
      <c r="Q3441" s="1" t="s">
        <v>5872</v>
      </c>
    </row>
    <row r="3442">
      <c r="A3442" s="1">
        <v>3441.0</v>
      </c>
      <c r="B3442" s="1" t="s">
        <v>5873</v>
      </c>
      <c r="C3442" s="1" t="s">
        <v>25</v>
      </c>
      <c r="N3442" s="5">
        <v>45306.0</v>
      </c>
      <c r="Q3442" s="1" t="s">
        <v>606</v>
      </c>
    </row>
    <row r="3443">
      <c r="A3443" s="1">
        <v>3442.0</v>
      </c>
      <c r="B3443" s="1" t="s">
        <v>5874</v>
      </c>
      <c r="C3443" s="1" t="s">
        <v>25</v>
      </c>
      <c r="K3443" s="1">
        <v>10.0</v>
      </c>
      <c r="N3443" s="5">
        <v>45171.0</v>
      </c>
      <c r="Q3443" s="1" t="s">
        <v>55</v>
      </c>
    </row>
    <row r="3444">
      <c r="A3444" s="1">
        <v>3443.0</v>
      </c>
      <c r="B3444" s="1" t="s">
        <v>5875</v>
      </c>
      <c r="C3444" s="1" t="s">
        <v>25</v>
      </c>
      <c r="K3444" s="1">
        <v>60.0</v>
      </c>
      <c r="N3444" s="5">
        <v>44745.0</v>
      </c>
      <c r="Q3444" s="1" t="s">
        <v>5876</v>
      </c>
    </row>
    <row r="3445">
      <c r="A3445" s="1">
        <v>3444.0</v>
      </c>
      <c r="B3445" s="1" t="s">
        <v>5877</v>
      </c>
      <c r="C3445" s="1" t="s">
        <v>25</v>
      </c>
      <c r="K3445" s="1">
        <v>30.0</v>
      </c>
      <c r="N3445" s="5">
        <v>44816.0</v>
      </c>
      <c r="Q3445" s="1" t="s">
        <v>5878</v>
      </c>
    </row>
    <row r="3446">
      <c r="A3446" s="1">
        <v>3445.0</v>
      </c>
      <c r="B3446" s="1" t="s">
        <v>5879</v>
      </c>
      <c r="C3446" s="1" t="s">
        <v>25</v>
      </c>
      <c r="K3446" s="1">
        <v>50.0</v>
      </c>
      <c r="N3446" s="5">
        <v>45255.0</v>
      </c>
      <c r="Q3446" s="1" t="s">
        <v>5880</v>
      </c>
    </row>
    <row r="3447">
      <c r="A3447" s="1">
        <v>3446.0</v>
      </c>
      <c r="B3447" s="1" t="s">
        <v>5881</v>
      </c>
      <c r="C3447" s="1" t="s">
        <v>25</v>
      </c>
      <c r="K3447" s="1">
        <v>70.0</v>
      </c>
      <c r="N3447" s="5">
        <v>44853.0</v>
      </c>
      <c r="Q3447" s="1" t="s">
        <v>3144</v>
      </c>
    </row>
    <row r="3448">
      <c r="A3448" s="1">
        <v>3447.0</v>
      </c>
      <c r="B3448" s="1" t="s">
        <v>5882</v>
      </c>
      <c r="C3448" s="1" t="s">
        <v>25</v>
      </c>
      <c r="K3448" s="1">
        <v>150.0</v>
      </c>
      <c r="N3448" s="5">
        <v>44113.0</v>
      </c>
      <c r="Q3448" s="1" t="s">
        <v>5883</v>
      </c>
    </row>
    <row r="3449">
      <c r="A3449" s="1">
        <v>3448.0</v>
      </c>
      <c r="B3449" s="1" t="s">
        <v>5884</v>
      </c>
      <c r="C3449" s="1" t="s">
        <v>25</v>
      </c>
      <c r="K3449" s="1">
        <v>60.0</v>
      </c>
      <c r="N3449" s="5">
        <v>43887.0</v>
      </c>
      <c r="Q3449" s="1" t="s">
        <v>55</v>
      </c>
    </row>
    <row r="3450">
      <c r="A3450" s="1">
        <v>3449.0</v>
      </c>
      <c r="B3450" s="1" t="s">
        <v>5885</v>
      </c>
      <c r="C3450" s="1" t="s">
        <v>25</v>
      </c>
      <c r="K3450" s="1">
        <v>10.0</v>
      </c>
      <c r="N3450" s="5">
        <v>45291.0</v>
      </c>
      <c r="Q3450" s="1" t="s">
        <v>55</v>
      </c>
    </row>
    <row r="3451">
      <c r="A3451" s="1">
        <v>3450.0</v>
      </c>
      <c r="B3451" s="1" t="s">
        <v>5886</v>
      </c>
      <c r="C3451" s="1" t="s">
        <v>25</v>
      </c>
      <c r="N3451" s="5">
        <v>44143.0</v>
      </c>
      <c r="Q3451" s="1" t="s">
        <v>55</v>
      </c>
    </row>
    <row r="3452">
      <c r="A3452" s="1">
        <v>3451.0</v>
      </c>
      <c r="B3452" s="1" t="s">
        <v>5887</v>
      </c>
      <c r="C3452" s="1" t="s">
        <v>25</v>
      </c>
      <c r="K3452" s="1">
        <v>70.0</v>
      </c>
      <c r="N3452" s="5">
        <v>44607.0</v>
      </c>
      <c r="Q3452" s="1" t="s">
        <v>5888</v>
      </c>
    </row>
    <row r="3453">
      <c r="A3453" s="1">
        <v>3452.0</v>
      </c>
      <c r="B3453" s="1" t="s">
        <v>5889</v>
      </c>
      <c r="C3453" s="1" t="s">
        <v>25</v>
      </c>
      <c r="K3453" s="1">
        <v>10.0</v>
      </c>
      <c r="N3453" s="5">
        <v>44523.0</v>
      </c>
      <c r="Q3453" s="1" t="s">
        <v>55</v>
      </c>
    </row>
    <row r="3454">
      <c r="A3454" s="1">
        <v>3453.0</v>
      </c>
      <c r="B3454" s="1" t="s">
        <v>5890</v>
      </c>
      <c r="C3454" s="1" t="s">
        <v>25</v>
      </c>
      <c r="N3454" s="5">
        <v>44253.0</v>
      </c>
      <c r="Q3454" s="1" t="s">
        <v>55</v>
      </c>
    </row>
    <row r="3455">
      <c r="A3455" s="1">
        <v>3454.0</v>
      </c>
      <c r="B3455" s="1" t="s">
        <v>5891</v>
      </c>
      <c r="C3455" s="1" t="s">
        <v>25</v>
      </c>
      <c r="K3455" s="1">
        <v>10.0</v>
      </c>
      <c r="N3455" s="5">
        <v>44397.0</v>
      </c>
      <c r="Q3455" s="1" t="s">
        <v>5892</v>
      </c>
    </row>
    <row r="3456">
      <c r="A3456" s="1">
        <v>3455.0</v>
      </c>
      <c r="B3456" s="1" t="s">
        <v>5893</v>
      </c>
      <c r="C3456" s="1" t="s">
        <v>25</v>
      </c>
      <c r="K3456" s="1">
        <v>40.0</v>
      </c>
      <c r="N3456" s="5">
        <v>44920.0</v>
      </c>
      <c r="Q3456" s="1" t="s">
        <v>316</v>
      </c>
    </row>
    <row r="3457">
      <c r="A3457" s="1">
        <v>3456.0</v>
      </c>
      <c r="B3457" s="1" t="s">
        <v>5894</v>
      </c>
      <c r="C3457" s="1" t="s">
        <v>25</v>
      </c>
      <c r="K3457" s="1">
        <v>10.0</v>
      </c>
      <c r="N3457" s="5">
        <v>44323.0</v>
      </c>
      <c r="Q3457" s="1" t="s">
        <v>55</v>
      </c>
    </row>
    <row r="3458">
      <c r="A3458" s="1">
        <v>3457.0</v>
      </c>
      <c r="B3458" s="1" t="s">
        <v>5895</v>
      </c>
      <c r="C3458" s="1" t="s">
        <v>25</v>
      </c>
      <c r="K3458" s="1">
        <v>10.0</v>
      </c>
      <c r="N3458" s="5">
        <v>45249.0</v>
      </c>
      <c r="Q3458" s="1" t="s">
        <v>55</v>
      </c>
    </row>
    <row r="3459">
      <c r="A3459" s="1">
        <v>3458.0</v>
      </c>
      <c r="B3459" s="1" t="s">
        <v>5896</v>
      </c>
      <c r="C3459" s="1" t="s">
        <v>25</v>
      </c>
      <c r="K3459" s="1">
        <v>20.0</v>
      </c>
      <c r="N3459" s="5">
        <v>44070.0</v>
      </c>
      <c r="Q3459" s="1" t="s">
        <v>55</v>
      </c>
    </row>
    <row r="3460">
      <c r="A3460" s="1">
        <v>3459.0</v>
      </c>
      <c r="B3460" s="1" t="s">
        <v>5897</v>
      </c>
      <c r="C3460" s="1" t="s">
        <v>25</v>
      </c>
      <c r="K3460" s="1">
        <v>30.0</v>
      </c>
      <c r="N3460" s="5">
        <v>44289.0</v>
      </c>
      <c r="Q3460" s="1" t="s">
        <v>5898</v>
      </c>
    </row>
    <row r="3461">
      <c r="A3461" s="1">
        <v>3460.0</v>
      </c>
      <c r="B3461" s="1" t="s">
        <v>5899</v>
      </c>
      <c r="C3461" s="1" t="s">
        <v>25</v>
      </c>
      <c r="N3461" s="5">
        <v>46101.0</v>
      </c>
      <c r="Q3461" s="1" t="s">
        <v>5900</v>
      </c>
    </row>
    <row r="3462">
      <c r="A3462" s="1">
        <v>3461.0</v>
      </c>
      <c r="B3462" s="1" t="s">
        <v>5901</v>
      </c>
      <c r="C3462" s="1" t="s">
        <v>25</v>
      </c>
      <c r="K3462" s="1">
        <v>60.0</v>
      </c>
      <c r="N3462" s="5">
        <v>44356.0</v>
      </c>
      <c r="Q3462" s="1" t="s">
        <v>5902</v>
      </c>
    </row>
    <row r="3463">
      <c r="A3463" s="1">
        <v>3462.0</v>
      </c>
      <c r="B3463" s="1" t="s">
        <v>5903</v>
      </c>
      <c r="C3463" s="1" t="s">
        <v>25</v>
      </c>
      <c r="K3463" s="1">
        <v>200.0</v>
      </c>
      <c r="N3463" s="5">
        <v>44084.0</v>
      </c>
      <c r="Q3463" s="1" t="s">
        <v>5904</v>
      </c>
    </row>
    <row r="3464">
      <c r="A3464" s="1">
        <v>3463.0</v>
      </c>
      <c r="B3464" s="1" t="s">
        <v>5905</v>
      </c>
      <c r="C3464" s="1" t="s">
        <v>25</v>
      </c>
      <c r="K3464" s="1">
        <v>10.0</v>
      </c>
      <c r="N3464" s="5">
        <v>44127.0</v>
      </c>
      <c r="Q3464" s="1" t="s">
        <v>1726</v>
      </c>
    </row>
    <row r="3465">
      <c r="A3465" s="1">
        <v>3464.0</v>
      </c>
      <c r="B3465" s="1" t="s">
        <v>5906</v>
      </c>
      <c r="C3465" s="1" t="s">
        <v>25</v>
      </c>
      <c r="K3465" s="1">
        <v>30.0</v>
      </c>
      <c r="N3465" s="5">
        <v>45653.0</v>
      </c>
      <c r="Q3465" s="1" t="s">
        <v>5907</v>
      </c>
    </row>
    <row r="3466">
      <c r="A3466" s="1">
        <v>3465.0</v>
      </c>
      <c r="B3466" s="1" t="s">
        <v>5908</v>
      </c>
      <c r="C3466" s="1" t="s">
        <v>25</v>
      </c>
      <c r="N3466" s="5">
        <v>44620.0</v>
      </c>
      <c r="Q3466" s="1" t="s">
        <v>55</v>
      </c>
    </row>
    <row r="3467">
      <c r="A3467" s="1">
        <v>3466.0</v>
      </c>
      <c r="B3467" s="1" t="s">
        <v>5909</v>
      </c>
      <c r="C3467" s="1" t="s">
        <v>25</v>
      </c>
      <c r="K3467" s="1">
        <v>150.0</v>
      </c>
      <c r="N3467" s="5">
        <v>44408.0</v>
      </c>
      <c r="Q3467" s="1" t="s">
        <v>55</v>
      </c>
    </row>
    <row r="3468">
      <c r="A3468" s="1">
        <v>3467.0</v>
      </c>
      <c r="B3468" s="1" t="s">
        <v>5910</v>
      </c>
      <c r="C3468" s="1" t="s">
        <v>25</v>
      </c>
      <c r="N3468" s="5">
        <v>44311.0</v>
      </c>
      <c r="Q3468" s="1" t="s">
        <v>55</v>
      </c>
    </row>
    <row r="3469">
      <c r="A3469" s="1">
        <v>3468.0</v>
      </c>
      <c r="B3469" s="1" t="s">
        <v>5911</v>
      </c>
      <c r="C3469" s="1" t="s">
        <v>25</v>
      </c>
      <c r="K3469" s="1">
        <v>20.0</v>
      </c>
      <c r="N3469" s="5">
        <v>43977.0</v>
      </c>
      <c r="Q3469" s="1" t="s">
        <v>1066</v>
      </c>
    </row>
    <row r="3470">
      <c r="A3470" s="1">
        <v>3469.0</v>
      </c>
      <c r="B3470" s="1" t="s">
        <v>5912</v>
      </c>
      <c r="C3470" s="1" t="s">
        <v>25</v>
      </c>
      <c r="K3470" s="1">
        <v>150.0</v>
      </c>
      <c r="N3470" s="5">
        <v>44268.0</v>
      </c>
      <c r="Q3470" s="1" t="s">
        <v>5913</v>
      </c>
    </row>
    <row r="3471">
      <c r="A3471" s="1">
        <v>3470.0</v>
      </c>
      <c r="B3471" s="1" t="s">
        <v>5914</v>
      </c>
      <c r="C3471" s="1" t="s">
        <v>25</v>
      </c>
      <c r="K3471" s="1">
        <v>50.0</v>
      </c>
      <c r="N3471" s="5">
        <v>44263.0</v>
      </c>
      <c r="Q3471" s="1" t="s">
        <v>5915</v>
      </c>
    </row>
    <row r="3472">
      <c r="A3472" s="1">
        <v>3471.0</v>
      </c>
      <c r="B3472" s="1" t="s">
        <v>5916</v>
      </c>
      <c r="C3472" s="1" t="s">
        <v>25</v>
      </c>
      <c r="K3472" s="1">
        <v>40.0</v>
      </c>
      <c r="N3472" s="5">
        <v>44382.0</v>
      </c>
      <c r="Q3472" s="1" t="s">
        <v>2189</v>
      </c>
    </row>
    <row r="3473">
      <c r="A3473" s="1">
        <v>3472.0</v>
      </c>
      <c r="B3473" s="1" t="s">
        <v>5917</v>
      </c>
      <c r="C3473" s="1" t="s">
        <v>25</v>
      </c>
      <c r="K3473" s="1">
        <v>150.0</v>
      </c>
      <c r="N3473" s="5">
        <v>43860.0</v>
      </c>
      <c r="Q3473" s="1" t="s">
        <v>5918</v>
      </c>
    </row>
    <row r="3474">
      <c r="A3474" s="1">
        <v>3473.0</v>
      </c>
      <c r="B3474" s="1" t="s">
        <v>5919</v>
      </c>
      <c r="C3474" s="1" t="s">
        <v>25</v>
      </c>
      <c r="K3474" s="1">
        <v>30.0</v>
      </c>
      <c r="N3474" s="5">
        <v>44851.0</v>
      </c>
      <c r="Q3474" s="1" t="s">
        <v>1810</v>
      </c>
    </row>
    <row r="3475">
      <c r="A3475" s="1">
        <v>3474.0</v>
      </c>
      <c r="B3475" s="1" t="s">
        <v>5920</v>
      </c>
      <c r="C3475" s="1" t="s">
        <v>25</v>
      </c>
      <c r="K3475" s="1">
        <v>150.0</v>
      </c>
      <c r="N3475" s="5">
        <v>45067.0</v>
      </c>
      <c r="Q3475" s="1" t="s">
        <v>5921</v>
      </c>
    </row>
    <row r="3476">
      <c r="A3476" s="1">
        <v>3475.0</v>
      </c>
      <c r="B3476" s="1" t="s">
        <v>5922</v>
      </c>
      <c r="C3476" s="1" t="s">
        <v>25</v>
      </c>
      <c r="N3476" s="5">
        <v>44090.0</v>
      </c>
      <c r="Q3476" s="1" t="s">
        <v>55</v>
      </c>
    </row>
    <row r="3477">
      <c r="A3477" s="1">
        <v>3476.0</v>
      </c>
      <c r="B3477" s="1" t="s">
        <v>5923</v>
      </c>
      <c r="C3477" s="1" t="s">
        <v>25</v>
      </c>
      <c r="K3477" s="1">
        <v>90.0</v>
      </c>
      <c r="N3477" s="5">
        <v>43970.0</v>
      </c>
      <c r="Q3477" s="1" t="s">
        <v>93</v>
      </c>
    </row>
    <row r="3478">
      <c r="A3478" s="1">
        <v>3477.0</v>
      </c>
      <c r="B3478" s="1" t="s">
        <v>5924</v>
      </c>
      <c r="C3478" s="1" t="s">
        <v>25</v>
      </c>
      <c r="K3478" s="1">
        <v>20.0</v>
      </c>
      <c r="N3478" s="5">
        <v>44867.0</v>
      </c>
      <c r="Q3478" s="1" t="s">
        <v>55</v>
      </c>
    </row>
    <row r="3479">
      <c r="A3479" s="1">
        <v>3478.0</v>
      </c>
      <c r="B3479" s="1" t="s">
        <v>5925</v>
      </c>
      <c r="C3479" s="1" t="s">
        <v>25</v>
      </c>
      <c r="K3479" s="1">
        <v>10.0</v>
      </c>
      <c r="N3479" s="5">
        <v>45413.0</v>
      </c>
      <c r="Q3479" s="1" t="s">
        <v>167</v>
      </c>
    </row>
    <row r="3480">
      <c r="A3480" s="1">
        <v>3479.0</v>
      </c>
      <c r="B3480" s="1" t="s">
        <v>5926</v>
      </c>
      <c r="C3480" s="1" t="s">
        <v>25</v>
      </c>
      <c r="N3480" s="5">
        <v>44405.0</v>
      </c>
      <c r="Q3480" s="1" t="s">
        <v>55</v>
      </c>
    </row>
    <row r="3481">
      <c r="A3481" s="1">
        <v>3480.0</v>
      </c>
      <c r="B3481" s="1" t="s">
        <v>5927</v>
      </c>
      <c r="C3481" s="1" t="s">
        <v>25</v>
      </c>
      <c r="N3481" s="5">
        <v>43935.0</v>
      </c>
      <c r="Q3481" s="1" t="s">
        <v>55</v>
      </c>
    </row>
    <row r="3482">
      <c r="A3482" s="1">
        <v>3481.0</v>
      </c>
      <c r="B3482" s="1" t="s">
        <v>5928</v>
      </c>
      <c r="C3482" s="1" t="s">
        <v>25</v>
      </c>
      <c r="N3482" s="5">
        <v>44918.0</v>
      </c>
      <c r="Q3482" s="1" t="s">
        <v>55</v>
      </c>
    </row>
    <row r="3483">
      <c r="A3483" s="1">
        <v>3482.0</v>
      </c>
      <c r="B3483" s="1" t="s">
        <v>5929</v>
      </c>
      <c r="C3483" s="1" t="s">
        <v>25</v>
      </c>
      <c r="N3483" s="5">
        <v>45348.0</v>
      </c>
      <c r="Q3483" s="1" t="s">
        <v>851</v>
      </c>
    </row>
    <row r="3484">
      <c r="A3484" s="1">
        <v>3483.0</v>
      </c>
      <c r="B3484" s="1" t="s">
        <v>5930</v>
      </c>
      <c r="C3484" s="1" t="s">
        <v>25</v>
      </c>
      <c r="N3484" s="5">
        <v>45172.0</v>
      </c>
      <c r="Q3484" s="1" t="s">
        <v>46</v>
      </c>
    </row>
    <row r="3485">
      <c r="A3485" s="1">
        <v>3484.0</v>
      </c>
      <c r="B3485" s="1" t="s">
        <v>5931</v>
      </c>
      <c r="C3485" s="1" t="s">
        <v>25</v>
      </c>
      <c r="N3485" s="5">
        <v>43896.0</v>
      </c>
      <c r="Q3485" s="1" t="s">
        <v>55</v>
      </c>
    </row>
    <row r="3486">
      <c r="A3486" s="1">
        <v>3485.0</v>
      </c>
      <c r="B3486" s="1" t="s">
        <v>5932</v>
      </c>
      <c r="C3486" s="1" t="s">
        <v>25</v>
      </c>
      <c r="K3486" s="1">
        <v>10.0</v>
      </c>
      <c r="N3486" s="5">
        <v>43893.0</v>
      </c>
      <c r="Q3486" s="1" t="s">
        <v>55</v>
      </c>
    </row>
    <row r="3487">
      <c r="A3487" s="1">
        <v>3486.0</v>
      </c>
      <c r="B3487" s="1" t="s">
        <v>5933</v>
      </c>
      <c r="C3487" s="1" t="s">
        <v>25</v>
      </c>
      <c r="K3487" s="1">
        <v>60.0</v>
      </c>
      <c r="N3487" s="5">
        <v>44141.0</v>
      </c>
      <c r="Q3487" s="1" t="s">
        <v>5934</v>
      </c>
    </row>
    <row r="3488">
      <c r="A3488" s="1">
        <v>3487.0</v>
      </c>
      <c r="B3488" s="1" t="s">
        <v>5935</v>
      </c>
      <c r="C3488" s="1" t="s">
        <v>25</v>
      </c>
      <c r="K3488" s="1">
        <v>20.0</v>
      </c>
      <c r="N3488" s="5">
        <v>44467.0</v>
      </c>
      <c r="Q3488" s="1" t="s">
        <v>55</v>
      </c>
    </row>
    <row r="3489">
      <c r="A3489" s="1">
        <v>3488.0</v>
      </c>
      <c r="B3489" s="1" t="s">
        <v>5936</v>
      </c>
      <c r="C3489" s="1" t="s">
        <v>25</v>
      </c>
      <c r="K3489" s="1">
        <v>100.0</v>
      </c>
      <c r="N3489" s="5">
        <v>43867.0</v>
      </c>
      <c r="Q3489" s="1" t="s">
        <v>4778</v>
      </c>
    </row>
    <row r="3490">
      <c r="A3490" s="1">
        <v>3489.0</v>
      </c>
      <c r="B3490" s="1" t="s">
        <v>5937</v>
      </c>
      <c r="C3490" s="1" t="s">
        <v>25</v>
      </c>
      <c r="K3490" s="1">
        <v>50.0</v>
      </c>
      <c r="N3490" s="5">
        <v>44022.0</v>
      </c>
      <c r="Q3490" s="1" t="s">
        <v>172</v>
      </c>
    </row>
    <row r="3491">
      <c r="A3491" s="1">
        <v>3490.0</v>
      </c>
      <c r="B3491" s="1" t="s">
        <v>5938</v>
      </c>
      <c r="C3491" s="1" t="s">
        <v>25</v>
      </c>
      <c r="K3491" s="1">
        <v>30.0</v>
      </c>
      <c r="N3491" s="5">
        <v>44345.0</v>
      </c>
      <c r="Q3491" s="1" t="s">
        <v>1638</v>
      </c>
    </row>
    <row r="3492">
      <c r="A3492" s="1">
        <v>3491.0</v>
      </c>
      <c r="B3492" s="1" t="s">
        <v>5939</v>
      </c>
      <c r="C3492" s="1" t="s">
        <v>25</v>
      </c>
      <c r="K3492" s="1">
        <v>200.0</v>
      </c>
      <c r="N3492" s="5">
        <v>43887.0</v>
      </c>
      <c r="Q3492" s="1" t="s">
        <v>5940</v>
      </c>
    </row>
    <row r="3493">
      <c r="A3493" s="1">
        <v>3492.0</v>
      </c>
      <c r="B3493" s="1" t="s">
        <v>5941</v>
      </c>
      <c r="C3493" s="1" t="s">
        <v>25</v>
      </c>
      <c r="N3493" s="5">
        <v>45689.0</v>
      </c>
      <c r="Q3493" s="1" t="s">
        <v>5942</v>
      </c>
    </row>
    <row r="3494">
      <c r="A3494" s="1">
        <v>3493.0</v>
      </c>
      <c r="B3494" s="1" t="s">
        <v>5943</v>
      </c>
      <c r="C3494" s="1" t="s">
        <v>25</v>
      </c>
      <c r="K3494" s="1">
        <v>200.0</v>
      </c>
      <c r="N3494" s="5">
        <v>45212.0</v>
      </c>
      <c r="Q3494" s="1" t="s">
        <v>5944</v>
      </c>
    </row>
    <row r="3495">
      <c r="A3495" s="1">
        <v>3494.0</v>
      </c>
      <c r="B3495" s="1" t="s">
        <v>5945</v>
      </c>
      <c r="C3495" s="1" t="s">
        <v>25</v>
      </c>
      <c r="K3495" s="1">
        <v>150.0</v>
      </c>
      <c r="N3495" s="5">
        <v>43955.0</v>
      </c>
      <c r="Q3495" s="1" t="s">
        <v>5946</v>
      </c>
    </row>
    <row r="3496">
      <c r="A3496" s="1">
        <v>3495.0</v>
      </c>
      <c r="B3496" s="1" t="s">
        <v>5947</v>
      </c>
      <c r="C3496" s="1" t="s">
        <v>25</v>
      </c>
      <c r="K3496" s="1">
        <v>80.0</v>
      </c>
      <c r="N3496" s="5">
        <v>43926.0</v>
      </c>
      <c r="Q3496" s="1" t="s">
        <v>5948</v>
      </c>
    </row>
    <row r="3497">
      <c r="A3497" s="1">
        <v>3496.0</v>
      </c>
      <c r="B3497" s="1" t="s">
        <v>5949</v>
      </c>
      <c r="C3497" s="1" t="s">
        <v>25</v>
      </c>
      <c r="K3497" s="1">
        <v>80.0</v>
      </c>
      <c r="N3497" s="5">
        <v>44189.0</v>
      </c>
      <c r="Q3497" s="1" t="s">
        <v>1616</v>
      </c>
    </row>
    <row r="3498">
      <c r="A3498" s="1">
        <v>3497.0</v>
      </c>
      <c r="B3498" s="1" t="s">
        <v>5950</v>
      </c>
      <c r="C3498" s="1" t="s">
        <v>25</v>
      </c>
      <c r="K3498" s="1">
        <v>60.0</v>
      </c>
      <c r="N3498" s="5">
        <v>45719.0</v>
      </c>
      <c r="Q3498" s="1" t="s">
        <v>3395</v>
      </c>
    </row>
    <row r="3499">
      <c r="A3499" s="1">
        <v>3498.0</v>
      </c>
      <c r="B3499" s="1" t="s">
        <v>5951</v>
      </c>
      <c r="C3499" s="1" t="s">
        <v>25</v>
      </c>
      <c r="N3499" s="5">
        <v>43847.0</v>
      </c>
      <c r="Q3499" s="1" t="s">
        <v>55</v>
      </c>
    </row>
    <row r="3500">
      <c r="A3500" s="1">
        <v>3499.0</v>
      </c>
      <c r="B3500" s="1" t="s">
        <v>5952</v>
      </c>
      <c r="C3500" s="1" t="s">
        <v>25</v>
      </c>
      <c r="K3500" s="1">
        <v>60.0</v>
      </c>
      <c r="N3500" s="5">
        <v>45262.0</v>
      </c>
      <c r="Q3500" s="1" t="s">
        <v>5953</v>
      </c>
    </row>
    <row r="3501">
      <c r="A3501" s="1">
        <v>3500.0</v>
      </c>
      <c r="B3501" s="1" t="s">
        <v>5954</v>
      </c>
      <c r="C3501" s="1" t="s">
        <v>25</v>
      </c>
      <c r="N3501" s="5">
        <v>44276.0</v>
      </c>
      <c r="Q3501" s="1" t="s">
        <v>55</v>
      </c>
    </row>
    <row r="3502">
      <c r="A3502" s="1">
        <v>3501.0</v>
      </c>
      <c r="B3502" s="1" t="s">
        <v>5955</v>
      </c>
      <c r="C3502" s="1" t="s">
        <v>25</v>
      </c>
      <c r="K3502" s="1">
        <v>20.0</v>
      </c>
      <c r="N3502" s="5">
        <v>45183.0</v>
      </c>
      <c r="Q3502" s="1" t="s">
        <v>5956</v>
      </c>
    </row>
    <row r="3503">
      <c r="A3503" s="1">
        <v>3502.0</v>
      </c>
      <c r="B3503" s="1" t="s">
        <v>5957</v>
      </c>
      <c r="C3503" s="1" t="s">
        <v>25</v>
      </c>
      <c r="K3503" s="1">
        <v>20.0</v>
      </c>
      <c r="N3503" s="5">
        <v>44239.0</v>
      </c>
      <c r="Q3503" s="1" t="s">
        <v>826</v>
      </c>
    </row>
    <row r="3504">
      <c r="A3504" s="1">
        <v>3503.0</v>
      </c>
      <c r="B3504" s="1" t="s">
        <v>5958</v>
      </c>
      <c r="C3504" s="1" t="s">
        <v>25</v>
      </c>
      <c r="K3504" s="1">
        <v>150.0</v>
      </c>
      <c r="N3504" s="5">
        <v>43879.0</v>
      </c>
      <c r="Q3504" s="1" t="s">
        <v>5959</v>
      </c>
    </row>
    <row r="3505">
      <c r="A3505" s="1">
        <v>3504.0</v>
      </c>
      <c r="B3505" s="1" t="s">
        <v>5960</v>
      </c>
      <c r="C3505" s="1" t="s">
        <v>25</v>
      </c>
      <c r="K3505" s="1">
        <v>10.0</v>
      </c>
      <c r="N3505" s="5">
        <v>45155.0</v>
      </c>
      <c r="Q3505" s="1" t="s">
        <v>55</v>
      </c>
    </row>
    <row r="3506">
      <c r="A3506" s="1">
        <v>3505.0</v>
      </c>
      <c r="B3506" s="1" t="s">
        <v>5961</v>
      </c>
      <c r="C3506" s="1" t="s">
        <v>25</v>
      </c>
      <c r="K3506" s="1">
        <v>10.0</v>
      </c>
      <c r="N3506" s="5">
        <v>44211.0</v>
      </c>
      <c r="Q3506" s="1" t="s">
        <v>5962</v>
      </c>
    </row>
    <row r="3507">
      <c r="A3507" s="1">
        <v>3506.0</v>
      </c>
      <c r="B3507" s="1" t="s">
        <v>5963</v>
      </c>
      <c r="C3507" s="1" t="s">
        <v>25</v>
      </c>
      <c r="K3507" s="1">
        <v>20.0</v>
      </c>
      <c r="N3507" s="5">
        <v>44011.0</v>
      </c>
      <c r="Q3507" s="1" t="s">
        <v>5964</v>
      </c>
    </row>
    <row r="3508">
      <c r="A3508" s="1">
        <v>3507.0</v>
      </c>
      <c r="B3508" s="1" t="s">
        <v>5965</v>
      </c>
      <c r="C3508" s="1" t="s">
        <v>25</v>
      </c>
      <c r="K3508" s="1">
        <v>10.0</v>
      </c>
      <c r="N3508" s="5">
        <v>44522.0</v>
      </c>
      <c r="Q3508" s="1" t="s">
        <v>4552</v>
      </c>
    </row>
    <row r="3509">
      <c r="A3509" s="1">
        <v>3508.0</v>
      </c>
      <c r="B3509" s="1" t="s">
        <v>5966</v>
      </c>
      <c r="C3509" s="1" t="s">
        <v>25</v>
      </c>
      <c r="N3509" s="5">
        <v>45712.0</v>
      </c>
      <c r="Q3509" s="1" t="s">
        <v>5967</v>
      </c>
    </row>
    <row r="3510">
      <c r="A3510" s="1">
        <v>3509.0</v>
      </c>
      <c r="B3510" s="1" t="s">
        <v>5968</v>
      </c>
      <c r="C3510" s="1" t="s">
        <v>25</v>
      </c>
      <c r="K3510" s="1">
        <v>600.0</v>
      </c>
      <c r="N3510" s="5">
        <v>44047.0</v>
      </c>
      <c r="Q3510" s="1" t="s">
        <v>5969</v>
      </c>
    </row>
    <row r="3511">
      <c r="A3511" s="1">
        <v>3510.0</v>
      </c>
      <c r="B3511" s="1" t="s">
        <v>5970</v>
      </c>
      <c r="C3511" s="1" t="s">
        <v>25</v>
      </c>
      <c r="K3511" s="1">
        <v>40.0</v>
      </c>
      <c r="N3511" s="5">
        <v>45524.0</v>
      </c>
      <c r="Q3511" s="1" t="s">
        <v>5971</v>
      </c>
    </row>
    <row r="3512">
      <c r="A3512" s="1">
        <v>3511.0</v>
      </c>
      <c r="B3512" s="1" t="s">
        <v>5972</v>
      </c>
      <c r="C3512" s="1" t="s">
        <v>25</v>
      </c>
      <c r="K3512" s="1">
        <v>60.0</v>
      </c>
      <c r="N3512" s="5">
        <v>44587.0</v>
      </c>
      <c r="Q3512" s="1" t="s">
        <v>4416</v>
      </c>
    </row>
    <row r="3513">
      <c r="A3513" s="1">
        <v>3512.0</v>
      </c>
      <c r="B3513" s="1" t="s">
        <v>5973</v>
      </c>
      <c r="C3513" s="1" t="s">
        <v>25</v>
      </c>
      <c r="K3513" s="1">
        <v>30.0</v>
      </c>
      <c r="N3513" s="5">
        <v>45597.0</v>
      </c>
      <c r="Q3513" s="1" t="s">
        <v>5974</v>
      </c>
    </row>
    <row r="3514">
      <c r="A3514" s="1">
        <v>3513.0</v>
      </c>
      <c r="B3514" s="1" t="s">
        <v>5975</v>
      </c>
      <c r="C3514" s="1" t="s">
        <v>25</v>
      </c>
      <c r="K3514" s="1">
        <v>30.0</v>
      </c>
      <c r="N3514" s="5">
        <v>44920.0</v>
      </c>
      <c r="Q3514" s="1" t="s">
        <v>55</v>
      </c>
    </row>
    <row r="3515">
      <c r="A3515" s="1">
        <v>3514.0</v>
      </c>
      <c r="B3515" s="1" t="s">
        <v>5976</v>
      </c>
      <c r="C3515" s="1" t="s">
        <v>25</v>
      </c>
      <c r="K3515" s="1">
        <v>150.0</v>
      </c>
      <c r="N3515" s="5">
        <v>44504.0</v>
      </c>
      <c r="Q3515" s="1" t="s">
        <v>5977</v>
      </c>
    </row>
    <row r="3516">
      <c r="A3516" s="1">
        <v>3515.0</v>
      </c>
      <c r="B3516" s="1" t="s">
        <v>5978</v>
      </c>
      <c r="C3516" s="1" t="s">
        <v>25</v>
      </c>
      <c r="K3516" s="1">
        <v>200.0</v>
      </c>
      <c r="N3516" s="5">
        <v>43858.0</v>
      </c>
      <c r="Q3516" s="1" t="s">
        <v>5979</v>
      </c>
    </row>
    <row r="3517">
      <c r="A3517" s="1">
        <v>3516.0</v>
      </c>
      <c r="B3517" s="1" t="s">
        <v>5980</v>
      </c>
      <c r="C3517" s="1" t="s">
        <v>25</v>
      </c>
      <c r="K3517" s="1">
        <v>60.0</v>
      </c>
      <c r="N3517" s="5">
        <v>44623.0</v>
      </c>
      <c r="Q3517" s="1" t="s">
        <v>77</v>
      </c>
    </row>
    <row r="3518">
      <c r="A3518" s="1">
        <v>3517.0</v>
      </c>
      <c r="B3518" s="1" t="s">
        <v>5981</v>
      </c>
      <c r="C3518" s="1" t="s">
        <v>25</v>
      </c>
      <c r="K3518" s="1">
        <v>40.0</v>
      </c>
      <c r="N3518" s="5">
        <v>45350.0</v>
      </c>
      <c r="Q3518" s="1" t="s">
        <v>5982</v>
      </c>
    </row>
    <row r="3519">
      <c r="A3519" s="1">
        <v>3518.0</v>
      </c>
      <c r="B3519" s="1" t="s">
        <v>5983</v>
      </c>
      <c r="C3519" s="1" t="s">
        <v>25</v>
      </c>
      <c r="K3519" s="1">
        <v>20.0</v>
      </c>
      <c r="N3519" s="5">
        <v>44208.0</v>
      </c>
      <c r="Q3519" s="1" t="s">
        <v>1729</v>
      </c>
    </row>
    <row r="3520">
      <c r="A3520" s="1">
        <v>3519.0</v>
      </c>
      <c r="B3520" s="1" t="s">
        <v>5984</v>
      </c>
      <c r="C3520" s="1" t="s">
        <v>25</v>
      </c>
      <c r="N3520" s="5">
        <v>44066.0</v>
      </c>
      <c r="Q3520" s="1" t="s">
        <v>55</v>
      </c>
    </row>
    <row r="3521">
      <c r="A3521" s="1">
        <v>3520.0</v>
      </c>
      <c r="B3521" s="1" t="s">
        <v>5985</v>
      </c>
      <c r="C3521" s="1" t="s">
        <v>25</v>
      </c>
      <c r="K3521" s="1">
        <v>100.0</v>
      </c>
      <c r="N3521" s="5">
        <v>44263.0</v>
      </c>
      <c r="Q3521" s="1" t="s">
        <v>5986</v>
      </c>
    </row>
    <row r="3522">
      <c r="A3522" s="1">
        <v>3521.0</v>
      </c>
      <c r="B3522" s="1" t="s">
        <v>5987</v>
      </c>
      <c r="C3522" s="1" t="s">
        <v>25</v>
      </c>
      <c r="K3522" s="1">
        <v>100.0</v>
      </c>
      <c r="N3522" s="5">
        <v>43874.0</v>
      </c>
      <c r="Q3522" s="1" t="s">
        <v>5988</v>
      </c>
    </row>
    <row r="3523">
      <c r="A3523" s="1">
        <v>3522.0</v>
      </c>
      <c r="B3523" s="1" t="s">
        <v>5989</v>
      </c>
      <c r="C3523" s="1" t="s">
        <v>25</v>
      </c>
      <c r="K3523" s="1">
        <v>30.0</v>
      </c>
      <c r="N3523" s="5">
        <v>45257.0</v>
      </c>
      <c r="Q3523" s="1" t="s">
        <v>125</v>
      </c>
    </row>
    <row r="3524">
      <c r="A3524" s="1">
        <v>3523.0</v>
      </c>
      <c r="B3524" s="1" t="s">
        <v>5990</v>
      </c>
      <c r="C3524" s="1" t="s">
        <v>25</v>
      </c>
      <c r="N3524" s="5">
        <v>45536.0</v>
      </c>
      <c r="Q3524" s="1" t="s">
        <v>5991</v>
      </c>
    </row>
    <row r="3525">
      <c r="A3525" s="1">
        <v>3524.0</v>
      </c>
      <c r="B3525" s="1" t="s">
        <v>5992</v>
      </c>
      <c r="C3525" s="1" t="s">
        <v>25</v>
      </c>
      <c r="K3525" s="1">
        <v>150.0</v>
      </c>
      <c r="N3525" s="5">
        <v>43898.0</v>
      </c>
      <c r="Q3525" s="1" t="s">
        <v>2662</v>
      </c>
    </row>
    <row r="3526">
      <c r="A3526" s="1">
        <v>3525.0</v>
      </c>
      <c r="B3526" s="1" t="s">
        <v>5993</v>
      </c>
      <c r="C3526" s="1" t="s">
        <v>25</v>
      </c>
      <c r="N3526" s="5">
        <v>45491.0</v>
      </c>
      <c r="Q3526" s="1" t="s">
        <v>5994</v>
      </c>
    </row>
    <row r="3527">
      <c r="A3527" s="1">
        <v>3526.0</v>
      </c>
      <c r="B3527" s="1" t="s">
        <v>5995</v>
      </c>
      <c r="C3527" s="1" t="s">
        <v>25</v>
      </c>
      <c r="K3527" s="1">
        <v>200.0</v>
      </c>
      <c r="N3527" s="5">
        <v>45220.0</v>
      </c>
      <c r="Q3527" s="1" t="s">
        <v>5996</v>
      </c>
    </row>
    <row r="3528">
      <c r="A3528" s="1">
        <v>3527.0</v>
      </c>
      <c r="B3528" s="1" t="s">
        <v>5997</v>
      </c>
      <c r="C3528" s="1" t="s">
        <v>25</v>
      </c>
      <c r="K3528" s="1">
        <v>150.0</v>
      </c>
      <c r="N3528" s="5">
        <v>44387.0</v>
      </c>
      <c r="Q3528" s="1" t="s">
        <v>5998</v>
      </c>
    </row>
    <row r="3529">
      <c r="A3529" s="1">
        <v>3528.0</v>
      </c>
      <c r="B3529" s="1" t="s">
        <v>5999</v>
      </c>
      <c r="C3529" s="1" t="s">
        <v>25</v>
      </c>
      <c r="K3529" s="1">
        <v>400.0</v>
      </c>
      <c r="N3529" s="5">
        <v>43210.0</v>
      </c>
      <c r="Q3529" s="1" t="s">
        <v>6000</v>
      </c>
    </row>
    <row r="3530">
      <c r="A3530" s="1">
        <v>3529.0</v>
      </c>
      <c r="B3530" s="1" t="s">
        <v>6001</v>
      </c>
      <c r="C3530" s="1" t="s">
        <v>25</v>
      </c>
      <c r="K3530" s="1">
        <v>50.0</v>
      </c>
      <c r="N3530" s="5">
        <v>45702.0</v>
      </c>
      <c r="Q3530" s="1" t="s">
        <v>6002</v>
      </c>
    </row>
    <row r="3531">
      <c r="A3531" s="1">
        <v>3530.0</v>
      </c>
      <c r="B3531" s="1" t="s">
        <v>6003</v>
      </c>
      <c r="C3531" s="1" t="s">
        <v>25</v>
      </c>
      <c r="N3531" s="5">
        <v>43869.0</v>
      </c>
      <c r="Q3531" s="1" t="s">
        <v>55</v>
      </c>
    </row>
    <row r="3532">
      <c r="A3532" s="1">
        <v>3531.0</v>
      </c>
      <c r="B3532" s="1" t="s">
        <v>6004</v>
      </c>
      <c r="C3532" s="1" t="s">
        <v>25</v>
      </c>
      <c r="N3532" s="5">
        <v>44283.0</v>
      </c>
      <c r="Q3532" s="1" t="s">
        <v>55</v>
      </c>
    </row>
    <row r="3533">
      <c r="A3533" s="1">
        <v>3532.0</v>
      </c>
      <c r="B3533" s="1" t="s">
        <v>6005</v>
      </c>
      <c r="C3533" s="1" t="s">
        <v>25</v>
      </c>
      <c r="K3533" s="1">
        <v>60.0</v>
      </c>
      <c r="N3533" s="5">
        <v>45715.0</v>
      </c>
      <c r="Q3533" s="1" t="s">
        <v>6006</v>
      </c>
    </row>
    <row r="3534">
      <c r="A3534" s="1">
        <v>3533.0</v>
      </c>
      <c r="B3534" s="1" t="s">
        <v>6007</v>
      </c>
      <c r="C3534" s="1" t="s">
        <v>25</v>
      </c>
      <c r="K3534" s="1">
        <v>50.0</v>
      </c>
      <c r="N3534" s="5">
        <v>45654.0</v>
      </c>
      <c r="Q3534" s="1" t="s">
        <v>6008</v>
      </c>
    </row>
    <row r="3535">
      <c r="A3535" s="1">
        <v>3534.0</v>
      </c>
      <c r="B3535" s="1" t="s">
        <v>6009</v>
      </c>
      <c r="C3535" s="1" t="s">
        <v>25</v>
      </c>
      <c r="K3535" s="1">
        <v>50.0</v>
      </c>
      <c r="N3535" s="5">
        <v>44585.0</v>
      </c>
      <c r="Q3535" s="1" t="s">
        <v>2189</v>
      </c>
    </row>
    <row r="3536">
      <c r="A3536" s="1">
        <v>3535.0</v>
      </c>
      <c r="B3536" s="1" t="s">
        <v>6010</v>
      </c>
      <c r="C3536" s="1" t="s">
        <v>25</v>
      </c>
      <c r="N3536" s="5">
        <v>45143.0</v>
      </c>
      <c r="Q3536" s="1" t="s">
        <v>55</v>
      </c>
    </row>
    <row r="3537">
      <c r="A3537" s="1">
        <v>3536.0</v>
      </c>
      <c r="B3537" s="1" t="s">
        <v>6011</v>
      </c>
      <c r="C3537" s="1" t="s">
        <v>25</v>
      </c>
      <c r="K3537" s="1">
        <v>150.0</v>
      </c>
      <c r="N3537" s="5">
        <v>45780.0</v>
      </c>
      <c r="Q3537" s="1" t="s">
        <v>4258</v>
      </c>
    </row>
    <row r="3538">
      <c r="A3538" s="1">
        <v>3537.0</v>
      </c>
      <c r="B3538" s="1" t="s">
        <v>6012</v>
      </c>
      <c r="C3538" s="1" t="s">
        <v>25</v>
      </c>
      <c r="K3538" s="1">
        <v>30.0</v>
      </c>
      <c r="N3538" s="5">
        <v>45225.0</v>
      </c>
      <c r="Q3538" s="1" t="s">
        <v>6013</v>
      </c>
    </row>
    <row r="3539">
      <c r="A3539" s="1">
        <v>3538.0</v>
      </c>
      <c r="B3539" s="1" t="s">
        <v>6014</v>
      </c>
      <c r="C3539" s="1" t="s">
        <v>25</v>
      </c>
      <c r="K3539" s="1">
        <v>20.0</v>
      </c>
      <c r="N3539" s="5">
        <v>44409.0</v>
      </c>
      <c r="Q3539" s="1" t="s">
        <v>6015</v>
      </c>
    </row>
    <row r="3540">
      <c r="A3540" s="1">
        <v>3539.0</v>
      </c>
      <c r="B3540" s="1" t="s">
        <v>6016</v>
      </c>
      <c r="C3540" s="1" t="s">
        <v>25</v>
      </c>
      <c r="K3540" s="1">
        <v>20.0</v>
      </c>
      <c r="N3540" s="5">
        <v>44455.0</v>
      </c>
      <c r="Q3540" s="1" t="s">
        <v>93</v>
      </c>
    </row>
    <row r="3541">
      <c r="A3541" s="1">
        <v>3540.0</v>
      </c>
      <c r="B3541" s="1" t="s">
        <v>6017</v>
      </c>
      <c r="C3541" s="1" t="s">
        <v>25</v>
      </c>
      <c r="K3541" s="1">
        <v>30.0</v>
      </c>
      <c r="N3541" s="5">
        <v>44881.0</v>
      </c>
      <c r="Q3541" s="1" t="s">
        <v>125</v>
      </c>
    </row>
    <row r="3542">
      <c r="A3542" s="1">
        <v>3541.0</v>
      </c>
      <c r="B3542" s="1" t="s">
        <v>6018</v>
      </c>
      <c r="C3542" s="1" t="s">
        <v>25</v>
      </c>
      <c r="K3542" s="1">
        <v>300.0</v>
      </c>
      <c r="N3542" s="5">
        <v>45319.0</v>
      </c>
      <c r="Q3542" s="1" t="s">
        <v>6019</v>
      </c>
    </row>
    <row r="3543">
      <c r="A3543" s="1">
        <v>3542.0</v>
      </c>
      <c r="B3543" s="1" t="s">
        <v>6020</v>
      </c>
      <c r="C3543" s="1" t="s">
        <v>25</v>
      </c>
      <c r="K3543" s="1">
        <v>350.0</v>
      </c>
      <c r="N3543" s="5">
        <v>43854.0</v>
      </c>
      <c r="Q3543" s="1" t="s">
        <v>6021</v>
      </c>
    </row>
    <row r="3544">
      <c r="A3544" s="1">
        <v>3543.0</v>
      </c>
      <c r="B3544" s="1" t="s">
        <v>6022</v>
      </c>
      <c r="C3544" s="1" t="s">
        <v>25</v>
      </c>
      <c r="K3544" s="1">
        <v>90.0</v>
      </c>
      <c r="N3544" s="5">
        <v>43934.0</v>
      </c>
      <c r="Q3544" s="1" t="s">
        <v>5942</v>
      </c>
    </row>
    <row r="3545">
      <c r="A3545" s="1">
        <v>3544.0</v>
      </c>
      <c r="B3545" s="1" t="s">
        <v>6023</v>
      </c>
      <c r="C3545" s="1" t="s">
        <v>25</v>
      </c>
      <c r="K3545" s="1">
        <v>70.0</v>
      </c>
      <c r="N3545" s="5">
        <v>43978.0</v>
      </c>
      <c r="Q3545" s="1" t="s">
        <v>55</v>
      </c>
    </row>
    <row r="3546">
      <c r="A3546" s="1">
        <v>3545.0</v>
      </c>
      <c r="B3546" s="1" t="s">
        <v>6024</v>
      </c>
      <c r="C3546" s="1" t="s">
        <v>25</v>
      </c>
      <c r="K3546" s="1">
        <v>70.0</v>
      </c>
      <c r="N3546" s="5">
        <v>45722.0</v>
      </c>
      <c r="Q3546" s="1" t="s">
        <v>6025</v>
      </c>
    </row>
    <row r="3547">
      <c r="A3547" s="1">
        <v>3546.0</v>
      </c>
      <c r="B3547" s="1" t="s">
        <v>6026</v>
      </c>
      <c r="C3547" s="1" t="s">
        <v>25</v>
      </c>
      <c r="K3547" s="1">
        <v>60.0</v>
      </c>
      <c r="N3547" s="5">
        <v>44321.0</v>
      </c>
      <c r="Q3547" s="1" t="s">
        <v>1125</v>
      </c>
    </row>
    <row r="3548">
      <c r="A3548" s="1">
        <v>3547.0</v>
      </c>
      <c r="B3548" s="1" t="s">
        <v>6027</v>
      </c>
      <c r="C3548" s="1" t="s">
        <v>25</v>
      </c>
      <c r="N3548" s="5">
        <v>44641.0</v>
      </c>
      <c r="Q3548" s="1" t="s">
        <v>55</v>
      </c>
    </row>
    <row r="3549">
      <c r="A3549" s="1">
        <v>3548.0</v>
      </c>
      <c r="B3549" s="1" t="s">
        <v>6028</v>
      </c>
      <c r="C3549" s="1" t="s">
        <v>25</v>
      </c>
      <c r="N3549" s="5">
        <v>45121.0</v>
      </c>
      <c r="Q3549" s="1" t="s">
        <v>55</v>
      </c>
    </row>
    <row r="3550">
      <c r="A3550" s="1">
        <v>3549.0</v>
      </c>
      <c r="B3550" s="1" t="s">
        <v>6029</v>
      </c>
      <c r="C3550" s="1" t="s">
        <v>25</v>
      </c>
      <c r="N3550" s="5">
        <v>44537.0</v>
      </c>
      <c r="Q3550" s="1" t="s">
        <v>55</v>
      </c>
    </row>
    <row r="3551">
      <c r="A3551" s="1">
        <v>3550.0</v>
      </c>
      <c r="B3551" s="1" t="s">
        <v>6030</v>
      </c>
      <c r="C3551" s="1" t="s">
        <v>25</v>
      </c>
      <c r="K3551" s="1">
        <v>150.0</v>
      </c>
      <c r="N3551" s="5">
        <v>44246.0</v>
      </c>
      <c r="Q3551" s="1" t="s">
        <v>6031</v>
      </c>
    </row>
    <row r="3552">
      <c r="A3552" s="1">
        <v>3551.0</v>
      </c>
      <c r="B3552" s="1" t="s">
        <v>6032</v>
      </c>
      <c r="C3552" s="1" t="s">
        <v>25</v>
      </c>
      <c r="K3552" s="1">
        <v>30.0</v>
      </c>
      <c r="N3552" s="5">
        <v>43854.0</v>
      </c>
      <c r="Q3552" s="1" t="s">
        <v>6033</v>
      </c>
    </row>
    <row r="3553">
      <c r="A3553" s="1">
        <v>3552.0</v>
      </c>
      <c r="B3553" s="1" t="s">
        <v>6034</v>
      </c>
      <c r="C3553" s="1" t="s">
        <v>25</v>
      </c>
      <c r="K3553" s="1">
        <v>50.0</v>
      </c>
      <c r="N3553" s="5">
        <v>43886.0</v>
      </c>
      <c r="Q3553" s="1" t="s">
        <v>6035</v>
      </c>
    </row>
    <row r="3554">
      <c r="A3554" s="1">
        <v>3553.0</v>
      </c>
      <c r="B3554" s="1" t="s">
        <v>6036</v>
      </c>
      <c r="C3554" s="1" t="s">
        <v>25</v>
      </c>
      <c r="K3554" s="1">
        <v>10.0</v>
      </c>
      <c r="N3554" s="5">
        <v>44169.0</v>
      </c>
      <c r="Q3554" s="1" t="s">
        <v>55</v>
      </c>
    </row>
    <row r="3555">
      <c r="A3555" s="1">
        <v>3554.0</v>
      </c>
      <c r="B3555" s="1" t="s">
        <v>6037</v>
      </c>
      <c r="C3555" s="1" t="s">
        <v>25</v>
      </c>
      <c r="K3555" s="1">
        <v>100.0</v>
      </c>
      <c r="N3555" s="5">
        <v>45627.0</v>
      </c>
      <c r="Q3555" s="1" t="s">
        <v>6038</v>
      </c>
    </row>
    <row r="3556">
      <c r="A3556" s="1">
        <v>3555.0</v>
      </c>
      <c r="B3556" s="1" t="s">
        <v>6039</v>
      </c>
      <c r="C3556" s="1" t="s">
        <v>25</v>
      </c>
      <c r="N3556" s="5">
        <v>44358.0</v>
      </c>
      <c r="Q3556" s="1" t="s">
        <v>55</v>
      </c>
    </row>
    <row r="3557">
      <c r="A3557" s="1">
        <v>3556.0</v>
      </c>
      <c r="B3557" s="1" t="s">
        <v>6040</v>
      </c>
      <c r="C3557" s="1" t="s">
        <v>25</v>
      </c>
      <c r="K3557" s="1">
        <v>100.0</v>
      </c>
      <c r="N3557" s="5">
        <v>44768.0</v>
      </c>
      <c r="Q3557" s="1" t="s">
        <v>6041</v>
      </c>
    </row>
    <row r="3558">
      <c r="A3558" s="1">
        <v>3557.0</v>
      </c>
      <c r="B3558" s="1" t="s">
        <v>6042</v>
      </c>
      <c r="C3558" s="1" t="s">
        <v>25</v>
      </c>
      <c r="K3558" s="1">
        <v>450.0</v>
      </c>
      <c r="N3558" s="5">
        <v>43859.0</v>
      </c>
      <c r="Q3558" s="1" t="s">
        <v>6043</v>
      </c>
    </row>
    <row r="3559">
      <c r="A3559" s="1">
        <v>3558.0</v>
      </c>
      <c r="B3559" s="1" t="s">
        <v>6044</v>
      </c>
      <c r="C3559" s="1" t="s">
        <v>25</v>
      </c>
      <c r="K3559" s="1">
        <v>10.0</v>
      </c>
      <c r="N3559" s="5">
        <v>44523.0</v>
      </c>
      <c r="Q3559" s="1" t="s">
        <v>316</v>
      </c>
    </row>
    <row r="3560">
      <c r="A3560" s="1">
        <v>3559.0</v>
      </c>
      <c r="B3560" s="1" t="s">
        <v>6045</v>
      </c>
      <c r="C3560" s="1" t="s">
        <v>25</v>
      </c>
      <c r="K3560" s="1">
        <v>10.0</v>
      </c>
      <c r="N3560" s="5">
        <v>45407.0</v>
      </c>
      <c r="Q3560" s="1" t="s">
        <v>851</v>
      </c>
    </row>
    <row r="3561">
      <c r="A3561" s="1">
        <v>3560.0</v>
      </c>
      <c r="B3561" s="1" t="s">
        <v>6046</v>
      </c>
      <c r="C3561" s="1" t="s">
        <v>25</v>
      </c>
      <c r="K3561" s="1">
        <v>150.0</v>
      </c>
      <c r="N3561" s="5">
        <v>45349.0</v>
      </c>
      <c r="Q3561" s="1" t="s">
        <v>6047</v>
      </c>
    </row>
    <row r="3562">
      <c r="A3562" s="1">
        <v>3561.0</v>
      </c>
      <c r="B3562" s="1" t="s">
        <v>6048</v>
      </c>
      <c r="C3562" s="1" t="s">
        <v>25</v>
      </c>
      <c r="K3562" s="1">
        <v>40.0</v>
      </c>
      <c r="N3562" s="5">
        <v>43865.0</v>
      </c>
      <c r="Q3562" s="1" t="s">
        <v>1936</v>
      </c>
    </row>
    <row r="3563">
      <c r="A3563" s="1">
        <v>3562.0</v>
      </c>
      <c r="B3563" s="1" t="s">
        <v>6049</v>
      </c>
      <c r="C3563" s="1" t="s">
        <v>25</v>
      </c>
      <c r="K3563" s="1">
        <v>50.0</v>
      </c>
      <c r="N3563" s="5">
        <v>44332.0</v>
      </c>
      <c r="Q3563" s="1" t="s">
        <v>569</v>
      </c>
    </row>
    <row r="3564">
      <c r="A3564" s="1">
        <v>3563.0</v>
      </c>
      <c r="B3564" s="1" t="s">
        <v>6050</v>
      </c>
      <c r="C3564" s="1" t="s">
        <v>25</v>
      </c>
      <c r="N3564" s="5">
        <v>44416.0</v>
      </c>
      <c r="Q3564" s="1" t="s">
        <v>55</v>
      </c>
    </row>
    <row r="3565">
      <c r="A3565" s="1">
        <v>3564.0</v>
      </c>
      <c r="B3565" s="1" t="s">
        <v>6051</v>
      </c>
      <c r="C3565" s="1" t="s">
        <v>25</v>
      </c>
      <c r="K3565" s="1">
        <v>100.0</v>
      </c>
      <c r="N3565" s="5">
        <v>43867.0</v>
      </c>
      <c r="Q3565" s="1" t="s">
        <v>6052</v>
      </c>
    </row>
    <row r="3566">
      <c r="A3566" s="1">
        <v>3565.0</v>
      </c>
      <c r="B3566" s="1" t="s">
        <v>6053</v>
      </c>
      <c r="C3566" s="1" t="s">
        <v>25</v>
      </c>
      <c r="K3566" s="1">
        <v>500.0</v>
      </c>
      <c r="N3566" s="5">
        <v>43885.0</v>
      </c>
      <c r="Q3566" s="1" t="s">
        <v>6054</v>
      </c>
    </row>
    <row r="3567">
      <c r="A3567" s="1">
        <v>3566.0</v>
      </c>
      <c r="B3567" s="1" t="s">
        <v>3867</v>
      </c>
      <c r="C3567" s="1" t="s">
        <v>25</v>
      </c>
      <c r="K3567" s="1">
        <v>100.0</v>
      </c>
      <c r="N3567" s="5">
        <v>44000.0</v>
      </c>
      <c r="Q3567" s="1" t="s">
        <v>6055</v>
      </c>
    </row>
    <row r="3568">
      <c r="A3568" s="1">
        <v>3567.0</v>
      </c>
      <c r="B3568" s="1" t="s">
        <v>6056</v>
      </c>
      <c r="C3568" s="1" t="s">
        <v>25</v>
      </c>
      <c r="N3568" s="5">
        <v>45276.0</v>
      </c>
      <c r="Q3568" s="1" t="s">
        <v>6057</v>
      </c>
    </row>
    <row r="3569">
      <c r="A3569" s="1">
        <v>3568.0</v>
      </c>
      <c r="B3569" s="1" t="s">
        <v>6058</v>
      </c>
      <c r="C3569" s="1" t="s">
        <v>25</v>
      </c>
      <c r="K3569" s="1">
        <v>10.0</v>
      </c>
      <c r="N3569" s="5">
        <v>44023.0</v>
      </c>
      <c r="Q3569" s="1" t="s">
        <v>55</v>
      </c>
    </row>
    <row r="3570">
      <c r="A3570" s="1">
        <v>3569.0</v>
      </c>
      <c r="B3570" s="1" t="s">
        <v>6059</v>
      </c>
      <c r="C3570" s="1" t="s">
        <v>25</v>
      </c>
      <c r="K3570" s="1">
        <v>80.0</v>
      </c>
      <c r="N3570" s="5">
        <v>45560.0</v>
      </c>
      <c r="Q3570" s="1" t="s">
        <v>6060</v>
      </c>
    </row>
    <row r="3571">
      <c r="A3571" s="1">
        <v>3570.0</v>
      </c>
      <c r="B3571" s="1" t="s">
        <v>6061</v>
      </c>
      <c r="C3571" s="1" t="s">
        <v>25</v>
      </c>
      <c r="N3571" s="5">
        <v>44362.0</v>
      </c>
      <c r="Q3571" s="1" t="s">
        <v>55</v>
      </c>
    </row>
    <row r="3572">
      <c r="A3572" s="1">
        <v>3571.0</v>
      </c>
      <c r="B3572" s="1" t="s">
        <v>6062</v>
      </c>
      <c r="C3572" s="1" t="s">
        <v>25</v>
      </c>
      <c r="K3572" s="1">
        <v>90.0</v>
      </c>
      <c r="N3572" s="5">
        <v>45727.0</v>
      </c>
      <c r="Q3572" s="1" t="s">
        <v>2842</v>
      </c>
    </row>
    <row r="3573">
      <c r="A3573" s="1">
        <v>3572.0</v>
      </c>
      <c r="B3573" s="1" t="s">
        <v>6063</v>
      </c>
      <c r="C3573" s="1" t="s">
        <v>25</v>
      </c>
      <c r="K3573" s="1">
        <v>250.0</v>
      </c>
      <c r="N3573" s="5">
        <v>44022.0</v>
      </c>
      <c r="Q3573" s="1" t="s">
        <v>6064</v>
      </c>
    </row>
    <row r="3574">
      <c r="A3574" s="1">
        <v>3573.0</v>
      </c>
      <c r="B3574" s="1" t="s">
        <v>6065</v>
      </c>
      <c r="C3574" s="1" t="s">
        <v>25</v>
      </c>
      <c r="N3574" s="5">
        <v>44194.0</v>
      </c>
      <c r="Q3574" s="1" t="s">
        <v>55</v>
      </c>
    </row>
    <row r="3575">
      <c r="A3575" s="1">
        <v>3574.0</v>
      </c>
      <c r="B3575" s="1" t="s">
        <v>6066</v>
      </c>
      <c r="C3575" s="1" t="s">
        <v>25</v>
      </c>
      <c r="K3575" s="1">
        <v>150.0</v>
      </c>
      <c r="N3575" s="5">
        <v>45482.0</v>
      </c>
      <c r="Q3575" s="1" t="s">
        <v>6067</v>
      </c>
    </row>
    <row r="3576">
      <c r="A3576" s="1">
        <v>3575.0</v>
      </c>
      <c r="B3576" s="1" t="s">
        <v>6068</v>
      </c>
      <c r="C3576" s="1" t="s">
        <v>25</v>
      </c>
      <c r="K3576" s="1">
        <v>40.0</v>
      </c>
      <c r="N3576" s="5">
        <v>45658.0</v>
      </c>
      <c r="Q3576" s="1" t="s">
        <v>609</v>
      </c>
    </row>
    <row r="3577">
      <c r="A3577" s="1">
        <v>3576.0</v>
      </c>
      <c r="B3577" s="1" t="s">
        <v>6069</v>
      </c>
      <c r="C3577" s="1" t="s">
        <v>25</v>
      </c>
      <c r="K3577" s="1">
        <v>40.0</v>
      </c>
      <c r="N3577" s="5">
        <v>45624.0</v>
      </c>
      <c r="Q3577" s="1" t="s">
        <v>6070</v>
      </c>
    </row>
    <row r="3578">
      <c r="A3578" s="1">
        <v>3577.0</v>
      </c>
      <c r="B3578" s="1" t="s">
        <v>6071</v>
      </c>
      <c r="C3578" s="1" t="s">
        <v>25</v>
      </c>
      <c r="K3578" s="1">
        <v>20.0</v>
      </c>
      <c r="N3578" s="5">
        <v>43892.0</v>
      </c>
      <c r="Q3578" s="1" t="s">
        <v>55</v>
      </c>
    </row>
    <row r="3579">
      <c r="A3579" s="1">
        <v>3578.0</v>
      </c>
      <c r="B3579" s="1" t="s">
        <v>6072</v>
      </c>
      <c r="C3579" s="1" t="s">
        <v>25</v>
      </c>
      <c r="K3579" s="1">
        <v>20.0</v>
      </c>
      <c r="N3579" s="5">
        <v>45167.0</v>
      </c>
      <c r="Q3579" s="1" t="s">
        <v>55</v>
      </c>
    </row>
    <row r="3580">
      <c r="A3580" s="1">
        <v>3579.0</v>
      </c>
      <c r="B3580" s="1" t="s">
        <v>6073</v>
      </c>
      <c r="C3580" s="1" t="s">
        <v>25</v>
      </c>
      <c r="K3580" s="1">
        <v>400.0</v>
      </c>
      <c r="N3580" s="5">
        <v>43996.0</v>
      </c>
      <c r="Q3580" s="1" t="s">
        <v>6074</v>
      </c>
    </row>
    <row r="3581">
      <c r="A3581" s="1">
        <v>3580.0</v>
      </c>
      <c r="B3581" s="1" t="s">
        <v>6075</v>
      </c>
      <c r="C3581" s="1" t="s">
        <v>25</v>
      </c>
      <c r="K3581" s="1">
        <v>200.0</v>
      </c>
      <c r="N3581" s="5">
        <v>44352.0</v>
      </c>
      <c r="Q3581" s="1" t="s">
        <v>6076</v>
      </c>
    </row>
    <row r="3582">
      <c r="A3582" s="1">
        <v>3581.0</v>
      </c>
      <c r="B3582" s="1" t="s">
        <v>6077</v>
      </c>
      <c r="C3582" s="1" t="s">
        <v>25</v>
      </c>
      <c r="N3582" s="5">
        <v>44278.0</v>
      </c>
      <c r="Q3582" s="1" t="s">
        <v>55</v>
      </c>
    </row>
    <row r="3583">
      <c r="A3583" s="1">
        <v>3582.0</v>
      </c>
      <c r="B3583" s="1" t="s">
        <v>6078</v>
      </c>
      <c r="C3583" s="1" t="s">
        <v>25</v>
      </c>
      <c r="K3583" s="1">
        <v>70.0</v>
      </c>
      <c r="N3583" s="5">
        <v>43884.0</v>
      </c>
      <c r="Q3583" s="1" t="s">
        <v>1471</v>
      </c>
    </row>
    <row r="3584">
      <c r="A3584" s="1">
        <v>3583.0</v>
      </c>
      <c r="B3584" s="1" t="s">
        <v>6079</v>
      </c>
      <c r="C3584" s="1" t="s">
        <v>25</v>
      </c>
      <c r="K3584" s="1">
        <v>80.0</v>
      </c>
      <c r="N3584" s="5">
        <v>44479.0</v>
      </c>
      <c r="Q3584" s="1" t="s">
        <v>6080</v>
      </c>
    </row>
    <row r="3585">
      <c r="A3585" s="1">
        <v>3584.0</v>
      </c>
      <c r="B3585" s="1" t="s">
        <v>6081</v>
      </c>
      <c r="C3585" s="1" t="s">
        <v>25</v>
      </c>
      <c r="N3585" s="5">
        <v>44653.0</v>
      </c>
      <c r="Q3585" s="1" t="s">
        <v>1125</v>
      </c>
    </row>
    <row r="3586">
      <c r="A3586" s="1">
        <v>3585.0</v>
      </c>
      <c r="B3586" s="1" t="s">
        <v>296</v>
      </c>
      <c r="C3586" s="1" t="s">
        <v>25</v>
      </c>
      <c r="K3586" s="1">
        <v>30.0</v>
      </c>
      <c r="N3586" s="5">
        <v>45105.0</v>
      </c>
      <c r="Q3586" s="1" t="s">
        <v>55</v>
      </c>
    </row>
    <row r="3587">
      <c r="A3587" s="1">
        <v>3586.0</v>
      </c>
      <c r="B3587" s="1" t="s">
        <v>6082</v>
      </c>
      <c r="C3587" s="1" t="s">
        <v>25</v>
      </c>
      <c r="K3587" s="1">
        <v>30.0</v>
      </c>
      <c r="N3587" s="5">
        <v>43920.0</v>
      </c>
      <c r="Q3587" s="1" t="s">
        <v>6083</v>
      </c>
    </row>
    <row r="3588">
      <c r="A3588" s="1">
        <v>3587.0</v>
      </c>
      <c r="B3588" s="1" t="s">
        <v>6084</v>
      </c>
      <c r="C3588" s="1" t="s">
        <v>25</v>
      </c>
      <c r="N3588" s="5">
        <v>44293.0</v>
      </c>
      <c r="Q3588" s="1" t="s">
        <v>55</v>
      </c>
    </row>
    <row r="3589">
      <c r="A3589" s="1">
        <v>3588.0</v>
      </c>
      <c r="B3589" s="1" t="s">
        <v>6085</v>
      </c>
      <c r="C3589" s="1" t="s">
        <v>25</v>
      </c>
      <c r="K3589" s="1">
        <v>30.0</v>
      </c>
      <c r="N3589" s="5">
        <v>45032.0</v>
      </c>
      <c r="Q3589" s="1" t="s">
        <v>5080</v>
      </c>
    </row>
    <row r="3590">
      <c r="A3590" s="1">
        <v>3589.0</v>
      </c>
      <c r="B3590" s="1" t="s">
        <v>6086</v>
      </c>
      <c r="C3590" s="1" t="s">
        <v>25</v>
      </c>
      <c r="K3590" s="1">
        <v>250.0</v>
      </c>
      <c r="N3590" s="5">
        <v>43906.0</v>
      </c>
      <c r="Q3590" s="1" t="s">
        <v>6087</v>
      </c>
    </row>
    <row r="3591">
      <c r="A3591" s="1">
        <v>3590.0</v>
      </c>
      <c r="B3591" s="1" t="s">
        <v>6088</v>
      </c>
      <c r="C3591" s="1" t="s">
        <v>25</v>
      </c>
      <c r="K3591" s="1">
        <v>90.0</v>
      </c>
      <c r="N3591" s="5">
        <v>45084.0</v>
      </c>
      <c r="Q3591" s="1" t="s">
        <v>125</v>
      </c>
    </row>
    <row r="3592">
      <c r="A3592" s="1">
        <v>3591.0</v>
      </c>
      <c r="B3592" s="1" t="s">
        <v>6089</v>
      </c>
      <c r="C3592" s="1" t="s">
        <v>25</v>
      </c>
      <c r="K3592" s="1">
        <v>250.0</v>
      </c>
      <c r="N3592" s="5">
        <v>44571.0</v>
      </c>
      <c r="Q3592" s="1" t="s">
        <v>6090</v>
      </c>
    </row>
    <row r="3593">
      <c r="A3593" s="1">
        <v>3592.0</v>
      </c>
      <c r="B3593" s="1" t="s">
        <v>6091</v>
      </c>
      <c r="C3593" s="1" t="s">
        <v>25</v>
      </c>
      <c r="K3593" s="1">
        <v>60.0</v>
      </c>
      <c r="N3593" s="5">
        <v>45651.0</v>
      </c>
      <c r="Q3593" s="1" t="s">
        <v>3008</v>
      </c>
    </row>
    <row r="3594">
      <c r="A3594" s="1">
        <v>3593.0</v>
      </c>
      <c r="B3594" s="1" t="s">
        <v>6092</v>
      </c>
      <c r="C3594" s="1" t="s">
        <v>25</v>
      </c>
      <c r="K3594" s="1">
        <v>200.0</v>
      </c>
      <c r="N3594" s="5">
        <v>43888.0</v>
      </c>
      <c r="Q3594" s="1" t="s">
        <v>6093</v>
      </c>
    </row>
    <row r="3595">
      <c r="A3595" s="1">
        <v>3594.0</v>
      </c>
      <c r="B3595" s="1" t="s">
        <v>6094</v>
      </c>
      <c r="C3595" s="1" t="s">
        <v>25</v>
      </c>
      <c r="K3595" s="1">
        <v>20.0</v>
      </c>
      <c r="N3595" s="5">
        <v>44893.0</v>
      </c>
      <c r="Q3595" s="1" t="s">
        <v>6095</v>
      </c>
    </row>
    <row r="3596">
      <c r="A3596" s="1">
        <v>3595.0</v>
      </c>
      <c r="B3596" s="1" t="s">
        <v>6096</v>
      </c>
      <c r="C3596" s="1" t="s">
        <v>25</v>
      </c>
      <c r="K3596" s="1">
        <v>100.0</v>
      </c>
      <c r="N3596" s="5">
        <v>45428.0</v>
      </c>
      <c r="Q3596" s="1" t="s">
        <v>2420</v>
      </c>
    </row>
    <row r="3597">
      <c r="A3597" s="1">
        <v>3596.0</v>
      </c>
      <c r="B3597" s="1" t="s">
        <v>6097</v>
      </c>
      <c r="C3597" s="1" t="s">
        <v>25</v>
      </c>
      <c r="N3597" s="5">
        <v>44814.0</v>
      </c>
      <c r="Q3597" s="1" t="s">
        <v>55</v>
      </c>
    </row>
    <row r="3598">
      <c r="A3598" s="1">
        <v>3597.0</v>
      </c>
      <c r="B3598" s="1" t="s">
        <v>6098</v>
      </c>
      <c r="C3598" s="1" t="s">
        <v>25</v>
      </c>
      <c r="N3598" s="5">
        <v>44271.0</v>
      </c>
      <c r="Q3598" s="1" t="s">
        <v>55</v>
      </c>
    </row>
    <row r="3599">
      <c r="A3599" s="1">
        <v>3598.0</v>
      </c>
      <c r="B3599" s="1" t="s">
        <v>6099</v>
      </c>
      <c r="C3599" s="1" t="s">
        <v>25</v>
      </c>
      <c r="K3599" s="1">
        <v>20.0</v>
      </c>
      <c r="N3599" s="5">
        <v>45633.0</v>
      </c>
      <c r="Q3599" s="1" t="s">
        <v>2584</v>
      </c>
    </row>
    <row r="3600">
      <c r="A3600" s="1">
        <v>3599.0</v>
      </c>
      <c r="B3600" s="1" t="s">
        <v>6100</v>
      </c>
      <c r="C3600" s="1" t="s">
        <v>25</v>
      </c>
      <c r="N3600" s="5">
        <v>44381.0</v>
      </c>
      <c r="Q3600" s="1" t="s">
        <v>55</v>
      </c>
    </row>
    <row r="3601">
      <c r="A3601" s="1">
        <v>3600.0</v>
      </c>
      <c r="B3601" s="1" t="s">
        <v>6101</v>
      </c>
      <c r="C3601" s="1" t="s">
        <v>25</v>
      </c>
      <c r="K3601" s="1">
        <v>250.0</v>
      </c>
      <c r="N3601" s="5">
        <v>43884.0</v>
      </c>
      <c r="Q3601" s="1" t="s">
        <v>6102</v>
      </c>
    </row>
    <row r="3602">
      <c r="A3602" s="1">
        <v>3601.0</v>
      </c>
      <c r="B3602" s="1" t="s">
        <v>6103</v>
      </c>
      <c r="C3602" s="1" t="s">
        <v>25</v>
      </c>
      <c r="K3602" s="1">
        <v>200.0</v>
      </c>
      <c r="N3602" s="5">
        <v>44368.0</v>
      </c>
      <c r="Q3602" s="1" t="s">
        <v>6104</v>
      </c>
    </row>
    <row r="3603">
      <c r="A3603" s="1">
        <v>3602.0</v>
      </c>
      <c r="B3603" s="1" t="s">
        <v>6105</v>
      </c>
      <c r="C3603" s="1" t="s">
        <v>25</v>
      </c>
      <c r="N3603" s="5">
        <v>45721.0</v>
      </c>
      <c r="Q3603" s="1" t="s">
        <v>6106</v>
      </c>
    </row>
    <row r="3604">
      <c r="A3604" s="1">
        <v>3603.0</v>
      </c>
      <c r="B3604" s="1" t="s">
        <v>6107</v>
      </c>
      <c r="C3604" s="1" t="s">
        <v>25</v>
      </c>
      <c r="K3604" s="1">
        <v>50.0</v>
      </c>
      <c r="N3604" s="5">
        <v>44137.0</v>
      </c>
      <c r="Q3604" s="1" t="s">
        <v>6108</v>
      </c>
    </row>
    <row r="3605">
      <c r="A3605" s="1">
        <v>3604.0</v>
      </c>
      <c r="B3605" s="1" t="s">
        <v>6109</v>
      </c>
      <c r="C3605" s="1" t="s">
        <v>25</v>
      </c>
      <c r="K3605" s="1">
        <v>300.0</v>
      </c>
      <c r="N3605" s="5">
        <v>44050.0</v>
      </c>
      <c r="Q3605" s="1" t="s">
        <v>6110</v>
      </c>
    </row>
    <row r="3606">
      <c r="A3606" s="1">
        <v>3605.0</v>
      </c>
      <c r="B3606" s="1" t="s">
        <v>6111</v>
      </c>
      <c r="C3606" s="1" t="s">
        <v>25</v>
      </c>
      <c r="K3606" s="1">
        <v>150.0</v>
      </c>
      <c r="N3606" s="5">
        <v>43934.0</v>
      </c>
      <c r="Q3606" s="1" t="s">
        <v>2584</v>
      </c>
    </row>
    <row r="3607">
      <c r="A3607" s="1">
        <v>3606.0</v>
      </c>
      <c r="B3607" s="1" t="s">
        <v>6112</v>
      </c>
      <c r="C3607" s="1" t="s">
        <v>25</v>
      </c>
      <c r="N3607" s="5">
        <v>44591.0</v>
      </c>
      <c r="Q3607" s="1" t="s">
        <v>55</v>
      </c>
    </row>
    <row r="3608">
      <c r="A3608" s="1">
        <v>3607.0</v>
      </c>
      <c r="B3608" s="1" t="s">
        <v>6113</v>
      </c>
      <c r="C3608" s="1" t="s">
        <v>25</v>
      </c>
      <c r="N3608" s="5">
        <v>44457.0</v>
      </c>
      <c r="Q3608" s="1" t="s">
        <v>55</v>
      </c>
    </row>
    <row r="3609">
      <c r="A3609" s="1">
        <v>3608.0</v>
      </c>
      <c r="B3609" s="1" t="s">
        <v>6114</v>
      </c>
      <c r="C3609" s="1" t="s">
        <v>25</v>
      </c>
      <c r="N3609" s="5">
        <v>44600.0</v>
      </c>
      <c r="Q3609" s="1" t="s">
        <v>55</v>
      </c>
    </row>
    <row r="3610">
      <c r="A3610" s="1">
        <v>3609.0</v>
      </c>
      <c r="B3610" s="1" t="s">
        <v>6115</v>
      </c>
      <c r="C3610" s="1" t="s">
        <v>25</v>
      </c>
      <c r="K3610" s="1">
        <v>90.0</v>
      </c>
      <c r="N3610" s="5">
        <v>44318.0</v>
      </c>
      <c r="Q3610" s="1" t="s">
        <v>6116</v>
      </c>
    </row>
    <row r="3611">
      <c r="A3611" s="1">
        <v>3610.0</v>
      </c>
      <c r="B3611" s="1" t="s">
        <v>6117</v>
      </c>
      <c r="C3611" s="1" t="s">
        <v>25</v>
      </c>
      <c r="K3611" s="1">
        <v>40.0</v>
      </c>
      <c r="N3611" s="5">
        <v>44008.0</v>
      </c>
      <c r="Q3611" s="1" t="s">
        <v>46</v>
      </c>
    </row>
    <row r="3612">
      <c r="A3612" s="1">
        <v>3611.0</v>
      </c>
      <c r="B3612" s="1" t="s">
        <v>6118</v>
      </c>
      <c r="C3612" s="1" t="s">
        <v>25</v>
      </c>
      <c r="K3612" s="1">
        <v>100.0</v>
      </c>
      <c r="N3612" s="5">
        <v>43953.0</v>
      </c>
      <c r="Q3612" s="1" t="s">
        <v>6119</v>
      </c>
    </row>
    <row r="3613">
      <c r="A3613" s="1">
        <v>3612.0</v>
      </c>
      <c r="B3613" s="1" t="s">
        <v>6120</v>
      </c>
      <c r="C3613" s="1" t="s">
        <v>25</v>
      </c>
      <c r="K3613" s="1">
        <v>60.0</v>
      </c>
      <c r="N3613" s="5">
        <v>44149.0</v>
      </c>
      <c r="Q3613" s="1" t="s">
        <v>606</v>
      </c>
    </row>
    <row r="3614">
      <c r="A3614" s="1">
        <v>3613.0</v>
      </c>
      <c r="B3614" s="1" t="s">
        <v>6121</v>
      </c>
      <c r="C3614" s="1" t="s">
        <v>25</v>
      </c>
      <c r="K3614" s="1">
        <v>200.0</v>
      </c>
      <c r="N3614" s="5">
        <v>42504.0</v>
      </c>
      <c r="Q3614" s="1" t="s">
        <v>6122</v>
      </c>
    </row>
    <row r="3615">
      <c r="A3615" s="1">
        <v>3614.0</v>
      </c>
      <c r="B3615" s="1" t="s">
        <v>6123</v>
      </c>
      <c r="C3615" s="1" t="s">
        <v>25</v>
      </c>
      <c r="N3615" s="5">
        <v>45731.0</v>
      </c>
      <c r="Q3615" s="1" t="s">
        <v>6124</v>
      </c>
    </row>
    <row r="3616">
      <c r="A3616" s="1">
        <v>3615.0</v>
      </c>
      <c r="B3616" s="1" t="s">
        <v>6125</v>
      </c>
      <c r="C3616" s="1" t="s">
        <v>25</v>
      </c>
      <c r="K3616" s="1">
        <v>150.0</v>
      </c>
      <c r="N3616" s="5">
        <v>44116.0</v>
      </c>
      <c r="Q3616" s="1" t="s">
        <v>3677</v>
      </c>
    </row>
    <row r="3617">
      <c r="A3617" s="1">
        <v>3616.0</v>
      </c>
      <c r="B3617" s="1" t="s">
        <v>6126</v>
      </c>
      <c r="C3617" s="1" t="s">
        <v>25</v>
      </c>
      <c r="K3617" s="1">
        <v>60.0</v>
      </c>
      <c r="N3617" s="5">
        <v>44910.0</v>
      </c>
      <c r="Q3617" s="1" t="s">
        <v>1507</v>
      </c>
    </row>
    <row r="3618">
      <c r="A3618" s="1">
        <v>3617.0</v>
      </c>
      <c r="B3618" s="1" t="s">
        <v>6127</v>
      </c>
      <c r="C3618" s="1" t="s">
        <v>25</v>
      </c>
      <c r="K3618" s="1">
        <v>40.0</v>
      </c>
      <c r="N3618" s="5">
        <v>43980.0</v>
      </c>
      <c r="Q3618" s="1" t="s">
        <v>55</v>
      </c>
    </row>
    <row r="3619">
      <c r="A3619" s="1">
        <v>3618.0</v>
      </c>
      <c r="B3619" s="1" t="s">
        <v>6128</v>
      </c>
      <c r="C3619" s="1" t="s">
        <v>25</v>
      </c>
      <c r="K3619" s="1">
        <v>100.0</v>
      </c>
      <c r="N3619" s="5">
        <v>43978.0</v>
      </c>
      <c r="Q3619" s="1" t="s">
        <v>6129</v>
      </c>
    </row>
    <row r="3620">
      <c r="A3620" s="1">
        <v>3619.0</v>
      </c>
      <c r="B3620" s="1" t="s">
        <v>6130</v>
      </c>
      <c r="C3620" s="1" t="s">
        <v>25</v>
      </c>
      <c r="N3620" s="5">
        <v>46101.0</v>
      </c>
      <c r="Q3620" s="1" t="s">
        <v>6131</v>
      </c>
    </row>
    <row r="3621">
      <c r="A3621" s="1">
        <v>3620.0</v>
      </c>
      <c r="B3621" s="1" t="s">
        <v>6132</v>
      </c>
      <c r="C3621" s="1" t="s">
        <v>25</v>
      </c>
      <c r="N3621" s="5">
        <v>44349.0</v>
      </c>
      <c r="Q3621" s="1" t="s">
        <v>55</v>
      </c>
    </row>
    <row r="3622">
      <c r="A3622" s="1">
        <v>3621.0</v>
      </c>
      <c r="B3622" s="1" t="s">
        <v>6133</v>
      </c>
      <c r="C3622" s="1" t="s">
        <v>25</v>
      </c>
      <c r="K3622" s="1">
        <v>90.0</v>
      </c>
      <c r="N3622" s="5">
        <v>43968.0</v>
      </c>
      <c r="Q3622" s="1" t="s">
        <v>172</v>
      </c>
    </row>
    <row r="3623">
      <c r="A3623" s="1">
        <v>3622.0</v>
      </c>
      <c r="B3623" s="1" t="s">
        <v>6134</v>
      </c>
      <c r="C3623" s="1" t="s">
        <v>25</v>
      </c>
      <c r="K3623" s="1">
        <v>10.0</v>
      </c>
      <c r="N3623" s="5">
        <v>45640.0</v>
      </c>
      <c r="Q3623" s="1" t="s">
        <v>1616</v>
      </c>
    </row>
    <row r="3624">
      <c r="A3624" s="1">
        <v>3623.0</v>
      </c>
      <c r="B3624" s="1" t="s">
        <v>6135</v>
      </c>
      <c r="C3624" s="1" t="s">
        <v>25</v>
      </c>
      <c r="K3624" s="1">
        <v>100.0</v>
      </c>
      <c r="N3624" s="5">
        <v>43992.0</v>
      </c>
      <c r="Q3624" s="1" t="s">
        <v>6136</v>
      </c>
    </row>
    <row r="3625">
      <c r="A3625" s="1">
        <v>3624.0</v>
      </c>
      <c r="B3625" s="1" t="s">
        <v>6137</v>
      </c>
      <c r="C3625" s="1" t="s">
        <v>25</v>
      </c>
      <c r="K3625" s="1">
        <v>100.0</v>
      </c>
      <c r="N3625" s="5">
        <v>43849.0</v>
      </c>
      <c r="Q3625" s="1" t="s">
        <v>6138</v>
      </c>
    </row>
    <row r="3626">
      <c r="A3626" s="1">
        <v>3625.0</v>
      </c>
      <c r="B3626" s="1" t="s">
        <v>6139</v>
      </c>
      <c r="C3626" s="1" t="s">
        <v>25</v>
      </c>
      <c r="K3626" s="1">
        <v>50.0</v>
      </c>
      <c r="N3626" s="5">
        <v>44786.0</v>
      </c>
      <c r="Q3626" s="1" t="s">
        <v>6140</v>
      </c>
    </row>
    <row r="3627">
      <c r="A3627" s="1">
        <v>3626.0</v>
      </c>
      <c r="B3627" s="1" t="s">
        <v>6141</v>
      </c>
      <c r="C3627" s="1" t="s">
        <v>25</v>
      </c>
      <c r="K3627" s="1">
        <v>60.0</v>
      </c>
      <c r="N3627" s="5">
        <v>44268.0</v>
      </c>
      <c r="Q3627" s="1" t="s">
        <v>6142</v>
      </c>
    </row>
    <row r="3628">
      <c r="A3628" s="1">
        <v>3627.0</v>
      </c>
      <c r="B3628" s="1" t="s">
        <v>6143</v>
      </c>
      <c r="C3628" s="1" t="s">
        <v>25</v>
      </c>
      <c r="K3628" s="1">
        <v>40.0</v>
      </c>
      <c r="N3628" s="5">
        <v>44672.0</v>
      </c>
      <c r="Q3628" s="1" t="s">
        <v>55</v>
      </c>
    </row>
    <row r="3629">
      <c r="A3629" s="1">
        <v>3628.0</v>
      </c>
      <c r="B3629" s="1" t="s">
        <v>6144</v>
      </c>
      <c r="C3629" s="1" t="s">
        <v>25</v>
      </c>
      <c r="K3629" s="1">
        <v>250.0</v>
      </c>
      <c r="N3629" s="5">
        <v>43939.0</v>
      </c>
      <c r="Q3629" s="1" t="s">
        <v>6145</v>
      </c>
    </row>
    <row r="3630">
      <c r="A3630" s="1">
        <v>3629.0</v>
      </c>
      <c r="B3630" s="1" t="s">
        <v>6146</v>
      </c>
      <c r="C3630" s="1" t="s">
        <v>25</v>
      </c>
      <c r="N3630" s="5">
        <v>44570.0</v>
      </c>
      <c r="Q3630" s="1" t="s">
        <v>55</v>
      </c>
    </row>
    <row r="3631">
      <c r="A3631" s="1">
        <v>3630.0</v>
      </c>
      <c r="B3631" s="1" t="s">
        <v>6147</v>
      </c>
      <c r="C3631" s="1" t="s">
        <v>25</v>
      </c>
      <c r="K3631" s="1">
        <v>100.0</v>
      </c>
      <c r="N3631" s="5">
        <v>45108.0</v>
      </c>
      <c r="Q3631" s="1" t="s">
        <v>6148</v>
      </c>
    </row>
    <row r="3632">
      <c r="A3632" s="1">
        <v>3631.0</v>
      </c>
      <c r="B3632" s="1" t="s">
        <v>6149</v>
      </c>
      <c r="C3632" s="1" t="s">
        <v>25</v>
      </c>
      <c r="N3632" s="5">
        <v>43874.0</v>
      </c>
      <c r="Q3632" s="1" t="s">
        <v>55</v>
      </c>
    </row>
    <row r="3633">
      <c r="A3633" s="1">
        <v>3632.0</v>
      </c>
      <c r="B3633" s="1" t="s">
        <v>6150</v>
      </c>
      <c r="C3633" s="1" t="s">
        <v>25</v>
      </c>
      <c r="K3633" s="1">
        <v>30.0</v>
      </c>
      <c r="N3633" s="5">
        <v>45646.0</v>
      </c>
      <c r="Q3633" s="1" t="s">
        <v>5176</v>
      </c>
    </row>
    <row r="3634">
      <c r="A3634" s="1">
        <v>3633.0</v>
      </c>
      <c r="B3634" s="1" t="s">
        <v>6151</v>
      </c>
      <c r="C3634" s="1" t="s">
        <v>25</v>
      </c>
      <c r="K3634" s="1">
        <v>20.0</v>
      </c>
      <c r="N3634" s="5">
        <v>44376.0</v>
      </c>
      <c r="Q3634" s="1" t="s">
        <v>55</v>
      </c>
    </row>
    <row r="3635">
      <c r="A3635" s="1">
        <v>3634.0</v>
      </c>
      <c r="B3635" s="1" t="s">
        <v>6152</v>
      </c>
      <c r="C3635" s="1" t="s">
        <v>25</v>
      </c>
      <c r="K3635" s="1">
        <v>80.0</v>
      </c>
      <c r="N3635" s="5">
        <v>45464.0</v>
      </c>
      <c r="Q3635" s="1" t="s">
        <v>6153</v>
      </c>
    </row>
    <row r="3636">
      <c r="A3636" s="1">
        <v>3635.0</v>
      </c>
      <c r="B3636" s="1" t="s">
        <v>6154</v>
      </c>
      <c r="C3636" s="1" t="s">
        <v>25</v>
      </c>
      <c r="K3636" s="1">
        <v>10.0</v>
      </c>
      <c r="N3636" s="5">
        <v>44554.0</v>
      </c>
      <c r="Q3636" s="1" t="s">
        <v>55</v>
      </c>
    </row>
    <row r="3637">
      <c r="A3637" s="1">
        <v>3636.0</v>
      </c>
      <c r="B3637" s="1" t="s">
        <v>6155</v>
      </c>
      <c r="C3637" s="1" t="s">
        <v>25</v>
      </c>
      <c r="K3637" s="1">
        <v>10.0</v>
      </c>
      <c r="N3637" s="5">
        <v>45580.0</v>
      </c>
      <c r="Q3637" s="1" t="s">
        <v>6156</v>
      </c>
    </row>
    <row r="3638">
      <c r="A3638" s="1">
        <v>3637.0</v>
      </c>
      <c r="B3638" s="1" t="s">
        <v>6157</v>
      </c>
      <c r="C3638" s="1" t="s">
        <v>25</v>
      </c>
      <c r="N3638" s="5">
        <v>45539.0</v>
      </c>
      <c r="Q3638" s="1" t="s">
        <v>6158</v>
      </c>
    </row>
    <row r="3639">
      <c r="A3639" s="1">
        <v>3638.0</v>
      </c>
      <c r="B3639" s="1" t="s">
        <v>6159</v>
      </c>
      <c r="C3639" s="1" t="s">
        <v>25</v>
      </c>
      <c r="K3639" s="1">
        <v>50.0</v>
      </c>
      <c r="N3639" s="5">
        <v>45719.0</v>
      </c>
      <c r="Q3639" s="1" t="s">
        <v>6160</v>
      </c>
    </row>
    <row r="3640">
      <c r="A3640" s="1">
        <v>3639.0</v>
      </c>
      <c r="B3640" s="1" t="s">
        <v>6161</v>
      </c>
      <c r="C3640" s="1" t="s">
        <v>25</v>
      </c>
      <c r="K3640" s="1">
        <v>200.0</v>
      </c>
      <c r="N3640" s="5">
        <v>43983.0</v>
      </c>
      <c r="Q3640" s="1" t="s">
        <v>6162</v>
      </c>
    </row>
    <row r="3641">
      <c r="A3641" s="1">
        <v>3640.0</v>
      </c>
      <c r="B3641" s="1" t="s">
        <v>6163</v>
      </c>
      <c r="C3641" s="1" t="s">
        <v>25</v>
      </c>
      <c r="K3641" s="1">
        <v>100.0</v>
      </c>
      <c r="N3641" s="5">
        <v>45418.0</v>
      </c>
      <c r="Q3641" s="1" t="s">
        <v>6164</v>
      </c>
    </row>
    <row r="3642">
      <c r="A3642" s="1">
        <v>3641.0</v>
      </c>
      <c r="B3642" s="1" t="s">
        <v>6165</v>
      </c>
      <c r="C3642" s="1" t="s">
        <v>25</v>
      </c>
      <c r="K3642" s="1">
        <v>10.0</v>
      </c>
      <c r="N3642" s="5">
        <v>44163.0</v>
      </c>
      <c r="Q3642" s="1" t="s">
        <v>6166</v>
      </c>
    </row>
    <row r="3643">
      <c r="A3643" s="1">
        <v>3642.0</v>
      </c>
      <c r="B3643" s="1" t="s">
        <v>6167</v>
      </c>
      <c r="C3643" s="1" t="s">
        <v>25</v>
      </c>
      <c r="N3643" s="5">
        <v>44097.0</v>
      </c>
      <c r="Q3643" s="1" t="s">
        <v>55</v>
      </c>
    </row>
    <row r="3644">
      <c r="A3644" s="1">
        <v>3643.0</v>
      </c>
      <c r="B3644" s="1" t="s">
        <v>6168</v>
      </c>
      <c r="C3644" s="1" t="s">
        <v>25</v>
      </c>
      <c r="N3644" s="5">
        <v>44051.0</v>
      </c>
      <c r="Q3644" s="1" t="s">
        <v>55</v>
      </c>
    </row>
    <row r="3645">
      <c r="A3645" s="1">
        <v>3644.0</v>
      </c>
      <c r="B3645" s="1" t="s">
        <v>6169</v>
      </c>
      <c r="C3645" s="1" t="s">
        <v>25</v>
      </c>
      <c r="K3645" s="1">
        <v>150.0</v>
      </c>
      <c r="N3645" s="5">
        <v>44417.0</v>
      </c>
      <c r="Q3645" s="1" t="s">
        <v>6170</v>
      </c>
    </row>
    <row r="3646">
      <c r="A3646" s="1">
        <v>3645.0</v>
      </c>
      <c r="B3646" s="1" t="s">
        <v>6171</v>
      </c>
      <c r="C3646" s="1" t="s">
        <v>25</v>
      </c>
      <c r="K3646" s="1">
        <v>90.0</v>
      </c>
      <c r="N3646" s="5">
        <v>44026.0</v>
      </c>
      <c r="Q3646" s="1" t="s">
        <v>55</v>
      </c>
    </row>
    <row r="3647">
      <c r="A3647" s="1">
        <v>3646.0</v>
      </c>
      <c r="B3647" s="1" t="s">
        <v>6172</v>
      </c>
      <c r="C3647" s="1" t="s">
        <v>25</v>
      </c>
      <c r="K3647" s="1">
        <v>50.0</v>
      </c>
      <c r="N3647" s="5">
        <v>43841.0</v>
      </c>
      <c r="Q3647" s="1" t="s">
        <v>55</v>
      </c>
    </row>
    <row r="3648">
      <c r="A3648" s="1">
        <v>3647.0</v>
      </c>
      <c r="B3648" s="1" t="s">
        <v>6173</v>
      </c>
      <c r="C3648" s="1" t="s">
        <v>25</v>
      </c>
      <c r="K3648" s="1">
        <v>40.0</v>
      </c>
      <c r="N3648" s="5">
        <v>44154.0</v>
      </c>
      <c r="Q3648" s="1" t="s">
        <v>1611</v>
      </c>
    </row>
    <row r="3649">
      <c r="A3649" s="1">
        <v>3648.0</v>
      </c>
      <c r="B3649" s="1" t="s">
        <v>6174</v>
      </c>
      <c r="C3649" s="1" t="s">
        <v>25</v>
      </c>
      <c r="K3649" s="1">
        <v>40.0</v>
      </c>
      <c r="N3649" s="5">
        <v>45296.0</v>
      </c>
      <c r="Q3649" s="1" t="s">
        <v>55</v>
      </c>
    </row>
    <row r="3650">
      <c r="A3650" s="1">
        <v>3649.0</v>
      </c>
      <c r="B3650" s="1" t="s">
        <v>6175</v>
      </c>
      <c r="C3650" s="1" t="s">
        <v>25</v>
      </c>
      <c r="K3650" s="1">
        <v>90.0</v>
      </c>
      <c r="N3650" s="5">
        <v>44234.0</v>
      </c>
      <c r="Q3650" s="1" t="s">
        <v>1678</v>
      </c>
    </row>
    <row r="3651">
      <c r="A3651" s="1">
        <v>3650.0</v>
      </c>
      <c r="B3651" s="1" t="s">
        <v>6176</v>
      </c>
      <c r="C3651" s="1" t="s">
        <v>25</v>
      </c>
      <c r="K3651" s="1">
        <v>30.0</v>
      </c>
      <c r="N3651" s="5">
        <v>44517.0</v>
      </c>
      <c r="Q3651" s="1" t="s">
        <v>55</v>
      </c>
    </row>
    <row r="3652">
      <c r="A3652" s="1">
        <v>3651.0</v>
      </c>
      <c r="B3652" s="1" t="s">
        <v>6177</v>
      </c>
      <c r="C3652" s="1" t="s">
        <v>25</v>
      </c>
      <c r="K3652" s="1">
        <v>10.0</v>
      </c>
      <c r="N3652" s="5">
        <v>45652.0</v>
      </c>
      <c r="Q3652" s="1" t="s">
        <v>5005</v>
      </c>
    </row>
    <row r="3653">
      <c r="A3653" s="1">
        <v>3652.0</v>
      </c>
      <c r="B3653" s="1" t="s">
        <v>6178</v>
      </c>
      <c r="C3653" s="1" t="s">
        <v>25</v>
      </c>
      <c r="K3653" s="1">
        <v>90.0</v>
      </c>
      <c r="N3653" s="5">
        <v>44560.0</v>
      </c>
      <c r="Q3653" s="1" t="s">
        <v>6179</v>
      </c>
    </row>
    <row r="3654">
      <c r="A3654" s="1">
        <v>3653.0</v>
      </c>
      <c r="B3654" s="1" t="s">
        <v>6180</v>
      </c>
      <c r="C3654" s="1" t="s">
        <v>25</v>
      </c>
      <c r="K3654" s="1">
        <v>50.0</v>
      </c>
      <c r="N3654" s="5">
        <v>45213.0</v>
      </c>
      <c r="Q3654" s="1" t="s">
        <v>172</v>
      </c>
    </row>
    <row r="3655">
      <c r="A3655" s="1">
        <v>3654.0</v>
      </c>
      <c r="B3655" s="1" t="s">
        <v>6181</v>
      </c>
      <c r="C3655" s="1" t="s">
        <v>25</v>
      </c>
      <c r="K3655" s="1">
        <v>60.0</v>
      </c>
      <c r="N3655" s="5">
        <v>43860.0</v>
      </c>
      <c r="Q3655" s="1" t="s">
        <v>6182</v>
      </c>
    </row>
    <row r="3656">
      <c r="A3656" s="1">
        <v>3655.0</v>
      </c>
      <c r="B3656" s="1" t="s">
        <v>6183</v>
      </c>
      <c r="C3656" s="1" t="s">
        <v>25</v>
      </c>
      <c r="K3656" s="1">
        <v>10.0</v>
      </c>
      <c r="N3656" s="5">
        <v>45172.0</v>
      </c>
      <c r="Q3656" s="1" t="s">
        <v>55</v>
      </c>
    </row>
    <row r="3657">
      <c r="A3657" s="1">
        <v>3656.0</v>
      </c>
      <c r="B3657" s="1" t="s">
        <v>6184</v>
      </c>
      <c r="C3657" s="1" t="s">
        <v>25</v>
      </c>
      <c r="K3657" s="1">
        <v>50.0</v>
      </c>
      <c r="N3657" s="5">
        <v>43859.0</v>
      </c>
      <c r="Q3657" s="1" t="s">
        <v>5152</v>
      </c>
    </row>
    <row r="3658">
      <c r="A3658" s="1">
        <v>3657.0</v>
      </c>
      <c r="B3658" s="1" t="s">
        <v>6185</v>
      </c>
      <c r="C3658" s="1" t="s">
        <v>25</v>
      </c>
      <c r="K3658" s="1">
        <v>60.0</v>
      </c>
      <c r="N3658" s="5">
        <v>44061.0</v>
      </c>
      <c r="Q3658" s="1" t="s">
        <v>3370</v>
      </c>
    </row>
    <row r="3659">
      <c r="A3659" s="1">
        <v>3658.0</v>
      </c>
      <c r="B3659" s="1" t="s">
        <v>6186</v>
      </c>
      <c r="C3659" s="1" t="s">
        <v>25</v>
      </c>
      <c r="K3659" s="1">
        <v>30.0</v>
      </c>
      <c r="N3659" s="5">
        <v>44014.0</v>
      </c>
      <c r="Q3659" s="1" t="s">
        <v>6187</v>
      </c>
    </row>
    <row r="3660">
      <c r="A3660" s="1">
        <v>3659.0</v>
      </c>
      <c r="B3660" s="1" t="s">
        <v>6188</v>
      </c>
      <c r="C3660" s="1" t="s">
        <v>25</v>
      </c>
      <c r="K3660" s="1">
        <v>20.0</v>
      </c>
      <c r="N3660" s="5">
        <v>44283.0</v>
      </c>
      <c r="Q3660" s="1" t="s">
        <v>6189</v>
      </c>
    </row>
    <row r="3661">
      <c r="A3661" s="1">
        <v>3660.0</v>
      </c>
      <c r="B3661" s="1" t="s">
        <v>6190</v>
      </c>
      <c r="C3661" s="1" t="s">
        <v>25</v>
      </c>
      <c r="N3661" s="5">
        <v>46094.0</v>
      </c>
      <c r="Q3661" s="1" t="s">
        <v>6191</v>
      </c>
    </row>
    <row r="3662">
      <c r="A3662" s="1">
        <v>3661.0</v>
      </c>
      <c r="B3662" s="1" t="s">
        <v>6192</v>
      </c>
      <c r="C3662" s="1" t="s">
        <v>25</v>
      </c>
      <c r="N3662" s="5">
        <v>46103.0</v>
      </c>
      <c r="Q3662" s="1" t="s">
        <v>6193</v>
      </c>
    </row>
    <row r="3663">
      <c r="A3663" s="1">
        <v>3662.0</v>
      </c>
      <c r="B3663" s="1" t="s">
        <v>6194</v>
      </c>
      <c r="C3663" s="1" t="s">
        <v>25</v>
      </c>
      <c r="K3663" s="1">
        <v>250.0</v>
      </c>
      <c r="N3663" s="5">
        <v>44321.0</v>
      </c>
      <c r="Q3663" s="1" t="s">
        <v>6195</v>
      </c>
    </row>
    <row r="3664">
      <c r="A3664" s="1">
        <v>3663.0</v>
      </c>
      <c r="B3664" s="1" t="s">
        <v>6196</v>
      </c>
      <c r="C3664" s="1" t="s">
        <v>25</v>
      </c>
      <c r="K3664" s="1">
        <v>200.0</v>
      </c>
      <c r="N3664" s="5">
        <v>43941.0</v>
      </c>
      <c r="Q3664" s="1" t="s">
        <v>6197</v>
      </c>
    </row>
    <row r="3665">
      <c r="A3665" s="1">
        <v>3664.0</v>
      </c>
      <c r="B3665" s="1" t="s">
        <v>6198</v>
      </c>
      <c r="C3665" s="1" t="s">
        <v>25</v>
      </c>
      <c r="K3665" s="1">
        <v>40.0</v>
      </c>
      <c r="N3665" s="5">
        <v>45685.0</v>
      </c>
      <c r="Q3665" s="1" t="s">
        <v>6199</v>
      </c>
    </row>
    <row r="3666">
      <c r="A3666" s="1">
        <v>3665.0</v>
      </c>
      <c r="B3666" s="1" t="s">
        <v>6200</v>
      </c>
      <c r="C3666" s="1" t="s">
        <v>25</v>
      </c>
      <c r="K3666" s="1">
        <v>50.0</v>
      </c>
      <c r="N3666" s="5">
        <v>44300.0</v>
      </c>
      <c r="Q3666" s="1" t="s">
        <v>55</v>
      </c>
    </row>
    <row r="3667">
      <c r="A3667" s="1">
        <v>3666.0</v>
      </c>
      <c r="B3667" s="1" t="s">
        <v>6201</v>
      </c>
      <c r="C3667" s="1" t="s">
        <v>25</v>
      </c>
      <c r="K3667" s="1">
        <v>60.0</v>
      </c>
      <c r="N3667" s="5">
        <v>45650.0</v>
      </c>
      <c r="Q3667" s="1" t="s">
        <v>6202</v>
      </c>
    </row>
    <row r="3668">
      <c r="A3668" s="1">
        <v>3667.0</v>
      </c>
      <c r="B3668" s="1" t="s">
        <v>6203</v>
      </c>
      <c r="C3668" s="1" t="s">
        <v>25</v>
      </c>
      <c r="K3668" s="1">
        <v>150.0</v>
      </c>
      <c r="N3668" s="5">
        <v>44731.0</v>
      </c>
      <c r="Q3668" s="1" t="s">
        <v>2183</v>
      </c>
    </row>
    <row r="3669">
      <c r="A3669" s="1">
        <v>3668.0</v>
      </c>
      <c r="B3669" s="1" t="s">
        <v>6204</v>
      </c>
      <c r="C3669" s="1" t="s">
        <v>25</v>
      </c>
      <c r="K3669" s="1">
        <v>70.0</v>
      </c>
      <c r="N3669" s="5">
        <v>45650.0</v>
      </c>
      <c r="Q3669" s="1" t="s">
        <v>6205</v>
      </c>
    </row>
    <row r="3670">
      <c r="A3670" s="1">
        <v>3669.0</v>
      </c>
      <c r="B3670" s="1" t="s">
        <v>6206</v>
      </c>
      <c r="C3670" s="1" t="s">
        <v>25</v>
      </c>
      <c r="K3670" s="1">
        <v>70.0</v>
      </c>
      <c r="N3670" s="5">
        <v>45721.0</v>
      </c>
      <c r="Q3670" s="1" t="s">
        <v>3395</v>
      </c>
    </row>
    <row r="3671">
      <c r="A3671" s="1">
        <v>3670.0</v>
      </c>
      <c r="B3671" s="1" t="s">
        <v>6207</v>
      </c>
      <c r="C3671" s="1" t="s">
        <v>25</v>
      </c>
      <c r="K3671" s="1">
        <v>10.0</v>
      </c>
      <c r="N3671" s="5">
        <v>45508.0</v>
      </c>
      <c r="Q3671" s="1" t="s">
        <v>6208</v>
      </c>
    </row>
    <row r="3672">
      <c r="A3672" s="1">
        <v>3671.0</v>
      </c>
      <c r="B3672" s="1" t="s">
        <v>6209</v>
      </c>
      <c r="C3672" s="1" t="s">
        <v>25</v>
      </c>
      <c r="K3672" s="1">
        <v>40.0</v>
      </c>
      <c r="N3672" s="5">
        <v>45617.0</v>
      </c>
      <c r="Q3672" s="1" t="s">
        <v>6210</v>
      </c>
    </row>
    <row r="3673">
      <c r="A3673" s="1">
        <v>3672.0</v>
      </c>
      <c r="B3673" s="1" t="s">
        <v>6211</v>
      </c>
      <c r="C3673" s="1" t="s">
        <v>25</v>
      </c>
      <c r="N3673" s="5">
        <v>44571.0</v>
      </c>
      <c r="Q3673" s="1" t="s">
        <v>55</v>
      </c>
    </row>
    <row r="3674">
      <c r="A3674" s="1">
        <v>3673.0</v>
      </c>
      <c r="B3674" s="1" t="s">
        <v>6212</v>
      </c>
      <c r="C3674" s="1" t="s">
        <v>25</v>
      </c>
      <c r="N3674" s="5">
        <v>44170.0</v>
      </c>
      <c r="Q3674" s="1" t="s">
        <v>55</v>
      </c>
    </row>
    <row r="3675">
      <c r="A3675" s="1">
        <v>3674.0</v>
      </c>
      <c r="B3675" s="1" t="s">
        <v>6213</v>
      </c>
      <c r="C3675" s="1" t="s">
        <v>25</v>
      </c>
      <c r="N3675" s="5">
        <v>43842.0</v>
      </c>
      <c r="Q3675" s="1" t="s">
        <v>55</v>
      </c>
    </row>
    <row r="3676">
      <c r="A3676" s="1">
        <v>3675.0</v>
      </c>
      <c r="B3676" s="1" t="s">
        <v>6214</v>
      </c>
      <c r="C3676" s="1" t="s">
        <v>25</v>
      </c>
      <c r="K3676" s="1">
        <v>30.0</v>
      </c>
      <c r="N3676" s="5">
        <v>44631.0</v>
      </c>
      <c r="Q3676" s="1" t="s">
        <v>6215</v>
      </c>
    </row>
    <row r="3677">
      <c r="A3677" s="1">
        <v>3676.0</v>
      </c>
      <c r="B3677" s="1" t="s">
        <v>6216</v>
      </c>
      <c r="C3677" s="1" t="s">
        <v>25</v>
      </c>
      <c r="K3677" s="1">
        <v>300.0</v>
      </c>
      <c r="N3677" s="5">
        <v>44846.0</v>
      </c>
      <c r="Q3677" s="1" t="s">
        <v>6217</v>
      </c>
    </row>
    <row r="3678">
      <c r="A3678" s="1">
        <v>3677.0</v>
      </c>
      <c r="B3678" s="1" t="s">
        <v>6218</v>
      </c>
      <c r="C3678" s="1" t="s">
        <v>25</v>
      </c>
      <c r="K3678" s="1">
        <v>50.0</v>
      </c>
      <c r="N3678" s="5">
        <v>44529.0</v>
      </c>
      <c r="Q3678" s="1" t="s">
        <v>55</v>
      </c>
    </row>
    <row r="3679">
      <c r="A3679" s="1">
        <v>3678.0</v>
      </c>
      <c r="B3679" s="1" t="s">
        <v>6219</v>
      </c>
      <c r="C3679" s="1" t="s">
        <v>25</v>
      </c>
      <c r="K3679" s="1">
        <v>250.0</v>
      </c>
      <c r="N3679" s="5">
        <v>44053.0</v>
      </c>
      <c r="Q3679" s="1" t="s">
        <v>6220</v>
      </c>
    </row>
    <row r="3680">
      <c r="A3680" s="1">
        <v>3679.0</v>
      </c>
      <c r="B3680" s="1" t="s">
        <v>6221</v>
      </c>
      <c r="C3680" s="1" t="s">
        <v>25</v>
      </c>
      <c r="K3680" s="1">
        <v>20.0</v>
      </c>
      <c r="N3680" s="5">
        <v>44279.0</v>
      </c>
      <c r="Q3680" s="1" t="s">
        <v>1436</v>
      </c>
    </row>
    <row r="3681">
      <c r="A3681" s="1">
        <v>3680.0</v>
      </c>
      <c r="B3681" s="1" t="s">
        <v>6222</v>
      </c>
      <c r="C3681" s="1" t="s">
        <v>25</v>
      </c>
      <c r="K3681" s="1">
        <v>60.0</v>
      </c>
      <c r="N3681" s="5">
        <v>45437.0</v>
      </c>
      <c r="Q3681" s="1" t="s">
        <v>6223</v>
      </c>
    </row>
    <row r="3682">
      <c r="A3682" s="1">
        <v>3681.0</v>
      </c>
      <c r="B3682" s="1" t="s">
        <v>6224</v>
      </c>
      <c r="C3682" s="1" t="s">
        <v>25</v>
      </c>
      <c r="N3682" s="5">
        <v>44460.0</v>
      </c>
      <c r="Q3682" s="1" t="s">
        <v>55</v>
      </c>
    </row>
    <row r="3683">
      <c r="A3683" s="1">
        <v>3682.0</v>
      </c>
      <c r="B3683" s="1" t="s">
        <v>6225</v>
      </c>
      <c r="C3683" s="1" t="s">
        <v>25</v>
      </c>
      <c r="K3683" s="1">
        <v>10.0</v>
      </c>
      <c r="N3683" s="5">
        <v>44263.0</v>
      </c>
      <c r="Q3683" s="1" t="s">
        <v>55</v>
      </c>
    </row>
    <row r="3684">
      <c r="A3684" s="1">
        <v>3683.0</v>
      </c>
      <c r="B3684" s="1" t="s">
        <v>6226</v>
      </c>
      <c r="C3684" s="1" t="s">
        <v>25</v>
      </c>
      <c r="N3684" s="5">
        <v>44739.0</v>
      </c>
      <c r="Q3684" s="1" t="s">
        <v>55</v>
      </c>
    </row>
    <row r="3685">
      <c r="A3685" s="1">
        <v>3684.0</v>
      </c>
      <c r="B3685" s="1" t="s">
        <v>6227</v>
      </c>
      <c r="C3685" s="1" t="s">
        <v>25</v>
      </c>
      <c r="K3685" s="1">
        <v>50.0</v>
      </c>
      <c r="N3685" s="5">
        <v>45722.0</v>
      </c>
      <c r="Q3685" s="1" t="s">
        <v>6228</v>
      </c>
    </row>
    <row r="3686">
      <c r="A3686" s="1">
        <v>3685.0</v>
      </c>
      <c r="B3686" s="1" t="s">
        <v>6229</v>
      </c>
      <c r="C3686" s="1" t="s">
        <v>25</v>
      </c>
      <c r="K3686" s="1">
        <v>100.0</v>
      </c>
      <c r="N3686" s="5">
        <v>44828.0</v>
      </c>
      <c r="Q3686" s="1" t="s">
        <v>6230</v>
      </c>
    </row>
    <row r="3687">
      <c r="A3687" s="1">
        <v>3686.0</v>
      </c>
      <c r="B3687" s="1" t="s">
        <v>6231</v>
      </c>
      <c r="C3687" s="1" t="s">
        <v>25</v>
      </c>
      <c r="N3687" s="5">
        <v>44010.0</v>
      </c>
      <c r="Q3687" s="1" t="s">
        <v>2397</v>
      </c>
    </row>
    <row r="3688">
      <c r="A3688" s="1">
        <v>3687.0</v>
      </c>
      <c r="B3688" s="1" t="s">
        <v>6232</v>
      </c>
      <c r="C3688" s="1" t="s">
        <v>25</v>
      </c>
      <c r="K3688" s="1">
        <v>200.0</v>
      </c>
      <c r="N3688" s="5">
        <v>44273.0</v>
      </c>
      <c r="Q3688" s="1" t="s">
        <v>6233</v>
      </c>
    </row>
    <row r="3689">
      <c r="A3689" s="1">
        <v>3688.0</v>
      </c>
      <c r="B3689" s="1" t="s">
        <v>6234</v>
      </c>
      <c r="C3689" s="1" t="s">
        <v>25</v>
      </c>
      <c r="K3689" s="1">
        <v>70.0</v>
      </c>
      <c r="N3689" s="5">
        <v>45726.0</v>
      </c>
      <c r="Q3689" s="1" t="s">
        <v>701</v>
      </c>
    </row>
    <row r="3690">
      <c r="A3690" s="1">
        <v>3689.0</v>
      </c>
      <c r="B3690" s="1" t="s">
        <v>6235</v>
      </c>
      <c r="C3690" s="1" t="s">
        <v>25</v>
      </c>
      <c r="N3690" s="5">
        <v>44430.0</v>
      </c>
      <c r="Q3690" s="1" t="s">
        <v>55</v>
      </c>
    </row>
    <row r="3691">
      <c r="A3691" s="1">
        <v>3690.0</v>
      </c>
      <c r="B3691" s="1" t="s">
        <v>6236</v>
      </c>
      <c r="C3691" s="1" t="s">
        <v>25</v>
      </c>
      <c r="K3691" s="1">
        <v>100.0</v>
      </c>
      <c r="N3691" s="5">
        <v>44368.0</v>
      </c>
      <c r="Q3691" s="1" t="s">
        <v>4013</v>
      </c>
    </row>
    <row r="3692">
      <c r="A3692" s="1">
        <v>3691.0</v>
      </c>
      <c r="B3692" s="1" t="s">
        <v>6237</v>
      </c>
      <c r="C3692" s="1" t="s">
        <v>25</v>
      </c>
      <c r="N3692" s="5">
        <v>44596.0</v>
      </c>
      <c r="Q3692" s="1" t="s">
        <v>55</v>
      </c>
    </row>
    <row r="3693">
      <c r="A3693" s="1">
        <v>3692.0</v>
      </c>
      <c r="B3693" s="1" t="s">
        <v>6238</v>
      </c>
      <c r="C3693" s="1" t="s">
        <v>25</v>
      </c>
      <c r="K3693" s="1">
        <v>40.0</v>
      </c>
      <c r="N3693" s="5">
        <v>43980.0</v>
      </c>
      <c r="Q3693" s="1" t="s">
        <v>6239</v>
      </c>
    </row>
    <row r="3694">
      <c r="A3694" s="1">
        <v>3693.0</v>
      </c>
      <c r="B3694" s="1" t="s">
        <v>6240</v>
      </c>
      <c r="C3694" s="1" t="s">
        <v>25</v>
      </c>
      <c r="K3694" s="1">
        <v>40.0</v>
      </c>
      <c r="N3694" s="5">
        <v>44504.0</v>
      </c>
      <c r="Q3694" s="1" t="s">
        <v>6241</v>
      </c>
    </row>
    <row r="3695">
      <c r="A3695" s="1">
        <v>3694.0</v>
      </c>
      <c r="B3695" s="1" t="s">
        <v>6242</v>
      </c>
      <c r="C3695" s="1" t="s">
        <v>25</v>
      </c>
      <c r="K3695" s="1">
        <v>30.0</v>
      </c>
      <c r="N3695" s="5">
        <v>44370.0</v>
      </c>
      <c r="Q3695" s="1" t="s">
        <v>1387</v>
      </c>
    </row>
    <row r="3696">
      <c r="A3696" s="1">
        <v>3695.0</v>
      </c>
      <c r="B3696" s="1" t="s">
        <v>6243</v>
      </c>
      <c r="C3696" s="1" t="s">
        <v>25</v>
      </c>
      <c r="N3696" s="5">
        <v>44165.0</v>
      </c>
      <c r="Q3696" s="1" t="s">
        <v>55</v>
      </c>
    </row>
    <row r="3697">
      <c r="A3697" s="1">
        <v>3696.0</v>
      </c>
      <c r="B3697" s="1" t="s">
        <v>6244</v>
      </c>
      <c r="C3697" s="1" t="s">
        <v>25</v>
      </c>
      <c r="K3697" s="1">
        <v>70.0</v>
      </c>
      <c r="N3697" s="5">
        <v>45676.0</v>
      </c>
      <c r="Q3697" s="1" t="s">
        <v>316</v>
      </c>
    </row>
    <row r="3698">
      <c r="A3698" s="1">
        <v>3697.0</v>
      </c>
      <c r="B3698" s="1" t="s">
        <v>6245</v>
      </c>
      <c r="C3698" s="1" t="s">
        <v>25</v>
      </c>
      <c r="N3698" s="5">
        <v>44793.0</v>
      </c>
      <c r="Q3698" s="1" t="s">
        <v>55</v>
      </c>
    </row>
    <row r="3699">
      <c r="A3699" s="1">
        <v>3698.0</v>
      </c>
      <c r="B3699" s="1" t="s">
        <v>6246</v>
      </c>
      <c r="C3699" s="1" t="s">
        <v>25</v>
      </c>
      <c r="K3699" s="1">
        <v>50.0</v>
      </c>
      <c r="N3699" s="5">
        <v>44381.0</v>
      </c>
      <c r="Q3699" s="1" t="s">
        <v>46</v>
      </c>
    </row>
    <row r="3700">
      <c r="A3700" s="1">
        <v>3699.0</v>
      </c>
      <c r="B3700" s="1" t="s">
        <v>301</v>
      </c>
      <c r="C3700" s="1" t="s">
        <v>25</v>
      </c>
      <c r="K3700" s="1">
        <v>10.0</v>
      </c>
      <c r="N3700" s="5">
        <v>44249.0</v>
      </c>
      <c r="Q3700" s="1" t="s">
        <v>305</v>
      </c>
    </row>
    <row r="3701">
      <c r="A3701" s="1">
        <v>3700.0</v>
      </c>
      <c r="B3701" s="1" t="s">
        <v>6247</v>
      </c>
      <c r="C3701" s="1" t="s">
        <v>25</v>
      </c>
      <c r="K3701" s="1">
        <v>20.0</v>
      </c>
      <c r="N3701" s="5">
        <v>44690.0</v>
      </c>
      <c r="Q3701" s="1" t="s">
        <v>55</v>
      </c>
    </row>
    <row r="3702">
      <c r="A3702" s="1">
        <v>3701.0</v>
      </c>
      <c r="B3702" s="1" t="s">
        <v>6248</v>
      </c>
      <c r="C3702" s="1" t="s">
        <v>25</v>
      </c>
      <c r="K3702" s="1">
        <v>100.0</v>
      </c>
      <c r="N3702" s="5">
        <v>45353.0</v>
      </c>
      <c r="Q3702" s="1" t="s">
        <v>6249</v>
      </c>
    </row>
    <row r="3703">
      <c r="A3703" s="1">
        <v>3702.0</v>
      </c>
      <c r="B3703" s="1" t="s">
        <v>6250</v>
      </c>
      <c r="C3703" s="1" t="s">
        <v>25</v>
      </c>
      <c r="K3703" s="1">
        <v>20.0</v>
      </c>
      <c r="N3703" s="5">
        <v>44388.0</v>
      </c>
      <c r="Q3703" s="1" t="s">
        <v>55</v>
      </c>
    </row>
    <row r="3704">
      <c r="A3704" s="1">
        <v>3703.0</v>
      </c>
      <c r="B3704" s="1" t="s">
        <v>6251</v>
      </c>
      <c r="C3704" s="1" t="s">
        <v>25</v>
      </c>
      <c r="K3704" s="1">
        <v>20.0</v>
      </c>
      <c r="N3704" s="5">
        <v>44385.0</v>
      </c>
      <c r="Q3704" s="1" t="s">
        <v>55</v>
      </c>
    </row>
    <row r="3705">
      <c r="A3705" s="1">
        <v>3704.0</v>
      </c>
      <c r="B3705" s="1" t="s">
        <v>6252</v>
      </c>
      <c r="C3705" s="1" t="s">
        <v>25</v>
      </c>
      <c r="K3705" s="1">
        <v>150.0</v>
      </c>
      <c r="N3705" s="5">
        <v>43964.0</v>
      </c>
      <c r="Q3705" s="1" t="s">
        <v>6253</v>
      </c>
    </row>
    <row r="3706">
      <c r="A3706" s="1">
        <v>3705.0</v>
      </c>
      <c r="B3706" s="1" t="s">
        <v>6254</v>
      </c>
      <c r="C3706" s="1" t="s">
        <v>25</v>
      </c>
      <c r="K3706" s="1">
        <v>250.0</v>
      </c>
      <c r="N3706" s="5">
        <v>43955.0</v>
      </c>
      <c r="Q3706" s="1" t="s">
        <v>6255</v>
      </c>
    </row>
    <row r="3707">
      <c r="A3707" s="1">
        <v>3706.0</v>
      </c>
      <c r="B3707" s="1" t="s">
        <v>6256</v>
      </c>
      <c r="C3707" s="1" t="s">
        <v>25</v>
      </c>
      <c r="K3707" s="1">
        <v>200.0</v>
      </c>
      <c r="N3707" s="5">
        <v>44652.0</v>
      </c>
      <c r="Q3707" s="1" t="s">
        <v>6257</v>
      </c>
    </row>
    <row r="3708">
      <c r="A3708" s="1">
        <v>3707.0</v>
      </c>
      <c r="B3708" s="1" t="s">
        <v>6258</v>
      </c>
      <c r="C3708" s="1" t="s">
        <v>25</v>
      </c>
      <c r="K3708" s="1">
        <v>40.0</v>
      </c>
      <c r="N3708" s="5">
        <v>45523.0</v>
      </c>
      <c r="Q3708" s="1" t="s">
        <v>6259</v>
      </c>
    </row>
    <row r="3709">
      <c r="A3709" s="1">
        <v>3708.0</v>
      </c>
      <c r="B3709" s="1" t="s">
        <v>307</v>
      </c>
      <c r="C3709" s="1" t="s">
        <v>25</v>
      </c>
      <c r="N3709" s="5">
        <v>44032.0</v>
      </c>
      <c r="Q3709" s="1" t="s">
        <v>310</v>
      </c>
    </row>
    <row r="3710">
      <c r="A3710" s="1">
        <v>3709.0</v>
      </c>
      <c r="B3710" s="1" t="s">
        <v>6260</v>
      </c>
      <c r="C3710" s="1" t="s">
        <v>25</v>
      </c>
      <c r="K3710" s="1">
        <v>20.0</v>
      </c>
      <c r="N3710" s="5">
        <v>45733.0</v>
      </c>
      <c r="Q3710" s="1" t="s">
        <v>5942</v>
      </c>
    </row>
    <row r="3711">
      <c r="A3711" s="1">
        <v>3710.0</v>
      </c>
      <c r="B3711" s="1" t="s">
        <v>6261</v>
      </c>
      <c r="C3711" s="1" t="s">
        <v>25</v>
      </c>
      <c r="K3711" s="1">
        <v>50.0</v>
      </c>
      <c r="N3711" s="5">
        <v>43922.0</v>
      </c>
      <c r="Q3711" s="1" t="s">
        <v>569</v>
      </c>
    </row>
    <row r="3712">
      <c r="A3712" s="1">
        <v>3711.0</v>
      </c>
      <c r="B3712" s="1" t="s">
        <v>6262</v>
      </c>
      <c r="C3712" s="1" t="s">
        <v>25</v>
      </c>
      <c r="K3712" s="1">
        <v>10.0</v>
      </c>
      <c r="N3712" s="5">
        <v>44550.0</v>
      </c>
      <c r="Q3712" s="1" t="s">
        <v>6263</v>
      </c>
    </row>
    <row r="3713">
      <c r="A3713" s="1">
        <v>3712.0</v>
      </c>
      <c r="B3713" s="1" t="s">
        <v>6264</v>
      </c>
      <c r="C3713" s="1" t="s">
        <v>25</v>
      </c>
      <c r="K3713" s="1">
        <v>10.0</v>
      </c>
      <c r="N3713" s="5">
        <v>45165.0</v>
      </c>
      <c r="Q3713" s="1" t="s">
        <v>55</v>
      </c>
    </row>
    <row r="3714">
      <c r="A3714" s="1">
        <v>3713.0</v>
      </c>
      <c r="B3714" s="1" t="s">
        <v>6265</v>
      </c>
      <c r="C3714" s="1" t="s">
        <v>25</v>
      </c>
      <c r="K3714" s="1">
        <v>40.0</v>
      </c>
      <c r="N3714" s="5">
        <v>45614.0</v>
      </c>
      <c r="Q3714" s="1" t="s">
        <v>6266</v>
      </c>
    </row>
    <row r="3715">
      <c r="A3715" s="1">
        <v>3714.0</v>
      </c>
      <c r="B3715" s="1" t="s">
        <v>6267</v>
      </c>
      <c r="C3715" s="1" t="s">
        <v>25</v>
      </c>
      <c r="K3715" s="1">
        <v>20.0</v>
      </c>
      <c r="N3715" s="5">
        <v>45765.0</v>
      </c>
      <c r="Q3715" s="1" t="s">
        <v>6268</v>
      </c>
    </row>
    <row r="3716">
      <c r="A3716" s="1">
        <v>3715.0</v>
      </c>
      <c r="B3716" s="1" t="s">
        <v>6269</v>
      </c>
      <c r="C3716" s="1" t="s">
        <v>25</v>
      </c>
      <c r="K3716" s="1">
        <v>70.0</v>
      </c>
      <c r="N3716" s="5">
        <v>44727.0</v>
      </c>
      <c r="Q3716" s="1" t="s">
        <v>55</v>
      </c>
    </row>
    <row r="3717">
      <c r="A3717" s="1">
        <v>3716.0</v>
      </c>
      <c r="B3717" s="1" t="s">
        <v>6270</v>
      </c>
      <c r="C3717" s="1" t="s">
        <v>25</v>
      </c>
      <c r="K3717" s="1">
        <v>50.0</v>
      </c>
      <c r="N3717" s="5">
        <v>45585.0</v>
      </c>
      <c r="Q3717" s="1" t="s">
        <v>3067</v>
      </c>
    </row>
    <row r="3718">
      <c r="A3718" s="1">
        <v>3717.0</v>
      </c>
      <c r="B3718" s="1" t="s">
        <v>6271</v>
      </c>
      <c r="C3718" s="1" t="s">
        <v>25</v>
      </c>
      <c r="N3718" s="5">
        <v>43919.0</v>
      </c>
      <c r="Q3718" s="1" t="s">
        <v>55</v>
      </c>
    </row>
    <row r="3719">
      <c r="A3719" s="1">
        <v>3718.0</v>
      </c>
      <c r="B3719" s="1" t="s">
        <v>6272</v>
      </c>
      <c r="C3719" s="1" t="s">
        <v>25</v>
      </c>
      <c r="K3719" s="1">
        <v>150.0</v>
      </c>
      <c r="N3719" s="5">
        <v>45430.0</v>
      </c>
      <c r="Q3719" s="1" t="s">
        <v>6273</v>
      </c>
    </row>
    <row r="3720">
      <c r="A3720" s="1">
        <v>3719.0</v>
      </c>
      <c r="B3720" s="1" t="s">
        <v>6274</v>
      </c>
      <c r="C3720" s="1" t="s">
        <v>25</v>
      </c>
      <c r="K3720" s="1">
        <v>250.0</v>
      </c>
      <c r="N3720" s="5">
        <v>44480.0</v>
      </c>
      <c r="Q3720" s="1" t="s">
        <v>6275</v>
      </c>
    </row>
    <row r="3721">
      <c r="A3721" s="1">
        <v>3720.0</v>
      </c>
      <c r="B3721" s="1" t="s">
        <v>6276</v>
      </c>
      <c r="C3721" s="1" t="s">
        <v>25</v>
      </c>
      <c r="K3721" s="1">
        <v>2400.0</v>
      </c>
      <c r="N3721" s="5">
        <v>46135.0</v>
      </c>
      <c r="Q3721" s="1" t="s">
        <v>6277</v>
      </c>
    </row>
    <row r="3722">
      <c r="A3722" s="1">
        <v>3721.0</v>
      </c>
      <c r="B3722" s="1" t="s">
        <v>6278</v>
      </c>
      <c r="C3722" s="1" t="s">
        <v>25</v>
      </c>
      <c r="K3722" s="1">
        <v>90.0</v>
      </c>
      <c r="N3722" s="5">
        <v>45240.0</v>
      </c>
      <c r="Q3722" s="1" t="s">
        <v>3144</v>
      </c>
    </row>
    <row r="3723">
      <c r="A3723" s="1">
        <v>3722.0</v>
      </c>
      <c r="B3723" s="1" t="s">
        <v>6279</v>
      </c>
      <c r="C3723" s="1" t="s">
        <v>25</v>
      </c>
      <c r="N3723" s="5">
        <v>44113.0</v>
      </c>
      <c r="Q3723" s="1" t="s">
        <v>55</v>
      </c>
    </row>
    <row r="3724">
      <c r="A3724" s="1">
        <v>3723.0</v>
      </c>
      <c r="B3724" s="1" t="s">
        <v>6280</v>
      </c>
      <c r="C3724" s="1" t="s">
        <v>25</v>
      </c>
      <c r="K3724" s="1">
        <v>10.0</v>
      </c>
      <c r="N3724" s="5">
        <v>44138.0</v>
      </c>
      <c r="Q3724" s="1" t="s">
        <v>55</v>
      </c>
    </row>
    <row r="3725">
      <c r="A3725" s="1">
        <v>3724.0</v>
      </c>
      <c r="B3725" s="1" t="s">
        <v>6281</v>
      </c>
      <c r="C3725" s="1" t="s">
        <v>25</v>
      </c>
      <c r="K3725" s="1">
        <v>10.0</v>
      </c>
      <c r="N3725" s="5">
        <v>44424.0</v>
      </c>
      <c r="Q3725" s="1" t="s">
        <v>1218</v>
      </c>
    </row>
    <row r="3726">
      <c r="A3726" s="1">
        <v>3725.0</v>
      </c>
      <c r="B3726" s="1" t="s">
        <v>6282</v>
      </c>
      <c r="C3726" s="1" t="s">
        <v>25</v>
      </c>
      <c r="K3726" s="1">
        <v>200.0</v>
      </c>
      <c r="N3726" s="5">
        <v>45768.0</v>
      </c>
      <c r="Q3726" s="1" t="s">
        <v>4835</v>
      </c>
    </row>
    <row r="3727">
      <c r="A3727" s="1">
        <v>3726.0</v>
      </c>
      <c r="B3727" s="1" t="s">
        <v>6283</v>
      </c>
      <c r="C3727" s="1" t="s">
        <v>25</v>
      </c>
      <c r="K3727" s="1">
        <v>20.0</v>
      </c>
      <c r="N3727" s="5">
        <v>44694.0</v>
      </c>
      <c r="Q3727" s="1" t="s">
        <v>360</v>
      </c>
    </row>
    <row r="3728">
      <c r="A3728" s="1">
        <v>3727.0</v>
      </c>
      <c r="B3728" s="1" t="s">
        <v>6284</v>
      </c>
      <c r="C3728" s="1" t="s">
        <v>25</v>
      </c>
      <c r="N3728" s="5">
        <v>44420.0</v>
      </c>
      <c r="Q3728" s="1" t="s">
        <v>55</v>
      </c>
    </row>
    <row r="3729">
      <c r="A3729" s="1">
        <v>3728.0</v>
      </c>
      <c r="B3729" s="1" t="s">
        <v>6285</v>
      </c>
      <c r="C3729" s="1" t="s">
        <v>25</v>
      </c>
      <c r="K3729" s="1">
        <v>40.0</v>
      </c>
      <c r="N3729" s="5">
        <v>45252.0</v>
      </c>
      <c r="Q3729" s="1" t="s">
        <v>172</v>
      </c>
    </row>
    <row r="3730">
      <c r="A3730" s="1">
        <v>3729.0</v>
      </c>
      <c r="B3730" s="1" t="s">
        <v>6286</v>
      </c>
      <c r="C3730" s="1" t="s">
        <v>25</v>
      </c>
      <c r="K3730" s="1">
        <v>700.0</v>
      </c>
      <c r="N3730" s="5">
        <v>42884.0</v>
      </c>
      <c r="Q3730" s="1" t="s">
        <v>6287</v>
      </c>
    </row>
    <row r="3731">
      <c r="A3731" s="1">
        <v>3730.0</v>
      </c>
      <c r="B3731" s="1" t="s">
        <v>6288</v>
      </c>
      <c r="C3731" s="1" t="s">
        <v>25</v>
      </c>
      <c r="K3731" s="1">
        <v>20.0</v>
      </c>
      <c r="N3731" s="5">
        <v>44362.0</v>
      </c>
      <c r="Q3731" s="1" t="s">
        <v>55</v>
      </c>
    </row>
    <row r="3732">
      <c r="A3732" s="1">
        <v>3731.0</v>
      </c>
      <c r="B3732" s="1" t="s">
        <v>6289</v>
      </c>
      <c r="C3732" s="1" t="s">
        <v>25</v>
      </c>
      <c r="K3732" s="1">
        <v>70.0</v>
      </c>
      <c r="N3732" s="5">
        <v>45260.0</v>
      </c>
      <c r="Q3732" s="1" t="s">
        <v>6290</v>
      </c>
    </row>
    <row r="3733">
      <c r="A3733" s="1">
        <v>3732.0</v>
      </c>
      <c r="B3733" s="1" t="s">
        <v>6291</v>
      </c>
      <c r="C3733" s="1" t="s">
        <v>25</v>
      </c>
      <c r="K3733" s="1">
        <v>20.0</v>
      </c>
      <c r="N3733" s="5">
        <v>44453.0</v>
      </c>
      <c r="Q3733" s="1" t="s">
        <v>125</v>
      </c>
    </row>
    <row r="3734">
      <c r="A3734" s="1">
        <v>3733.0</v>
      </c>
      <c r="B3734" s="1" t="s">
        <v>6292</v>
      </c>
      <c r="C3734" s="1" t="s">
        <v>25</v>
      </c>
      <c r="N3734" s="5">
        <v>42252.0</v>
      </c>
      <c r="Q3734" s="1" t="s">
        <v>3365</v>
      </c>
    </row>
    <row r="3735">
      <c r="A3735" s="1">
        <v>3734.0</v>
      </c>
      <c r="B3735" s="1" t="s">
        <v>6293</v>
      </c>
      <c r="C3735" s="1" t="s">
        <v>25</v>
      </c>
      <c r="K3735" s="1">
        <v>200.0</v>
      </c>
      <c r="N3735" s="5">
        <v>45695.0</v>
      </c>
      <c r="Q3735" s="1" t="s">
        <v>6294</v>
      </c>
    </row>
    <row r="3736">
      <c r="A3736" s="1">
        <v>3735.0</v>
      </c>
      <c r="B3736" s="1" t="s">
        <v>6295</v>
      </c>
      <c r="C3736" s="1" t="s">
        <v>25</v>
      </c>
      <c r="K3736" s="1">
        <v>20.0</v>
      </c>
      <c r="N3736" s="5">
        <v>45551.0</v>
      </c>
      <c r="Q3736" s="1" t="s">
        <v>1568</v>
      </c>
    </row>
    <row r="3737">
      <c r="A3737" s="1">
        <v>3736.0</v>
      </c>
      <c r="B3737" s="1" t="s">
        <v>6296</v>
      </c>
      <c r="C3737" s="1" t="s">
        <v>25</v>
      </c>
      <c r="N3737" s="5">
        <v>45312.0</v>
      </c>
      <c r="Q3737" s="1" t="s">
        <v>55</v>
      </c>
    </row>
    <row r="3738">
      <c r="A3738" s="1">
        <v>3737.0</v>
      </c>
      <c r="B3738" s="1" t="s">
        <v>6297</v>
      </c>
      <c r="C3738" s="1" t="s">
        <v>25</v>
      </c>
      <c r="K3738" s="1">
        <v>30.0</v>
      </c>
      <c r="N3738" s="5">
        <v>45648.0</v>
      </c>
      <c r="Q3738" s="1" t="s">
        <v>6298</v>
      </c>
    </row>
    <row r="3739">
      <c r="A3739" s="1">
        <v>3738.0</v>
      </c>
      <c r="B3739" s="1" t="s">
        <v>6299</v>
      </c>
      <c r="C3739" s="1" t="s">
        <v>25</v>
      </c>
      <c r="K3739" s="1">
        <v>40.0</v>
      </c>
      <c r="N3739" s="5">
        <v>44630.0</v>
      </c>
      <c r="Q3739" s="1" t="s">
        <v>55</v>
      </c>
    </row>
    <row r="3740">
      <c r="A3740" s="1">
        <v>3739.0</v>
      </c>
      <c r="B3740" s="1" t="s">
        <v>6300</v>
      </c>
      <c r="C3740" s="1" t="s">
        <v>25</v>
      </c>
      <c r="K3740" s="1">
        <v>500.0</v>
      </c>
      <c r="N3740" s="5">
        <v>43927.0</v>
      </c>
      <c r="Q3740" s="1" t="s">
        <v>6301</v>
      </c>
    </row>
    <row r="3741">
      <c r="A3741" s="1">
        <v>3740.0</v>
      </c>
      <c r="B3741" s="1" t="s">
        <v>6302</v>
      </c>
      <c r="C3741" s="1" t="s">
        <v>25</v>
      </c>
      <c r="K3741" s="1">
        <v>90.0</v>
      </c>
      <c r="N3741" s="5">
        <v>43904.0</v>
      </c>
      <c r="Q3741" s="1" t="s">
        <v>6303</v>
      </c>
    </row>
    <row r="3742">
      <c r="A3742" s="1">
        <v>3741.0</v>
      </c>
      <c r="B3742" s="1" t="s">
        <v>6304</v>
      </c>
      <c r="C3742" s="1" t="s">
        <v>25</v>
      </c>
      <c r="K3742" s="1">
        <v>200.0</v>
      </c>
      <c r="N3742" s="5">
        <v>45653.0</v>
      </c>
      <c r="Q3742" s="1" t="s">
        <v>6305</v>
      </c>
    </row>
    <row r="3743">
      <c r="A3743" s="1">
        <v>3742.0</v>
      </c>
      <c r="B3743" s="1" t="s">
        <v>6306</v>
      </c>
      <c r="C3743" s="1" t="s">
        <v>25</v>
      </c>
      <c r="K3743" s="1">
        <v>60.0</v>
      </c>
      <c r="N3743" s="5">
        <v>44031.0</v>
      </c>
      <c r="Q3743" s="1" t="s">
        <v>6307</v>
      </c>
    </row>
    <row r="3744">
      <c r="A3744" s="1">
        <v>3743.0</v>
      </c>
      <c r="B3744" s="1" t="s">
        <v>6308</v>
      </c>
      <c r="C3744" s="1" t="s">
        <v>25</v>
      </c>
      <c r="K3744" s="1">
        <v>250.0</v>
      </c>
      <c r="N3744" s="5">
        <v>43849.0</v>
      </c>
      <c r="Q3744" s="1" t="s">
        <v>6309</v>
      </c>
    </row>
    <row r="3745">
      <c r="A3745" s="1">
        <v>3744.0</v>
      </c>
      <c r="B3745" s="1" t="s">
        <v>6310</v>
      </c>
      <c r="C3745" s="1" t="s">
        <v>25</v>
      </c>
      <c r="K3745" s="1">
        <v>30.0</v>
      </c>
      <c r="N3745" s="5">
        <v>44416.0</v>
      </c>
      <c r="Q3745" s="1" t="s">
        <v>55</v>
      </c>
    </row>
    <row r="3746">
      <c r="A3746" s="1">
        <v>3745.0</v>
      </c>
      <c r="B3746" s="1" t="s">
        <v>6311</v>
      </c>
      <c r="C3746" s="1" t="s">
        <v>25</v>
      </c>
      <c r="K3746" s="1">
        <v>400.0</v>
      </c>
      <c r="N3746" s="5">
        <v>44013.0</v>
      </c>
      <c r="Q3746" s="1" t="s">
        <v>6312</v>
      </c>
    </row>
    <row r="3747">
      <c r="A3747" s="1">
        <v>3746.0</v>
      </c>
      <c r="B3747" s="1" t="s">
        <v>6313</v>
      </c>
      <c r="C3747" s="1" t="s">
        <v>25</v>
      </c>
      <c r="K3747" s="1">
        <v>40.0</v>
      </c>
      <c r="N3747" s="5">
        <v>44375.0</v>
      </c>
      <c r="Q3747" s="1" t="s">
        <v>55</v>
      </c>
    </row>
    <row r="3748">
      <c r="A3748" s="1">
        <v>3747.0</v>
      </c>
      <c r="B3748" s="1" t="s">
        <v>6314</v>
      </c>
      <c r="C3748" s="1" t="s">
        <v>25</v>
      </c>
      <c r="K3748" s="1">
        <v>60.0</v>
      </c>
      <c r="N3748" s="5">
        <v>44611.0</v>
      </c>
      <c r="Q3748" s="1" t="s">
        <v>606</v>
      </c>
    </row>
    <row r="3749">
      <c r="A3749" s="1">
        <v>3748.0</v>
      </c>
      <c r="B3749" s="1" t="s">
        <v>6315</v>
      </c>
      <c r="C3749" s="1" t="s">
        <v>25</v>
      </c>
      <c r="K3749" s="1">
        <v>150.0</v>
      </c>
      <c r="N3749" s="5">
        <v>44272.0</v>
      </c>
      <c r="Q3749" s="1" t="s">
        <v>6316</v>
      </c>
    </row>
    <row r="3750">
      <c r="A3750" s="1">
        <v>3749.0</v>
      </c>
      <c r="B3750" s="1" t="s">
        <v>6317</v>
      </c>
      <c r="C3750" s="1" t="s">
        <v>25</v>
      </c>
      <c r="K3750" s="1">
        <v>250.0</v>
      </c>
      <c r="N3750" s="5">
        <v>45591.0</v>
      </c>
      <c r="Q3750" s="1" t="s">
        <v>6318</v>
      </c>
    </row>
    <row r="3751">
      <c r="A3751" s="1">
        <v>3750.0</v>
      </c>
      <c r="B3751" s="1" t="s">
        <v>6319</v>
      </c>
      <c r="C3751" s="1" t="s">
        <v>25</v>
      </c>
      <c r="K3751" s="1">
        <v>50.0</v>
      </c>
      <c r="N3751" s="5">
        <v>44680.0</v>
      </c>
      <c r="Q3751" s="1" t="s">
        <v>1066</v>
      </c>
    </row>
    <row r="3752">
      <c r="A3752" s="1">
        <v>3751.0</v>
      </c>
      <c r="B3752" s="1" t="s">
        <v>6320</v>
      </c>
      <c r="C3752" s="1" t="s">
        <v>25</v>
      </c>
      <c r="K3752" s="1">
        <v>10.0</v>
      </c>
      <c r="N3752" s="5">
        <v>44610.0</v>
      </c>
      <c r="Q3752" s="1" t="s">
        <v>55</v>
      </c>
    </row>
    <row r="3753">
      <c r="A3753" s="1">
        <v>3752.0</v>
      </c>
      <c r="B3753" s="1" t="s">
        <v>6321</v>
      </c>
      <c r="C3753" s="1" t="s">
        <v>25</v>
      </c>
      <c r="K3753" s="1">
        <v>10.0</v>
      </c>
      <c r="N3753" s="5">
        <v>43896.0</v>
      </c>
      <c r="Q3753" s="1" t="s">
        <v>6322</v>
      </c>
    </row>
    <row r="3754">
      <c r="A3754" s="1">
        <v>3753.0</v>
      </c>
      <c r="B3754" s="1" t="s">
        <v>6323</v>
      </c>
      <c r="C3754" s="1" t="s">
        <v>25</v>
      </c>
      <c r="K3754" s="1">
        <v>70.0</v>
      </c>
      <c r="N3754" s="5">
        <v>45457.0</v>
      </c>
      <c r="Q3754" s="1" t="s">
        <v>5040</v>
      </c>
    </row>
    <row r="3755">
      <c r="A3755" s="1">
        <v>3754.0</v>
      </c>
      <c r="B3755" s="1" t="s">
        <v>6324</v>
      </c>
      <c r="C3755" s="1" t="s">
        <v>25</v>
      </c>
      <c r="K3755" s="1">
        <v>100.0</v>
      </c>
      <c r="N3755" s="5">
        <v>44086.0</v>
      </c>
      <c r="Q3755" s="1" t="s">
        <v>6325</v>
      </c>
    </row>
    <row r="3756">
      <c r="A3756" s="1">
        <v>3755.0</v>
      </c>
      <c r="B3756" s="1" t="s">
        <v>6326</v>
      </c>
      <c r="C3756" s="1" t="s">
        <v>25</v>
      </c>
      <c r="N3756" s="5">
        <v>44726.0</v>
      </c>
      <c r="Q3756" s="1" t="s">
        <v>55</v>
      </c>
    </row>
    <row r="3757">
      <c r="A3757" s="1">
        <v>3756.0</v>
      </c>
      <c r="B3757" s="1" t="s">
        <v>6327</v>
      </c>
      <c r="C3757" s="1" t="s">
        <v>25</v>
      </c>
      <c r="K3757" s="1">
        <v>40.0</v>
      </c>
      <c r="N3757" s="5">
        <v>44487.0</v>
      </c>
      <c r="Q3757" s="1" t="s">
        <v>3901</v>
      </c>
    </row>
    <row r="3758">
      <c r="A3758" s="1">
        <v>3757.0</v>
      </c>
      <c r="B3758" s="1" t="s">
        <v>6328</v>
      </c>
      <c r="C3758" s="1" t="s">
        <v>25</v>
      </c>
      <c r="K3758" s="1">
        <v>70.0</v>
      </c>
      <c r="N3758" s="5">
        <v>43888.0</v>
      </c>
      <c r="Q3758" s="1" t="s">
        <v>6329</v>
      </c>
    </row>
    <row r="3759">
      <c r="A3759" s="1">
        <v>3758.0</v>
      </c>
      <c r="B3759" s="1" t="s">
        <v>6330</v>
      </c>
      <c r="C3759" s="1" t="s">
        <v>25</v>
      </c>
      <c r="K3759" s="1">
        <v>60.0</v>
      </c>
      <c r="N3759" s="5">
        <v>44488.0</v>
      </c>
      <c r="Q3759" s="1" t="s">
        <v>3901</v>
      </c>
    </row>
    <row r="3760">
      <c r="A3760" s="1">
        <v>3759.0</v>
      </c>
      <c r="B3760" s="1" t="s">
        <v>6331</v>
      </c>
      <c r="C3760" s="1" t="s">
        <v>25</v>
      </c>
      <c r="N3760" s="5">
        <v>44185.0</v>
      </c>
      <c r="Q3760" s="1" t="s">
        <v>55</v>
      </c>
    </row>
    <row r="3761">
      <c r="A3761" s="1">
        <v>3760.0</v>
      </c>
      <c r="B3761" s="1" t="s">
        <v>6332</v>
      </c>
      <c r="C3761" s="1" t="s">
        <v>25</v>
      </c>
      <c r="K3761" s="1">
        <v>50.0</v>
      </c>
      <c r="N3761" s="5">
        <v>44242.0</v>
      </c>
      <c r="Q3761" s="1" t="s">
        <v>55</v>
      </c>
    </row>
    <row r="3762">
      <c r="A3762" s="1">
        <v>3761.0</v>
      </c>
      <c r="B3762" s="1" t="s">
        <v>6333</v>
      </c>
      <c r="C3762" s="1" t="s">
        <v>25</v>
      </c>
      <c r="N3762" s="5">
        <v>43845.0</v>
      </c>
      <c r="Q3762" s="1" t="s">
        <v>55</v>
      </c>
    </row>
    <row r="3763">
      <c r="A3763" s="1">
        <v>3762.0</v>
      </c>
      <c r="B3763" s="1" t="s">
        <v>6334</v>
      </c>
      <c r="C3763" s="1" t="s">
        <v>25</v>
      </c>
      <c r="K3763" s="1">
        <v>150.0</v>
      </c>
      <c r="N3763" s="5">
        <v>45192.0</v>
      </c>
      <c r="Q3763" s="1" t="s">
        <v>6335</v>
      </c>
    </row>
    <row r="3764">
      <c r="A3764" s="1">
        <v>3763.0</v>
      </c>
      <c r="B3764" s="1" t="s">
        <v>6336</v>
      </c>
      <c r="C3764" s="1" t="s">
        <v>25</v>
      </c>
      <c r="K3764" s="1">
        <v>20.0</v>
      </c>
      <c r="N3764" s="5">
        <v>45675.0</v>
      </c>
      <c r="Q3764" s="1" t="s">
        <v>6337</v>
      </c>
    </row>
    <row r="3765">
      <c r="A3765" s="1">
        <v>3764.0</v>
      </c>
      <c r="B3765" s="1" t="s">
        <v>6338</v>
      </c>
      <c r="C3765" s="1" t="s">
        <v>25</v>
      </c>
      <c r="N3765" s="5">
        <v>45555.0</v>
      </c>
      <c r="Q3765" s="1" t="s">
        <v>4193</v>
      </c>
    </row>
    <row r="3766">
      <c r="A3766" s="1">
        <v>3765.0</v>
      </c>
      <c r="B3766" s="1" t="s">
        <v>6339</v>
      </c>
      <c r="C3766" s="1" t="s">
        <v>25</v>
      </c>
      <c r="K3766" s="1">
        <v>20.0</v>
      </c>
      <c r="N3766" s="5">
        <v>43916.0</v>
      </c>
      <c r="Q3766" s="1" t="s">
        <v>4000</v>
      </c>
    </row>
    <row r="3767">
      <c r="A3767" s="1">
        <v>3766.0</v>
      </c>
      <c r="B3767" s="1" t="s">
        <v>6340</v>
      </c>
      <c r="C3767" s="1" t="s">
        <v>25</v>
      </c>
      <c r="K3767" s="1">
        <v>40.0</v>
      </c>
      <c r="N3767" s="5">
        <v>44088.0</v>
      </c>
      <c r="Q3767" s="1" t="s">
        <v>6341</v>
      </c>
    </row>
    <row r="3768">
      <c r="A3768" s="1">
        <v>3767.0</v>
      </c>
      <c r="B3768" s="1" t="s">
        <v>6342</v>
      </c>
      <c r="C3768" s="1" t="s">
        <v>25</v>
      </c>
      <c r="K3768" s="1">
        <v>100.0</v>
      </c>
      <c r="N3768" s="5">
        <v>44083.0</v>
      </c>
      <c r="Q3768" s="1" t="s">
        <v>3008</v>
      </c>
    </row>
    <row r="3769">
      <c r="A3769" s="1">
        <v>3768.0</v>
      </c>
      <c r="B3769" s="1" t="s">
        <v>6343</v>
      </c>
      <c r="C3769" s="1" t="s">
        <v>25</v>
      </c>
      <c r="K3769" s="1">
        <v>10.0</v>
      </c>
      <c r="N3769" s="5">
        <v>45201.0</v>
      </c>
      <c r="Q3769" s="1" t="s">
        <v>55</v>
      </c>
    </row>
    <row r="3770">
      <c r="A3770" s="1">
        <v>3769.0</v>
      </c>
      <c r="B3770" s="1" t="s">
        <v>6344</v>
      </c>
      <c r="C3770" s="1" t="s">
        <v>25</v>
      </c>
      <c r="N3770" s="5">
        <v>45322.0</v>
      </c>
      <c r="Q3770" s="1" t="s">
        <v>55</v>
      </c>
    </row>
    <row r="3771">
      <c r="A3771" s="1">
        <v>3770.0</v>
      </c>
      <c r="B3771" s="1" t="s">
        <v>6345</v>
      </c>
      <c r="C3771" s="1" t="s">
        <v>25</v>
      </c>
      <c r="K3771" s="1">
        <v>40.0</v>
      </c>
      <c r="N3771" s="5">
        <v>44626.0</v>
      </c>
      <c r="Q3771" s="1" t="s">
        <v>6346</v>
      </c>
    </row>
    <row r="3772">
      <c r="A3772" s="1">
        <v>3771.0</v>
      </c>
      <c r="B3772" s="1" t="s">
        <v>6347</v>
      </c>
      <c r="C3772" s="1" t="s">
        <v>25</v>
      </c>
      <c r="K3772" s="1">
        <v>50.0</v>
      </c>
      <c r="N3772" s="5">
        <v>44153.0</v>
      </c>
      <c r="Q3772" s="1" t="s">
        <v>6348</v>
      </c>
    </row>
    <row r="3773">
      <c r="A3773" s="1">
        <v>3772.0</v>
      </c>
      <c r="B3773" s="1" t="s">
        <v>6349</v>
      </c>
      <c r="C3773" s="1" t="s">
        <v>25</v>
      </c>
      <c r="K3773" s="1">
        <v>80.0</v>
      </c>
      <c r="N3773" s="5">
        <v>44623.0</v>
      </c>
      <c r="Q3773" s="1" t="s">
        <v>55</v>
      </c>
    </row>
    <row r="3774">
      <c r="A3774" s="1">
        <v>3773.0</v>
      </c>
      <c r="B3774" s="1" t="s">
        <v>6350</v>
      </c>
      <c r="C3774" s="1" t="s">
        <v>25</v>
      </c>
      <c r="K3774" s="1">
        <v>150.0</v>
      </c>
      <c r="N3774" s="5">
        <v>44321.0</v>
      </c>
      <c r="Q3774" s="1" t="s">
        <v>6351</v>
      </c>
    </row>
    <row r="3775">
      <c r="A3775" s="1">
        <v>3774.0</v>
      </c>
      <c r="B3775" s="1" t="s">
        <v>6352</v>
      </c>
      <c r="C3775" s="1" t="s">
        <v>25</v>
      </c>
      <c r="K3775" s="1">
        <v>40.0</v>
      </c>
      <c r="N3775" s="5">
        <v>44811.0</v>
      </c>
      <c r="Q3775" s="1" t="s">
        <v>172</v>
      </c>
    </row>
    <row r="3776">
      <c r="A3776" s="1">
        <v>3775.0</v>
      </c>
      <c r="B3776" s="1" t="s">
        <v>6353</v>
      </c>
      <c r="C3776" s="1" t="s">
        <v>25</v>
      </c>
      <c r="K3776" s="1">
        <v>50.0</v>
      </c>
      <c r="N3776" s="5">
        <v>45177.0</v>
      </c>
      <c r="Q3776" s="1" t="s">
        <v>6354</v>
      </c>
    </row>
    <row r="3777">
      <c r="A3777" s="1">
        <v>3776.0</v>
      </c>
      <c r="B3777" s="1" t="s">
        <v>6355</v>
      </c>
      <c r="C3777" s="1" t="s">
        <v>25</v>
      </c>
      <c r="N3777" s="5">
        <v>44180.0</v>
      </c>
      <c r="Q3777" s="1" t="s">
        <v>55</v>
      </c>
    </row>
    <row r="3778">
      <c r="A3778" s="1">
        <v>3777.0</v>
      </c>
      <c r="B3778" s="1" t="s">
        <v>6356</v>
      </c>
      <c r="C3778" s="1" t="s">
        <v>25</v>
      </c>
      <c r="K3778" s="1">
        <v>200.0</v>
      </c>
      <c r="N3778" s="5">
        <v>43967.0</v>
      </c>
      <c r="Q3778" s="1" t="s">
        <v>6357</v>
      </c>
    </row>
    <row r="3779">
      <c r="A3779" s="1">
        <v>3778.0</v>
      </c>
      <c r="B3779" s="1" t="s">
        <v>6358</v>
      </c>
      <c r="C3779" s="1" t="s">
        <v>25</v>
      </c>
      <c r="K3779" s="1">
        <v>40.0</v>
      </c>
      <c r="N3779" s="5">
        <v>45670.0</v>
      </c>
      <c r="Q3779" s="1" t="s">
        <v>2913</v>
      </c>
    </row>
    <row r="3780">
      <c r="A3780" s="1">
        <v>3779.0</v>
      </c>
      <c r="B3780" s="1" t="s">
        <v>6359</v>
      </c>
      <c r="C3780" s="1" t="s">
        <v>25</v>
      </c>
      <c r="N3780" s="5">
        <v>44216.0</v>
      </c>
      <c r="Q3780" s="1" t="s">
        <v>55</v>
      </c>
    </row>
    <row r="3781">
      <c r="A3781" s="1">
        <v>3780.0</v>
      </c>
      <c r="B3781" s="1" t="s">
        <v>6360</v>
      </c>
      <c r="C3781" s="1" t="s">
        <v>25</v>
      </c>
      <c r="K3781" s="1">
        <v>60.0</v>
      </c>
      <c r="N3781" s="5">
        <v>45564.0</v>
      </c>
      <c r="Q3781" s="1" t="s">
        <v>6361</v>
      </c>
    </row>
    <row r="3782">
      <c r="A3782" s="1">
        <v>3781.0</v>
      </c>
      <c r="B3782" s="1" t="s">
        <v>6362</v>
      </c>
      <c r="C3782" s="1" t="s">
        <v>25</v>
      </c>
      <c r="N3782" s="5">
        <v>44209.0</v>
      </c>
      <c r="Q3782" s="1" t="s">
        <v>55</v>
      </c>
    </row>
    <row r="3783">
      <c r="A3783" s="1">
        <v>3782.0</v>
      </c>
      <c r="B3783" s="1" t="s">
        <v>313</v>
      </c>
      <c r="C3783" s="1" t="s">
        <v>25</v>
      </c>
      <c r="K3783" s="1">
        <v>30.0</v>
      </c>
      <c r="N3783" s="5">
        <v>45040.0</v>
      </c>
      <c r="Q3783" s="1" t="s">
        <v>315</v>
      </c>
    </row>
    <row r="3784">
      <c r="A3784" s="1">
        <v>3783.0</v>
      </c>
      <c r="B3784" s="1" t="s">
        <v>6363</v>
      </c>
      <c r="C3784" s="1" t="s">
        <v>25</v>
      </c>
      <c r="N3784" s="5">
        <v>44999.0</v>
      </c>
      <c r="Q3784" s="1" t="s">
        <v>55</v>
      </c>
    </row>
    <row r="3785">
      <c r="A3785" s="1">
        <v>3784.0</v>
      </c>
      <c r="B3785" s="1" t="s">
        <v>6364</v>
      </c>
      <c r="C3785" s="1" t="s">
        <v>25</v>
      </c>
      <c r="K3785" s="1">
        <v>60.0</v>
      </c>
      <c r="N3785" s="5">
        <v>44075.0</v>
      </c>
      <c r="Q3785" s="1" t="s">
        <v>6365</v>
      </c>
    </row>
    <row r="3786">
      <c r="A3786" s="1">
        <v>3785.0</v>
      </c>
      <c r="B3786" s="1" t="s">
        <v>6366</v>
      </c>
      <c r="C3786" s="1" t="s">
        <v>25</v>
      </c>
      <c r="K3786" s="1">
        <v>40.0</v>
      </c>
      <c r="N3786" s="5">
        <v>44780.0</v>
      </c>
      <c r="Q3786" s="1" t="s">
        <v>6367</v>
      </c>
    </row>
    <row r="3787">
      <c r="A3787" s="1">
        <v>3786.0</v>
      </c>
      <c r="B3787" s="1" t="s">
        <v>6368</v>
      </c>
      <c r="C3787" s="1" t="s">
        <v>25</v>
      </c>
      <c r="K3787" s="1">
        <v>150.0</v>
      </c>
      <c r="N3787" s="5">
        <v>44896.0</v>
      </c>
      <c r="Q3787" s="1" t="s">
        <v>6369</v>
      </c>
    </row>
    <row r="3788">
      <c r="A3788" s="1">
        <v>3787.0</v>
      </c>
      <c r="B3788" s="1" t="s">
        <v>6370</v>
      </c>
      <c r="C3788" s="1" t="s">
        <v>25</v>
      </c>
      <c r="N3788" s="5">
        <v>43943.0</v>
      </c>
      <c r="Q3788" s="1" t="s">
        <v>55</v>
      </c>
    </row>
    <row r="3789">
      <c r="A3789" s="1">
        <v>3788.0</v>
      </c>
      <c r="B3789" s="1" t="s">
        <v>6371</v>
      </c>
      <c r="C3789" s="1" t="s">
        <v>25</v>
      </c>
      <c r="N3789" s="5">
        <v>44155.0</v>
      </c>
      <c r="Q3789" s="1" t="s">
        <v>55</v>
      </c>
    </row>
    <row r="3790">
      <c r="A3790" s="1">
        <v>3789.0</v>
      </c>
      <c r="B3790" s="1" t="s">
        <v>6372</v>
      </c>
      <c r="C3790" s="1" t="s">
        <v>25</v>
      </c>
      <c r="K3790" s="1">
        <v>300.0</v>
      </c>
      <c r="N3790" s="5">
        <v>44183.0</v>
      </c>
      <c r="Q3790" s="1" t="s">
        <v>6373</v>
      </c>
    </row>
    <row r="3791">
      <c r="A3791" s="1">
        <v>3790.0</v>
      </c>
      <c r="B3791" s="1" t="s">
        <v>6374</v>
      </c>
      <c r="C3791" s="1" t="s">
        <v>25</v>
      </c>
      <c r="K3791" s="1">
        <v>100.0</v>
      </c>
      <c r="N3791" s="5">
        <v>44920.0</v>
      </c>
      <c r="Q3791" s="1" t="s">
        <v>6375</v>
      </c>
    </row>
    <row r="3792">
      <c r="A3792" s="1">
        <v>3791.0</v>
      </c>
      <c r="B3792" s="1" t="s">
        <v>6376</v>
      </c>
      <c r="C3792" s="1" t="s">
        <v>25</v>
      </c>
      <c r="K3792" s="1">
        <v>30.0</v>
      </c>
      <c r="N3792" s="5">
        <v>44671.0</v>
      </c>
      <c r="Q3792" s="1" t="s">
        <v>6377</v>
      </c>
    </row>
    <row r="3793">
      <c r="A3793" s="1">
        <v>3792.0</v>
      </c>
      <c r="B3793" s="1" t="s">
        <v>1373</v>
      </c>
      <c r="C3793" s="1" t="s">
        <v>25</v>
      </c>
      <c r="K3793" s="1">
        <v>70.0</v>
      </c>
      <c r="N3793" s="5">
        <v>44347.0</v>
      </c>
      <c r="Q3793" s="1" t="s">
        <v>6378</v>
      </c>
    </row>
    <row r="3794">
      <c r="A3794" s="1">
        <v>3793.0</v>
      </c>
      <c r="B3794" s="1" t="s">
        <v>6379</v>
      </c>
      <c r="C3794" s="1" t="s">
        <v>25</v>
      </c>
      <c r="N3794" s="5">
        <v>44171.0</v>
      </c>
      <c r="Q3794" s="1" t="s">
        <v>55</v>
      </c>
    </row>
    <row r="3795">
      <c r="A3795" s="1">
        <v>3794.0</v>
      </c>
      <c r="B3795" s="1" t="s">
        <v>318</v>
      </c>
      <c r="C3795" s="1" t="s">
        <v>25</v>
      </c>
      <c r="K3795" s="1">
        <v>10.0</v>
      </c>
      <c r="N3795" s="5">
        <v>44151.0</v>
      </c>
      <c r="Q3795" s="1" t="s">
        <v>321</v>
      </c>
    </row>
    <row r="3796">
      <c r="A3796" s="1">
        <v>3795.0</v>
      </c>
      <c r="B3796" s="1" t="s">
        <v>6380</v>
      </c>
      <c r="C3796" s="1" t="s">
        <v>25</v>
      </c>
      <c r="K3796" s="1">
        <v>10.0</v>
      </c>
      <c r="N3796" s="5">
        <v>44302.0</v>
      </c>
      <c r="Q3796" s="1" t="s">
        <v>55</v>
      </c>
    </row>
    <row r="3797">
      <c r="A3797" s="1">
        <v>3796.0</v>
      </c>
      <c r="B3797" s="1" t="s">
        <v>6381</v>
      </c>
      <c r="C3797" s="1" t="s">
        <v>25</v>
      </c>
      <c r="N3797" s="5">
        <v>44924.0</v>
      </c>
      <c r="Q3797" s="1" t="s">
        <v>55</v>
      </c>
    </row>
    <row r="3798">
      <c r="A3798" s="1">
        <v>3797.0</v>
      </c>
      <c r="B3798" s="1" t="s">
        <v>6382</v>
      </c>
      <c r="C3798" s="1" t="s">
        <v>25</v>
      </c>
      <c r="K3798" s="1">
        <v>20.0</v>
      </c>
      <c r="N3798" s="5">
        <v>44661.0</v>
      </c>
      <c r="Q3798" s="1" t="s">
        <v>1218</v>
      </c>
    </row>
    <row r="3799">
      <c r="A3799" s="1">
        <v>3798.0</v>
      </c>
      <c r="B3799" s="1" t="s">
        <v>6383</v>
      </c>
      <c r="C3799" s="1" t="s">
        <v>25</v>
      </c>
      <c r="K3799" s="1">
        <v>70.0</v>
      </c>
      <c r="N3799" s="5">
        <v>44180.0</v>
      </c>
      <c r="Q3799" s="1" t="s">
        <v>55</v>
      </c>
    </row>
    <row r="3800">
      <c r="A3800" s="1">
        <v>3799.0</v>
      </c>
      <c r="B3800" s="1" t="s">
        <v>6384</v>
      </c>
      <c r="C3800" s="1" t="s">
        <v>25</v>
      </c>
      <c r="N3800" s="5">
        <v>44095.0</v>
      </c>
      <c r="Q3800" s="1" t="s">
        <v>55</v>
      </c>
    </row>
    <row r="3801">
      <c r="A3801" s="1">
        <v>3800.0</v>
      </c>
      <c r="B3801" s="1" t="s">
        <v>6385</v>
      </c>
      <c r="C3801" s="1" t="s">
        <v>25</v>
      </c>
      <c r="N3801" s="5">
        <v>43924.0</v>
      </c>
      <c r="Q3801" s="1" t="s">
        <v>55</v>
      </c>
    </row>
    <row r="3802">
      <c r="A3802" s="1">
        <v>3801.0</v>
      </c>
      <c r="B3802" s="1" t="s">
        <v>6386</v>
      </c>
      <c r="C3802" s="1" t="s">
        <v>25</v>
      </c>
      <c r="K3802" s="1">
        <v>10.0</v>
      </c>
      <c r="N3802" s="5">
        <v>44547.0</v>
      </c>
      <c r="Q3802" s="1" t="s">
        <v>6387</v>
      </c>
    </row>
    <row r="3803">
      <c r="A3803" s="1">
        <v>3802.0</v>
      </c>
      <c r="B3803" s="1" t="s">
        <v>6388</v>
      </c>
      <c r="C3803" s="1" t="s">
        <v>25</v>
      </c>
      <c r="K3803" s="1">
        <v>10.0</v>
      </c>
      <c r="N3803" s="5">
        <v>45186.0</v>
      </c>
      <c r="Q3803" s="1" t="s">
        <v>55</v>
      </c>
    </row>
    <row r="3804">
      <c r="A3804" s="1">
        <v>3803.0</v>
      </c>
      <c r="B3804" s="1" t="s">
        <v>6389</v>
      </c>
      <c r="C3804" s="1" t="s">
        <v>25</v>
      </c>
      <c r="K3804" s="1">
        <v>200.0</v>
      </c>
      <c r="N3804" s="5">
        <v>43930.0</v>
      </c>
      <c r="Q3804" s="1" t="s">
        <v>6390</v>
      </c>
    </row>
    <row r="3805">
      <c r="A3805" s="1">
        <v>3804.0</v>
      </c>
      <c r="B3805" s="1" t="s">
        <v>6391</v>
      </c>
      <c r="C3805" s="1" t="s">
        <v>25</v>
      </c>
      <c r="N3805" s="5">
        <v>45082.0</v>
      </c>
      <c r="Q3805" s="1" t="s">
        <v>55</v>
      </c>
    </row>
    <row r="3806">
      <c r="A3806" s="1">
        <v>3805.0</v>
      </c>
      <c r="B3806" s="1" t="s">
        <v>6392</v>
      </c>
      <c r="C3806" s="1" t="s">
        <v>25</v>
      </c>
      <c r="K3806" s="1">
        <v>300.0</v>
      </c>
      <c r="N3806" s="5">
        <v>44066.0</v>
      </c>
      <c r="Q3806" s="1" t="s">
        <v>6393</v>
      </c>
    </row>
    <row r="3807">
      <c r="A3807" s="1">
        <v>3806.0</v>
      </c>
      <c r="B3807" s="1" t="s">
        <v>6394</v>
      </c>
      <c r="C3807" s="1" t="s">
        <v>25</v>
      </c>
      <c r="K3807" s="1">
        <v>150.0</v>
      </c>
      <c r="N3807" s="5">
        <v>44753.0</v>
      </c>
      <c r="Q3807" s="1" t="s">
        <v>6395</v>
      </c>
    </row>
    <row r="3808">
      <c r="A3808" s="1">
        <v>3807.0</v>
      </c>
      <c r="B3808" s="1" t="s">
        <v>6396</v>
      </c>
      <c r="C3808" s="1" t="s">
        <v>25</v>
      </c>
      <c r="K3808" s="1">
        <v>200.0</v>
      </c>
      <c r="N3808" s="5">
        <v>44153.0</v>
      </c>
      <c r="Q3808" s="1" t="s">
        <v>6397</v>
      </c>
    </row>
    <row r="3809">
      <c r="A3809" s="1">
        <v>3808.0</v>
      </c>
      <c r="B3809" s="1" t="s">
        <v>6398</v>
      </c>
      <c r="C3809" s="1" t="s">
        <v>25</v>
      </c>
      <c r="K3809" s="1">
        <v>10.0</v>
      </c>
      <c r="N3809" s="5">
        <v>45605.0</v>
      </c>
      <c r="Q3809" s="1" t="s">
        <v>796</v>
      </c>
    </row>
    <row r="3810">
      <c r="A3810" s="1">
        <v>3809.0</v>
      </c>
      <c r="B3810" s="1" t="s">
        <v>6399</v>
      </c>
      <c r="C3810" s="1" t="s">
        <v>25</v>
      </c>
      <c r="N3810" s="5">
        <v>45345.0</v>
      </c>
      <c r="Q3810" s="1" t="s">
        <v>2022</v>
      </c>
    </row>
    <row r="3811">
      <c r="A3811" s="1">
        <v>3810.0</v>
      </c>
      <c r="B3811" s="1" t="s">
        <v>6400</v>
      </c>
      <c r="C3811" s="1" t="s">
        <v>25</v>
      </c>
      <c r="N3811" s="5">
        <v>44082.0</v>
      </c>
      <c r="Q3811" s="1" t="s">
        <v>55</v>
      </c>
    </row>
    <row r="3812">
      <c r="A3812" s="1">
        <v>3811.0</v>
      </c>
      <c r="B3812" s="1" t="s">
        <v>6401</v>
      </c>
      <c r="C3812" s="1" t="s">
        <v>25</v>
      </c>
      <c r="K3812" s="1">
        <v>150.0</v>
      </c>
      <c r="N3812" s="5">
        <v>45482.0</v>
      </c>
      <c r="Q3812" s="1" t="s">
        <v>6402</v>
      </c>
    </row>
    <row r="3813">
      <c r="A3813" s="1">
        <v>3812.0</v>
      </c>
      <c r="B3813" s="1" t="s">
        <v>6403</v>
      </c>
      <c r="C3813" s="1" t="s">
        <v>25</v>
      </c>
      <c r="N3813" s="5">
        <v>45275.0</v>
      </c>
      <c r="Q3813" s="1" t="s">
        <v>5646</v>
      </c>
    </row>
    <row r="3814">
      <c r="A3814" s="1">
        <v>3813.0</v>
      </c>
      <c r="B3814" s="1" t="s">
        <v>6404</v>
      </c>
      <c r="C3814" s="1" t="s">
        <v>25</v>
      </c>
      <c r="N3814" s="5">
        <v>44478.0</v>
      </c>
      <c r="Q3814" s="1" t="s">
        <v>4193</v>
      </c>
    </row>
    <row r="3815">
      <c r="A3815" s="1">
        <v>3814.0</v>
      </c>
      <c r="B3815" s="1" t="s">
        <v>6405</v>
      </c>
      <c r="C3815" s="1" t="s">
        <v>25</v>
      </c>
      <c r="K3815" s="1">
        <v>20.0</v>
      </c>
      <c r="N3815" s="5">
        <v>44383.0</v>
      </c>
      <c r="Q3815" s="1" t="s">
        <v>1387</v>
      </c>
    </row>
    <row r="3816">
      <c r="A3816" s="1">
        <v>3815.0</v>
      </c>
      <c r="B3816" s="1" t="s">
        <v>6406</v>
      </c>
      <c r="C3816" s="1" t="s">
        <v>25</v>
      </c>
      <c r="K3816" s="1">
        <v>10.0</v>
      </c>
      <c r="N3816" s="5">
        <v>43956.0</v>
      </c>
      <c r="Q3816" s="1" t="s">
        <v>55</v>
      </c>
    </row>
    <row r="3817">
      <c r="A3817" s="1">
        <v>3816.0</v>
      </c>
      <c r="B3817" s="1" t="s">
        <v>6407</v>
      </c>
      <c r="C3817" s="1" t="s">
        <v>25</v>
      </c>
      <c r="K3817" s="1">
        <v>20.0</v>
      </c>
      <c r="N3817" s="5">
        <v>44537.0</v>
      </c>
      <c r="Q3817" s="1" t="s">
        <v>2438</v>
      </c>
    </row>
    <row r="3818">
      <c r="A3818" s="1">
        <v>3817.0</v>
      </c>
      <c r="B3818" s="1" t="s">
        <v>6408</v>
      </c>
      <c r="C3818" s="1" t="s">
        <v>25</v>
      </c>
      <c r="N3818" s="5">
        <v>44233.0</v>
      </c>
      <c r="Q3818" s="1" t="s">
        <v>55</v>
      </c>
    </row>
    <row r="3819">
      <c r="A3819" s="1">
        <v>3818.0</v>
      </c>
      <c r="B3819" s="1" t="s">
        <v>6409</v>
      </c>
      <c r="C3819" s="1" t="s">
        <v>25</v>
      </c>
      <c r="K3819" s="1">
        <v>50.0</v>
      </c>
      <c r="N3819" s="5">
        <v>44247.0</v>
      </c>
      <c r="Q3819" s="1" t="s">
        <v>3352</v>
      </c>
    </row>
    <row r="3820">
      <c r="A3820" s="1">
        <v>3819.0</v>
      </c>
      <c r="B3820" s="1" t="s">
        <v>6410</v>
      </c>
      <c r="C3820" s="1" t="s">
        <v>25</v>
      </c>
      <c r="K3820" s="1">
        <v>20.0</v>
      </c>
      <c r="N3820" s="5">
        <v>44641.0</v>
      </c>
      <c r="Q3820" s="1" t="s">
        <v>55</v>
      </c>
    </row>
    <row r="3821">
      <c r="A3821" s="1">
        <v>3820.0</v>
      </c>
      <c r="B3821" s="1" t="s">
        <v>6411</v>
      </c>
      <c r="C3821" s="1" t="s">
        <v>25</v>
      </c>
      <c r="K3821" s="1">
        <v>150.0</v>
      </c>
      <c r="N3821" s="5">
        <v>44047.0</v>
      </c>
      <c r="Q3821" s="1" t="s">
        <v>6412</v>
      </c>
    </row>
    <row r="3822">
      <c r="A3822" s="1">
        <v>3821.0</v>
      </c>
      <c r="B3822" s="1" t="s">
        <v>6413</v>
      </c>
      <c r="C3822" s="1" t="s">
        <v>25</v>
      </c>
      <c r="N3822" s="5">
        <v>46102.0</v>
      </c>
      <c r="Q3822" s="1" t="s">
        <v>6414</v>
      </c>
    </row>
    <row r="3823">
      <c r="A3823" s="1">
        <v>3822.0</v>
      </c>
      <c r="B3823" s="1" t="s">
        <v>6415</v>
      </c>
      <c r="C3823" s="1" t="s">
        <v>25</v>
      </c>
      <c r="K3823" s="1">
        <v>50.0</v>
      </c>
      <c r="N3823" s="5">
        <v>45487.0</v>
      </c>
      <c r="Q3823" s="1" t="s">
        <v>6416</v>
      </c>
    </row>
    <row r="3824">
      <c r="A3824" s="1">
        <v>3823.0</v>
      </c>
      <c r="B3824" s="1" t="s">
        <v>6417</v>
      </c>
      <c r="C3824" s="1" t="s">
        <v>25</v>
      </c>
      <c r="K3824" s="1">
        <v>60.0</v>
      </c>
      <c r="N3824" s="5">
        <v>45703.0</v>
      </c>
      <c r="Q3824" s="1" t="s">
        <v>6418</v>
      </c>
    </row>
    <row r="3825">
      <c r="A3825" s="1">
        <v>3824.0</v>
      </c>
      <c r="B3825" s="1" t="s">
        <v>6419</v>
      </c>
      <c r="C3825" s="1" t="s">
        <v>25</v>
      </c>
      <c r="K3825" s="1">
        <v>150.0</v>
      </c>
      <c r="N3825" s="5">
        <v>43988.0</v>
      </c>
      <c r="Q3825" s="1" t="s">
        <v>6420</v>
      </c>
    </row>
    <row r="3826">
      <c r="A3826" s="1">
        <v>3825.0</v>
      </c>
      <c r="B3826" s="1" t="s">
        <v>6421</v>
      </c>
      <c r="C3826" s="1" t="s">
        <v>25</v>
      </c>
      <c r="K3826" s="1">
        <v>80.0</v>
      </c>
      <c r="N3826" s="5">
        <v>44577.0</v>
      </c>
      <c r="Q3826" s="1" t="s">
        <v>46</v>
      </c>
    </row>
    <row r="3827">
      <c r="A3827" s="1">
        <v>3826.0</v>
      </c>
      <c r="B3827" s="1" t="s">
        <v>6422</v>
      </c>
      <c r="C3827" s="1" t="s">
        <v>25</v>
      </c>
      <c r="N3827" s="5">
        <v>43925.0</v>
      </c>
      <c r="Q3827" s="1" t="s">
        <v>55</v>
      </c>
    </row>
    <row r="3828">
      <c r="A3828" s="1">
        <v>3827.0</v>
      </c>
      <c r="B3828" s="1" t="s">
        <v>6423</v>
      </c>
      <c r="C3828" s="1" t="s">
        <v>25</v>
      </c>
      <c r="K3828" s="1">
        <v>40.0</v>
      </c>
      <c r="N3828" s="5">
        <v>44441.0</v>
      </c>
      <c r="Q3828" s="1" t="s">
        <v>6424</v>
      </c>
    </row>
    <row r="3829">
      <c r="A3829" s="1">
        <v>3828.0</v>
      </c>
      <c r="B3829" s="1" t="s">
        <v>6425</v>
      </c>
      <c r="C3829" s="1" t="s">
        <v>25</v>
      </c>
      <c r="K3829" s="1">
        <v>150.0</v>
      </c>
      <c r="N3829" s="5">
        <v>45181.0</v>
      </c>
      <c r="Q3829" s="1" t="s">
        <v>6426</v>
      </c>
    </row>
    <row r="3830">
      <c r="A3830" s="1">
        <v>3829.0</v>
      </c>
      <c r="B3830" s="1" t="s">
        <v>6427</v>
      </c>
      <c r="C3830" s="1" t="s">
        <v>25</v>
      </c>
      <c r="K3830" s="1">
        <v>90.0</v>
      </c>
      <c r="N3830" s="5">
        <v>45708.0</v>
      </c>
      <c r="Q3830" s="1" t="s">
        <v>6428</v>
      </c>
    </row>
    <row r="3831">
      <c r="A3831" s="1">
        <v>3830.0</v>
      </c>
      <c r="B3831" s="1" t="s">
        <v>6429</v>
      </c>
      <c r="C3831" s="1" t="s">
        <v>25</v>
      </c>
      <c r="K3831" s="1">
        <v>100.0</v>
      </c>
      <c r="N3831" s="5">
        <v>45415.0</v>
      </c>
      <c r="Q3831" s="1" t="s">
        <v>5369</v>
      </c>
    </row>
    <row r="3832">
      <c r="A3832" s="1">
        <v>3831.0</v>
      </c>
      <c r="B3832" s="1" t="s">
        <v>6430</v>
      </c>
      <c r="C3832" s="1" t="s">
        <v>25</v>
      </c>
      <c r="K3832" s="1">
        <v>30.0</v>
      </c>
      <c r="N3832" s="5">
        <v>45694.0</v>
      </c>
      <c r="Q3832" s="1" t="s">
        <v>1934</v>
      </c>
    </row>
    <row r="3833">
      <c r="A3833" s="1">
        <v>3832.0</v>
      </c>
      <c r="B3833" s="1" t="s">
        <v>6431</v>
      </c>
      <c r="C3833" s="1" t="s">
        <v>25</v>
      </c>
      <c r="K3833" s="1">
        <v>10.0</v>
      </c>
      <c r="N3833" s="5">
        <v>43918.0</v>
      </c>
      <c r="Q3833" s="1" t="s">
        <v>6432</v>
      </c>
    </row>
    <row r="3834">
      <c r="A3834" s="1">
        <v>3833.0</v>
      </c>
      <c r="B3834" s="1" t="s">
        <v>6433</v>
      </c>
      <c r="C3834" s="1" t="s">
        <v>25</v>
      </c>
      <c r="N3834" s="5">
        <v>46103.0</v>
      </c>
      <c r="Q3834" s="1" t="s">
        <v>6434</v>
      </c>
    </row>
    <row r="3835">
      <c r="A3835" s="1">
        <v>3834.0</v>
      </c>
      <c r="B3835" s="1" t="s">
        <v>6435</v>
      </c>
      <c r="C3835" s="1" t="s">
        <v>25</v>
      </c>
      <c r="N3835" s="5">
        <v>45198.0</v>
      </c>
      <c r="Q3835" s="1" t="s">
        <v>1066</v>
      </c>
    </row>
    <row r="3836">
      <c r="A3836" s="1">
        <v>3835.0</v>
      </c>
      <c r="B3836" s="1" t="s">
        <v>6436</v>
      </c>
      <c r="C3836" s="1" t="s">
        <v>25</v>
      </c>
      <c r="K3836" s="1">
        <v>50.0</v>
      </c>
      <c r="N3836" s="5">
        <v>43891.0</v>
      </c>
      <c r="Q3836" s="1" t="s">
        <v>316</v>
      </c>
    </row>
    <row r="3837">
      <c r="A3837" s="1">
        <v>3836.0</v>
      </c>
      <c r="B3837" s="1" t="s">
        <v>6437</v>
      </c>
      <c r="C3837" s="1" t="s">
        <v>25</v>
      </c>
      <c r="K3837" s="1">
        <v>20.0</v>
      </c>
      <c r="N3837" s="5">
        <v>44442.0</v>
      </c>
      <c r="Q3837" s="1" t="s">
        <v>6438</v>
      </c>
    </row>
    <row r="3838">
      <c r="A3838" s="1">
        <v>3837.0</v>
      </c>
      <c r="B3838" s="1" t="s">
        <v>6439</v>
      </c>
      <c r="C3838" s="1" t="s">
        <v>25</v>
      </c>
      <c r="K3838" s="1">
        <v>350.0</v>
      </c>
      <c r="N3838" s="5">
        <v>44196.0</v>
      </c>
      <c r="Q3838" s="1" t="s">
        <v>6440</v>
      </c>
    </row>
    <row r="3839">
      <c r="A3839" s="1">
        <v>3838.0</v>
      </c>
      <c r="B3839" s="1" t="s">
        <v>6441</v>
      </c>
      <c r="C3839" s="1" t="s">
        <v>25</v>
      </c>
      <c r="K3839" s="1">
        <v>10.0</v>
      </c>
      <c r="N3839" s="5">
        <v>45343.0</v>
      </c>
      <c r="Q3839" s="1" t="s">
        <v>55</v>
      </c>
    </row>
    <row r="3840">
      <c r="A3840" s="1">
        <v>3839.0</v>
      </c>
      <c r="B3840" s="1" t="s">
        <v>6442</v>
      </c>
      <c r="C3840" s="1" t="s">
        <v>25</v>
      </c>
      <c r="K3840" s="1">
        <v>70.0</v>
      </c>
      <c r="N3840" s="5">
        <v>44600.0</v>
      </c>
      <c r="Q3840" s="1" t="s">
        <v>6443</v>
      </c>
    </row>
    <row r="3841">
      <c r="A3841" s="1">
        <v>3840.0</v>
      </c>
      <c r="B3841" s="1" t="s">
        <v>6444</v>
      </c>
      <c r="C3841" s="1" t="s">
        <v>25</v>
      </c>
      <c r="K3841" s="1">
        <v>100.0</v>
      </c>
      <c r="N3841" s="5">
        <v>44222.0</v>
      </c>
      <c r="Q3841" s="1" t="s">
        <v>6445</v>
      </c>
    </row>
    <row r="3842">
      <c r="A3842" s="1">
        <v>3841.0</v>
      </c>
      <c r="B3842" s="1" t="s">
        <v>6446</v>
      </c>
      <c r="C3842" s="1" t="s">
        <v>25</v>
      </c>
      <c r="K3842" s="1">
        <v>90.0</v>
      </c>
      <c r="N3842" s="5">
        <v>44230.0</v>
      </c>
      <c r="Q3842" s="1" t="s">
        <v>6447</v>
      </c>
    </row>
    <row r="3843">
      <c r="A3843" s="1">
        <v>3842.0</v>
      </c>
      <c r="B3843" s="1" t="s">
        <v>6448</v>
      </c>
      <c r="C3843" s="1" t="s">
        <v>25</v>
      </c>
      <c r="K3843" s="1">
        <v>50.0</v>
      </c>
      <c r="N3843" s="5">
        <v>44249.0</v>
      </c>
      <c r="Q3843" s="1" t="s">
        <v>55</v>
      </c>
    </row>
    <row r="3844">
      <c r="A3844" s="1">
        <v>3843.0</v>
      </c>
      <c r="B3844" s="1" t="s">
        <v>6449</v>
      </c>
      <c r="C3844" s="1" t="s">
        <v>25</v>
      </c>
      <c r="N3844" s="5">
        <v>44277.0</v>
      </c>
      <c r="Q3844" s="1" t="s">
        <v>55</v>
      </c>
    </row>
    <row r="3845">
      <c r="A3845" s="1">
        <v>3844.0</v>
      </c>
      <c r="B3845" s="1" t="s">
        <v>6450</v>
      </c>
      <c r="C3845" s="1" t="s">
        <v>25</v>
      </c>
      <c r="K3845" s="1">
        <v>80.0</v>
      </c>
      <c r="N3845" s="5">
        <v>43892.0</v>
      </c>
      <c r="Q3845" s="1" t="s">
        <v>6451</v>
      </c>
    </row>
    <row r="3846">
      <c r="A3846" s="1">
        <v>3845.0</v>
      </c>
      <c r="B3846" s="1" t="s">
        <v>6452</v>
      </c>
      <c r="C3846" s="1" t="s">
        <v>25</v>
      </c>
      <c r="K3846" s="1">
        <v>20.0</v>
      </c>
      <c r="N3846" s="5">
        <v>44381.0</v>
      </c>
      <c r="Q3846" s="1" t="s">
        <v>55</v>
      </c>
    </row>
    <row r="3847">
      <c r="A3847" s="1">
        <v>3846.0</v>
      </c>
      <c r="B3847" s="1" t="s">
        <v>6453</v>
      </c>
      <c r="C3847" s="1" t="s">
        <v>25</v>
      </c>
      <c r="N3847" s="5">
        <v>44391.0</v>
      </c>
      <c r="Q3847" s="1" t="s">
        <v>55</v>
      </c>
    </row>
    <row r="3848">
      <c r="A3848" s="1">
        <v>3847.0</v>
      </c>
      <c r="B3848" s="1" t="s">
        <v>6454</v>
      </c>
      <c r="C3848" s="1" t="s">
        <v>25</v>
      </c>
      <c r="K3848" s="1">
        <v>10.0</v>
      </c>
      <c r="N3848" s="5">
        <v>44536.0</v>
      </c>
      <c r="Q3848" s="1" t="s">
        <v>55</v>
      </c>
    </row>
    <row r="3849">
      <c r="A3849" s="1">
        <v>3848.0</v>
      </c>
      <c r="B3849" s="1" t="s">
        <v>6455</v>
      </c>
      <c r="C3849" s="1" t="s">
        <v>25</v>
      </c>
      <c r="N3849" s="5">
        <v>44175.0</v>
      </c>
      <c r="Q3849" s="1" t="s">
        <v>55</v>
      </c>
    </row>
    <row r="3850">
      <c r="A3850" s="1">
        <v>3849.0</v>
      </c>
      <c r="B3850" s="1" t="s">
        <v>6456</v>
      </c>
      <c r="C3850" s="1" t="s">
        <v>25</v>
      </c>
      <c r="K3850" s="1">
        <v>50.0</v>
      </c>
      <c r="N3850" s="5">
        <v>43942.0</v>
      </c>
      <c r="Q3850" s="1" t="s">
        <v>644</v>
      </c>
    </row>
    <row r="3851">
      <c r="A3851" s="1">
        <v>3850.0</v>
      </c>
      <c r="B3851" s="1" t="s">
        <v>6457</v>
      </c>
      <c r="C3851" s="1" t="s">
        <v>25</v>
      </c>
      <c r="K3851" s="1">
        <v>150.0</v>
      </c>
      <c r="N3851" s="5">
        <v>43899.0</v>
      </c>
      <c r="Q3851" s="1" t="s">
        <v>6458</v>
      </c>
    </row>
    <row r="3852">
      <c r="A3852" s="1">
        <v>3851.0</v>
      </c>
      <c r="B3852" s="1" t="s">
        <v>6459</v>
      </c>
      <c r="C3852" s="1" t="s">
        <v>25</v>
      </c>
      <c r="K3852" s="1">
        <v>100.0</v>
      </c>
      <c r="N3852" s="5">
        <v>44045.0</v>
      </c>
      <c r="Q3852" s="1" t="s">
        <v>6460</v>
      </c>
    </row>
    <row r="3853">
      <c r="A3853" s="1">
        <v>3852.0</v>
      </c>
      <c r="B3853" s="1" t="s">
        <v>6461</v>
      </c>
      <c r="C3853" s="1" t="s">
        <v>25</v>
      </c>
      <c r="K3853" s="1">
        <v>60.0</v>
      </c>
      <c r="N3853" s="5">
        <v>44237.0</v>
      </c>
      <c r="Q3853" s="1" t="s">
        <v>2636</v>
      </c>
    </row>
    <row r="3854">
      <c r="A3854" s="1">
        <v>3853.0</v>
      </c>
      <c r="B3854" s="1" t="s">
        <v>6462</v>
      </c>
      <c r="C3854" s="1" t="s">
        <v>25</v>
      </c>
      <c r="K3854" s="1">
        <v>150.0</v>
      </c>
      <c r="N3854" s="5">
        <v>43908.0</v>
      </c>
      <c r="Q3854" s="1" t="s">
        <v>6463</v>
      </c>
    </row>
    <row r="3855">
      <c r="A3855" s="1">
        <v>3854.0</v>
      </c>
      <c r="B3855" s="1" t="s">
        <v>6464</v>
      </c>
      <c r="C3855" s="1" t="s">
        <v>25</v>
      </c>
      <c r="K3855" s="1">
        <v>150.0</v>
      </c>
      <c r="N3855" s="5">
        <v>44600.0</v>
      </c>
      <c r="Q3855" s="1" t="s">
        <v>6465</v>
      </c>
    </row>
    <row r="3856">
      <c r="A3856" s="1">
        <v>3855.0</v>
      </c>
      <c r="B3856" s="1" t="s">
        <v>6466</v>
      </c>
      <c r="C3856" s="1" t="s">
        <v>25</v>
      </c>
      <c r="K3856" s="1">
        <v>70.0</v>
      </c>
      <c r="N3856" s="5">
        <v>45663.0</v>
      </c>
      <c r="Q3856" s="1" t="s">
        <v>6467</v>
      </c>
    </row>
    <row r="3857">
      <c r="A3857" s="1">
        <v>3856.0</v>
      </c>
      <c r="B3857" s="1" t="s">
        <v>6468</v>
      </c>
      <c r="C3857" s="1" t="s">
        <v>25</v>
      </c>
      <c r="K3857" s="1">
        <v>90.0</v>
      </c>
      <c r="N3857" s="5">
        <v>45740.0</v>
      </c>
      <c r="Q3857" s="1" t="s">
        <v>2317</v>
      </c>
    </row>
    <row r="3858">
      <c r="A3858" s="1">
        <v>3857.0</v>
      </c>
      <c r="B3858" s="1" t="s">
        <v>6469</v>
      </c>
      <c r="C3858" s="1" t="s">
        <v>25</v>
      </c>
      <c r="K3858" s="1">
        <v>70.0</v>
      </c>
      <c r="N3858" s="5">
        <v>44938.0</v>
      </c>
      <c r="Q3858" s="1" t="s">
        <v>3370</v>
      </c>
    </row>
    <row r="3859">
      <c r="A3859" s="1">
        <v>3858.0</v>
      </c>
      <c r="B3859" s="1" t="s">
        <v>6470</v>
      </c>
      <c r="C3859" s="1" t="s">
        <v>25</v>
      </c>
      <c r="K3859" s="1">
        <v>300.0</v>
      </c>
      <c r="N3859" s="5">
        <v>44499.0</v>
      </c>
      <c r="Q3859" s="1" t="s">
        <v>6471</v>
      </c>
    </row>
    <row r="3860">
      <c r="A3860" s="1">
        <v>3859.0</v>
      </c>
      <c r="B3860" s="1" t="s">
        <v>6472</v>
      </c>
      <c r="C3860" s="1" t="s">
        <v>25</v>
      </c>
      <c r="N3860" s="5">
        <v>44239.0</v>
      </c>
      <c r="Q3860" s="1" t="s">
        <v>55</v>
      </c>
    </row>
    <row r="3861">
      <c r="A3861" s="1">
        <v>3860.0</v>
      </c>
      <c r="B3861" s="1" t="s">
        <v>6473</v>
      </c>
      <c r="C3861" s="1" t="s">
        <v>25</v>
      </c>
      <c r="K3861" s="1">
        <v>60.0</v>
      </c>
      <c r="N3861" s="5">
        <v>44354.0</v>
      </c>
      <c r="Q3861" s="1" t="s">
        <v>55</v>
      </c>
    </row>
    <row r="3862">
      <c r="A3862" s="1">
        <v>3861.0</v>
      </c>
      <c r="B3862" s="1" t="s">
        <v>6474</v>
      </c>
      <c r="C3862" s="1" t="s">
        <v>25</v>
      </c>
      <c r="N3862" s="5">
        <v>46101.0</v>
      </c>
      <c r="Q3862" s="1" t="s">
        <v>6475</v>
      </c>
    </row>
    <row r="3863">
      <c r="A3863" s="1">
        <v>3862.0</v>
      </c>
      <c r="B3863" s="1" t="s">
        <v>6476</v>
      </c>
      <c r="C3863" s="1" t="s">
        <v>25</v>
      </c>
      <c r="K3863" s="1">
        <v>50.0</v>
      </c>
      <c r="N3863" s="5">
        <v>45165.0</v>
      </c>
      <c r="Q3863" s="1" t="s">
        <v>6477</v>
      </c>
    </row>
    <row r="3864">
      <c r="A3864" s="1">
        <v>3863.0</v>
      </c>
      <c r="B3864" s="1" t="s">
        <v>6478</v>
      </c>
      <c r="C3864" s="1" t="s">
        <v>25</v>
      </c>
      <c r="K3864" s="1">
        <v>80.0</v>
      </c>
      <c r="N3864" s="5">
        <v>44965.0</v>
      </c>
      <c r="Q3864" s="1" t="s">
        <v>6479</v>
      </c>
    </row>
    <row r="3865">
      <c r="A3865" s="1">
        <v>3864.0</v>
      </c>
      <c r="B3865" s="1" t="s">
        <v>6480</v>
      </c>
      <c r="C3865" s="1" t="s">
        <v>25</v>
      </c>
      <c r="N3865" s="5">
        <v>44202.0</v>
      </c>
      <c r="Q3865" s="1" t="s">
        <v>55</v>
      </c>
    </row>
    <row r="3866">
      <c r="A3866" s="1">
        <v>3865.0</v>
      </c>
      <c r="B3866" s="1" t="s">
        <v>6481</v>
      </c>
      <c r="C3866" s="1" t="s">
        <v>25</v>
      </c>
      <c r="K3866" s="1">
        <v>10.0</v>
      </c>
      <c r="N3866" s="5">
        <v>45083.0</v>
      </c>
      <c r="Q3866" s="1" t="s">
        <v>606</v>
      </c>
    </row>
    <row r="3867">
      <c r="A3867" s="1">
        <v>3866.0</v>
      </c>
      <c r="B3867" s="1" t="s">
        <v>6482</v>
      </c>
      <c r="C3867" s="1" t="s">
        <v>25</v>
      </c>
      <c r="K3867" s="1">
        <v>100.0</v>
      </c>
      <c r="N3867" s="5">
        <v>45785.0</v>
      </c>
      <c r="Q3867" s="1" t="s">
        <v>4984</v>
      </c>
    </row>
    <row r="3868">
      <c r="A3868" s="1">
        <v>3867.0</v>
      </c>
      <c r="B3868" s="1" t="s">
        <v>6483</v>
      </c>
      <c r="C3868" s="1" t="s">
        <v>25</v>
      </c>
      <c r="N3868" s="5">
        <v>44286.0</v>
      </c>
      <c r="Q3868" s="1" t="s">
        <v>55</v>
      </c>
    </row>
    <row r="3869">
      <c r="A3869" s="1">
        <v>3868.0</v>
      </c>
      <c r="B3869" s="1" t="s">
        <v>6484</v>
      </c>
      <c r="C3869" s="1" t="s">
        <v>25</v>
      </c>
      <c r="K3869" s="1">
        <v>40.0</v>
      </c>
      <c r="N3869" s="5">
        <v>44453.0</v>
      </c>
      <c r="Q3869" s="1" t="s">
        <v>6485</v>
      </c>
    </row>
    <row r="3870">
      <c r="A3870" s="1">
        <v>3869.0</v>
      </c>
      <c r="B3870" s="1" t="s">
        <v>6486</v>
      </c>
      <c r="C3870" s="1" t="s">
        <v>25</v>
      </c>
      <c r="K3870" s="1">
        <v>100.0</v>
      </c>
      <c r="N3870" s="5">
        <v>45035.0</v>
      </c>
      <c r="Q3870" s="1" t="s">
        <v>6487</v>
      </c>
    </row>
    <row r="3871">
      <c r="A3871" s="1">
        <v>3870.0</v>
      </c>
      <c r="B3871" s="1" t="s">
        <v>6488</v>
      </c>
      <c r="C3871" s="1" t="s">
        <v>25</v>
      </c>
      <c r="N3871" s="5">
        <v>44573.0</v>
      </c>
      <c r="Q3871" s="1" t="s">
        <v>55</v>
      </c>
    </row>
    <row r="3872">
      <c r="A3872" s="1">
        <v>3871.0</v>
      </c>
      <c r="B3872" s="1" t="s">
        <v>6489</v>
      </c>
      <c r="C3872" s="1" t="s">
        <v>25</v>
      </c>
      <c r="K3872" s="1">
        <v>600.0</v>
      </c>
      <c r="N3872" s="5">
        <v>44058.0</v>
      </c>
      <c r="Q3872" s="1" t="s">
        <v>6490</v>
      </c>
    </row>
    <row r="3873">
      <c r="A3873" s="1">
        <v>3872.0</v>
      </c>
      <c r="B3873" s="1" t="s">
        <v>6491</v>
      </c>
      <c r="C3873" s="1" t="s">
        <v>25</v>
      </c>
      <c r="K3873" s="1">
        <v>60.0</v>
      </c>
      <c r="N3873" s="5">
        <v>45726.0</v>
      </c>
      <c r="Q3873" s="1" t="s">
        <v>6492</v>
      </c>
    </row>
    <row r="3874">
      <c r="A3874" s="1">
        <v>3873.0</v>
      </c>
      <c r="B3874" s="1" t="s">
        <v>6493</v>
      </c>
      <c r="C3874" s="1" t="s">
        <v>25</v>
      </c>
      <c r="N3874" s="5">
        <v>44703.0</v>
      </c>
      <c r="Q3874" s="1" t="s">
        <v>55</v>
      </c>
    </row>
    <row r="3875">
      <c r="A3875" s="1">
        <v>3874.0</v>
      </c>
      <c r="B3875" s="1" t="s">
        <v>6494</v>
      </c>
      <c r="C3875" s="1" t="s">
        <v>25</v>
      </c>
      <c r="K3875" s="1">
        <v>70.0</v>
      </c>
      <c r="N3875" s="5">
        <v>43934.0</v>
      </c>
      <c r="Q3875" s="1" t="s">
        <v>4291</v>
      </c>
    </row>
    <row r="3876">
      <c r="A3876" s="1">
        <v>3875.0</v>
      </c>
      <c r="B3876" s="1" t="s">
        <v>6495</v>
      </c>
      <c r="C3876" s="1" t="s">
        <v>25</v>
      </c>
      <c r="K3876" s="1">
        <v>70.0</v>
      </c>
      <c r="N3876" s="5">
        <v>45683.0</v>
      </c>
      <c r="Q3876" s="1" t="s">
        <v>6496</v>
      </c>
    </row>
    <row r="3877">
      <c r="A3877" s="1">
        <v>3876.0</v>
      </c>
      <c r="B3877" s="1" t="s">
        <v>6497</v>
      </c>
      <c r="C3877" s="1" t="s">
        <v>25</v>
      </c>
      <c r="K3877" s="1">
        <v>40.0</v>
      </c>
      <c r="N3877" s="5">
        <v>44656.0</v>
      </c>
      <c r="Q3877" s="1" t="s">
        <v>93</v>
      </c>
    </row>
    <row r="3878">
      <c r="A3878" s="1">
        <v>3877.0</v>
      </c>
      <c r="B3878" s="1" t="s">
        <v>6498</v>
      </c>
      <c r="C3878" s="1" t="s">
        <v>25</v>
      </c>
      <c r="K3878" s="1">
        <v>150.0</v>
      </c>
      <c r="N3878" s="5">
        <v>44427.0</v>
      </c>
      <c r="Q3878" s="1" t="s">
        <v>6499</v>
      </c>
    </row>
    <row r="3879">
      <c r="A3879" s="1">
        <v>3878.0</v>
      </c>
      <c r="B3879" s="1" t="s">
        <v>6500</v>
      </c>
      <c r="C3879" s="1" t="s">
        <v>25</v>
      </c>
      <c r="K3879" s="1">
        <v>20.0</v>
      </c>
      <c r="N3879" s="5">
        <v>44122.0</v>
      </c>
      <c r="Q3879" s="1" t="s">
        <v>5128</v>
      </c>
    </row>
    <row r="3880">
      <c r="A3880" s="1">
        <v>3879.0</v>
      </c>
      <c r="B3880" s="1" t="s">
        <v>6501</v>
      </c>
      <c r="C3880" s="1" t="s">
        <v>25</v>
      </c>
      <c r="K3880" s="1">
        <v>100.0</v>
      </c>
      <c r="N3880" s="5">
        <v>45158.0</v>
      </c>
      <c r="Q3880" s="1" t="s">
        <v>6502</v>
      </c>
    </row>
    <row r="3881">
      <c r="A3881" s="1">
        <v>3880.0</v>
      </c>
      <c r="B3881" s="1" t="s">
        <v>6503</v>
      </c>
      <c r="C3881" s="1" t="s">
        <v>25</v>
      </c>
      <c r="N3881" s="5">
        <v>43927.0</v>
      </c>
      <c r="Q3881" s="1" t="s">
        <v>55</v>
      </c>
    </row>
    <row r="3882">
      <c r="A3882" s="1">
        <v>3881.0</v>
      </c>
      <c r="B3882" s="1" t="s">
        <v>6504</v>
      </c>
      <c r="C3882" s="1" t="s">
        <v>25</v>
      </c>
      <c r="N3882" s="5">
        <v>44720.0</v>
      </c>
      <c r="Q3882" s="1" t="s">
        <v>55</v>
      </c>
    </row>
    <row r="3883">
      <c r="A3883" s="1">
        <v>3882.0</v>
      </c>
      <c r="B3883" s="1" t="s">
        <v>6505</v>
      </c>
      <c r="C3883" s="1" t="s">
        <v>25</v>
      </c>
      <c r="K3883" s="1">
        <v>10.0</v>
      </c>
      <c r="N3883" s="5">
        <v>44052.0</v>
      </c>
      <c r="Q3883" s="1" t="s">
        <v>4416</v>
      </c>
    </row>
    <row r="3884">
      <c r="A3884" s="1">
        <v>3883.0</v>
      </c>
      <c r="B3884" s="1" t="s">
        <v>6506</v>
      </c>
      <c r="C3884" s="1" t="s">
        <v>25</v>
      </c>
      <c r="K3884" s="1">
        <v>50.0</v>
      </c>
      <c r="N3884" s="5">
        <v>44238.0</v>
      </c>
      <c r="Q3884" s="1" t="s">
        <v>55</v>
      </c>
    </row>
    <row r="3885">
      <c r="A3885" s="1">
        <v>3884.0</v>
      </c>
      <c r="B3885" s="1" t="s">
        <v>6507</v>
      </c>
      <c r="C3885" s="1" t="s">
        <v>25</v>
      </c>
      <c r="K3885" s="1">
        <v>10.0</v>
      </c>
      <c r="N3885" s="5">
        <v>45347.0</v>
      </c>
      <c r="Q3885" s="1" t="s">
        <v>55</v>
      </c>
    </row>
    <row r="3886">
      <c r="A3886" s="1">
        <v>3885.0</v>
      </c>
      <c r="B3886" s="1" t="s">
        <v>6508</v>
      </c>
      <c r="C3886" s="1" t="s">
        <v>25</v>
      </c>
      <c r="K3886" s="1">
        <v>600.0</v>
      </c>
      <c r="N3886" s="5">
        <v>43955.0</v>
      </c>
      <c r="Q3886" s="1" t="s">
        <v>6509</v>
      </c>
    </row>
    <row r="3887">
      <c r="A3887" s="1">
        <v>3886.0</v>
      </c>
      <c r="B3887" s="1" t="s">
        <v>6510</v>
      </c>
      <c r="C3887" s="1" t="s">
        <v>25</v>
      </c>
      <c r="K3887" s="1">
        <v>1100.0</v>
      </c>
      <c r="N3887" s="5">
        <v>43867.0</v>
      </c>
      <c r="Q3887" s="1" t="s">
        <v>6511</v>
      </c>
    </row>
    <row r="3888">
      <c r="A3888" s="1">
        <v>3887.0</v>
      </c>
      <c r="B3888" s="1" t="s">
        <v>6512</v>
      </c>
      <c r="C3888" s="1" t="s">
        <v>25</v>
      </c>
      <c r="K3888" s="1">
        <v>100.0</v>
      </c>
      <c r="N3888" s="5">
        <v>43971.0</v>
      </c>
      <c r="Q3888" s="1" t="s">
        <v>6513</v>
      </c>
    </row>
    <row r="3889">
      <c r="A3889" s="1">
        <v>3888.0</v>
      </c>
      <c r="B3889" s="1" t="s">
        <v>6514</v>
      </c>
      <c r="C3889" s="1" t="s">
        <v>25</v>
      </c>
      <c r="K3889" s="1">
        <v>70.0</v>
      </c>
      <c r="N3889" s="5">
        <v>44702.0</v>
      </c>
      <c r="Q3889" s="1" t="s">
        <v>55</v>
      </c>
    </row>
    <row r="3890">
      <c r="A3890" s="1">
        <v>3889.0</v>
      </c>
      <c r="B3890" s="1" t="s">
        <v>6515</v>
      </c>
      <c r="C3890" s="1" t="s">
        <v>25</v>
      </c>
      <c r="K3890" s="1">
        <v>60.0</v>
      </c>
      <c r="N3890" s="5">
        <v>44667.0</v>
      </c>
      <c r="Q3890" s="1" t="s">
        <v>77</v>
      </c>
    </row>
    <row r="3891">
      <c r="A3891" s="1">
        <v>3890.0</v>
      </c>
      <c r="B3891" s="1" t="s">
        <v>6516</v>
      </c>
      <c r="C3891" s="1" t="s">
        <v>25</v>
      </c>
      <c r="K3891" s="1">
        <v>250.0</v>
      </c>
      <c r="N3891" s="5">
        <v>43884.0</v>
      </c>
      <c r="Q3891" s="1" t="s">
        <v>6517</v>
      </c>
    </row>
    <row r="3892">
      <c r="A3892" s="1">
        <v>3891.0</v>
      </c>
      <c r="B3892" s="1" t="s">
        <v>6518</v>
      </c>
      <c r="C3892" s="1" t="s">
        <v>25</v>
      </c>
      <c r="K3892" s="1">
        <v>60.0</v>
      </c>
      <c r="N3892" s="5">
        <v>44211.0</v>
      </c>
      <c r="Q3892" s="1" t="s">
        <v>287</v>
      </c>
    </row>
    <row r="3893">
      <c r="A3893" s="1">
        <v>3892.0</v>
      </c>
      <c r="B3893" s="1" t="s">
        <v>6519</v>
      </c>
      <c r="C3893" s="1" t="s">
        <v>25</v>
      </c>
      <c r="K3893" s="1">
        <v>10.0</v>
      </c>
      <c r="N3893" s="5">
        <v>44243.0</v>
      </c>
      <c r="Q3893" s="1" t="s">
        <v>55</v>
      </c>
    </row>
    <row r="3894">
      <c r="A3894" s="1">
        <v>3893.0</v>
      </c>
      <c r="B3894" s="1" t="s">
        <v>6520</v>
      </c>
      <c r="C3894" s="1" t="s">
        <v>25</v>
      </c>
      <c r="K3894" s="1">
        <v>70.0</v>
      </c>
      <c r="N3894" s="5">
        <v>44490.0</v>
      </c>
      <c r="Q3894" s="1" t="s">
        <v>97</v>
      </c>
    </row>
    <row r="3895">
      <c r="A3895" s="1">
        <v>3894.0</v>
      </c>
      <c r="B3895" s="1" t="s">
        <v>6521</v>
      </c>
      <c r="C3895" s="1" t="s">
        <v>25</v>
      </c>
      <c r="K3895" s="1">
        <v>60.0</v>
      </c>
      <c r="N3895" s="5">
        <v>45647.0</v>
      </c>
      <c r="Q3895" s="1" t="s">
        <v>6522</v>
      </c>
    </row>
    <row r="3896">
      <c r="A3896" s="1">
        <v>3895.0</v>
      </c>
      <c r="B3896" s="1" t="s">
        <v>6523</v>
      </c>
      <c r="C3896" s="1" t="s">
        <v>25</v>
      </c>
      <c r="K3896" s="1">
        <v>150.0</v>
      </c>
      <c r="N3896" s="5">
        <v>45587.0</v>
      </c>
      <c r="Q3896" s="1" t="s">
        <v>6524</v>
      </c>
    </row>
    <row r="3897">
      <c r="A3897" s="1">
        <v>3896.0</v>
      </c>
      <c r="B3897" s="1" t="s">
        <v>6525</v>
      </c>
      <c r="C3897" s="1" t="s">
        <v>25</v>
      </c>
      <c r="K3897" s="1">
        <v>600.0</v>
      </c>
      <c r="N3897" s="5">
        <v>44022.0</v>
      </c>
      <c r="Q3897" s="1" t="s">
        <v>6526</v>
      </c>
    </row>
    <row r="3898">
      <c r="A3898" s="1">
        <v>3897.0</v>
      </c>
      <c r="B3898" s="1" t="s">
        <v>6527</v>
      </c>
      <c r="C3898" s="1" t="s">
        <v>25</v>
      </c>
      <c r="N3898" s="5">
        <v>44008.0</v>
      </c>
      <c r="Q3898" s="1" t="s">
        <v>55</v>
      </c>
    </row>
    <row r="3899">
      <c r="A3899" s="1">
        <v>3898.0</v>
      </c>
      <c r="B3899" s="1" t="s">
        <v>6528</v>
      </c>
      <c r="C3899" s="1" t="s">
        <v>25</v>
      </c>
      <c r="K3899" s="1">
        <v>100.0</v>
      </c>
      <c r="N3899" s="5">
        <v>43916.0</v>
      </c>
      <c r="Q3899" s="1" t="s">
        <v>6529</v>
      </c>
    </row>
    <row r="3900">
      <c r="A3900" s="1">
        <v>3899.0</v>
      </c>
      <c r="B3900" s="1" t="s">
        <v>6530</v>
      </c>
      <c r="C3900" s="1" t="s">
        <v>25</v>
      </c>
      <c r="N3900" s="5">
        <v>45083.0</v>
      </c>
      <c r="Q3900" s="1" t="s">
        <v>55</v>
      </c>
    </row>
    <row r="3901">
      <c r="A3901" s="1">
        <v>3900.0</v>
      </c>
      <c r="B3901" s="1" t="s">
        <v>6531</v>
      </c>
      <c r="C3901" s="1" t="s">
        <v>25</v>
      </c>
      <c r="K3901" s="1">
        <v>50.0</v>
      </c>
      <c r="N3901" s="5">
        <v>44673.0</v>
      </c>
      <c r="Q3901" s="1" t="s">
        <v>3679</v>
      </c>
    </row>
    <row r="3902">
      <c r="A3902" s="1">
        <v>3901.0</v>
      </c>
      <c r="B3902" s="1" t="s">
        <v>6532</v>
      </c>
      <c r="C3902" s="1" t="s">
        <v>25</v>
      </c>
      <c r="K3902" s="1">
        <v>200.0</v>
      </c>
      <c r="N3902" s="5">
        <v>43862.0</v>
      </c>
      <c r="Q3902" s="1" t="s">
        <v>6533</v>
      </c>
    </row>
    <row r="3903">
      <c r="A3903" s="1">
        <v>3902.0</v>
      </c>
      <c r="B3903" s="1" t="s">
        <v>6534</v>
      </c>
      <c r="C3903" s="1" t="s">
        <v>25</v>
      </c>
      <c r="K3903" s="1">
        <v>40.0</v>
      </c>
      <c r="N3903" s="5">
        <v>45488.0</v>
      </c>
      <c r="Q3903" s="1" t="s">
        <v>762</v>
      </c>
    </row>
    <row r="3904">
      <c r="A3904" s="1">
        <v>3903.0</v>
      </c>
      <c r="B3904" s="1" t="s">
        <v>6535</v>
      </c>
      <c r="C3904" s="1" t="s">
        <v>25</v>
      </c>
      <c r="K3904" s="1">
        <v>30.0</v>
      </c>
      <c r="N3904" s="5">
        <v>45620.0</v>
      </c>
      <c r="Q3904" s="1" t="s">
        <v>2137</v>
      </c>
    </row>
    <row r="3905">
      <c r="A3905" s="1">
        <v>3904.0</v>
      </c>
      <c r="B3905" s="1" t="s">
        <v>6536</v>
      </c>
      <c r="C3905" s="1" t="s">
        <v>25</v>
      </c>
      <c r="N3905" s="5">
        <v>43948.0</v>
      </c>
      <c r="Q3905" s="1" t="s">
        <v>55</v>
      </c>
    </row>
    <row r="3906">
      <c r="A3906" s="1">
        <v>3905.0</v>
      </c>
      <c r="B3906" s="1" t="s">
        <v>6537</v>
      </c>
      <c r="C3906" s="1" t="s">
        <v>25</v>
      </c>
      <c r="K3906" s="1">
        <v>150.0</v>
      </c>
      <c r="N3906" s="5">
        <v>43911.0</v>
      </c>
      <c r="Q3906" s="1" t="s">
        <v>6538</v>
      </c>
    </row>
    <row r="3907">
      <c r="A3907" s="1">
        <v>3906.0</v>
      </c>
      <c r="B3907" s="1" t="s">
        <v>6539</v>
      </c>
      <c r="C3907" s="1" t="s">
        <v>25</v>
      </c>
      <c r="K3907" s="1">
        <v>20.0</v>
      </c>
      <c r="N3907" s="5">
        <v>45488.0</v>
      </c>
      <c r="Q3907" s="1" t="s">
        <v>6540</v>
      </c>
    </row>
    <row r="3908">
      <c r="A3908" s="1">
        <v>3907.0</v>
      </c>
      <c r="B3908" s="1" t="s">
        <v>6541</v>
      </c>
      <c r="C3908" s="1" t="s">
        <v>25</v>
      </c>
      <c r="K3908" s="1">
        <v>60.0</v>
      </c>
      <c r="N3908" s="5">
        <v>43899.0</v>
      </c>
      <c r="Q3908" s="1" t="s">
        <v>6542</v>
      </c>
    </row>
    <row r="3909">
      <c r="A3909" s="1">
        <v>3908.0</v>
      </c>
      <c r="B3909" s="1" t="s">
        <v>6543</v>
      </c>
      <c r="C3909" s="1" t="s">
        <v>25</v>
      </c>
      <c r="N3909" s="5">
        <v>44529.0</v>
      </c>
      <c r="Q3909" s="1" t="s">
        <v>55</v>
      </c>
    </row>
    <row r="3910">
      <c r="A3910" s="1">
        <v>3909.0</v>
      </c>
      <c r="B3910" s="1" t="s">
        <v>6544</v>
      </c>
      <c r="C3910" s="1" t="s">
        <v>25</v>
      </c>
      <c r="N3910" s="5">
        <v>44608.0</v>
      </c>
      <c r="Q3910" s="1" t="s">
        <v>55</v>
      </c>
    </row>
    <row r="3911">
      <c r="A3911" s="1">
        <v>3910.0</v>
      </c>
      <c r="B3911" s="1" t="s">
        <v>6545</v>
      </c>
      <c r="C3911" s="1" t="s">
        <v>25</v>
      </c>
      <c r="K3911" s="1">
        <v>150.0</v>
      </c>
      <c r="N3911" s="5">
        <v>45620.0</v>
      </c>
      <c r="Q3911" s="1" t="s">
        <v>6546</v>
      </c>
    </row>
    <row r="3912">
      <c r="A3912" s="1">
        <v>3911.0</v>
      </c>
      <c r="B3912" s="1" t="s">
        <v>6547</v>
      </c>
      <c r="C3912" s="1" t="s">
        <v>25</v>
      </c>
      <c r="N3912" s="5">
        <v>44911.0</v>
      </c>
      <c r="Q3912" s="1" t="s">
        <v>55</v>
      </c>
    </row>
    <row r="3913">
      <c r="A3913" s="1">
        <v>3912.0</v>
      </c>
      <c r="B3913" s="1" t="s">
        <v>6548</v>
      </c>
      <c r="C3913" s="1" t="s">
        <v>25</v>
      </c>
      <c r="K3913" s="1">
        <v>150.0</v>
      </c>
      <c r="N3913" s="5">
        <v>44229.0</v>
      </c>
      <c r="Q3913" s="1" t="s">
        <v>509</v>
      </c>
    </row>
    <row r="3914">
      <c r="A3914" s="1">
        <v>3913.0</v>
      </c>
      <c r="B3914" s="1" t="s">
        <v>6549</v>
      </c>
      <c r="C3914" s="1" t="s">
        <v>25</v>
      </c>
      <c r="N3914" s="5">
        <v>44578.0</v>
      </c>
      <c r="Q3914" s="1" t="s">
        <v>80</v>
      </c>
    </row>
    <row r="3915">
      <c r="A3915" s="1">
        <v>3914.0</v>
      </c>
      <c r="B3915" s="1" t="s">
        <v>6550</v>
      </c>
      <c r="C3915" s="1" t="s">
        <v>25</v>
      </c>
      <c r="K3915" s="1">
        <v>10.0</v>
      </c>
      <c r="N3915" s="5">
        <v>45158.0</v>
      </c>
      <c r="Q3915" s="1" t="s">
        <v>644</v>
      </c>
    </row>
    <row r="3916">
      <c r="A3916" s="1">
        <v>3915.0</v>
      </c>
      <c r="B3916" s="1" t="s">
        <v>6551</v>
      </c>
      <c r="C3916" s="1" t="s">
        <v>25</v>
      </c>
      <c r="K3916" s="1">
        <v>20.0</v>
      </c>
      <c r="N3916" s="5">
        <v>45704.0</v>
      </c>
      <c r="Q3916" s="1" t="s">
        <v>6552</v>
      </c>
    </row>
    <row r="3917">
      <c r="A3917" s="1">
        <v>3916.0</v>
      </c>
      <c r="B3917" s="1" t="s">
        <v>6553</v>
      </c>
      <c r="C3917" s="1" t="s">
        <v>25</v>
      </c>
      <c r="K3917" s="1">
        <v>80.0</v>
      </c>
      <c r="N3917" s="5">
        <v>44506.0</v>
      </c>
      <c r="Q3917" s="1" t="s">
        <v>55</v>
      </c>
    </row>
    <row r="3918">
      <c r="A3918" s="1">
        <v>3917.0</v>
      </c>
      <c r="B3918" s="1" t="s">
        <v>6554</v>
      </c>
      <c r="C3918" s="1" t="s">
        <v>25</v>
      </c>
      <c r="K3918" s="1">
        <v>150.0</v>
      </c>
      <c r="N3918" s="5">
        <v>44189.0</v>
      </c>
      <c r="Q3918" s="1" t="s">
        <v>6555</v>
      </c>
    </row>
    <row r="3919">
      <c r="A3919" s="1">
        <v>3918.0</v>
      </c>
      <c r="B3919" s="1" t="s">
        <v>6556</v>
      </c>
      <c r="C3919" s="1" t="s">
        <v>25</v>
      </c>
      <c r="K3919" s="1">
        <v>40.0</v>
      </c>
      <c r="N3919" s="5">
        <v>43893.0</v>
      </c>
      <c r="Q3919" s="1" t="s">
        <v>6557</v>
      </c>
    </row>
    <row r="3920">
      <c r="A3920" s="1">
        <v>3919.0</v>
      </c>
      <c r="B3920" s="1" t="s">
        <v>6558</v>
      </c>
      <c r="C3920" s="1" t="s">
        <v>25</v>
      </c>
      <c r="K3920" s="1">
        <v>100.0</v>
      </c>
      <c r="N3920" s="5">
        <v>44023.0</v>
      </c>
      <c r="Q3920" s="1" t="s">
        <v>5010</v>
      </c>
    </row>
    <row r="3921">
      <c r="A3921" s="1">
        <v>3920.0</v>
      </c>
      <c r="B3921" s="1" t="s">
        <v>6559</v>
      </c>
      <c r="C3921" s="1" t="s">
        <v>25</v>
      </c>
      <c r="K3921" s="1">
        <v>10.0</v>
      </c>
      <c r="N3921" s="5">
        <v>45755.0</v>
      </c>
      <c r="Q3921" s="1" t="s">
        <v>6268</v>
      </c>
    </row>
    <row r="3922">
      <c r="A3922" s="1">
        <v>3921.0</v>
      </c>
      <c r="B3922" s="1" t="s">
        <v>6560</v>
      </c>
      <c r="C3922" s="1" t="s">
        <v>25</v>
      </c>
      <c r="K3922" s="1">
        <v>10.0</v>
      </c>
      <c r="N3922" s="5">
        <v>44564.0</v>
      </c>
      <c r="Q3922" s="1" t="s">
        <v>55</v>
      </c>
    </row>
    <row r="3923">
      <c r="A3923" s="1">
        <v>3922.0</v>
      </c>
      <c r="B3923" s="1" t="s">
        <v>6561</v>
      </c>
      <c r="C3923" s="1" t="s">
        <v>25</v>
      </c>
      <c r="K3923" s="1">
        <v>50.0</v>
      </c>
      <c r="N3923" s="5">
        <v>45728.0</v>
      </c>
      <c r="Q3923" s="1" t="s">
        <v>4592</v>
      </c>
    </row>
    <row r="3924">
      <c r="A3924" s="1">
        <v>3923.0</v>
      </c>
      <c r="B3924" s="1" t="s">
        <v>6562</v>
      </c>
      <c r="C3924" s="1" t="s">
        <v>25</v>
      </c>
      <c r="K3924" s="1">
        <v>150.0</v>
      </c>
      <c r="N3924" s="5">
        <v>45053.0</v>
      </c>
      <c r="Q3924" s="1" t="s">
        <v>6563</v>
      </c>
    </row>
    <row r="3925">
      <c r="A3925" s="1">
        <v>3924.0</v>
      </c>
      <c r="B3925" s="1" t="s">
        <v>6564</v>
      </c>
      <c r="C3925" s="1" t="s">
        <v>25</v>
      </c>
      <c r="N3925" s="5">
        <v>44021.0</v>
      </c>
      <c r="Q3925" s="1" t="s">
        <v>55</v>
      </c>
    </row>
    <row r="3926">
      <c r="A3926" s="1">
        <v>3925.0</v>
      </c>
      <c r="B3926" s="1" t="s">
        <v>6565</v>
      </c>
      <c r="C3926" s="1" t="s">
        <v>25</v>
      </c>
      <c r="K3926" s="1">
        <v>200.0</v>
      </c>
      <c r="N3926" s="5">
        <v>43875.0</v>
      </c>
      <c r="Q3926" s="1" t="s">
        <v>6566</v>
      </c>
    </row>
    <row r="3927">
      <c r="A3927" s="1">
        <v>3926.0</v>
      </c>
      <c r="B3927" s="1" t="s">
        <v>6567</v>
      </c>
      <c r="C3927" s="1" t="s">
        <v>25</v>
      </c>
      <c r="N3927" s="5">
        <v>44117.0</v>
      </c>
      <c r="Q3927" s="1" t="s">
        <v>55</v>
      </c>
    </row>
    <row r="3928">
      <c r="A3928" s="1">
        <v>3927.0</v>
      </c>
      <c r="B3928" s="1" t="s">
        <v>6568</v>
      </c>
      <c r="C3928" s="1" t="s">
        <v>25</v>
      </c>
      <c r="N3928" s="5">
        <v>44065.0</v>
      </c>
      <c r="Q3928" s="1" t="s">
        <v>55</v>
      </c>
    </row>
    <row r="3929">
      <c r="A3929" s="1">
        <v>3928.0</v>
      </c>
      <c r="B3929" s="1" t="s">
        <v>6569</v>
      </c>
      <c r="C3929" s="1" t="s">
        <v>25</v>
      </c>
      <c r="K3929" s="1">
        <v>40.0</v>
      </c>
      <c r="N3929" s="5">
        <v>45065.0</v>
      </c>
      <c r="Q3929" s="1" t="s">
        <v>55</v>
      </c>
    </row>
    <row r="3930">
      <c r="A3930" s="1">
        <v>3929.0</v>
      </c>
      <c r="B3930" s="1" t="s">
        <v>6570</v>
      </c>
      <c r="C3930" s="1" t="s">
        <v>25</v>
      </c>
      <c r="K3930" s="1">
        <v>300.0</v>
      </c>
      <c r="N3930" s="5">
        <v>43880.0</v>
      </c>
      <c r="Q3930" s="1" t="s">
        <v>6571</v>
      </c>
    </row>
    <row r="3931">
      <c r="A3931" s="1">
        <v>3930.0</v>
      </c>
      <c r="B3931" s="1" t="s">
        <v>6572</v>
      </c>
      <c r="C3931" s="1" t="s">
        <v>25</v>
      </c>
      <c r="N3931" s="5">
        <v>43319.0</v>
      </c>
      <c r="Q3931" s="1" t="s">
        <v>55</v>
      </c>
    </row>
    <row r="3932">
      <c r="A3932" s="1">
        <v>3931.0</v>
      </c>
      <c r="B3932" s="1" t="s">
        <v>6573</v>
      </c>
      <c r="C3932" s="1" t="s">
        <v>25</v>
      </c>
      <c r="N3932" s="5">
        <v>45571.0</v>
      </c>
      <c r="Q3932" s="1" t="s">
        <v>6574</v>
      </c>
    </row>
    <row r="3933">
      <c r="A3933" s="1">
        <v>3932.0</v>
      </c>
      <c r="B3933" s="1" t="s">
        <v>6575</v>
      </c>
      <c r="C3933" s="1" t="s">
        <v>25</v>
      </c>
      <c r="K3933" s="1">
        <v>40.0</v>
      </c>
      <c r="N3933" s="5">
        <v>44074.0</v>
      </c>
      <c r="Q3933" s="1" t="s">
        <v>6576</v>
      </c>
    </row>
    <row r="3934">
      <c r="A3934" s="1">
        <v>3933.0</v>
      </c>
      <c r="B3934" s="1" t="s">
        <v>6577</v>
      </c>
      <c r="C3934" s="1" t="s">
        <v>25</v>
      </c>
      <c r="K3934" s="1">
        <v>100.0</v>
      </c>
      <c r="N3934" s="5">
        <v>44408.0</v>
      </c>
      <c r="Q3934" s="1" t="s">
        <v>3304</v>
      </c>
    </row>
    <row r="3935">
      <c r="A3935" s="1">
        <v>3934.0</v>
      </c>
      <c r="B3935" s="1" t="s">
        <v>6578</v>
      </c>
      <c r="C3935" s="1" t="s">
        <v>25</v>
      </c>
      <c r="K3935" s="1">
        <v>40.0</v>
      </c>
      <c r="N3935" s="5">
        <v>44665.0</v>
      </c>
      <c r="Q3935" s="1" t="s">
        <v>569</v>
      </c>
    </row>
    <row r="3936">
      <c r="A3936" s="1">
        <v>3935.0</v>
      </c>
      <c r="B3936" s="1" t="s">
        <v>6579</v>
      </c>
      <c r="C3936" s="1" t="s">
        <v>25</v>
      </c>
      <c r="K3936" s="1">
        <v>20.0</v>
      </c>
      <c r="N3936" s="5">
        <v>44410.0</v>
      </c>
      <c r="Q3936" s="1" t="s">
        <v>278</v>
      </c>
    </row>
    <row r="3937">
      <c r="A3937" s="1">
        <v>3936.0</v>
      </c>
      <c r="B3937" s="1" t="s">
        <v>6580</v>
      </c>
      <c r="C3937" s="1" t="s">
        <v>25</v>
      </c>
      <c r="K3937" s="1">
        <v>60.0</v>
      </c>
      <c r="N3937" s="5">
        <v>45745.0</v>
      </c>
      <c r="Q3937" s="1" t="s">
        <v>509</v>
      </c>
    </row>
    <row r="3938">
      <c r="A3938" s="1">
        <v>3937.0</v>
      </c>
      <c r="B3938" s="1" t="s">
        <v>6581</v>
      </c>
      <c r="C3938" s="1" t="s">
        <v>25</v>
      </c>
      <c r="K3938" s="1">
        <v>150.0</v>
      </c>
      <c r="N3938" s="5">
        <v>44272.0</v>
      </c>
      <c r="Q3938" s="1" t="s">
        <v>2655</v>
      </c>
    </row>
    <row r="3939">
      <c r="A3939" s="1">
        <v>3938.0</v>
      </c>
      <c r="B3939" s="1" t="s">
        <v>6582</v>
      </c>
      <c r="C3939" s="1" t="s">
        <v>25</v>
      </c>
      <c r="K3939" s="1">
        <v>200.0</v>
      </c>
      <c r="N3939" s="5">
        <v>44297.0</v>
      </c>
      <c r="Q3939" s="1" t="s">
        <v>6583</v>
      </c>
    </row>
    <row r="3940">
      <c r="A3940" s="1">
        <v>3939.0</v>
      </c>
      <c r="B3940" s="1" t="s">
        <v>6584</v>
      </c>
      <c r="C3940" s="1" t="s">
        <v>25</v>
      </c>
      <c r="K3940" s="1">
        <v>200.0</v>
      </c>
      <c r="N3940" s="5">
        <v>43911.0</v>
      </c>
      <c r="Q3940" s="1" t="s">
        <v>6585</v>
      </c>
    </row>
    <row r="3941">
      <c r="A3941" s="1">
        <v>3940.0</v>
      </c>
      <c r="B3941" s="1" t="s">
        <v>6586</v>
      </c>
      <c r="C3941" s="1" t="s">
        <v>25</v>
      </c>
      <c r="K3941" s="1">
        <v>900.0</v>
      </c>
      <c r="N3941" s="5">
        <v>43908.0</v>
      </c>
      <c r="Q3941" s="1" t="s">
        <v>6587</v>
      </c>
    </row>
    <row r="3942">
      <c r="A3942" s="1">
        <v>3941.0</v>
      </c>
      <c r="B3942" s="1" t="s">
        <v>6588</v>
      </c>
      <c r="C3942" s="1" t="s">
        <v>25</v>
      </c>
      <c r="N3942" s="5">
        <v>44428.0</v>
      </c>
      <c r="Q3942" s="1" t="s">
        <v>55</v>
      </c>
    </row>
    <row r="3943">
      <c r="A3943" s="1">
        <v>3942.0</v>
      </c>
      <c r="B3943" s="1" t="s">
        <v>6589</v>
      </c>
      <c r="C3943" s="1" t="s">
        <v>25</v>
      </c>
      <c r="K3943" s="1">
        <v>100.0</v>
      </c>
      <c r="N3943" s="5">
        <v>45735.0</v>
      </c>
      <c r="Q3943" s="1" t="s">
        <v>3332</v>
      </c>
    </row>
    <row r="3944">
      <c r="A3944" s="1">
        <v>3943.0</v>
      </c>
      <c r="B3944" s="1" t="s">
        <v>6590</v>
      </c>
      <c r="C3944" s="1" t="s">
        <v>25</v>
      </c>
      <c r="K3944" s="1">
        <v>350.0</v>
      </c>
      <c r="N3944" s="5">
        <v>43868.0</v>
      </c>
      <c r="Q3944" s="1" t="s">
        <v>6591</v>
      </c>
    </row>
    <row r="3945">
      <c r="A3945" s="1">
        <v>3944.0</v>
      </c>
      <c r="B3945" s="1" t="s">
        <v>6592</v>
      </c>
      <c r="C3945" s="1" t="s">
        <v>25</v>
      </c>
      <c r="K3945" s="1">
        <v>40.0</v>
      </c>
      <c r="N3945" s="5">
        <v>44443.0</v>
      </c>
      <c r="Q3945" s="1" t="s">
        <v>55</v>
      </c>
    </row>
    <row r="3946">
      <c r="A3946" s="1">
        <v>3945.0</v>
      </c>
      <c r="B3946" s="1" t="s">
        <v>6593</v>
      </c>
      <c r="C3946" s="1" t="s">
        <v>25</v>
      </c>
      <c r="N3946" s="5">
        <v>44636.0</v>
      </c>
      <c r="Q3946" s="1" t="s">
        <v>55</v>
      </c>
    </row>
    <row r="3947">
      <c r="A3947" s="1">
        <v>3946.0</v>
      </c>
      <c r="B3947" s="1" t="s">
        <v>6594</v>
      </c>
      <c r="C3947" s="1" t="s">
        <v>25</v>
      </c>
      <c r="N3947" s="5">
        <v>43896.0</v>
      </c>
      <c r="Q3947" s="1" t="s">
        <v>55</v>
      </c>
    </row>
    <row r="3948">
      <c r="A3948" s="1">
        <v>3947.0</v>
      </c>
      <c r="B3948" s="1" t="s">
        <v>6595</v>
      </c>
      <c r="C3948" s="1" t="s">
        <v>25</v>
      </c>
      <c r="K3948" s="1">
        <v>150.0</v>
      </c>
      <c r="N3948" s="5">
        <v>45733.0</v>
      </c>
      <c r="Q3948" s="1" t="s">
        <v>1291</v>
      </c>
    </row>
    <row r="3949">
      <c r="A3949" s="1">
        <v>3948.0</v>
      </c>
      <c r="B3949" s="1" t="s">
        <v>6596</v>
      </c>
      <c r="C3949" s="1" t="s">
        <v>25</v>
      </c>
      <c r="K3949" s="1">
        <v>100.0</v>
      </c>
      <c r="N3949" s="5">
        <v>44334.0</v>
      </c>
      <c r="Q3949" s="1" t="s">
        <v>6597</v>
      </c>
    </row>
    <row r="3950">
      <c r="A3950" s="1">
        <v>3949.0</v>
      </c>
      <c r="B3950" s="1" t="s">
        <v>6598</v>
      </c>
      <c r="C3950" s="1" t="s">
        <v>25</v>
      </c>
      <c r="K3950" s="1">
        <v>250.0</v>
      </c>
      <c r="N3950" s="5">
        <v>43924.0</v>
      </c>
      <c r="Q3950" s="1" t="s">
        <v>6599</v>
      </c>
    </row>
    <row r="3951">
      <c r="A3951" s="1">
        <v>3950.0</v>
      </c>
      <c r="B3951" s="1" t="s">
        <v>6600</v>
      </c>
      <c r="C3951" s="1" t="s">
        <v>25</v>
      </c>
      <c r="K3951" s="1">
        <v>10.0</v>
      </c>
      <c r="N3951" s="5">
        <v>44370.0</v>
      </c>
      <c r="Q3951" s="1" t="s">
        <v>55</v>
      </c>
    </row>
    <row r="3952">
      <c r="A3952" s="1">
        <v>3951.0</v>
      </c>
      <c r="B3952" s="1" t="s">
        <v>6601</v>
      </c>
      <c r="C3952" s="1" t="s">
        <v>25</v>
      </c>
      <c r="N3952" s="5">
        <v>44259.0</v>
      </c>
      <c r="Q3952" s="1" t="s">
        <v>55</v>
      </c>
    </row>
    <row r="3953">
      <c r="A3953" s="1">
        <v>3952.0</v>
      </c>
      <c r="B3953" s="1" t="s">
        <v>6602</v>
      </c>
      <c r="C3953" s="1" t="s">
        <v>25</v>
      </c>
      <c r="K3953" s="1">
        <v>60.0</v>
      </c>
      <c r="N3953" s="5">
        <v>43978.0</v>
      </c>
      <c r="Q3953" s="1" t="s">
        <v>6603</v>
      </c>
    </row>
    <row r="3954">
      <c r="A3954" s="1">
        <v>3953.0</v>
      </c>
      <c r="B3954" s="1" t="s">
        <v>6604</v>
      </c>
      <c r="C3954" s="1" t="s">
        <v>25</v>
      </c>
      <c r="N3954" s="5">
        <v>44661.0</v>
      </c>
      <c r="Q3954" s="1" t="s">
        <v>55</v>
      </c>
    </row>
    <row r="3955">
      <c r="A3955" s="1">
        <v>3954.0</v>
      </c>
      <c r="B3955" s="1" t="s">
        <v>6605</v>
      </c>
      <c r="C3955" s="1" t="s">
        <v>25</v>
      </c>
      <c r="K3955" s="1">
        <v>100.0</v>
      </c>
      <c r="N3955" s="5">
        <v>43957.0</v>
      </c>
      <c r="Q3955" s="1" t="s">
        <v>6606</v>
      </c>
    </row>
    <row r="3956">
      <c r="A3956" s="1">
        <v>3955.0</v>
      </c>
      <c r="B3956" s="1" t="s">
        <v>5858</v>
      </c>
      <c r="C3956" s="1" t="s">
        <v>25</v>
      </c>
      <c r="K3956" s="1">
        <v>50.0</v>
      </c>
      <c r="N3956" s="5">
        <v>44466.0</v>
      </c>
      <c r="Q3956" s="1" t="s">
        <v>6607</v>
      </c>
    </row>
    <row r="3957">
      <c r="A3957" s="1">
        <v>3956.0</v>
      </c>
      <c r="B3957" s="1" t="s">
        <v>6608</v>
      </c>
      <c r="C3957" s="1" t="s">
        <v>25</v>
      </c>
      <c r="K3957" s="1">
        <v>70.0</v>
      </c>
      <c r="N3957" s="5">
        <v>44364.0</v>
      </c>
      <c r="Q3957" s="1" t="s">
        <v>2623</v>
      </c>
    </row>
    <row r="3958">
      <c r="A3958" s="1">
        <v>3957.0</v>
      </c>
      <c r="B3958" s="1" t="s">
        <v>6609</v>
      </c>
      <c r="C3958" s="1" t="s">
        <v>25</v>
      </c>
      <c r="N3958" s="5">
        <v>42659.0</v>
      </c>
      <c r="Q3958" s="1" t="s">
        <v>55</v>
      </c>
    </row>
    <row r="3959">
      <c r="A3959" s="1">
        <v>3958.0</v>
      </c>
      <c r="B3959" s="1" t="s">
        <v>6610</v>
      </c>
      <c r="C3959" s="1" t="s">
        <v>25</v>
      </c>
      <c r="K3959" s="1">
        <v>100.0</v>
      </c>
      <c r="N3959" s="5">
        <v>43850.0</v>
      </c>
      <c r="Q3959" s="1" t="s">
        <v>6611</v>
      </c>
    </row>
    <row r="3960">
      <c r="A3960" s="1">
        <v>3959.0</v>
      </c>
      <c r="B3960" s="1" t="s">
        <v>6612</v>
      </c>
      <c r="C3960" s="1" t="s">
        <v>25</v>
      </c>
      <c r="K3960" s="1">
        <v>20.0</v>
      </c>
      <c r="N3960" s="5">
        <v>44002.0</v>
      </c>
      <c r="Q3960" s="1" t="s">
        <v>55</v>
      </c>
    </row>
    <row r="3961">
      <c r="A3961" s="1">
        <v>3960.0</v>
      </c>
      <c r="B3961" s="1" t="s">
        <v>6613</v>
      </c>
      <c r="C3961" s="1" t="s">
        <v>25</v>
      </c>
      <c r="K3961" s="1">
        <v>60.0</v>
      </c>
      <c r="N3961" s="5">
        <v>44568.0</v>
      </c>
      <c r="Q3961" s="1" t="s">
        <v>6614</v>
      </c>
    </row>
    <row r="3962">
      <c r="A3962" s="1">
        <v>3961.0</v>
      </c>
      <c r="B3962" s="1" t="s">
        <v>6615</v>
      </c>
      <c r="C3962" s="1" t="s">
        <v>25</v>
      </c>
      <c r="K3962" s="1">
        <v>450.0</v>
      </c>
      <c r="N3962" s="5">
        <v>44022.0</v>
      </c>
      <c r="Q3962" s="1" t="s">
        <v>6616</v>
      </c>
    </row>
    <row r="3963">
      <c r="A3963" s="1">
        <v>3962.0</v>
      </c>
      <c r="B3963" s="1" t="s">
        <v>6617</v>
      </c>
      <c r="C3963" s="1" t="s">
        <v>25</v>
      </c>
      <c r="K3963" s="1">
        <v>150.0</v>
      </c>
      <c r="N3963" s="5">
        <v>43870.0</v>
      </c>
      <c r="Q3963" s="1" t="s">
        <v>55</v>
      </c>
    </row>
    <row r="3964">
      <c r="A3964" s="1">
        <v>3963.0</v>
      </c>
      <c r="B3964" s="1" t="s">
        <v>6618</v>
      </c>
      <c r="C3964" s="1" t="s">
        <v>25</v>
      </c>
      <c r="K3964" s="1">
        <v>150.0</v>
      </c>
      <c r="N3964" s="5">
        <v>43874.0</v>
      </c>
      <c r="Q3964" s="1" t="s">
        <v>606</v>
      </c>
    </row>
    <row r="3965">
      <c r="A3965" s="1">
        <v>3964.0</v>
      </c>
      <c r="B3965" s="1" t="s">
        <v>6619</v>
      </c>
      <c r="C3965" s="1" t="s">
        <v>25</v>
      </c>
      <c r="K3965" s="1">
        <v>100.0</v>
      </c>
      <c r="N3965" s="5">
        <v>45217.0</v>
      </c>
      <c r="Q3965" s="1" t="s">
        <v>6620</v>
      </c>
    </row>
    <row r="3966">
      <c r="A3966" s="1">
        <v>3965.0</v>
      </c>
      <c r="B3966" s="1" t="s">
        <v>6621</v>
      </c>
      <c r="C3966" s="1" t="s">
        <v>25</v>
      </c>
      <c r="K3966" s="1">
        <v>90.0</v>
      </c>
      <c r="N3966" s="5">
        <v>45307.0</v>
      </c>
      <c r="Q3966" s="1" t="s">
        <v>6622</v>
      </c>
    </row>
    <row r="3967">
      <c r="A3967" s="1">
        <v>3966.0</v>
      </c>
      <c r="B3967" s="1" t="s">
        <v>6623</v>
      </c>
      <c r="C3967" s="1" t="s">
        <v>25</v>
      </c>
      <c r="N3967" s="5">
        <v>44570.0</v>
      </c>
      <c r="Q3967" s="1" t="s">
        <v>55</v>
      </c>
    </row>
    <row r="3968">
      <c r="A3968" s="1">
        <v>3967.0</v>
      </c>
      <c r="B3968" s="1" t="s">
        <v>6624</v>
      </c>
      <c r="C3968" s="1" t="s">
        <v>25</v>
      </c>
      <c r="K3968" s="1">
        <v>50.0</v>
      </c>
      <c r="N3968" s="5">
        <v>44440.0</v>
      </c>
      <c r="Q3968" s="1" t="s">
        <v>6625</v>
      </c>
    </row>
    <row r="3969">
      <c r="A3969" s="1">
        <v>3968.0</v>
      </c>
      <c r="B3969" s="1" t="s">
        <v>6626</v>
      </c>
      <c r="C3969" s="1" t="s">
        <v>25</v>
      </c>
      <c r="K3969" s="1">
        <v>100.0</v>
      </c>
      <c r="N3969" s="5">
        <v>43998.0</v>
      </c>
      <c r="Q3969" s="1" t="s">
        <v>55</v>
      </c>
    </row>
    <row r="3970">
      <c r="A3970" s="1">
        <v>3969.0</v>
      </c>
      <c r="B3970" s="1" t="s">
        <v>6627</v>
      </c>
      <c r="C3970" s="1" t="s">
        <v>25</v>
      </c>
      <c r="N3970" s="5">
        <v>45674.0</v>
      </c>
      <c r="Q3970" s="1" t="s">
        <v>1733</v>
      </c>
    </row>
    <row r="3971">
      <c r="A3971" s="1">
        <v>3970.0</v>
      </c>
      <c r="B3971" s="1" t="s">
        <v>6628</v>
      </c>
      <c r="C3971" s="1" t="s">
        <v>25</v>
      </c>
      <c r="K3971" s="1">
        <v>70.0</v>
      </c>
      <c r="N3971" s="5">
        <v>43878.0</v>
      </c>
      <c r="Q3971" s="1" t="s">
        <v>2183</v>
      </c>
    </row>
    <row r="3972">
      <c r="A3972" s="1">
        <v>3971.0</v>
      </c>
      <c r="B3972" s="1" t="s">
        <v>6629</v>
      </c>
      <c r="C3972" s="1" t="s">
        <v>25</v>
      </c>
      <c r="K3972" s="1">
        <v>20.0</v>
      </c>
      <c r="N3972" s="5">
        <v>44276.0</v>
      </c>
      <c r="Q3972" s="1" t="s">
        <v>172</v>
      </c>
    </row>
    <row r="3973">
      <c r="A3973" s="1">
        <v>3972.0</v>
      </c>
      <c r="B3973" s="1" t="s">
        <v>6630</v>
      </c>
      <c r="C3973" s="1" t="s">
        <v>25</v>
      </c>
      <c r="K3973" s="1">
        <v>60.0</v>
      </c>
      <c r="N3973" s="5">
        <v>45670.0</v>
      </c>
      <c r="Q3973" s="1" t="s">
        <v>6631</v>
      </c>
    </row>
    <row r="3974">
      <c r="A3974" s="1">
        <v>3973.0</v>
      </c>
      <c r="B3974" s="1" t="s">
        <v>6632</v>
      </c>
      <c r="C3974" s="1" t="s">
        <v>25</v>
      </c>
      <c r="K3974" s="1">
        <v>30.0</v>
      </c>
      <c r="N3974" s="5">
        <v>43929.0</v>
      </c>
      <c r="Q3974" s="1" t="s">
        <v>55</v>
      </c>
    </row>
    <row r="3975">
      <c r="A3975" s="1">
        <v>3974.0</v>
      </c>
      <c r="B3975" s="1" t="s">
        <v>6633</v>
      </c>
      <c r="C3975" s="1" t="s">
        <v>25</v>
      </c>
      <c r="N3975" s="5">
        <v>43892.0</v>
      </c>
      <c r="Q3975" s="1" t="s">
        <v>55</v>
      </c>
    </row>
    <row r="3976">
      <c r="A3976" s="1">
        <v>3975.0</v>
      </c>
      <c r="B3976" s="1" t="s">
        <v>6634</v>
      </c>
      <c r="C3976" s="1" t="s">
        <v>25</v>
      </c>
      <c r="K3976" s="1">
        <v>60.0</v>
      </c>
      <c r="N3976" s="5">
        <v>44308.0</v>
      </c>
      <c r="Q3976" s="1" t="s">
        <v>6635</v>
      </c>
    </row>
    <row r="3977">
      <c r="A3977" s="1">
        <v>3976.0</v>
      </c>
      <c r="B3977" s="1" t="s">
        <v>6636</v>
      </c>
      <c r="C3977" s="1" t="s">
        <v>25</v>
      </c>
      <c r="N3977" s="5">
        <v>44666.0</v>
      </c>
      <c r="Q3977" s="1" t="s">
        <v>55</v>
      </c>
    </row>
    <row r="3978">
      <c r="A3978" s="1">
        <v>3977.0</v>
      </c>
      <c r="B3978" s="1" t="s">
        <v>6637</v>
      </c>
      <c r="C3978" s="1" t="s">
        <v>25</v>
      </c>
      <c r="K3978" s="1">
        <v>40.0</v>
      </c>
      <c r="N3978" s="5">
        <v>44263.0</v>
      </c>
      <c r="Q3978" s="1" t="s">
        <v>5634</v>
      </c>
    </row>
    <row r="3979">
      <c r="A3979" s="1">
        <v>3978.0</v>
      </c>
      <c r="B3979" s="1" t="s">
        <v>6638</v>
      </c>
      <c r="C3979" s="1" t="s">
        <v>25</v>
      </c>
      <c r="K3979" s="1">
        <v>60.0</v>
      </c>
      <c r="N3979" s="5">
        <v>44254.0</v>
      </c>
      <c r="Q3979" s="1" t="s">
        <v>3398</v>
      </c>
    </row>
    <row r="3980">
      <c r="A3980" s="1">
        <v>3979.0</v>
      </c>
      <c r="B3980" s="1" t="s">
        <v>6639</v>
      </c>
      <c r="C3980" s="1" t="s">
        <v>25</v>
      </c>
      <c r="K3980" s="1">
        <v>40.0</v>
      </c>
      <c r="N3980" s="5">
        <v>44469.0</v>
      </c>
      <c r="Q3980" s="1" t="s">
        <v>6640</v>
      </c>
    </row>
    <row r="3981">
      <c r="A3981" s="1">
        <v>3980.0</v>
      </c>
      <c r="B3981" s="1" t="s">
        <v>6641</v>
      </c>
      <c r="C3981" s="1" t="s">
        <v>25</v>
      </c>
      <c r="K3981" s="1">
        <v>100.0</v>
      </c>
      <c r="N3981" s="5">
        <v>43870.0</v>
      </c>
      <c r="Q3981" s="1" t="s">
        <v>6642</v>
      </c>
    </row>
    <row r="3982">
      <c r="A3982" s="1">
        <v>3981.0</v>
      </c>
      <c r="B3982" s="1" t="s">
        <v>6643</v>
      </c>
      <c r="C3982" s="1" t="s">
        <v>25</v>
      </c>
      <c r="K3982" s="1">
        <v>300.0</v>
      </c>
      <c r="N3982" s="5">
        <v>45455.0</v>
      </c>
      <c r="Q3982" s="1" t="s">
        <v>6644</v>
      </c>
    </row>
    <row r="3983">
      <c r="A3983" s="1">
        <v>3982.0</v>
      </c>
      <c r="B3983" s="1" t="s">
        <v>6645</v>
      </c>
      <c r="C3983" s="1" t="s">
        <v>25</v>
      </c>
      <c r="K3983" s="1">
        <v>20.0</v>
      </c>
      <c r="N3983" s="5">
        <v>44244.0</v>
      </c>
      <c r="Q3983" s="1" t="s">
        <v>55</v>
      </c>
    </row>
    <row r="3984">
      <c r="A3984" s="1">
        <v>3983.0</v>
      </c>
      <c r="B3984" s="1" t="s">
        <v>6646</v>
      </c>
      <c r="C3984" s="1" t="s">
        <v>25</v>
      </c>
      <c r="K3984" s="1">
        <v>30.0</v>
      </c>
      <c r="N3984" s="5">
        <v>45080.0</v>
      </c>
      <c r="Q3984" s="1" t="s">
        <v>2469</v>
      </c>
    </row>
    <row r="3985">
      <c r="A3985" s="1">
        <v>3984.0</v>
      </c>
      <c r="B3985" s="1" t="s">
        <v>6647</v>
      </c>
      <c r="C3985" s="1" t="s">
        <v>25</v>
      </c>
      <c r="K3985" s="1">
        <v>50.0</v>
      </c>
      <c r="N3985" s="5">
        <v>44195.0</v>
      </c>
      <c r="Q3985" s="1" t="s">
        <v>1471</v>
      </c>
    </row>
    <row r="3986">
      <c r="A3986" s="1">
        <v>3985.0</v>
      </c>
      <c r="B3986" s="1" t="s">
        <v>6648</v>
      </c>
      <c r="C3986" s="1" t="s">
        <v>25</v>
      </c>
      <c r="N3986" s="5">
        <v>44286.0</v>
      </c>
      <c r="Q3986" s="1" t="s">
        <v>55</v>
      </c>
    </row>
    <row r="3987">
      <c r="A3987" s="1">
        <v>3986.0</v>
      </c>
      <c r="B3987" s="1" t="s">
        <v>6649</v>
      </c>
      <c r="C3987" s="1" t="s">
        <v>25</v>
      </c>
      <c r="N3987" s="5">
        <v>45461.0</v>
      </c>
      <c r="Q3987" s="1" t="s">
        <v>851</v>
      </c>
    </row>
    <row r="3988">
      <c r="A3988" s="1">
        <v>3987.0</v>
      </c>
      <c r="B3988" s="1" t="s">
        <v>6650</v>
      </c>
      <c r="C3988" s="1" t="s">
        <v>25</v>
      </c>
      <c r="K3988" s="1">
        <v>150.0</v>
      </c>
      <c r="N3988" s="5">
        <v>43895.0</v>
      </c>
      <c r="Q3988" s="1" t="s">
        <v>6651</v>
      </c>
    </row>
    <row r="3989">
      <c r="A3989" s="1">
        <v>3988.0</v>
      </c>
      <c r="B3989" s="1" t="s">
        <v>6652</v>
      </c>
      <c r="C3989" s="1" t="s">
        <v>25</v>
      </c>
      <c r="K3989" s="1">
        <v>30.0</v>
      </c>
      <c r="N3989" s="5">
        <v>45349.0</v>
      </c>
      <c r="Q3989" s="1" t="s">
        <v>1436</v>
      </c>
    </row>
    <row r="3990">
      <c r="A3990" s="1">
        <v>3989.0</v>
      </c>
      <c r="B3990" s="1" t="s">
        <v>6653</v>
      </c>
      <c r="C3990" s="1" t="s">
        <v>25</v>
      </c>
      <c r="K3990" s="1">
        <v>20.0</v>
      </c>
      <c r="N3990" s="5">
        <v>44172.0</v>
      </c>
      <c r="Q3990" s="1" t="s">
        <v>55</v>
      </c>
    </row>
    <row r="3991">
      <c r="A3991" s="1">
        <v>3990.0</v>
      </c>
      <c r="B3991" s="1" t="s">
        <v>6654</v>
      </c>
      <c r="C3991" s="1" t="s">
        <v>25</v>
      </c>
      <c r="N3991" s="5">
        <v>44053.0</v>
      </c>
      <c r="Q3991" s="1" t="s">
        <v>55</v>
      </c>
    </row>
    <row r="3992">
      <c r="A3992" s="1">
        <v>3991.0</v>
      </c>
      <c r="B3992" s="1" t="s">
        <v>6655</v>
      </c>
      <c r="C3992" s="1" t="s">
        <v>25</v>
      </c>
      <c r="K3992" s="1">
        <v>30.0</v>
      </c>
      <c r="N3992" s="5">
        <v>44221.0</v>
      </c>
      <c r="Q3992" s="1" t="s">
        <v>46</v>
      </c>
    </row>
    <row r="3993">
      <c r="A3993" s="1">
        <v>3992.0</v>
      </c>
      <c r="B3993" s="1" t="s">
        <v>6656</v>
      </c>
      <c r="C3993" s="1" t="s">
        <v>25</v>
      </c>
      <c r="N3993" s="5">
        <v>44092.0</v>
      </c>
      <c r="Q3993" s="1" t="s">
        <v>1726</v>
      </c>
    </row>
    <row r="3994">
      <c r="A3994" s="1">
        <v>3993.0</v>
      </c>
      <c r="B3994" s="1" t="s">
        <v>6657</v>
      </c>
      <c r="C3994" s="1" t="s">
        <v>25</v>
      </c>
      <c r="K3994" s="1">
        <v>150.0</v>
      </c>
      <c r="N3994" s="5">
        <v>44612.0</v>
      </c>
      <c r="Q3994" s="1" t="s">
        <v>93</v>
      </c>
    </row>
    <row r="3995">
      <c r="A3995" s="1">
        <v>3994.0</v>
      </c>
      <c r="B3995" s="1" t="s">
        <v>6658</v>
      </c>
      <c r="C3995" s="1" t="s">
        <v>25</v>
      </c>
      <c r="K3995" s="1">
        <v>30.0</v>
      </c>
      <c r="N3995" s="5">
        <v>45408.0</v>
      </c>
      <c r="Q3995" s="1" t="s">
        <v>6659</v>
      </c>
    </row>
    <row r="3996">
      <c r="A3996" s="1">
        <v>3995.0</v>
      </c>
      <c r="B3996" s="1" t="s">
        <v>6660</v>
      </c>
      <c r="C3996" s="1" t="s">
        <v>25</v>
      </c>
      <c r="K3996" s="1">
        <v>200.0</v>
      </c>
      <c r="N3996" s="5">
        <v>44107.0</v>
      </c>
      <c r="Q3996" s="1" t="s">
        <v>6661</v>
      </c>
    </row>
    <row r="3997">
      <c r="A3997" s="1">
        <v>3996.0</v>
      </c>
      <c r="B3997" s="1" t="s">
        <v>6662</v>
      </c>
      <c r="C3997" s="1" t="s">
        <v>25</v>
      </c>
      <c r="K3997" s="1">
        <v>30.0</v>
      </c>
      <c r="N3997" s="5">
        <v>45105.0</v>
      </c>
      <c r="Q3997" s="1" t="s">
        <v>55</v>
      </c>
    </row>
    <row r="3998">
      <c r="A3998" s="1">
        <v>3997.0</v>
      </c>
      <c r="B3998" s="1" t="s">
        <v>6663</v>
      </c>
      <c r="C3998" s="1" t="s">
        <v>25</v>
      </c>
      <c r="K3998" s="1">
        <v>80.0</v>
      </c>
      <c r="N3998" s="5">
        <v>45604.0</v>
      </c>
      <c r="Q3998" s="1" t="s">
        <v>6664</v>
      </c>
    </row>
    <row r="3999">
      <c r="A3999" s="1">
        <v>3998.0</v>
      </c>
      <c r="B3999" s="1" t="s">
        <v>6665</v>
      </c>
      <c r="C3999" s="1" t="s">
        <v>25</v>
      </c>
      <c r="K3999" s="1">
        <v>60.0</v>
      </c>
      <c r="N3999" s="5">
        <v>44483.0</v>
      </c>
      <c r="Q3999" s="1" t="s">
        <v>6666</v>
      </c>
    </row>
    <row r="4000">
      <c r="A4000" s="1">
        <v>3999.0</v>
      </c>
      <c r="B4000" s="1" t="s">
        <v>6667</v>
      </c>
      <c r="C4000" s="1" t="s">
        <v>25</v>
      </c>
      <c r="K4000" s="1">
        <v>200.0</v>
      </c>
      <c r="N4000" s="5">
        <v>44281.0</v>
      </c>
      <c r="Q4000" s="1" t="s">
        <v>6668</v>
      </c>
    </row>
    <row r="4001">
      <c r="A4001" s="1">
        <v>4000.0</v>
      </c>
      <c r="B4001" s="1" t="s">
        <v>323</v>
      </c>
      <c r="C4001" s="1" t="s">
        <v>25</v>
      </c>
      <c r="K4001" s="1">
        <v>10.0</v>
      </c>
      <c r="N4001" s="5">
        <v>45625.0</v>
      </c>
      <c r="Q4001" s="1" t="s">
        <v>325</v>
      </c>
    </row>
    <row r="4002">
      <c r="A4002" s="1">
        <v>4001.0</v>
      </c>
      <c r="B4002" s="1" t="s">
        <v>6669</v>
      </c>
      <c r="C4002" s="1" t="s">
        <v>25</v>
      </c>
      <c r="N4002" s="5">
        <v>46102.0</v>
      </c>
      <c r="Q4002" s="1" t="s">
        <v>6670</v>
      </c>
    </row>
    <row r="4003">
      <c r="A4003" s="1">
        <v>4002.0</v>
      </c>
      <c r="B4003" s="1" t="s">
        <v>6671</v>
      </c>
      <c r="C4003" s="1" t="s">
        <v>25</v>
      </c>
      <c r="K4003" s="1">
        <v>100.0</v>
      </c>
      <c r="N4003" s="5">
        <v>45110.0</v>
      </c>
      <c r="Q4003" s="1" t="s">
        <v>569</v>
      </c>
    </row>
    <row r="4004">
      <c r="A4004" s="1">
        <v>4003.0</v>
      </c>
      <c r="B4004" s="1" t="s">
        <v>6672</v>
      </c>
      <c r="C4004" s="1" t="s">
        <v>25</v>
      </c>
      <c r="K4004" s="1">
        <v>70.0</v>
      </c>
      <c r="N4004" s="5">
        <v>45523.0</v>
      </c>
      <c r="Q4004" s="1" t="s">
        <v>6673</v>
      </c>
    </row>
    <row r="4005">
      <c r="A4005" s="1">
        <v>4004.0</v>
      </c>
      <c r="B4005" s="1" t="s">
        <v>6674</v>
      </c>
      <c r="C4005" s="1" t="s">
        <v>25</v>
      </c>
      <c r="K4005" s="1">
        <v>200.0</v>
      </c>
      <c r="N4005" s="5">
        <v>43917.0</v>
      </c>
      <c r="Q4005" s="1" t="s">
        <v>6675</v>
      </c>
    </row>
    <row r="4006">
      <c r="A4006" s="1">
        <v>4005.0</v>
      </c>
      <c r="B4006" s="1" t="s">
        <v>6676</v>
      </c>
      <c r="C4006" s="1" t="s">
        <v>25</v>
      </c>
      <c r="K4006" s="1">
        <v>20.0</v>
      </c>
      <c r="N4006" s="5">
        <v>45482.0</v>
      </c>
      <c r="Q4006" s="1" t="s">
        <v>2736</v>
      </c>
    </row>
    <row r="4007">
      <c r="A4007" s="1">
        <v>4006.0</v>
      </c>
      <c r="B4007" s="1" t="s">
        <v>6677</v>
      </c>
      <c r="C4007" s="1" t="s">
        <v>25</v>
      </c>
      <c r="K4007" s="1">
        <v>100.0</v>
      </c>
      <c r="N4007" s="5">
        <v>44294.0</v>
      </c>
      <c r="Q4007" s="1" t="s">
        <v>6678</v>
      </c>
    </row>
    <row r="4008">
      <c r="A4008" s="1">
        <v>4007.0</v>
      </c>
      <c r="B4008" s="1" t="s">
        <v>6679</v>
      </c>
      <c r="C4008" s="1" t="s">
        <v>25</v>
      </c>
      <c r="K4008" s="1">
        <v>100.0</v>
      </c>
      <c r="N4008" s="5">
        <v>44066.0</v>
      </c>
      <c r="Q4008" s="1" t="s">
        <v>6680</v>
      </c>
    </row>
    <row r="4009">
      <c r="A4009" s="1">
        <v>4008.0</v>
      </c>
      <c r="B4009" s="1" t="s">
        <v>6681</v>
      </c>
      <c r="C4009" s="1" t="s">
        <v>25</v>
      </c>
      <c r="K4009" s="1">
        <v>40.0</v>
      </c>
      <c r="N4009" s="5">
        <v>44692.0</v>
      </c>
      <c r="Q4009" s="1" t="s">
        <v>172</v>
      </c>
    </row>
    <row r="4010">
      <c r="A4010" s="1">
        <v>4009.0</v>
      </c>
      <c r="B4010" s="1" t="s">
        <v>6682</v>
      </c>
      <c r="C4010" s="1" t="s">
        <v>25</v>
      </c>
      <c r="K4010" s="1">
        <v>20.0</v>
      </c>
      <c r="N4010" s="5">
        <v>45664.0</v>
      </c>
      <c r="Q4010" s="1" t="s">
        <v>6683</v>
      </c>
    </row>
    <row r="4011">
      <c r="A4011" s="1">
        <v>4010.0</v>
      </c>
      <c r="B4011" s="1" t="s">
        <v>6684</v>
      </c>
      <c r="C4011" s="1" t="s">
        <v>25</v>
      </c>
      <c r="K4011" s="1">
        <v>150.0</v>
      </c>
      <c r="N4011" s="5">
        <v>43888.0</v>
      </c>
      <c r="Q4011" s="1" t="s">
        <v>6685</v>
      </c>
    </row>
    <row r="4012">
      <c r="A4012" s="1">
        <v>4011.0</v>
      </c>
      <c r="B4012" s="1" t="s">
        <v>6686</v>
      </c>
      <c r="C4012" s="1" t="s">
        <v>25</v>
      </c>
      <c r="K4012" s="1">
        <v>70.0</v>
      </c>
      <c r="N4012" s="5">
        <v>44328.0</v>
      </c>
      <c r="Q4012" s="1" t="s">
        <v>6687</v>
      </c>
    </row>
    <row r="4013">
      <c r="A4013" s="1">
        <v>4012.0</v>
      </c>
      <c r="B4013" s="1" t="s">
        <v>6688</v>
      </c>
      <c r="C4013" s="1" t="s">
        <v>25</v>
      </c>
      <c r="K4013" s="1">
        <v>200.0</v>
      </c>
      <c r="N4013" s="5">
        <v>44807.0</v>
      </c>
      <c r="Q4013" s="1" t="s">
        <v>6689</v>
      </c>
    </row>
    <row r="4014">
      <c r="A4014" s="1">
        <v>4013.0</v>
      </c>
      <c r="B4014" s="1" t="s">
        <v>6690</v>
      </c>
      <c r="C4014" s="1" t="s">
        <v>25</v>
      </c>
      <c r="K4014" s="1">
        <v>90.0</v>
      </c>
      <c r="N4014" s="5">
        <v>45745.0</v>
      </c>
      <c r="Q4014" s="1" t="s">
        <v>4527</v>
      </c>
    </row>
    <row r="4015">
      <c r="A4015" s="1">
        <v>4014.0</v>
      </c>
      <c r="B4015" s="1" t="s">
        <v>6691</v>
      </c>
      <c r="C4015" s="1" t="s">
        <v>25</v>
      </c>
      <c r="N4015" s="5">
        <v>45386.0</v>
      </c>
      <c r="Q4015" s="1" t="s">
        <v>6692</v>
      </c>
    </row>
    <row r="4016">
      <c r="A4016" s="1">
        <v>4015.0</v>
      </c>
      <c r="B4016" s="1" t="s">
        <v>6693</v>
      </c>
      <c r="C4016" s="1" t="s">
        <v>25</v>
      </c>
      <c r="K4016" s="1">
        <v>40.0</v>
      </c>
      <c r="N4016" s="5">
        <v>44118.0</v>
      </c>
      <c r="Q4016" s="1" t="s">
        <v>6694</v>
      </c>
    </row>
    <row r="4017">
      <c r="A4017" s="1">
        <v>4016.0</v>
      </c>
      <c r="B4017" s="1" t="s">
        <v>6695</v>
      </c>
      <c r="C4017" s="1" t="s">
        <v>25</v>
      </c>
      <c r="K4017" s="1">
        <v>600.0</v>
      </c>
      <c r="N4017" s="5">
        <v>43902.0</v>
      </c>
      <c r="Q4017" s="1" t="s">
        <v>6696</v>
      </c>
    </row>
    <row r="4018">
      <c r="A4018" s="1">
        <v>4017.0</v>
      </c>
      <c r="B4018" s="1" t="s">
        <v>6697</v>
      </c>
      <c r="C4018" s="1" t="s">
        <v>25</v>
      </c>
      <c r="N4018" s="5">
        <v>44371.0</v>
      </c>
      <c r="Q4018" s="1" t="s">
        <v>55</v>
      </c>
    </row>
    <row r="4019">
      <c r="A4019" s="1">
        <v>4018.0</v>
      </c>
      <c r="B4019" s="1" t="s">
        <v>6698</v>
      </c>
      <c r="C4019" s="1" t="s">
        <v>25</v>
      </c>
      <c r="K4019" s="1">
        <v>150.0</v>
      </c>
      <c r="N4019" s="5">
        <v>44357.0</v>
      </c>
      <c r="Q4019" s="1" t="s">
        <v>6699</v>
      </c>
    </row>
    <row r="4020">
      <c r="A4020" s="1">
        <v>4019.0</v>
      </c>
      <c r="B4020" s="1" t="s">
        <v>6700</v>
      </c>
      <c r="C4020" s="1" t="s">
        <v>25</v>
      </c>
      <c r="K4020" s="1">
        <v>60.0</v>
      </c>
      <c r="N4020" s="5">
        <v>45792.0</v>
      </c>
      <c r="Q4020" s="1" t="s">
        <v>4258</v>
      </c>
    </row>
    <row r="4021">
      <c r="A4021" s="1">
        <v>4020.0</v>
      </c>
      <c r="B4021" s="1" t="s">
        <v>6701</v>
      </c>
      <c r="C4021" s="1" t="s">
        <v>25</v>
      </c>
      <c r="N4021" s="5">
        <v>44622.0</v>
      </c>
      <c r="Q4021" s="1" t="s">
        <v>55</v>
      </c>
    </row>
    <row r="4022">
      <c r="A4022" s="1">
        <v>4021.0</v>
      </c>
      <c r="B4022" s="1" t="s">
        <v>6702</v>
      </c>
      <c r="C4022" s="1" t="s">
        <v>25</v>
      </c>
      <c r="K4022" s="1">
        <v>200.0</v>
      </c>
      <c r="N4022" s="5">
        <v>44253.0</v>
      </c>
      <c r="Q4022" s="1" t="s">
        <v>6703</v>
      </c>
    </row>
    <row r="4023">
      <c r="A4023" s="1">
        <v>4022.0</v>
      </c>
      <c r="B4023" s="1" t="s">
        <v>6704</v>
      </c>
      <c r="C4023" s="1" t="s">
        <v>25</v>
      </c>
      <c r="K4023" s="1">
        <v>10.0</v>
      </c>
      <c r="N4023" s="5">
        <v>45616.0</v>
      </c>
      <c r="Q4023" s="1" t="s">
        <v>2167</v>
      </c>
    </row>
    <row r="4024">
      <c r="A4024" s="1">
        <v>4023.0</v>
      </c>
      <c r="B4024" s="1" t="s">
        <v>6705</v>
      </c>
      <c r="C4024" s="1" t="s">
        <v>25</v>
      </c>
      <c r="N4024" s="5">
        <v>44211.0</v>
      </c>
      <c r="Q4024" s="1" t="s">
        <v>55</v>
      </c>
    </row>
    <row r="4025">
      <c r="A4025" s="1">
        <v>4024.0</v>
      </c>
      <c r="B4025" s="1" t="s">
        <v>6706</v>
      </c>
      <c r="C4025" s="1" t="s">
        <v>25</v>
      </c>
      <c r="N4025" s="5">
        <v>45714.0</v>
      </c>
      <c r="Q4025" s="1" t="s">
        <v>701</v>
      </c>
    </row>
    <row r="4026">
      <c r="A4026" s="1">
        <v>4025.0</v>
      </c>
      <c r="B4026" s="1" t="s">
        <v>6707</v>
      </c>
      <c r="C4026" s="1" t="s">
        <v>25</v>
      </c>
      <c r="K4026" s="1">
        <v>30.0</v>
      </c>
      <c r="N4026" s="5">
        <v>45430.0</v>
      </c>
      <c r="Q4026" s="1" t="s">
        <v>2022</v>
      </c>
    </row>
    <row r="4027">
      <c r="A4027" s="1">
        <v>4026.0</v>
      </c>
      <c r="B4027" s="1" t="s">
        <v>6708</v>
      </c>
      <c r="C4027" s="1" t="s">
        <v>25</v>
      </c>
      <c r="K4027" s="1">
        <v>30.0</v>
      </c>
      <c r="N4027" s="5">
        <v>44394.0</v>
      </c>
      <c r="Q4027" s="1" t="s">
        <v>55</v>
      </c>
    </row>
    <row r="4028">
      <c r="A4028" s="1">
        <v>4027.0</v>
      </c>
      <c r="B4028" s="1" t="s">
        <v>6709</v>
      </c>
      <c r="C4028" s="1" t="s">
        <v>25</v>
      </c>
      <c r="K4028" s="1">
        <v>70.0</v>
      </c>
      <c r="N4028" s="5">
        <v>44488.0</v>
      </c>
      <c r="Q4028" s="1" t="s">
        <v>3781</v>
      </c>
    </row>
    <row r="4029">
      <c r="A4029" s="1">
        <v>4028.0</v>
      </c>
      <c r="B4029" s="1" t="s">
        <v>6710</v>
      </c>
      <c r="C4029" s="1" t="s">
        <v>25</v>
      </c>
      <c r="K4029" s="1">
        <v>20.0</v>
      </c>
      <c r="N4029" s="5">
        <v>45232.0</v>
      </c>
      <c r="Q4029" s="1" t="s">
        <v>3370</v>
      </c>
    </row>
    <row r="4030">
      <c r="A4030" s="1">
        <v>4029.0</v>
      </c>
      <c r="B4030" s="1" t="s">
        <v>6711</v>
      </c>
      <c r="C4030" s="1" t="s">
        <v>25</v>
      </c>
      <c r="N4030" s="5">
        <v>44417.0</v>
      </c>
      <c r="Q4030" s="1" t="s">
        <v>55</v>
      </c>
    </row>
    <row r="4031">
      <c r="A4031" s="1">
        <v>4030.0</v>
      </c>
      <c r="B4031" s="1" t="s">
        <v>6712</v>
      </c>
      <c r="C4031" s="1" t="s">
        <v>25</v>
      </c>
      <c r="K4031" s="1">
        <v>100.0</v>
      </c>
      <c r="N4031" s="5">
        <v>43850.0</v>
      </c>
      <c r="Q4031" s="1" t="s">
        <v>1901</v>
      </c>
    </row>
    <row r="4032">
      <c r="A4032" s="1">
        <v>4031.0</v>
      </c>
      <c r="B4032" s="1" t="s">
        <v>6713</v>
      </c>
      <c r="C4032" s="1" t="s">
        <v>25</v>
      </c>
      <c r="K4032" s="1">
        <v>100.0</v>
      </c>
      <c r="N4032" s="5">
        <v>44075.0</v>
      </c>
      <c r="Q4032" s="1" t="s">
        <v>6714</v>
      </c>
    </row>
    <row r="4033">
      <c r="A4033" s="1">
        <v>4032.0</v>
      </c>
      <c r="B4033" s="1" t="s">
        <v>6715</v>
      </c>
      <c r="C4033" s="1" t="s">
        <v>25</v>
      </c>
      <c r="K4033" s="1">
        <v>150.0</v>
      </c>
      <c r="N4033" s="5">
        <v>44627.0</v>
      </c>
      <c r="Q4033" s="1" t="s">
        <v>6716</v>
      </c>
    </row>
    <row r="4034">
      <c r="A4034" s="1">
        <v>4033.0</v>
      </c>
      <c r="B4034" s="1" t="s">
        <v>6717</v>
      </c>
      <c r="C4034" s="1" t="s">
        <v>25</v>
      </c>
      <c r="K4034" s="1">
        <v>40.0</v>
      </c>
      <c r="N4034" s="5">
        <v>45322.0</v>
      </c>
      <c r="Q4034" s="1" t="s">
        <v>1616</v>
      </c>
    </row>
    <row r="4035">
      <c r="A4035" s="1">
        <v>4034.0</v>
      </c>
      <c r="B4035" s="1" t="s">
        <v>6718</v>
      </c>
      <c r="C4035" s="1" t="s">
        <v>25</v>
      </c>
      <c r="K4035" s="1">
        <v>50.0</v>
      </c>
      <c r="N4035" s="5">
        <v>43961.0</v>
      </c>
      <c r="Q4035" s="1" t="s">
        <v>6719</v>
      </c>
    </row>
    <row r="4036">
      <c r="A4036" s="1">
        <v>4035.0</v>
      </c>
      <c r="B4036" s="1" t="s">
        <v>6720</v>
      </c>
      <c r="C4036" s="1" t="s">
        <v>25</v>
      </c>
      <c r="K4036" s="1">
        <v>100.0</v>
      </c>
      <c r="N4036" s="5">
        <v>44533.0</v>
      </c>
      <c r="Q4036" s="1" t="s">
        <v>345</v>
      </c>
    </row>
    <row r="4037">
      <c r="A4037" s="1">
        <v>4036.0</v>
      </c>
      <c r="B4037" s="1" t="s">
        <v>6721</v>
      </c>
      <c r="C4037" s="1" t="s">
        <v>25</v>
      </c>
      <c r="N4037" s="5">
        <v>43929.0</v>
      </c>
      <c r="Q4037" s="1" t="s">
        <v>93</v>
      </c>
    </row>
    <row r="4038">
      <c r="A4038" s="1">
        <v>4037.0</v>
      </c>
      <c r="B4038" s="1" t="s">
        <v>6722</v>
      </c>
      <c r="C4038" s="1" t="s">
        <v>25</v>
      </c>
      <c r="K4038" s="1">
        <v>350.0</v>
      </c>
      <c r="N4038" s="5">
        <v>44043.0</v>
      </c>
      <c r="Q4038" s="1" t="s">
        <v>6723</v>
      </c>
    </row>
    <row r="4039">
      <c r="A4039" s="1">
        <v>4038.0</v>
      </c>
      <c r="B4039" s="1" t="s">
        <v>6724</v>
      </c>
      <c r="C4039" s="1" t="s">
        <v>25</v>
      </c>
      <c r="K4039" s="1">
        <v>200.0</v>
      </c>
      <c r="N4039" s="5">
        <v>42296.0</v>
      </c>
      <c r="Q4039" s="1" t="s">
        <v>6725</v>
      </c>
    </row>
    <row r="4040">
      <c r="A4040" s="1">
        <v>4039.0</v>
      </c>
      <c r="B4040" s="1" t="s">
        <v>6726</v>
      </c>
      <c r="C4040" s="1" t="s">
        <v>25</v>
      </c>
      <c r="K4040" s="1">
        <v>100.0</v>
      </c>
      <c r="N4040" s="5">
        <v>44284.0</v>
      </c>
      <c r="Q4040" s="1" t="s">
        <v>569</v>
      </c>
    </row>
    <row r="4041">
      <c r="A4041" s="1">
        <v>4040.0</v>
      </c>
      <c r="B4041" s="1" t="s">
        <v>6727</v>
      </c>
      <c r="C4041" s="1" t="s">
        <v>25</v>
      </c>
      <c r="N4041" s="5">
        <v>46100.0</v>
      </c>
      <c r="Q4041" s="1" t="s">
        <v>6728</v>
      </c>
    </row>
    <row r="4042">
      <c r="A4042" s="1">
        <v>4041.0</v>
      </c>
      <c r="B4042" s="1" t="s">
        <v>6729</v>
      </c>
      <c r="C4042" s="1" t="s">
        <v>25</v>
      </c>
      <c r="K4042" s="1">
        <v>70.0</v>
      </c>
      <c r="N4042" s="5">
        <v>44331.0</v>
      </c>
      <c r="Q4042" s="1" t="s">
        <v>2893</v>
      </c>
    </row>
    <row r="4043">
      <c r="A4043" s="1">
        <v>4042.0</v>
      </c>
      <c r="B4043" s="1" t="s">
        <v>6730</v>
      </c>
      <c r="C4043" s="1" t="s">
        <v>25</v>
      </c>
      <c r="K4043" s="1">
        <v>70.0</v>
      </c>
      <c r="N4043" s="5">
        <v>44102.0</v>
      </c>
      <c r="Q4043" s="1" t="s">
        <v>6731</v>
      </c>
    </row>
    <row r="4044">
      <c r="A4044" s="1">
        <v>4043.0</v>
      </c>
      <c r="B4044" s="1" t="s">
        <v>6732</v>
      </c>
      <c r="C4044" s="1" t="s">
        <v>25</v>
      </c>
      <c r="K4044" s="1">
        <v>60.0</v>
      </c>
      <c r="N4044" s="5">
        <v>44289.0</v>
      </c>
      <c r="Q4044" s="1" t="s">
        <v>6733</v>
      </c>
    </row>
    <row r="4045">
      <c r="A4045" s="1">
        <v>4044.0</v>
      </c>
      <c r="B4045" s="1" t="s">
        <v>6734</v>
      </c>
      <c r="C4045" s="1" t="s">
        <v>25</v>
      </c>
      <c r="K4045" s="1">
        <v>20.0</v>
      </c>
      <c r="N4045" s="5">
        <v>44600.0</v>
      </c>
      <c r="Q4045" s="1" t="s">
        <v>6735</v>
      </c>
    </row>
    <row r="4046">
      <c r="A4046" s="1">
        <v>4045.0</v>
      </c>
      <c r="B4046" s="1" t="s">
        <v>328</v>
      </c>
      <c r="C4046" s="1" t="s">
        <v>25</v>
      </c>
      <c r="K4046" s="1">
        <v>10.0</v>
      </c>
      <c r="N4046" s="5">
        <v>44003.0</v>
      </c>
      <c r="Q4046" s="1" t="s">
        <v>321</v>
      </c>
    </row>
    <row r="4047">
      <c r="A4047" s="1">
        <v>4046.0</v>
      </c>
      <c r="B4047" s="1" t="s">
        <v>6736</v>
      </c>
      <c r="C4047" s="1" t="s">
        <v>25</v>
      </c>
      <c r="K4047" s="1">
        <v>30.0</v>
      </c>
      <c r="N4047" s="5">
        <v>43968.0</v>
      </c>
      <c r="Q4047" s="1" t="s">
        <v>55</v>
      </c>
    </row>
    <row r="4048">
      <c r="A4048" s="1">
        <v>4047.0</v>
      </c>
      <c r="B4048" s="1" t="s">
        <v>6737</v>
      </c>
      <c r="C4048" s="1" t="s">
        <v>25</v>
      </c>
      <c r="K4048" s="1">
        <v>10.0</v>
      </c>
      <c r="N4048" s="5">
        <v>45179.0</v>
      </c>
      <c r="Q4048" s="1" t="s">
        <v>6738</v>
      </c>
    </row>
    <row r="4049">
      <c r="A4049" s="1">
        <v>4048.0</v>
      </c>
      <c r="B4049" s="1" t="s">
        <v>6739</v>
      </c>
      <c r="C4049" s="1" t="s">
        <v>25</v>
      </c>
      <c r="K4049" s="1">
        <v>150.0</v>
      </c>
      <c r="N4049" s="5">
        <v>43937.0</v>
      </c>
      <c r="Q4049" s="1" t="s">
        <v>6740</v>
      </c>
    </row>
    <row r="4050">
      <c r="A4050" s="1">
        <v>4049.0</v>
      </c>
      <c r="B4050" s="1" t="s">
        <v>300</v>
      </c>
      <c r="C4050" s="1" t="s">
        <v>25</v>
      </c>
      <c r="N4050" s="5">
        <v>46103.0</v>
      </c>
      <c r="Q4050" s="1" t="s">
        <v>303</v>
      </c>
    </row>
    <row r="4051">
      <c r="A4051" s="1">
        <v>4050.0</v>
      </c>
      <c r="B4051" s="1" t="s">
        <v>6741</v>
      </c>
      <c r="C4051" s="1" t="s">
        <v>25</v>
      </c>
      <c r="K4051" s="1">
        <v>150.0</v>
      </c>
      <c r="N4051" s="5">
        <v>43986.0</v>
      </c>
      <c r="Q4051" s="1" t="s">
        <v>6742</v>
      </c>
    </row>
    <row r="4052">
      <c r="A4052" s="1">
        <v>4051.0</v>
      </c>
      <c r="B4052" s="1" t="s">
        <v>306</v>
      </c>
      <c r="C4052" s="1" t="s">
        <v>25</v>
      </c>
      <c r="K4052" s="1">
        <v>100.0</v>
      </c>
      <c r="N4052" s="5">
        <v>45419.0</v>
      </c>
      <c r="Q4052" s="1" t="s">
        <v>309</v>
      </c>
    </row>
    <row r="4053">
      <c r="A4053" s="1">
        <v>4052.0</v>
      </c>
      <c r="B4053" s="1" t="s">
        <v>6743</v>
      </c>
      <c r="C4053" s="1" t="s">
        <v>25</v>
      </c>
      <c r="N4053" s="5">
        <v>44634.0</v>
      </c>
      <c r="Q4053" s="1" t="s">
        <v>55</v>
      </c>
    </row>
    <row r="4054">
      <c r="A4054" s="1">
        <v>4053.0</v>
      </c>
      <c r="B4054" s="1" t="s">
        <v>6744</v>
      </c>
      <c r="C4054" s="1" t="s">
        <v>25</v>
      </c>
      <c r="K4054" s="1">
        <v>20.0</v>
      </c>
      <c r="N4054" s="5">
        <v>44445.0</v>
      </c>
      <c r="Q4054" s="1" t="s">
        <v>1226</v>
      </c>
    </row>
    <row r="4055">
      <c r="A4055" s="1">
        <v>4054.0</v>
      </c>
      <c r="B4055" s="1" t="s">
        <v>6745</v>
      </c>
      <c r="C4055" s="1" t="s">
        <v>25</v>
      </c>
      <c r="K4055" s="1">
        <v>300.0</v>
      </c>
      <c r="N4055" s="5">
        <v>44326.0</v>
      </c>
      <c r="Q4055" s="1" t="s">
        <v>6746</v>
      </c>
    </row>
    <row r="4056">
      <c r="A4056" s="1">
        <v>4055.0</v>
      </c>
      <c r="B4056" s="1" t="s">
        <v>6747</v>
      </c>
      <c r="C4056" s="1" t="s">
        <v>25</v>
      </c>
      <c r="K4056" s="1">
        <v>90.0</v>
      </c>
      <c r="N4056" s="5">
        <v>45067.0</v>
      </c>
      <c r="Q4056" s="1" t="s">
        <v>6748</v>
      </c>
    </row>
    <row r="4057">
      <c r="A4057" s="1">
        <v>4056.0</v>
      </c>
      <c r="B4057" s="1" t="s">
        <v>6749</v>
      </c>
      <c r="C4057" s="1" t="s">
        <v>25</v>
      </c>
      <c r="K4057" s="1">
        <v>200.0</v>
      </c>
      <c r="N4057" s="5">
        <v>43915.0</v>
      </c>
      <c r="Q4057" s="1" t="s">
        <v>6750</v>
      </c>
    </row>
    <row r="4058">
      <c r="A4058" s="1">
        <v>4057.0</v>
      </c>
      <c r="B4058" s="1" t="s">
        <v>6751</v>
      </c>
      <c r="C4058" s="1" t="s">
        <v>25</v>
      </c>
      <c r="K4058" s="1">
        <v>20.0</v>
      </c>
      <c r="N4058" s="5">
        <v>43948.0</v>
      </c>
      <c r="Q4058" s="1" t="s">
        <v>851</v>
      </c>
    </row>
    <row r="4059">
      <c r="A4059" s="1">
        <v>4058.0</v>
      </c>
      <c r="B4059" s="1" t="s">
        <v>6752</v>
      </c>
      <c r="C4059" s="1" t="s">
        <v>25</v>
      </c>
      <c r="K4059" s="1">
        <v>20.0</v>
      </c>
      <c r="N4059" s="5">
        <v>44109.0</v>
      </c>
      <c r="Q4059" s="1" t="s">
        <v>6753</v>
      </c>
    </row>
    <row r="4060">
      <c r="A4060" s="1">
        <v>4059.0</v>
      </c>
      <c r="B4060" s="1" t="s">
        <v>6754</v>
      </c>
      <c r="C4060" s="1" t="s">
        <v>25</v>
      </c>
      <c r="K4060" s="1">
        <v>150.0</v>
      </c>
      <c r="N4060" s="5">
        <v>44756.0</v>
      </c>
      <c r="Q4060" s="1" t="s">
        <v>55</v>
      </c>
    </row>
    <row r="4061">
      <c r="A4061" s="1">
        <v>4060.0</v>
      </c>
      <c r="B4061" s="1" t="s">
        <v>5901</v>
      </c>
      <c r="C4061" s="1" t="s">
        <v>25</v>
      </c>
      <c r="K4061" s="1">
        <v>40.0</v>
      </c>
      <c r="N4061" s="5">
        <v>45638.0</v>
      </c>
      <c r="Q4061" s="1" t="s">
        <v>6755</v>
      </c>
    </row>
    <row r="4062">
      <c r="A4062" s="1">
        <v>4061.0</v>
      </c>
      <c r="B4062" s="1" t="s">
        <v>6756</v>
      </c>
      <c r="C4062" s="1" t="s">
        <v>25</v>
      </c>
      <c r="K4062" s="1">
        <v>200.0</v>
      </c>
      <c r="N4062" s="5">
        <v>44788.0</v>
      </c>
      <c r="Q4062" s="1" t="s">
        <v>6757</v>
      </c>
    </row>
    <row r="4063">
      <c r="A4063" s="1">
        <v>4062.0</v>
      </c>
      <c r="B4063" s="1" t="s">
        <v>6758</v>
      </c>
      <c r="C4063" s="1" t="s">
        <v>25</v>
      </c>
      <c r="K4063" s="1">
        <v>60.0</v>
      </c>
      <c r="N4063" s="5">
        <v>45043.0</v>
      </c>
      <c r="Q4063" s="1" t="s">
        <v>718</v>
      </c>
    </row>
    <row r="4064">
      <c r="A4064" s="1">
        <v>4063.0</v>
      </c>
      <c r="B4064" s="1" t="s">
        <v>6759</v>
      </c>
      <c r="C4064" s="1" t="s">
        <v>25</v>
      </c>
      <c r="K4064" s="1">
        <v>80.0</v>
      </c>
      <c r="N4064" s="5">
        <v>45772.0</v>
      </c>
      <c r="Q4064" s="1" t="s">
        <v>6760</v>
      </c>
    </row>
    <row r="4065">
      <c r="A4065" s="1">
        <v>4064.0</v>
      </c>
      <c r="B4065" s="1" t="s">
        <v>6761</v>
      </c>
      <c r="C4065" s="1" t="s">
        <v>25</v>
      </c>
      <c r="N4065" s="5">
        <v>44677.0</v>
      </c>
      <c r="Q4065" s="1" t="s">
        <v>125</v>
      </c>
    </row>
    <row r="4066">
      <c r="A4066" s="1">
        <v>4065.0</v>
      </c>
      <c r="B4066" s="1" t="s">
        <v>6762</v>
      </c>
      <c r="C4066" s="1" t="s">
        <v>25</v>
      </c>
      <c r="K4066" s="1">
        <v>30.0</v>
      </c>
      <c r="N4066" s="5">
        <v>44307.0</v>
      </c>
      <c r="Q4066" s="1" t="s">
        <v>55</v>
      </c>
    </row>
    <row r="4067">
      <c r="A4067" s="1">
        <v>4066.0</v>
      </c>
      <c r="B4067" s="1" t="s">
        <v>6763</v>
      </c>
      <c r="C4067" s="1" t="s">
        <v>25</v>
      </c>
      <c r="K4067" s="1">
        <v>80.0</v>
      </c>
      <c r="N4067" s="5">
        <v>44048.0</v>
      </c>
      <c r="Q4067" s="1" t="s">
        <v>6764</v>
      </c>
    </row>
    <row r="4068">
      <c r="A4068" s="1">
        <v>4067.0</v>
      </c>
      <c r="B4068" s="1" t="s">
        <v>6765</v>
      </c>
      <c r="C4068" s="1" t="s">
        <v>25</v>
      </c>
      <c r="K4068" s="1">
        <v>200.0</v>
      </c>
      <c r="N4068" s="5">
        <v>44097.0</v>
      </c>
      <c r="Q4068" s="1" t="s">
        <v>93</v>
      </c>
    </row>
    <row r="4069">
      <c r="A4069" s="1">
        <v>4068.0</v>
      </c>
      <c r="B4069" s="1" t="s">
        <v>6766</v>
      </c>
      <c r="C4069" s="1" t="s">
        <v>25</v>
      </c>
      <c r="K4069" s="1">
        <v>30.0</v>
      </c>
      <c r="N4069" s="5">
        <v>44593.0</v>
      </c>
      <c r="Q4069" s="1" t="s">
        <v>6767</v>
      </c>
    </row>
    <row r="4070">
      <c r="A4070" s="1">
        <v>4069.0</v>
      </c>
      <c r="B4070" s="1" t="s">
        <v>6768</v>
      </c>
      <c r="C4070" s="1" t="s">
        <v>25</v>
      </c>
      <c r="K4070" s="1">
        <v>60.0</v>
      </c>
      <c r="N4070" s="5">
        <v>45635.0</v>
      </c>
      <c r="Q4070" s="1" t="s">
        <v>6769</v>
      </c>
    </row>
    <row r="4071">
      <c r="A4071" s="1">
        <v>4070.0</v>
      </c>
      <c r="B4071" s="1" t="s">
        <v>6770</v>
      </c>
      <c r="C4071" s="1" t="s">
        <v>25</v>
      </c>
      <c r="K4071" s="1">
        <v>30.0</v>
      </c>
      <c r="N4071" s="5">
        <v>43925.0</v>
      </c>
      <c r="Q4071" s="1" t="s">
        <v>6771</v>
      </c>
    </row>
    <row r="4072">
      <c r="A4072" s="1">
        <v>4071.0</v>
      </c>
      <c r="B4072" s="1" t="s">
        <v>6772</v>
      </c>
      <c r="C4072" s="1" t="s">
        <v>25</v>
      </c>
      <c r="K4072" s="1">
        <v>150.0</v>
      </c>
      <c r="N4072" s="5">
        <v>45132.0</v>
      </c>
      <c r="Q4072" s="1" t="s">
        <v>55</v>
      </c>
    </row>
    <row r="4073">
      <c r="A4073" s="1">
        <v>4072.0</v>
      </c>
      <c r="B4073" s="1" t="s">
        <v>6773</v>
      </c>
      <c r="C4073" s="1" t="s">
        <v>25</v>
      </c>
      <c r="K4073" s="1">
        <v>10.0</v>
      </c>
      <c r="N4073" s="5">
        <v>44395.0</v>
      </c>
      <c r="Q4073" s="1" t="s">
        <v>1066</v>
      </c>
    </row>
    <row r="4074">
      <c r="A4074" s="1">
        <v>4073.0</v>
      </c>
      <c r="B4074" s="1" t="s">
        <v>6774</v>
      </c>
      <c r="C4074" s="1" t="s">
        <v>25</v>
      </c>
      <c r="K4074" s="1">
        <v>40.0</v>
      </c>
      <c r="N4074" s="5">
        <v>42725.0</v>
      </c>
      <c r="Q4074" s="1" t="s">
        <v>569</v>
      </c>
    </row>
    <row r="4075">
      <c r="A4075" s="1">
        <v>4074.0</v>
      </c>
      <c r="B4075" s="1" t="s">
        <v>6775</v>
      </c>
      <c r="C4075" s="1" t="s">
        <v>25</v>
      </c>
      <c r="K4075" s="1">
        <v>90.0</v>
      </c>
      <c r="N4075" s="5">
        <v>43987.0</v>
      </c>
      <c r="Q4075" s="1" t="s">
        <v>2401</v>
      </c>
    </row>
    <row r="4076">
      <c r="A4076" s="1">
        <v>4075.0</v>
      </c>
      <c r="B4076" s="1" t="s">
        <v>6776</v>
      </c>
      <c r="C4076" s="1" t="s">
        <v>25</v>
      </c>
      <c r="K4076" s="1">
        <v>40.0</v>
      </c>
      <c r="N4076" s="5">
        <v>45283.0</v>
      </c>
      <c r="Q4076" s="1" t="s">
        <v>1426</v>
      </c>
    </row>
    <row r="4077">
      <c r="A4077" s="1">
        <v>4076.0</v>
      </c>
      <c r="B4077" s="1" t="s">
        <v>6777</v>
      </c>
      <c r="C4077" s="1" t="s">
        <v>25</v>
      </c>
      <c r="N4077" s="5">
        <v>44119.0</v>
      </c>
      <c r="Q4077" s="1" t="s">
        <v>55</v>
      </c>
    </row>
    <row r="4078">
      <c r="A4078" s="1">
        <v>4077.0</v>
      </c>
      <c r="B4078" s="1" t="s">
        <v>6778</v>
      </c>
      <c r="C4078" s="1" t="s">
        <v>25</v>
      </c>
      <c r="N4078" s="5">
        <v>44056.0</v>
      </c>
      <c r="Q4078" s="1" t="s">
        <v>55</v>
      </c>
    </row>
    <row r="4079">
      <c r="A4079" s="1">
        <v>4078.0</v>
      </c>
      <c r="B4079" s="1" t="s">
        <v>6779</v>
      </c>
      <c r="C4079" s="1" t="s">
        <v>25</v>
      </c>
      <c r="K4079" s="1">
        <v>400.0</v>
      </c>
      <c r="N4079" s="5">
        <v>43883.0</v>
      </c>
      <c r="Q4079" s="1" t="s">
        <v>6780</v>
      </c>
    </row>
    <row r="4080">
      <c r="A4080" s="1">
        <v>4079.0</v>
      </c>
      <c r="B4080" s="1" t="s">
        <v>6781</v>
      </c>
      <c r="C4080" s="1" t="s">
        <v>25</v>
      </c>
      <c r="N4080" s="5">
        <v>44727.0</v>
      </c>
      <c r="Q4080" s="1" t="s">
        <v>55</v>
      </c>
    </row>
    <row r="4081">
      <c r="A4081" s="1">
        <v>4080.0</v>
      </c>
      <c r="B4081" s="1" t="s">
        <v>6782</v>
      </c>
      <c r="C4081" s="1" t="s">
        <v>25</v>
      </c>
      <c r="K4081" s="1">
        <v>100.0</v>
      </c>
      <c r="N4081" s="5">
        <v>43917.0</v>
      </c>
      <c r="Q4081" s="1" t="s">
        <v>6783</v>
      </c>
    </row>
    <row r="4082">
      <c r="A4082" s="1">
        <v>4081.0</v>
      </c>
      <c r="B4082" s="1" t="s">
        <v>6784</v>
      </c>
      <c r="C4082" s="1" t="s">
        <v>25</v>
      </c>
      <c r="K4082" s="1">
        <v>90.0</v>
      </c>
      <c r="N4082" s="5">
        <v>44679.0</v>
      </c>
      <c r="Q4082" s="1" t="s">
        <v>6785</v>
      </c>
    </row>
    <row r="4083">
      <c r="A4083" s="1">
        <v>4082.0</v>
      </c>
      <c r="B4083" s="1" t="s">
        <v>6786</v>
      </c>
      <c r="C4083" s="1" t="s">
        <v>25</v>
      </c>
      <c r="N4083" s="5">
        <v>45324.0</v>
      </c>
      <c r="Q4083" s="1" t="s">
        <v>55</v>
      </c>
    </row>
    <row r="4084">
      <c r="A4084" s="1">
        <v>4083.0</v>
      </c>
      <c r="B4084" s="1" t="s">
        <v>6787</v>
      </c>
      <c r="C4084" s="1" t="s">
        <v>25</v>
      </c>
      <c r="K4084" s="1">
        <v>200.0</v>
      </c>
      <c r="N4084" s="5">
        <v>44301.0</v>
      </c>
      <c r="Q4084" s="1" t="s">
        <v>6788</v>
      </c>
    </row>
    <row r="4085">
      <c r="A4085" s="1">
        <v>4084.0</v>
      </c>
      <c r="B4085" s="1" t="s">
        <v>6789</v>
      </c>
      <c r="C4085" s="1" t="s">
        <v>25</v>
      </c>
      <c r="K4085" s="1">
        <v>90.0</v>
      </c>
      <c r="N4085" s="5">
        <v>43891.0</v>
      </c>
      <c r="Q4085" s="1" t="s">
        <v>6790</v>
      </c>
    </row>
    <row r="4086">
      <c r="A4086" s="1">
        <v>4085.0</v>
      </c>
      <c r="B4086" s="1" t="s">
        <v>6791</v>
      </c>
      <c r="C4086" s="1" t="s">
        <v>25</v>
      </c>
      <c r="K4086" s="1">
        <v>150.0</v>
      </c>
      <c r="N4086" s="5">
        <v>43884.0</v>
      </c>
      <c r="Q4086" s="1" t="s">
        <v>1611</v>
      </c>
    </row>
    <row r="4087">
      <c r="A4087" s="1">
        <v>4086.0</v>
      </c>
      <c r="B4087" s="1" t="s">
        <v>6792</v>
      </c>
      <c r="C4087" s="1" t="s">
        <v>25</v>
      </c>
      <c r="N4087" s="5">
        <v>43002.0</v>
      </c>
      <c r="Q4087" s="1" t="s">
        <v>55</v>
      </c>
    </row>
    <row r="4088">
      <c r="A4088" s="1">
        <v>4087.0</v>
      </c>
      <c r="B4088" s="1" t="s">
        <v>6793</v>
      </c>
      <c r="C4088" s="1" t="s">
        <v>25</v>
      </c>
      <c r="K4088" s="1">
        <v>20.0</v>
      </c>
      <c r="N4088" s="5">
        <v>44297.0</v>
      </c>
      <c r="Q4088" s="1" t="s">
        <v>356</v>
      </c>
    </row>
    <row r="4089">
      <c r="A4089" s="1">
        <v>4088.0</v>
      </c>
      <c r="B4089" s="1" t="s">
        <v>6794</v>
      </c>
      <c r="C4089" s="1" t="s">
        <v>25</v>
      </c>
      <c r="K4089" s="1">
        <v>20.0</v>
      </c>
      <c r="N4089" s="5">
        <v>45596.0</v>
      </c>
      <c r="Q4089" s="1" t="s">
        <v>1226</v>
      </c>
    </row>
    <row r="4090">
      <c r="A4090" s="1">
        <v>4089.0</v>
      </c>
      <c r="B4090" s="1" t="s">
        <v>6795</v>
      </c>
      <c r="C4090" s="1" t="s">
        <v>25</v>
      </c>
      <c r="K4090" s="1">
        <v>90.0</v>
      </c>
      <c r="N4090" s="5">
        <v>44016.0</v>
      </c>
      <c r="Q4090" s="1" t="s">
        <v>6796</v>
      </c>
    </row>
    <row r="4091">
      <c r="A4091" s="1">
        <v>4090.0</v>
      </c>
      <c r="B4091" s="1" t="s">
        <v>6797</v>
      </c>
      <c r="C4091" s="1" t="s">
        <v>25</v>
      </c>
      <c r="N4091" s="5">
        <v>44103.0</v>
      </c>
      <c r="Q4091" s="1" t="s">
        <v>55</v>
      </c>
    </row>
    <row r="4092">
      <c r="A4092" s="1">
        <v>4091.0</v>
      </c>
      <c r="B4092" s="1" t="s">
        <v>6798</v>
      </c>
      <c r="C4092" s="1" t="s">
        <v>25</v>
      </c>
      <c r="N4092" s="5">
        <v>44773.0</v>
      </c>
      <c r="Q4092" s="1" t="s">
        <v>55</v>
      </c>
    </row>
    <row r="4093">
      <c r="A4093" s="1">
        <v>4092.0</v>
      </c>
      <c r="B4093" s="1" t="s">
        <v>6799</v>
      </c>
      <c r="C4093" s="1" t="s">
        <v>25</v>
      </c>
      <c r="K4093" s="1">
        <v>30.0</v>
      </c>
      <c r="N4093" s="5">
        <v>45030.0</v>
      </c>
      <c r="Q4093" s="1" t="s">
        <v>6800</v>
      </c>
    </row>
    <row r="4094">
      <c r="A4094" s="1">
        <v>4093.0</v>
      </c>
      <c r="B4094" s="1" t="s">
        <v>6801</v>
      </c>
      <c r="C4094" s="1" t="s">
        <v>25</v>
      </c>
      <c r="N4094" s="5">
        <v>45536.0</v>
      </c>
      <c r="Q4094" s="1" t="s">
        <v>6802</v>
      </c>
    </row>
    <row r="4095">
      <c r="A4095" s="1">
        <v>4094.0</v>
      </c>
      <c r="B4095" s="1" t="s">
        <v>6803</v>
      </c>
      <c r="C4095" s="1" t="s">
        <v>25</v>
      </c>
      <c r="K4095" s="1">
        <v>200.0</v>
      </c>
      <c r="N4095" s="5">
        <v>44710.0</v>
      </c>
      <c r="Q4095" s="1" t="s">
        <v>6804</v>
      </c>
    </row>
    <row r="4096">
      <c r="A4096" s="1">
        <v>4095.0</v>
      </c>
      <c r="B4096" s="1" t="s">
        <v>6805</v>
      </c>
      <c r="C4096" s="1" t="s">
        <v>25</v>
      </c>
      <c r="N4096" s="5">
        <v>43928.0</v>
      </c>
      <c r="Q4096" s="1" t="s">
        <v>55</v>
      </c>
    </row>
    <row r="4097">
      <c r="A4097" s="1">
        <v>4096.0</v>
      </c>
      <c r="B4097" s="1" t="s">
        <v>6806</v>
      </c>
      <c r="C4097" s="1" t="s">
        <v>25</v>
      </c>
      <c r="K4097" s="1">
        <v>150.0</v>
      </c>
      <c r="N4097" s="5">
        <v>45675.0</v>
      </c>
      <c r="Q4097" s="1" t="s">
        <v>6807</v>
      </c>
    </row>
    <row r="4098">
      <c r="A4098" s="1">
        <v>4097.0</v>
      </c>
      <c r="B4098" s="1" t="s">
        <v>6808</v>
      </c>
      <c r="C4098" s="1" t="s">
        <v>25</v>
      </c>
      <c r="K4098" s="1">
        <v>150.0</v>
      </c>
      <c r="N4098" s="5">
        <v>45552.0</v>
      </c>
      <c r="Q4098" s="1" t="s">
        <v>6809</v>
      </c>
    </row>
    <row r="4099">
      <c r="A4099" s="1">
        <v>4098.0</v>
      </c>
      <c r="B4099" s="1" t="s">
        <v>6810</v>
      </c>
      <c r="C4099" s="1" t="s">
        <v>25</v>
      </c>
      <c r="N4099" s="5">
        <v>44077.0</v>
      </c>
      <c r="Q4099" s="1" t="s">
        <v>55</v>
      </c>
    </row>
    <row r="4100">
      <c r="A4100" s="1">
        <v>4099.0</v>
      </c>
      <c r="B4100" s="1" t="s">
        <v>6811</v>
      </c>
      <c r="C4100" s="1" t="s">
        <v>25</v>
      </c>
      <c r="N4100" s="5">
        <v>44614.0</v>
      </c>
      <c r="Q4100" s="1" t="s">
        <v>55</v>
      </c>
    </row>
    <row r="4101">
      <c r="A4101" s="1">
        <v>4100.0</v>
      </c>
      <c r="B4101" s="1" t="s">
        <v>312</v>
      </c>
      <c r="C4101" s="1" t="s">
        <v>25</v>
      </c>
      <c r="K4101" s="1">
        <v>150.0</v>
      </c>
      <c r="N4101" s="5">
        <v>45193.0</v>
      </c>
      <c r="Q4101" s="1" t="s">
        <v>316</v>
      </c>
    </row>
    <row r="4102">
      <c r="A4102" s="1">
        <v>4101.0</v>
      </c>
      <c r="B4102" s="1" t="s">
        <v>332</v>
      </c>
      <c r="C4102" s="1" t="s">
        <v>25</v>
      </c>
      <c r="N4102" s="5">
        <v>44963.0</v>
      </c>
      <c r="Q4102" s="1" t="s">
        <v>334</v>
      </c>
    </row>
    <row r="4103">
      <c r="A4103" s="1">
        <v>4102.0</v>
      </c>
      <c r="B4103" s="1" t="s">
        <v>6812</v>
      </c>
      <c r="C4103" s="1" t="s">
        <v>25</v>
      </c>
      <c r="K4103" s="1">
        <v>10.0</v>
      </c>
      <c r="N4103" s="5">
        <v>46128.0</v>
      </c>
      <c r="Q4103" s="1" t="s">
        <v>6813</v>
      </c>
    </row>
    <row r="4104">
      <c r="A4104" s="1">
        <v>4103.0</v>
      </c>
      <c r="B4104" s="1" t="s">
        <v>6297</v>
      </c>
      <c r="C4104" s="1" t="s">
        <v>25</v>
      </c>
      <c r="K4104" s="1">
        <v>100.0</v>
      </c>
      <c r="N4104" s="5">
        <v>43922.0</v>
      </c>
      <c r="Q4104" s="1" t="s">
        <v>6814</v>
      </c>
    </row>
    <row r="4105">
      <c r="A4105" s="1">
        <v>4104.0</v>
      </c>
      <c r="B4105" s="1" t="s">
        <v>6815</v>
      </c>
      <c r="C4105" s="1" t="s">
        <v>25</v>
      </c>
      <c r="K4105" s="1">
        <v>50.0</v>
      </c>
      <c r="N4105" s="5">
        <v>44500.0</v>
      </c>
      <c r="Q4105" s="1" t="s">
        <v>2169</v>
      </c>
    </row>
    <row r="4106">
      <c r="A4106" s="1">
        <v>4105.0</v>
      </c>
      <c r="B4106" s="1" t="s">
        <v>335</v>
      </c>
      <c r="C4106" s="1" t="s">
        <v>25</v>
      </c>
      <c r="K4106" s="1">
        <v>350.0</v>
      </c>
      <c r="N4106" s="5">
        <v>44624.0</v>
      </c>
      <c r="Q4106" s="1" t="s">
        <v>339</v>
      </c>
    </row>
    <row r="4107">
      <c r="A4107" s="1">
        <v>4106.0</v>
      </c>
      <c r="B4107" s="1" t="s">
        <v>6816</v>
      </c>
      <c r="C4107" s="1" t="s">
        <v>25</v>
      </c>
      <c r="K4107" s="1">
        <v>30.0</v>
      </c>
      <c r="N4107" s="5">
        <v>45608.0</v>
      </c>
      <c r="Q4107" s="1" t="s">
        <v>6817</v>
      </c>
    </row>
    <row r="4108">
      <c r="A4108" s="1">
        <v>4107.0</v>
      </c>
      <c r="B4108" s="1" t="s">
        <v>6818</v>
      </c>
      <c r="C4108" s="1" t="s">
        <v>25</v>
      </c>
      <c r="K4108" s="1">
        <v>40.0</v>
      </c>
      <c r="N4108" s="5">
        <v>44410.0</v>
      </c>
      <c r="Q4108" s="1" t="s">
        <v>606</v>
      </c>
    </row>
    <row r="4109">
      <c r="A4109" s="1">
        <v>4108.0</v>
      </c>
      <c r="B4109" s="1" t="s">
        <v>6819</v>
      </c>
      <c r="C4109" s="1" t="s">
        <v>25</v>
      </c>
      <c r="K4109" s="1">
        <v>90.0</v>
      </c>
      <c r="N4109" s="5">
        <v>45073.0</v>
      </c>
      <c r="Q4109" s="1" t="s">
        <v>3168</v>
      </c>
    </row>
    <row r="4110">
      <c r="A4110" s="1">
        <v>4109.0</v>
      </c>
      <c r="B4110" s="1" t="s">
        <v>6820</v>
      </c>
      <c r="C4110" s="1" t="s">
        <v>25</v>
      </c>
      <c r="K4110" s="1">
        <v>70.0</v>
      </c>
      <c r="N4110" s="5">
        <v>45679.0</v>
      </c>
      <c r="Q4110" s="1" t="s">
        <v>6821</v>
      </c>
    </row>
    <row r="4111">
      <c r="A4111" s="1">
        <v>4110.0</v>
      </c>
      <c r="B4111" s="1" t="s">
        <v>6822</v>
      </c>
      <c r="C4111" s="1" t="s">
        <v>25</v>
      </c>
      <c r="K4111" s="1">
        <v>10.0</v>
      </c>
      <c r="N4111" s="5">
        <v>44533.0</v>
      </c>
      <c r="Q4111" s="1" t="s">
        <v>1125</v>
      </c>
    </row>
    <row r="4112">
      <c r="A4112" s="1">
        <v>4111.0</v>
      </c>
      <c r="B4112" s="1" t="s">
        <v>6823</v>
      </c>
      <c r="C4112" s="1" t="s">
        <v>25</v>
      </c>
      <c r="K4112" s="1">
        <v>10.0</v>
      </c>
      <c r="N4112" s="5">
        <v>45495.0</v>
      </c>
      <c r="Q4112" s="1" t="s">
        <v>6824</v>
      </c>
    </row>
    <row r="4113">
      <c r="A4113" s="1">
        <v>4112.0</v>
      </c>
      <c r="B4113" s="1" t="s">
        <v>6825</v>
      </c>
      <c r="C4113" s="1" t="s">
        <v>25</v>
      </c>
      <c r="K4113" s="1">
        <v>40.0</v>
      </c>
      <c r="N4113" s="5">
        <v>45696.0</v>
      </c>
      <c r="Q4113" s="1" t="s">
        <v>6826</v>
      </c>
    </row>
    <row r="4114">
      <c r="A4114" s="1">
        <v>4113.0</v>
      </c>
      <c r="B4114" s="1" t="s">
        <v>6827</v>
      </c>
      <c r="C4114" s="1" t="s">
        <v>25</v>
      </c>
      <c r="N4114" s="5">
        <v>44571.0</v>
      </c>
      <c r="Q4114" s="1" t="s">
        <v>55</v>
      </c>
    </row>
    <row r="4115">
      <c r="A4115" s="1">
        <v>4114.0</v>
      </c>
      <c r="B4115" s="1" t="s">
        <v>6828</v>
      </c>
      <c r="C4115" s="1" t="s">
        <v>25</v>
      </c>
      <c r="K4115" s="1">
        <v>10.0</v>
      </c>
      <c r="N4115" s="5">
        <v>45640.0</v>
      </c>
      <c r="Q4115" s="1" t="s">
        <v>6829</v>
      </c>
    </row>
    <row r="4116">
      <c r="A4116" s="1">
        <v>4115.0</v>
      </c>
      <c r="B4116" s="1" t="s">
        <v>6830</v>
      </c>
      <c r="C4116" s="1" t="s">
        <v>25</v>
      </c>
      <c r="K4116" s="1">
        <v>20.0</v>
      </c>
      <c r="N4116" s="5">
        <v>44819.0</v>
      </c>
      <c r="Q4116" s="1" t="s">
        <v>6831</v>
      </c>
    </row>
    <row r="4117">
      <c r="A4117" s="1">
        <v>4116.0</v>
      </c>
      <c r="B4117" s="1" t="s">
        <v>6832</v>
      </c>
      <c r="C4117" s="1" t="s">
        <v>25</v>
      </c>
      <c r="K4117" s="1">
        <v>150.0</v>
      </c>
      <c r="N4117" s="5">
        <v>43844.0</v>
      </c>
      <c r="Q4117" s="1" t="s">
        <v>6833</v>
      </c>
    </row>
    <row r="4118">
      <c r="A4118" s="1">
        <v>4117.0</v>
      </c>
      <c r="B4118" s="1" t="s">
        <v>6834</v>
      </c>
      <c r="C4118" s="1" t="s">
        <v>25</v>
      </c>
      <c r="K4118" s="1">
        <v>700.0</v>
      </c>
      <c r="N4118" s="5">
        <v>43936.0</v>
      </c>
      <c r="Q4118" s="1" t="s">
        <v>6835</v>
      </c>
    </row>
    <row r="4119">
      <c r="A4119" s="1">
        <v>4118.0</v>
      </c>
      <c r="B4119" s="1" t="s">
        <v>6836</v>
      </c>
      <c r="C4119" s="1" t="s">
        <v>25</v>
      </c>
      <c r="K4119" s="1">
        <v>70.0</v>
      </c>
      <c r="N4119" s="5">
        <v>44752.0</v>
      </c>
      <c r="Q4119" s="1" t="s">
        <v>6837</v>
      </c>
    </row>
    <row r="4120">
      <c r="A4120" s="1">
        <v>4119.0</v>
      </c>
      <c r="B4120" s="1" t="s">
        <v>6838</v>
      </c>
      <c r="C4120" s="1" t="s">
        <v>25</v>
      </c>
      <c r="K4120" s="1">
        <v>250.0</v>
      </c>
      <c r="N4120" s="5">
        <v>42599.0</v>
      </c>
      <c r="Q4120" s="1" t="s">
        <v>6839</v>
      </c>
    </row>
    <row r="4121">
      <c r="A4121" s="1">
        <v>4120.0</v>
      </c>
      <c r="B4121" s="1" t="s">
        <v>6840</v>
      </c>
      <c r="C4121" s="1" t="s">
        <v>25</v>
      </c>
      <c r="K4121" s="1">
        <v>20.0</v>
      </c>
      <c r="N4121" s="5">
        <v>44330.0</v>
      </c>
      <c r="Q4121" s="1" t="s">
        <v>3088</v>
      </c>
    </row>
    <row r="4122">
      <c r="A4122" s="1">
        <v>4121.0</v>
      </c>
      <c r="B4122" s="1" t="s">
        <v>6841</v>
      </c>
      <c r="C4122" s="1" t="s">
        <v>25</v>
      </c>
      <c r="N4122" s="5">
        <v>44995.0</v>
      </c>
      <c r="Q4122" s="1" t="s">
        <v>55</v>
      </c>
    </row>
    <row r="4123">
      <c r="A4123" s="1">
        <v>4122.0</v>
      </c>
      <c r="B4123" s="1" t="s">
        <v>4850</v>
      </c>
      <c r="C4123" s="1" t="s">
        <v>25</v>
      </c>
      <c r="K4123" s="1">
        <v>40.0</v>
      </c>
      <c r="N4123" s="5">
        <v>45614.0</v>
      </c>
      <c r="Q4123" s="1" t="s">
        <v>6842</v>
      </c>
    </row>
    <row r="4124">
      <c r="A4124" s="1">
        <v>4123.0</v>
      </c>
      <c r="B4124" s="1" t="s">
        <v>6843</v>
      </c>
      <c r="C4124" s="1" t="s">
        <v>25</v>
      </c>
      <c r="K4124" s="1">
        <v>40.0</v>
      </c>
      <c r="N4124" s="5">
        <v>45483.0</v>
      </c>
      <c r="Q4124" s="1" t="s">
        <v>6844</v>
      </c>
    </row>
    <row r="4125">
      <c r="A4125" s="1">
        <v>4124.0</v>
      </c>
      <c r="B4125" s="1" t="s">
        <v>6845</v>
      </c>
      <c r="C4125" s="1" t="s">
        <v>25</v>
      </c>
      <c r="N4125" s="5">
        <v>43909.0</v>
      </c>
      <c r="Q4125" s="1" t="s">
        <v>55</v>
      </c>
    </row>
    <row r="4126">
      <c r="A4126" s="1">
        <v>4125.0</v>
      </c>
      <c r="B4126" s="1" t="s">
        <v>6846</v>
      </c>
      <c r="C4126" s="1" t="s">
        <v>25</v>
      </c>
      <c r="N4126" s="5">
        <v>45702.0</v>
      </c>
      <c r="Q4126" s="1" t="s">
        <v>6847</v>
      </c>
    </row>
    <row r="4127">
      <c r="A4127" s="1">
        <v>4126.0</v>
      </c>
      <c r="B4127" s="1" t="s">
        <v>6848</v>
      </c>
      <c r="C4127" s="1" t="s">
        <v>25</v>
      </c>
      <c r="K4127" s="1">
        <v>250.0</v>
      </c>
      <c r="N4127" s="5">
        <v>43849.0</v>
      </c>
      <c r="Q4127" s="1" t="s">
        <v>6849</v>
      </c>
    </row>
    <row r="4128">
      <c r="A4128" s="1">
        <v>4127.0</v>
      </c>
      <c r="B4128" s="1" t="s">
        <v>6850</v>
      </c>
      <c r="C4128" s="1" t="s">
        <v>25</v>
      </c>
      <c r="K4128" s="1">
        <v>80.0</v>
      </c>
      <c r="N4128" s="5">
        <v>44375.0</v>
      </c>
      <c r="Q4128" s="1" t="s">
        <v>6851</v>
      </c>
    </row>
    <row r="4129">
      <c r="A4129" s="1">
        <v>4128.0</v>
      </c>
      <c r="B4129" s="1" t="s">
        <v>6852</v>
      </c>
      <c r="C4129" s="1" t="s">
        <v>25</v>
      </c>
      <c r="N4129" s="5">
        <v>44117.0</v>
      </c>
      <c r="Q4129" s="1" t="s">
        <v>55</v>
      </c>
    </row>
    <row r="4130">
      <c r="A4130" s="1">
        <v>4129.0</v>
      </c>
      <c r="B4130" s="1" t="s">
        <v>6853</v>
      </c>
      <c r="C4130" s="1" t="s">
        <v>25</v>
      </c>
      <c r="N4130" s="5">
        <v>45686.0</v>
      </c>
      <c r="Q4130" s="1" t="s">
        <v>6854</v>
      </c>
    </row>
    <row r="4131">
      <c r="A4131" s="1">
        <v>4130.0</v>
      </c>
      <c r="B4131" s="1" t="s">
        <v>6855</v>
      </c>
      <c r="C4131" s="1" t="s">
        <v>25</v>
      </c>
      <c r="K4131" s="1">
        <v>150.0</v>
      </c>
      <c r="N4131" s="5">
        <v>43857.0</v>
      </c>
      <c r="Q4131" s="1" t="s">
        <v>6856</v>
      </c>
    </row>
    <row r="4132">
      <c r="A4132" s="1">
        <v>4131.0</v>
      </c>
      <c r="B4132" s="1" t="s">
        <v>6857</v>
      </c>
      <c r="C4132" s="1" t="s">
        <v>25</v>
      </c>
      <c r="K4132" s="1">
        <v>100.0</v>
      </c>
      <c r="N4132" s="5">
        <v>44004.0</v>
      </c>
      <c r="Q4132" s="1" t="s">
        <v>55</v>
      </c>
    </row>
    <row r="4133">
      <c r="A4133" s="1">
        <v>4132.0</v>
      </c>
      <c r="B4133" s="1" t="s">
        <v>6858</v>
      </c>
      <c r="C4133" s="1" t="s">
        <v>25</v>
      </c>
      <c r="N4133" s="5">
        <v>44533.0</v>
      </c>
      <c r="Q4133" s="1" t="s">
        <v>55</v>
      </c>
    </row>
    <row r="4134">
      <c r="A4134" s="1">
        <v>4133.0</v>
      </c>
      <c r="B4134" s="1" t="s">
        <v>6859</v>
      </c>
      <c r="C4134" s="1" t="s">
        <v>25</v>
      </c>
      <c r="K4134" s="1">
        <v>10.0</v>
      </c>
      <c r="N4134" s="5">
        <v>44340.0</v>
      </c>
      <c r="Q4134" s="1" t="s">
        <v>6860</v>
      </c>
    </row>
    <row r="4135">
      <c r="A4135" s="1">
        <v>4134.0</v>
      </c>
      <c r="B4135" s="1" t="s">
        <v>6861</v>
      </c>
      <c r="C4135" s="1" t="s">
        <v>25</v>
      </c>
      <c r="N4135" s="5">
        <v>44083.0</v>
      </c>
      <c r="Q4135" s="1" t="s">
        <v>55</v>
      </c>
    </row>
    <row r="4136">
      <c r="A4136" s="1">
        <v>4135.0</v>
      </c>
      <c r="B4136" s="1" t="s">
        <v>6862</v>
      </c>
      <c r="C4136" s="1" t="s">
        <v>25</v>
      </c>
      <c r="K4136" s="1">
        <v>10.0</v>
      </c>
      <c r="N4136" s="5">
        <v>46188.0</v>
      </c>
      <c r="Q4136" s="1" t="s">
        <v>6863</v>
      </c>
    </row>
    <row r="4137">
      <c r="A4137" s="1">
        <v>4136.0</v>
      </c>
      <c r="B4137" s="1" t="s">
        <v>6864</v>
      </c>
      <c r="C4137" s="1" t="s">
        <v>25</v>
      </c>
      <c r="K4137" s="1">
        <v>200.0</v>
      </c>
      <c r="N4137" s="5">
        <v>45118.0</v>
      </c>
      <c r="Q4137" s="1" t="s">
        <v>6865</v>
      </c>
    </row>
    <row r="4138">
      <c r="A4138" s="1">
        <v>4137.0</v>
      </c>
      <c r="B4138" s="1" t="s">
        <v>6866</v>
      </c>
      <c r="C4138" s="1" t="s">
        <v>25</v>
      </c>
      <c r="K4138" s="1">
        <v>40.0</v>
      </c>
      <c r="N4138" s="5">
        <v>43840.0</v>
      </c>
      <c r="Q4138" s="1" t="s">
        <v>125</v>
      </c>
    </row>
    <row r="4139">
      <c r="A4139" s="1">
        <v>4138.0</v>
      </c>
      <c r="B4139" s="1" t="s">
        <v>6867</v>
      </c>
      <c r="C4139" s="1" t="s">
        <v>25</v>
      </c>
      <c r="K4139" s="1">
        <v>10.0</v>
      </c>
      <c r="N4139" s="5">
        <v>44087.0</v>
      </c>
      <c r="Q4139" s="1" t="s">
        <v>6868</v>
      </c>
    </row>
    <row r="4140">
      <c r="A4140" s="1">
        <v>4139.0</v>
      </c>
      <c r="B4140" s="1" t="s">
        <v>6869</v>
      </c>
      <c r="C4140" s="1" t="s">
        <v>25</v>
      </c>
      <c r="K4140" s="1">
        <v>80.0</v>
      </c>
      <c r="N4140" s="5">
        <v>44174.0</v>
      </c>
      <c r="Q4140" s="1" t="s">
        <v>1931</v>
      </c>
    </row>
    <row r="4141">
      <c r="A4141" s="1">
        <v>4140.0</v>
      </c>
      <c r="B4141" s="1" t="s">
        <v>6870</v>
      </c>
      <c r="C4141" s="1" t="s">
        <v>25</v>
      </c>
      <c r="K4141" s="1">
        <v>80.0</v>
      </c>
      <c r="N4141" s="5">
        <v>45051.0</v>
      </c>
      <c r="Q4141" s="1" t="s">
        <v>55</v>
      </c>
    </row>
    <row r="4142">
      <c r="A4142" s="1">
        <v>4141.0</v>
      </c>
      <c r="B4142" s="1" t="s">
        <v>6871</v>
      </c>
      <c r="C4142" s="1" t="s">
        <v>25</v>
      </c>
      <c r="K4142" s="1">
        <v>10.0</v>
      </c>
      <c r="N4142" s="5">
        <v>43960.0</v>
      </c>
      <c r="Q4142" s="1" t="s">
        <v>3137</v>
      </c>
    </row>
    <row r="4143">
      <c r="A4143" s="1">
        <v>4142.0</v>
      </c>
      <c r="B4143" s="1" t="s">
        <v>6872</v>
      </c>
      <c r="C4143" s="1" t="s">
        <v>25</v>
      </c>
      <c r="N4143" s="5">
        <v>44936.0</v>
      </c>
      <c r="Q4143" s="1" t="s">
        <v>606</v>
      </c>
    </row>
    <row r="4144">
      <c r="A4144" s="1">
        <v>4143.0</v>
      </c>
      <c r="B4144" s="1" t="s">
        <v>6873</v>
      </c>
      <c r="C4144" s="1" t="s">
        <v>25</v>
      </c>
      <c r="K4144" s="1">
        <v>150.0</v>
      </c>
      <c r="N4144" s="5">
        <v>44647.0</v>
      </c>
      <c r="Q4144" s="1" t="s">
        <v>6874</v>
      </c>
    </row>
    <row r="4145">
      <c r="A4145" s="1">
        <v>4144.0</v>
      </c>
      <c r="B4145" s="1" t="s">
        <v>6875</v>
      </c>
      <c r="C4145" s="1" t="s">
        <v>25</v>
      </c>
      <c r="K4145" s="1">
        <v>20.0</v>
      </c>
      <c r="N4145" s="5">
        <v>44551.0</v>
      </c>
      <c r="Q4145" s="1" t="s">
        <v>6876</v>
      </c>
    </row>
    <row r="4146">
      <c r="A4146" s="1">
        <v>4145.0</v>
      </c>
      <c r="B4146" s="1" t="s">
        <v>6877</v>
      </c>
      <c r="C4146" s="1" t="s">
        <v>25</v>
      </c>
      <c r="N4146" s="5">
        <v>44783.0</v>
      </c>
      <c r="Q4146" s="1" t="s">
        <v>55</v>
      </c>
    </row>
    <row r="4147">
      <c r="A4147" s="1">
        <v>4146.0</v>
      </c>
      <c r="B4147" s="1" t="s">
        <v>6878</v>
      </c>
      <c r="C4147" s="1" t="s">
        <v>25</v>
      </c>
      <c r="K4147" s="1">
        <v>150.0</v>
      </c>
      <c r="N4147" s="5">
        <v>43967.0</v>
      </c>
      <c r="Q4147" s="1" t="s">
        <v>55</v>
      </c>
    </row>
    <row r="4148">
      <c r="A4148" s="1">
        <v>4147.0</v>
      </c>
      <c r="B4148" s="1" t="s">
        <v>319</v>
      </c>
      <c r="C4148" s="1" t="s">
        <v>25</v>
      </c>
      <c r="K4148" s="1">
        <v>90.0</v>
      </c>
      <c r="N4148" s="5">
        <v>45274.0</v>
      </c>
      <c r="Q4148" s="1" t="s">
        <v>322</v>
      </c>
    </row>
    <row r="4149">
      <c r="A4149" s="1">
        <v>4148.0</v>
      </c>
      <c r="B4149" s="1" t="s">
        <v>6879</v>
      </c>
      <c r="C4149" s="1" t="s">
        <v>25</v>
      </c>
      <c r="N4149" s="5">
        <v>45365.0</v>
      </c>
      <c r="Q4149" s="1" t="s">
        <v>167</v>
      </c>
    </row>
    <row r="4150">
      <c r="A4150" s="1">
        <v>4149.0</v>
      </c>
      <c r="B4150" s="1" t="s">
        <v>6880</v>
      </c>
      <c r="C4150" s="1" t="s">
        <v>25</v>
      </c>
      <c r="K4150" s="1">
        <v>70.0</v>
      </c>
      <c r="N4150" s="5">
        <v>43949.0</v>
      </c>
      <c r="Q4150" s="1" t="s">
        <v>1387</v>
      </c>
    </row>
    <row r="4151">
      <c r="A4151" s="1">
        <v>4150.0</v>
      </c>
      <c r="B4151" s="1" t="s">
        <v>6881</v>
      </c>
      <c r="C4151" s="1" t="s">
        <v>25</v>
      </c>
      <c r="K4151" s="1">
        <v>150.0</v>
      </c>
      <c r="N4151" s="5">
        <v>43868.0</v>
      </c>
      <c r="Q4151" s="1" t="s">
        <v>6882</v>
      </c>
    </row>
    <row r="4152">
      <c r="A4152" s="1">
        <v>4151.0</v>
      </c>
      <c r="B4152" s="1" t="s">
        <v>6883</v>
      </c>
      <c r="C4152" s="1" t="s">
        <v>25</v>
      </c>
      <c r="K4152" s="1">
        <v>10.0</v>
      </c>
      <c r="N4152" s="5">
        <v>44010.0</v>
      </c>
      <c r="Q4152" s="1" t="s">
        <v>55</v>
      </c>
    </row>
    <row r="4153">
      <c r="A4153" s="1">
        <v>4152.0</v>
      </c>
      <c r="B4153" s="1" t="s">
        <v>6884</v>
      </c>
      <c r="C4153" s="1" t="s">
        <v>25</v>
      </c>
      <c r="K4153" s="1">
        <v>200.0</v>
      </c>
      <c r="N4153" s="5">
        <v>44019.0</v>
      </c>
      <c r="Q4153" s="1" t="s">
        <v>6885</v>
      </c>
    </row>
    <row r="4154">
      <c r="A4154" s="1">
        <v>4153.0</v>
      </c>
      <c r="B4154" s="1" t="s">
        <v>6886</v>
      </c>
      <c r="C4154" s="1" t="s">
        <v>25</v>
      </c>
      <c r="K4154" s="1">
        <v>40.0</v>
      </c>
      <c r="N4154" s="5">
        <v>44245.0</v>
      </c>
      <c r="Q4154" s="1" t="s">
        <v>46</v>
      </c>
    </row>
    <row r="4155">
      <c r="A4155" s="1">
        <v>4154.0</v>
      </c>
      <c r="B4155" s="1" t="s">
        <v>6887</v>
      </c>
      <c r="C4155" s="1" t="s">
        <v>25</v>
      </c>
      <c r="K4155" s="1">
        <v>50.0</v>
      </c>
      <c r="N4155" s="5">
        <v>44251.0</v>
      </c>
      <c r="Q4155" s="1" t="s">
        <v>6888</v>
      </c>
    </row>
    <row r="4156">
      <c r="A4156" s="1">
        <v>4155.0</v>
      </c>
      <c r="B4156" s="1" t="s">
        <v>6889</v>
      </c>
      <c r="C4156" s="1" t="s">
        <v>25</v>
      </c>
      <c r="N4156" s="5">
        <v>43884.0</v>
      </c>
      <c r="Q4156" s="1" t="s">
        <v>55</v>
      </c>
    </row>
    <row r="4157">
      <c r="A4157" s="1">
        <v>4156.0</v>
      </c>
      <c r="B4157" s="1" t="s">
        <v>6890</v>
      </c>
      <c r="C4157" s="1" t="s">
        <v>25</v>
      </c>
      <c r="N4157" s="5">
        <v>44644.0</v>
      </c>
      <c r="Q4157" s="1" t="s">
        <v>55</v>
      </c>
    </row>
    <row r="4158">
      <c r="A4158" s="1">
        <v>4157.0</v>
      </c>
      <c r="B4158" s="1" t="s">
        <v>6891</v>
      </c>
      <c r="C4158" s="1" t="s">
        <v>25</v>
      </c>
      <c r="K4158" s="1">
        <v>40.0</v>
      </c>
      <c r="N4158" s="5">
        <v>44108.0</v>
      </c>
      <c r="Q4158" s="1" t="s">
        <v>55</v>
      </c>
    </row>
    <row r="4159">
      <c r="A4159" s="1">
        <v>4158.0</v>
      </c>
      <c r="B4159" s="1" t="s">
        <v>6892</v>
      </c>
      <c r="C4159" s="1" t="s">
        <v>25</v>
      </c>
      <c r="K4159" s="1">
        <v>80.0</v>
      </c>
      <c r="N4159" s="5">
        <v>44390.0</v>
      </c>
      <c r="Q4159" s="1" t="s">
        <v>4416</v>
      </c>
    </row>
    <row r="4160">
      <c r="A4160" s="1">
        <v>4159.0</v>
      </c>
      <c r="B4160" s="1" t="s">
        <v>6893</v>
      </c>
      <c r="C4160" s="1" t="s">
        <v>25</v>
      </c>
      <c r="K4160" s="1">
        <v>10.0</v>
      </c>
      <c r="N4160" s="5">
        <v>45241.0</v>
      </c>
      <c r="Q4160" s="1" t="s">
        <v>55</v>
      </c>
    </row>
    <row r="4161">
      <c r="A4161" s="1">
        <v>4160.0</v>
      </c>
      <c r="B4161" s="1" t="s">
        <v>6894</v>
      </c>
      <c r="C4161" s="1" t="s">
        <v>25</v>
      </c>
      <c r="K4161" s="1">
        <v>150.0</v>
      </c>
      <c r="N4161" s="5">
        <v>45770.0</v>
      </c>
      <c r="Q4161" s="1" t="s">
        <v>6895</v>
      </c>
    </row>
    <row r="4162">
      <c r="A4162" s="1">
        <v>4161.0</v>
      </c>
      <c r="B4162" s="1" t="s">
        <v>6896</v>
      </c>
      <c r="C4162" s="1" t="s">
        <v>25</v>
      </c>
      <c r="K4162" s="1">
        <v>150.0</v>
      </c>
      <c r="N4162" s="5">
        <v>44106.0</v>
      </c>
      <c r="Q4162" s="1" t="s">
        <v>6897</v>
      </c>
    </row>
    <row r="4163">
      <c r="A4163" s="1">
        <v>4162.0</v>
      </c>
      <c r="B4163" s="1" t="s">
        <v>6898</v>
      </c>
      <c r="C4163" s="1" t="s">
        <v>25</v>
      </c>
      <c r="N4163" s="5">
        <v>44348.0</v>
      </c>
      <c r="Q4163" s="1" t="s">
        <v>55</v>
      </c>
    </row>
    <row r="4164">
      <c r="A4164" s="1">
        <v>4163.0</v>
      </c>
      <c r="B4164" s="1" t="s">
        <v>6899</v>
      </c>
      <c r="C4164" s="1" t="s">
        <v>25</v>
      </c>
      <c r="K4164" s="1">
        <v>10.0</v>
      </c>
      <c r="N4164" s="5">
        <v>45680.0</v>
      </c>
      <c r="Q4164" s="1" t="s">
        <v>6900</v>
      </c>
    </row>
    <row r="4165">
      <c r="A4165" s="1">
        <v>4164.0</v>
      </c>
      <c r="B4165" s="1" t="s">
        <v>6901</v>
      </c>
      <c r="C4165" s="1" t="s">
        <v>25</v>
      </c>
      <c r="K4165" s="1">
        <v>150.0</v>
      </c>
      <c r="N4165" s="5">
        <v>44063.0</v>
      </c>
      <c r="Q4165" s="1" t="s">
        <v>1359</v>
      </c>
    </row>
    <row r="4166">
      <c r="A4166" s="1">
        <v>4165.0</v>
      </c>
      <c r="B4166" s="1" t="s">
        <v>6902</v>
      </c>
      <c r="C4166" s="1" t="s">
        <v>25</v>
      </c>
      <c r="K4166" s="1">
        <v>100.0</v>
      </c>
      <c r="N4166" s="5">
        <v>45639.0</v>
      </c>
      <c r="Q4166" s="1" t="s">
        <v>6903</v>
      </c>
    </row>
    <row r="4167">
      <c r="A4167" s="1">
        <v>4166.0</v>
      </c>
      <c r="B4167" s="1" t="s">
        <v>6904</v>
      </c>
      <c r="C4167" s="1" t="s">
        <v>25</v>
      </c>
      <c r="N4167" s="5">
        <v>44439.0</v>
      </c>
      <c r="Q4167" s="1" t="s">
        <v>55</v>
      </c>
    </row>
    <row r="4168">
      <c r="A4168" s="1">
        <v>4167.0</v>
      </c>
      <c r="B4168" s="1" t="s">
        <v>6905</v>
      </c>
      <c r="C4168" s="1" t="s">
        <v>25</v>
      </c>
      <c r="K4168" s="1">
        <v>150.0</v>
      </c>
      <c r="N4168" s="5">
        <v>44204.0</v>
      </c>
      <c r="Q4168" s="1" t="s">
        <v>2288</v>
      </c>
    </row>
    <row r="4169">
      <c r="A4169" s="1">
        <v>4168.0</v>
      </c>
      <c r="B4169" s="1" t="s">
        <v>6906</v>
      </c>
      <c r="C4169" s="1" t="s">
        <v>25</v>
      </c>
      <c r="K4169" s="1">
        <v>90.0</v>
      </c>
      <c r="N4169" s="5">
        <v>45791.0</v>
      </c>
      <c r="Q4169" s="1" t="s">
        <v>4431</v>
      </c>
    </row>
    <row r="4170">
      <c r="A4170" s="1">
        <v>4169.0</v>
      </c>
      <c r="B4170" s="1" t="s">
        <v>6907</v>
      </c>
      <c r="C4170" s="1" t="s">
        <v>25</v>
      </c>
      <c r="K4170" s="1">
        <v>200.0</v>
      </c>
      <c r="N4170" s="5">
        <v>44082.0</v>
      </c>
      <c r="Q4170" s="1" t="s">
        <v>6908</v>
      </c>
    </row>
    <row r="4171">
      <c r="A4171" s="1">
        <v>4170.0</v>
      </c>
      <c r="B4171" s="1" t="s">
        <v>6909</v>
      </c>
      <c r="C4171" s="1" t="s">
        <v>25</v>
      </c>
      <c r="K4171" s="1">
        <v>70.0</v>
      </c>
      <c r="N4171" s="5">
        <v>44360.0</v>
      </c>
      <c r="Q4171" s="1" t="s">
        <v>93</v>
      </c>
    </row>
    <row r="4172">
      <c r="A4172" s="1">
        <v>4171.0</v>
      </c>
      <c r="B4172" s="1" t="s">
        <v>6910</v>
      </c>
      <c r="C4172" s="1" t="s">
        <v>25</v>
      </c>
      <c r="K4172" s="1">
        <v>10.0</v>
      </c>
      <c r="N4172" s="5">
        <v>45520.0</v>
      </c>
      <c r="Q4172" s="1" t="s">
        <v>6911</v>
      </c>
    </row>
    <row r="4173">
      <c r="A4173" s="1">
        <v>4172.0</v>
      </c>
      <c r="B4173" s="1" t="s">
        <v>6912</v>
      </c>
      <c r="C4173" s="1" t="s">
        <v>25</v>
      </c>
      <c r="N4173" s="5">
        <v>44447.0</v>
      </c>
      <c r="Q4173" s="1" t="s">
        <v>3008</v>
      </c>
    </row>
    <row r="4174">
      <c r="A4174" s="1">
        <v>4173.0</v>
      </c>
      <c r="B4174" s="1" t="s">
        <v>6913</v>
      </c>
      <c r="C4174" s="1" t="s">
        <v>25</v>
      </c>
      <c r="K4174" s="1">
        <v>60.0</v>
      </c>
      <c r="N4174" s="5">
        <v>45698.0</v>
      </c>
      <c r="Q4174" s="1" t="s">
        <v>6914</v>
      </c>
    </row>
    <row r="4175">
      <c r="A4175" s="1">
        <v>4174.0</v>
      </c>
      <c r="B4175" s="1" t="s">
        <v>6915</v>
      </c>
      <c r="C4175" s="1" t="s">
        <v>25</v>
      </c>
      <c r="N4175" s="5">
        <v>44320.0</v>
      </c>
      <c r="Q4175" s="1" t="s">
        <v>55</v>
      </c>
    </row>
    <row r="4176">
      <c r="A4176" s="1">
        <v>4175.0</v>
      </c>
      <c r="B4176" s="1" t="s">
        <v>6916</v>
      </c>
      <c r="C4176" s="1" t="s">
        <v>25</v>
      </c>
      <c r="N4176" s="5">
        <v>44731.0</v>
      </c>
      <c r="Q4176" s="1" t="s">
        <v>3123</v>
      </c>
    </row>
    <row r="4177">
      <c r="A4177" s="1">
        <v>4176.0</v>
      </c>
      <c r="B4177" s="1" t="s">
        <v>6917</v>
      </c>
      <c r="C4177" s="1" t="s">
        <v>25</v>
      </c>
      <c r="K4177" s="1">
        <v>100.0</v>
      </c>
      <c r="N4177" s="5">
        <v>43932.0</v>
      </c>
      <c r="Q4177" s="1" t="s">
        <v>6918</v>
      </c>
    </row>
    <row r="4178">
      <c r="A4178" s="1">
        <v>4177.0</v>
      </c>
      <c r="B4178" s="1" t="s">
        <v>6919</v>
      </c>
      <c r="C4178" s="1" t="s">
        <v>25</v>
      </c>
      <c r="N4178" s="5">
        <v>44221.0</v>
      </c>
      <c r="Q4178" s="1" t="s">
        <v>55</v>
      </c>
    </row>
    <row r="4179">
      <c r="A4179" s="1">
        <v>4178.0</v>
      </c>
      <c r="B4179" s="1" t="s">
        <v>6920</v>
      </c>
      <c r="C4179" s="1" t="s">
        <v>25</v>
      </c>
      <c r="K4179" s="1">
        <v>400.0</v>
      </c>
      <c r="N4179" s="5">
        <v>43905.0</v>
      </c>
      <c r="Q4179" s="1" t="s">
        <v>6921</v>
      </c>
    </row>
    <row r="4180">
      <c r="A4180" s="1">
        <v>4179.0</v>
      </c>
      <c r="B4180" s="1" t="s">
        <v>6922</v>
      </c>
      <c r="C4180" s="1" t="s">
        <v>25</v>
      </c>
      <c r="N4180" s="5">
        <v>44586.0</v>
      </c>
      <c r="Q4180" s="1" t="s">
        <v>55</v>
      </c>
    </row>
    <row r="4181">
      <c r="A4181" s="1">
        <v>4180.0</v>
      </c>
      <c r="B4181" s="1" t="s">
        <v>6923</v>
      </c>
      <c r="C4181" s="1" t="s">
        <v>25</v>
      </c>
      <c r="K4181" s="1">
        <v>150.0</v>
      </c>
      <c r="N4181" s="5">
        <v>44252.0</v>
      </c>
      <c r="Q4181" s="1" t="s">
        <v>6924</v>
      </c>
    </row>
    <row r="4182">
      <c r="A4182" s="1">
        <v>4181.0</v>
      </c>
      <c r="B4182" s="1" t="s">
        <v>6925</v>
      </c>
      <c r="C4182" s="1" t="s">
        <v>25</v>
      </c>
      <c r="K4182" s="1">
        <v>10.0</v>
      </c>
      <c r="N4182" s="5">
        <v>44851.0</v>
      </c>
      <c r="Q4182" s="1" t="s">
        <v>2584</v>
      </c>
    </row>
    <row r="4183">
      <c r="A4183" s="1">
        <v>4182.0</v>
      </c>
      <c r="B4183" s="1" t="s">
        <v>6926</v>
      </c>
      <c r="C4183" s="1" t="s">
        <v>25</v>
      </c>
      <c r="K4183" s="1">
        <v>10.0</v>
      </c>
      <c r="N4183" s="5">
        <v>45165.0</v>
      </c>
      <c r="Q4183" s="1" t="s">
        <v>55</v>
      </c>
    </row>
    <row r="4184">
      <c r="A4184" s="1">
        <v>4183.0</v>
      </c>
      <c r="B4184" s="1" t="s">
        <v>6927</v>
      </c>
      <c r="C4184" s="1" t="s">
        <v>25</v>
      </c>
      <c r="K4184" s="1">
        <v>450.0</v>
      </c>
      <c r="N4184" s="5">
        <v>43924.0</v>
      </c>
      <c r="Q4184" s="1" t="s">
        <v>6928</v>
      </c>
    </row>
    <row r="4185">
      <c r="A4185" s="1">
        <v>4184.0</v>
      </c>
      <c r="B4185" s="1" t="s">
        <v>6929</v>
      </c>
      <c r="C4185" s="1" t="s">
        <v>25</v>
      </c>
      <c r="K4185" s="1">
        <v>200.0</v>
      </c>
      <c r="N4185" s="5">
        <v>44456.0</v>
      </c>
      <c r="Q4185" s="1" t="s">
        <v>6930</v>
      </c>
    </row>
    <row r="4186">
      <c r="A4186" s="1">
        <v>4185.0</v>
      </c>
      <c r="B4186" s="1" t="s">
        <v>6931</v>
      </c>
      <c r="C4186" s="1" t="s">
        <v>25</v>
      </c>
      <c r="N4186" s="5">
        <v>44521.0</v>
      </c>
      <c r="Q4186" s="1" t="s">
        <v>2636</v>
      </c>
    </row>
    <row r="4187">
      <c r="A4187" s="1">
        <v>4186.0</v>
      </c>
      <c r="B4187" s="1" t="s">
        <v>6932</v>
      </c>
      <c r="C4187" s="1" t="s">
        <v>25</v>
      </c>
      <c r="K4187" s="1">
        <v>40.0</v>
      </c>
      <c r="N4187" s="5">
        <v>45237.0</v>
      </c>
      <c r="Q4187" s="1" t="s">
        <v>6933</v>
      </c>
    </row>
    <row r="4188">
      <c r="A4188" s="1">
        <v>4187.0</v>
      </c>
      <c r="B4188" s="1" t="s">
        <v>6934</v>
      </c>
      <c r="C4188" s="1" t="s">
        <v>25</v>
      </c>
      <c r="K4188" s="1">
        <v>20.0</v>
      </c>
      <c r="N4188" s="5">
        <v>44558.0</v>
      </c>
      <c r="Q4188" s="1" t="s">
        <v>6935</v>
      </c>
    </row>
    <row r="4189">
      <c r="A4189" s="1">
        <v>4188.0</v>
      </c>
      <c r="B4189" s="1" t="s">
        <v>6936</v>
      </c>
      <c r="C4189" s="1" t="s">
        <v>25</v>
      </c>
      <c r="K4189" s="1">
        <v>40.0</v>
      </c>
      <c r="N4189" s="5">
        <v>44090.0</v>
      </c>
      <c r="Q4189" s="1" t="s">
        <v>6937</v>
      </c>
    </row>
    <row r="4190">
      <c r="A4190" s="1">
        <v>4189.0</v>
      </c>
      <c r="B4190" s="1" t="s">
        <v>6938</v>
      </c>
      <c r="C4190" s="1" t="s">
        <v>25</v>
      </c>
      <c r="K4190" s="1">
        <v>80.0</v>
      </c>
      <c r="N4190" s="5">
        <v>44753.0</v>
      </c>
      <c r="Q4190" s="1" t="s">
        <v>6939</v>
      </c>
    </row>
    <row r="4191">
      <c r="A4191" s="1">
        <v>4190.0</v>
      </c>
      <c r="B4191" s="1" t="s">
        <v>6940</v>
      </c>
      <c r="C4191" s="1" t="s">
        <v>25</v>
      </c>
      <c r="K4191" s="1">
        <v>200.0</v>
      </c>
      <c r="N4191" s="5">
        <v>43845.0</v>
      </c>
      <c r="Q4191" s="1" t="s">
        <v>6941</v>
      </c>
    </row>
    <row r="4192">
      <c r="A4192" s="1">
        <v>4191.0</v>
      </c>
      <c r="B4192" s="1" t="s">
        <v>6942</v>
      </c>
      <c r="C4192" s="1" t="s">
        <v>25</v>
      </c>
      <c r="N4192" s="5">
        <v>44467.0</v>
      </c>
      <c r="Q4192" s="1" t="s">
        <v>55</v>
      </c>
    </row>
    <row r="4193">
      <c r="A4193" s="1">
        <v>4192.0</v>
      </c>
      <c r="B4193" s="1" t="s">
        <v>6943</v>
      </c>
      <c r="C4193" s="1" t="s">
        <v>25</v>
      </c>
      <c r="K4193" s="1">
        <v>600.0</v>
      </c>
      <c r="N4193" s="5">
        <v>43925.0</v>
      </c>
      <c r="Q4193" s="1" t="s">
        <v>6944</v>
      </c>
    </row>
    <row r="4194">
      <c r="A4194" s="1">
        <v>4193.0</v>
      </c>
      <c r="B4194" s="1" t="s">
        <v>6945</v>
      </c>
      <c r="C4194" s="1" t="s">
        <v>25</v>
      </c>
      <c r="K4194" s="1">
        <v>150.0</v>
      </c>
      <c r="N4194" s="5">
        <v>43842.0</v>
      </c>
      <c r="Q4194" s="1" t="s">
        <v>6946</v>
      </c>
    </row>
    <row r="4195">
      <c r="A4195" s="1">
        <v>4194.0</v>
      </c>
      <c r="B4195" s="1" t="s">
        <v>6947</v>
      </c>
      <c r="C4195" s="1" t="s">
        <v>25</v>
      </c>
      <c r="K4195" s="1">
        <v>10.0</v>
      </c>
      <c r="N4195" s="5">
        <v>45380.0</v>
      </c>
      <c r="Q4195" s="1" t="s">
        <v>6948</v>
      </c>
    </row>
    <row r="4196">
      <c r="A4196" s="1">
        <v>4195.0</v>
      </c>
      <c r="B4196" s="1" t="s">
        <v>6949</v>
      </c>
      <c r="C4196" s="1" t="s">
        <v>25</v>
      </c>
      <c r="N4196" s="5">
        <v>43958.0</v>
      </c>
      <c r="Q4196" s="1" t="s">
        <v>55</v>
      </c>
    </row>
    <row r="4197">
      <c r="A4197" s="1">
        <v>4196.0</v>
      </c>
      <c r="B4197" s="1" t="s">
        <v>6950</v>
      </c>
      <c r="C4197" s="1" t="s">
        <v>25</v>
      </c>
      <c r="K4197" s="1">
        <v>30.0</v>
      </c>
      <c r="N4197" s="5">
        <v>44140.0</v>
      </c>
      <c r="Q4197" s="1" t="s">
        <v>6951</v>
      </c>
    </row>
    <row r="4198">
      <c r="A4198" s="1">
        <v>4197.0</v>
      </c>
      <c r="B4198" s="1" t="s">
        <v>6952</v>
      </c>
      <c r="C4198" s="1" t="s">
        <v>25</v>
      </c>
      <c r="K4198" s="1">
        <v>60.0</v>
      </c>
      <c r="N4198" s="5">
        <v>45477.0</v>
      </c>
      <c r="Q4198" s="1" t="s">
        <v>6953</v>
      </c>
    </row>
    <row r="4199">
      <c r="A4199" s="1">
        <v>4198.0</v>
      </c>
      <c r="B4199" s="1" t="s">
        <v>6954</v>
      </c>
      <c r="C4199" s="1" t="s">
        <v>25</v>
      </c>
      <c r="K4199" s="1">
        <v>150.0</v>
      </c>
      <c r="N4199" s="5">
        <v>44040.0</v>
      </c>
      <c r="Q4199" s="1" t="s">
        <v>6955</v>
      </c>
    </row>
    <row r="4200">
      <c r="A4200" s="1">
        <v>4199.0</v>
      </c>
      <c r="B4200" s="1" t="s">
        <v>6956</v>
      </c>
      <c r="C4200" s="1" t="s">
        <v>25</v>
      </c>
      <c r="K4200" s="1">
        <v>100.0</v>
      </c>
      <c r="N4200" s="5">
        <v>43920.0</v>
      </c>
      <c r="Q4200" s="1" t="s">
        <v>6957</v>
      </c>
    </row>
    <row r="4201">
      <c r="A4201" s="1">
        <v>4200.0</v>
      </c>
      <c r="B4201" s="1" t="s">
        <v>6958</v>
      </c>
      <c r="C4201" s="1" t="s">
        <v>25</v>
      </c>
      <c r="N4201" s="5">
        <v>43917.0</v>
      </c>
      <c r="Q4201" s="1" t="s">
        <v>55</v>
      </c>
    </row>
    <row r="4202">
      <c r="A4202" s="1">
        <v>4201.0</v>
      </c>
      <c r="B4202" s="1" t="s">
        <v>6959</v>
      </c>
      <c r="C4202" s="1" t="s">
        <v>25</v>
      </c>
      <c r="K4202" s="1">
        <v>10.0</v>
      </c>
      <c r="N4202" s="5">
        <v>44043.0</v>
      </c>
      <c r="Q4202" s="1" t="s">
        <v>55</v>
      </c>
    </row>
    <row r="4203">
      <c r="A4203" s="1">
        <v>4202.0</v>
      </c>
      <c r="B4203" s="1" t="s">
        <v>6960</v>
      </c>
      <c r="C4203" s="1" t="s">
        <v>25</v>
      </c>
      <c r="K4203" s="1">
        <v>100.0</v>
      </c>
      <c r="N4203" s="5">
        <v>44569.0</v>
      </c>
      <c r="Q4203" s="1" t="s">
        <v>1218</v>
      </c>
    </row>
    <row r="4204">
      <c r="A4204" s="1">
        <v>4203.0</v>
      </c>
      <c r="B4204" s="1" t="s">
        <v>6961</v>
      </c>
      <c r="C4204" s="1" t="s">
        <v>25</v>
      </c>
      <c r="K4204" s="1">
        <v>150.0</v>
      </c>
      <c r="N4204" s="5">
        <v>45160.0</v>
      </c>
      <c r="Q4204" s="1" t="s">
        <v>6962</v>
      </c>
    </row>
    <row r="4205">
      <c r="A4205" s="1">
        <v>4204.0</v>
      </c>
      <c r="B4205" s="1" t="s">
        <v>6963</v>
      </c>
      <c r="C4205" s="1" t="s">
        <v>25</v>
      </c>
      <c r="K4205" s="1">
        <v>200.0</v>
      </c>
      <c r="N4205" s="5">
        <v>43907.0</v>
      </c>
      <c r="Q4205" s="1" t="s">
        <v>6964</v>
      </c>
    </row>
    <row r="4206">
      <c r="A4206" s="1">
        <v>4205.0</v>
      </c>
      <c r="B4206" s="1" t="s">
        <v>6965</v>
      </c>
      <c r="C4206" s="1" t="s">
        <v>25</v>
      </c>
      <c r="K4206" s="1">
        <v>50.0</v>
      </c>
      <c r="N4206" s="5">
        <v>45225.0</v>
      </c>
      <c r="Q4206" s="1" t="s">
        <v>6966</v>
      </c>
    </row>
    <row r="4207">
      <c r="A4207" s="1">
        <v>4206.0</v>
      </c>
      <c r="B4207" s="1" t="s">
        <v>6967</v>
      </c>
      <c r="C4207" s="1" t="s">
        <v>25</v>
      </c>
      <c r="K4207" s="1">
        <v>200.0</v>
      </c>
      <c r="N4207" s="5">
        <v>45554.0</v>
      </c>
      <c r="Q4207" s="1" t="s">
        <v>2397</v>
      </c>
    </row>
    <row r="4208">
      <c r="A4208" s="1">
        <v>4207.0</v>
      </c>
      <c r="B4208" s="1" t="s">
        <v>6968</v>
      </c>
      <c r="C4208" s="1" t="s">
        <v>25</v>
      </c>
      <c r="K4208" s="1">
        <v>150.0</v>
      </c>
      <c r="N4208" s="5">
        <v>44668.0</v>
      </c>
      <c r="Q4208" s="1" t="s">
        <v>6969</v>
      </c>
    </row>
    <row r="4209">
      <c r="A4209" s="1">
        <v>4208.0</v>
      </c>
      <c r="B4209" s="1" t="s">
        <v>6970</v>
      </c>
      <c r="C4209" s="1" t="s">
        <v>25</v>
      </c>
      <c r="N4209" s="5">
        <v>43983.0</v>
      </c>
      <c r="Q4209" s="1" t="s">
        <v>55</v>
      </c>
    </row>
    <row r="4210">
      <c r="A4210" s="1">
        <v>4209.0</v>
      </c>
      <c r="B4210" s="1" t="s">
        <v>6971</v>
      </c>
      <c r="C4210" s="1" t="s">
        <v>25</v>
      </c>
      <c r="K4210" s="1">
        <v>250.0</v>
      </c>
      <c r="N4210" s="5">
        <v>45578.0</v>
      </c>
      <c r="Q4210" s="1" t="s">
        <v>6972</v>
      </c>
    </row>
    <row r="4211">
      <c r="A4211" s="1">
        <v>4210.0</v>
      </c>
      <c r="B4211" s="1" t="s">
        <v>6973</v>
      </c>
      <c r="C4211" s="1" t="s">
        <v>25</v>
      </c>
      <c r="N4211" s="5">
        <v>43944.0</v>
      </c>
      <c r="Q4211" s="1" t="s">
        <v>55</v>
      </c>
    </row>
    <row r="4212">
      <c r="A4212" s="1">
        <v>4211.0</v>
      </c>
      <c r="B4212" s="1" t="s">
        <v>6974</v>
      </c>
      <c r="C4212" s="1" t="s">
        <v>25</v>
      </c>
      <c r="N4212" s="5">
        <v>44164.0</v>
      </c>
      <c r="Q4212" s="1" t="s">
        <v>3123</v>
      </c>
    </row>
    <row r="4213">
      <c r="A4213" s="1">
        <v>4212.0</v>
      </c>
      <c r="B4213" s="1" t="s">
        <v>6975</v>
      </c>
      <c r="C4213" s="1" t="s">
        <v>25</v>
      </c>
      <c r="K4213" s="1">
        <v>150.0</v>
      </c>
      <c r="N4213" s="5">
        <v>43849.0</v>
      </c>
      <c r="Q4213" s="1" t="s">
        <v>93</v>
      </c>
    </row>
    <row r="4214">
      <c r="A4214" s="1">
        <v>4213.0</v>
      </c>
      <c r="B4214" s="1" t="s">
        <v>6976</v>
      </c>
      <c r="C4214" s="1" t="s">
        <v>25</v>
      </c>
      <c r="N4214" s="5">
        <v>44730.0</v>
      </c>
      <c r="Q4214" s="1" t="s">
        <v>55</v>
      </c>
    </row>
    <row r="4215">
      <c r="A4215" s="1">
        <v>4214.0</v>
      </c>
      <c r="B4215" s="1" t="s">
        <v>6977</v>
      </c>
      <c r="C4215" s="1" t="s">
        <v>25</v>
      </c>
      <c r="K4215" s="1">
        <v>50.0</v>
      </c>
      <c r="N4215" s="5">
        <v>44655.0</v>
      </c>
      <c r="Q4215" s="1" t="s">
        <v>55</v>
      </c>
    </row>
    <row r="4216">
      <c r="A4216" s="1">
        <v>4215.0</v>
      </c>
      <c r="B4216" s="1" t="s">
        <v>6978</v>
      </c>
      <c r="C4216" s="1" t="s">
        <v>25</v>
      </c>
      <c r="N4216" s="5">
        <v>44592.0</v>
      </c>
      <c r="Q4216" s="1" t="s">
        <v>55</v>
      </c>
    </row>
    <row r="4217">
      <c r="A4217" s="1">
        <v>4216.0</v>
      </c>
      <c r="B4217" s="1" t="s">
        <v>6979</v>
      </c>
      <c r="C4217" s="1" t="s">
        <v>25</v>
      </c>
      <c r="N4217" s="5">
        <v>44674.0</v>
      </c>
      <c r="Q4217" s="1" t="s">
        <v>55</v>
      </c>
    </row>
    <row r="4218">
      <c r="A4218" s="1">
        <v>4217.0</v>
      </c>
      <c r="B4218" s="1" t="s">
        <v>6980</v>
      </c>
      <c r="C4218" s="1" t="s">
        <v>25</v>
      </c>
      <c r="K4218" s="1">
        <v>40.0</v>
      </c>
      <c r="N4218" s="5">
        <v>45603.0</v>
      </c>
      <c r="Q4218" s="1" t="s">
        <v>1436</v>
      </c>
    </row>
    <row r="4219">
      <c r="A4219" s="1">
        <v>4218.0</v>
      </c>
      <c r="B4219" s="1" t="s">
        <v>6981</v>
      </c>
      <c r="C4219" s="1" t="s">
        <v>25</v>
      </c>
      <c r="K4219" s="1">
        <v>200.0</v>
      </c>
      <c r="N4219" s="5">
        <v>43925.0</v>
      </c>
      <c r="Q4219" s="1" t="s">
        <v>6982</v>
      </c>
    </row>
    <row r="4220">
      <c r="A4220" s="1">
        <v>4219.0</v>
      </c>
      <c r="B4220" s="1" t="s">
        <v>6983</v>
      </c>
      <c r="C4220" s="1" t="s">
        <v>25</v>
      </c>
      <c r="N4220" s="5">
        <v>46101.0</v>
      </c>
      <c r="Q4220" s="1" t="s">
        <v>6984</v>
      </c>
    </row>
    <row r="4221">
      <c r="A4221" s="1">
        <v>4220.0</v>
      </c>
      <c r="B4221" s="1" t="s">
        <v>6985</v>
      </c>
      <c r="C4221" s="1" t="s">
        <v>25</v>
      </c>
      <c r="K4221" s="1">
        <v>150.0</v>
      </c>
      <c r="N4221" s="5">
        <v>45588.0</v>
      </c>
      <c r="Q4221" s="1" t="s">
        <v>6986</v>
      </c>
    </row>
    <row r="4222">
      <c r="A4222" s="1">
        <v>4221.0</v>
      </c>
      <c r="B4222" s="1" t="s">
        <v>6987</v>
      </c>
      <c r="C4222" s="1" t="s">
        <v>25</v>
      </c>
      <c r="K4222" s="1">
        <v>40.0</v>
      </c>
      <c r="N4222" s="5">
        <v>44586.0</v>
      </c>
      <c r="Q4222" s="1" t="s">
        <v>1841</v>
      </c>
    </row>
    <row r="4223">
      <c r="A4223" s="1">
        <v>4222.0</v>
      </c>
      <c r="B4223" s="1" t="s">
        <v>6988</v>
      </c>
      <c r="C4223" s="1" t="s">
        <v>25</v>
      </c>
      <c r="K4223" s="1">
        <v>20.0</v>
      </c>
      <c r="N4223" s="5">
        <v>43910.0</v>
      </c>
      <c r="Q4223" s="1" t="s">
        <v>55</v>
      </c>
    </row>
    <row r="4224">
      <c r="A4224" s="1">
        <v>4223.0</v>
      </c>
      <c r="B4224" s="1" t="s">
        <v>6989</v>
      </c>
      <c r="C4224" s="1" t="s">
        <v>25</v>
      </c>
      <c r="N4224" s="5">
        <v>45494.0</v>
      </c>
      <c r="Q4224" s="1" t="s">
        <v>6990</v>
      </c>
    </row>
    <row r="4225">
      <c r="A4225" s="1">
        <v>4224.0</v>
      </c>
      <c r="B4225" s="1" t="s">
        <v>6991</v>
      </c>
      <c r="C4225" s="1" t="s">
        <v>25</v>
      </c>
      <c r="K4225" s="1">
        <v>20.0</v>
      </c>
      <c r="N4225" s="5">
        <v>44186.0</v>
      </c>
      <c r="Q4225" s="1" t="s">
        <v>569</v>
      </c>
    </row>
    <row r="4226">
      <c r="A4226" s="1">
        <v>4225.0</v>
      </c>
      <c r="B4226" s="1" t="s">
        <v>6992</v>
      </c>
      <c r="C4226" s="1" t="s">
        <v>25</v>
      </c>
      <c r="K4226" s="1">
        <v>10.0</v>
      </c>
      <c r="N4226" s="5">
        <v>44710.0</v>
      </c>
      <c r="Q4226" s="1" t="s">
        <v>55</v>
      </c>
    </row>
    <row r="4227">
      <c r="A4227" s="1">
        <v>4226.0</v>
      </c>
      <c r="B4227" s="1" t="s">
        <v>6993</v>
      </c>
      <c r="C4227" s="1" t="s">
        <v>25</v>
      </c>
      <c r="K4227" s="1">
        <v>20.0</v>
      </c>
      <c r="N4227" s="5">
        <v>45741.0</v>
      </c>
      <c r="Q4227" s="1" t="s">
        <v>3083</v>
      </c>
    </row>
    <row r="4228">
      <c r="A4228" s="1">
        <v>4227.0</v>
      </c>
      <c r="B4228" s="1" t="s">
        <v>6994</v>
      </c>
      <c r="C4228" s="1" t="s">
        <v>25</v>
      </c>
      <c r="K4228" s="1">
        <v>70.0</v>
      </c>
      <c r="N4228" s="5">
        <v>45778.0</v>
      </c>
      <c r="Q4228" s="1" t="s">
        <v>6995</v>
      </c>
    </row>
    <row r="4229">
      <c r="A4229" s="1">
        <v>4228.0</v>
      </c>
      <c r="B4229" s="1" t="s">
        <v>6996</v>
      </c>
      <c r="C4229" s="1" t="s">
        <v>25</v>
      </c>
      <c r="K4229" s="1">
        <v>150.0</v>
      </c>
      <c r="N4229" s="5">
        <v>44593.0</v>
      </c>
      <c r="Q4229" s="1" t="s">
        <v>6997</v>
      </c>
    </row>
    <row r="4230">
      <c r="A4230" s="1">
        <v>4229.0</v>
      </c>
      <c r="B4230" s="1" t="s">
        <v>6998</v>
      </c>
      <c r="C4230" s="1" t="s">
        <v>25</v>
      </c>
      <c r="K4230" s="1">
        <v>90.0</v>
      </c>
      <c r="N4230" s="5">
        <v>45701.0</v>
      </c>
      <c r="Q4230" s="1" t="s">
        <v>6031</v>
      </c>
    </row>
    <row r="4231">
      <c r="A4231" s="1">
        <v>4230.0</v>
      </c>
      <c r="B4231" s="1" t="s">
        <v>6999</v>
      </c>
      <c r="C4231" s="1" t="s">
        <v>25</v>
      </c>
      <c r="K4231" s="1">
        <v>50.0</v>
      </c>
      <c r="N4231" s="5">
        <v>44657.0</v>
      </c>
      <c r="Q4231" s="1" t="s">
        <v>1359</v>
      </c>
    </row>
    <row r="4232">
      <c r="A4232" s="1">
        <v>4231.0</v>
      </c>
      <c r="B4232" s="1" t="s">
        <v>341</v>
      </c>
      <c r="C4232" s="1" t="s">
        <v>25</v>
      </c>
      <c r="K4232" s="1">
        <v>10.0</v>
      </c>
      <c r="N4232" s="5">
        <v>45031.0</v>
      </c>
      <c r="Q4232" s="1" t="s">
        <v>55</v>
      </c>
    </row>
    <row r="4233">
      <c r="A4233" s="1">
        <v>4232.0</v>
      </c>
      <c r="B4233" s="1" t="s">
        <v>7000</v>
      </c>
      <c r="C4233" s="1" t="s">
        <v>25</v>
      </c>
      <c r="N4233" s="5">
        <v>44618.0</v>
      </c>
      <c r="Q4233" s="1" t="s">
        <v>3123</v>
      </c>
    </row>
    <row r="4234">
      <c r="A4234" s="1">
        <v>4233.0</v>
      </c>
      <c r="B4234" s="1" t="s">
        <v>7001</v>
      </c>
      <c r="C4234" s="1" t="s">
        <v>25</v>
      </c>
      <c r="K4234" s="1">
        <v>300.0</v>
      </c>
      <c r="N4234" s="5">
        <v>45113.0</v>
      </c>
      <c r="Q4234" s="1" t="s">
        <v>7002</v>
      </c>
    </row>
    <row r="4235">
      <c r="A4235" s="1">
        <v>4234.0</v>
      </c>
      <c r="B4235" s="1" t="s">
        <v>343</v>
      </c>
      <c r="C4235" s="1" t="s">
        <v>25</v>
      </c>
      <c r="K4235" s="1">
        <v>20.0</v>
      </c>
      <c r="N4235" s="5">
        <v>44054.0</v>
      </c>
      <c r="Q4235" s="1" t="s">
        <v>93</v>
      </c>
    </row>
    <row r="4236">
      <c r="A4236" s="1">
        <v>4235.0</v>
      </c>
      <c r="B4236" s="1" t="s">
        <v>7003</v>
      </c>
      <c r="C4236" s="1" t="s">
        <v>25</v>
      </c>
      <c r="K4236" s="1">
        <v>40.0</v>
      </c>
      <c r="N4236" s="5">
        <v>44097.0</v>
      </c>
      <c r="Q4236" s="1" t="s">
        <v>125</v>
      </c>
    </row>
    <row r="4237">
      <c r="A4237" s="1">
        <v>4236.0</v>
      </c>
      <c r="B4237" s="1" t="s">
        <v>7004</v>
      </c>
      <c r="C4237" s="1" t="s">
        <v>25</v>
      </c>
      <c r="N4237" s="5">
        <v>43947.0</v>
      </c>
      <c r="Q4237" s="1" t="s">
        <v>55</v>
      </c>
    </row>
    <row r="4238">
      <c r="A4238" s="1">
        <v>4237.0</v>
      </c>
      <c r="B4238" s="1" t="s">
        <v>7005</v>
      </c>
      <c r="C4238" s="1" t="s">
        <v>25</v>
      </c>
      <c r="K4238" s="1">
        <v>60.0</v>
      </c>
      <c r="N4238" s="5">
        <v>43905.0</v>
      </c>
      <c r="Q4238" s="1" t="s">
        <v>7006</v>
      </c>
    </row>
    <row r="4239">
      <c r="A4239" s="1">
        <v>4238.0</v>
      </c>
      <c r="B4239" s="1" t="s">
        <v>7007</v>
      </c>
      <c r="C4239" s="1" t="s">
        <v>25</v>
      </c>
      <c r="K4239" s="1">
        <v>20.0</v>
      </c>
      <c r="N4239" s="5">
        <v>44227.0</v>
      </c>
      <c r="Q4239" s="1" t="s">
        <v>3700</v>
      </c>
    </row>
    <row r="4240">
      <c r="A4240" s="1">
        <v>4239.0</v>
      </c>
      <c r="B4240" s="1" t="s">
        <v>7008</v>
      </c>
      <c r="C4240" s="1" t="s">
        <v>25</v>
      </c>
      <c r="K4240" s="1">
        <v>100.0</v>
      </c>
      <c r="N4240" s="5">
        <v>43930.0</v>
      </c>
      <c r="Q4240" s="1" t="s">
        <v>7009</v>
      </c>
    </row>
    <row r="4241">
      <c r="A4241" s="1">
        <v>4240.0</v>
      </c>
      <c r="B4241" s="1" t="s">
        <v>7010</v>
      </c>
      <c r="C4241" s="1" t="s">
        <v>25</v>
      </c>
      <c r="K4241" s="1">
        <v>70.0</v>
      </c>
      <c r="N4241" s="5">
        <v>44036.0</v>
      </c>
      <c r="Q4241" s="1" t="s">
        <v>2941</v>
      </c>
    </row>
    <row r="4242">
      <c r="A4242" s="1">
        <v>4241.0</v>
      </c>
      <c r="B4242" s="1" t="s">
        <v>7011</v>
      </c>
      <c r="C4242" s="1" t="s">
        <v>25</v>
      </c>
      <c r="N4242" s="5">
        <v>45384.0</v>
      </c>
      <c r="Q4242" s="1" t="s">
        <v>6900</v>
      </c>
    </row>
    <row r="4243">
      <c r="A4243" s="1">
        <v>4242.0</v>
      </c>
      <c r="B4243" s="1" t="s">
        <v>7012</v>
      </c>
      <c r="C4243" s="1" t="s">
        <v>25</v>
      </c>
      <c r="N4243" s="5">
        <v>44022.0</v>
      </c>
      <c r="Q4243" s="1" t="s">
        <v>55</v>
      </c>
    </row>
    <row r="4244">
      <c r="A4244" s="1">
        <v>4243.0</v>
      </c>
      <c r="B4244" s="1" t="s">
        <v>7013</v>
      </c>
      <c r="C4244" s="1" t="s">
        <v>25</v>
      </c>
      <c r="K4244" s="1">
        <v>350.0</v>
      </c>
      <c r="N4244" s="5">
        <v>45462.0</v>
      </c>
      <c r="Q4244" s="1" t="s">
        <v>7014</v>
      </c>
    </row>
    <row r="4245">
      <c r="A4245" s="1">
        <v>4244.0</v>
      </c>
      <c r="B4245" s="1" t="s">
        <v>7015</v>
      </c>
      <c r="C4245" s="1" t="s">
        <v>25</v>
      </c>
      <c r="K4245" s="1">
        <v>10.0</v>
      </c>
      <c r="N4245" s="5">
        <v>43915.0</v>
      </c>
      <c r="Q4245" s="1" t="s">
        <v>93</v>
      </c>
    </row>
    <row r="4246">
      <c r="A4246" s="1">
        <v>4245.0</v>
      </c>
      <c r="B4246" s="1" t="s">
        <v>7016</v>
      </c>
      <c r="C4246" s="1" t="s">
        <v>25</v>
      </c>
      <c r="N4246" s="5">
        <v>44054.0</v>
      </c>
      <c r="Q4246" s="1" t="s">
        <v>55</v>
      </c>
    </row>
    <row r="4247">
      <c r="A4247" s="1">
        <v>4246.0</v>
      </c>
      <c r="B4247" s="1" t="s">
        <v>7017</v>
      </c>
      <c r="C4247" s="1" t="s">
        <v>25</v>
      </c>
      <c r="K4247" s="1">
        <v>100.0</v>
      </c>
      <c r="N4247" s="5">
        <v>45099.0</v>
      </c>
      <c r="Q4247" s="1" t="s">
        <v>7018</v>
      </c>
    </row>
    <row r="4248">
      <c r="A4248" s="1">
        <v>4247.0</v>
      </c>
      <c r="B4248" s="1" t="s">
        <v>7019</v>
      </c>
      <c r="C4248" s="1" t="s">
        <v>25</v>
      </c>
      <c r="K4248" s="1">
        <v>70.0</v>
      </c>
      <c r="N4248" s="5">
        <v>44303.0</v>
      </c>
      <c r="Q4248" s="1" t="s">
        <v>7020</v>
      </c>
    </row>
    <row r="4249">
      <c r="A4249" s="1">
        <v>4248.0</v>
      </c>
      <c r="B4249" s="1" t="s">
        <v>7021</v>
      </c>
      <c r="C4249" s="1" t="s">
        <v>25</v>
      </c>
      <c r="K4249" s="1">
        <v>150.0</v>
      </c>
      <c r="N4249" s="5">
        <v>43896.0</v>
      </c>
      <c r="Q4249" s="1" t="s">
        <v>7022</v>
      </c>
    </row>
    <row r="4250">
      <c r="A4250" s="1">
        <v>4249.0</v>
      </c>
      <c r="B4250" s="1" t="s">
        <v>7023</v>
      </c>
      <c r="C4250" s="1" t="s">
        <v>25</v>
      </c>
      <c r="K4250" s="1">
        <v>200.0</v>
      </c>
      <c r="N4250" s="5">
        <v>42795.0</v>
      </c>
      <c r="Q4250" s="1" t="s">
        <v>7024</v>
      </c>
    </row>
    <row r="4251">
      <c r="A4251" s="1">
        <v>4250.0</v>
      </c>
      <c r="B4251" s="1" t="s">
        <v>7025</v>
      </c>
      <c r="C4251" s="1" t="s">
        <v>25</v>
      </c>
      <c r="K4251" s="1">
        <v>30.0</v>
      </c>
      <c r="N4251" s="5">
        <v>44508.0</v>
      </c>
      <c r="Q4251" s="1" t="s">
        <v>172</v>
      </c>
    </row>
    <row r="4252">
      <c r="A4252" s="1">
        <v>4251.0</v>
      </c>
      <c r="B4252" s="1" t="s">
        <v>7026</v>
      </c>
      <c r="C4252" s="1" t="s">
        <v>25</v>
      </c>
      <c r="K4252" s="1">
        <v>20.0</v>
      </c>
      <c r="N4252" s="5">
        <v>44693.0</v>
      </c>
      <c r="Q4252" s="1" t="s">
        <v>55</v>
      </c>
    </row>
    <row r="4253">
      <c r="A4253" s="1">
        <v>4252.0</v>
      </c>
      <c r="B4253" s="1" t="s">
        <v>7027</v>
      </c>
      <c r="C4253" s="1" t="s">
        <v>25</v>
      </c>
      <c r="K4253" s="1">
        <v>100.0</v>
      </c>
      <c r="N4253" s="5">
        <v>43857.0</v>
      </c>
      <c r="Q4253" s="1" t="s">
        <v>7028</v>
      </c>
    </row>
    <row r="4254">
      <c r="A4254" s="1">
        <v>4253.0</v>
      </c>
      <c r="B4254" s="1" t="s">
        <v>7029</v>
      </c>
      <c r="C4254" s="1" t="s">
        <v>25</v>
      </c>
      <c r="K4254" s="1">
        <v>50.0</v>
      </c>
      <c r="N4254" s="5">
        <v>44504.0</v>
      </c>
      <c r="Q4254" s="1" t="s">
        <v>172</v>
      </c>
    </row>
    <row r="4255">
      <c r="A4255" s="1">
        <v>4254.0</v>
      </c>
      <c r="B4255" s="1" t="s">
        <v>7030</v>
      </c>
      <c r="C4255" s="1" t="s">
        <v>25</v>
      </c>
      <c r="K4255" s="1">
        <v>90.0</v>
      </c>
      <c r="N4255" s="5">
        <v>44413.0</v>
      </c>
      <c r="Q4255" s="1" t="s">
        <v>7031</v>
      </c>
    </row>
    <row r="4256">
      <c r="A4256" s="1">
        <v>4255.0</v>
      </c>
      <c r="B4256" s="1" t="s">
        <v>7032</v>
      </c>
      <c r="C4256" s="1" t="s">
        <v>25</v>
      </c>
      <c r="K4256" s="1">
        <v>100.0</v>
      </c>
      <c r="N4256" s="5">
        <v>43879.0</v>
      </c>
      <c r="Q4256" s="1" t="s">
        <v>7033</v>
      </c>
    </row>
    <row r="4257">
      <c r="A4257" s="1">
        <v>4256.0</v>
      </c>
      <c r="B4257" s="1" t="s">
        <v>7034</v>
      </c>
      <c r="C4257" s="1" t="s">
        <v>25</v>
      </c>
      <c r="K4257" s="1">
        <v>30.0</v>
      </c>
      <c r="N4257" s="5">
        <v>44532.0</v>
      </c>
      <c r="Q4257" s="1" t="s">
        <v>606</v>
      </c>
    </row>
    <row r="4258">
      <c r="A4258" s="1">
        <v>4257.0</v>
      </c>
      <c r="B4258" s="1" t="s">
        <v>7035</v>
      </c>
      <c r="C4258" s="1" t="s">
        <v>25</v>
      </c>
      <c r="K4258" s="1">
        <v>60.0</v>
      </c>
      <c r="N4258" s="5">
        <v>44968.0</v>
      </c>
      <c r="Q4258" s="1" t="s">
        <v>55</v>
      </c>
    </row>
    <row r="4259">
      <c r="A4259" s="1">
        <v>4258.0</v>
      </c>
      <c r="B4259" s="1" t="s">
        <v>7036</v>
      </c>
      <c r="C4259" s="1" t="s">
        <v>25</v>
      </c>
      <c r="K4259" s="1">
        <v>70.0</v>
      </c>
      <c r="N4259" s="5">
        <v>44690.0</v>
      </c>
      <c r="Q4259" s="1" t="s">
        <v>46</v>
      </c>
    </row>
    <row r="4260">
      <c r="A4260" s="1">
        <v>4259.0</v>
      </c>
      <c r="B4260" s="1" t="s">
        <v>7037</v>
      </c>
      <c r="C4260" s="1" t="s">
        <v>25</v>
      </c>
      <c r="K4260" s="1">
        <v>200.0</v>
      </c>
      <c r="N4260" s="5">
        <v>44427.0</v>
      </c>
      <c r="Q4260" s="1" t="s">
        <v>5921</v>
      </c>
    </row>
    <row r="4261">
      <c r="A4261" s="1">
        <v>4260.0</v>
      </c>
      <c r="B4261" s="1" t="s">
        <v>7038</v>
      </c>
      <c r="C4261" s="1" t="s">
        <v>25</v>
      </c>
      <c r="N4261" s="5">
        <v>44412.0</v>
      </c>
      <c r="Q4261" s="1" t="s">
        <v>55</v>
      </c>
    </row>
    <row r="4262">
      <c r="A4262" s="1">
        <v>4261.0</v>
      </c>
      <c r="B4262" s="1" t="s">
        <v>7039</v>
      </c>
      <c r="C4262" s="1" t="s">
        <v>25</v>
      </c>
      <c r="K4262" s="1">
        <v>100.0</v>
      </c>
      <c r="N4262" s="5">
        <v>44144.0</v>
      </c>
      <c r="Q4262" s="1" t="s">
        <v>7040</v>
      </c>
    </row>
    <row r="4263">
      <c r="A4263" s="1">
        <v>4262.0</v>
      </c>
      <c r="B4263" s="1" t="s">
        <v>7041</v>
      </c>
      <c r="C4263" s="1" t="s">
        <v>25</v>
      </c>
      <c r="K4263" s="1">
        <v>300.0</v>
      </c>
      <c r="N4263" s="5">
        <v>45474.0</v>
      </c>
      <c r="Q4263" s="1" t="s">
        <v>7042</v>
      </c>
    </row>
    <row r="4264">
      <c r="A4264" s="1">
        <v>4263.0</v>
      </c>
      <c r="B4264" s="1" t="s">
        <v>7043</v>
      </c>
      <c r="C4264" s="1" t="s">
        <v>25</v>
      </c>
      <c r="K4264" s="1">
        <v>150.0</v>
      </c>
      <c r="N4264" s="5">
        <v>44283.0</v>
      </c>
      <c r="Q4264" s="1" t="s">
        <v>7044</v>
      </c>
    </row>
    <row r="4265">
      <c r="A4265" s="1">
        <v>4264.0</v>
      </c>
      <c r="B4265" s="1" t="s">
        <v>7045</v>
      </c>
      <c r="C4265" s="1" t="s">
        <v>25</v>
      </c>
      <c r="K4265" s="1">
        <v>10.0</v>
      </c>
      <c r="N4265" s="5">
        <v>45404.0</v>
      </c>
      <c r="Q4265" s="1" t="s">
        <v>7046</v>
      </c>
    </row>
    <row r="4266">
      <c r="A4266" s="1">
        <v>4265.0</v>
      </c>
      <c r="B4266" s="1" t="s">
        <v>7047</v>
      </c>
      <c r="C4266" s="1" t="s">
        <v>25</v>
      </c>
      <c r="K4266" s="1">
        <v>20.0</v>
      </c>
      <c r="N4266" s="5">
        <v>43881.0</v>
      </c>
      <c r="Q4266" s="1" t="s">
        <v>125</v>
      </c>
    </row>
    <row r="4267">
      <c r="A4267" s="1">
        <v>4266.0</v>
      </c>
      <c r="B4267" s="1" t="s">
        <v>7048</v>
      </c>
      <c r="C4267" s="1" t="s">
        <v>25</v>
      </c>
      <c r="N4267" s="5">
        <v>44458.0</v>
      </c>
      <c r="Q4267" s="1" t="s">
        <v>55</v>
      </c>
    </row>
    <row r="4268">
      <c r="A4268" s="1">
        <v>4267.0</v>
      </c>
      <c r="B4268" s="1" t="s">
        <v>7049</v>
      </c>
      <c r="C4268" s="1" t="s">
        <v>25</v>
      </c>
      <c r="K4268" s="1">
        <v>200.0</v>
      </c>
      <c r="N4268" s="5">
        <v>43911.0</v>
      </c>
      <c r="Q4268" s="1" t="s">
        <v>7050</v>
      </c>
    </row>
    <row r="4269">
      <c r="A4269" s="1">
        <v>4268.0</v>
      </c>
      <c r="B4269" s="1" t="s">
        <v>7051</v>
      </c>
      <c r="C4269" s="1" t="s">
        <v>25</v>
      </c>
      <c r="K4269" s="1">
        <v>50.0</v>
      </c>
      <c r="N4269" s="5">
        <v>44246.0</v>
      </c>
      <c r="Q4269" s="1" t="s">
        <v>7052</v>
      </c>
    </row>
    <row r="4270">
      <c r="A4270" s="1">
        <v>4269.0</v>
      </c>
      <c r="B4270" s="1" t="s">
        <v>7053</v>
      </c>
      <c r="C4270" s="1" t="s">
        <v>25</v>
      </c>
      <c r="K4270" s="1">
        <v>150.0</v>
      </c>
      <c r="N4270" s="5">
        <v>44131.0</v>
      </c>
      <c r="Q4270" s="1" t="s">
        <v>7054</v>
      </c>
    </row>
    <row r="4271">
      <c r="A4271" s="1">
        <v>4270.0</v>
      </c>
      <c r="B4271" s="1" t="s">
        <v>7055</v>
      </c>
      <c r="C4271" s="1" t="s">
        <v>25</v>
      </c>
      <c r="K4271" s="1">
        <v>30.0</v>
      </c>
      <c r="N4271" s="5">
        <v>44208.0</v>
      </c>
      <c r="Q4271" s="1" t="s">
        <v>7056</v>
      </c>
    </row>
    <row r="4272">
      <c r="A4272" s="1">
        <v>4271.0</v>
      </c>
      <c r="B4272" s="1" t="s">
        <v>7057</v>
      </c>
      <c r="C4272" s="1" t="s">
        <v>25</v>
      </c>
      <c r="K4272" s="1">
        <v>200.0</v>
      </c>
      <c r="N4272" s="5">
        <v>44064.0</v>
      </c>
      <c r="Q4272" s="1" t="s">
        <v>7058</v>
      </c>
    </row>
    <row r="4273">
      <c r="A4273" s="1">
        <v>4272.0</v>
      </c>
      <c r="B4273" s="1" t="s">
        <v>7059</v>
      </c>
      <c r="C4273" s="1" t="s">
        <v>25</v>
      </c>
      <c r="K4273" s="1">
        <v>300.0</v>
      </c>
      <c r="N4273" s="5">
        <v>43908.0</v>
      </c>
      <c r="Q4273" s="1" t="s">
        <v>7060</v>
      </c>
    </row>
    <row r="4274">
      <c r="A4274" s="1">
        <v>4273.0</v>
      </c>
      <c r="B4274" s="1" t="s">
        <v>7061</v>
      </c>
      <c r="C4274" s="1" t="s">
        <v>25</v>
      </c>
      <c r="K4274" s="1">
        <v>400.0</v>
      </c>
      <c r="N4274" s="5">
        <v>43888.0</v>
      </c>
      <c r="Q4274" s="1" t="s">
        <v>7062</v>
      </c>
    </row>
    <row r="4275">
      <c r="A4275" s="1">
        <v>4274.0</v>
      </c>
      <c r="B4275" s="1" t="s">
        <v>7063</v>
      </c>
      <c r="C4275" s="1" t="s">
        <v>25</v>
      </c>
      <c r="N4275" s="5">
        <v>44726.0</v>
      </c>
      <c r="Q4275" s="1" t="s">
        <v>55</v>
      </c>
    </row>
    <row r="4276">
      <c r="A4276" s="1">
        <v>4275.0</v>
      </c>
      <c r="B4276" s="1" t="s">
        <v>7064</v>
      </c>
      <c r="C4276" s="1" t="s">
        <v>25</v>
      </c>
      <c r="K4276" s="1">
        <v>10.0</v>
      </c>
      <c r="N4276" s="5">
        <v>45512.0</v>
      </c>
      <c r="Q4276" s="1" t="s">
        <v>1187</v>
      </c>
    </row>
    <row r="4277">
      <c r="A4277" s="1">
        <v>4276.0</v>
      </c>
      <c r="B4277" s="1" t="s">
        <v>7065</v>
      </c>
      <c r="C4277" s="1" t="s">
        <v>25</v>
      </c>
      <c r="K4277" s="1">
        <v>80.0</v>
      </c>
      <c r="N4277" s="5">
        <v>44073.0</v>
      </c>
      <c r="Q4277" s="1" t="s">
        <v>131</v>
      </c>
    </row>
    <row r="4278">
      <c r="A4278" s="1">
        <v>4277.0</v>
      </c>
      <c r="B4278" s="1" t="s">
        <v>7066</v>
      </c>
      <c r="C4278" s="1" t="s">
        <v>25</v>
      </c>
      <c r="K4278" s="1">
        <v>60.0</v>
      </c>
      <c r="N4278" s="5">
        <v>44998.0</v>
      </c>
      <c r="Q4278" s="1" t="s">
        <v>1738</v>
      </c>
    </row>
    <row r="4279">
      <c r="A4279" s="1">
        <v>4278.0</v>
      </c>
      <c r="B4279" s="1" t="s">
        <v>7067</v>
      </c>
      <c r="C4279" s="1" t="s">
        <v>25</v>
      </c>
      <c r="K4279" s="1">
        <v>20.0</v>
      </c>
      <c r="N4279" s="5">
        <v>44493.0</v>
      </c>
      <c r="Q4279" s="1" t="s">
        <v>3370</v>
      </c>
    </row>
    <row r="4280">
      <c r="A4280" s="1">
        <v>4279.0</v>
      </c>
      <c r="B4280" s="1" t="s">
        <v>7068</v>
      </c>
      <c r="C4280" s="1" t="s">
        <v>25</v>
      </c>
      <c r="N4280" s="5">
        <v>44212.0</v>
      </c>
      <c r="Q4280" s="1" t="s">
        <v>55</v>
      </c>
    </row>
    <row r="4281">
      <c r="A4281" s="1">
        <v>4280.0</v>
      </c>
      <c r="B4281" s="1" t="s">
        <v>7069</v>
      </c>
      <c r="C4281" s="1" t="s">
        <v>25</v>
      </c>
      <c r="K4281" s="1">
        <v>350.0</v>
      </c>
      <c r="N4281" s="5">
        <v>43922.0</v>
      </c>
      <c r="Q4281" s="1" t="s">
        <v>7070</v>
      </c>
    </row>
    <row r="4282">
      <c r="A4282" s="1">
        <v>4281.0</v>
      </c>
      <c r="B4282" s="1" t="s">
        <v>7071</v>
      </c>
      <c r="C4282" s="1" t="s">
        <v>25</v>
      </c>
      <c r="K4282" s="1">
        <v>30.0</v>
      </c>
      <c r="N4282" s="5">
        <v>43896.0</v>
      </c>
      <c r="Q4282" s="1" t="s">
        <v>6377</v>
      </c>
    </row>
    <row r="4283">
      <c r="A4283" s="1">
        <v>4282.0</v>
      </c>
      <c r="B4283" s="1" t="s">
        <v>7072</v>
      </c>
      <c r="C4283" s="1" t="s">
        <v>25</v>
      </c>
      <c r="K4283" s="1">
        <v>10.0</v>
      </c>
      <c r="N4283" s="5">
        <v>45630.0</v>
      </c>
      <c r="Q4283" s="1" t="s">
        <v>7073</v>
      </c>
    </row>
    <row r="4284">
      <c r="A4284" s="1">
        <v>4283.0</v>
      </c>
      <c r="B4284" s="1" t="s">
        <v>7074</v>
      </c>
      <c r="C4284" s="1" t="s">
        <v>25</v>
      </c>
      <c r="K4284" s="1">
        <v>30.0</v>
      </c>
      <c r="N4284" s="5">
        <v>45605.0</v>
      </c>
      <c r="Q4284" s="1" t="s">
        <v>3008</v>
      </c>
    </row>
    <row r="4285">
      <c r="A4285" s="1">
        <v>4284.0</v>
      </c>
      <c r="B4285" s="1" t="s">
        <v>7075</v>
      </c>
      <c r="C4285" s="1" t="s">
        <v>25</v>
      </c>
      <c r="K4285" s="1">
        <v>60.0</v>
      </c>
      <c r="N4285" s="5">
        <v>45666.0</v>
      </c>
      <c r="Q4285" s="1" t="s">
        <v>1390</v>
      </c>
    </row>
    <row r="4286">
      <c r="A4286" s="1">
        <v>4285.0</v>
      </c>
      <c r="B4286" s="1" t="s">
        <v>7076</v>
      </c>
      <c r="C4286" s="1" t="s">
        <v>25</v>
      </c>
      <c r="K4286" s="1">
        <v>100.0</v>
      </c>
      <c r="N4286" s="5">
        <v>43911.0</v>
      </c>
      <c r="Q4286" s="1" t="s">
        <v>1745</v>
      </c>
    </row>
    <row r="4287">
      <c r="A4287" s="1">
        <v>4286.0</v>
      </c>
      <c r="B4287" s="1" t="s">
        <v>7077</v>
      </c>
      <c r="C4287" s="1" t="s">
        <v>25</v>
      </c>
      <c r="K4287" s="1">
        <v>20.0</v>
      </c>
      <c r="N4287" s="5">
        <v>44863.0</v>
      </c>
      <c r="Q4287" s="1" t="s">
        <v>316</v>
      </c>
    </row>
    <row r="4288">
      <c r="A4288" s="1">
        <v>4287.0</v>
      </c>
      <c r="B4288" s="1" t="s">
        <v>7078</v>
      </c>
      <c r="C4288" s="1" t="s">
        <v>25</v>
      </c>
      <c r="K4288" s="1">
        <v>70.0</v>
      </c>
      <c r="N4288" s="5">
        <v>45140.0</v>
      </c>
      <c r="Q4288" s="1" t="s">
        <v>7079</v>
      </c>
    </row>
    <row r="4289">
      <c r="A4289" s="1">
        <v>4288.0</v>
      </c>
      <c r="B4289" s="1" t="s">
        <v>7080</v>
      </c>
      <c r="C4289" s="1" t="s">
        <v>25</v>
      </c>
      <c r="K4289" s="1">
        <v>90.0</v>
      </c>
      <c r="N4289" s="5">
        <v>45158.0</v>
      </c>
      <c r="Q4289" s="1" t="s">
        <v>7081</v>
      </c>
    </row>
    <row r="4290">
      <c r="A4290" s="1">
        <v>4289.0</v>
      </c>
      <c r="B4290" s="1" t="s">
        <v>7082</v>
      </c>
      <c r="C4290" s="1" t="s">
        <v>25</v>
      </c>
      <c r="N4290" s="5">
        <v>44084.0</v>
      </c>
      <c r="Q4290" s="1" t="s">
        <v>55</v>
      </c>
    </row>
    <row r="4291">
      <c r="A4291" s="1">
        <v>4290.0</v>
      </c>
      <c r="B4291" s="1" t="s">
        <v>7083</v>
      </c>
      <c r="C4291" s="1" t="s">
        <v>25</v>
      </c>
      <c r="K4291" s="1">
        <v>200.0</v>
      </c>
      <c r="N4291" s="5">
        <v>43981.0</v>
      </c>
      <c r="Q4291" s="1" t="s">
        <v>7084</v>
      </c>
    </row>
    <row r="4292">
      <c r="A4292" s="1">
        <v>4291.0</v>
      </c>
      <c r="B4292" s="1" t="s">
        <v>7085</v>
      </c>
      <c r="C4292" s="1" t="s">
        <v>25</v>
      </c>
      <c r="K4292" s="1">
        <v>60.0</v>
      </c>
      <c r="N4292" s="5">
        <v>44420.0</v>
      </c>
      <c r="Q4292" s="1" t="s">
        <v>7086</v>
      </c>
    </row>
    <row r="4293">
      <c r="A4293" s="1">
        <v>4292.0</v>
      </c>
      <c r="B4293" s="1" t="s">
        <v>7087</v>
      </c>
      <c r="C4293" s="1" t="s">
        <v>25</v>
      </c>
      <c r="N4293" s="5">
        <v>45371.0</v>
      </c>
      <c r="Q4293" s="1" t="s">
        <v>172</v>
      </c>
    </row>
    <row r="4294">
      <c r="A4294" s="1">
        <v>4293.0</v>
      </c>
      <c r="B4294" s="1" t="s">
        <v>7088</v>
      </c>
      <c r="C4294" s="1" t="s">
        <v>25</v>
      </c>
      <c r="N4294" s="5">
        <v>46103.0</v>
      </c>
      <c r="Q4294" s="1" t="s">
        <v>7089</v>
      </c>
    </row>
    <row r="4295">
      <c r="A4295" s="1">
        <v>4294.0</v>
      </c>
      <c r="B4295" s="1" t="s">
        <v>7090</v>
      </c>
      <c r="C4295" s="1" t="s">
        <v>25</v>
      </c>
      <c r="N4295" s="5">
        <v>44156.0</v>
      </c>
      <c r="Q4295" s="1" t="s">
        <v>55</v>
      </c>
    </row>
    <row r="4296">
      <c r="A4296" s="1">
        <v>4295.0</v>
      </c>
      <c r="B4296" s="1" t="s">
        <v>7091</v>
      </c>
      <c r="C4296" s="1" t="s">
        <v>25</v>
      </c>
      <c r="K4296" s="1">
        <v>30.0</v>
      </c>
      <c r="N4296" s="5">
        <v>45576.0</v>
      </c>
      <c r="Q4296" s="1" t="s">
        <v>1069</v>
      </c>
    </row>
    <row r="4297">
      <c r="A4297" s="1">
        <v>4296.0</v>
      </c>
      <c r="B4297" s="1" t="s">
        <v>7092</v>
      </c>
      <c r="C4297" s="1" t="s">
        <v>25</v>
      </c>
      <c r="N4297" s="5">
        <v>44445.0</v>
      </c>
      <c r="Q4297" s="1" t="s">
        <v>4602</v>
      </c>
    </row>
    <row r="4298">
      <c r="A4298" s="1">
        <v>4297.0</v>
      </c>
      <c r="B4298" s="1" t="s">
        <v>7093</v>
      </c>
      <c r="C4298" s="1" t="s">
        <v>25</v>
      </c>
      <c r="K4298" s="1">
        <v>450.0</v>
      </c>
      <c r="N4298" s="5">
        <v>43952.0</v>
      </c>
      <c r="Q4298" s="1" t="s">
        <v>7094</v>
      </c>
    </row>
    <row r="4299">
      <c r="A4299" s="1">
        <v>4298.0</v>
      </c>
      <c r="B4299" s="1" t="s">
        <v>7095</v>
      </c>
      <c r="C4299" s="1" t="s">
        <v>25</v>
      </c>
      <c r="N4299" s="5">
        <v>45412.0</v>
      </c>
      <c r="Q4299" s="1" t="s">
        <v>851</v>
      </c>
    </row>
    <row r="4300">
      <c r="A4300" s="1">
        <v>4299.0</v>
      </c>
      <c r="B4300" s="1" t="s">
        <v>7096</v>
      </c>
      <c r="C4300" s="1" t="s">
        <v>25</v>
      </c>
      <c r="N4300" s="5">
        <v>44185.0</v>
      </c>
      <c r="Q4300" s="1" t="s">
        <v>55</v>
      </c>
    </row>
    <row r="4301">
      <c r="A4301" s="1">
        <v>4300.0</v>
      </c>
      <c r="B4301" s="1" t="s">
        <v>7097</v>
      </c>
      <c r="C4301" s="1" t="s">
        <v>25</v>
      </c>
      <c r="K4301" s="1">
        <v>400.0</v>
      </c>
      <c r="N4301" s="5">
        <v>43942.0</v>
      </c>
      <c r="Q4301" s="1" t="s">
        <v>7098</v>
      </c>
    </row>
    <row r="4302">
      <c r="A4302" s="1">
        <v>4301.0</v>
      </c>
      <c r="B4302" s="1" t="s">
        <v>7099</v>
      </c>
      <c r="C4302" s="1" t="s">
        <v>25</v>
      </c>
      <c r="K4302" s="1">
        <v>60.0</v>
      </c>
      <c r="N4302" s="5">
        <v>43917.0</v>
      </c>
      <c r="Q4302" s="1" t="s">
        <v>55</v>
      </c>
    </row>
    <row r="4303">
      <c r="A4303" s="1">
        <v>4302.0</v>
      </c>
      <c r="B4303" s="1" t="s">
        <v>7100</v>
      </c>
      <c r="C4303" s="1" t="s">
        <v>25</v>
      </c>
      <c r="K4303" s="1">
        <v>200.0</v>
      </c>
      <c r="N4303" s="5">
        <v>44263.0</v>
      </c>
      <c r="Q4303" s="1" t="s">
        <v>7101</v>
      </c>
    </row>
    <row r="4304">
      <c r="A4304" s="1">
        <v>4303.0</v>
      </c>
      <c r="B4304" s="1" t="s">
        <v>7102</v>
      </c>
      <c r="C4304" s="1" t="s">
        <v>25</v>
      </c>
      <c r="N4304" s="5">
        <v>44226.0</v>
      </c>
      <c r="Q4304" s="1" t="s">
        <v>55</v>
      </c>
    </row>
    <row r="4305">
      <c r="A4305" s="1">
        <v>4304.0</v>
      </c>
      <c r="B4305" s="1" t="s">
        <v>7103</v>
      </c>
      <c r="C4305" s="1" t="s">
        <v>25</v>
      </c>
      <c r="K4305" s="1">
        <v>60.0</v>
      </c>
      <c r="N4305" s="5">
        <v>45123.0</v>
      </c>
      <c r="Q4305" s="1" t="s">
        <v>5646</v>
      </c>
    </row>
    <row r="4306">
      <c r="A4306" s="1">
        <v>4305.0</v>
      </c>
      <c r="B4306" s="1" t="s">
        <v>7104</v>
      </c>
      <c r="C4306" s="1" t="s">
        <v>25</v>
      </c>
      <c r="K4306" s="1">
        <v>250.0</v>
      </c>
      <c r="N4306" s="5">
        <v>44286.0</v>
      </c>
      <c r="Q4306" s="1" t="s">
        <v>7105</v>
      </c>
    </row>
    <row r="4307">
      <c r="A4307" s="1">
        <v>4306.0</v>
      </c>
      <c r="B4307" s="1" t="s">
        <v>7106</v>
      </c>
      <c r="C4307" s="1" t="s">
        <v>25</v>
      </c>
      <c r="N4307" s="5">
        <v>44074.0</v>
      </c>
      <c r="Q4307" s="1" t="s">
        <v>55</v>
      </c>
    </row>
    <row r="4308">
      <c r="A4308" s="1">
        <v>4307.0</v>
      </c>
      <c r="B4308" s="1" t="s">
        <v>7107</v>
      </c>
      <c r="C4308" s="1" t="s">
        <v>25</v>
      </c>
      <c r="K4308" s="1">
        <v>50.0</v>
      </c>
      <c r="N4308" s="5">
        <v>43887.0</v>
      </c>
      <c r="Q4308" s="1" t="s">
        <v>7108</v>
      </c>
    </row>
    <row r="4309">
      <c r="A4309" s="1">
        <v>4308.0</v>
      </c>
      <c r="B4309" s="1" t="s">
        <v>7109</v>
      </c>
      <c r="C4309" s="1" t="s">
        <v>25</v>
      </c>
      <c r="K4309" s="1">
        <v>30.0</v>
      </c>
      <c r="N4309" s="5">
        <v>44452.0</v>
      </c>
      <c r="Q4309" s="1" t="s">
        <v>7110</v>
      </c>
    </row>
    <row r="4310">
      <c r="A4310" s="1">
        <v>4309.0</v>
      </c>
      <c r="B4310" s="1" t="s">
        <v>7111</v>
      </c>
      <c r="C4310" s="1" t="s">
        <v>25</v>
      </c>
      <c r="K4310" s="1">
        <v>300.0</v>
      </c>
      <c r="N4310" s="5">
        <v>44030.0</v>
      </c>
      <c r="Q4310" s="1" t="s">
        <v>7112</v>
      </c>
    </row>
    <row r="4311">
      <c r="A4311" s="1">
        <v>4310.0</v>
      </c>
      <c r="B4311" s="1" t="s">
        <v>7113</v>
      </c>
      <c r="C4311" s="1" t="s">
        <v>25</v>
      </c>
      <c r="K4311" s="1">
        <v>20.0</v>
      </c>
      <c r="N4311" s="5">
        <v>44050.0</v>
      </c>
      <c r="Q4311" s="1" t="s">
        <v>55</v>
      </c>
    </row>
    <row r="4312">
      <c r="A4312" s="1">
        <v>4311.0</v>
      </c>
      <c r="B4312" s="1" t="s">
        <v>7114</v>
      </c>
      <c r="C4312" s="1" t="s">
        <v>25</v>
      </c>
      <c r="N4312" s="5">
        <v>43903.0</v>
      </c>
      <c r="Q4312" s="1" t="s">
        <v>55</v>
      </c>
    </row>
    <row r="4313">
      <c r="A4313" s="1">
        <v>4312.0</v>
      </c>
      <c r="B4313" s="1" t="s">
        <v>7115</v>
      </c>
      <c r="C4313" s="1" t="s">
        <v>25</v>
      </c>
      <c r="K4313" s="1">
        <v>200.0</v>
      </c>
      <c r="N4313" s="5">
        <v>44249.0</v>
      </c>
      <c r="Q4313" s="1" t="s">
        <v>4592</v>
      </c>
    </row>
    <row r="4314">
      <c r="A4314" s="1">
        <v>4313.0</v>
      </c>
      <c r="B4314" s="1" t="s">
        <v>7116</v>
      </c>
      <c r="C4314" s="1" t="s">
        <v>25</v>
      </c>
      <c r="N4314" s="5">
        <v>44096.0</v>
      </c>
      <c r="Q4314" s="1" t="s">
        <v>55</v>
      </c>
    </row>
    <row r="4315">
      <c r="A4315" s="1">
        <v>4314.0</v>
      </c>
      <c r="B4315" s="1" t="s">
        <v>7117</v>
      </c>
      <c r="C4315" s="1" t="s">
        <v>25</v>
      </c>
      <c r="K4315" s="1">
        <v>30.0</v>
      </c>
      <c r="N4315" s="5">
        <v>45736.0</v>
      </c>
      <c r="Q4315" s="1" t="s">
        <v>2317</v>
      </c>
    </row>
    <row r="4316">
      <c r="A4316" s="1">
        <v>4315.0</v>
      </c>
      <c r="B4316" s="1" t="s">
        <v>7118</v>
      </c>
      <c r="C4316" s="1" t="s">
        <v>25</v>
      </c>
      <c r="K4316" s="1">
        <v>30.0</v>
      </c>
      <c r="N4316" s="5">
        <v>43940.0</v>
      </c>
      <c r="Q4316" s="1" t="s">
        <v>93</v>
      </c>
    </row>
    <row r="4317">
      <c r="A4317" s="1">
        <v>4316.0</v>
      </c>
      <c r="B4317" s="1" t="s">
        <v>7119</v>
      </c>
      <c r="C4317" s="1" t="s">
        <v>25</v>
      </c>
      <c r="K4317" s="1">
        <v>150.0</v>
      </c>
      <c r="N4317" s="5">
        <v>43968.0</v>
      </c>
      <c r="Q4317" s="1" t="s">
        <v>7120</v>
      </c>
    </row>
    <row r="4318">
      <c r="A4318" s="1">
        <v>4317.0</v>
      </c>
      <c r="B4318" s="1" t="s">
        <v>7121</v>
      </c>
      <c r="C4318" s="1" t="s">
        <v>25</v>
      </c>
      <c r="K4318" s="1">
        <v>150.0</v>
      </c>
      <c r="N4318" s="5">
        <v>45628.0</v>
      </c>
      <c r="Q4318" s="1" t="s">
        <v>7122</v>
      </c>
    </row>
    <row r="4319">
      <c r="A4319" s="1">
        <v>4318.0</v>
      </c>
      <c r="B4319" s="1" t="s">
        <v>7123</v>
      </c>
      <c r="C4319" s="1" t="s">
        <v>25</v>
      </c>
      <c r="K4319" s="1">
        <v>60.0</v>
      </c>
      <c r="N4319" s="5">
        <v>45697.0</v>
      </c>
      <c r="Q4319" s="1" t="s">
        <v>7124</v>
      </c>
    </row>
    <row r="4320">
      <c r="A4320" s="1">
        <v>4319.0</v>
      </c>
      <c r="B4320" s="1" t="s">
        <v>7125</v>
      </c>
      <c r="C4320" s="1" t="s">
        <v>25</v>
      </c>
      <c r="K4320" s="1">
        <v>250.0</v>
      </c>
      <c r="N4320" s="5">
        <v>43948.0</v>
      </c>
      <c r="Q4320" s="1" t="s">
        <v>740</v>
      </c>
    </row>
    <row r="4321">
      <c r="A4321" s="1">
        <v>4320.0</v>
      </c>
      <c r="B4321" s="1" t="s">
        <v>7126</v>
      </c>
      <c r="C4321" s="1" t="s">
        <v>25</v>
      </c>
      <c r="N4321" s="5">
        <v>44599.0</v>
      </c>
      <c r="Q4321" s="1" t="s">
        <v>55</v>
      </c>
    </row>
    <row r="4322">
      <c r="A4322" s="1">
        <v>4321.0</v>
      </c>
      <c r="B4322" s="1" t="s">
        <v>7127</v>
      </c>
      <c r="C4322" s="1" t="s">
        <v>25</v>
      </c>
      <c r="K4322" s="1">
        <v>1100.0</v>
      </c>
      <c r="N4322" s="5">
        <v>43868.0</v>
      </c>
      <c r="Q4322" s="1" t="s">
        <v>7128</v>
      </c>
    </row>
    <row r="4323">
      <c r="A4323" s="1">
        <v>4322.0</v>
      </c>
      <c r="B4323" s="1" t="s">
        <v>7129</v>
      </c>
      <c r="C4323" s="1" t="s">
        <v>25</v>
      </c>
      <c r="K4323" s="1">
        <v>70.0</v>
      </c>
      <c r="N4323" s="5">
        <v>45607.0</v>
      </c>
      <c r="Q4323" s="1" t="s">
        <v>7130</v>
      </c>
    </row>
    <row r="4324">
      <c r="A4324" s="1">
        <v>4323.0</v>
      </c>
      <c r="B4324" s="1" t="s">
        <v>7131</v>
      </c>
      <c r="C4324" s="1" t="s">
        <v>25</v>
      </c>
      <c r="N4324" s="5">
        <v>44572.0</v>
      </c>
      <c r="Q4324" s="1" t="s">
        <v>1066</v>
      </c>
    </row>
    <row r="4325">
      <c r="A4325" s="1">
        <v>4324.0</v>
      </c>
      <c r="B4325" s="1" t="s">
        <v>7132</v>
      </c>
      <c r="C4325" s="1" t="s">
        <v>25</v>
      </c>
      <c r="N4325" s="5">
        <v>44068.0</v>
      </c>
      <c r="Q4325" s="1" t="s">
        <v>55</v>
      </c>
    </row>
    <row r="4326">
      <c r="A4326" s="1">
        <v>4325.0</v>
      </c>
      <c r="B4326" s="1" t="s">
        <v>7133</v>
      </c>
      <c r="C4326" s="1" t="s">
        <v>25</v>
      </c>
      <c r="K4326" s="1">
        <v>10.0</v>
      </c>
      <c r="N4326" s="5">
        <v>45667.0</v>
      </c>
      <c r="Q4326" s="1" t="s">
        <v>633</v>
      </c>
    </row>
    <row r="4327">
      <c r="A4327" s="1">
        <v>4326.0</v>
      </c>
      <c r="B4327" s="1" t="s">
        <v>7134</v>
      </c>
      <c r="C4327" s="1" t="s">
        <v>25</v>
      </c>
      <c r="K4327" s="1">
        <v>100.0</v>
      </c>
      <c r="N4327" s="5">
        <v>44679.0</v>
      </c>
      <c r="Q4327" s="1" t="s">
        <v>345</v>
      </c>
    </row>
    <row r="4328">
      <c r="A4328" s="1">
        <v>4327.0</v>
      </c>
      <c r="B4328" s="1" t="s">
        <v>7135</v>
      </c>
      <c r="C4328" s="1" t="s">
        <v>25</v>
      </c>
      <c r="K4328" s="1">
        <v>30.0</v>
      </c>
      <c r="N4328" s="5">
        <v>44894.0</v>
      </c>
      <c r="Q4328" s="1" t="s">
        <v>55</v>
      </c>
    </row>
    <row r="4329">
      <c r="A4329" s="1">
        <v>4328.0</v>
      </c>
      <c r="B4329" s="1" t="s">
        <v>7136</v>
      </c>
      <c r="C4329" s="1" t="s">
        <v>25</v>
      </c>
      <c r="K4329" s="1">
        <v>10.0</v>
      </c>
      <c r="N4329" s="5">
        <v>45484.0</v>
      </c>
      <c r="Q4329" s="1" t="s">
        <v>7137</v>
      </c>
    </row>
    <row r="4330">
      <c r="A4330" s="1">
        <v>4329.0</v>
      </c>
      <c r="B4330" s="1" t="s">
        <v>7138</v>
      </c>
      <c r="C4330" s="1" t="s">
        <v>25</v>
      </c>
      <c r="N4330" s="5">
        <v>44049.0</v>
      </c>
      <c r="Q4330" s="1" t="s">
        <v>55</v>
      </c>
    </row>
    <row r="4331">
      <c r="A4331" s="1">
        <v>4330.0</v>
      </c>
      <c r="B4331" s="1" t="s">
        <v>7139</v>
      </c>
      <c r="C4331" s="1" t="s">
        <v>25</v>
      </c>
      <c r="K4331" s="1">
        <v>30.0</v>
      </c>
      <c r="N4331" s="5">
        <v>44257.0</v>
      </c>
      <c r="Q4331" s="1" t="s">
        <v>7140</v>
      </c>
    </row>
    <row r="4332">
      <c r="A4332" s="1">
        <v>4331.0</v>
      </c>
      <c r="B4332" s="1" t="s">
        <v>7141</v>
      </c>
      <c r="C4332" s="1" t="s">
        <v>25</v>
      </c>
      <c r="K4332" s="1">
        <v>300.0</v>
      </c>
      <c r="N4332" s="5">
        <v>43854.0</v>
      </c>
      <c r="Q4332" s="1" t="s">
        <v>1359</v>
      </c>
    </row>
    <row r="4333">
      <c r="A4333" s="1">
        <v>4332.0</v>
      </c>
      <c r="B4333" s="1" t="s">
        <v>7142</v>
      </c>
      <c r="C4333" s="1" t="s">
        <v>25</v>
      </c>
      <c r="K4333" s="1">
        <v>100.0</v>
      </c>
      <c r="N4333" s="5">
        <v>45779.0</v>
      </c>
      <c r="Q4333" s="1" t="s">
        <v>7143</v>
      </c>
    </row>
    <row r="4334">
      <c r="A4334" s="1">
        <v>4333.0</v>
      </c>
      <c r="B4334" s="1" t="s">
        <v>7144</v>
      </c>
      <c r="C4334" s="1" t="s">
        <v>25</v>
      </c>
      <c r="K4334" s="1">
        <v>60.0</v>
      </c>
      <c r="N4334" s="5">
        <v>43843.0</v>
      </c>
      <c r="Q4334" s="1" t="s">
        <v>3901</v>
      </c>
    </row>
    <row r="4335">
      <c r="A4335" s="1">
        <v>4334.0</v>
      </c>
      <c r="B4335" s="1" t="s">
        <v>7145</v>
      </c>
      <c r="C4335" s="1" t="s">
        <v>25</v>
      </c>
      <c r="K4335" s="1">
        <v>250.0</v>
      </c>
      <c r="N4335" s="5">
        <v>43888.0</v>
      </c>
      <c r="Q4335" s="1" t="s">
        <v>7146</v>
      </c>
    </row>
    <row r="4336">
      <c r="A4336" s="1">
        <v>4335.0</v>
      </c>
      <c r="B4336" s="1" t="s">
        <v>7147</v>
      </c>
      <c r="C4336" s="1" t="s">
        <v>25</v>
      </c>
      <c r="K4336" s="1">
        <v>300.0</v>
      </c>
      <c r="N4336" s="5">
        <v>43864.0</v>
      </c>
      <c r="Q4336" s="1" t="s">
        <v>7148</v>
      </c>
    </row>
    <row r="4337">
      <c r="A4337" s="1">
        <v>4336.0</v>
      </c>
      <c r="B4337" s="1" t="s">
        <v>7149</v>
      </c>
      <c r="C4337" s="1" t="s">
        <v>25</v>
      </c>
      <c r="K4337" s="1">
        <v>150.0</v>
      </c>
      <c r="N4337" s="5">
        <v>44619.0</v>
      </c>
      <c r="Q4337" s="1" t="s">
        <v>7150</v>
      </c>
    </row>
    <row r="4338">
      <c r="A4338" s="1">
        <v>4337.0</v>
      </c>
      <c r="B4338" s="1" t="s">
        <v>7151</v>
      </c>
      <c r="C4338" s="1" t="s">
        <v>25</v>
      </c>
      <c r="K4338" s="1">
        <v>30.0</v>
      </c>
      <c r="N4338" s="5">
        <v>45340.0</v>
      </c>
      <c r="Q4338" s="1" t="s">
        <v>1226</v>
      </c>
    </row>
    <row r="4339">
      <c r="A4339" s="1">
        <v>4338.0</v>
      </c>
      <c r="B4339" s="1" t="s">
        <v>7152</v>
      </c>
      <c r="C4339" s="1" t="s">
        <v>25</v>
      </c>
      <c r="K4339" s="1">
        <v>10.0</v>
      </c>
      <c r="N4339" s="5">
        <v>45638.0</v>
      </c>
      <c r="Q4339" s="1" t="s">
        <v>5118</v>
      </c>
    </row>
    <row r="4340">
      <c r="A4340" s="1">
        <v>4339.0</v>
      </c>
      <c r="B4340" s="1" t="s">
        <v>7153</v>
      </c>
      <c r="C4340" s="1" t="s">
        <v>25</v>
      </c>
      <c r="K4340" s="1">
        <v>30.0</v>
      </c>
      <c r="N4340" s="5">
        <v>45594.0</v>
      </c>
      <c r="Q4340" s="1" t="s">
        <v>7154</v>
      </c>
    </row>
    <row r="4341">
      <c r="A4341" s="1">
        <v>4340.0</v>
      </c>
      <c r="B4341" s="1" t="s">
        <v>7155</v>
      </c>
      <c r="C4341" s="1" t="s">
        <v>25</v>
      </c>
      <c r="N4341" s="5">
        <v>45110.0</v>
      </c>
      <c r="Q4341" s="1" t="s">
        <v>55</v>
      </c>
    </row>
    <row r="4342">
      <c r="A4342" s="1">
        <v>4341.0</v>
      </c>
      <c r="B4342" s="1" t="s">
        <v>7156</v>
      </c>
      <c r="C4342" s="1" t="s">
        <v>25</v>
      </c>
      <c r="K4342" s="1">
        <v>200.0</v>
      </c>
      <c r="N4342" s="5">
        <v>43888.0</v>
      </c>
      <c r="Q4342" s="1" t="s">
        <v>7157</v>
      </c>
    </row>
    <row r="4343">
      <c r="A4343" s="1">
        <v>4342.0</v>
      </c>
      <c r="B4343" s="1" t="s">
        <v>7158</v>
      </c>
      <c r="C4343" s="1" t="s">
        <v>25</v>
      </c>
      <c r="K4343" s="1">
        <v>30.0</v>
      </c>
      <c r="N4343" s="5">
        <v>45309.0</v>
      </c>
      <c r="Q4343" s="1" t="s">
        <v>7159</v>
      </c>
    </row>
    <row r="4344">
      <c r="A4344" s="1">
        <v>4343.0</v>
      </c>
      <c r="B4344" s="1" t="s">
        <v>7160</v>
      </c>
      <c r="C4344" s="1" t="s">
        <v>25</v>
      </c>
      <c r="K4344" s="1">
        <v>150.0</v>
      </c>
      <c r="N4344" s="5">
        <v>45784.0</v>
      </c>
      <c r="Q4344" s="1" t="s">
        <v>7161</v>
      </c>
    </row>
    <row r="4345">
      <c r="A4345" s="1">
        <v>4344.0</v>
      </c>
      <c r="B4345" s="1" t="s">
        <v>7162</v>
      </c>
      <c r="C4345" s="1" t="s">
        <v>25</v>
      </c>
      <c r="K4345" s="1">
        <v>100.0</v>
      </c>
      <c r="N4345" s="5">
        <v>44090.0</v>
      </c>
      <c r="Q4345" s="1" t="s">
        <v>7163</v>
      </c>
    </row>
    <row r="4346">
      <c r="A4346" s="1">
        <v>4345.0</v>
      </c>
      <c r="B4346" s="1" t="s">
        <v>7164</v>
      </c>
      <c r="C4346" s="1" t="s">
        <v>25</v>
      </c>
      <c r="K4346" s="1">
        <v>90.0</v>
      </c>
      <c r="N4346" s="5">
        <v>43842.0</v>
      </c>
      <c r="Q4346" s="1" t="s">
        <v>7165</v>
      </c>
    </row>
    <row r="4347">
      <c r="A4347" s="1">
        <v>4346.0</v>
      </c>
      <c r="B4347" s="1" t="s">
        <v>7166</v>
      </c>
      <c r="C4347" s="1" t="s">
        <v>25</v>
      </c>
      <c r="K4347" s="1">
        <v>200.0</v>
      </c>
      <c r="N4347" s="5">
        <v>45058.0</v>
      </c>
      <c r="Q4347" s="1" t="s">
        <v>7167</v>
      </c>
    </row>
    <row r="4348">
      <c r="A4348" s="1">
        <v>4347.0</v>
      </c>
      <c r="B4348" s="1" t="s">
        <v>7168</v>
      </c>
      <c r="C4348" s="1" t="s">
        <v>25</v>
      </c>
      <c r="K4348" s="1">
        <v>40.0</v>
      </c>
      <c r="N4348" s="5">
        <v>44588.0</v>
      </c>
      <c r="Q4348" s="1" t="s">
        <v>7169</v>
      </c>
    </row>
    <row r="4349">
      <c r="A4349" s="1">
        <v>4348.0</v>
      </c>
      <c r="B4349" s="1" t="s">
        <v>7170</v>
      </c>
      <c r="C4349" s="1" t="s">
        <v>25</v>
      </c>
      <c r="K4349" s="1">
        <v>40.0</v>
      </c>
      <c r="N4349" s="5">
        <v>45710.0</v>
      </c>
      <c r="Q4349" s="1" t="s">
        <v>5160</v>
      </c>
    </row>
    <row r="4350">
      <c r="A4350" s="1">
        <v>4349.0</v>
      </c>
      <c r="B4350" s="1" t="s">
        <v>7171</v>
      </c>
      <c r="C4350" s="1" t="s">
        <v>25</v>
      </c>
      <c r="N4350" s="5">
        <v>44454.0</v>
      </c>
      <c r="Q4350" s="1" t="s">
        <v>55</v>
      </c>
    </row>
    <row r="4351">
      <c r="A4351" s="1">
        <v>4350.0</v>
      </c>
      <c r="B4351" s="1" t="s">
        <v>7172</v>
      </c>
      <c r="C4351" s="1" t="s">
        <v>25</v>
      </c>
      <c r="N4351" s="5">
        <v>44411.0</v>
      </c>
      <c r="Q4351" s="1" t="s">
        <v>55</v>
      </c>
    </row>
    <row r="4352">
      <c r="A4352" s="1">
        <v>4351.0</v>
      </c>
      <c r="B4352" s="1" t="s">
        <v>7173</v>
      </c>
      <c r="C4352" s="1" t="s">
        <v>25</v>
      </c>
      <c r="N4352" s="5">
        <v>44034.0</v>
      </c>
      <c r="Q4352" s="1" t="s">
        <v>55</v>
      </c>
    </row>
    <row r="4353">
      <c r="A4353" s="1">
        <v>4352.0</v>
      </c>
      <c r="B4353" s="1" t="s">
        <v>7174</v>
      </c>
      <c r="C4353" s="1" t="s">
        <v>25</v>
      </c>
      <c r="N4353" s="5">
        <v>44228.0</v>
      </c>
      <c r="Q4353" s="1" t="s">
        <v>55</v>
      </c>
    </row>
    <row r="4354">
      <c r="A4354" s="1">
        <v>4353.0</v>
      </c>
      <c r="B4354" s="1" t="s">
        <v>7175</v>
      </c>
      <c r="C4354" s="1" t="s">
        <v>25</v>
      </c>
      <c r="K4354" s="1">
        <v>500.0</v>
      </c>
      <c r="N4354" s="5">
        <v>44195.0</v>
      </c>
      <c r="Q4354" s="1" t="s">
        <v>7176</v>
      </c>
    </row>
    <row r="4355">
      <c r="A4355" s="1">
        <v>4354.0</v>
      </c>
      <c r="B4355" s="1" t="s">
        <v>7177</v>
      </c>
      <c r="C4355" s="1" t="s">
        <v>25</v>
      </c>
      <c r="K4355" s="1">
        <v>250.0</v>
      </c>
      <c r="N4355" s="5">
        <v>43879.0</v>
      </c>
      <c r="Q4355" s="1" t="s">
        <v>7178</v>
      </c>
    </row>
    <row r="4356">
      <c r="A4356" s="1">
        <v>4355.0</v>
      </c>
      <c r="B4356" s="1" t="s">
        <v>7179</v>
      </c>
      <c r="C4356" s="1" t="s">
        <v>25</v>
      </c>
      <c r="K4356" s="1">
        <v>60.0</v>
      </c>
      <c r="N4356" s="5">
        <v>44963.0</v>
      </c>
      <c r="Q4356" s="1" t="s">
        <v>7180</v>
      </c>
    </row>
    <row r="4357">
      <c r="A4357" s="1">
        <v>4356.0</v>
      </c>
      <c r="B4357" s="1" t="s">
        <v>7181</v>
      </c>
      <c r="C4357" s="1" t="s">
        <v>25</v>
      </c>
      <c r="N4357" s="5">
        <v>44487.0</v>
      </c>
      <c r="Q4357" s="1" t="s">
        <v>55</v>
      </c>
    </row>
    <row r="4358">
      <c r="A4358" s="1">
        <v>4357.0</v>
      </c>
      <c r="B4358" s="1" t="s">
        <v>7182</v>
      </c>
      <c r="C4358" s="1" t="s">
        <v>25</v>
      </c>
      <c r="K4358" s="1">
        <v>400.0</v>
      </c>
      <c r="N4358" s="5">
        <v>43930.0</v>
      </c>
      <c r="Q4358" s="1" t="s">
        <v>7183</v>
      </c>
    </row>
    <row r="4359">
      <c r="A4359" s="1">
        <v>4358.0</v>
      </c>
      <c r="B4359" s="1" t="s">
        <v>7184</v>
      </c>
      <c r="C4359" s="1" t="s">
        <v>25</v>
      </c>
      <c r="K4359" s="1">
        <v>200.0</v>
      </c>
      <c r="N4359" s="5">
        <v>44155.0</v>
      </c>
      <c r="Q4359" s="1" t="s">
        <v>7185</v>
      </c>
    </row>
    <row r="4360">
      <c r="A4360" s="1">
        <v>4359.0</v>
      </c>
      <c r="B4360" s="1" t="s">
        <v>7186</v>
      </c>
      <c r="C4360" s="1" t="s">
        <v>25</v>
      </c>
      <c r="K4360" s="1">
        <v>10.0</v>
      </c>
      <c r="N4360" s="5">
        <v>44422.0</v>
      </c>
      <c r="Q4360" s="1" t="s">
        <v>55</v>
      </c>
    </row>
    <row r="4361">
      <c r="A4361" s="1">
        <v>4360.0</v>
      </c>
      <c r="B4361" s="1" t="s">
        <v>7187</v>
      </c>
      <c r="C4361" s="1" t="s">
        <v>25</v>
      </c>
      <c r="K4361" s="1">
        <v>10.0</v>
      </c>
      <c r="N4361" s="5">
        <v>44732.0</v>
      </c>
      <c r="Q4361" s="1" t="s">
        <v>55</v>
      </c>
    </row>
    <row r="4362">
      <c r="A4362" s="1">
        <v>4361.0</v>
      </c>
      <c r="B4362" s="1" t="s">
        <v>7188</v>
      </c>
      <c r="C4362" s="1" t="s">
        <v>25</v>
      </c>
      <c r="K4362" s="1">
        <v>30.0</v>
      </c>
      <c r="N4362" s="5">
        <v>45669.0</v>
      </c>
      <c r="Q4362" s="1" t="s">
        <v>7189</v>
      </c>
    </row>
    <row r="4363">
      <c r="A4363" s="1">
        <v>4362.0</v>
      </c>
      <c r="B4363" s="1" t="s">
        <v>7190</v>
      </c>
      <c r="C4363" s="1" t="s">
        <v>25</v>
      </c>
      <c r="K4363" s="1">
        <v>200.0</v>
      </c>
      <c r="N4363" s="5">
        <v>43898.0</v>
      </c>
      <c r="Q4363" s="1" t="s">
        <v>7191</v>
      </c>
    </row>
    <row r="4364">
      <c r="A4364" s="1">
        <v>4363.0</v>
      </c>
      <c r="B4364" s="1" t="s">
        <v>7192</v>
      </c>
      <c r="C4364" s="1" t="s">
        <v>25</v>
      </c>
      <c r="N4364" s="5">
        <v>44713.0</v>
      </c>
      <c r="Q4364" s="1" t="s">
        <v>7193</v>
      </c>
    </row>
    <row r="4365">
      <c r="A4365" s="1">
        <v>4364.0</v>
      </c>
      <c r="B4365" s="1" t="s">
        <v>7194</v>
      </c>
      <c r="C4365" s="1" t="s">
        <v>25</v>
      </c>
      <c r="K4365" s="1">
        <v>20.0</v>
      </c>
      <c r="N4365" s="5">
        <v>44485.0</v>
      </c>
      <c r="Q4365" s="1" t="s">
        <v>55</v>
      </c>
    </row>
    <row r="4366">
      <c r="A4366" s="1">
        <v>4365.0</v>
      </c>
      <c r="B4366" s="1" t="s">
        <v>7195</v>
      </c>
      <c r="C4366" s="1" t="s">
        <v>25</v>
      </c>
      <c r="K4366" s="1">
        <v>10.0</v>
      </c>
      <c r="N4366" s="5">
        <v>44167.0</v>
      </c>
      <c r="Q4366" s="1" t="s">
        <v>851</v>
      </c>
    </row>
    <row r="4367">
      <c r="A4367" s="1">
        <v>4366.0</v>
      </c>
      <c r="B4367" s="1" t="s">
        <v>7196</v>
      </c>
      <c r="C4367" s="1" t="s">
        <v>25</v>
      </c>
      <c r="K4367" s="1">
        <v>10.0</v>
      </c>
      <c r="N4367" s="5">
        <v>44574.0</v>
      </c>
      <c r="Q4367" s="1" t="s">
        <v>55</v>
      </c>
    </row>
    <row r="4368">
      <c r="A4368" s="1">
        <v>4367.0</v>
      </c>
      <c r="B4368" s="1" t="s">
        <v>7197</v>
      </c>
      <c r="C4368" s="1" t="s">
        <v>25</v>
      </c>
      <c r="N4368" s="5">
        <v>42757.0</v>
      </c>
      <c r="Q4368" s="1" t="s">
        <v>55</v>
      </c>
    </row>
    <row r="4369">
      <c r="A4369" s="1">
        <v>4368.0</v>
      </c>
      <c r="B4369" s="1" t="s">
        <v>7198</v>
      </c>
      <c r="C4369" s="1" t="s">
        <v>25</v>
      </c>
      <c r="N4369" s="5">
        <v>44349.0</v>
      </c>
      <c r="Q4369" s="1" t="s">
        <v>55</v>
      </c>
    </row>
    <row r="4370">
      <c r="A4370" s="1">
        <v>4369.0</v>
      </c>
      <c r="B4370" s="1" t="s">
        <v>7199</v>
      </c>
      <c r="C4370" s="1" t="s">
        <v>25</v>
      </c>
      <c r="N4370" s="5">
        <v>44626.0</v>
      </c>
      <c r="Q4370" s="1" t="s">
        <v>55</v>
      </c>
    </row>
    <row r="4371">
      <c r="A4371" s="1">
        <v>4370.0</v>
      </c>
      <c r="B4371" s="1" t="s">
        <v>7200</v>
      </c>
      <c r="C4371" s="1" t="s">
        <v>25</v>
      </c>
      <c r="K4371" s="1">
        <v>10.0</v>
      </c>
      <c r="N4371" s="5">
        <v>44259.0</v>
      </c>
      <c r="Q4371" s="1" t="s">
        <v>55</v>
      </c>
    </row>
    <row r="4372">
      <c r="A4372" s="1">
        <v>4371.0</v>
      </c>
      <c r="B4372" s="1" t="s">
        <v>7201</v>
      </c>
      <c r="C4372" s="1" t="s">
        <v>25</v>
      </c>
      <c r="K4372" s="1">
        <v>80.0</v>
      </c>
      <c r="N4372" s="5">
        <v>43845.0</v>
      </c>
      <c r="Q4372" s="1" t="s">
        <v>7202</v>
      </c>
    </row>
    <row r="4373">
      <c r="A4373" s="1">
        <v>4372.0</v>
      </c>
      <c r="B4373" s="1" t="s">
        <v>7203</v>
      </c>
      <c r="C4373" s="1" t="s">
        <v>25</v>
      </c>
      <c r="N4373" s="5">
        <v>44263.0</v>
      </c>
      <c r="Q4373" s="1" t="s">
        <v>55</v>
      </c>
    </row>
    <row r="4374">
      <c r="A4374" s="1">
        <v>4373.0</v>
      </c>
      <c r="B4374" s="1" t="s">
        <v>7204</v>
      </c>
      <c r="C4374" s="1" t="s">
        <v>25</v>
      </c>
      <c r="K4374" s="1">
        <v>10.0</v>
      </c>
      <c r="N4374" s="5">
        <v>44261.0</v>
      </c>
      <c r="Q4374" s="1" t="s">
        <v>322</v>
      </c>
    </row>
    <row r="4375">
      <c r="A4375" s="1">
        <v>4374.0</v>
      </c>
      <c r="B4375" s="1" t="s">
        <v>7205</v>
      </c>
      <c r="C4375" s="1" t="s">
        <v>25</v>
      </c>
      <c r="K4375" s="1">
        <v>30.0</v>
      </c>
      <c r="N4375" s="5">
        <v>44061.0</v>
      </c>
      <c r="Q4375" s="1" t="s">
        <v>7206</v>
      </c>
    </row>
    <row r="4376">
      <c r="A4376" s="1">
        <v>4375.0</v>
      </c>
      <c r="B4376" s="1" t="s">
        <v>7207</v>
      </c>
      <c r="C4376" s="1" t="s">
        <v>25</v>
      </c>
      <c r="N4376" s="5">
        <v>44170.0</v>
      </c>
      <c r="Q4376" s="1" t="s">
        <v>55</v>
      </c>
    </row>
    <row r="4377">
      <c r="A4377" s="1">
        <v>4376.0</v>
      </c>
      <c r="B4377" s="1" t="s">
        <v>7208</v>
      </c>
      <c r="C4377" s="1" t="s">
        <v>25</v>
      </c>
      <c r="K4377" s="1">
        <v>200.0</v>
      </c>
      <c r="N4377" s="5">
        <v>43932.0</v>
      </c>
      <c r="Q4377" s="1" t="s">
        <v>7209</v>
      </c>
    </row>
    <row r="4378">
      <c r="A4378" s="1">
        <v>4377.0</v>
      </c>
      <c r="B4378" s="1" t="s">
        <v>7210</v>
      </c>
      <c r="C4378" s="1" t="s">
        <v>25</v>
      </c>
      <c r="K4378" s="1">
        <v>10.0</v>
      </c>
      <c r="N4378" s="5">
        <v>45249.0</v>
      </c>
      <c r="Q4378" s="1" t="s">
        <v>55</v>
      </c>
    </row>
    <row r="4379">
      <c r="A4379" s="1">
        <v>4378.0</v>
      </c>
      <c r="B4379" s="1" t="s">
        <v>7211</v>
      </c>
      <c r="C4379" s="1" t="s">
        <v>25</v>
      </c>
      <c r="K4379" s="1">
        <v>100.0</v>
      </c>
      <c r="N4379" s="5">
        <v>44711.0</v>
      </c>
      <c r="Q4379" s="1" t="s">
        <v>7212</v>
      </c>
    </row>
    <row r="4380">
      <c r="A4380" s="1">
        <v>4379.0</v>
      </c>
      <c r="B4380" s="1" t="s">
        <v>7213</v>
      </c>
      <c r="C4380" s="1" t="s">
        <v>25</v>
      </c>
      <c r="N4380" s="5">
        <v>42667.0</v>
      </c>
      <c r="Q4380" s="1" t="s">
        <v>55</v>
      </c>
    </row>
    <row r="4381">
      <c r="A4381" s="1">
        <v>4380.0</v>
      </c>
      <c r="B4381" s="1" t="s">
        <v>7214</v>
      </c>
      <c r="C4381" s="1" t="s">
        <v>25</v>
      </c>
      <c r="N4381" s="5">
        <v>44633.0</v>
      </c>
      <c r="Q4381" s="1" t="s">
        <v>55</v>
      </c>
    </row>
    <row r="4382">
      <c r="A4382" s="1">
        <v>4381.0</v>
      </c>
      <c r="B4382" s="1" t="s">
        <v>7215</v>
      </c>
      <c r="C4382" s="1" t="s">
        <v>25</v>
      </c>
      <c r="K4382" s="1">
        <v>30.0</v>
      </c>
      <c r="N4382" s="5">
        <v>43905.0</v>
      </c>
      <c r="Q4382" s="1" t="s">
        <v>55</v>
      </c>
    </row>
    <row r="4383">
      <c r="A4383" s="1">
        <v>4382.0</v>
      </c>
      <c r="B4383" s="1" t="s">
        <v>7216</v>
      </c>
      <c r="C4383" s="1" t="s">
        <v>25</v>
      </c>
      <c r="K4383" s="1">
        <v>50.0</v>
      </c>
      <c r="N4383" s="5">
        <v>45184.0</v>
      </c>
      <c r="Q4383" s="1" t="s">
        <v>633</v>
      </c>
    </row>
    <row r="4384">
      <c r="A4384" s="1">
        <v>4383.0</v>
      </c>
      <c r="B4384" s="1" t="s">
        <v>7217</v>
      </c>
      <c r="C4384" s="1" t="s">
        <v>25</v>
      </c>
      <c r="N4384" s="5">
        <v>44064.0</v>
      </c>
      <c r="Q4384" s="1" t="s">
        <v>55</v>
      </c>
    </row>
    <row r="4385">
      <c r="A4385" s="1">
        <v>4384.0</v>
      </c>
      <c r="B4385" s="1" t="s">
        <v>7218</v>
      </c>
      <c r="C4385" s="1" t="s">
        <v>25</v>
      </c>
      <c r="N4385" s="5">
        <v>44790.0</v>
      </c>
      <c r="Q4385" s="1" t="s">
        <v>55</v>
      </c>
    </row>
    <row r="4386">
      <c r="A4386" s="1">
        <v>4385.0</v>
      </c>
      <c r="B4386" s="1" t="s">
        <v>7219</v>
      </c>
      <c r="C4386" s="1" t="s">
        <v>25</v>
      </c>
      <c r="K4386" s="1">
        <v>60.0</v>
      </c>
      <c r="N4386" s="5">
        <v>44272.0</v>
      </c>
      <c r="Q4386" s="1" t="s">
        <v>7220</v>
      </c>
    </row>
    <row r="4387">
      <c r="A4387" s="1">
        <v>4386.0</v>
      </c>
      <c r="B4387" s="1" t="s">
        <v>7221</v>
      </c>
      <c r="C4387" s="1" t="s">
        <v>25</v>
      </c>
      <c r="K4387" s="1">
        <v>70.0</v>
      </c>
      <c r="N4387" s="5">
        <v>44083.0</v>
      </c>
      <c r="Q4387" s="1" t="s">
        <v>7222</v>
      </c>
    </row>
    <row r="4388">
      <c r="A4388" s="1">
        <v>4387.0</v>
      </c>
      <c r="B4388" s="1" t="s">
        <v>7223</v>
      </c>
      <c r="C4388" s="1" t="s">
        <v>25</v>
      </c>
      <c r="N4388" s="5">
        <v>43929.0</v>
      </c>
      <c r="Q4388" s="1" t="s">
        <v>55</v>
      </c>
    </row>
    <row r="4389">
      <c r="A4389" s="1">
        <v>4388.0</v>
      </c>
      <c r="B4389" s="1" t="s">
        <v>7224</v>
      </c>
      <c r="C4389" s="1" t="s">
        <v>25</v>
      </c>
      <c r="N4389" s="5">
        <v>44549.0</v>
      </c>
      <c r="Q4389" s="1" t="s">
        <v>55</v>
      </c>
    </row>
    <row r="4390">
      <c r="A4390" s="1">
        <v>4389.0</v>
      </c>
      <c r="B4390" s="1" t="s">
        <v>7225</v>
      </c>
      <c r="C4390" s="1" t="s">
        <v>25</v>
      </c>
      <c r="K4390" s="1">
        <v>150.0</v>
      </c>
      <c r="N4390" s="5">
        <v>43881.0</v>
      </c>
      <c r="Q4390" s="1" t="s">
        <v>55</v>
      </c>
    </row>
    <row r="4391">
      <c r="A4391" s="1">
        <v>4390.0</v>
      </c>
      <c r="B4391" s="1" t="s">
        <v>7226</v>
      </c>
      <c r="C4391" s="1" t="s">
        <v>25</v>
      </c>
      <c r="K4391" s="1">
        <v>150.0</v>
      </c>
      <c r="N4391" s="5">
        <v>45035.0</v>
      </c>
      <c r="Q4391" s="1" t="s">
        <v>7227</v>
      </c>
    </row>
    <row r="4392">
      <c r="A4392" s="1">
        <v>4391.0</v>
      </c>
      <c r="B4392" s="1" t="s">
        <v>7228</v>
      </c>
      <c r="C4392" s="1" t="s">
        <v>25</v>
      </c>
      <c r="K4392" s="1">
        <v>40.0</v>
      </c>
      <c r="N4392" s="5">
        <v>45270.0</v>
      </c>
      <c r="Q4392" s="1" t="s">
        <v>125</v>
      </c>
    </row>
    <row r="4393">
      <c r="A4393" s="1">
        <v>4392.0</v>
      </c>
      <c r="B4393" s="1" t="s">
        <v>7229</v>
      </c>
      <c r="C4393" s="1" t="s">
        <v>25</v>
      </c>
      <c r="K4393" s="1">
        <v>40.0</v>
      </c>
      <c r="N4393" s="5">
        <v>45659.0</v>
      </c>
      <c r="Q4393" s="1" t="s">
        <v>7230</v>
      </c>
    </row>
    <row r="4394">
      <c r="A4394" s="1">
        <v>4393.0</v>
      </c>
      <c r="B4394" s="1" t="s">
        <v>7231</v>
      </c>
      <c r="C4394" s="1" t="s">
        <v>25</v>
      </c>
      <c r="K4394" s="1">
        <v>60.0</v>
      </c>
      <c r="N4394" s="5">
        <v>43869.0</v>
      </c>
      <c r="Q4394" s="1" t="s">
        <v>55</v>
      </c>
    </row>
    <row r="4395">
      <c r="A4395" s="1">
        <v>4394.0</v>
      </c>
      <c r="B4395" s="1" t="s">
        <v>7232</v>
      </c>
      <c r="C4395" s="1" t="s">
        <v>25</v>
      </c>
      <c r="N4395" s="5">
        <v>43937.0</v>
      </c>
      <c r="Q4395" s="1" t="s">
        <v>7233</v>
      </c>
    </row>
    <row r="4396">
      <c r="A4396" s="1">
        <v>4395.0</v>
      </c>
      <c r="B4396" s="1" t="s">
        <v>7234</v>
      </c>
      <c r="C4396" s="1" t="s">
        <v>25</v>
      </c>
      <c r="N4396" s="5">
        <v>44321.0</v>
      </c>
      <c r="Q4396" s="1" t="s">
        <v>55</v>
      </c>
    </row>
    <row r="4397">
      <c r="A4397" s="1">
        <v>4396.0</v>
      </c>
      <c r="B4397" s="1" t="s">
        <v>7235</v>
      </c>
      <c r="C4397" s="1" t="s">
        <v>25</v>
      </c>
      <c r="N4397" s="5">
        <v>44319.0</v>
      </c>
      <c r="Q4397" s="1" t="s">
        <v>7236</v>
      </c>
    </row>
    <row r="4398">
      <c r="A4398" s="1">
        <v>4397.0</v>
      </c>
      <c r="B4398" s="1" t="s">
        <v>7237</v>
      </c>
      <c r="C4398" s="1" t="s">
        <v>25</v>
      </c>
      <c r="K4398" s="1">
        <v>40.0</v>
      </c>
      <c r="N4398" s="5">
        <v>44448.0</v>
      </c>
      <c r="Q4398" s="1" t="s">
        <v>55</v>
      </c>
    </row>
    <row r="4399">
      <c r="A4399" s="1">
        <v>4398.0</v>
      </c>
      <c r="B4399" s="1" t="s">
        <v>7238</v>
      </c>
      <c r="C4399" s="1" t="s">
        <v>25</v>
      </c>
      <c r="K4399" s="1">
        <v>100.0</v>
      </c>
      <c r="N4399" s="5">
        <v>43898.0</v>
      </c>
      <c r="Q4399" s="1" t="s">
        <v>7239</v>
      </c>
    </row>
    <row r="4400">
      <c r="A4400" s="1">
        <v>4399.0</v>
      </c>
      <c r="B4400" s="1" t="s">
        <v>7240</v>
      </c>
      <c r="C4400" s="1" t="s">
        <v>25</v>
      </c>
      <c r="N4400" s="5">
        <v>43897.0</v>
      </c>
      <c r="Q4400" s="1" t="s">
        <v>55</v>
      </c>
    </row>
    <row r="4401">
      <c r="A4401" s="1">
        <v>4400.0</v>
      </c>
      <c r="B4401" s="1" t="s">
        <v>7241</v>
      </c>
      <c r="C4401" s="1" t="s">
        <v>25</v>
      </c>
      <c r="K4401" s="1">
        <v>60.0</v>
      </c>
      <c r="N4401" s="5">
        <v>44310.0</v>
      </c>
      <c r="Q4401" s="1" t="s">
        <v>7242</v>
      </c>
    </row>
    <row r="4402">
      <c r="A4402" s="1">
        <v>4401.0</v>
      </c>
      <c r="B4402" s="1" t="s">
        <v>7243</v>
      </c>
      <c r="C4402" s="1" t="s">
        <v>25</v>
      </c>
      <c r="K4402" s="1">
        <v>70.0</v>
      </c>
      <c r="N4402" s="5">
        <v>44430.0</v>
      </c>
      <c r="Q4402" s="1" t="s">
        <v>7244</v>
      </c>
    </row>
    <row r="4403">
      <c r="A4403" s="1">
        <v>4402.0</v>
      </c>
      <c r="B4403" s="1" t="s">
        <v>7245</v>
      </c>
      <c r="C4403" s="1" t="s">
        <v>25</v>
      </c>
      <c r="K4403" s="1">
        <v>30.0</v>
      </c>
      <c r="N4403" s="5">
        <v>45646.0</v>
      </c>
      <c r="Q4403" s="1" t="s">
        <v>5005</v>
      </c>
    </row>
    <row r="4404">
      <c r="A4404" s="1">
        <v>4403.0</v>
      </c>
      <c r="B4404" s="1" t="s">
        <v>7246</v>
      </c>
      <c r="C4404" s="1" t="s">
        <v>25</v>
      </c>
      <c r="N4404" s="5">
        <v>45397.0</v>
      </c>
      <c r="Q4404" s="1" t="s">
        <v>105</v>
      </c>
    </row>
    <row r="4405">
      <c r="A4405" s="1">
        <v>4404.0</v>
      </c>
      <c r="B4405" s="1" t="s">
        <v>7247</v>
      </c>
      <c r="C4405" s="1" t="s">
        <v>25</v>
      </c>
      <c r="K4405" s="1">
        <v>150.0</v>
      </c>
      <c r="N4405" s="5">
        <v>43886.0</v>
      </c>
      <c r="Q4405" s="1" t="s">
        <v>7248</v>
      </c>
    </row>
    <row r="4406">
      <c r="A4406" s="1">
        <v>4405.0</v>
      </c>
      <c r="B4406" s="1" t="s">
        <v>7249</v>
      </c>
      <c r="C4406" s="1" t="s">
        <v>25</v>
      </c>
      <c r="K4406" s="1">
        <v>200.0</v>
      </c>
      <c r="N4406" s="5">
        <v>45562.0</v>
      </c>
      <c r="Q4406" s="1" t="s">
        <v>7250</v>
      </c>
    </row>
    <row r="4407">
      <c r="A4407" s="1">
        <v>4406.0</v>
      </c>
      <c r="B4407" s="1" t="s">
        <v>7251</v>
      </c>
      <c r="C4407" s="1" t="s">
        <v>25</v>
      </c>
      <c r="K4407" s="1">
        <v>10.0</v>
      </c>
      <c r="N4407" s="5">
        <v>45186.0</v>
      </c>
      <c r="Q4407" s="1" t="s">
        <v>55</v>
      </c>
    </row>
    <row r="4408">
      <c r="A4408" s="1">
        <v>4407.0</v>
      </c>
      <c r="B4408" s="1" t="s">
        <v>7252</v>
      </c>
      <c r="C4408" s="1" t="s">
        <v>25</v>
      </c>
      <c r="N4408" s="5">
        <v>44374.0</v>
      </c>
      <c r="Q4408" s="1" t="s">
        <v>55</v>
      </c>
    </row>
    <row r="4409">
      <c r="A4409" s="1">
        <v>4408.0</v>
      </c>
      <c r="B4409" s="1" t="s">
        <v>7253</v>
      </c>
      <c r="C4409" s="1" t="s">
        <v>25</v>
      </c>
      <c r="N4409" s="5">
        <v>43972.0</v>
      </c>
      <c r="Q4409" s="1" t="s">
        <v>55</v>
      </c>
    </row>
    <row r="4410">
      <c r="A4410" s="1">
        <v>4409.0</v>
      </c>
      <c r="B4410" s="1" t="s">
        <v>7254</v>
      </c>
      <c r="C4410" s="1" t="s">
        <v>25</v>
      </c>
      <c r="K4410" s="1">
        <v>100.0</v>
      </c>
      <c r="N4410" s="5">
        <v>45436.0</v>
      </c>
      <c r="Q4410" s="1" t="s">
        <v>1726</v>
      </c>
    </row>
    <row r="4411">
      <c r="A4411" s="1">
        <v>4410.0</v>
      </c>
      <c r="B4411" s="1" t="s">
        <v>7255</v>
      </c>
      <c r="C4411" s="1" t="s">
        <v>25</v>
      </c>
      <c r="K4411" s="1">
        <v>50.0</v>
      </c>
      <c r="N4411" s="5">
        <v>44215.0</v>
      </c>
      <c r="Q4411" s="1" t="s">
        <v>55</v>
      </c>
    </row>
    <row r="4412">
      <c r="A4412" s="1">
        <v>4411.0</v>
      </c>
      <c r="B4412" s="1" t="s">
        <v>7256</v>
      </c>
      <c r="C4412" s="1" t="s">
        <v>25</v>
      </c>
      <c r="N4412" s="5">
        <v>44292.0</v>
      </c>
      <c r="Q4412" s="1" t="s">
        <v>55</v>
      </c>
    </row>
    <row r="4413">
      <c r="A4413" s="1">
        <v>4412.0</v>
      </c>
      <c r="B4413" s="1" t="s">
        <v>7257</v>
      </c>
      <c r="C4413" s="1" t="s">
        <v>25</v>
      </c>
      <c r="K4413" s="1">
        <v>10.0</v>
      </c>
      <c r="N4413" s="5">
        <v>44305.0</v>
      </c>
      <c r="Q4413" s="1" t="s">
        <v>7258</v>
      </c>
    </row>
    <row r="4414">
      <c r="A4414" s="1">
        <v>4413.0</v>
      </c>
      <c r="B4414" s="1" t="s">
        <v>7259</v>
      </c>
      <c r="C4414" s="1" t="s">
        <v>25</v>
      </c>
      <c r="K4414" s="1">
        <v>100.0</v>
      </c>
      <c r="N4414" s="5">
        <v>44859.0</v>
      </c>
      <c r="Q4414" s="1" t="s">
        <v>7260</v>
      </c>
    </row>
    <row r="4415">
      <c r="A4415" s="1">
        <v>4414.0</v>
      </c>
      <c r="B4415" s="1" t="s">
        <v>7261</v>
      </c>
      <c r="C4415" s="1" t="s">
        <v>25</v>
      </c>
      <c r="K4415" s="1">
        <v>100.0</v>
      </c>
      <c r="N4415" s="5">
        <v>43922.0</v>
      </c>
      <c r="Q4415" s="1" t="s">
        <v>7262</v>
      </c>
    </row>
    <row r="4416">
      <c r="A4416" s="1">
        <v>4415.0</v>
      </c>
      <c r="B4416" s="1" t="s">
        <v>7263</v>
      </c>
      <c r="C4416" s="1" t="s">
        <v>25</v>
      </c>
      <c r="K4416" s="1">
        <v>100.0</v>
      </c>
      <c r="N4416" s="5">
        <v>43991.0</v>
      </c>
      <c r="Q4416" s="1" t="s">
        <v>7264</v>
      </c>
    </row>
    <row r="4417">
      <c r="A4417" s="1">
        <v>4416.0</v>
      </c>
      <c r="B4417" s="1" t="s">
        <v>7265</v>
      </c>
      <c r="C4417" s="1" t="s">
        <v>25</v>
      </c>
      <c r="K4417" s="1">
        <v>10.0</v>
      </c>
      <c r="N4417" s="5">
        <v>44017.0</v>
      </c>
      <c r="Q4417" s="1" t="s">
        <v>7266</v>
      </c>
    </row>
    <row r="4418">
      <c r="A4418" s="1">
        <v>4417.0</v>
      </c>
      <c r="B4418" s="1" t="s">
        <v>7267</v>
      </c>
      <c r="C4418" s="1" t="s">
        <v>25</v>
      </c>
      <c r="K4418" s="1">
        <v>200.0</v>
      </c>
      <c r="N4418" s="5">
        <v>44192.0</v>
      </c>
      <c r="Q4418" s="1" t="s">
        <v>7268</v>
      </c>
    </row>
    <row r="4419">
      <c r="A4419" s="1">
        <v>4418.0</v>
      </c>
      <c r="B4419" s="1" t="s">
        <v>7269</v>
      </c>
      <c r="C4419" s="1" t="s">
        <v>25</v>
      </c>
      <c r="K4419" s="1">
        <v>40.0</v>
      </c>
      <c r="N4419" s="5">
        <v>45134.0</v>
      </c>
      <c r="Q4419" s="1" t="s">
        <v>2183</v>
      </c>
    </row>
    <row r="4420">
      <c r="A4420" s="1">
        <v>4419.0</v>
      </c>
      <c r="B4420" s="1" t="s">
        <v>7270</v>
      </c>
      <c r="C4420" s="1" t="s">
        <v>25</v>
      </c>
      <c r="K4420" s="1">
        <v>20.0</v>
      </c>
      <c r="N4420" s="5">
        <v>44495.0</v>
      </c>
      <c r="Q4420" s="1" t="s">
        <v>55</v>
      </c>
    </row>
    <row r="4421">
      <c r="A4421" s="1">
        <v>4420.0</v>
      </c>
      <c r="B4421" s="1" t="s">
        <v>7271</v>
      </c>
      <c r="C4421" s="1" t="s">
        <v>25</v>
      </c>
      <c r="N4421" s="5">
        <v>44264.0</v>
      </c>
      <c r="Q4421" s="1" t="s">
        <v>55</v>
      </c>
    </row>
    <row r="4422">
      <c r="A4422" s="1">
        <v>4421.0</v>
      </c>
      <c r="B4422" s="1" t="s">
        <v>7272</v>
      </c>
      <c r="C4422" s="1" t="s">
        <v>25</v>
      </c>
      <c r="N4422" s="5">
        <v>44487.0</v>
      </c>
      <c r="Q4422" s="1" t="s">
        <v>55</v>
      </c>
    </row>
    <row r="4423">
      <c r="A4423" s="1">
        <v>4422.0</v>
      </c>
      <c r="B4423" s="1" t="s">
        <v>7273</v>
      </c>
      <c r="C4423" s="1" t="s">
        <v>25</v>
      </c>
      <c r="K4423" s="1">
        <v>20.0</v>
      </c>
      <c r="N4423" s="5">
        <v>44752.0</v>
      </c>
      <c r="Q4423" s="1" t="s">
        <v>569</v>
      </c>
    </row>
    <row r="4424">
      <c r="A4424" s="1">
        <v>4423.0</v>
      </c>
      <c r="B4424" s="1" t="s">
        <v>7274</v>
      </c>
      <c r="C4424" s="1" t="s">
        <v>25</v>
      </c>
      <c r="K4424" s="1">
        <v>200.0</v>
      </c>
      <c r="N4424" s="5">
        <v>44336.0</v>
      </c>
      <c r="Q4424" s="1" t="s">
        <v>7275</v>
      </c>
    </row>
    <row r="4425">
      <c r="A4425" s="1">
        <v>4424.0</v>
      </c>
      <c r="B4425" s="1" t="s">
        <v>7276</v>
      </c>
      <c r="C4425" s="1" t="s">
        <v>25</v>
      </c>
      <c r="K4425" s="1">
        <v>150.0</v>
      </c>
      <c r="N4425" s="5">
        <v>43881.0</v>
      </c>
      <c r="Q4425" s="1" t="s">
        <v>2072</v>
      </c>
    </row>
    <row r="4426">
      <c r="A4426" s="1">
        <v>4425.0</v>
      </c>
      <c r="B4426" s="1" t="s">
        <v>7277</v>
      </c>
      <c r="C4426" s="1" t="s">
        <v>25</v>
      </c>
      <c r="K4426" s="1">
        <v>20.0</v>
      </c>
      <c r="N4426" s="5">
        <v>44475.0</v>
      </c>
      <c r="Q4426" s="1" t="s">
        <v>55</v>
      </c>
    </row>
    <row r="4427">
      <c r="A4427" s="1">
        <v>4426.0</v>
      </c>
      <c r="B4427" s="1" t="s">
        <v>7278</v>
      </c>
      <c r="C4427" s="1" t="s">
        <v>25</v>
      </c>
      <c r="K4427" s="1">
        <v>20.0</v>
      </c>
      <c r="N4427" s="5">
        <v>44329.0</v>
      </c>
      <c r="Q4427" s="1" t="s">
        <v>55</v>
      </c>
    </row>
    <row r="4428">
      <c r="A4428" s="1">
        <v>4427.0</v>
      </c>
      <c r="B4428" s="1" t="s">
        <v>7279</v>
      </c>
      <c r="C4428" s="1" t="s">
        <v>25</v>
      </c>
      <c r="N4428" s="5">
        <v>43960.0</v>
      </c>
      <c r="Q4428" s="1" t="s">
        <v>55</v>
      </c>
    </row>
    <row r="4429">
      <c r="A4429" s="1">
        <v>4428.0</v>
      </c>
      <c r="B4429" s="1" t="s">
        <v>7280</v>
      </c>
      <c r="C4429" s="1" t="s">
        <v>25</v>
      </c>
      <c r="K4429" s="1">
        <v>70.0</v>
      </c>
      <c r="N4429" s="5">
        <v>44186.0</v>
      </c>
      <c r="Q4429" s="1" t="s">
        <v>7281</v>
      </c>
    </row>
    <row r="4430">
      <c r="A4430" s="1">
        <v>4429.0</v>
      </c>
      <c r="B4430" s="1" t="s">
        <v>7282</v>
      </c>
      <c r="C4430" s="1" t="s">
        <v>25</v>
      </c>
      <c r="K4430" s="1">
        <v>30.0</v>
      </c>
      <c r="N4430" s="5">
        <v>43911.0</v>
      </c>
      <c r="Q4430" s="1" t="s">
        <v>7283</v>
      </c>
    </row>
    <row r="4431">
      <c r="A4431" s="1">
        <v>4430.0</v>
      </c>
      <c r="B4431" s="1" t="s">
        <v>7284</v>
      </c>
      <c r="C4431" s="1" t="s">
        <v>25</v>
      </c>
      <c r="K4431" s="1">
        <v>70.0</v>
      </c>
      <c r="N4431" s="5">
        <v>45339.0</v>
      </c>
      <c r="Q4431" s="1" t="s">
        <v>974</v>
      </c>
    </row>
    <row r="4432">
      <c r="A4432" s="1">
        <v>4431.0</v>
      </c>
      <c r="B4432" s="1" t="s">
        <v>7285</v>
      </c>
      <c r="C4432" s="1" t="s">
        <v>25</v>
      </c>
      <c r="K4432" s="1">
        <v>40.0</v>
      </c>
      <c r="N4432" s="5">
        <v>45305.0</v>
      </c>
      <c r="Q4432" s="1" t="s">
        <v>55</v>
      </c>
    </row>
    <row r="4433">
      <c r="A4433" s="1">
        <v>4432.0</v>
      </c>
      <c r="B4433" s="1" t="s">
        <v>7286</v>
      </c>
      <c r="C4433" s="1" t="s">
        <v>25</v>
      </c>
      <c r="N4433" s="5">
        <v>43859.0</v>
      </c>
      <c r="Q4433" s="1" t="s">
        <v>125</v>
      </c>
    </row>
    <row r="4434">
      <c r="A4434" s="1">
        <v>4433.0</v>
      </c>
      <c r="B4434" s="1" t="s">
        <v>7287</v>
      </c>
      <c r="C4434" s="1" t="s">
        <v>25</v>
      </c>
      <c r="K4434" s="1">
        <v>40.0</v>
      </c>
      <c r="N4434" s="5">
        <v>43895.0</v>
      </c>
      <c r="Q4434" s="1" t="s">
        <v>7288</v>
      </c>
    </row>
    <row r="4435">
      <c r="A4435" s="1">
        <v>4434.0</v>
      </c>
      <c r="B4435" s="1" t="s">
        <v>7289</v>
      </c>
      <c r="C4435" s="1" t="s">
        <v>25</v>
      </c>
      <c r="N4435" s="5">
        <v>44536.0</v>
      </c>
      <c r="Q4435" s="1" t="s">
        <v>55</v>
      </c>
    </row>
    <row r="4436">
      <c r="A4436" s="1">
        <v>4435.0</v>
      </c>
      <c r="B4436" s="1" t="s">
        <v>7290</v>
      </c>
      <c r="C4436" s="1" t="s">
        <v>25</v>
      </c>
      <c r="K4436" s="1">
        <v>70.0</v>
      </c>
      <c r="N4436" s="5">
        <v>45743.0</v>
      </c>
      <c r="Q4436" s="1" t="s">
        <v>1991</v>
      </c>
    </row>
    <row r="4437">
      <c r="A4437" s="1">
        <v>4436.0</v>
      </c>
      <c r="B4437" s="1" t="s">
        <v>7291</v>
      </c>
      <c r="C4437" s="1" t="s">
        <v>25</v>
      </c>
      <c r="K4437" s="1">
        <v>300.0</v>
      </c>
      <c r="N4437" s="5">
        <v>44529.0</v>
      </c>
      <c r="Q4437" s="1" t="s">
        <v>1668</v>
      </c>
    </row>
    <row r="4438">
      <c r="A4438" s="1">
        <v>4437.0</v>
      </c>
      <c r="B4438" s="1" t="s">
        <v>7292</v>
      </c>
      <c r="C4438" s="1" t="s">
        <v>25</v>
      </c>
      <c r="K4438" s="1">
        <v>40.0</v>
      </c>
      <c r="N4438" s="5">
        <v>44216.0</v>
      </c>
      <c r="Q4438" s="1" t="s">
        <v>125</v>
      </c>
    </row>
    <row r="4439">
      <c r="A4439" s="1">
        <v>4438.0</v>
      </c>
      <c r="B4439" s="1" t="s">
        <v>7293</v>
      </c>
      <c r="C4439" s="1" t="s">
        <v>25</v>
      </c>
      <c r="K4439" s="1">
        <v>70.0</v>
      </c>
      <c r="N4439" s="5">
        <v>43880.0</v>
      </c>
      <c r="Q4439" s="1" t="s">
        <v>7294</v>
      </c>
    </row>
    <row r="4440">
      <c r="A4440" s="1">
        <v>4439.0</v>
      </c>
      <c r="B4440" s="1" t="s">
        <v>7295</v>
      </c>
      <c r="C4440" s="1" t="s">
        <v>25</v>
      </c>
      <c r="N4440" s="5">
        <v>44262.0</v>
      </c>
      <c r="Q4440" s="1" t="s">
        <v>55</v>
      </c>
    </row>
    <row r="4441">
      <c r="A4441" s="1">
        <v>4440.0</v>
      </c>
      <c r="B4441" s="1" t="s">
        <v>7296</v>
      </c>
      <c r="C4441" s="1" t="s">
        <v>25</v>
      </c>
      <c r="N4441" s="5">
        <v>45113.0</v>
      </c>
      <c r="Q4441" s="1" t="s">
        <v>4986</v>
      </c>
    </row>
    <row r="4442">
      <c r="A4442" s="1">
        <v>4441.0</v>
      </c>
      <c r="B4442" s="1" t="s">
        <v>7297</v>
      </c>
      <c r="C4442" s="1" t="s">
        <v>25</v>
      </c>
      <c r="K4442" s="1">
        <v>200.0</v>
      </c>
      <c r="N4442" s="5">
        <v>44037.0</v>
      </c>
      <c r="Q4442" s="1" t="s">
        <v>7298</v>
      </c>
    </row>
    <row r="4443">
      <c r="A4443" s="1">
        <v>4442.0</v>
      </c>
      <c r="B4443" s="1" t="s">
        <v>7299</v>
      </c>
      <c r="C4443" s="1" t="s">
        <v>25</v>
      </c>
      <c r="K4443" s="1">
        <v>50.0</v>
      </c>
      <c r="N4443" s="5">
        <v>44284.0</v>
      </c>
      <c r="Q4443" s="1" t="s">
        <v>7300</v>
      </c>
    </row>
    <row r="4444">
      <c r="A4444" s="1">
        <v>4443.0</v>
      </c>
      <c r="B4444" s="1" t="s">
        <v>7301</v>
      </c>
      <c r="C4444" s="1" t="s">
        <v>25</v>
      </c>
      <c r="K4444" s="1">
        <v>40.0</v>
      </c>
      <c r="N4444" s="5">
        <v>44985.0</v>
      </c>
      <c r="Q4444" s="1" t="s">
        <v>7302</v>
      </c>
    </row>
    <row r="4445">
      <c r="A4445" s="1">
        <v>4444.0</v>
      </c>
      <c r="B4445" s="1" t="s">
        <v>7303</v>
      </c>
      <c r="C4445" s="1" t="s">
        <v>25</v>
      </c>
      <c r="K4445" s="1">
        <v>50.0</v>
      </c>
      <c r="N4445" s="5">
        <v>44652.0</v>
      </c>
      <c r="Q4445" s="1" t="s">
        <v>7304</v>
      </c>
    </row>
    <row r="4446">
      <c r="A4446" s="1">
        <v>4445.0</v>
      </c>
      <c r="B4446" s="1" t="s">
        <v>7305</v>
      </c>
      <c r="C4446" s="1" t="s">
        <v>25</v>
      </c>
      <c r="K4446" s="1">
        <v>150.0</v>
      </c>
      <c r="N4446" s="5">
        <v>45073.0</v>
      </c>
      <c r="Q4446" s="1" t="s">
        <v>55</v>
      </c>
    </row>
    <row r="4447">
      <c r="A4447" s="1">
        <v>4446.0</v>
      </c>
      <c r="B4447" s="1" t="s">
        <v>7306</v>
      </c>
      <c r="C4447" s="1" t="s">
        <v>25</v>
      </c>
      <c r="K4447" s="1">
        <v>90.0</v>
      </c>
      <c r="N4447" s="5">
        <v>43873.0</v>
      </c>
      <c r="Q4447" s="1" t="s">
        <v>7307</v>
      </c>
    </row>
    <row r="4448">
      <c r="A4448" s="1">
        <v>4447.0</v>
      </c>
      <c r="B4448" s="1" t="s">
        <v>7308</v>
      </c>
      <c r="C4448" s="1" t="s">
        <v>25</v>
      </c>
      <c r="K4448" s="1">
        <v>150.0</v>
      </c>
      <c r="N4448" s="5">
        <v>44036.0</v>
      </c>
      <c r="Q4448" s="1" t="s">
        <v>524</v>
      </c>
    </row>
    <row r="4449">
      <c r="A4449" s="1">
        <v>4448.0</v>
      </c>
      <c r="B4449" s="1" t="s">
        <v>7309</v>
      </c>
      <c r="C4449" s="1" t="s">
        <v>25</v>
      </c>
      <c r="K4449" s="1">
        <v>80.0</v>
      </c>
      <c r="N4449" s="5">
        <v>45271.0</v>
      </c>
      <c r="Q4449" s="1" t="s">
        <v>7193</v>
      </c>
    </row>
    <row r="4450">
      <c r="A4450" s="1">
        <v>4449.0</v>
      </c>
      <c r="B4450" s="1" t="s">
        <v>7310</v>
      </c>
      <c r="C4450" s="1" t="s">
        <v>25</v>
      </c>
      <c r="K4450" s="1">
        <v>60.0</v>
      </c>
      <c r="N4450" s="5">
        <v>44625.0</v>
      </c>
      <c r="Q4450" s="1" t="s">
        <v>55</v>
      </c>
    </row>
    <row r="4451">
      <c r="A4451" s="1">
        <v>4450.0</v>
      </c>
      <c r="B4451" s="1" t="s">
        <v>7311</v>
      </c>
      <c r="C4451" s="1" t="s">
        <v>25</v>
      </c>
      <c r="K4451" s="1">
        <v>30.0</v>
      </c>
      <c r="N4451" s="5">
        <v>44461.0</v>
      </c>
      <c r="Q4451" s="1" t="s">
        <v>55</v>
      </c>
    </row>
    <row r="4452">
      <c r="A4452" s="1">
        <v>4451.0</v>
      </c>
      <c r="B4452" s="1" t="s">
        <v>7312</v>
      </c>
      <c r="C4452" s="1" t="s">
        <v>25</v>
      </c>
      <c r="N4452" s="5">
        <v>44671.0</v>
      </c>
      <c r="Q4452" s="1" t="s">
        <v>55</v>
      </c>
    </row>
    <row r="4453">
      <c r="A4453" s="1">
        <v>4452.0</v>
      </c>
      <c r="B4453" s="1" t="s">
        <v>7313</v>
      </c>
      <c r="C4453" s="1" t="s">
        <v>25</v>
      </c>
      <c r="K4453" s="1">
        <v>10.0</v>
      </c>
      <c r="N4453" s="5">
        <v>44857.0</v>
      </c>
      <c r="Q4453" s="1" t="s">
        <v>740</v>
      </c>
    </row>
    <row r="4454">
      <c r="A4454" s="1">
        <v>4453.0</v>
      </c>
      <c r="B4454" s="1" t="s">
        <v>7314</v>
      </c>
      <c r="C4454" s="1" t="s">
        <v>25</v>
      </c>
      <c r="K4454" s="1">
        <v>150.0</v>
      </c>
      <c r="N4454" s="5">
        <v>45343.0</v>
      </c>
      <c r="Q4454" s="1" t="s">
        <v>7315</v>
      </c>
    </row>
    <row r="4455">
      <c r="A4455" s="1">
        <v>4454.0</v>
      </c>
      <c r="B4455" s="1" t="s">
        <v>7316</v>
      </c>
      <c r="C4455" s="1" t="s">
        <v>25</v>
      </c>
      <c r="K4455" s="1">
        <v>80.0</v>
      </c>
      <c r="N4455" s="5">
        <v>44342.0</v>
      </c>
      <c r="Q4455" s="1" t="s">
        <v>1218</v>
      </c>
    </row>
    <row r="4456">
      <c r="A4456" s="1">
        <v>4455.0</v>
      </c>
      <c r="B4456" s="1" t="s">
        <v>7317</v>
      </c>
      <c r="C4456" s="1" t="s">
        <v>25</v>
      </c>
      <c r="K4456" s="1">
        <v>100.0</v>
      </c>
      <c r="N4456" s="5">
        <v>44642.0</v>
      </c>
      <c r="Q4456" s="1" t="s">
        <v>7318</v>
      </c>
    </row>
    <row r="4457">
      <c r="A4457" s="1">
        <v>4456.0</v>
      </c>
      <c r="B4457" s="1" t="s">
        <v>7319</v>
      </c>
      <c r="C4457" s="1" t="s">
        <v>25</v>
      </c>
      <c r="K4457" s="1">
        <v>40.0</v>
      </c>
      <c r="N4457" s="5">
        <v>44368.0</v>
      </c>
      <c r="Q4457" s="1" t="s">
        <v>1066</v>
      </c>
    </row>
    <row r="4458">
      <c r="A4458" s="1">
        <v>4457.0</v>
      </c>
      <c r="B4458" s="1" t="s">
        <v>7320</v>
      </c>
      <c r="C4458" s="1" t="s">
        <v>25</v>
      </c>
      <c r="K4458" s="1">
        <v>30.0</v>
      </c>
      <c r="N4458" s="5">
        <v>44413.0</v>
      </c>
      <c r="Q4458" s="1" t="s">
        <v>2267</v>
      </c>
    </row>
    <row r="4459">
      <c r="A4459" s="1">
        <v>4458.0</v>
      </c>
      <c r="B4459" s="1" t="s">
        <v>348</v>
      </c>
      <c r="C4459" s="1" t="s">
        <v>25</v>
      </c>
      <c r="K4459" s="1">
        <v>30.0</v>
      </c>
      <c r="N4459" s="5">
        <v>45244.0</v>
      </c>
      <c r="Q4459" s="1" t="s">
        <v>351</v>
      </c>
    </row>
    <row r="4460">
      <c r="A4460" s="1">
        <v>4459.0</v>
      </c>
      <c r="B4460" s="1" t="s">
        <v>7321</v>
      </c>
      <c r="C4460" s="1" t="s">
        <v>25</v>
      </c>
      <c r="K4460" s="1">
        <v>20.0</v>
      </c>
      <c r="N4460" s="5">
        <v>44220.0</v>
      </c>
      <c r="Q4460" s="1" t="s">
        <v>7322</v>
      </c>
    </row>
    <row r="4461">
      <c r="A4461" s="1">
        <v>4460.0</v>
      </c>
      <c r="B4461" s="1" t="s">
        <v>7323</v>
      </c>
      <c r="C4461" s="1" t="s">
        <v>25</v>
      </c>
      <c r="K4461" s="1">
        <v>40.0</v>
      </c>
      <c r="N4461" s="5">
        <v>44382.0</v>
      </c>
      <c r="Q4461" s="1" t="s">
        <v>7324</v>
      </c>
    </row>
    <row r="4462">
      <c r="A4462" s="1">
        <v>4461.0</v>
      </c>
      <c r="B4462" s="1" t="s">
        <v>7325</v>
      </c>
      <c r="C4462" s="1" t="s">
        <v>25</v>
      </c>
      <c r="K4462" s="1">
        <v>70.0</v>
      </c>
      <c r="N4462" s="5">
        <v>44078.0</v>
      </c>
      <c r="Q4462" s="1" t="s">
        <v>7326</v>
      </c>
    </row>
    <row r="4463">
      <c r="A4463" s="1">
        <v>4462.0</v>
      </c>
      <c r="B4463" s="1" t="s">
        <v>7327</v>
      </c>
      <c r="C4463" s="1" t="s">
        <v>25</v>
      </c>
      <c r="N4463" s="5">
        <v>46051.0</v>
      </c>
      <c r="Q4463" s="1" t="s">
        <v>7328</v>
      </c>
    </row>
    <row r="4464">
      <c r="A4464" s="1">
        <v>4463.0</v>
      </c>
      <c r="B4464" s="1" t="s">
        <v>7329</v>
      </c>
      <c r="C4464" s="1" t="s">
        <v>25</v>
      </c>
      <c r="K4464" s="1">
        <v>40.0</v>
      </c>
      <c r="N4464" s="5">
        <v>44438.0</v>
      </c>
      <c r="Q4464" s="1" t="s">
        <v>7330</v>
      </c>
    </row>
    <row r="4465">
      <c r="A4465" s="1">
        <v>4464.0</v>
      </c>
      <c r="B4465" s="1" t="s">
        <v>7331</v>
      </c>
      <c r="C4465" s="1" t="s">
        <v>25</v>
      </c>
      <c r="K4465" s="1">
        <v>20.0</v>
      </c>
      <c r="N4465" s="5">
        <v>43994.0</v>
      </c>
      <c r="Q4465" s="1" t="s">
        <v>7332</v>
      </c>
    </row>
    <row r="4466">
      <c r="A4466" s="1">
        <v>4465.0</v>
      </c>
      <c r="B4466" s="1" t="s">
        <v>7333</v>
      </c>
      <c r="C4466" s="1" t="s">
        <v>25</v>
      </c>
      <c r="K4466" s="1">
        <v>30.0</v>
      </c>
      <c r="N4466" s="5">
        <v>44639.0</v>
      </c>
      <c r="Q4466" s="1" t="s">
        <v>203</v>
      </c>
    </row>
    <row r="4467">
      <c r="A4467" s="1">
        <v>4466.0</v>
      </c>
      <c r="B4467" s="1" t="s">
        <v>7334</v>
      </c>
      <c r="C4467" s="1" t="s">
        <v>25</v>
      </c>
      <c r="K4467" s="1">
        <v>10.0</v>
      </c>
      <c r="N4467" s="5">
        <v>45380.0</v>
      </c>
      <c r="Q4467" s="1" t="s">
        <v>55</v>
      </c>
    </row>
    <row r="4468">
      <c r="A4468" s="1">
        <v>4467.0</v>
      </c>
      <c r="B4468" s="1" t="s">
        <v>7335</v>
      </c>
      <c r="C4468" s="1" t="s">
        <v>25</v>
      </c>
      <c r="K4468" s="1">
        <v>70.0</v>
      </c>
      <c r="N4468" s="5">
        <v>44378.0</v>
      </c>
      <c r="Q4468" s="1" t="s">
        <v>7336</v>
      </c>
    </row>
    <row r="4469">
      <c r="A4469" s="1">
        <v>4468.0</v>
      </c>
      <c r="B4469" s="1" t="s">
        <v>7337</v>
      </c>
      <c r="C4469" s="1" t="s">
        <v>25</v>
      </c>
      <c r="K4469" s="1">
        <v>30.0</v>
      </c>
      <c r="N4469" s="5">
        <v>44556.0</v>
      </c>
      <c r="Q4469" s="1" t="s">
        <v>203</v>
      </c>
    </row>
    <row r="4470">
      <c r="A4470" s="1">
        <v>4469.0</v>
      </c>
      <c r="B4470" s="1" t="s">
        <v>7338</v>
      </c>
      <c r="C4470" s="1" t="s">
        <v>25</v>
      </c>
      <c r="K4470" s="1">
        <v>40.0</v>
      </c>
      <c r="N4470" s="5">
        <v>44557.0</v>
      </c>
      <c r="Q4470" s="1" t="s">
        <v>2310</v>
      </c>
    </row>
    <row r="4471">
      <c r="A4471" s="1">
        <v>4470.0</v>
      </c>
      <c r="B4471" s="1" t="s">
        <v>7339</v>
      </c>
      <c r="C4471" s="1" t="s">
        <v>25</v>
      </c>
      <c r="K4471" s="1">
        <v>40.0</v>
      </c>
      <c r="N4471" s="5">
        <v>43898.0</v>
      </c>
      <c r="Q4471" s="1" t="s">
        <v>55</v>
      </c>
    </row>
    <row r="4472">
      <c r="A4472" s="1">
        <v>4471.0</v>
      </c>
      <c r="B4472" s="1" t="s">
        <v>7340</v>
      </c>
      <c r="C4472" s="1" t="s">
        <v>25</v>
      </c>
      <c r="K4472" s="1">
        <v>40.0</v>
      </c>
      <c r="N4472" s="5">
        <v>44827.0</v>
      </c>
      <c r="Q4472" s="1" t="s">
        <v>7341</v>
      </c>
    </row>
    <row r="4473">
      <c r="A4473" s="1">
        <v>4472.0</v>
      </c>
      <c r="B4473" s="1" t="s">
        <v>7342</v>
      </c>
      <c r="C4473" s="1" t="s">
        <v>25</v>
      </c>
      <c r="K4473" s="1">
        <v>100.0</v>
      </c>
      <c r="N4473" s="5">
        <v>44111.0</v>
      </c>
      <c r="Q4473" s="1" t="s">
        <v>3398</v>
      </c>
    </row>
    <row r="4474">
      <c r="A4474" s="1">
        <v>4473.0</v>
      </c>
      <c r="B4474" s="1" t="s">
        <v>7343</v>
      </c>
      <c r="C4474" s="1" t="s">
        <v>25</v>
      </c>
      <c r="K4474" s="1">
        <v>30.0</v>
      </c>
      <c r="N4474" s="5">
        <v>44892.0</v>
      </c>
      <c r="Q4474" s="1" t="s">
        <v>55</v>
      </c>
    </row>
    <row r="4475">
      <c r="A4475" s="1">
        <v>4474.0</v>
      </c>
      <c r="B4475" s="1" t="s">
        <v>329</v>
      </c>
      <c r="C4475" s="1" t="s">
        <v>25</v>
      </c>
      <c r="K4475" s="1">
        <v>300.0</v>
      </c>
      <c r="N4475" s="5">
        <v>44765.0</v>
      </c>
      <c r="Q4475" s="1" t="s">
        <v>331</v>
      </c>
    </row>
    <row r="4476">
      <c r="A4476" s="1">
        <v>4475.0</v>
      </c>
      <c r="B4476" s="1" t="s">
        <v>7344</v>
      </c>
      <c r="C4476" s="1" t="s">
        <v>25</v>
      </c>
      <c r="K4476" s="1">
        <v>250.0</v>
      </c>
      <c r="N4476" s="5">
        <v>44306.0</v>
      </c>
      <c r="Q4476" s="1" t="s">
        <v>7345</v>
      </c>
    </row>
    <row r="4477">
      <c r="A4477" s="1">
        <v>4476.0</v>
      </c>
      <c r="B4477" s="1" t="s">
        <v>7346</v>
      </c>
      <c r="C4477" s="1" t="s">
        <v>25</v>
      </c>
      <c r="K4477" s="1">
        <v>40.0</v>
      </c>
      <c r="N4477" s="5">
        <v>44442.0</v>
      </c>
      <c r="Q4477" s="1" t="s">
        <v>1066</v>
      </c>
    </row>
    <row r="4478">
      <c r="A4478" s="1">
        <v>4477.0</v>
      </c>
      <c r="B4478" s="1" t="s">
        <v>7347</v>
      </c>
      <c r="C4478" s="1" t="s">
        <v>25</v>
      </c>
      <c r="K4478" s="1">
        <v>200.0</v>
      </c>
      <c r="N4478" s="5">
        <v>43924.0</v>
      </c>
      <c r="Q4478" s="1" t="s">
        <v>7348</v>
      </c>
    </row>
    <row r="4479">
      <c r="A4479" s="1">
        <v>4478.0</v>
      </c>
      <c r="B4479" s="1" t="s">
        <v>353</v>
      </c>
      <c r="C4479" s="1" t="s">
        <v>25</v>
      </c>
      <c r="K4479" s="1">
        <v>40.0</v>
      </c>
      <c r="N4479" s="5">
        <v>45306.0</v>
      </c>
      <c r="Q4479" s="1" t="s">
        <v>356</v>
      </c>
    </row>
    <row r="4480">
      <c r="A4480" s="1">
        <v>4479.0</v>
      </c>
      <c r="B4480" s="1" t="s">
        <v>7349</v>
      </c>
      <c r="C4480" s="1" t="s">
        <v>25</v>
      </c>
      <c r="K4480" s="1">
        <v>350.0</v>
      </c>
      <c r="N4480" s="5">
        <v>43926.0</v>
      </c>
      <c r="Q4480" s="1" t="s">
        <v>7350</v>
      </c>
    </row>
    <row r="4481">
      <c r="A4481" s="1">
        <v>4480.0</v>
      </c>
      <c r="B4481" s="1" t="s">
        <v>7351</v>
      </c>
      <c r="C4481" s="1" t="s">
        <v>25</v>
      </c>
      <c r="K4481" s="1">
        <v>100.0</v>
      </c>
      <c r="N4481" s="5">
        <v>44052.0</v>
      </c>
      <c r="Q4481" s="1" t="s">
        <v>2183</v>
      </c>
    </row>
    <row r="4482">
      <c r="A4482" s="1">
        <v>4481.0</v>
      </c>
      <c r="B4482" s="1" t="s">
        <v>7352</v>
      </c>
      <c r="C4482" s="1" t="s">
        <v>25</v>
      </c>
      <c r="K4482" s="1">
        <v>250.0</v>
      </c>
      <c r="N4482" s="5">
        <v>43871.0</v>
      </c>
      <c r="Q4482" s="1" t="s">
        <v>7353</v>
      </c>
    </row>
    <row r="4483">
      <c r="A4483" s="1">
        <v>4482.0</v>
      </c>
      <c r="B4483" s="1" t="s">
        <v>7354</v>
      </c>
      <c r="C4483" s="1" t="s">
        <v>25</v>
      </c>
      <c r="K4483" s="1">
        <v>30.0</v>
      </c>
      <c r="N4483" s="5">
        <v>45608.0</v>
      </c>
      <c r="Q4483" s="1" t="s">
        <v>7355</v>
      </c>
    </row>
    <row r="4484">
      <c r="A4484" s="1">
        <v>4483.0</v>
      </c>
      <c r="B4484" s="1" t="s">
        <v>7356</v>
      </c>
      <c r="C4484" s="1" t="s">
        <v>25</v>
      </c>
      <c r="K4484" s="1">
        <v>60.0</v>
      </c>
      <c r="N4484" s="5">
        <v>45733.0</v>
      </c>
      <c r="Q4484" s="1" t="s">
        <v>2317</v>
      </c>
    </row>
    <row r="4485">
      <c r="A4485" s="1">
        <v>4484.0</v>
      </c>
      <c r="B4485" s="1" t="s">
        <v>7357</v>
      </c>
      <c r="C4485" s="1" t="s">
        <v>25</v>
      </c>
      <c r="K4485" s="1">
        <v>10.0</v>
      </c>
      <c r="N4485" s="5">
        <v>44702.0</v>
      </c>
      <c r="Q4485" s="1" t="s">
        <v>7358</v>
      </c>
    </row>
    <row r="4486">
      <c r="A4486" s="1">
        <v>4485.0</v>
      </c>
      <c r="B4486" s="1" t="s">
        <v>7359</v>
      </c>
      <c r="C4486" s="1" t="s">
        <v>25</v>
      </c>
      <c r="K4486" s="1">
        <v>20.0</v>
      </c>
      <c r="N4486" s="5">
        <v>45550.0</v>
      </c>
      <c r="Q4486" s="1" t="s">
        <v>1226</v>
      </c>
    </row>
    <row r="4487">
      <c r="A4487" s="1">
        <v>4486.0</v>
      </c>
      <c r="B4487" s="1" t="s">
        <v>7360</v>
      </c>
      <c r="C4487" s="1" t="s">
        <v>25</v>
      </c>
      <c r="N4487" s="5">
        <v>44176.0</v>
      </c>
      <c r="Q4487" s="1" t="s">
        <v>55</v>
      </c>
    </row>
    <row r="4488">
      <c r="A4488" s="1">
        <v>4487.0</v>
      </c>
      <c r="B4488" s="1" t="s">
        <v>7361</v>
      </c>
      <c r="C4488" s="1" t="s">
        <v>25</v>
      </c>
      <c r="K4488" s="1">
        <v>90.0</v>
      </c>
      <c r="N4488" s="5">
        <v>44249.0</v>
      </c>
      <c r="Q4488" s="1" t="s">
        <v>7362</v>
      </c>
    </row>
    <row r="4489">
      <c r="A4489" s="1">
        <v>4488.0</v>
      </c>
      <c r="B4489" s="1" t="s">
        <v>7363</v>
      </c>
      <c r="C4489" s="1" t="s">
        <v>25</v>
      </c>
      <c r="K4489" s="1">
        <v>40.0</v>
      </c>
      <c r="N4489" s="5">
        <v>45645.0</v>
      </c>
      <c r="Q4489" s="1" t="s">
        <v>7364</v>
      </c>
    </row>
    <row r="4490">
      <c r="A4490" s="1">
        <v>4489.0</v>
      </c>
      <c r="B4490" s="1" t="s">
        <v>7365</v>
      </c>
      <c r="C4490" s="1" t="s">
        <v>25</v>
      </c>
      <c r="K4490" s="1">
        <v>10.0</v>
      </c>
      <c r="N4490" s="5">
        <v>45186.0</v>
      </c>
      <c r="Q4490" s="1" t="s">
        <v>55</v>
      </c>
    </row>
    <row r="4491">
      <c r="A4491" s="1">
        <v>4490.0</v>
      </c>
      <c r="B4491" s="1" t="s">
        <v>7366</v>
      </c>
      <c r="C4491" s="1" t="s">
        <v>25</v>
      </c>
      <c r="K4491" s="1">
        <v>30.0</v>
      </c>
      <c r="N4491" s="5">
        <v>43970.0</v>
      </c>
      <c r="Q4491" s="1" t="s">
        <v>125</v>
      </c>
    </row>
    <row r="4492">
      <c r="A4492" s="1">
        <v>4491.0</v>
      </c>
      <c r="B4492" s="1" t="s">
        <v>7367</v>
      </c>
      <c r="C4492" s="1" t="s">
        <v>25</v>
      </c>
      <c r="N4492" s="5">
        <v>44411.0</v>
      </c>
      <c r="Q4492" s="1" t="s">
        <v>55</v>
      </c>
    </row>
    <row r="4493">
      <c r="A4493" s="1">
        <v>4492.0</v>
      </c>
      <c r="B4493" s="1" t="s">
        <v>7368</v>
      </c>
      <c r="C4493" s="1" t="s">
        <v>25</v>
      </c>
      <c r="N4493" s="5">
        <v>42545.0</v>
      </c>
      <c r="Q4493" s="1" t="s">
        <v>55</v>
      </c>
    </row>
    <row r="4494">
      <c r="A4494" s="1">
        <v>4493.0</v>
      </c>
      <c r="B4494" s="1" t="s">
        <v>7369</v>
      </c>
      <c r="C4494" s="1" t="s">
        <v>25</v>
      </c>
      <c r="N4494" s="5">
        <v>43862.0</v>
      </c>
      <c r="Q4494" s="1" t="s">
        <v>55</v>
      </c>
    </row>
    <row r="4495">
      <c r="A4495" s="1">
        <v>4494.0</v>
      </c>
      <c r="B4495" s="1" t="s">
        <v>7370</v>
      </c>
      <c r="C4495" s="1" t="s">
        <v>25</v>
      </c>
      <c r="K4495" s="1">
        <v>150.0</v>
      </c>
      <c r="N4495" s="5">
        <v>45310.0</v>
      </c>
      <c r="Q4495" s="1" t="s">
        <v>7371</v>
      </c>
    </row>
    <row r="4496">
      <c r="A4496" s="1">
        <v>4495.0</v>
      </c>
      <c r="B4496" s="1" t="s">
        <v>7372</v>
      </c>
      <c r="C4496" s="1" t="s">
        <v>25</v>
      </c>
      <c r="K4496" s="1">
        <v>90.0</v>
      </c>
      <c r="N4496" s="5">
        <v>44221.0</v>
      </c>
      <c r="Q4496" s="1" t="s">
        <v>7373</v>
      </c>
    </row>
    <row r="4497">
      <c r="A4497" s="1">
        <v>4496.0</v>
      </c>
      <c r="B4497" s="1" t="s">
        <v>7374</v>
      </c>
      <c r="C4497" s="1" t="s">
        <v>25</v>
      </c>
      <c r="K4497" s="1">
        <v>10.0</v>
      </c>
      <c r="N4497" s="5">
        <v>44105.0</v>
      </c>
      <c r="Q4497" s="1" t="s">
        <v>80</v>
      </c>
    </row>
    <row r="4498">
      <c r="A4498" s="1">
        <v>4497.0</v>
      </c>
      <c r="B4498" s="1" t="s">
        <v>7375</v>
      </c>
      <c r="C4498" s="1" t="s">
        <v>25</v>
      </c>
      <c r="N4498" s="5">
        <v>44140.0</v>
      </c>
      <c r="Q4498" s="1" t="s">
        <v>55</v>
      </c>
    </row>
    <row r="4499">
      <c r="A4499" s="1">
        <v>4498.0</v>
      </c>
      <c r="B4499" s="1" t="s">
        <v>7376</v>
      </c>
      <c r="C4499" s="1" t="s">
        <v>25</v>
      </c>
      <c r="N4499" s="5">
        <v>44252.0</v>
      </c>
      <c r="Q4499" s="1" t="s">
        <v>55</v>
      </c>
    </row>
    <row r="4500">
      <c r="A4500" s="1">
        <v>4499.0</v>
      </c>
      <c r="B4500" s="1" t="s">
        <v>7377</v>
      </c>
      <c r="C4500" s="1" t="s">
        <v>25</v>
      </c>
      <c r="K4500" s="1">
        <v>80.0</v>
      </c>
      <c r="N4500" s="5">
        <v>43908.0</v>
      </c>
      <c r="Q4500" s="1" t="s">
        <v>1066</v>
      </c>
    </row>
    <row r="4501">
      <c r="A4501" s="1">
        <v>4500.0</v>
      </c>
      <c r="B4501" s="1" t="s">
        <v>7378</v>
      </c>
      <c r="C4501" s="1" t="s">
        <v>25</v>
      </c>
      <c r="N4501" s="5">
        <v>43852.0</v>
      </c>
      <c r="Q4501" s="1" t="s">
        <v>55</v>
      </c>
    </row>
    <row r="4502">
      <c r="A4502" s="1">
        <v>4501.0</v>
      </c>
      <c r="B4502" s="1" t="s">
        <v>7379</v>
      </c>
      <c r="C4502" s="1" t="s">
        <v>25</v>
      </c>
      <c r="K4502" s="1">
        <v>70.0</v>
      </c>
      <c r="N4502" s="5">
        <v>43922.0</v>
      </c>
      <c r="Q4502" s="1" t="s">
        <v>641</v>
      </c>
    </row>
    <row r="4503">
      <c r="A4503" s="1">
        <v>4502.0</v>
      </c>
      <c r="B4503" s="1" t="s">
        <v>7380</v>
      </c>
      <c r="C4503" s="1" t="s">
        <v>25</v>
      </c>
      <c r="K4503" s="1">
        <v>10.0</v>
      </c>
      <c r="N4503" s="5">
        <v>44775.0</v>
      </c>
      <c r="Q4503" s="1" t="s">
        <v>55</v>
      </c>
    </row>
    <row r="4504">
      <c r="A4504" s="1">
        <v>4503.0</v>
      </c>
      <c r="B4504" s="1" t="s">
        <v>7381</v>
      </c>
      <c r="C4504" s="1" t="s">
        <v>25</v>
      </c>
      <c r="N4504" s="5">
        <v>45092.0</v>
      </c>
      <c r="Q4504" s="1" t="s">
        <v>55</v>
      </c>
    </row>
    <row r="4505">
      <c r="A4505" s="1">
        <v>4504.0</v>
      </c>
      <c r="B4505" s="1" t="s">
        <v>7382</v>
      </c>
      <c r="C4505" s="1" t="s">
        <v>25</v>
      </c>
      <c r="K4505" s="1">
        <v>100.0</v>
      </c>
      <c r="N4505" s="5">
        <v>45668.0</v>
      </c>
      <c r="Q4505" s="1" t="s">
        <v>7383</v>
      </c>
    </row>
    <row r="4506">
      <c r="A4506" s="1">
        <v>4505.0</v>
      </c>
      <c r="B4506" s="1" t="s">
        <v>7384</v>
      </c>
      <c r="C4506" s="1" t="s">
        <v>25</v>
      </c>
      <c r="K4506" s="1">
        <v>20.0</v>
      </c>
      <c r="N4506" s="5">
        <v>45368.0</v>
      </c>
      <c r="Q4506" s="1" t="s">
        <v>55</v>
      </c>
    </row>
    <row r="4507">
      <c r="A4507" s="1">
        <v>4506.0</v>
      </c>
      <c r="B4507" s="1" t="s">
        <v>7385</v>
      </c>
      <c r="C4507" s="1" t="s">
        <v>25</v>
      </c>
      <c r="K4507" s="1">
        <v>20.0</v>
      </c>
      <c r="N4507" s="5">
        <v>44216.0</v>
      </c>
      <c r="Q4507" s="1" t="s">
        <v>7386</v>
      </c>
    </row>
    <row r="4508">
      <c r="A4508" s="1">
        <v>4507.0</v>
      </c>
      <c r="B4508" s="1" t="s">
        <v>7387</v>
      </c>
      <c r="C4508" s="1" t="s">
        <v>25</v>
      </c>
      <c r="K4508" s="1">
        <v>30.0</v>
      </c>
      <c r="N4508" s="5">
        <v>44307.0</v>
      </c>
      <c r="Q4508" s="1" t="s">
        <v>55</v>
      </c>
    </row>
    <row r="4509">
      <c r="A4509" s="1">
        <v>4508.0</v>
      </c>
      <c r="B4509" s="1" t="s">
        <v>7388</v>
      </c>
      <c r="C4509" s="1" t="s">
        <v>25</v>
      </c>
      <c r="K4509" s="1">
        <v>90.0</v>
      </c>
      <c r="N4509" s="5">
        <v>44343.0</v>
      </c>
      <c r="Q4509" s="1" t="s">
        <v>7389</v>
      </c>
    </row>
    <row r="4510">
      <c r="A4510" s="1">
        <v>4509.0</v>
      </c>
      <c r="B4510" s="1" t="s">
        <v>7390</v>
      </c>
      <c r="C4510" s="1" t="s">
        <v>25</v>
      </c>
      <c r="K4510" s="1">
        <v>30.0</v>
      </c>
      <c r="N4510" s="5">
        <v>45703.0</v>
      </c>
      <c r="Q4510" s="1" t="s">
        <v>7391</v>
      </c>
    </row>
    <row r="4511">
      <c r="A4511" s="1">
        <v>4510.0</v>
      </c>
      <c r="B4511" s="1" t="s">
        <v>7392</v>
      </c>
      <c r="C4511" s="1" t="s">
        <v>25</v>
      </c>
      <c r="N4511" s="5">
        <v>45341.0</v>
      </c>
      <c r="Q4511" s="1" t="s">
        <v>55</v>
      </c>
    </row>
    <row r="4512">
      <c r="A4512" s="1">
        <v>4511.0</v>
      </c>
      <c r="B4512" s="1" t="s">
        <v>7393</v>
      </c>
      <c r="C4512" s="1" t="s">
        <v>25</v>
      </c>
      <c r="K4512" s="1">
        <v>20.0</v>
      </c>
      <c r="N4512" s="5">
        <v>44194.0</v>
      </c>
      <c r="Q4512" s="1" t="s">
        <v>7394</v>
      </c>
    </row>
    <row r="4513">
      <c r="A4513" s="1">
        <v>4512.0</v>
      </c>
      <c r="B4513" s="1" t="s">
        <v>7395</v>
      </c>
      <c r="C4513" s="1" t="s">
        <v>25</v>
      </c>
      <c r="N4513" s="5">
        <v>42512.0</v>
      </c>
      <c r="Q4513" s="1" t="s">
        <v>55</v>
      </c>
    </row>
    <row r="4514">
      <c r="A4514" s="1">
        <v>4513.0</v>
      </c>
      <c r="B4514" s="1" t="s">
        <v>7396</v>
      </c>
      <c r="C4514" s="1" t="s">
        <v>25</v>
      </c>
      <c r="N4514" s="5">
        <v>45275.0</v>
      </c>
      <c r="Q4514" s="1" t="s">
        <v>55</v>
      </c>
    </row>
    <row r="4515">
      <c r="A4515" s="1">
        <v>4514.0</v>
      </c>
      <c r="B4515" s="1" t="s">
        <v>7397</v>
      </c>
      <c r="C4515" s="1" t="s">
        <v>25</v>
      </c>
      <c r="K4515" s="1">
        <v>150.0</v>
      </c>
      <c r="N4515" s="5">
        <v>44335.0</v>
      </c>
      <c r="Q4515" s="1" t="s">
        <v>7398</v>
      </c>
    </row>
    <row r="4516">
      <c r="A4516" s="1">
        <v>4515.0</v>
      </c>
      <c r="B4516" s="1" t="s">
        <v>7399</v>
      </c>
      <c r="C4516" s="1" t="s">
        <v>25</v>
      </c>
      <c r="K4516" s="1">
        <v>20.0</v>
      </c>
      <c r="N4516" s="5">
        <v>44098.0</v>
      </c>
      <c r="Q4516" s="1" t="s">
        <v>4835</v>
      </c>
    </row>
    <row r="4517">
      <c r="A4517" s="1">
        <v>4516.0</v>
      </c>
      <c r="B4517" s="1" t="s">
        <v>7400</v>
      </c>
      <c r="C4517" s="1" t="s">
        <v>25</v>
      </c>
      <c r="K4517" s="1">
        <v>100.0</v>
      </c>
      <c r="N4517" s="5">
        <v>45781.0</v>
      </c>
      <c r="Q4517" s="1" t="s">
        <v>7401</v>
      </c>
    </row>
    <row r="4518">
      <c r="A4518" s="1">
        <v>4517.0</v>
      </c>
      <c r="B4518" s="1" t="s">
        <v>7402</v>
      </c>
      <c r="C4518" s="1" t="s">
        <v>25</v>
      </c>
      <c r="K4518" s="1">
        <v>20.0</v>
      </c>
      <c r="N4518" s="5">
        <v>45126.0</v>
      </c>
      <c r="Q4518" s="1" t="s">
        <v>7403</v>
      </c>
    </row>
    <row r="4519">
      <c r="A4519" s="1">
        <v>4518.0</v>
      </c>
      <c r="B4519" s="1" t="s">
        <v>7404</v>
      </c>
      <c r="C4519" s="1" t="s">
        <v>25</v>
      </c>
      <c r="K4519" s="1">
        <v>10.0</v>
      </c>
      <c r="N4519" s="5">
        <v>44084.0</v>
      </c>
      <c r="Q4519" s="1" t="s">
        <v>55</v>
      </c>
    </row>
    <row r="4520">
      <c r="A4520" s="1">
        <v>4519.0</v>
      </c>
      <c r="B4520" s="1" t="s">
        <v>7405</v>
      </c>
      <c r="C4520" s="1" t="s">
        <v>25</v>
      </c>
      <c r="K4520" s="1">
        <v>80.0</v>
      </c>
      <c r="N4520" s="5">
        <v>44444.0</v>
      </c>
      <c r="Q4520" s="1" t="s">
        <v>1931</v>
      </c>
    </row>
    <row r="4521">
      <c r="A4521" s="1">
        <v>4520.0</v>
      </c>
      <c r="B4521" s="1" t="s">
        <v>7406</v>
      </c>
      <c r="C4521" s="1" t="s">
        <v>25</v>
      </c>
      <c r="K4521" s="1">
        <v>20.0</v>
      </c>
      <c r="N4521" s="5">
        <v>44176.0</v>
      </c>
      <c r="Q4521" s="1" t="s">
        <v>7407</v>
      </c>
    </row>
    <row r="4522">
      <c r="A4522" s="1">
        <v>4521.0</v>
      </c>
      <c r="B4522" s="1" t="s">
        <v>7408</v>
      </c>
      <c r="C4522" s="1" t="s">
        <v>25</v>
      </c>
      <c r="K4522" s="1">
        <v>20.0</v>
      </c>
      <c r="N4522" s="5">
        <v>45172.0</v>
      </c>
      <c r="Q4522" s="1" t="s">
        <v>55</v>
      </c>
    </row>
    <row r="4523">
      <c r="A4523" s="1">
        <v>4522.0</v>
      </c>
      <c r="B4523" s="1" t="s">
        <v>7409</v>
      </c>
      <c r="C4523" s="1" t="s">
        <v>25</v>
      </c>
      <c r="K4523" s="1">
        <v>60.0</v>
      </c>
      <c r="N4523" s="5">
        <v>44214.0</v>
      </c>
      <c r="Q4523" s="1" t="s">
        <v>55</v>
      </c>
    </row>
    <row r="4524">
      <c r="A4524" s="1">
        <v>4523.0</v>
      </c>
      <c r="B4524" s="1" t="s">
        <v>7410</v>
      </c>
      <c r="C4524" s="1" t="s">
        <v>25</v>
      </c>
      <c r="K4524" s="1">
        <v>10.0</v>
      </c>
      <c r="N4524" s="5">
        <v>45553.0</v>
      </c>
      <c r="Q4524" s="1" t="s">
        <v>7411</v>
      </c>
    </row>
    <row r="4525">
      <c r="A4525" s="1">
        <v>4524.0</v>
      </c>
      <c r="B4525" s="1" t="s">
        <v>7412</v>
      </c>
      <c r="C4525" s="1" t="s">
        <v>25</v>
      </c>
      <c r="K4525" s="1">
        <v>20.0</v>
      </c>
      <c r="N4525" s="5">
        <v>45636.0</v>
      </c>
      <c r="Q4525" s="1" t="s">
        <v>7413</v>
      </c>
    </row>
    <row r="4526">
      <c r="A4526" s="1">
        <v>4525.0</v>
      </c>
      <c r="B4526" s="1" t="s">
        <v>7414</v>
      </c>
      <c r="C4526" s="1" t="s">
        <v>25</v>
      </c>
      <c r="N4526" s="5">
        <v>45446.0</v>
      </c>
      <c r="Q4526" s="1" t="s">
        <v>7415</v>
      </c>
    </row>
    <row r="4527">
      <c r="A4527" s="1">
        <v>4526.0</v>
      </c>
      <c r="B4527" s="1" t="s">
        <v>7416</v>
      </c>
      <c r="C4527" s="1" t="s">
        <v>25</v>
      </c>
      <c r="K4527" s="1">
        <v>200.0</v>
      </c>
      <c r="N4527" s="5">
        <v>44832.0</v>
      </c>
      <c r="Q4527" s="1" t="s">
        <v>7417</v>
      </c>
    </row>
    <row r="4528">
      <c r="A4528" s="1">
        <v>4527.0</v>
      </c>
      <c r="B4528" s="1" t="s">
        <v>7418</v>
      </c>
      <c r="C4528" s="1" t="s">
        <v>25</v>
      </c>
      <c r="K4528" s="1">
        <v>10.0</v>
      </c>
      <c r="N4528" s="5">
        <v>44502.0</v>
      </c>
      <c r="Q4528" s="1" t="s">
        <v>3994</v>
      </c>
    </row>
    <row r="4529">
      <c r="A4529" s="1">
        <v>4528.0</v>
      </c>
      <c r="B4529" s="1" t="s">
        <v>7419</v>
      </c>
      <c r="C4529" s="1" t="s">
        <v>25</v>
      </c>
      <c r="K4529" s="1">
        <v>100.0</v>
      </c>
      <c r="N4529" s="5">
        <v>45197.0</v>
      </c>
      <c r="Q4529" s="1" t="s">
        <v>7420</v>
      </c>
    </row>
    <row r="4530">
      <c r="A4530" s="1">
        <v>4529.0</v>
      </c>
      <c r="B4530" s="1" t="s">
        <v>7421</v>
      </c>
      <c r="C4530" s="1" t="s">
        <v>25</v>
      </c>
      <c r="K4530" s="1">
        <v>40.0</v>
      </c>
      <c r="N4530" s="5">
        <v>44389.0</v>
      </c>
      <c r="Q4530" s="1" t="s">
        <v>7422</v>
      </c>
    </row>
    <row r="4531">
      <c r="A4531" s="1">
        <v>4530.0</v>
      </c>
      <c r="B4531" s="1" t="s">
        <v>7423</v>
      </c>
      <c r="C4531" s="1" t="s">
        <v>25</v>
      </c>
      <c r="K4531" s="1">
        <v>200.0</v>
      </c>
      <c r="N4531" s="5">
        <v>45121.0</v>
      </c>
      <c r="Q4531" s="1" t="s">
        <v>55</v>
      </c>
    </row>
    <row r="4532">
      <c r="A4532" s="1">
        <v>4531.0</v>
      </c>
      <c r="B4532" s="1" t="s">
        <v>7424</v>
      </c>
      <c r="C4532" s="1" t="s">
        <v>25</v>
      </c>
      <c r="K4532" s="1">
        <v>20.0</v>
      </c>
      <c r="N4532" s="5">
        <v>43974.0</v>
      </c>
      <c r="Q4532" s="1" t="s">
        <v>5477</v>
      </c>
    </row>
    <row r="4533">
      <c r="A4533" s="1">
        <v>4532.0</v>
      </c>
      <c r="B4533" s="1" t="s">
        <v>7425</v>
      </c>
      <c r="C4533" s="1" t="s">
        <v>25</v>
      </c>
      <c r="K4533" s="1">
        <v>150.0</v>
      </c>
      <c r="N4533" s="5">
        <v>44568.0</v>
      </c>
      <c r="Q4533" s="1" t="s">
        <v>7426</v>
      </c>
    </row>
    <row r="4534">
      <c r="A4534" s="1">
        <v>4533.0</v>
      </c>
      <c r="B4534" s="1" t="s">
        <v>7427</v>
      </c>
      <c r="C4534" s="1" t="s">
        <v>25</v>
      </c>
      <c r="N4534" s="5">
        <v>44780.0</v>
      </c>
      <c r="Q4534" s="1" t="s">
        <v>55</v>
      </c>
    </row>
    <row r="4535">
      <c r="A4535" s="1">
        <v>4534.0</v>
      </c>
      <c r="B4535" s="1" t="s">
        <v>7428</v>
      </c>
      <c r="C4535" s="1" t="s">
        <v>25</v>
      </c>
      <c r="K4535" s="1">
        <v>70.0</v>
      </c>
      <c r="N4535" s="5">
        <v>45796.0</v>
      </c>
      <c r="Q4535" s="1" t="s">
        <v>7429</v>
      </c>
    </row>
    <row r="4536">
      <c r="A4536" s="1">
        <v>4535.0</v>
      </c>
      <c r="B4536" s="1" t="s">
        <v>7430</v>
      </c>
      <c r="C4536" s="1" t="s">
        <v>25</v>
      </c>
      <c r="K4536" s="1">
        <v>70.0</v>
      </c>
      <c r="N4536" s="5">
        <v>45244.0</v>
      </c>
      <c r="Q4536" s="1" t="s">
        <v>7431</v>
      </c>
    </row>
    <row r="4537">
      <c r="A4537" s="1">
        <v>4536.0</v>
      </c>
      <c r="B4537" s="1" t="s">
        <v>7432</v>
      </c>
      <c r="C4537" s="1" t="s">
        <v>25</v>
      </c>
      <c r="K4537" s="1">
        <v>200.0</v>
      </c>
      <c r="N4537" s="5">
        <v>43947.0</v>
      </c>
      <c r="Q4537" s="1" t="s">
        <v>7433</v>
      </c>
    </row>
    <row r="4538">
      <c r="A4538" s="1">
        <v>4537.0</v>
      </c>
      <c r="B4538" s="1" t="s">
        <v>7434</v>
      </c>
      <c r="C4538" s="1" t="s">
        <v>25</v>
      </c>
      <c r="N4538" s="5">
        <v>44600.0</v>
      </c>
      <c r="Q4538" s="1" t="s">
        <v>55</v>
      </c>
    </row>
    <row r="4539">
      <c r="A4539" s="1">
        <v>4538.0</v>
      </c>
      <c r="B4539" s="1" t="s">
        <v>7435</v>
      </c>
      <c r="C4539" s="1" t="s">
        <v>25</v>
      </c>
      <c r="K4539" s="1">
        <v>20.0</v>
      </c>
      <c r="N4539" s="5">
        <v>44630.0</v>
      </c>
      <c r="Q4539" s="1" t="s">
        <v>55</v>
      </c>
    </row>
    <row r="4540">
      <c r="A4540" s="1">
        <v>4539.0</v>
      </c>
      <c r="B4540" s="1" t="s">
        <v>7436</v>
      </c>
      <c r="C4540" s="1" t="s">
        <v>25</v>
      </c>
      <c r="N4540" s="5">
        <v>44335.0</v>
      </c>
      <c r="Q4540" s="1" t="s">
        <v>55</v>
      </c>
    </row>
    <row r="4541">
      <c r="A4541" s="1">
        <v>4540.0</v>
      </c>
      <c r="B4541" s="1" t="s">
        <v>7437</v>
      </c>
      <c r="C4541" s="1" t="s">
        <v>25</v>
      </c>
      <c r="K4541" s="1">
        <v>10.0</v>
      </c>
      <c r="N4541" s="5">
        <v>43891.0</v>
      </c>
      <c r="Q4541" s="1" t="s">
        <v>55</v>
      </c>
    </row>
    <row r="4542">
      <c r="A4542" s="1">
        <v>4541.0</v>
      </c>
      <c r="B4542" s="1" t="s">
        <v>7438</v>
      </c>
      <c r="C4542" s="1" t="s">
        <v>25</v>
      </c>
      <c r="N4542" s="5">
        <v>44230.0</v>
      </c>
      <c r="Q4542" s="1" t="s">
        <v>55</v>
      </c>
    </row>
    <row r="4543">
      <c r="A4543" s="1">
        <v>4542.0</v>
      </c>
      <c r="B4543" s="1" t="s">
        <v>7439</v>
      </c>
      <c r="C4543" s="1" t="s">
        <v>25</v>
      </c>
      <c r="K4543" s="1">
        <v>150.0</v>
      </c>
      <c r="N4543" s="5">
        <v>44638.0</v>
      </c>
      <c r="Q4543" s="1" t="s">
        <v>7440</v>
      </c>
    </row>
    <row r="4544">
      <c r="A4544" s="1">
        <v>4543.0</v>
      </c>
      <c r="B4544" s="1" t="s">
        <v>7441</v>
      </c>
      <c r="C4544" s="1" t="s">
        <v>25</v>
      </c>
      <c r="K4544" s="1">
        <v>30.0</v>
      </c>
      <c r="N4544" s="5">
        <v>44096.0</v>
      </c>
      <c r="Q4544" s="1" t="s">
        <v>7442</v>
      </c>
    </row>
    <row r="4545">
      <c r="A4545" s="1">
        <v>4544.0</v>
      </c>
      <c r="B4545" s="1" t="s">
        <v>7443</v>
      </c>
      <c r="C4545" s="1" t="s">
        <v>25</v>
      </c>
      <c r="K4545" s="1">
        <v>100.0</v>
      </c>
      <c r="N4545" s="5">
        <v>43865.0</v>
      </c>
      <c r="Q4545" s="1" t="s">
        <v>7444</v>
      </c>
    </row>
    <row r="4546">
      <c r="A4546" s="1">
        <v>4545.0</v>
      </c>
      <c r="B4546" s="1" t="s">
        <v>7445</v>
      </c>
      <c r="C4546" s="1" t="s">
        <v>25</v>
      </c>
      <c r="K4546" s="1">
        <v>60.0</v>
      </c>
      <c r="N4546" s="5">
        <v>45698.0</v>
      </c>
      <c r="Q4546" s="1" t="s">
        <v>7446</v>
      </c>
    </row>
    <row r="4547">
      <c r="A4547" s="1">
        <v>4546.0</v>
      </c>
      <c r="B4547" s="1" t="s">
        <v>7447</v>
      </c>
      <c r="C4547" s="1" t="s">
        <v>25</v>
      </c>
      <c r="N4547" s="5">
        <v>44309.0</v>
      </c>
      <c r="Q4547" s="1" t="s">
        <v>55</v>
      </c>
    </row>
    <row r="4548">
      <c r="A4548" s="1">
        <v>4547.0</v>
      </c>
      <c r="B4548" s="1" t="s">
        <v>7448</v>
      </c>
      <c r="C4548" s="1" t="s">
        <v>25</v>
      </c>
      <c r="K4548" s="1">
        <v>20.0</v>
      </c>
      <c r="N4548" s="5">
        <v>44321.0</v>
      </c>
      <c r="Q4548" s="1" t="s">
        <v>55</v>
      </c>
    </row>
    <row r="4549">
      <c r="A4549" s="1">
        <v>4548.0</v>
      </c>
      <c r="B4549" s="1" t="s">
        <v>7449</v>
      </c>
      <c r="C4549" s="1" t="s">
        <v>25</v>
      </c>
      <c r="N4549" s="5">
        <v>43952.0</v>
      </c>
      <c r="Q4549" s="1" t="s">
        <v>55</v>
      </c>
    </row>
    <row r="4550">
      <c r="A4550" s="1">
        <v>4549.0</v>
      </c>
      <c r="B4550" s="1" t="s">
        <v>7450</v>
      </c>
      <c r="C4550" s="1" t="s">
        <v>25</v>
      </c>
      <c r="K4550" s="1">
        <v>80.0</v>
      </c>
      <c r="N4550" s="5">
        <v>44257.0</v>
      </c>
      <c r="Q4550" s="1" t="s">
        <v>7451</v>
      </c>
    </row>
    <row r="4551">
      <c r="A4551" s="1">
        <v>4550.0</v>
      </c>
      <c r="B4551" s="1" t="s">
        <v>7452</v>
      </c>
      <c r="C4551" s="1" t="s">
        <v>25</v>
      </c>
      <c r="N4551" s="5">
        <v>44131.0</v>
      </c>
      <c r="Q4551" s="1" t="s">
        <v>55</v>
      </c>
    </row>
    <row r="4552">
      <c r="A4552" s="1">
        <v>4551.0</v>
      </c>
      <c r="B4552" s="1" t="s">
        <v>7453</v>
      </c>
      <c r="C4552" s="1" t="s">
        <v>25</v>
      </c>
      <c r="K4552" s="1">
        <v>300.0</v>
      </c>
      <c r="N4552" s="5">
        <v>44012.0</v>
      </c>
      <c r="Q4552" s="1" t="s">
        <v>7454</v>
      </c>
    </row>
    <row r="4553">
      <c r="A4553" s="1">
        <v>4552.0</v>
      </c>
      <c r="B4553" s="1" t="s">
        <v>7455</v>
      </c>
      <c r="C4553" s="1" t="s">
        <v>25</v>
      </c>
      <c r="K4553" s="1">
        <v>80.0</v>
      </c>
      <c r="N4553" s="5">
        <v>43910.0</v>
      </c>
      <c r="Q4553" s="1" t="s">
        <v>7456</v>
      </c>
    </row>
    <row r="4554">
      <c r="A4554" s="1">
        <v>4553.0</v>
      </c>
      <c r="B4554" s="1" t="s">
        <v>7457</v>
      </c>
      <c r="C4554" s="1" t="s">
        <v>25</v>
      </c>
      <c r="N4554" s="5">
        <v>43944.0</v>
      </c>
      <c r="Q4554" s="1" t="s">
        <v>55</v>
      </c>
    </row>
    <row r="4555">
      <c r="A4555" s="1">
        <v>4554.0</v>
      </c>
      <c r="B4555" s="1" t="s">
        <v>7458</v>
      </c>
      <c r="C4555" s="1" t="s">
        <v>25</v>
      </c>
      <c r="K4555" s="1">
        <v>150.0</v>
      </c>
      <c r="N4555" s="5">
        <v>45416.0</v>
      </c>
      <c r="Q4555" s="1" t="s">
        <v>7459</v>
      </c>
    </row>
    <row r="4556">
      <c r="A4556" s="1">
        <v>4555.0</v>
      </c>
      <c r="B4556" s="1" t="s">
        <v>7460</v>
      </c>
      <c r="C4556" s="1" t="s">
        <v>25</v>
      </c>
      <c r="K4556" s="1">
        <v>20.0</v>
      </c>
      <c r="N4556" s="5">
        <v>44011.0</v>
      </c>
      <c r="Q4556" s="1" t="s">
        <v>287</v>
      </c>
    </row>
    <row r="4557">
      <c r="A4557" s="1">
        <v>4556.0</v>
      </c>
      <c r="B4557" s="1" t="s">
        <v>7461</v>
      </c>
      <c r="C4557" s="1" t="s">
        <v>25</v>
      </c>
      <c r="K4557" s="1">
        <v>150.0</v>
      </c>
      <c r="N4557" s="5">
        <v>44245.0</v>
      </c>
      <c r="Q4557" s="1" t="s">
        <v>7462</v>
      </c>
    </row>
    <row r="4558">
      <c r="A4558" s="1">
        <v>4557.0</v>
      </c>
      <c r="B4558" s="1" t="s">
        <v>7463</v>
      </c>
      <c r="C4558" s="1" t="s">
        <v>25</v>
      </c>
      <c r="K4558" s="1">
        <v>450.0</v>
      </c>
      <c r="N4558" s="5">
        <v>44167.0</v>
      </c>
      <c r="Q4558" s="1" t="s">
        <v>7464</v>
      </c>
    </row>
    <row r="4559">
      <c r="A4559" s="1">
        <v>4558.0</v>
      </c>
      <c r="B4559" s="1" t="s">
        <v>7465</v>
      </c>
      <c r="C4559" s="1" t="s">
        <v>25</v>
      </c>
      <c r="K4559" s="1">
        <v>150.0</v>
      </c>
      <c r="N4559" s="5">
        <v>44268.0</v>
      </c>
      <c r="Q4559" s="1" t="s">
        <v>7466</v>
      </c>
    </row>
    <row r="4560">
      <c r="A4560" s="1">
        <v>4559.0</v>
      </c>
      <c r="B4560" s="1" t="s">
        <v>7467</v>
      </c>
      <c r="C4560" s="1" t="s">
        <v>25</v>
      </c>
      <c r="N4560" s="5">
        <v>43952.0</v>
      </c>
      <c r="Q4560" s="1" t="s">
        <v>55</v>
      </c>
    </row>
    <row r="4561">
      <c r="A4561" s="1">
        <v>4560.0</v>
      </c>
      <c r="B4561" s="1" t="s">
        <v>7468</v>
      </c>
      <c r="C4561" s="1" t="s">
        <v>25</v>
      </c>
      <c r="K4561" s="1">
        <v>70.0</v>
      </c>
      <c r="N4561" s="5">
        <v>43860.0</v>
      </c>
      <c r="Q4561" s="1" t="s">
        <v>7469</v>
      </c>
    </row>
    <row r="4562">
      <c r="A4562" s="1">
        <v>4561.0</v>
      </c>
      <c r="B4562" s="1" t="s">
        <v>7470</v>
      </c>
      <c r="C4562" s="1" t="s">
        <v>25</v>
      </c>
      <c r="K4562" s="1">
        <v>90.0</v>
      </c>
      <c r="N4562" s="5">
        <v>45647.0</v>
      </c>
      <c r="Q4562" s="1" t="s">
        <v>2662</v>
      </c>
    </row>
    <row r="4563">
      <c r="A4563" s="1">
        <v>4562.0</v>
      </c>
      <c r="B4563" s="1" t="s">
        <v>7471</v>
      </c>
      <c r="C4563" s="1" t="s">
        <v>25</v>
      </c>
      <c r="N4563" s="5">
        <v>45688.0</v>
      </c>
      <c r="Q4563" s="1" t="s">
        <v>5215</v>
      </c>
    </row>
    <row r="4564">
      <c r="A4564" s="1">
        <v>4563.0</v>
      </c>
      <c r="B4564" s="1" t="s">
        <v>7472</v>
      </c>
      <c r="C4564" s="1" t="s">
        <v>25</v>
      </c>
      <c r="K4564" s="1">
        <v>350.0</v>
      </c>
      <c r="N4564" s="5">
        <v>44335.0</v>
      </c>
      <c r="Q4564" s="1" t="s">
        <v>7473</v>
      </c>
    </row>
    <row r="4565">
      <c r="A4565" s="1">
        <v>4564.0</v>
      </c>
      <c r="B4565" s="1" t="s">
        <v>7474</v>
      </c>
      <c r="C4565" s="1" t="s">
        <v>25</v>
      </c>
      <c r="K4565" s="1">
        <v>40.0</v>
      </c>
      <c r="N4565" s="5">
        <v>45709.0</v>
      </c>
      <c r="Q4565" s="1" t="s">
        <v>7475</v>
      </c>
    </row>
    <row r="4566">
      <c r="A4566" s="1">
        <v>4565.0</v>
      </c>
      <c r="B4566" s="1" t="s">
        <v>7476</v>
      </c>
      <c r="C4566" s="1" t="s">
        <v>25</v>
      </c>
      <c r="K4566" s="1">
        <v>2500.0</v>
      </c>
      <c r="N4566" s="5">
        <v>43844.0</v>
      </c>
      <c r="Q4566" s="1" t="s">
        <v>7477</v>
      </c>
    </row>
    <row r="4567">
      <c r="A4567" s="1">
        <v>4566.0</v>
      </c>
      <c r="B4567" s="1" t="s">
        <v>7478</v>
      </c>
      <c r="C4567" s="1" t="s">
        <v>25</v>
      </c>
      <c r="K4567" s="1">
        <v>60.0</v>
      </c>
      <c r="N4567" s="5">
        <v>44602.0</v>
      </c>
      <c r="Q4567" s="1" t="s">
        <v>2169</v>
      </c>
    </row>
    <row r="4568">
      <c r="A4568" s="1">
        <v>4567.0</v>
      </c>
      <c r="B4568" s="1" t="s">
        <v>7479</v>
      </c>
      <c r="C4568" s="1" t="s">
        <v>25</v>
      </c>
      <c r="K4568" s="1">
        <v>150.0</v>
      </c>
      <c r="N4568" s="5">
        <v>43944.0</v>
      </c>
      <c r="Q4568" s="1" t="s">
        <v>7480</v>
      </c>
    </row>
    <row r="4569">
      <c r="A4569" s="1">
        <v>4568.0</v>
      </c>
      <c r="B4569" s="1" t="s">
        <v>7481</v>
      </c>
      <c r="C4569" s="1" t="s">
        <v>25</v>
      </c>
      <c r="K4569" s="1">
        <v>70.0</v>
      </c>
      <c r="N4569" s="5">
        <v>44611.0</v>
      </c>
      <c r="Q4569" s="1" t="s">
        <v>7482</v>
      </c>
    </row>
    <row r="4570">
      <c r="A4570" s="1">
        <v>4569.0</v>
      </c>
      <c r="B4570" s="1" t="s">
        <v>7483</v>
      </c>
      <c r="C4570" s="1" t="s">
        <v>25</v>
      </c>
      <c r="K4570" s="1">
        <v>80.0</v>
      </c>
      <c r="N4570" s="5">
        <v>45415.0</v>
      </c>
      <c r="Q4570" s="1" t="s">
        <v>1738</v>
      </c>
    </row>
    <row r="4571">
      <c r="A4571" s="1">
        <v>4570.0</v>
      </c>
      <c r="B4571" s="1" t="s">
        <v>7484</v>
      </c>
      <c r="C4571" s="1" t="s">
        <v>25</v>
      </c>
      <c r="K4571" s="1">
        <v>30.0</v>
      </c>
      <c r="N4571" s="5">
        <v>43926.0</v>
      </c>
      <c r="Q4571" s="1" t="s">
        <v>172</v>
      </c>
    </row>
    <row r="4572">
      <c r="A4572" s="1">
        <v>4571.0</v>
      </c>
      <c r="B4572" s="1" t="s">
        <v>7485</v>
      </c>
      <c r="C4572" s="1" t="s">
        <v>25</v>
      </c>
      <c r="N4572" s="5">
        <v>44170.0</v>
      </c>
      <c r="Q4572" s="1" t="s">
        <v>55</v>
      </c>
    </row>
    <row r="4573">
      <c r="A4573" s="1">
        <v>4572.0</v>
      </c>
      <c r="B4573" s="1" t="s">
        <v>7486</v>
      </c>
      <c r="C4573" s="1" t="s">
        <v>25</v>
      </c>
      <c r="K4573" s="1">
        <v>90.0</v>
      </c>
      <c r="N4573" s="5">
        <v>44257.0</v>
      </c>
      <c r="Q4573" s="1" t="s">
        <v>7487</v>
      </c>
    </row>
    <row r="4574">
      <c r="A4574" s="1">
        <v>4573.0</v>
      </c>
      <c r="B4574" s="1" t="s">
        <v>7488</v>
      </c>
      <c r="C4574" s="1" t="s">
        <v>25</v>
      </c>
      <c r="K4574" s="1">
        <v>90.0</v>
      </c>
      <c r="N4574" s="5">
        <v>44930.0</v>
      </c>
      <c r="Q4574" s="1" t="s">
        <v>569</v>
      </c>
    </row>
    <row r="4575">
      <c r="A4575" s="1">
        <v>4574.0</v>
      </c>
      <c r="B4575" s="1" t="s">
        <v>7489</v>
      </c>
      <c r="C4575" s="1" t="s">
        <v>25</v>
      </c>
      <c r="K4575" s="1">
        <v>10.0</v>
      </c>
      <c r="N4575" s="5">
        <v>44318.0</v>
      </c>
      <c r="Q4575" s="1" t="s">
        <v>55</v>
      </c>
    </row>
    <row r="4576">
      <c r="A4576" s="1">
        <v>4575.0</v>
      </c>
      <c r="B4576" s="1" t="s">
        <v>7490</v>
      </c>
      <c r="C4576" s="1" t="s">
        <v>25</v>
      </c>
      <c r="N4576" s="5">
        <v>44053.0</v>
      </c>
      <c r="Q4576" s="1" t="s">
        <v>55</v>
      </c>
    </row>
    <row r="4577">
      <c r="A4577" s="1">
        <v>4576.0</v>
      </c>
      <c r="B4577" s="1" t="s">
        <v>7491</v>
      </c>
      <c r="C4577" s="1" t="s">
        <v>25</v>
      </c>
      <c r="K4577" s="1">
        <v>50.0</v>
      </c>
      <c r="N4577" s="5">
        <v>44427.0</v>
      </c>
      <c r="Q4577" s="1" t="s">
        <v>55</v>
      </c>
    </row>
    <row r="4578">
      <c r="A4578" s="1">
        <v>4577.0</v>
      </c>
      <c r="B4578" s="1" t="s">
        <v>7492</v>
      </c>
      <c r="C4578" s="1" t="s">
        <v>25</v>
      </c>
      <c r="K4578" s="1">
        <v>20.0</v>
      </c>
      <c r="N4578" s="5">
        <v>44672.0</v>
      </c>
      <c r="Q4578" s="1" t="s">
        <v>55</v>
      </c>
    </row>
    <row r="4579">
      <c r="A4579" s="1">
        <v>4578.0</v>
      </c>
      <c r="B4579" s="1" t="s">
        <v>7493</v>
      </c>
      <c r="C4579" s="1" t="s">
        <v>25</v>
      </c>
      <c r="N4579" s="5">
        <v>44411.0</v>
      </c>
      <c r="Q4579" s="1" t="s">
        <v>55</v>
      </c>
    </row>
    <row r="4580">
      <c r="A4580" s="1">
        <v>4579.0</v>
      </c>
      <c r="B4580" s="1" t="s">
        <v>7494</v>
      </c>
      <c r="C4580" s="1" t="s">
        <v>25</v>
      </c>
      <c r="N4580" s="5">
        <v>44508.0</v>
      </c>
      <c r="Q4580" s="1" t="s">
        <v>55</v>
      </c>
    </row>
    <row r="4581">
      <c r="A4581" s="1">
        <v>4580.0</v>
      </c>
      <c r="B4581" s="1" t="s">
        <v>7495</v>
      </c>
      <c r="C4581" s="1" t="s">
        <v>25</v>
      </c>
      <c r="N4581" s="5">
        <v>45361.0</v>
      </c>
      <c r="Q4581" s="1" t="s">
        <v>1726</v>
      </c>
    </row>
    <row r="4582">
      <c r="A4582" s="1">
        <v>4581.0</v>
      </c>
      <c r="B4582" s="1" t="s">
        <v>7496</v>
      </c>
      <c r="C4582" s="1" t="s">
        <v>25</v>
      </c>
      <c r="K4582" s="1">
        <v>100.0</v>
      </c>
      <c r="N4582" s="5">
        <v>45292.0</v>
      </c>
      <c r="Q4582" s="1" t="s">
        <v>7497</v>
      </c>
    </row>
    <row r="4583">
      <c r="A4583" s="1">
        <v>4582.0</v>
      </c>
      <c r="B4583" s="1" t="s">
        <v>7498</v>
      </c>
      <c r="C4583" s="1" t="s">
        <v>25</v>
      </c>
      <c r="N4583" s="5">
        <v>44479.0</v>
      </c>
      <c r="Q4583" s="1" t="s">
        <v>55</v>
      </c>
    </row>
    <row r="4584">
      <c r="A4584" s="1">
        <v>4583.0</v>
      </c>
      <c r="B4584" s="1" t="s">
        <v>7499</v>
      </c>
      <c r="C4584" s="1" t="s">
        <v>25</v>
      </c>
      <c r="K4584" s="1">
        <v>150.0</v>
      </c>
      <c r="N4584" s="5">
        <v>43866.0</v>
      </c>
      <c r="Q4584" s="1" t="s">
        <v>7500</v>
      </c>
    </row>
    <row r="4585">
      <c r="A4585" s="1">
        <v>4584.0</v>
      </c>
      <c r="B4585" s="1" t="s">
        <v>7501</v>
      </c>
      <c r="C4585" s="1" t="s">
        <v>25</v>
      </c>
      <c r="K4585" s="1">
        <v>50.0</v>
      </c>
      <c r="N4585" s="5">
        <v>43842.0</v>
      </c>
      <c r="Q4585" s="1" t="s">
        <v>7502</v>
      </c>
    </row>
    <row r="4586">
      <c r="A4586" s="1">
        <v>4585.0</v>
      </c>
      <c r="B4586" s="1" t="s">
        <v>7503</v>
      </c>
      <c r="C4586" s="1" t="s">
        <v>25</v>
      </c>
      <c r="K4586" s="1">
        <v>100.0</v>
      </c>
      <c r="N4586" s="5">
        <v>44753.0</v>
      </c>
      <c r="Q4586" s="1" t="s">
        <v>7504</v>
      </c>
    </row>
    <row r="4587">
      <c r="A4587" s="1">
        <v>4586.0</v>
      </c>
      <c r="B4587" s="1" t="s">
        <v>7505</v>
      </c>
      <c r="C4587" s="1" t="s">
        <v>25</v>
      </c>
      <c r="N4587" s="5">
        <v>44683.0</v>
      </c>
      <c r="Q4587" s="1" t="s">
        <v>55</v>
      </c>
    </row>
    <row r="4588">
      <c r="A4588" s="1">
        <v>4587.0</v>
      </c>
      <c r="B4588" s="1" t="s">
        <v>7506</v>
      </c>
      <c r="C4588" s="1" t="s">
        <v>25</v>
      </c>
      <c r="K4588" s="1">
        <v>350.0</v>
      </c>
      <c r="N4588" s="5">
        <v>44558.0</v>
      </c>
      <c r="Q4588" s="1" t="s">
        <v>7507</v>
      </c>
    </row>
    <row r="4589">
      <c r="A4589" s="1">
        <v>4588.0</v>
      </c>
      <c r="B4589" s="1" t="s">
        <v>7508</v>
      </c>
      <c r="C4589" s="1" t="s">
        <v>25</v>
      </c>
      <c r="K4589" s="1">
        <v>150.0</v>
      </c>
      <c r="N4589" s="5">
        <v>44087.0</v>
      </c>
      <c r="Q4589" s="1" t="s">
        <v>7509</v>
      </c>
    </row>
    <row r="4590">
      <c r="A4590" s="1">
        <v>4589.0</v>
      </c>
      <c r="B4590" s="1" t="s">
        <v>7510</v>
      </c>
      <c r="C4590" s="1" t="s">
        <v>25</v>
      </c>
      <c r="K4590" s="1">
        <v>10.0</v>
      </c>
      <c r="N4590" s="5">
        <v>45646.0</v>
      </c>
      <c r="Q4590" s="1" t="s">
        <v>87</v>
      </c>
    </row>
    <row r="4591">
      <c r="A4591" s="1">
        <v>4590.0</v>
      </c>
      <c r="B4591" s="1" t="s">
        <v>7511</v>
      </c>
      <c r="C4591" s="1" t="s">
        <v>25</v>
      </c>
      <c r="K4591" s="1">
        <v>150.0</v>
      </c>
      <c r="N4591" s="5">
        <v>43873.0</v>
      </c>
      <c r="Q4591" s="1" t="s">
        <v>2662</v>
      </c>
    </row>
    <row r="4592">
      <c r="A4592" s="1">
        <v>4591.0</v>
      </c>
      <c r="B4592" s="1" t="s">
        <v>7512</v>
      </c>
      <c r="C4592" s="1" t="s">
        <v>25</v>
      </c>
      <c r="K4592" s="1">
        <v>200.0</v>
      </c>
      <c r="N4592" s="5">
        <v>44083.0</v>
      </c>
      <c r="Q4592" s="1" t="s">
        <v>7513</v>
      </c>
    </row>
    <row r="4593">
      <c r="A4593" s="1">
        <v>4592.0</v>
      </c>
      <c r="B4593" s="1" t="s">
        <v>7514</v>
      </c>
      <c r="C4593" s="1" t="s">
        <v>25</v>
      </c>
      <c r="K4593" s="1">
        <v>150.0</v>
      </c>
      <c r="N4593" s="5">
        <v>44202.0</v>
      </c>
      <c r="Q4593" s="1" t="s">
        <v>77</v>
      </c>
    </row>
    <row r="4594">
      <c r="A4594" s="1">
        <v>4593.0</v>
      </c>
      <c r="B4594" s="1" t="s">
        <v>7515</v>
      </c>
      <c r="C4594" s="1" t="s">
        <v>25</v>
      </c>
      <c r="K4594" s="1">
        <v>250.0</v>
      </c>
      <c r="N4594" s="5">
        <v>43965.0</v>
      </c>
      <c r="Q4594" s="1" t="s">
        <v>7516</v>
      </c>
    </row>
    <row r="4595">
      <c r="A4595" s="1">
        <v>4594.0</v>
      </c>
      <c r="B4595" s="1" t="s">
        <v>7517</v>
      </c>
      <c r="C4595" s="1" t="s">
        <v>25</v>
      </c>
      <c r="K4595" s="1">
        <v>100.0</v>
      </c>
      <c r="N4595" s="5">
        <v>45646.0</v>
      </c>
      <c r="Q4595" s="1" t="s">
        <v>7518</v>
      </c>
    </row>
    <row r="4596">
      <c r="A4596" s="1">
        <v>4595.0</v>
      </c>
      <c r="B4596" s="1" t="s">
        <v>7519</v>
      </c>
      <c r="C4596" s="1" t="s">
        <v>25</v>
      </c>
      <c r="K4596" s="1">
        <v>200.0</v>
      </c>
      <c r="N4596" s="5">
        <v>44045.0</v>
      </c>
      <c r="Q4596" s="1" t="s">
        <v>7520</v>
      </c>
    </row>
    <row r="4597">
      <c r="A4597" s="1">
        <v>4596.0</v>
      </c>
      <c r="B4597" s="1" t="s">
        <v>7521</v>
      </c>
      <c r="C4597" s="1" t="s">
        <v>25</v>
      </c>
      <c r="K4597" s="1">
        <v>70.0</v>
      </c>
      <c r="N4597" s="5">
        <v>43360.0</v>
      </c>
      <c r="Q4597" s="1" t="s">
        <v>7522</v>
      </c>
    </row>
    <row r="4598">
      <c r="A4598" s="1">
        <v>4597.0</v>
      </c>
      <c r="B4598" s="1" t="s">
        <v>7523</v>
      </c>
      <c r="C4598" s="1" t="s">
        <v>25</v>
      </c>
      <c r="N4598" s="5">
        <v>44491.0</v>
      </c>
      <c r="Q4598" s="1" t="s">
        <v>55</v>
      </c>
    </row>
    <row r="4599">
      <c r="A4599" s="1">
        <v>4598.0</v>
      </c>
      <c r="B4599" s="1" t="s">
        <v>7524</v>
      </c>
      <c r="C4599" s="1" t="s">
        <v>25</v>
      </c>
      <c r="K4599" s="1">
        <v>150.0</v>
      </c>
      <c r="N4599" s="5">
        <v>44120.0</v>
      </c>
      <c r="Q4599" s="1" t="s">
        <v>7525</v>
      </c>
    </row>
    <row r="4600">
      <c r="A4600" s="1">
        <v>4599.0</v>
      </c>
      <c r="B4600" s="1" t="s">
        <v>7526</v>
      </c>
      <c r="C4600" s="1" t="s">
        <v>25</v>
      </c>
      <c r="K4600" s="1">
        <v>150.0</v>
      </c>
      <c r="N4600" s="5">
        <v>44243.0</v>
      </c>
      <c r="Q4600" s="1" t="s">
        <v>7527</v>
      </c>
    </row>
    <row r="4601">
      <c r="A4601" s="1">
        <v>4600.0</v>
      </c>
      <c r="B4601" s="1" t="s">
        <v>7528</v>
      </c>
      <c r="C4601" s="1" t="s">
        <v>25</v>
      </c>
      <c r="K4601" s="1">
        <v>150.0</v>
      </c>
      <c r="N4601" s="5">
        <v>45069.0</v>
      </c>
      <c r="Q4601" s="1" t="s">
        <v>7529</v>
      </c>
    </row>
    <row r="4602">
      <c r="A4602" s="1">
        <v>4601.0</v>
      </c>
      <c r="B4602" s="1" t="s">
        <v>7530</v>
      </c>
      <c r="C4602" s="1" t="s">
        <v>25</v>
      </c>
      <c r="N4602" s="5">
        <v>43841.0</v>
      </c>
      <c r="Q4602" s="1" t="s">
        <v>55</v>
      </c>
    </row>
    <row r="4603">
      <c r="A4603" s="1">
        <v>4602.0</v>
      </c>
      <c r="B4603" s="1" t="s">
        <v>7531</v>
      </c>
      <c r="C4603" s="1" t="s">
        <v>25</v>
      </c>
      <c r="K4603" s="1">
        <v>50.0</v>
      </c>
      <c r="N4603" s="5">
        <v>44873.0</v>
      </c>
      <c r="Q4603" s="1" t="s">
        <v>7422</v>
      </c>
    </row>
    <row r="4604">
      <c r="A4604" s="1">
        <v>4603.0</v>
      </c>
      <c r="B4604" s="1" t="s">
        <v>7532</v>
      </c>
      <c r="C4604" s="1" t="s">
        <v>25</v>
      </c>
      <c r="K4604" s="1">
        <v>50.0</v>
      </c>
      <c r="N4604" s="5">
        <v>45488.0</v>
      </c>
      <c r="Q4604" s="1" t="s">
        <v>7533</v>
      </c>
    </row>
    <row r="4605">
      <c r="A4605" s="1">
        <v>4604.0</v>
      </c>
      <c r="B4605" s="1" t="s">
        <v>7534</v>
      </c>
      <c r="C4605" s="1" t="s">
        <v>25</v>
      </c>
      <c r="K4605" s="1">
        <v>600.0</v>
      </c>
      <c r="N4605" s="5">
        <v>43856.0</v>
      </c>
      <c r="Q4605" s="1" t="s">
        <v>7535</v>
      </c>
    </row>
    <row r="4606">
      <c r="A4606" s="1">
        <v>4605.0</v>
      </c>
      <c r="B4606" s="1" t="s">
        <v>7536</v>
      </c>
      <c r="C4606" s="1" t="s">
        <v>25</v>
      </c>
      <c r="K4606" s="1">
        <v>90.0</v>
      </c>
      <c r="N4606" s="5">
        <v>43880.0</v>
      </c>
      <c r="Q4606" s="1" t="s">
        <v>7537</v>
      </c>
    </row>
    <row r="4607">
      <c r="A4607" s="1">
        <v>4606.0</v>
      </c>
      <c r="B4607" s="1" t="s">
        <v>7538</v>
      </c>
      <c r="C4607" s="1" t="s">
        <v>25</v>
      </c>
      <c r="K4607" s="1">
        <v>100.0</v>
      </c>
      <c r="N4607" s="5">
        <v>44374.0</v>
      </c>
      <c r="Q4607" s="1" t="s">
        <v>1066</v>
      </c>
    </row>
    <row r="4608">
      <c r="A4608" s="1">
        <v>4607.0</v>
      </c>
      <c r="B4608" s="1" t="s">
        <v>7539</v>
      </c>
      <c r="C4608" s="1" t="s">
        <v>25</v>
      </c>
      <c r="K4608" s="1">
        <v>250.0</v>
      </c>
      <c r="N4608" s="5">
        <v>45817.0</v>
      </c>
      <c r="Q4608" s="1" t="s">
        <v>7540</v>
      </c>
    </row>
    <row r="4609">
      <c r="A4609" s="1">
        <v>4608.0</v>
      </c>
      <c r="B4609" s="1" t="s">
        <v>7541</v>
      </c>
      <c r="C4609" s="1" t="s">
        <v>25</v>
      </c>
      <c r="K4609" s="1">
        <v>60.0</v>
      </c>
      <c r="N4609" s="5">
        <v>45262.0</v>
      </c>
      <c r="Q4609" s="1" t="s">
        <v>7542</v>
      </c>
    </row>
    <row r="4610">
      <c r="A4610" s="1">
        <v>4609.0</v>
      </c>
      <c r="B4610" s="1" t="s">
        <v>7543</v>
      </c>
      <c r="C4610" s="1" t="s">
        <v>25</v>
      </c>
      <c r="K4610" s="1">
        <v>30.0</v>
      </c>
      <c r="N4610" s="5">
        <v>45649.0</v>
      </c>
      <c r="Q4610" s="1" t="s">
        <v>633</v>
      </c>
    </row>
    <row r="4611">
      <c r="A4611" s="1">
        <v>4610.0</v>
      </c>
      <c r="B4611" s="1" t="s">
        <v>7544</v>
      </c>
      <c r="C4611" s="1" t="s">
        <v>25</v>
      </c>
      <c r="K4611" s="1">
        <v>60.0</v>
      </c>
      <c r="N4611" s="5">
        <v>44197.0</v>
      </c>
      <c r="Q4611" s="1" t="s">
        <v>7545</v>
      </c>
    </row>
    <row r="4612">
      <c r="A4612" s="1">
        <v>4611.0</v>
      </c>
      <c r="B4612" s="1" t="s">
        <v>7546</v>
      </c>
      <c r="C4612" s="1" t="s">
        <v>25</v>
      </c>
      <c r="K4612" s="1">
        <v>300.0</v>
      </c>
      <c r="N4612" s="5">
        <v>45073.0</v>
      </c>
      <c r="Q4612" s="1" t="s">
        <v>7547</v>
      </c>
    </row>
    <row r="4613">
      <c r="A4613" s="1">
        <v>4612.0</v>
      </c>
      <c r="B4613" s="1" t="s">
        <v>7548</v>
      </c>
      <c r="C4613" s="1" t="s">
        <v>25</v>
      </c>
      <c r="K4613" s="1">
        <v>250.0</v>
      </c>
      <c r="N4613" s="5">
        <v>44121.0</v>
      </c>
      <c r="Q4613" s="1" t="s">
        <v>7549</v>
      </c>
    </row>
    <row r="4614">
      <c r="A4614" s="1">
        <v>4613.0</v>
      </c>
      <c r="B4614" s="1" t="s">
        <v>7550</v>
      </c>
      <c r="C4614" s="1" t="s">
        <v>25</v>
      </c>
      <c r="K4614" s="1">
        <v>200.0</v>
      </c>
      <c r="N4614" s="5">
        <v>44107.0</v>
      </c>
      <c r="Q4614" s="1" t="s">
        <v>7551</v>
      </c>
    </row>
    <row r="4615">
      <c r="A4615" s="1">
        <v>4614.0</v>
      </c>
      <c r="B4615" s="1" t="s">
        <v>7552</v>
      </c>
      <c r="C4615" s="1" t="s">
        <v>25</v>
      </c>
      <c r="N4615" s="5">
        <v>46101.0</v>
      </c>
      <c r="Q4615" s="1" t="s">
        <v>7553</v>
      </c>
    </row>
    <row r="4616">
      <c r="A4616" s="1">
        <v>4615.0</v>
      </c>
      <c r="B4616" s="1" t="s">
        <v>7554</v>
      </c>
      <c r="C4616" s="1" t="s">
        <v>25</v>
      </c>
      <c r="K4616" s="1">
        <v>50.0</v>
      </c>
      <c r="N4616" s="5">
        <v>45736.0</v>
      </c>
      <c r="Q4616" s="1" t="s">
        <v>7555</v>
      </c>
    </row>
    <row r="4617">
      <c r="A4617" s="1">
        <v>4616.0</v>
      </c>
      <c r="B4617" s="1" t="s">
        <v>7556</v>
      </c>
      <c r="C4617" s="1" t="s">
        <v>25</v>
      </c>
      <c r="K4617" s="1">
        <v>150.0</v>
      </c>
      <c r="N4617" s="5">
        <v>44005.0</v>
      </c>
      <c r="Q4617" s="1" t="s">
        <v>7557</v>
      </c>
    </row>
    <row r="4618">
      <c r="A4618" s="1">
        <v>4617.0</v>
      </c>
      <c r="B4618" s="1" t="s">
        <v>7558</v>
      </c>
      <c r="C4618" s="1" t="s">
        <v>25</v>
      </c>
      <c r="K4618" s="1">
        <v>70.0</v>
      </c>
      <c r="N4618" s="5">
        <v>44027.0</v>
      </c>
      <c r="Q4618" s="1" t="s">
        <v>345</v>
      </c>
    </row>
    <row r="4619">
      <c r="A4619" s="1">
        <v>4618.0</v>
      </c>
      <c r="B4619" s="1" t="s">
        <v>7559</v>
      </c>
      <c r="C4619" s="1" t="s">
        <v>25</v>
      </c>
      <c r="N4619" s="5">
        <v>45704.0</v>
      </c>
      <c r="Q4619" s="1" t="s">
        <v>7560</v>
      </c>
    </row>
    <row r="4620">
      <c r="A4620" s="1">
        <v>4619.0</v>
      </c>
      <c r="B4620" s="1" t="s">
        <v>7561</v>
      </c>
      <c r="C4620" s="1" t="s">
        <v>25</v>
      </c>
      <c r="N4620" s="5">
        <v>44614.0</v>
      </c>
      <c r="Q4620" s="1" t="s">
        <v>55</v>
      </c>
    </row>
    <row r="4621">
      <c r="A4621" s="1">
        <v>4620.0</v>
      </c>
      <c r="B4621" s="1" t="s">
        <v>7562</v>
      </c>
      <c r="C4621" s="1" t="s">
        <v>25</v>
      </c>
      <c r="K4621" s="1">
        <v>60.0</v>
      </c>
      <c r="N4621" s="5">
        <v>45788.0</v>
      </c>
      <c r="Q4621" s="1" t="s">
        <v>7563</v>
      </c>
    </row>
    <row r="4622">
      <c r="A4622" s="1">
        <v>4621.0</v>
      </c>
      <c r="B4622" s="1" t="s">
        <v>7564</v>
      </c>
      <c r="C4622" s="1" t="s">
        <v>25</v>
      </c>
      <c r="K4622" s="1">
        <v>100.0</v>
      </c>
      <c r="N4622" s="5">
        <v>45031.0</v>
      </c>
      <c r="Q4622" s="1" t="s">
        <v>7565</v>
      </c>
    </row>
    <row r="4623">
      <c r="A4623" s="1">
        <v>4622.0</v>
      </c>
      <c r="B4623" s="1" t="s">
        <v>7566</v>
      </c>
      <c r="C4623" s="1" t="s">
        <v>25</v>
      </c>
      <c r="K4623" s="1">
        <v>200.0</v>
      </c>
      <c r="N4623" s="5">
        <v>45731.0</v>
      </c>
      <c r="Q4623" s="1" t="s">
        <v>7567</v>
      </c>
    </row>
    <row r="4624">
      <c r="A4624" s="1">
        <v>4623.0</v>
      </c>
      <c r="B4624" s="1" t="s">
        <v>7568</v>
      </c>
      <c r="C4624" s="1" t="s">
        <v>25</v>
      </c>
      <c r="K4624" s="1">
        <v>100.0</v>
      </c>
      <c r="N4624" s="5">
        <v>44042.0</v>
      </c>
      <c r="Q4624" s="1" t="s">
        <v>7569</v>
      </c>
    </row>
    <row r="4625">
      <c r="A4625" s="1">
        <v>4624.0</v>
      </c>
      <c r="B4625" s="1" t="s">
        <v>7570</v>
      </c>
      <c r="C4625" s="1" t="s">
        <v>25</v>
      </c>
      <c r="K4625" s="1">
        <v>200.0</v>
      </c>
      <c r="N4625" s="5">
        <v>44359.0</v>
      </c>
      <c r="Q4625" s="1" t="s">
        <v>7571</v>
      </c>
    </row>
    <row r="4626">
      <c r="A4626" s="1">
        <v>4625.0</v>
      </c>
      <c r="B4626" s="1" t="s">
        <v>7572</v>
      </c>
      <c r="C4626" s="1" t="s">
        <v>25</v>
      </c>
      <c r="K4626" s="1">
        <v>150.0</v>
      </c>
      <c r="N4626" s="5">
        <v>45684.0</v>
      </c>
      <c r="Q4626" s="1" t="s">
        <v>7573</v>
      </c>
    </row>
    <row r="4627">
      <c r="A4627" s="1">
        <v>4626.0</v>
      </c>
      <c r="B4627" s="1" t="s">
        <v>7574</v>
      </c>
      <c r="C4627" s="1" t="s">
        <v>25</v>
      </c>
      <c r="K4627" s="1">
        <v>150.0</v>
      </c>
      <c r="N4627" s="5">
        <v>45789.0</v>
      </c>
      <c r="Q4627" s="1" t="s">
        <v>7575</v>
      </c>
    </row>
    <row r="4628">
      <c r="A4628" s="1">
        <v>4627.0</v>
      </c>
      <c r="B4628" s="1" t="s">
        <v>7576</v>
      </c>
      <c r="C4628" s="1" t="s">
        <v>25</v>
      </c>
      <c r="K4628" s="1">
        <v>100.0</v>
      </c>
      <c r="N4628" s="5">
        <v>43878.0</v>
      </c>
      <c r="Q4628" s="1" t="s">
        <v>1218</v>
      </c>
    </row>
    <row r="4629">
      <c r="A4629" s="1">
        <v>4628.0</v>
      </c>
      <c r="B4629" s="1" t="s">
        <v>7577</v>
      </c>
      <c r="C4629" s="1" t="s">
        <v>25</v>
      </c>
      <c r="K4629" s="1">
        <v>450.0</v>
      </c>
      <c r="N4629" s="5">
        <v>43841.0</v>
      </c>
      <c r="Q4629" s="1" t="s">
        <v>7578</v>
      </c>
    </row>
    <row r="4630">
      <c r="A4630" s="1">
        <v>4629.0</v>
      </c>
      <c r="B4630" s="1" t="s">
        <v>7579</v>
      </c>
      <c r="C4630" s="1" t="s">
        <v>25</v>
      </c>
      <c r="K4630" s="1">
        <v>40.0</v>
      </c>
      <c r="N4630" s="5">
        <v>44410.0</v>
      </c>
      <c r="Q4630" s="1" t="s">
        <v>2022</v>
      </c>
    </row>
    <row r="4631">
      <c r="A4631" s="1">
        <v>4630.0</v>
      </c>
      <c r="B4631" s="1" t="s">
        <v>7580</v>
      </c>
      <c r="C4631" s="1" t="s">
        <v>25</v>
      </c>
      <c r="N4631" s="5">
        <v>45401.0</v>
      </c>
      <c r="Q4631" s="1" t="s">
        <v>87</v>
      </c>
    </row>
    <row r="4632">
      <c r="A4632" s="1">
        <v>4631.0</v>
      </c>
      <c r="B4632" s="1" t="s">
        <v>7581</v>
      </c>
      <c r="C4632" s="1" t="s">
        <v>25</v>
      </c>
      <c r="K4632" s="1">
        <v>30.0</v>
      </c>
      <c r="N4632" s="5">
        <v>45600.0</v>
      </c>
      <c r="Q4632" s="1" t="s">
        <v>7582</v>
      </c>
    </row>
    <row r="4633">
      <c r="A4633" s="1">
        <v>4632.0</v>
      </c>
      <c r="B4633" s="1" t="s">
        <v>7583</v>
      </c>
      <c r="C4633" s="1" t="s">
        <v>25</v>
      </c>
      <c r="N4633" s="5">
        <v>44285.0</v>
      </c>
      <c r="Q4633" s="1" t="s">
        <v>55</v>
      </c>
    </row>
    <row r="4634">
      <c r="A4634" s="1">
        <v>4633.0</v>
      </c>
      <c r="B4634" s="1" t="s">
        <v>7584</v>
      </c>
      <c r="C4634" s="1" t="s">
        <v>25</v>
      </c>
      <c r="K4634" s="1">
        <v>300.0</v>
      </c>
      <c r="N4634" s="5">
        <v>43866.0</v>
      </c>
      <c r="Q4634" s="1" t="s">
        <v>7585</v>
      </c>
    </row>
    <row r="4635">
      <c r="A4635" s="1">
        <v>4634.0</v>
      </c>
      <c r="B4635" s="1" t="s">
        <v>7586</v>
      </c>
      <c r="C4635" s="1" t="s">
        <v>25</v>
      </c>
      <c r="N4635" s="5">
        <v>43875.0</v>
      </c>
      <c r="Q4635" s="1" t="s">
        <v>55</v>
      </c>
    </row>
    <row r="4636">
      <c r="A4636" s="1">
        <v>4635.0</v>
      </c>
      <c r="B4636" s="1" t="s">
        <v>7587</v>
      </c>
      <c r="C4636" s="1" t="s">
        <v>25</v>
      </c>
      <c r="K4636" s="1">
        <v>60.0</v>
      </c>
      <c r="N4636" s="5">
        <v>44777.0</v>
      </c>
      <c r="Q4636" s="1" t="s">
        <v>7588</v>
      </c>
    </row>
    <row r="4637">
      <c r="A4637" s="1">
        <v>4636.0</v>
      </c>
      <c r="B4637" s="1" t="s">
        <v>7589</v>
      </c>
      <c r="C4637" s="1" t="s">
        <v>25</v>
      </c>
      <c r="K4637" s="1">
        <v>150.0</v>
      </c>
      <c r="N4637" s="5">
        <v>44042.0</v>
      </c>
      <c r="Q4637" s="1" t="s">
        <v>7590</v>
      </c>
    </row>
    <row r="4638">
      <c r="A4638" s="1">
        <v>4637.0</v>
      </c>
      <c r="B4638" s="1" t="s">
        <v>358</v>
      </c>
      <c r="C4638" s="1" t="s">
        <v>25</v>
      </c>
      <c r="N4638" s="5">
        <v>44938.0</v>
      </c>
      <c r="Q4638" s="1" t="s">
        <v>360</v>
      </c>
    </row>
    <row r="4639">
      <c r="A4639" s="1">
        <v>4638.0</v>
      </c>
      <c r="B4639" s="1" t="s">
        <v>7591</v>
      </c>
      <c r="C4639" s="1" t="s">
        <v>25</v>
      </c>
      <c r="K4639" s="1">
        <v>100.0</v>
      </c>
      <c r="N4639" s="5">
        <v>44150.0</v>
      </c>
      <c r="Q4639" s="1" t="s">
        <v>7592</v>
      </c>
    </row>
    <row r="4640">
      <c r="A4640" s="1">
        <v>4639.0</v>
      </c>
      <c r="B4640" s="1" t="s">
        <v>7593</v>
      </c>
      <c r="C4640" s="1" t="s">
        <v>25</v>
      </c>
      <c r="K4640" s="1">
        <v>800.0</v>
      </c>
      <c r="N4640" s="5">
        <v>43840.0</v>
      </c>
      <c r="Q4640" s="1" t="s">
        <v>7594</v>
      </c>
    </row>
    <row r="4641">
      <c r="A4641" s="1">
        <v>4640.0</v>
      </c>
      <c r="B4641" s="1" t="s">
        <v>7595</v>
      </c>
      <c r="C4641" s="1" t="s">
        <v>25</v>
      </c>
      <c r="K4641" s="1">
        <v>250.0</v>
      </c>
      <c r="N4641" s="5">
        <v>43843.0</v>
      </c>
      <c r="Q4641" s="1" t="s">
        <v>7596</v>
      </c>
    </row>
    <row r="4642">
      <c r="A4642" s="1">
        <v>4641.0</v>
      </c>
      <c r="B4642" s="1" t="s">
        <v>7597</v>
      </c>
      <c r="C4642" s="1" t="s">
        <v>25</v>
      </c>
      <c r="N4642" s="5">
        <v>45558.0</v>
      </c>
      <c r="Q4642" s="1" t="s">
        <v>131</v>
      </c>
    </row>
    <row r="4643">
      <c r="A4643" s="1">
        <v>4642.0</v>
      </c>
      <c r="B4643" s="1" t="s">
        <v>7598</v>
      </c>
      <c r="C4643" s="1" t="s">
        <v>25</v>
      </c>
      <c r="N4643" s="5">
        <v>44853.0</v>
      </c>
      <c r="Q4643" s="1" t="s">
        <v>55</v>
      </c>
    </row>
    <row r="4644">
      <c r="A4644" s="1">
        <v>4643.0</v>
      </c>
      <c r="B4644" s="1" t="s">
        <v>7599</v>
      </c>
      <c r="C4644" s="1" t="s">
        <v>25</v>
      </c>
      <c r="N4644" s="5">
        <v>45451.0</v>
      </c>
      <c r="Q4644" s="1" t="s">
        <v>1726</v>
      </c>
    </row>
    <row r="4645">
      <c r="A4645" s="1">
        <v>4644.0</v>
      </c>
      <c r="B4645" s="1" t="s">
        <v>7600</v>
      </c>
      <c r="C4645" s="1" t="s">
        <v>25</v>
      </c>
      <c r="K4645" s="1">
        <v>10.0</v>
      </c>
      <c r="N4645" s="5">
        <v>44175.0</v>
      </c>
      <c r="Q4645" s="1" t="s">
        <v>1948</v>
      </c>
    </row>
    <row r="4646">
      <c r="A4646" s="1">
        <v>4645.0</v>
      </c>
      <c r="B4646" s="1" t="s">
        <v>7601</v>
      </c>
      <c r="C4646" s="1" t="s">
        <v>25</v>
      </c>
      <c r="K4646" s="1">
        <v>30.0</v>
      </c>
      <c r="N4646" s="5">
        <v>45182.0</v>
      </c>
      <c r="Q4646" s="1" t="s">
        <v>7602</v>
      </c>
    </row>
    <row r="4647">
      <c r="A4647" s="1">
        <v>4646.0</v>
      </c>
      <c r="B4647" s="1" t="s">
        <v>7603</v>
      </c>
      <c r="C4647" s="1" t="s">
        <v>25</v>
      </c>
      <c r="K4647" s="1">
        <v>60.0</v>
      </c>
      <c r="N4647" s="5">
        <v>45689.0</v>
      </c>
      <c r="Q4647" s="1" t="s">
        <v>7604</v>
      </c>
    </row>
    <row r="4648">
      <c r="A4648" s="1">
        <v>4647.0</v>
      </c>
      <c r="B4648" s="1" t="s">
        <v>7605</v>
      </c>
      <c r="C4648" s="1" t="s">
        <v>25</v>
      </c>
      <c r="N4648" s="5">
        <v>43936.0</v>
      </c>
      <c r="Q4648" s="1" t="s">
        <v>55</v>
      </c>
    </row>
    <row r="4649">
      <c r="A4649" s="1">
        <v>4648.0</v>
      </c>
      <c r="B4649" s="1" t="s">
        <v>7606</v>
      </c>
      <c r="C4649" s="1" t="s">
        <v>25</v>
      </c>
      <c r="K4649" s="1">
        <v>150.0</v>
      </c>
      <c r="N4649" s="5">
        <v>45414.0</v>
      </c>
      <c r="Q4649" s="1" t="s">
        <v>7607</v>
      </c>
    </row>
    <row r="4650">
      <c r="A4650" s="1">
        <v>4649.0</v>
      </c>
      <c r="B4650" s="1" t="s">
        <v>7608</v>
      </c>
      <c r="C4650" s="1" t="s">
        <v>25</v>
      </c>
      <c r="K4650" s="1">
        <v>10.0</v>
      </c>
      <c r="N4650" s="5">
        <v>44391.0</v>
      </c>
      <c r="Q4650" s="1" t="s">
        <v>100</v>
      </c>
    </row>
    <row r="4651">
      <c r="A4651" s="1">
        <v>4650.0</v>
      </c>
      <c r="B4651" s="1" t="s">
        <v>7609</v>
      </c>
      <c r="C4651" s="1" t="s">
        <v>25</v>
      </c>
      <c r="N4651" s="5">
        <v>43909.0</v>
      </c>
      <c r="Q4651" s="1" t="s">
        <v>55</v>
      </c>
    </row>
    <row r="4652">
      <c r="A4652" s="1">
        <v>4651.0</v>
      </c>
      <c r="B4652" s="1" t="s">
        <v>7610</v>
      </c>
      <c r="C4652" s="1" t="s">
        <v>25</v>
      </c>
      <c r="K4652" s="1">
        <v>10.0</v>
      </c>
      <c r="N4652" s="5">
        <v>45488.0</v>
      </c>
      <c r="Q4652" s="1" t="s">
        <v>7611</v>
      </c>
    </row>
    <row r="4653">
      <c r="A4653" s="1">
        <v>4652.0</v>
      </c>
      <c r="B4653" s="1" t="s">
        <v>7612</v>
      </c>
      <c r="C4653" s="1" t="s">
        <v>25</v>
      </c>
      <c r="K4653" s="1">
        <v>90.0</v>
      </c>
      <c r="N4653" s="5">
        <v>44915.0</v>
      </c>
      <c r="Q4653" s="1" t="s">
        <v>7613</v>
      </c>
    </row>
    <row r="4654">
      <c r="A4654" s="1">
        <v>4653.0</v>
      </c>
      <c r="B4654" s="1" t="s">
        <v>7614</v>
      </c>
      <c r="C4654" s="1" t="s">
        <v>25</v>
      </c>
      <c r="K4654" s="1">
        <v>90.0</v>
      </c>
      <c r="N4654" s="5">
        <v>45593.0</v>
      </c>
      <c r="Q4654" s="1" t="s">
        <v>7615</v>
      </c>
    </row>
    <row r="4655">
      <c r="A4655" s="1">
        <v>4654.0</v>
      </c>
      <c r="B4655" s="1" t="s">
        <v>7616</v>
      </c>
      <c r="C4655" s="1" t="s">
        <v>25</v>
      </c>
      <c r="K4655" s="1">
        <v>10.0</v>
      </c>
      <c r="N4655" s="5">
        <v>44464.0</v>
      </c>
      <c r="Q4655" s="1" t="s">
        <v>55</v>
      </c>
    </row>
    <row r="4656">
      <c r="A4656" s="1">
        <v>4655.0</v>
      </c>
      <c r="B4656" s="1" t="s">
        <v>7617</v>
      </c>
      <c r="C4656" s="1" t="s">
        <v>25</v>
      </c>
      <c r="K4656" s="1">
        <v>100.0</v>
      </c>
      <c r="N4656" s="5">
        <v>44113.0</v>
      </c>
      <c r="Q4656" s="1" t="s">
        <v>2183</v>
      </c>
    </row>
    <row r="4657">
      <c r="A4657" s="1">
        <v>4656.0</v>
      </c>
      <c r="B4657" s="1" t="s">
        <v>7618</v>
      </c>
      <c r="C4657" s="1" t="s">
        <v>25</v>
      </c>
      <c r="K4657" s="1">
        <v>10.0</v>
      </c>
      <c r="N4657" s="5">
        <v>44844.0</v>
      </c>
      <c r="Q4657" s="1" t="s">
        <v>55</v>
      </c>
    </row>
    <row r="4658">
      <c r="A4658" s="1">
        <v>4657.0</v>
      </c>
      <c r="B4658" s="1" t="s">
        <v>7619</v>
      </c>
      <c r="C4658" s="1" t="s">
        <v>25</v>
      </c>
      <c r="K4658" s="1">
        <v>20.0</v>
      </c>
      <c r="N4658" s="5">
        <v>44565.0</v>
      </c>
      <c r="Q4658" s="1" t="s">
        <v>55</v>
      </c>
    </row>
    <row r="4659">
      <c r="A4659" s="1">
        <v>4658.0</v>
      </c>
      <c r="B4659" s="1" t="s">
        <v>7620</v>
      </c>
      <c r="C4659" s="1" t="s">
        <v>25</v>
      </c>
      <c r="K4659" s="1">
        <v>10.0</v>
      </c>
      <c r="N4659" s="5">
        <v>45598.0</v>
      </c>
      <c r="Q4659" s="1" t="s">
        <v>7621</v>
      </c>
    </row>
    <row r="4660">
      <c r="A4660" s="1">
        <v>4659.0</v>
      </c>
      <c r="B4660" s="1" t="s">
        <v>7622</v>
      </c>
      <c r="C4660" s="1" t="s">
        <v>25</v>
      </c>
      <c r="K4660" s="1">
        <v>10.0</v>
      </c>
      <c r="N4660" s="5">
        <v>43922.0</v>
      </c>
      <c r="Q4660" s="1" t="s">
        <v>7623</v>
      </c>
    </row>
    <row r="4661">
      <c r="A4661" s="1">
        <v>4660.0</v>
      </c>
      <c r="B4661" s="1" t="s">
        <v>7624</v>
      </c>
      <c r="C4661" s="1" t="s">
        <v>25</v>
      </c>
      <c r="K4661" s="1">
        <v>30.0</v>
      </c>
      <c r="N4661" s="5">
        <v>44690.0</v>
      </c>
      <c r="Q4661" s="1" t="s">
        <v>1738</v>
      </c>
    </row>
    <row r="4662">
      <c r="A4662" s="1">
        <v>4661.0</v>
      </c>
      <c r="B4662" s="1" t="s">
        <v>7625</v>
      </c>
      <c r="C4662" s="1" t="s">
        <v>25</v>
      </c>
      <c r="K4662" s="1">
        <v>70.0</v>
      </c>
      <c r="N4662" s="5">
        <v>44466.0</v>
      </c>
      <c r="Q4662" s="1" t="s">
        <v>606</v>
      </c>
    </row>
    <row r="4663">
      <c r="A4663" s="1">
        <v>4662.0</v>
      </c>
      <c r="B4663" s="1" t="s">
        <v>7626</v>
      </c>
      <c r="C4663" s="1" t="s">
        <v>25</v>
      </c>
      <c r="K4663" s="1">
        <v>10.0</v>
      </c>
      <c r="N4663" s="5">
        <v>45396.0</v>
      </c>
      <c r="Q4663" s="1" t="s">
        <v>606</v>
      </c>
    </row>
    <row r="4664">
      <c r="A4664" s="1">
        <v>4663.0</v>
      </c>
      <c r="B4664" s="1" t="s">
        <v>7627</v>
      </c>
      <c r="C4664" s="1" t="s">
        <v>25</v>
      </c>
      <c r="K4664" s="1">
        <v>30.0</v>
      </c>
      <c r="N4664" s="5">
        <v>45268.0</v>
      </c>
      <c r="Q4664" s="1" t="s">
        <v>7628</v>
      </c>
    </row>
    <row r="4665">
      <c r="A4665" s="1">
        <v>4664.0</v>
      </c>
      <c r="B4665" s="1" t="s">
        <v>7629</v>
      </c>
      <c r="C4665" s="1" t="s">
        <v>25</v>
      </c>
      <c r="K4665" s="1">
        <v>80.0</v>
      </c>
      <c r="N4665" s="5">
        <v>43904.0</v>
      </c>
      <c r="Q4665" s="1" t="s">
        <v>7630</v>
      </c>
    </row>
    <row r="4666">
      <c r="A4666" s="1">
        <v>4665.0</v>
      </c>
      <c r="B4666" s="1" t="s">
        <v>7631</v>
      </c>
      <c r="C4666" s="1" t="s">
        <v>25</v>
      </c>
      <c r="K4666" s="1">
        <v>40.0</v>
      </c>
      <c r="N4666" s="5">
        <v>45617.0</v>
      </c>
      <c r="Q4666" s="1" t="s">
        <v>7632</v>
      </c>
    </row>
    <row r="4667">
      <c r="A4667" s="1">
        <v>4666.0</v>
      </c>
      <c r="B4667" s="1" t="s">
        <v>7633</v>
      </c>
      <c r="C4667" s="1" t="s">
        <v>25</v>
      </c>
      <c r="K4667" s="1">
        <v>40.0</v>
      </c>
      <c r="N4667" s="5">
        <v>44079.0</v>
      </c>
      <c r="Q4667" s="1" t="s">
        <v>55</v>
      </c>
    </row>
    <row r="4668">
      <c r="A4668" s="1">
        <v>4667.0</v>
      </c>
      <c r="B4668" s="1" t="s">
        <v>7634</v>
      </c>
      <c r="C4668" s="1" t="s">
        <v>25</v>
      </c>
      <c r="N4668" s="5">
        <v>43923.0</v>
      </c>
      <c r="Q4668" s="1" t="s">
        <v>55</v>
      </c>
    </row>
    <row r="4669">
      <c r="A4669" s="1">
        <v>4668.0</v>
      </c>
      <c r="B4669" s="1" t="s">
        <v>7635</v>
      </c>
      <c r="C4669" s="1" t="s">
        <v>25</v>
      </c>
      <c r="K4669" s="1">
        <v>10.0</v>
      </c>
      <c r="N4669" s="5">
        <v>44414.0</v>
      </c>
      <c r="Q4669" s="1" t="s">
        <v>7636</v>
      </c>
    </row>
    <row r="4670">
      <c r="A4670" s="1">
        <v>4669.0</v>
      </c>
      <c r="B4670" s="1" t="s">
        <v>7637</v>
      </c>
      <c r="C4670" s="1" t="s">
        <v>25</v>
      </c>
      <c r="K4670" s="1">
        <v>40.0</v>
      </c>
      <c r="N4670" s="5">
        <v>44002.0</v>
      </c>
      <c r="Q4670" s="1" t="s">
        <v>7638</v>
      </c>
    </row>
    <row r="4671">
      <c r="A4671" s="1">
        <v>4670.0</v>
      </c>
      <c r="B4671" s="1" t="s">
        <v>7639</v>
      </c>
      <c r="C4671" s="1" t="s">
        <v>25</v>
      </c>
      <c r="K4671" s="1">
        <v>10.0</v>
      </c>
      <c r="N4671" s="5">
        <v>45645.0</v>
      </c>
      <c r="Q4671" s="1" t="s">
        <v>1733</v>
      </c>
    </row>
    <row r="4672">
      <c r="A4672" s="1">
        <v>4671.0</v>
      </c>
      <c r="B4672" s="1" t="s">
        <v>7640</v>
      </c>
      <c r="C4672" s="1" t="s">
        <v>25</v>
      </c>
      <c r="K4672" s="1">
        <v>150.0</v>
      </c>
      <c r="N4672" s="5">
        <v>45334.0</v>
      </c>
      <c r="Q4672" s="1" t="s">
        <v>7641</v>
      </c>
    </row>
    <row r="4673">
      <c r="A4673" s="1">
        <v>4672.0</v>
      </c>
      <c r="B4673" s="1" t="s">
        <v>7642</v>
      </c>
      <c r="C4673" s="1" t="s">
        <v>25</v>
      </c>
      <c r="K4673" s="1">
        <v>40.0</v>
      </c>
      <c r="N4673" s="5">
        <v>44022.0</v>
      </c>
      <c r="Q4673" s="1" t="s">
        <v>7643</v>
      </c>
    </row>
    <row r="4674">
      <c r="A4674" s="1">
        <v>4673.0</v>
      </c>
      <c r="B4674" s="1" t="s">
        <v>7644</v>
      </c>
      <c r="C4674" s="1" t="s">
        <v>25</v>
      </c>
      <c r="K4674" s="1">
        <v>70.0</v>
      </c>
      <c r="N4674" s="5">
        <v>44082.0</v>
      </c>
      <c r="Q4674" s="1" t="s">
        <v>7645</v>
      </c>
    </row>
    <row r="4675">
      <c r="A4675" s="1">
        <v>4674.0</v>
      </c>
      <c r="B4675" s="1" t="s">
        <v>7646</v>
      </c>
      <c r="C4675" s="1" t="s">
        <v>25</v>
      </c>
      <c r="K4675" s="1">
        <v>40.0</v>
      </c>
      <c r="N4675" s="5">
        <v>44592.0</v>
      </c>
      <c r="Q4675" s="1" t="s">
        <v>7647</v>
      </c>
    </row>
    <row r="4676">
      <c r="A4676" s="1">
        <v>4675.0</v>
      </c>
      <c r="B4676" s="1" t="s">
        <v>7648</v>
      </c>
      <c r="C4676" s="1" t="s">
        <v>25</v>
      </c>
      <c r="K4676" s="1">
        <v>150.0</v>
      </c>
      <c r="N4676" s="5">
        <v>44052.0</v>
      </c>
      <c r="Q4676" s="1" t="s">
        <v>2103</v>
      </c>
    </row>
    <row r="4677">
      <c r="A4677" s="1">
        <v>4676.0</v>
      </c>
      <c r="B4677" s="1" t="s">
        <v>7649</v>
      </c>
      <c r="C4677" s="1" t="s">
        <v>25</v>
      </c>
      <c r="K4677" s="1">
        <v>150.0</v>
      </c>
      <c r="N4677" s="5">
        <v>44321.0</v>
      </c>
      <c r="Q4677" s="1" t="s">
        <v>345</v>
      </c>
    </row>
    <row r="4678">
      <c r="A4678" s="1">
        <v>4677.0</v>
      </c>
      <c r="B4678" s="1" t="s">
        <v>7650</v>
      </c>
      <c r="C4678" s="1" t="s">
        <v>25</v>
      </c>
      <c r="K4678" s="1">
        <v>300.0</v>
      </c>
      <c r="N4678" s="5">
        <v>44095.0</v>
      </c>
      <c r="Q4678" s="1" t="s">
        <v>7651</v>
      </c>
    </row>
    <row r="4679">
      <c r="A4679" s="1">
        <v>4678.0</v>
      </c>
      <c r="B4679" s="1" t="s">
        <v>7652</v>
      </c>
      <c r="C4679" s="1" t="s">
        <v>25</v>
      </c>
      <c r="N4679" s="5">
        <v>44625.0</v>
      </c>
      <c r="Q4679" s="1" t="s">
        <v>1471</v>
      </c>
    </row>
    <row r="4680">
      <c r="A4680" s="1">
        <v>4679.0</v>
      </c>
      <c r="B4680" s="1" t="s">
        <v>7653</v>
      </c>
      <c r="C4680" s="1" t="s">
        <v>25</v>
      </c>
      <c r="K4680" s="1">
        <v>150.0</v>
      </c>
      <c r="N4680" s="5">
        <v>44069.0</v>
      </c>
      <c r="Q4680" s="1" t="s">
        <v>7654</v>
      </c>
    </row>
    <row r="4681">
      <c r="A4681" s="1">
        <v>4680.0</v>
      </c>
      <c r="B4681" s="1" t="s">
        <v>7655</v>
      </c>
      <c r="C4681" s="1" t="s">
        <v>25</v>
      </c>
      <c r="K4681" s="1">
        <v>150.0</v>
      </c>
      <c r="N4681" s="5">
        <v>44693.0</v>
      </c>
      <c r="Q4681" s="1" t="s">
        <v>7656</v>
      </c>
    </row>
    <row r="4682">
      <c r="A4682" s="1">
        <v>4681.0</v>
      </c>
      <c r="B4682" s="1" t="s">
        <v>7657</v>
      </c>
      <c r="C4682" s="1" t="s">
        <v>25</v>
      </c>
      <c r="K4682" s="1">
        <v>80.0</v>
      </c>
      <c r="N4682" s="5">
        <v>43863.0</v>
      </c>
      <c r="Q4682" s="1" t="s">
        <v>7658</v>
      </c>
    </row>
    <row r="4683">
      <c r="A4683" s="1">
        <v>4682.0</v>
      </c>
      <c r="B4683" s="1" t="s">
        <v>7659</v>
      </c>
      <c r="C4683" s="1" t="s">
        <v>25</v>
      </c>
      <c r="K4683" s="1">
        <v>60.0</v>
      </c>
      <c r="N4683" s="5">
        <v>45593.0</v>
      </c>
      <c r="Q4683" s="1" t="s">
        <v>7660</v>
      </c>
    </row>
    <row r="4684">
      <c r="A4684" s="1">
        <v>4683.0</v>
      </c>
      <c r="B4684" s="1" t="s">
        <v>7661</v>
      </c>
      <c r="C4684" s="1" t="s">
        <v>25</v>
      </c>
      <c r="K4684" s="1">
        <v>10.0</v>
      </c>
      <c r="N4684" s="5">
        <v>44733.0</v>
      </c>
      <c r="Q4684" s="1" t="s">
        <v>55</v>
      </c>
    </row>
    <row r="4685">
      <c r="A4685" s="1">
        <v>4684.0</v>
      </c>
      <c r="B4685" s="1" t="s">
        <v>338</v>
      </c>
      <c r="C4685" s="1" t="s">
        <v>25</v>
      </c>
      <c r="K4685" s="1">
        <v>150.0</v>
      </c>
      <c r="N4685" s="5">
        <v>44367.0</v>
      </c>
      <c r="Q4685" s="1" t="s">
        <v>345</v>
      </c>
    </row>
    <row r="4686">
      <c r="A4686" s="1">
        <v>4685.0</v>
      </c>
      <c r="B4686" s="1" t="s">
        <v>7662</v>
      </c>
      <c r="C4686" s="1" t="s">
        <v>25</v>
      </c>
      <c r="N4686" s="5">
        <v>42953.0</v>
      </c>
      <c r="Q4686" s="1" t="s">
        <v>55</v>
      </c>
    </row>
    <row r="4687">
      <c r="A4687" s="1">
        <v>4686.0</v>
      </c>
      <c r="B4687" s="1" t="s">
        <v>7663</v>
      </c>
      <c r="C4687" s="1" t="s">
        <v>25</v>
      </c>
      <c r="K4687" s="1">
        <v>100.0</v>
      </c>
      <c r="N4687" s="5">
        <v>44036.0</v>
      </c>
      <c r="Q4687" s="1" t="s">
        <v>1726</v>
      </c>
    </row>
    <row r="4688">
      <c r="A4688" s="1">
        <v>4687.0</v>
      </c>
      <c r="B4688" s="1" t="s">
        <v>7664</v>
      </c>
      <c r="C4688" s="1" t="s">
        <v>25</v>
      </c>
      <c r="K4688" s="1">
        <v>50.0</v>
      </c>
      <c r="N4688" s="5">
        <v>44128.0</v>
      </c>
      <c r="Q4688" s="1" t="s">
        <v>2469</v>
      </c>
    </row>
    <row r="4689">
      <c r="A4689" s="1">
        <v>4688.0</v>
      </c>
      <c r="B4689" s="1" t="s">
        <v>7665</v>
      </c>
      <c r="C4689" s="1" t="s">
        <v>25</v>
      </c>
      <c r="K4689" s="1">
        <v>150.0</v>
      </c>
      <c r="N4689" s="5">
        <v>44730.0</v>
      </c>
      <c r="Q4689" s="1" t="s">
        <v>2022</v>
      </c>
    </row>
    <row r="4690">
      <c r="A4690" s="1">
        <v>4689.0</v>
      </c>
      <c r="B4690" s="1" t="s">
        <v>7666</v>
      </c>
      <c r="C4690" s="1" t="s">
        <v>25</v>
      </c>
      <c r="K4690" s="1">
        <v>150.0</v>
      </c>
      <c r="N4690" s="5">
        <v>44196.0</v>
      </c>
      <c r="Q4690" s="1" t="s">
        <v>7667</v>
      </c>
    </row>
    <row r="4691">
      <c r="A4691" s="1">
        <v>4690.0</v>
      </c>
      <c r="B4691" s="1" t="s">
        <v>7668</v>
      </c>
      <c r="C4691" s="1" t="s">
        <v>25</v>
      </c>
      <c r="K4691" s="1">
        <v>200.0</v>
      </c>
      <c r="N4691" s="5">
        <v>43901.0</v>
      </c>
      <c r="Q4691" s="1" t="s">
        <v>7669</v>
      </c>
    </row>
    <row r="4692">
      <c r="A4692" s="1">
        <v>4691.0</v>
      </c>
      <c r="B4692" s="1" t="s">
        <v>7670</v>
      </c>
      <c r="C4692" s="1" t="s">
        <v>25</v>
      </c>
      <c r="K4692" s="1">
        <v>200.0</v>
      </c>
      <c r="N4692" s="5">
        <v>45261.0</v>
      </c>
      <c r="Q4692" s="1" t="s">
        <v>7671</v>
      </c>
    </row>
    <row r="4693">
      <c r="A4693" s="1">
        <v>4692.0</v>
      </c>
      <c r="B4693" s="1" t="s">
        <v>7672</v>
      </c>
      <c r="C4693" s="1" t="s">
        <v>25</v>
      </c>
      <c r="K4693" s="1">
        <v>10.0</v>
      </c>
      <c r="N4693" s="5">
        <v>44509.0</v>
      </c>
      <c r="Q4693" s="1" t="s">
        <v>55</v>
      </c>
    </row>
    <row r="4694">
      <c r="A4694" s="1">
        <v>4693.0</v>
      </c>
      <c r="B4694" s="1" t="s">
        <v>7673</v>
      </c>
      <c r="C4694" s="1" t="s">
        <v>25</v>
      </c>
      <c r="K4694" s="1">
        <v>1300.0</v>
      </c>
      <c r="N4694" s="5">
        <v>42346.0</v>
      </c>
      <c r="Q4694" s="1" t="s">
        <v>7674</v>
      </c>
    </row>
    <row r="4695">
      <c r="A4695" s="1">
        <v>4694.0</v>
      </c>
      <c r="B4695" s="1" t="s">
        <v>7675</v>
      </c>
      <c r="C4695" s="1" t="s">
        <v>25</v>
      </c>
      <c r="K4695" s="1">
        <v>20.0</v>
      </c>
      <c r="N4695" s="5">
        <v>45354.0</v>
      </c>
      <c r="Q4695" s="1" t="s">
        <v>2709</v>
      </c>
    </row>
    <row r="4696">
      <c r="A4696" s="1">
        <v>4695.0</v>
      </c>
      <c r="B4696" s="1" t="s">
        <v>7676</v>
      </c>
      <c r="C4696" s="1" t="s">
        <v>25</v>
      </c>
      <c r="K4696" s="1">
        <v>20.0</v>
      </c>
      <c r="N4696" s="5">
        <v>45594.0</v>
      </c>
      <c r="Q4696" s="1" t="s">
        <v>7677</v>
      </c>
    </row>
    <row r="4697">
      <c r="A4697" s="1">
        <v>4696.0</v>
      </c>
      <c r="B4697" s="1" t="s">
        <v>7678</v>
      </c>
      <c r="C4697" s="1" t="s">
        <v>25</v>
      </c>
      <c r="K4697" s="1">
        <v>100.0</v>
      </c>
      <c r="N4697" s="5">
        <v>44699.0</v>
      </c>
      <c r="Q4697" s="1" t="s">
        <v>7679</v>
      </c>
    </row>
    <row r="4698">
      <c r="A4698" s="1">
        <v>4697.0</v>
      </c>
      <c r="B4698" s="1" t="s">
        <v>7680</v>
      </c>
      <c r="C4698" s="1" t="s">
        <v>25</v>
      </c>
      <c r="N4698" s="5">
        <v>44146.0</v>
      </c>
      <c r="Q4698" s="1" t="s">
        <v>55</v>
      </c>
    </row>
    <row r="4699">
      <c r="A4699" s="1">
        <v>4698.0</v>
      </c>
      <c r="B4699" s="1" t="s">
        <v>7681</v>
      </c>
      <c r="C4699" s="1" t="s">
        <v>25</v>
      </c>
      <c r="K4699" s="1">
        <v>80.0</v>
      </c>
      <c r="N4699" s="5">
        <v>44085.0</v>
      </c>
      <c r="Q4699" s="1" t="s">
        <v>7682</v>
      </c>
    </row>
    <row r="4700">
      <c r="A4700" s="1">
        <v>4699.0</v>
      </c>
      <c r="B4700" s="1" t="s">
        <v>7683</v>
      </c>
      <c r="C4700" s="1" t="s">
        <v>25</v>
      </c>
      <c r="K4700" s="1">
        <v>70.0</v>
      </c>
      <c r="N4700" s="5">
        <v>43880.0</v>
      </c>
      <c r="Q4700" s="1" t="s">
        <v>1471</v>
      </c>
    </row>
    <row r="4701">
      <c r="A4701" s="1">
        <v>4700.0</v>
      </c>
      <c r="B4701" s="1" t="s">
        <v>7684</v>
      </c>
      <c r="C4701" s="1" t="s">
        <v>25</v>
      </c>
      <c r="N4701" s="5">
        <v>44454.0</v>
      </c>
      <c r="Q4701" s="1" t="s">
        <v>55</v>
      </c>
    </row>
    <row r="4702">
      <c r="A4702" s="1">
        <v>4701.0</v>
      </c>
      <c r="B4702" s="1" t="s">
        <v>362</v>
      </c>
      <c r="C4702" s="1" t="s">
        <v>25</v>
      </c>
      <c r="K4702" s="1">
        <v>60.0</v>
      </c>
      <c r="N4702" s="5">
        <v>44385.0</v>
      </c>
      <c r="Q4702" s="1" t="s">
        <v>365</v>
      </c>
    </row>
    <row r="4703">
      <c r="A4703" s="1">
        <v>4702.0</v>
      </c>
      <c r="B4703" s="1" t="s">
        <v>7685</v>
      </c>
      <c r="C4703" s="1" t="s">
        <v>25</v>
      </c>
      <c r="N4703" s="5">
        <v>42992.0</v>
      </c>
      <c r="Q4703" s="1" t="s">
        <v>55</v>
      </c>
    </row>
    <row r="4704">
      <c r="A4704" s="1">
        <v>4703.0</v>
      </c>
      <c r="B4704" s="1" t="s">
        <v>7686</v>
      </c>
      <c r="C4704" s="1" t="s">
        <v>25</v>
      </c>
      <c r="K4704" s="1">
        <v>20.0</v>
      </c>
      <c r="N4704" s="5">
        <v>44248.0</v>
      </c>
      <c r="Q4704" s="1" t="s">
        <v>55</v>
      </c>
    </row>
    <row r="4705">
      <c r="A4705" s="1">
        <v>4704.0</v>
      </c>
      <c r="B4705" s="1" t="s">
        <v>7687</v>
      </c>
      <c r="C4705" s="1" t="s">
        <v>25</v>
      </c>
      <c r="K4705" s="1">
        <v>10.0</v>
      </c>
      <c r="N4705" s="5">
        <v>45608.0</v>
      </c>
      <c r="Q4705" s="1" t="s">
        <v>7688</v>
      </c>
    </row>
    <row r="4706">
      <c r="A4706" s="1">
        <v>4705.0</v>
      </c>
      <c r="B4706" s="1" t="s">
        <v>368</v>
      </c>
      <c r="C4706" s="1" t="s">
        <v>25</v>
      </c>
      <c r="K4706" s="1">
        <v>150.0</v>
      </c>
      <c r="N4706" s="5">
        <v>43975.0</v>
      </c>
      <c r="Q4706" s="1" t="s">
        <v>370</v>
      </c>
    </row>
    <row r="4707">
      <c r="A4707" s="1">
        <v>4706.0</v>
      </c>
      <c r="B4707" s="1" t="s">
        <v>7689</v>
      </c>
      <c r="C4707" s="1" t="s">
        <v>25</v>
      </c>
      <c r="N4707" s="5">
        <v>44324.0</v>
      </c>
      <c r="Q4707" s="1" t="s">
        <v>55</v>
      </c>
    </row>
    <row r="4708">
      <c r="A4708" s="1">
        <v>4707.0</v>
      </c>
      <c r="B4708" s="1" t="s">
        <v>7690</v>
      </c>
      <c r="C4708" s="1" t="s">
        <v>25</v>
      </c>
      <c r="K4708" s="1">
        <v>40.0</v>
      </c>
      <c r="N4708" s="5">
        <v>45400.0</v>
      </c>
      <c r="Q4708" s="1" t="s">
        <v>7691</v>
      </c>
    </row>
    <row r="4709">
      <c r="A4709" s="1">
        <v>4708.0</v>
      </c>
      <c r="B4709" s="1" t="s">
        <v>7692</v>
      </c>
      <c r="C4709" s="1" t="s">
        <v>25</v>
      </c>
      <c r="N4709" s="5">
        <v>43989.0</v>
      </c>
      <c r="Q4709" s="1" t="s">
        <v>55</v>
      </c>
    </row>
    <row r="4710">
      <c r="A4710" s="1">
        <v>4709.0</v>
      </c>
      <c r="B4710" s="1" t="s">
        <v>7693</v>
      </c>
      <c r="C4710" s="1" t="s">
        <v>25</v>
      </c>
      <c r="K4710" s="1">
        <v>100.0</v>
      </c>
      <c r="N4710" s="5">
        <v>43944.0</v>
      </c>
      <c r="Q4710" s="1" t="s">
        <v>7694</v>
      </c>
    </row>
    <row r="4711">
      <c r="A4711" s="1">
        <v>4710.0</v>
      </c>
      <c r="B4711" s="1" t="s">
        <v>7695</v>
      </c>
      <c r="C4711" s="1" t="s">
        <v>25</v>
      </c>
      <c r="N4711" s="5">
        <v>44067.0</v>
      </c>
      <c r="Q4711" s="1" t="s">
        <v>55</v>
      </c>
    </row>
    <row r="4712">
      <c r="A4712" s="1">
        <v>4711.0</v>
      </c>
      <c r="B4712" s="1" t="s">
        <v>7696</v>
      </c>
      <c r="C4712" s="1" t="s">
        <v>25</v>
      </c>
      <c r="K4712" s="1">
        <v>60.0</v>
      </c>
      <c r="N4712" s="5">
        <v>45661.0</v>
      </c>
      <c r="Q4712" s="1" t="s">
        <v>7697</v>
      </c>
    </row>
    <row r="4713">
      <c r="A4713" s="1">
        <v>4712.0</v>
      </c>
      <c r="B4713" s="1" t="s">
        <v>7698</v>
      </c>
      <c r="C4713" s="1" t="s">
        <v>25</v>
      </c>
      <c r="K4713" s="1">
        <v>70.0</v>
      </c>
      <c r="N4713" s="5">
        <v>45733.0</v>
      </c>
      <c r="Q4713" s="1" t="s">
        <v>2623</v>
      </c>
    </row>
    <row r="4714">
      <c r="A4714" s="1">
        <v>4713.0</v>
      </c>
      <c r="B4714" s="1" t="s">
        <v>7699</v>
      </c>
      <c r="C4714" s="1" t="s">
        <v>25</v>
      </c>
      <c r="K4714" s="1">
        <v>150.0</v>
      </c>
      <c r="N4714" s="5">
        <v>43862.0</v>
      </c>
      <c r="Q4714" s="1" t="s">
        <v>7700</v>
      </c>
    </row>
    <row r="4715">
      <c r="A4715" s="1">
        <v>4714.0</v>
      </c>
      <c r="B4715" s="1" t="s">
        <v>7701</v>
      </c>
      <c r="C4715" s="1" t="s">
        <v>25</v>
      </c>
      <c r="K4715" s="1">
        <v>100.0</v>
      </c>
      <c r="N4715" s="5">
        <v>43958.0</v>
      </c>
      <c r="Q4715" s="1" t="s">
        <v>7702</v>
      </c>
    </row>
    <row r="4716">
      <c r="A4716" s="1">
        <v>4715.0</v>
      </c>
      <c r="B4716" s="1" t="s">
        <v>7703</v>
      </c>
      <c r="C4716" s="1" t="s">
        <v>25</v>
      </c>
      <c r="K4716" s="1">
        <v>100.0</v>
      </c>
      <c r="N4716" s="5">
        <v>42723.0</v>
      </c>
      <c r="Q4716" s="1" t="s">
        <v>7704</v>
      </c>
    </row>
    <row r="4717">
      <c r="A4717" s="1">
        <v>4716.0</v>
      </c>
      <c r="B4717" s="1" t="s">
        <v>7705</v>
      </c>
      <c r="C4717" s="1" t="s">
        <v>25</v>
      </c>
      <c r="K4717" s="1">
        <v>20.0</v>
      </c>
      <c r="N4717" s="5">
        <v>45415.0</v>
      </c>
      <c r="Q4717" s="1" t="s">
        <v>1226</v>
      </c>
    </row>
    <row r="4718">
      <c r="A4718" s="1">
        <v>4717.0</v>
      </c>
      <c r="B4718" s="1" t="s">
        <v>7706</v>
      </c>
      <c r="C4718" s="1" t="s">
        <v>25</v>
      </c>
      <c r="N4718" s="5">
        <v>45338.0</v>
      </c>
      <c r="Q4718" s="1" t="s">
        <v>227</v>
      </c>
    </row>
    <row r="4719">
      <c r="A4719" s="1">
        <v>4718.0</v>
      </c>
      <c r="B4719" s="1" t="s">
        <v>7707</v>
      </c>
      <c r="C4719" s="1" t="s">
        <v>25</v>
      </c>
      <c r="K4719" s="1">
        <v>200.0</v>
      </c>
      <c r="N4719" s="5">
        <v>44050.0</v>
      </c>
      <c r="Q4719" s="1" t="s">
        <v>7708</v>
      </c>
    </row>
    <row r="4720">
      <c r="A4720" s="1">
        <v>4719.0</v>
      </c>
      <c r="B4720" s="1" t="s">
        <v>7709</v>
      </c>
      <c r="C4720" s="1" t="s">
        <v>25</v>
      </c>
      <c r="K4720" s="1">
        <v>50.0</v>
      </c>
      <c r="N4720" s="5">
        <v>44348.0</v>
      </c>
      <c r="Q4720" s="1" t="s">
        <v>6735</v>
      </c>
    </row>
    <row r="4721">
      <c r="A4721" s="1">
        <v>4720.0</v>
      </c>
      <c r="B4721" s="1" t="s">
        <v>7710</v>
      </c>
      <c r="C4721" s="1" t="s">
        <v>25</v>
      </c>
      <c r="K4721" s="1">
        <v>30.0</v>
      </c>
      <c r="N4721" s="5">
        <v>45375.0</v>
      </c>
      <c r="Q4721" s="1" t="s">
        <v>7711</v>
      </c>
    </row>
    <row r="4722">
      <c r="A4722" s="1">
        <v>4721.0</v>
      </c>
      <c r="B4722" s="1" t="s">
        <v>7712</v>
      </c>
      <c r="C4722" s="1" t="s">
        <v>25</v>
      </c>
      <c r="K4722" s="1">
        <v>60.0</v>
      </c>
      <c r="N4722" s="5">
        <v>44149.0</v>
      </c>
      <c r="Q4722" s="1" t="s">
        <v>7713</v>
      </c>
    </row>
    <row r="4723">
      <c r="A4723" s="1">
        <v>4722.0</v>
      </c>
      <c r="B4723" s="1" t="s">
        <v>7714</v>
      </c>
      <c r="C4723" s="1" t="s">
        <v>25</v>
      </c>
      <c r="K4723" s="1">
        <v>200.0</v>
      </c>
      <c r="N4723" s="5">
        <v>44174.0</v>
      </c>
      <c r="Q4723" s="1" t="s">
        <v>7715</v>
      </c>
    </row>
    <row r="4724">
      <c r="A4724" s="1">
        <v>4723.0</v>
      </c>
      <c r="B4724" s="1" t="s">
        <v>7716</v>
      </c>
      <c r="C4724" s="1" t="s">
        <v>25</v>
      </c>
      <c r="N4724" s="5">
        <v>44547.0</v>
      </c>
      <c r="Q4724" s="1" t="s">
        <v>55</v>
      </c>
    </row>
    <row r="4725">
      <c r="A4725" s="1">
        <v>4724.0</v>
      </c>
      <c r="B4725" s="1" t="s">
        <v>7717</v>
      </c>
      <c r="C4725" s="1" t="s">
        <v>25</v>
      </c>
      <c r="K4725" s="1">
        <v>70.0</v>
      </c>
      <c r="N4725" s="5">
        <v>44693.0</v>
      </c>
      <c r="Q4725" s="1" t="s">
        <v>93</v>
      </c>
    </row>
    <row r="4726">
      <c r="A4726" s="1">
        <v>4725.0</v>
      </c>
      <c r="B4726" s="1" t="s">
        <v>7718</v>
      </c>
      <c r="C4726" s="1" t="s">
        <v>25</v>
      </c>
      <c r="K4726" s="1">
        <v>60.0</v>
      </c>
      <c r="N4726" s="5">
        <v>45734.0</v>
      </c>
      <c r="Q4726" s="1" t="s">
        <v>1991</v>
      </c>
    </row>
    <row r="4727">
      <c r="A4727" s="1">
        <v>4726.0</v>
      </c>
      <c r="B4727" s="1" t="s">
        <v>7719</v>
      </c>
      <c r="C4727" s="1" t="s">
        <v>25</v>
      </c>
      <c r="K4727" s="1">
        <v>100.0</v>
      </c>
      <c r="N4727" s="5">
        <v>43924.0</v>
      </c>
      <c r="Q4727" s="1" t="s">
        <v>7720</v>
      </c>
    </row>
    <row r="4728">
      <c r="A4728" s="1">
        <v>4727.0</v>
      </c>
      <c r="B4728" s="1" t="s">
        <v>7721</v>
      </c>
      <c r="C4728" s="1" t="s">
        <v>25</v>
      </c>
      <c r="N4728" s="5">
        <v>45011.0</v>
      </c>
      <c r="Q4728" s="1" t="s">
        <v>55</v>
      </c>
    </row>
    <row r="4729">
      <c r="A4729" s="1">
        <v>4728.0</v>
      </c>
      <c r="B4729" s="1" t="s">
        <v>7722</v>
      </c>
      <c r="C4729" s="1" t="s">
        <v>25</v>
      </c>
      <c r="K4729" s="1">
        <v>200.0</v>
      </c>
      <c r="N4729" s="5">
        <v>43959.0</v>
      </c>
      <c r="Q4729" s="1" t="s">
        <v>7723</v>
      </c>
    </row>
    <row r="4730">
      <c r="A4730" s="1">
        <v>4729.0</v>
      </c>
      <c r="B4730" s="1" t="s">
        <v>7724</v>
      </c>
      <c r="C4730" s="1" t="s">
        <v>25</v>
      </c>
      <c r="K4730" s="1">
        <v>40.0</v>
      </c>
      <c r="N4730" s="5">
        <v>43990.0</v>
      </c>
      <c r="Q4730" s="1" t="s">
        <v>55</v>
      </c>
    </row>
    <row r="4731">
      <c r="A4731" s="1">
        <v>4730.0</v>
      </c>
      <c r="B4731" s="1" t="s">
        <v>7725</v>
      </c>
      <c r="C4731" s="1" t="s">
        <v>25</v>
      </c>
      <c r="K4731" s="1">
        <v>90.0</v>
      </c>
      <c r="N4731" s="5">
        <v>44476.0</v>
      </c>
      <c r="Q4731" s="1" t="s">
        <v>7726</v>
      </c>
    </row>
    <row r="4732">
      <c r="A4732" s="1">
        <v>4731.0</v>
      </c>
      <c r="B4732" s="1" t="s">
        <v>7727</v>
      </c>
      <c r="C4732" s="1" t="s">
        <v>25</v>
      </c>
      <c r="K4732" s="1">
        <v>40.0</v>
      </c>
      <c r="N4732" s="5">
        <v>44858.0</v>
      </c>
      <c r="Q4732" s="1" t="s">
        <v>80</v>
      </c>
    </row>
    <row r="4733">
      <c r="A4733" s="1">
        <v>4732.0</v>
      </c>
      <c r="B4733" s="1" t="s">
        <v>7728</v>
      </c>
      <c r="C4733" s="1" t="s">
        <v>25</v>
      </c>
      <c r="K4733" s="1">
        <v>150.0</v>
      </c>
      <c r="N4733" s="5">
        <v>45558.0</v>
      </c>
      <c r="Q4733" s="1" t="s">
        <v>7729</v>
      </c>
    </row>
    <row r="4734">
      <c r="A4734" s="1">
        <v>4733.0</v>
      </c>
      <c r="B4734" s="1" t="s">
        <v>7730</v>
      </c>
      <c r="C4734" s="1" t="s">
        <v>25</v>
      </c>
      <c r="N4734" s="5">
        <v>44292.0</v>
      </c>
      <c r="Q4734" s="1" t="s">
        <v>55</v>
      </c>
    </row>
    <row r="4735">
      <c r="A4735" s="1">
        <v>4734.0</v>
      </c>
      <c r="B4735" s="1" t="s">
        <v>7731</v>
      </c>
      <c r="C4735" s="1" t="s">
        <v>25</v>
      </c>
      <c r="K4735" s="1">
        <v>30.0</v>
      </c>
      <c r="N4735" s="5">
        <v>45314.0</v>
      </c>
      <c r="Q4735" s="1" t="s">
        <v>1813</v>
      </c>
    </row>
    <row r="4736">
      <c r="A4736" s="1">
        <v>4735.0</v>
      </c>
      <c r="B4736" s="1" t="s">
        <v>7732</v>
      </c>
      <c r="C4736" s="1" t="s">
        <v>25</v>
      </c>
      <c r="K4736" s="1">
        <v>30.0</v>
      </c>
      <c r="N4736" s="5">
        <v>44711.0</v>
      </c>
      <c r="Q4736" s="1" t="s">
        <v>80</v>
      </c>
    </row>
    <row r="4737">
      <c r="A4737" s="1">
        <v>4736.0</v>
      </c>
      <c r="B4737" s="1" t="s">
        <v>7733</v>
      </c>
      <c r="C4737" s="1" t="s">
        <v>25</v>
      </c>
      <c r="K4737" s="1">
        <v>200.0</v>
      </c>
      <c r="N4737" s="5">
        <v>43843.0</v>
      </c>
      <c r="Q4737" s="1" t="s">
        <v>7734</v>
      </c>
    </row>
    <row r="4738">
      <c r="A4738" s="1">
        <v>4737.0</v>
      </c>
      <c r="B4738" s="1" t="s">
        <v>7735</v>
      </c>
      <c r="C4738" s="1" t="s">
        <v>25</v>
      </c>
      <c r="K4738" s="1">
        <v>40.0</v>
      </c>
      <c r="N4738" s="5">
        <v>45475.0</v>
      </c>
      <c r="Q4738" s="1" t="s">
        <v>694</v>
      </c>
    </row>
    <row r="4739">
      <c r="A4739" s="1">
        <v>4738.0</v>
      </c>
      <c r="B4739" s="1" t="s">
        <v>7736</v>
      </c>
      <c r="C4739" s="1" t="s">
        <v>25</v>
      </c>
      <c r="K4739" s="1">
        <v>10.0</v>
      </c>
      <c r="N4739" s="5">
        <v>43959.0</v>
      </c>
      <c r="Q4739" s="1" t="s">
        <v>55</v>
      </c>
    </row>
    <row r="4740">
      <c r="A4740" s="1">
        <v>4739.0</v>
      </c>
      <c r="B4740" s="1" t="s">
        <v>7737</v>
      </c>
      <c r="C4740" s="1" t="s">
        <v>25</v>
      </c>
      <c r="K4740" s="1">
        <v>200.0</v>
      </c>
      <c r="N4740" s="5">
        <v>44197.0</v>
      </c>
      <c r="Q4740" s="1" t="s">
        <v>7738</v>
      </c>
    </row>
    <row r="4741">
      <c r="A4741" s="1">
        <v>4740.0</v>
      </c>
      <c r="B4741" s="1" t="s">
        <v>7739</v>
      </c>
      <c r="C4741" s="1" t="s">
        <v>25</v>
      </c>
      <c r="K4741" s="1">
        <v>10.0</v>
      </c>
      <c r="N4741" s="5">
        <v>44561.0</v>
      </c>
      <c r="Q4741" s="1" t="s">
        <v>55</v>
      </c>
    </row>
    <row r="4742">
      <c r="A4742" s="1">
        <v>4741.0</v>
      </c>
      <c r="B4742" s="1" t="s">
        <v>7740</v>
      </c>
      <c r="C4742" s="1" t="s">
        <v>25</v>
      </c>
      <c r="N4742" s="5">
        <v>45345.0</v>
      </c>
      <c r="Q4742" s="1" t="s">
        <v>4544</v>
      </c>
    </row>
    <row r="4743">
      <c r="A4743" s="1">
        <v>4742.0</v>
      </c>
      <c r="B4743" s="1" t="s">
        <v>7741</v>
      </c>
      <c r="C4743" s="1" t="s">
        <v>25</v>
      </c>
      <c r="K4743" s="1">
        <v>100.0</v>
      </c>
      <c r="N4743" s="5">
        <v>44276.0</v>
      </c>
      <c r="Q4743" s="1" t="s">
        <v>7742</v>
      </c>
    </row>
    <row r="4744">
      <c r="A4744" s="1">
        <v>4743.0</v>
      </c>
      <c r="B4744" s="1" t="s">
        <v>7743</v>
      </c>
      <c r="C4744" s="1" t="s">
        <v>25</v>
      </c>
      <c r="K4744" s="1">
        <v>20.0</v>
      </c>
      <c r="N4744" s="5">
        <v>43946.0</v>
      </c>
      <c r="Q4744" s="1" t="s">
        <v>55</v>
      </c>
    </row>
    <row r="4745">
      <c r="A4745" s="1">
        <v>4744.0</v>
      </c>
      <c r="B4745" s="1" t="s">
        <v>7744</v>
      </c>
      <c r="C4745" s="1" t="s">
        <v>25</v>
      </c>
      <c r="K4745" s="1">
        <v>150.0</v>
      </c>
      <c r="N4745" s="5">
        <v>45199.0</v>
      </c>
      <c r="Q4745" s="1" t="s">
        <v>3015</v>
      </c>
    </row>
    <row r="4746">
      <c r="A4746" s="1">
        <v>4745.0</v>
      </c>
      <c r="B4746" s="1" t="s">
        <v>7745</v>
      </c>
      <c r="C4746" s="1" t="s">
        <v>25</v>
      </c>
      <c r="K4746" s="1">
        <v>200.0</v>
      </c>
      <c r="N4746" s="5">
        <v>43898.0</v>
      </c>
      <c r="Q4746" s="1" t="s">
        <v>7746</v>
      </c>
    </row>
    <row r="4747">
      <c r="A4747" s="1">
        <v>4746.0</v>
      </c>
      <c r="B4747" s="1" t="s">
        <v>7747</v>
      </c>
      <c r="C4747" s="1" t="s">
        <v>25</v>
      </c>
      <c r="N4747" s="5">
        <v>42919.0</v>
      </c>
      <c r="Q4747" s="1" t="s">
        <v>55</v>
      </c>
    </row>
    <row r="4748">
      <c r="A4748" s="1">
        <v>4747.0</v>
      </c>
      <c r="B4748" s="1" t="s">
        <v>7748</v>
      </c>
      <c r="C4748" s="1" t="s">
        <v>25</v>
      </c>
      <c r="K4748" s="1">
        <v>150.0</v>
      </c>
      <c r="N4748" s="5">
        <v>44315.0</v>
      </c>
      <c r="Q4748" s="1" t="s">
        <v>55</v>
      </c>
    </row>
    <row r="4749">
      <c r="A4749" s="1">
        <v>4748.0</v>
      </c>
      <c r="B4749" s="1" t="s">
        <v>7749</v>
      </c>
      <c r="C4749" s="1" t="s">
        <v>25</v>
      </c>
      <c r="N4749" s="5">
        <v>44219.0</v>
      </c>
      <c r="Q4749" s="1" t="s">
        <v>55</v>
      </c>
    </row>
    <row r="4750">
      <c r="A4750" s="1">
        <v>4749.0</v>
      </c>
      <c r="B4750" s="1" t="s">
        <v>7750</v>
      </c>
      <c r="C4750" s="1" t="s">
        <v>25</v>
      </c>
      <c r="K4750" s="1">
        <v>30.0</v>
      </c>
      <c r="N4750" s="5">
        <v>43863.0</v>
      </c>
      <c r="Q4750" s="1" t="s">
        <v>851</v>
      </c>
    </row>
    <row r="4751">
      <c r="A4751" s="1">
        <v>4750.0</v>
      </c>
      <c r="B4751" s="1" t="s">
        <v>7751</v>
      </c>
      <c r="C4751" s="1" t="s">
        <v>25</v>
      </c>
      <c r="N4751" s="5">
        <v>44436.0</v>
      </c>
      <c r="Q4751" s="1" t="s">
        <v>55</v>
      </c>
    </row>
    <row r="4752">
      <c r="A4752" s="1">
        <v>4751.0</v>
      </c>
      <c r="B4752" s="1" t="s">
        <v>7752</v>
      </c>
      <c r="C4752" s="1" t="s">
        <v>25</v>
      </c>
      <c r="K4752" s="1">
        <v>20.0</v>
      </c>
      <c r="N4752" s="5">
        <v>45293.0</v>
      </c>
      <c r="Q4752" s="1" t="s">
        <v>851</v>
      </c>
    </row>
    <row r="4753">
      <c r="A4753" s="1">
        <v>4752.0</v>
      </c>
      <c r="B4753" s="1" t="s">
        <v>7753</v>
      </c>
      <c r="C4753" s="1" t="s">
        <v>25</v>
      </c>
      <c r="K4753" s="1">
        <v>10.0</v>
      </c>
      <c r="N4753" s="5">
        <v>45700.0</v>
      </c>
      <c r="Q4753" s="1" t="s">
        <v>7754</v>
      </c>
    </row>
    <row r="4754">
      <c r="A4754" s="1">
        <v>4753.0</v>
      </c>
      <c r="B4754" s="1" t="s">
        <v>7755</v>
      </c>
      <c r="C4754" s="1" t="s">
        <v>25</v>
      </c>
      <c r="N4754" s="5">
        <v>45160.0</v>
      </c>
      <c r="Q4754" s="1" t="s">
        <v>55</v>
      </c>
    </row>
    <row r="4755">
      <c r="A4755" s="1">
        <v>4754.0</v>
      </c>
      <c r="B4755" s="1" t="s">
        <v>7756</v>
      </c>
      <c r="C4755" s="1" t="s">
        <v>25</v>
      </c>
      <c r="K4755" s="1">
        <v>40.0</v>
      </c>
      <c r="N4755" s="5">
        <v>44445.0</v>
      </c>
      <c r="Q4755" s="1" t="s">
        <v>55</v>
      </c>
    </row>
    <row r="4756">
      <c r="A4756" s="1">
        <v>4755.0</v>
      </c>
      <c r="B4756" s="1" t="s">
        <v>7757</v>
      </c>
      <c r="C4756" s="1" t="s">
        <v>25</v>
      </c>
      <c r="K4756" s="1">
        <v>10.0</v>
      </c>
      <c r="N4756" s="5">
        <v>45461.0</v>
      </c>
      <c r="Q4756" s="1" t="s">
        <v>851</v>
      </c>
    </row>
    <row r="4757">
      <c r="A4757" s="1">
        <v>4756.0</v>
      </c>
      <c r="B4757" s="1" t="s">
        <v>7758</v>
      </c>
      <c r="C4757" s="1" t="s">
        <v>25</v>
      </c>
      <c r="K4757" s="1">
        <v>10.0</v>
      </c>
      <c r="N4757" s="5">
        <v>45186.0</v>
      </c>
      <c r="Q4757" s="1" t="s">
        <v>55</v>
      </c>
    </row>
    <row r="4758">
      <c r="A4758" s="1">
        <v>4757.0</v>
      </c>
      <c r="B4758" s="1" t="s">
        <v>7759</v>
      </c>
      <c r="C4758" s="1" t="s">
        <v>25</v>
      </c>
      <c r="K4758" s="1">
        <v>70.0</v>
      </c>
      <c r="N4758" s="5">
        <v>44022.0</v>
      </c>
      <c r="Q4758" s="1" t="s">
        <v>5477</v>
      </c>
    </row>
    <row r="4759">
      <c r="A4759" s="1">
        <v>4758.0</v>
      </c>
      <c r="B4759" s="1" t="s">
        <v>7760</v>
      </c>
      <c r="C4759" s="1" t="s">
        <v>25</v>
      </c>
      <c r="K4759" s="1">
        <v>40.0</v>
      </c>
      <c r="N4759" s="5">
        <v>45660.0</v>
      </c>
      <c r="Q4759" s="1" t="s">
        <v>7761</v>
      </c>
    </row>
    <row r="4760">
      <c r="A4760" s="1">
        <v>4759.0</v>
      </c>
      <c r="B4760" s="1" t="s">
        <v>7762</v>
      </c>
      <c r="C4760" s="1" t="s">
        <v>25</v>
      </c>
      <c r="K4760" s="1">
        <v>40.0</v>
      </c>
      <c r="N4760" s="5">
        <v>45754.0</v>
      </c>
      <c r="Q4760" s="1" t="s">
        <v>7763</v>
      </c>
    </row>
    <row r="4761">
      <c r="A4761" s="1">
        <v>4760.0</v>
      </c>
      <c r="B4761" s="1" t="s">
        <v>7764</v>
      </c>
      <c r="C4761" s="1" t="s">
        <v>25</v>
      </c>
      <c r="N4761" s="5">
        <v>44052.0</v>
      </c>
      <c r="Q4761" s="1" t="s">
        <v>55</v>
      </c>
    </row>
    <row r="4762">
      <c r="A4762" s="1">
        <v>4761.0</v>
      </c>
      <c r="B4762" s="1" t="s">
        <v>7765</v>
      </c>
      <c r="C4762" s="1" t="s">
        <v>25</v>
      </c>
      <c r="K4762" s="1">
        <v>150.0</v>
      </c>
      <c r="N4762" s="5">
        <v>44191.0</v>
      </c>
      <c r="Q4762" s="1" t="s">
        <v>7766</v>
      </c>
    </row>
    <row r="4763">
      <c r="A4763" s="1">
        <v>4762.0</v>
      </c>
      <c r="B4763" s="1" t="s">
        <v>7767</v>
      </c>
      <c r="C4763" s="1" t="s">
        <v>25</v>
      </c>
      <c r="K4763" s="1">
        <v>10.0</v>
      </c>
      <c r="N4763" s="5">
        <v>44862.0</v>
      </c>
      <c r="Q4763" s="1" t="s">
        <v>7304</v>
      </c>
    </row>
    <row r="4764">
      <c r="A4764" s="1">
        <v>4763.0</v>
      </c>
      <c r="B4764" s="1" t="s">
        <v>7768</v>
      </c>
      <c r="C4764" s="1" t="s">
        <v>25</v>
      </c>
      <c r="K4764" s="1">
        <v>250.0</v>
      </c>
      <c r="N4764" s="5">
        <v>43956.0</v>
      </c>
      <c r="Q4764" s="1" t="s">
        <v>7769</v>
      </c>
    </row>
    <row r="4765">
      <c r="A4765" s="1">
        <v>4764.0</v>
      </c>
      <c r="B4765" s="1" t="s">
        <v>7770</v>
      </c>
      <c r="C4765" s="1" t="s">
        <v>25</v>
      </c>
      <c r="N4765" s="5">
        <v>44460.0</v>
      </c>
      <c r="Q4765" s="1" t="s">
        <v>55</v>
      </c>
    </row>
    <row r="4766">
      <c r="A4766" s="1">
        <v>4765.0</v>
      </c>
      <c r="B4766" s="1" t="s">
        <v>7771</v>
      </c>
      <c r="C4766" s="1" t="s">
        <v>25</v>
      </c>
      <c r="K4766" s="1">
        <v>150.0</v>
      </c>
      <c r="N4766" s="5">
        <v>45038.0</v>
      </c>
      <c r="Q4766" s="1" t="s">
        <v>7772</v>
      </c>
    </row>
    <row r="4767">
      <c r="A4767" s="1">
        <v>4766.0</v>
      </c>
      <c r="B4767" s="1" t="s">
        <v>7773</v>
      </c>
      <c r="C4767" s="1" t="s">
        <v>25</v>
      </c>
      <c r="K4767" s="1">
        <v>200.0</v>
      </c>
      <c r="N4767" s="5">
        <v>43917.0</v>
      </c>
      <c r="Q4767" s="1" t="s">
        <v>7774</v>
      </c>
    </row>
    <row r="4768">
      <c r="A4768" s="1">
        <v>4767.0</v>
      </c>
      <c r="B4768" s="1" t="s">
        <v>7775</v>
      </c>
      <c r="C4768" s="1" t="s">
        <v>25</v>
      </c>
      <c r="K4768" s="1">
        <v>20.0</v>
      </c>
      <c r="N4768" s="5">
        <v>44621.0</v>
      </c>
      <c r="Q4768" s="1" t="s">
        <v>93</v>
      </c>
    </row>
    <row r="4769">
      <c r="A4769" s="1">
        <v>4768.0</v>
      </c>
      <c r="B4769" s="1" t="s">
        <v>7776</v>
      </c>
      <c r="C4769" s="1" t="s">
        <v>25</v>
      </c>
      <c r="K4769" s="1">
        <v>10.0</v>
      </c>
      <c r="N4769" s="5">
        <v>44680.0</v>
      </c>
      <c r="Q4769" s="1" t="s">
        <v>55</v>
      </c>
    </row>
    <row r="4770">
      <c r="A4770" s="1">
        <v>4769.0</v>
      </c>
      <c r="B4770" s="1" t="s">
        <v>7777</v>
      </c>
      <c r="C4770" s="1" t="s">
        <v>25</v>
      </c>
      <c r="K4770" s="1">
        <v>100.0</v>
      </c>
      <c r="N4770" s="5">
        <v>44238.0</v>
      </c>
      <c r="Q4770" s="1" t="s">
        <v>80</v>
      </c>
    </row>
    <row r="4771">
      <c r="A4771" s="1">
        <v>4770.0</v>
      </c>
      <c r="B4771" s="1" t="s">
        <v>7778</v>
      </c>
      <c r="C4771" s="1" t="s">
        <v>25</v>
      </c>
      <c r="N4771" s="5">
        <v>44700.0</v>
      </c>
      <c r="Q4771" s="1" t="s">
        <v>55</v>
      </c>
    </row>
    <row r="4772">
      <c r="A4772" s="1">
        <v>4771.0</v>
      </c>
      <c r="B4772" s="1" t="s">
        <v>7779</v>
      </c>
      <c r="C4772" s="1" t="s">
        <v>25</v>
      </c>
      <c r="K4772" s="1">
        <v>200.0</v>
      </c>
      <c r="N4772" s="5">
        <v>45269.0</v>
      </c>
      <c r="Q4772" s="1" t="s">
        <v>7780</v>
      </c>
    </row>
    <row r="4773">
      <c r="A4773" s="1">
        <v>4772.0</v>
      </c>
      <c r="B4773" s="1" t="s">
        <v>7781</v>
      </c>
      <c r="C4773" s="1" t="s">
        <v>25</v>
      </c>
      <c r="K4773" s="1">
        <v>10.0</v>
      </c>
      <c r="N4773" s="5">
        <v>44362.0</v>
      </c>
      <c r="Q4773" s="1" t="s">
        <v>2288</v>
      </c>
    </row>
    <row r="4774">
      <c r="A4774" s="1">
        <v>4773.0</v>
      </c>
      <c r="B4774" s="1" t="s">
        <v>7782</v>
      </c>
      <c r="C4774" s="1" t="s">
        <v>25</v>
      </c>
      <c r="N4774" s="5">
        <v>44130.0</v>
      </c>
      <c r="Q4774" s="1" t="s">
        <v>55</v>
      </c>
    </row>
    <row r="4775">
      <c r="A4775" s="1">
        <v>4774.0</v>
      </c>
      <c r="B4775" s="1" t="s">
        <v>7783</v>
      </c>
      <c r="C4775" s="1" t="s">
        <v>25</v>
      </c>
      <c r="K4775" s="1">
        <v>80.0</v>
      </c>
      <c r="N4775" s="5">
        <v>43952.0</v>
      </c>
      <c r="Q4775" s="1" t="s">
        <v>7784</v>
      </c>
    </row>
    <row r="4776">
      <c r="A4776" s="1">
        <v>4775.0</v>
      </c>
      <c r="B4776" s="1" t="s">
        <v>7785</v>
      </c>
      <c r="C4776" s="1" t="s">
        <v>25</v>
      </c>
      <c r="K4776" s="1">
        <v>200.0</v>
      </c>
      <c r="N4776" s="5">
        <v>45769.0</v>
      </c>
      <c r="Q4776" s="1" t="s">
        <v>7786</v>
      </c>
    </row>
    <row r="4777">
      <c r="A4777" s="1">
        <v>4776.0</v>
      </c>
      <c r="B4777" s="1" t="s">
        <v>7787</v>
      </c>
      <c r="C4777" s="1" t="s">
        <v>25</v>
      </c>
      <c r="K4777" s="1">
        <v>40.0</v>
      </c>
      <c r="N4777" s="5">
        <v>45572.0</v>
      </c>
      <c r="Q4777" s="1" t="s">
        <v>7788</v>
      </c>
    </row>
    <row r="4778">
      <c r="A4778" s="1">
        <v>4777.0</v>
      </c>
      <c r="B4778" s="1" t="s">
        <v>7789</v>
      </c>
      <c r="C4778" s="1" t="s">
        <v>25</v>
      </c>
      <c r="K4778" s="1">
        <v>40.0</v>
      </c>
      <c r="N4778" s="5">
        <v>45619.0</v>
      </c>
      <c r="Q4778" s="1" t="s">
        <v>7790</v>
      </c>
    </row>
    <row r="4779">
      <c r="A4779" s="1">
        <v>4778.0</v>
      </c>
      <c r="B4779" s="1" t="s">
        <v>7791</v>
      </c>
      <c r="C4779" s="1" t="s">
        <v>25</v>
      </c>
      <c r="N4779" s="5">
        <v>44275.0</v>
      </c>
      <c r="Q4779" s="1" t="s">
        <v>55</v>
      </c>
    </row>
    <row r="4780">
      <c r="A4780" s="1">
        <v>4779.0</v>
      </c>
      <c r="B4780" s="1" t="s">
        <v>7792</v>
      </c>
      <c r="C4780" s="1" t="s">
        <v>25</v>
      </c>
      <c r="K4780" s="1">
        <v>250.0</v>
      </c>
      <c r="N4780" s="5">
        <v>45792.0</v>
      </c>
      <c r="Q4780" s="1" t="s">
        <v>7793</v>
      </c>
    </row>
    <row r="4781">
      <c r="A4781" s="1">
        <v>4780.0</v>
      </c>
      <c r="B4781" s="1" t="s">
        <v>7794</v>
      </c>
      <c r="C4781" s="1" t="s">
        <v>25</v>
      </c>
      <c r="K4781" s="1">
        <v>10.0</v>
      </c>
      <c r="N4781" s="5">
        <v>45254.0</v>
      </c>
      <c r="Q4781" s="1" t="s">
        <v>1738</v>
      </c>
    </row>
    <row r="4782">
      <c r="A4782" s="1">
        <v>4781.0</v>
      </c>
      <c r="B4782" s="1" t="s">
        <v>7795</v>
      </c>
      <c r="C4782" s="1" t="s">
        <v>25</v>
      </c>
      <c r="K4782" s="1">
        <v>20.0</v>
      </c>
      <c r="N4782" s="5">
        <v>43816.0</v>
      </c>
      <c r="Q4782" s="1" t="s">
        <v>7796</v>
      </c>
    </row>
    <row r="4783">
      <c r="A4783" s="1">
        <v>4782.0</v>
      </c>
      <c r="B4783" s="1" t="s">
        <v>7797</v>
      </c>
      <c r="C4783" s="1" t="s">
        <v>25</v>
      </c>
      <c r="K4783" s="1">
        <v>250.0</v>
      </c>
      <c r="N4783" s="5">
        <v>45618.0</v>
      </c>
      <c r="Q4783" s="1" t="s">
        <v>7798</v>
      </c>
    </row>
    <row r="4784">
      <c r="A4784" s="1">
        <v>4783.0</v>
      </c>
      <c r="B4784" s="1" t="s">
        <v>7799</v>
      </c>
      <c r="C4784" s="1" t="s">
        <v>25</v>
      </c>
      <c r="K4784" s="1">
        <v>40.0</v>
      </c>
      <c r="N4784" s="5">
        <v>44244.0</v>
      </c>
      <c r="Q4784" s="1" t="s">
        <v>55</v>
      </c>
    </row>
    <row r="4785">
      <c r="A4785" s="1">
        <v>4784.0</v>
      </c>
      <c r="B4785" s="1" t="s">
        <v>7800</v>
      </c>
      <c r="C4785" s="1" t="s">
        <v>25</v>
      </c>
      <c r="K4785" s="1">
        <v>450.0</v>
      </c>
      <c r="N4785" s="5">
        <v>43884.0</v>
      </c>
      <c r="Q4785" s="1" t="s">
        <v>7801</v>
      </c>
    </row>
    <row r="4786">
      <c r="A4786" s="1">
        <v>4785.0</v>
      </c>
      <c r="B4786" s="1" t="s">
        <v>7802</v>
      </c>
      <c r="C4786" s="1" t="s">
        <v>25</v>
      </c>
      <c r="N4786" s="5">
        <v>44439.0</v>
      </c>
      <c r="Q4786" s="1" t="s">
        <v>55</v>
      </c>
    </row>
    <row r="4787">
      <c r="A4787" s="1">
        <v>4786.0</v>
      </c>
      <c r="B4787" s="1" t="s">
        <v>7803</v>
      </c>
      <c r="C4787" s="1" t="s">
        <v>25</v>
      </c>
      <c r="K4787" s="1">
        <v>90.0</v>
      </c>
      <c r="N4787" s="5">
        <v>44153.0</v>
      </c>
      <c r="Q4787" s="1" t="s">
        <v>7804</v>
      </c>
    </row>
    <row r="4788">
      <c r="A4788" s="1">
        <v>4787.0</v>
      </c>
      <c r="B4788" s="1" t="s">
        <v>7805</v>
      </c>
      <c r="C4788" s="1" t="s">
        <v>25</v>
      </c>
      <c r="K4788" s="1">
        <v>90.0</v>
      </c>
      <c r="N4788" s="5">
        <v>43910.0</v>
      </c>
      <c r="Q4788" s="1" t="s">
        <v>718</v>
      </c>
    </row>
    <row r="4789">
      <c r="A4789" s="1">
        <v>4788.0</v>
      </c>
      <c r="B4789" s="1" t="s">
        <v>7806</v>
      </c>
      <c r="C4789" s="1" t="s">
        <v>25</v>
      </c>
      <c r="K4789" s="1">
        <v>60.0</v>
      </c>
      <c r="N4789" s="5">
        <v>44196.0</v>
      </c>
      <c r="Q4789" s="1" t="s">
        <v>2623</v>
      </c>
    </row>
    <row r="4790">
      <c r="A4790" s="1">
        <v>4789.0</v>
      </c>
      <c r="B4790" s="1" t="s">
        <v>7807</v>
      </c>
      <c r="C4790" s="1" t="s">
        <v>25</v>
      </c>
      <c r="N4790" s="5">
        <v>45254.0</v>
      </c>
      <c r="Q4790" s="1" t="s">
        <v>55</v>
      </c>
    </row>
    <row r="4791">
      <c r="A4791" s="1">
        <v>4790.0</v>
      </c>
      <c r="B4791" s="1" t="s">
        <v>7808</v>
      </c>
      <c r="C4791" s="1" t="s">
        <v>25</v>
      </c>
      <c r="N4791" s="5">
        <v>44204.0</v>
      </c>
      <c r="Q4791" s="1" t="s">
        <v>55</v>
      </c>
    </row>
    <row r="4792">
      <c r="A4792" s="1">
        <v>4791.0</v>
      </c>
      <c r="B4792" s="1" t="s">
        <v>7809</v>
      </c>
      <c r="C4792" s="1" t="s">
        <v>25</v>
      </c>
      <c r="N4792" s="5">
        <v>44684.0</v>
      </c>
      <c r="Q4792" s="1" t="s">
        <v>7810</v>
      </c>
    </row>
    <row r="4793">
      <c r="A4793" s="1">
        <v>4792.0</v>
      </c>
      <c r="B4793" s="1" t="s">
        <v>7811</v>
      </c>
      <c r="C4793" s="1" t="s">
        <v>25</v>
      </c>
      <c r="N4793" s="5">
        <v>44290.0</v>
      </c>
      <c r="Q4793" s="1" t="s">
        <v>55</v>
      </c>
    </row>
    <row r="4794">
      <c r="A4794" s="1">
        <v>4793.0</v>
      </c>
      <c r="B4794" s="1" t="s">
        <v>7812</v>
      </c>
      <c r="C4794" s="1" t="s">
        <v>25</v>
      </c>
      <c r="K4794" s="1">
        <v>200.0</v>
      </c>
      <c r="N4794" s="5">
        <v>44217.0</v>
      </c>
      <c r="Q4794" s="1" t="s">
        <v>2636</v>
      </c>
    </row>
    <row r="4795">
      <c r="A4795" s="1">
        <v>4794.0</v>
      </c>
      <c r="B4795" s="1" t="s">
        <v>7813</v>
      </c>
      <c r="C4795" s="1" t="s">
        <v>25</v>
      </c>
      <c r="K4795" s="1">
        <v>40.0</v>
      </c>
      <c r="N4795" s="5">
        <v>45686.0</v>
      </c>
      <c r="Q4795" s="1" t="s">
        <v>6821</v>
      </c>
    </row>
    <row r="4796">
      <c r="A4796" s="1">
        <v>4795.0</v>
      </c>
      <c r="B4796" s="1" t="s">
        <v>7814</v>
      </c>
      <c r="C4796" s="1" t="s">
        <v>25</v>
      </c>
      <c r="K4796" s="1">
        <v>200.0</v>
      </c>
      <c r="N4796" s="5">
        <v>44732.0</v>
      </c>
      <c r="Q4796" s="1" t="s">
        <v>7815</v>
      </c>
    </row>
    <row r="4797">
      <c r="A4797" s="1">
        <v>4796.0</v>
      </c>
      <c r="B4797" s="1" t="s">
        <v>7816</v>
      </c>
      <c r="C4797" s="1" t="s">
        <v>25</v>
      </c>
      <c r="K4797" s="1">
        <v>90.0</v>
      </c>
      <c r="N4797" s="5">
        <v>45696.0</v>
      </c>
      <c r="Q4797" s="1" t="s">
        <v>7817</v>
      </c>
    </row>
    <row r="4798">
      <c r="A4798" s="1">
        <v>4797.0</v>
      </c>
      <c r="B4798" s="1" t="s">
        <v>7818</v>
      </c>
      <c r="C4798" s="1" t="s">
        <v>25</v>
      </c>
      <c r="K4798" s="1">
        <v>70.0</v>
      </c>
      <c r="N4798" s="5">
        <v>44378.0</v>
      </c>
      <c r="Q4798" s="1" t="s">
        <v>7819</v>
      </c>
    </row>
    <row r="4799">
      <c r="A4799" s="1">
        <v>4798.0</v>
      </c>
      <c r="B4799" s="1" t="s">
        <v>7820</v>
      </c>
      <c r="C4799" s="1" t="s">
        <v>25</v>
      </c>
      <c r="K4799" s="1">
        <v>150.0</v>
      </c>
      <c r="N4799" s="5">
        <v>45322.0</v>
      </c>
      <c r="Q4799" s="1" t="s">
        <v>2931</v>
      </c>
    </row>
    <row r="4800">
      <c r="A4800" s="1">
        <v>4799.0</v>
      </c>
      <c r="B4800" s="1" t="s">
        <v>7821</v>
      </c>
      <c r="C4800" s="1" t="s">
        <v>25</v>
      </c>
      <c r="K4800" s="1">
        <v>70.0</v>
      </c>
      <c r="N4800" s="5">
        <v>45665.0</v>
      </c>
      <c r="Q4800" s="1" t="s">
        <v>7822</v>
      </c>
    </row>
    <row r="4801">
      <c r="A4801" s="1">
        <v>4800.0</v>
      </c>
      <c r="B4801" s="1" t="s">
        <v>7823</v>
      </c>
      <c r="C4801" s="1" t="s">
        <v>25</v>
      </c>
      <c r="K4801" s="1">
        <v>20.0</v>
      </c>
      <c r="N4801" s="5">
        <v>43965.0</v>
      </c>
      <c r="Q4801" s="1" t="s">
        <v>1678</v>
      </c>
    </row>
    <row r="4802">
      <c r="A4802" s="1">
        <v>4801.0</v>
      </c>
      <c r="B4802" s="1" t="s">
        <v>7824</v>
      </c>
      <c r="C4802" s="1" t="s">
        <v>25</v>
      </c>
      <c r="K4802" s="1">
        <v>10.0</v>
      </c>
      <c r="N4802" s="5">
        <v>43901.0</v>
      </c>
      <c r="Q4802" s="1" t="s">
        <v>1187</v>
      </c>
    </row>
    <row r="4803">
      <c r="A4803" s="1">
        <v>4802.0</v>
      </c>
      <c r="B4803" s="1" t="s">
        <v>7825</v>
      </c>
      <c r="C4803" s="1" t="s">
        <v>25</v>
      </c>
      <c r="K4803" s="1">
        <v>60.0</v>
      </c>
      <c r="N4803" s="5">
        <v>43981.0</v>
      </c>
      <c r="Q4803" s="1" t="s">
        <v>7826</v>
      </c>
    </row>
    <row r="4804">
      <c r="A4804" s="1">
        <v>4803.0</v>
      </c>
      <c r="B4804" s="1" t="s">
        <v>7827</v>
      </c>
      <c r="C4804" s="1" t="s">
        <v>25</v>
      </c>
      <c r="K4804" s="1">
        <v>40.0</v>
      </c>
      <c r="N4804" s="5">
        <v>45250.0</v>
      </c>
      <c r="Q4804" s="1" t="s">
        <v>7647</v>
      </c>
    </row>
    <row r="4805">
      <c r="A4805" s="1">
        <v>4804.0</v>
      </c>
      <c r="B4805" s="1" t="s">
        <v>7828</v>
      </c>
      <c r="C4805" s="1" t="s">
        <v>25</v>
      </c>
      <c r="K4805" s="1">
        <v>20.0</v>
      </c>
      <c r="N4805" s="5">
        <v>45643.0</v>
      </c>
      <c r="Q4805" s="1" t="s">
        <v>3168</v>
      </c>
    </row>
    <row r="4806">
      <c r="A4806" s="1">
        <v>4805.0</v>
      </c>
      <c r="B4806" s="1" t="s">
        <v>7829</v>
      </c>
      <c r="C4806" s="1" t="s">
        <v>25</v>
      </c>
      <c r="K4806" s="1">
        <v>150.0</v>
      </c>
      <c r="N4806" s="5">
        <v>45452.0</v>
      </c>
      <c r="Q4806" s="1" t="s">
        <v>7830</v>
      </c>
    </row>
    <row r="4807">
      <c r="A4807" s="1">
        <v>4806.0</v>
      </c>
      <c r="B4807" s="1" t="s">
        <v>7831</v>
      </c>
      <c r="C4807" s="1" t="s">
        <v>25</v>
      </c>
      <c r="K4807" s="1">
        <v>100.0</v>
      </c>
      <c r="N4807" s="5">
        <v>44374.0</v>
      </c>
      <c r="Q4807" s="1" t="s">
        <v>7832</v>
      </c>
    </row>
    <row r="4808">
      <c r="A4808" s="1">
        <v>4807.0</v>
      </c>
      <c r="B4808" s="1" t="s">
        <v>7833</v>
      </c>
      <c r="C4808" s="1" t="s">
        <v>25</v>
      </c>
      <c r="K4808" s="1">
        <v>50.0</v>
      </c>
      <c r="N4808" s="5">
        <v>44086.0</v>
      </c>
      <c r="Q4808" s="1" t="s">
        <v>7834</v>
      </c>
    </row>
    <row r="4809">
      <c r="A4809" s="1">
        <v>4808.0</v>
      </c>
      <c r="B4809" s="1" t="s">
        <v>7835</v>
      </c>
      <c r="C4809" s="1" t="s">
        <v>25</v>
      </c>
      <c r="N4809" s="5">
        <v>43958.0</v>
      </c>
      <c r="Q4809" s="1" t="s">
        <v>55</v>
      </c>
    </row>
    <row r="4810">
      <c r="A4810" s="1">
        <v>4809.0</v>
      </c>
      <c r="B4810" s="1" t="s">
        <v>7836</v>
      </c>
      <c r="C4810" s="1" t="s">
        <v>25</v>
      </c>
      <c r="K4810" s="1">
        <v>350.0</v>
      </c>
      <c r="N4810" s="5">
        <v>44152.0</v>
      </c>
      <c r="Q4810" s="1" t="s">
        <v>7837</v>
      </c>
    </row>
    <row r="4811">
      <c r="A4811" s="1">
        <v>4810.0</v>
      </c>
      <c r="B4811" s="1" t="s">
        <v>7838</v>
      </c>
      <c r="C4811" s="1" t="s">
        <v>25</v>
      </c>
      <c r="K4811" s="1">
        <v>150.0</v>
      </c>
      <c r="N4811" s="5">
        <v>44061.0</v>
      </c>
      <c r="Q4811" s="1" t="s">
        <v>7839</v>
      </c>
    </row>
    <row r="4812">
      <c r="A4812" s="1">
        <v>4811.0</v>
      </c>
      <c r="B4812" s="1" t="s">
        <v>7840</v>
      </c>
      <c r="C4812" s="1" t="s">
        <v>25</v>
      </c>
      <c r="K4812" s="1">
        <v>100.0</v>
      </c>
      <c r="N4812" s="5">
        <v>44770.0</v>
      </c>
      <c r="Q4812" s="1" t="s">
        <v>131</v>
      </c>
    </row>
    <row r="4813">
      <c r="A4813" s="1">
        <v>4812.0</v>
      </c>
      <c r="B4813" s="1" t="s">
        <v>7841</v>
      </c>
      <c r="C4813" s="1" t="s">
        <v>25</v>
      </c>
      <c r="K4813" s="1">
        <v>60.0</v>
      </c>
      <c r="N4813" s="5">
        <v>44272.0</v>
      </c>
      <c r="Q4813" s="1" t="s">
        <v>1218</v>
      </c>
    </row>
    <row r="4814">
      <c r="A4814" s="1">
        <v>4813.0</v>
      </c>
      <c r="B4814" s="1" t="s">
        <v>7842</v>
      </c>
      <c r="C4814" s="1" t="s">
        <v>25</v>
      </c>
      <c r="K4814" s="1">
        <v>300.0</v>
      </c>
      <c r="N4814" s="5">
        <v>43883.0</v>
      </c>
      <c r="Q4814" s="1" t="s">
        <v>7843</v>
      </c>
    </row>
    <row r="4815">
      <c r="A4815" s="1">
        <v>4814.0</v>
      </c>
      <c r="B4815" s="1" t="s">
        <v>7844</v>
      </c>
      <c r="C4815" s="1" t="s">
        <v>25</v>
      </c>
      <c r="N4815" s="5">
        <v>45583.0</v>
      </c>
      <c r="Q4815" s="1" t="s">
        <v>4617</v>
      </c>
    </row>
    <row r="4816">
      <c r="A4816" s="1">
        <v>4815.0</v>
      </c>
      <c r="B4816" s="1" t="s">
        <v>7845</v>
      </c>
      <c r="C4816" s="1" t="s">
        <v>25</v>
      </c>
      <c r="K4816" s="1">
        <v>50.0</v>
      </c>
      <c r="N4816" s="5">
        <v>44323.0</v>
      </c>
      <c r="Q4816" s="1" t="s">
        <v>7846</v>
      </c>
    </row>
    <row r="4817">
      <c r="A4817" s="1">
        <v>4816.0</v>
      </c>
      <c r="B4817" s="1" t="s">
        <v>7847</v>
      </c>
      <c r="C4817" s="1" t="s">
        <v>25</v>
      </c>
      <c r="K4817" s="1">
        <v>50.0</v>
      </c>
      <c r="N4817" s="5">
        <v>45797.0</v>
      </c>
      <c r="Q4817" s="1" t="s">
        <v>7429</v>
      </c>
    </row>
    <row r="4818">
      <c r="A4818" s="1">
        <v>4817.0</v>
      </c>
      <c r="B4818" s="1" t="s">
        <v>7848</v>
      </c>
      <c r="C4818" s="1" t="s">
        <v>25</v>
      </c>
      <c r="K4818" s="1">
        <v>150.0</v>
      </c>
      <c r="N4818" s="5">
        <v>45688.0</v>
      </c>
      <c r="Q4818" s="1" t="s">
        <v>7849</v>
      </c>
    </row>
    <row r="4819">
      <c r="A4819" s="1">
        <v>4818.0</v>
      </c>
      <c r="B4819" s="1" t="s">
        <v>7850</v>
      </c>
      <c r="C4819" s="1" t="s">
        <v>25</v>
      </c>
      <c r="K4819" s="1">
        <v>100.0</v>
      </c>
      <c r="N4819" s="5">
        <v>44431.0</v>
      </c>
      <c r="Q4819" s="1" t="s">
        <v>1218</v>
      </c>
    </row>
    <row r="4820">
      <c r="A4820" s="1">
        <v>4819.0</v>
      </c>
      <c r="B4820" s="1" t="s">
        <v>7851</v>
      </c>
      <c r="C4820" s="1" t="s">
        <v>25</v>
      </c>
      <c r="N4820" s="5">
        <v>45555.0</v>
      </c>
      <c r="Q4820" s="1" t="s">
        <v>4602</v>
      </c>
    </row>
    <row r="4821">
      <c r="A4821" s="1">
        <v>4820.0</v>
      </c>
      <c r="B4821" s="1" t="s">
        <v>7852</v>
      </c>
      <c r="C4821" s="1" t="s">
        <v>25</v>
      </c>
      <c r="K4821" s="1">
        <v>400.0</v>
      </c>
      <c r="N4821" s="5">
        <v>43901.0</v>
      </c>
      <c r="Q4821" s="1" t="s">
        <v>7853</v>
      </c>
    </row>
    <row r="4822">
      <c r="A4822" s="1">
        <v>4821.0</v>
      </c>
      <c r="B4822" s="1" t="s">
        <v>7854</v>
      </c>
      <c r="C4822" s="1" t="s">
        <v>25</v>
      </c>
      <c r="K4822" s="1">
        <v>150.0</v>
      </c>
      <c r="N4822" s="5">
        <v>43907.0</v>
      </c>
      <c r="Q4822" s="1" t="s">
        <v>7855</v>
      </c>
    </row>
    <row r="4823">
      <c r="A4823" s="1">
        <v>4822.0</v>
      </c>
      <c r="B4823" s="1" t="s">
        <v>7856</v>
      </c>
      <c r="C4823" s="1" t="s">
        <v>25</v>
      </c>
      <c r="K4823" s="1">
        <v>10.0</v>
      </c>
      <c r="N4823" s="5">
        <v>45396.0</v>
      </c>
      <c r="Q4823" s="1" t="s">
        <v>55</v>
      </c>
    </row>
    <row r="4824">
      <c r="A4824" s="1">
        <v>4823.0</v>
      </c>
      <c r="B4824" s="1" t="s">
        <v>7857</v>
      </c>
      <c r="C4824" s="1" t="s">
        <v>25</v>
      </c>
      <c r="N4824" s="5">
        <v>45626.0</v>
      </c>
      <c r="Q4824" s="1" t="s">
        <v>2532</v>
      </c>
    </row>
    <row r="4825">
      <c r="A4825" s="1">
        <v>4824.0</v>
      </c>
      <c r="B4825" s="1" t="s">
        <v>7858</v>
      </c>
      <c r="C4825" s="1" t="s">
        <v>25</v>
      </c>
      <c r="K4825" s="1">
        <v>10.0</v>
      </c>
      <c r="N4825" s="5">
        <v>44272.0</v>
      </c>
      <c r="Q4825" s="1" t="s">
        <v>55</v>
      </c>
    </row>
    <row r="4826">
      <c r="A4826" s="1">
        <v>4825.0</v>
      </c>
      <c r="B4826" s="1" t="s">
        <v>7859</v>
      </c>
      <c r="C4826" s="1" t="s">
        <v>25</v>
      </c>
      <c r="K4826" s="1">
        <v>10.0</v>
      </c>
      <c r="N4826" s="5">
        <v>45263.0</v>
      </c>
      <c r="Q4826" s="1" t="s">
        <v>55</v>
      </c>
    </row>
    <row r="4827">
      <c r="A4827" s="1">
        <v>4826.0</v>
      </c>
      <c r="B4827" s="1" t="s">
        <v>7860</v>
      </c>
      <c r="C4827" s="1" t="s">
        <v>25</v>
      </c>
      <c r="N4827" s="5">
        <v>45384.0</v>
      </c>
      <c r="Q4827" s="1" t="s">
        <v>7861</v>
      </c>
    </row>
    <row r="4828">
      <c r="A4828" s="1">
        <v>4827.0</v>
      </c>
      <c r="B4828" s="1" t="s">
        <v>7862</v>
      </c>
      <c r="C4828" s="1" t="s">
        <v>25</v>
      </c>
      <c r="N4828" s="5">
        <v>44319.0</v>
      </c>
      <c r="Q4828" s="1" t="s">
        <v>55</v>
      </c>
    </row>
    <row r="4829">
      <c r="A4829" s="1">
        <v>4828.0</v>
      </c>
      <c r="B4829" s="1" t="s">
        <v>7863</v>
      </c>
      <c r="C4829" s="1" t="s">
        <v>25</v>
      </c>
      <c r="K4829" s="1">
        <v>200.0</v>
      </c>
      <c r="N4829" s="5">
        <v>45358.0</v>
      </c>
      <c r="Q4829" s="1" t="s">
        <v>3440</v>
      </c>
    </row>
    <row r="4830">
      <c r="A4830" s="1">
        <v>4829.0</v>
      </c>
      <c r="B4830" s="1" t="s">
        <v>7864</v>
      </c>
      <c r="C4830" s="1" t="s">
        <v>25</v>
      </c>
      <c r="N4830" s="5">
        <v>45511.0</v>
      </c>
      <c r="Q4830" s="1" t="s">
        <v>4570</v>
      </c>
    </row>
    <row r="4831">
      <c r="A4831" s="1">
        <v>4830.0</v>
      </c>
      <c r="B4831" s="1" t="s">
        <v>7865</v>
      </c>
      <c r="C4831" s="1" t="s">
        <v>25</v>
      </c>
      <c r="K4831" s="1">
        <v>300.0</v>
      </c>
      <c r="N4831" s="5">
        <v>43874.0</v>
      </c>
      <c r="Q4831" s="1" t="s">
        <v>7866</v>
      </c>
    </row>
    <row r="4832">
      <c r="A4832" s="1">
        <v>4831.0</v>
      </c>
      <c r="B4832" s="1" t="s">
        <v>7867</v>
      </c>
      <c r="C4832" s="1" t="s">
        <v>25</v>
      </c>
      <c r="N4832" s="5">
        <v>44613.0</v>
      </c>
      <c r="Q4832" s="1" t="s">
        <v>7691</v>
      </c>
    </row>
    <row r="4833">
      <c r="A4833" s="1">
        <v>4832.0</v>
      </c>
      <c r="B4833" s="1" t="s">
        <v>7868</v>
      </c>
      <c r="C4833" s="1" t="s">
        <v>25</v>
      </c>
      <c r="N4833" s="5">
        <v>44061.0</v>
      </c>
      <c r="Q4833" s="1" t="s">
        <v>55</v>
      </c>
    </row>
    <row r="4834">
      <c r="A4834" s="1">
        <v>4833.0</v>
      </c>
      <c r="B4834" s="1" t="s">
        <v>7869</v>
      </c>
      <c r="C4834" s="1" t="s">
        <v>25</v>
      </c>
      <c r="N4834" s="5">
        <v>46102.0</v>
      </c>
      <c r="Q4834" s="1" t="s">
        <v>7870</v>
      </c>
    </row>
    <row r="4835">
      <c r="A4835" s="1">
        <v>4834.0</v>
      </c>
      <c r="B4835" s="1" t="s">
        <v>7871</v>
      </c>
      <c r="C4835" s="1" t="s">
        <v>25</v>
      </c>
      <c r="K4835" s="1">
        <v>200.0</v>
      </c>
      <c r="N4835" s="5">
        <v>43853.0</v>
      </c>
      <c r="Q4835" s="1" t="s">
        <v>7872</v>
      </c>
    </row>
    <row r="4836">
      <c r="A4836" s="1">
        <v>4835.0</v>
      </c>
      <c r="B4836" s="1" t="s">
        <v>7873</v>
      </c>
      <c r="C4836" s="1" t="s">
        <v>25</v>
      </c>
      <c r="K4836" s="1">
        <v>10.0</v>
      </c>
      <c r="N4836" s="5">
        <v>45650.0</v>
      </c>
      <c r="Q4836" s="1" t="s">
        <v>7874</v>
      </c>
    </row>
    <row r="4837">
      <c r="A4837" s="1">
        <v>4836.0</v>
      </c>
      <c r="B4837" s="1" t="s">
        <v>7875</v>
      </c>
      <c r="C4837" s="1" t="s">
        <v>25</v>
      </c>
      <c r="K4837" s="1">
        <v>30.0</v>
      </c>
      <c r="N4837" s="5">
        <v>45510.0</v>
      </c>
      <c r="Q4837" s="1" t="s">
        <v>7876</v>
      </c>
    </row>
    <row r="4838">
      <c r="A4838" s="1">
        <v>4837.0</v>
      </c>
      <c r="B4838" s="1" t="s">
        <v>7877</v>
      </c>
      <c r="C4838" s="1" t="s">
        <v>25</v>
      </c>
      <c r="N4838" s="5">
        <v>44564.0</v>
      </c>
      <c r="Q4838" s="1" t="s">
        <v>55</v>
      </c>
    </row>
    <row r="4839">
      <c r="A4839" s="1">
        <v>4838.0</v>
      </c>
      <c r="B4839" s="1" t="s">
        <v>7878</v>
      </c>
      <c r="C4839" s="1" t="s">
        <v>25</v>
      </c>
      <c r="K4839" s="1">
        <v>150.0</v>
      </c>
      <c r="N4839" s="5">
        <v>43921.0</v>
      </c>
      <c r="Q4839" s="1" t="s">
        <v>7879</v>
      </c>
    </row>
    <row r="4840">
      <c r="A4840" s="1">
        <v>4839.0</v>
      </c>
      <c r="B4840" s="1" t="s">
        <v>7880</v>
      </c>
      <c r="C4840" s="1" t="s">
        <v>25</v>
      </c>
      <c r="K4840" s="1">
        <v>200.0</v>
      </c>
      <c r="N4840" s="5">
        <v>44135.0</v>
      </c>
      <c r="Q4840" s="1" t="s">
        <v>7881</v>
      </c>
    </row>
    <row r="4841">
      <c r="A4841" s="1">
        <v>4840.0</v>
      </c>
      <c r="B4841" s="1" t="s">
        <v>7882</v>
      </c>
      <c r="C4841" s="1" t="s">
        <v>25</v>
      </c>
      <c r="K4841" s="1">
        <v>10.0</v>
      </c>
      <c r="N4841" s="5">
        <v>45217.0</v>
      </c>
      <c r="Q4841" s="1" t="s">
        <v>55</v>
      </c>
    </row>
    <row r="4842">
      <c r="A4842" s="1">
        <v>4841.0</v>
      </c>
      <c r="B4842" s="1" t="s">
        <v>7883</v>
      </c>
      <c r="C4842" s="1" t="s">
        <v>25</v>
      </c>
      <c r="K4842" s="1">
        <v>40.0</v>
      </c>
      <c r="N4842" s="5">
        <v>44427.0</v>
      </c>
      <c r="Q4842" s="1" t="s">
        <v>5683</v>
      </c>
    </row>
    <row r="4843">
      <c r="A4843" s="1">
        <v>4842.0</v>
      </c>
      <c r="B4843" s="1" t="s">
        <v>7884</v>
      </c>
      <c r="C4843" s="1" t="s">
        <v>25</v>
      </c>
      <c r="K4843" s="1">
        <v>150.0</v>
      </c>
      <c r="N4843" s="5">
        <v>45350.0</v>
      </c>
      <c r="Q4843" s="1" t="s">
        <v>7885</v>
      </c>
    </row>
    <row r="4844">
      <c r="A4844" s="1">
        <v>4843.0</v>
      </c>
      <c r="B4844" s="1" t="s">
        <v>7886</v>
      </c>
      <c r="C4844" s="1" t="s">
        <v>25</v>
      </c>
      <c r="N4844" s="5">
        <v>45698.0</v>
      </c>
      <c r="Q4844" s="1" t="s">
        <v>5407</v>
      </c>
    </row>
    <row r="4845">
      <c r="A4845" s="1">
        <v>4844.0</v>
      </c>
      <c r="B4845" s="1" t="s">
        <v>7887</v>
      </c>
      <c r="C4845" s="1" t="s">
        <v>25</v>
      </c>
      <c r="K4845" s="1">
        <v>90.0</v>
      </c>
      <c r="N4845" s="5">
        <v>43969.0</v>
      </c>
      <c r="Q4845" s="1" t="s">
        <v>2456</v>
      </c>
    </row>
    <row r="4846">
      <c r="A4846" s="1">
        <v>4845.0</v>
      </c>
      <c r="B4846" s="1" t="s">
        <v>7888</v>
      </c>
      <c r="C4846" s="1" t="s">
        <v>25</v>
      </c>
      <c r="N4846" s="5">
        <v>44777.0</v>
      </c>
      <c r="Q4846" s="1" t="s">
        <v>55</v>
      </c>
    </row>
    <row r="4847">
      <c r="A4847" s="1">
        <v>4846.0</v>
      </c>
      <c r="B4847" s="1" t="s">
        <v>7889</v>
      </c>
      <c r="C4847" s="1" t="s">
        <v>25</v>
      </c>
      <c r="K4847" s="1">
        <v>600.0</v>
      </c>
      <c r="N4847" s="5">
        <v>44210.0</v>
      </c>
      <c r="Q4847" s="1" t="s">
        <v>7890</v>
      </c>
    </row>
    <row r="4848">
      <c r="A4848" s="1">
        <v>4847.0</v>
      </c>
      <c r="B4848" s="1" t="s">
        <v>7891</v>
      </c>
      <c r="C4848" s="1" t="s">
        <v>25</v>
      </c>
      <c r="N4848" s="5">
        <v>44846.0</v>
      </c>
      <c r="Q4848" s="1" t="s">
        <v>1066</v>
      </c>
    </row>
    <row r="4849">
      <c r="A4849" s="1">
        <v>4848.0</v>
      </c>
      <c r="B4849" s="1" t="s">
        <v>7892</v>
      </c>
      <c r="C4849" s="1" t="s">
        <v>25</v>
      </c>
      <c r="K4849" s="1">
        <v>40.0</v>
      </c>
      <c r="N4849" s="5">
        <v>44259.0</v>
      </c>
      <c r="Q4849" s="1" t="s">
        <v>125</v>
      </c>
    </row>
    <row r="4850">
      <c r="A4850" s="1">
        <v>4849.0</v>
      </c>
      <c r="B4850" s="1" t="s">
        <v>7893</v>
      </c>
      <c r="C4850" s="1" t="s">
        <v>25</v>
      </c>
      <c r="N4850" s="5">
        <v>44514.0</v>
      </c>
      <c r="Q4850" s="1" t="s">
        <v>55</v>
      </c>
    </row>
    <row r="4851">
      <c r="A4851" s="1">
        <v>4850.0</v>
      </c>
      <c r="B4851" s="1" t="s">
        <v>7894</v>
      </c>
      <c r="C4851" s="1" t="s">
        <v>25</v>
      </c>
      <c r="K4851" s="1">
        <v>100.0</v>
      </c>
      <c r="N4851" s="5">
        <v>44850.0</v>
      </c>
      <c r="Q4851" s="1" t="s">
        <v>1125</v>
      </c>
    </row>
    <row r="4852">
      <c r="A4852" s="1">
        <v>4851.0</v>
      </c>
      <c r="B4852" s="1" t="s">
        <v>7895</v>
      </c>
      <c r="C4852" s="1" t="s">
        <v>25</v>
      </c>
      <c r="K4852" s="1">
        <v>10.0</v>
      </c>
      <c r="N4852" s="5">
        <v>45270.0</v>
      </c>
      <c r="Q4852" s="1" t="s">
        <v>55</v>
      </c>
    </row>
    <row r="4853">
      <c r="A4853" s="1">
        <v>4852.0</v>
      </c>
      <c r="B4853" s="1" t="s">
        <v>7896</v>
      </c>
      <c r="C4853" s="1" t="s">
        <v>25</v>
      </c>
      <c r="K4853" s="1">
        <v>50.0</v>
      </c>
      <c r="N4853" s="5">
        <v>44368.0</v>
      </c>
      <c r="Q4853" s="1" t="s">
        <v>55</v>
      </c>
    </row>
    <row r="4854">
      <c r="A4854" s="1">
        <v>4853.0</v>
      </c>
      <c r="B4854" s="1" t="s">
        <v>7897</v>
      </c>
      <c r="C4854" s="1" t="s">
        <v>25</v>
      </c>
      <c r="K4854" s="1">
        <v>40.0</v>
      </c>
      <c r="N4854" s="5">
        <v>45631.0</v>
      </c>
      <c r="Q4854" s="1" t="s">
        <v>4880</v>
      </c>
    </row>
    <row r="4855">
      <c r="A4855" s="1">
        <v>4854.0</v>
      </c>
      <c r="B4855" s="1" t="s">
        <v>7898</v>
      </c>
      <c r="C4855" s="1" t="s">
        <v>25</v>
      </c>
      <c r="N4855" s="5">
        <v>45470.0</v>
      </c>
      <c r="Q4855" s="1" t="s">
        <v>7899</v>
      </c>
    </row>
    <row r="4856">
      <c r="A4856" s="1">
        <v>4855.0</v>
      </c>
      <c r="B4856" s="1" t="s">
        <v>7900</v>
      </c>
      <c r="C4856" s="1" t="s">
        <v>25</v>
      </c>
      <c r="K4856" s="1">
        <v>70.0</v>
      </c>
      <c r="N4856" s="5">
        <v>44649.0</v>
      </c>
      <c r="Q4856" s="1" t="s">
        <v>569</v>
      </c>
    </row>
    <row r="4857">
      <c r="A4857" s="1">
        <v>4856.0</v>
      </c>
      <c r="B4857" s="1" t="s">
        <v>7901</v>
      </c>
      <c r="C4857" s="1" t="s">
        <v>25</v>
      </c>
      <c r="N4857" s="5">
        <v>44388.0</v>
      </c>
      <c r="Q4857" s="1" t="s">
        <v>55</v>
      </c>
    </row>
    <row r="4858">
      <c r="A4858" s="1">
        <v>4857.0</v>
      </c>
      <c r="B4858" s="1" t="s">
        <v>7902</v>
      </c>
      <c r="C4858" s="1" t="s">
        <v>25</v>
      </c>
      <c r="N4858" s="5">
        <v>43957.0</v>
      </c>
      <c r="Q4858" s="1" t="s">
        <v>55</v>
      </c>
    </row>
    <row r="4859">
      <c r="A4859" s="1">
        <v>4858.0</v>
      </c>
      <c r="B4859" s="1" t="s">
        <v>7903</v>
      </c>
      <c r="C4859" s="1" t="s">
        <v>25</v>
      </c>
      <c r="K4859" s="1">
        <v>200.0</v>
      </c>
      <c r="N4859" s="5">
        <v>44571.0</v>
      </c>
      <c r="Q4859" s="1" t="s">
        <v>7904</v>
      </c>
    </row>
    <row r="4860">
      <c r="A4860" s="1">
        <v>4859.0</v>
      </c>
      <c r="B4860" s="1" t="s">
        <v>7905</v>
      </c>
      <c r="C4860" s="1" t="s">
        <v>25</v>
      </c>
      <c r="N4860" s="5">
        <v>43957.0</v>
      </c>
      <c r="Q4860" s="1" t="s">
        <v>55</v>
      </c>
    </row>
    <row r="4861">
      <c r="A4861" s="1">
        <v>4860.0</v>
      </c>
      <c r="B4861" s="1" t="s">
        <v>7906</v>
      </c>
      <c r="C4861" s="1" t="s">
        <v>25</v>
      </c>
      <c r="N4861" s="5">
        <v>43249.0</v>
      </c>
      <c r="Q4861" s="1" t="s">
        <v>55</v>
      </c>
    </row>
    <row r="4862">
      <c r="A4862" s="1">
        <v>4861.0</v>
      </c>
      <c r="B4862" s="1" t="s">
        <v>7907</v>
      </c>
      <c r="C4862" s="1" t="s">
        <v>25</v>
      </c>
      <c r="K4862" s="1">
        <v>10.0</v>
      </c>
      <c r="N4862" s="5">
        <v>45642.0</v>
      </c>
      <c r="Q4862" s="1" t="s">
        <v>5934</v>
      </c>
    </row>
    <row r="4863">
      <c r="A4863" s="1">
        <v>4862.0</v>
      </c>
      <c r="B4863" s="1" t="s">
        <v>7908</v>
      </c>
      <c r="C4863" s="1" t="s">
        <v>25</v>
      </c>
      <c r="K4863" s="1">
        <v>70.0</v>
      </c>
      <c r="N4863" s="5">
        <v>44185.0</v>
      </c>
      <c r="Q4863" s="1" t="s">
        <v>7909</v>
      </c>
    </row>
    <row r="4864">
      <c r="A4864" s="1">
        <v>4863.0</v>
      </c>
      <c r="B4864" s="1" t="s">
        <v>7910</v>
      </c>
      <c r="C4864" s="1" t="s">
        <v>25</v>
      </c>
      <c r="K4864" s="1">
        <v>50.0</v>
      </c>
      <c r="N4864" s="5">
        <v>44208.0</v>
      </c>
      <c r="Q4864" s="1" t="s">
        <v>7911</v>
      </c>
    </row>
    <row r="4865">
      <c r="A4865" s="1">
        <v>4864.0</v>
      </c>
      <c r="B4865" s="1" t="s">
        <v>7912</v>
      </c>
      <c r="C4865" s="1" t="s">
        <v>25</v>
      </c>
      <c r="N4865" s="5">
        <v>45121.0</v>
      </c>
      <c r="Q4865" s="1" t="s">
        <v>125</v>
      </c>
    </row>
    <row r="4866">
      <c r="A4866" s="1">
        <v>4865.0</v>
      </c>
      <c r="B4866" s="1" t="s">
        <v>7913</v>
      </c>
      <c r="C4866" s="1" t="s">
        <v>25</v>
      </c>
      <c r="N4866" s="5">
        <v>44766.0</v>
      </c>
      <c r="Q4866" s="1" t="s">
        <v>55</v>
      </c>
    </row>
    <row r="4867">
      <c r="A4867" s="1">
        <v>4866.0</v>
      </c>
      <c r="B4867" s="1" t="s">
        <v>7914</v>
      </c>
      <c r="C4867" s="1" t="s">
        <v>25</v>
      </c>
      <c r="K4867" s="1">
        <v>100.0</v>
      </c>
      <c r="N4867" s="5">
        <v>45535.0</v>
      </c>
      <c r="Q4867" s="1" t="s">
        <v>7915</v>
      </c>
    </row>
    <row r="4868">
      <c r="A4868" s="1">
        <v>4867.0</v>
      </c>
      <c r="B4868" s="1" t="s">
        <v>7916</v>
      </c>
      <c r="C4868" s="1" t="s">
        <v>25</v>
      </c>
      <c r="K4868" s="1">
        <v>60.0</v>
      </c>
      <c r="N4868" s="5">
        <v>45653.0</v>
      </c>
      <c r="Q4868" s="1" t="s">
        <v>7917</v>
      </c>
    </row>
    <row r="4869">
      <c r="A4869" s="1">
        <v>4868.0</v>
      </c>
      <c r="B4869" s="1" t="s">
        <v>7918</v>
      </c>
      <c r="C4869" s="1" t="s">
        <v>25</v>
      </c>
      <c r="K4869" s="1">
        <v>30.0</v>
      </c>
      <c r="N4869" s="5">
        <v>44289.0</v>
      </c>
      <c r="Q4869" s="1" t="s">
        <v>55</v>
      </c>
    </row>
    <row r="4870">
      <c r="A4870" s="1">
        <v>4869.0</v>
      </c>
      <c r="B4870" s="1" t="s">
        <v>7919</v>
      </c>
      <c r="C4870" s="1" t="s">
        <v>25</v>
      </c>
      <c r="K4870" s="1">
        <v>40.0</v>
      </c>
      <c r="N4870" s="5">
        <v>44043.0</v>
      </c>
      <c r="Q4870" s="1" t="s">
        <v>2059</v>
      </c>
    </row>
    <row r="4871">
      <c r="A4871" s="1">
        <v>4870.0</v>
      </c>
      <c r="B4871" s="1" t="s">
        <v>7920</v>
      </c>
      <c r="C4871" s="1" t="s">
        <v>25</v>
      </c>
      <c r="K4871" s="1">
        <v>40.0</v>
      </c>
      <c r="N4871" s="5">
        <v>44401.0</v>
      </c>
      <c r="Q4871" s="1" t="s">
        <v>55</v>
      </c>
    </row>
    <row r="4872">
      <c r="A4872" s="1">
        <v>4871.0</v>
      </c>
      <c r="B4872" s="1" t="s">
        <v>7921</v>
      </c>
      <c r="C4872" s="1" t="s">
        <v>25</v>
      </c>
      <c r="K4872" s="1">
        <v>50.0</v>
      </c>
      <c r="N4872" s="5">
        <v>45236.0</v>
      </c>
      <c r="Q4872" s="1" t="s">
        <v>7922</v>
      </c>
    </row>
    <row r="4873">
      <c r="A4873" s="1">
        <v>4872.0</v>
      </c>
      <c r="B4873" s="1" t="s">
        <v>7923</v>
      </c>
      <c r="C4873" s="1" t="s">
        <v>25</v>
      </c>
      <c r="K4873" s="1">
        <v>20.0</v>
      </c>
      <c r="N4873" s="5">
        <v>44711.0</v>
      </c>
      <c r="Q4873" s="1" t="s">
        <v>55</v>
      </c>
    </row>
    <row r="4874">
      <c r="A4874" s="1">
        <v>4873.0</v>
      </c>
      <c r="B4874" s="1" t="s">
        <v>7924</v>
      </c>
      <c r="C4874" s="1" t="s">
        <v>25</v>
      </c>
      <c r="K4874" s="1">
        <v>150.0</v>
      </c>
      <c r="N4874" s="5">
        <v>45568.0</v>
      </c>
      <c r="Q4874" s="1" t="s">
        <v>7925</v>
      </c>
    </row>
    <row r="4875">
      <c r="A4875" s="1">
        <v>4874.0</v>
      </c>
      <c r="B4875" s="1" t="s">
        <v>7926</v>
      </c>
      <c r="C4875" s="1" t="s">
        <v>25</v>
      </c>
      <c r="K4875" s="1">
        <v>40.0</v>
      </c>
      <c r="N4875" s="5">
        <v>43841.0</v>
      </c>
      <c r="Q4875" s="1" t="s">
        <v>7927</v>
      </c>
    </row>
    <row r="4876">
      <c r="A4876" s="1">
        <v>4875.0</v>
      </c>
      <c r="B4876" s="1" t="s">
        <v>7928</v>
      </c>
      <c r="C4876" s="1" t="s">
        <v>25</v>
      </c>
      <c r="K4876" s="1">
        <v>10.0</v>
      </c>
      <c r="N4876" s="5">
        <v>45614.0</v>
      </c>
      <c r="Q4876" s="1" t="s">
        <v>7929</v>
      </c>
    </row>
    <row r="4877">
      <c r="A4877" s="1">
        <v>4876.0</v>
      </c>
      <c r="B4877" s="1" t="s">
        <v>7930</v>
      </c>
      <c r="C4877" s="1" t="s">
        <v>25</v>
      </c>
      <c r="K4877" s="1">
        <v>20.0</v>
      </c>
      <c r="N4877" s="5">
        <v>43896.0</v>
      </c>
      <c r="Q4877" s="1" t="s">
        <v>55</v>
      </c>
    </row>
    <row r="4878">
      <c r="A4878" s="1">
        <v>4877.0</v>
      </c>
      <c r="B4878" s="1" t="s">
        <v>7931</v>
      </c>
      <c r="C4878" s="1" t="s">
        <v>25</v>
      </c>
      <c r="N4878" s="5">
        <v>44250.0</v>
      </c>
      <c r="Q4878" s="1" t="s">
        <v>55</v>
      </c>
    </row>
    <row r="4879">
      <c r="A4879" s="1">
        <v>4878.0</v>
      </c>
      <c r="B4879" s="1" t="s">
        <v>7932</v>
      </c>
      <c r="C4879" s="1" t="s">
        <v>25</v>
      </c>
      <c r="K4879" s="1">
        <v>10.0</v>
      </c>
      <c r="N4879" s="5">
        <v>44480.0</v>
      </c>
      <c r="Q4879" s="1" t="s">
        <v>2022</v>
      </c>
    </row>
    <row r="4880">
      <c r="A4880" s="1">
        <v>4879.0</v>
      </c>
      <c r="B4880" s="1" t="s">
        <v>7933</v>
      </c>
      <c r="C4880" s="1" t="s">
        <v>25</v>
      </c>
      <c r="K4880" s="1">
        <v>150.0</v>
      </c>
      <c r="N4880" s="5">
        <v>43922.0</v>
      </c>
      <c r="Q4880" s="1" t="s">
        <v>7934</v>
      </c>
    </row>
    <row r="4881">
      <c r="A4881" s="1">
        <v>4880.0</v>
      </c>
      <c r="B4881" s="1" t="s">
        <v>7935</v>
      </c>
      <c r="C4881" s="1" t="s">
        <v>25</v>
      </c>
      <c r="K4881" s="1">
        <v>40.0</v>
      </c>
      <c r="N4881" s="5">
        <v>44918.0</v>
      </c>
      <c r="Q4881" s="1" t="s">
        <v>46</v>
      </c>
    </row>
    <row r="4882">
      <c r="A4882" s="1">
        <v>4881.0</v>
      </c>
      <c r="B4882" s="1" t="s">
        <v>7936</v>
      </c>
      <c r="C4882" s="1" t="s">
        <v>25</v>
      </c>
      <c r="N4882" s="5">
        <v>46101.0</v>
      </c>
      <c r="Q4882" s="1" t="s">
        <v>7937</v>
      </c>
    </row>
    <row r="4883">
      <c r="A4883" s="1">
        <v>4882.0</v>
      </c>
      <c r="B4883" s="1" t="s">
        <v>7938</v>
      </c>
      <c r="C4883" s="1" t="s">
        <v>25</v>
      </c>
      <c r="K4883" s="1">
        <v>50.0</v>
      </c>
      <c r="N4883" s="5">
        <v>43973.0</v>
      </c>
      <c r="Q4883" s="1" t="s">
        <v>55</v>
      </c>
    </row>
    <row r="4884">
      <c r="A4884" s="1">
        <v>4883.0</v>
      </c>
      <c r="B4884" s="1" t="s">
        <v>7939</v>
      </c>
      <c r="C4884" s="1" t="s">
        <v>25</v>
      </c>
      <c r="N4884" s="5">
        <v>43961.0</v>
      </c>
      <c r="Q4884" s="1" t="s">
        <v>55</v>
      </c>
    </row>
    <row r="4885">
      <c r="A4885" s="1">
        <v>4884.0</v>
      </c>
      <c r="B4885" s="1" t="s">
        <v>7940</v>
      </c>
      <c r="C4885" s="1" t="s">
        <v>25</v>
      </c>
      <c r="K4885" s="1">
        <v>200.0</v>
      </c>
      <c r="N4885" s="5">
        <v>44138.0</v>
      </c>
      <c r="Q4885" s="1" t="s">
        <v>7941</v>
      </c>
    </row>
    <row r="4886">
      <c r="A4886" s="1">
        <v>4885.0</v>
      </c>
      <c r="B4886" s="1" t="s">
        <v>7942</v>
      </c>
      <c r="C4886" s="1" t="s">
        <v>25</v>
      </c>
      <c r="N4886" s="5">
        <v>44690.0</v>
      </c>
      <c r="Q4886" s="1" t="s">
        <v>55</v>
      </c>
    </row>
    <row r="4887">
      <c r="A4887" s="1">
        <v>4886.0</v>
      </c>
      <c r="B4887" s="1" t="s">
        <v>7943</v>
      </c>
      <c r="C4887" s="1" t="s">
        <v>25</v>
      </c>
      <c r="K4887" s="1">
        <v>150.0</v>
      </c>
      <c r="N4887" s="5">
        <v>44956.0</v>
      </c>
      <c r="Q4887" s="1" t="s">
        <v>7944</v>
      </c>
    </row>
    <row r="4888">
      <c r="A4888" s="1">
        <v>4887.0</v>
      </c>
      <c r="B4888" s="1" t="s">
        <v>7945</v>
      </c>
      <c r="C4888" s="1" t="s">
        <v>25</v>
      </c>
      <c r="K4888" s="1">
        <v>30.0</v>
      </c>
      <c r="N4888" s="5">
        <v>44349.0</v>
      </c>
      <c r="Q4888" s="1" t="s">
        <v>7946</v>
      </c>
    </row>
    <row r="4889">
      <c r="A4889" s="1">
        <v>4888.0</v>
      </c>
      <c r="B4889" s="1" t="s">
        <v>7947</v>
      </c>
      <c r="C4889" s="1" t="s">
        <v>25</v>
      </c>
      <c r="K4889" s="1">
        <v>40.0</v>
      </c>
      <c r="N4889" s="5">
        <v>44963.0</v>
      </c>
      <c r="Q4889" s="1" t="s">
        <v>55</v>
      </c>
    </row>
    <row r="4890">
      <c r="A4890" s="1">
        <v>4889.0</v>
      </c>
      <c r="B4890" s="1" t="s">
        <v>7948</v>
      </c>
      <c r="C4890" s="1" t="s">
        <v>25</v>
      </c>
      <c r="K4890" s="1">
        <v>10.0</v>
      </c>
      <c r="N4890" s="5">
        <v>43855.0</v>
      </c>
      <c r="Q4890" s="1" t="s">
        <v>55</v>
      </c>
    </row>
    <row r="4891">
      <c r="A4891" s="1">
        <v>4890.0</v>
      </c>
      <c r="B4891" s="1" t="s">
        <v>7949</v>
      </c>
      <c r="C4891" s="1" t="s">
        <v>25</v>
      </c>
      <c r="N4891" s="5">
        <v>43843.0</v>
      </c>
      <c r="Q4891" s="1" t="s">
        <v>55</v>
      </c>
    </row>
    <row r="4892">
      <c r="A4892" s="1">
        <v>4891.0</v>
      </c>
      <c r="B4892" s="1" t="s">
        <v>7950</v>
      </c>
      <c r="C4892" s="1" t="s">
        <v>25</v>
      </c>
      <c r="K4892" s="1">
        <v>80.0</v>
      </c>
      <c r="N4892" s="5">
        <v>45610.0</v>
      </c>
      <c r="Q4892" s="1" t="s">
        <v>7951</v>
      </c>
    </row>
    <row r="4893">
      <c r="A4893" s="1">
        <v>4892.0</v>
      </c>
      <c r="B4893" s="1" t="s">
        <v>7952</v>
      </c>
      <c r="C4893" s="1" t="s">
        <v>25</v>
      </c>
      <c r="N4893" s="5">
        <v>45547.0</v>
      </c>
      <c r="Q4893" s="1" t="s">
        <v>7953</v>
      </c>
    </row>
    <row r="4894">
      <c r="A4894" s="1">
        <v>4893.0</v>
      </c>
      <c r="B4894" s="1" t="s">
        <v>7954</v>
      </c>
      <c r="C4894" s="1" t="s">
        <v>25</v>
      </c>
      <c r="K4894" s="1">
        <v>60.0</v>
      </c>
      <c r="N4894" s="5">
        <v>45600.0</v>
      </c>
      <c r="Q4894" s="1" t="s">
        <v>7955</v>
      </c>
    </row>
    <row r="4895">
      <c r="A4895" s="1">
        <v>4894.0</v>
      </c>
      <c r="B4895" s="1" t="s">
        <v>7956</v>
      </c>
      <c r="C4895" s="1" t="s">
        <v>25</v>
      </c>
      <c r="K4895" s="1">
        <v>40.0</v>
      </c>
      <c r="N4895" s="5">
        <v>44595.0</v>
      </c>
      <c r="Q4895" s="1" t="s">
        <v>7957</v>
      </c>
    </row>
    <row r="4896">
      <c r="A4896" s="1">
        <v>4895.0</v>
      </c>
      <c r="B4896" s="1" t="s">
        <v>7958</v>
      </c>
      <c r="C4896" s="1" t="s">
        <v>25</v>
      </c>
      <c r="K4896" s="1">
        <v>10.0</v>
      </c>
      <c r="N4896" s="5">
        <v>43862.0</v>
      </c>
      <c r="Q4896" s="1" t="s">
        <v>3398</v>
      </c>
    </row>
    <row r="4897">
      <c r="A4897" s="1">
        <v>4896.0</v>
      </c>
      <c r="B4897" s="1" t="s">
        <v>7959</v>
      </c>
      <c r="C4897" s="1" t="s">
        <v>25</v>
      </c>
      <c r="K4897" s="1">
        <v>250.0</v>
      </c>
      <c r="N4897" s="5">
        <v>44206.0</v>
      </c>
      <c r="Q4897" s="1" t="s">
        <v>7960</v>
      </c>
    </row>
    <row r="4898">
      <c r="A4898" s="1">
        <v>4897.0</v>
      </c>
      <c r="B4898" s="1" t="s">
        <v>7961</v>
      </c>
      <c r="C4898" s="1" t="s">
        <v>25</v>
      </c>
      <c r="K4898" s="1">
        <v>30.0</v>
      </c>
      <c r="N4898" s="5">
        <v>45398.0</v>
      </c>
      <c r="Q4898" s="1" t="s">
        <v>46</v>
      </c>
    </row>
    <row r="4899">
      <c r="A4899" s="1">
        <v>4898.0</v>
      </c>
      <c r="B4899" s="1" t="s">
        <v>7962</v>
      </c>
      <c r="C4899" s="1" t="s">
        <v>25</v>
      </c>
      <c r="N4899" s="5">
        <v>44571.0</v>
      </c>
      <c r="Q4899" s="1" t="s">
        <v>55</v>
      </c>
    </row>
    <row r="4900">
      <c r="A4900" s="1">
        <v>4899.0</v>
      </c>
      <c r="B4900" s="1" t="s">
        <v>7963</v>
      </c>
      <c r="C4900" s="1" t="s">
        <v>25</v>
      </c>
      <c r="N4900" s="5">
        <v>44443.0</v>
      </c>
      <c r="Q4900" s="1" t="s">
        <v>55</v>
      </c>
    </row>
    <row r="4901">
      <c r="A4901" s="1">
        <v>4900.0</v>
      </c>
      <c r="B4901" s="1" t="s">
        <v>7964</v>
      </c>
      <c r="C4901" s="1" t="s">
        <v>25</v>
      </c>
      <c r="K4901" s="1">
        <v>200.0</v>
      </c>
      <c r="N4901" s="5">
        <v>44103.0</v>
      </c>
      <c r="Q4901" s="1" t="s">
        <v>3901</v>
      </c>
    </row>
    <row r="4902">
      <c r="A4902" s="1">
        <v>4901.0</v>
      </c>
      <c r="B4902" s="1" t="s">
        <v>7965</v>
      </c>
      <c r="C4902" s="1" t="s">
        <v>25</v>
      </c>
      <c r="K4902" s="1">
        <v>10.0</v>
      </c>
      <c r="N4902" s="5">
        <v>45158.0</v>
      </c>
      <c r="Q4902" s="1" t="s">
        <v>55</v>
      </c>
    </row>
    <row r="4903">
      <c r="A4903" s="1">
        <v>4902.0</v>
      </c>
      <c r="B4903" s="1" t="s">
        <v>7966</v>
      </c>
      <c r="C4903" s="1" t="s">
        <v>25</v>
      </c>
      <c r="K4903" s="1">
        <v>100.0</v>
      </c>
      <c r="N4903" s="5">
        <v>44152.0</v>
      </c>
      <c r="Q4903" s="1" t="s">
        <v>7967</v>
      </c>
    </row>
    <row r="4904">
      <c r="A4904" s="1">
        <v>4903.0</v>
      </c>
      <c r="B4904" s="1" t="s">
        <v>7968</v>
      </c>
      <c r="C4904" s="1" t="s">
        <v>25</v>
      </c>
      <c r="K4904" s="1">
        <v>200.0</v>
      </c>
      <c r="N4904" s="5">
        <v>45185.0</v>
      </c>
      <c r="Q4904" s="1" t="s">
        <v>55</v>
      </c>
    </row>
    <row r="4905">
      <c r="A4905" s="1">
        <v>4904.0</v>
      </c>
      <c r="B4905" s="1" t="s">
        <v>7969</v>
      </c>
      <c r="C4905" s="1" t="s">
        <v>25</v>
      </c>
      <c r="K4905" s="1">
        <v>50.0</v>
      </c>
      <c r="N4905" s="5">
        <v>43990.0</v>
      </c>
      <c r="Q4905" s="1" t="s">
        <v>2395</v>
      </c>
    </row>
    <row r="4906">
      <c r="A4906" s="1">
        <v>4905.0</v>
      </c>
      <c r="B4906" s="1" t="s">
        <v>7970</v>
      </c>
      <c r="C4906" s="1" t="s">
        <v>25</v>
      </c>
      <c r="N4906" s="5">
        <v>45661.0</v>
      </c>
      <c r="Q4906" s="1" t="s">
        <v>3119</v>
      </c>
    </row>
    <row r="4907">
      <c r="A4907" s="1">
        <v>4906.0</v>
      </c>
      <c r="B4907" s="1" t="s">
        <v>7971</v>
      </c>
      <c r="C4907" s="1" t="s">
        <v>25</v>
      </c>
      <c r="K4907" s="1">
        <v>300.0</v>
      </c>
      <c r="N4907" s="5">
        <v>44009.0</v>
      </c>
      <c r="Q4907" s="1" t="s">
        <v>2223</v>
      </c>
    </row>
    <row r="4908">
      <c r="A4908" s="1">
        <v>4907.0</v>
      </c>
      <c r="B4908" s="1" t="s">
        <v>7972</v>
      </c>
      <c r="C4908" s="1" t="s">
        <v>25</v>
      </c>
      <c r="K4908" s="1">
        <v>80.0</v>
      </c>
      <c r="N4908" s="5">
        <v>44361.0</v>
      </c>
      <c r="Q4908" s="1" t="s">
        <v>4106</v>
      </c>
    </row>
    <row r="4909">
      <c r="A4909" s="1">
        <v>4908.0</v>
      </c>
      <c r="B4909" s="1" t="s">
        <v>7973</v>
      </c>
      <c r="C4909" s="1" t="s">
        <v>25</v>
      </c>
      <c r="K4909" s="1">
        <v>80.0</v>
      </c>
      <c r="N4909" s="5">
        <v>43962.0</v>
      </c>
      <c r="Q4909" s="1" t="s">
        <v>55</v>
      </c>
    </row>
    <row r="4910">
      <c r="A4910" s="1">
        <v>4909.0</v>
      </c>
      <c r="B4910" s="1" t="s">
        <v>7974</v>
      </c>
      <c r="C4910" s="1" t="s">
        <v>25</v>
      </c>
      <c r="K4910" s="1">
        <v>40.0</v>
      </c>
      <c r="N4910" s="5">
        <v>44594.0</v>
      </c>
      <c r="Q4910" s="1" t="s">
        <v>1829</v>
      </c>
    </row>
    <row r="4911">
      <c r="A4911" s="1">
        <v>4910.0</v>
      </c>
      <c r="B4911" s="1" t="s">
        <v>7975</v>
      </c>
      <c r="C4911" s="1" t="s">
        <v>25</v>
      </c>
      <c r="K4911" s="1">
        <v>100.0</v>
      </c>
      <c r="N4911" s="5">
        <v>44323.0</v>
      </c>
      <c r="Q4911" s="1" t="s">
        <v>7976</v>
      </c>
    </row>
    <row r="4912">
      <c r="A4912" s="1">
        <v>4911.0</v>
      </c>
      <c r="B4912" s="1" t="s">
        <v>7977</v>
      </c>
      <c r="C4912" s="1" t="s">
        <v>25</v>
      </c>
      <c r="K4912" s="1">
        <v>30.0</v>
      </c>
      <c r="N4912" s="5">
        <v>44516.0</v>
      </c>
      <c r="Q4912" s="1" t="s">
        <v>1218</v>
      </c>
    </row>
    <row r="4913">
      <c r="A4913" s="1">
        <v>4912.0</v>
      </c>
      <c r="B4913" s="1" t="s">
        <v>7978</v>
      </c>
      <c r="C4913" s="1" t="s">
        <v>25</v>
      </c>
      <c r="K4913" s="1">
        <v>50.0</v>
      </c>
      <c r="N4913" s="5">
        <v>44359.0</v>
      </c>
      <c r="Q4913" s="1" t="s">
        <v>93</v>
      </c>
    </row>
    <row r="4914">
      <c r="A4914" s="1">
        <v>4913.0</v>
      </c>
      <c r="B4914" s="1" t="s">
        <v>7979</v>
      </c>
      <c r="C4914" s="1" t="s">
        <v>25</v>
      </c>
      <c r="K4914" s="1">
        <v>150.0</v>
      </c>
      <c r="N4914" s="5">
        <v>43484.0</v>
      </c>
      <c r="Q4914" s="1" t="s">
        <v>7980</v>
      </c>
    </row>
    <row r="4915">
      <c r="A4915" s="1">
        <v>4914.0</v>
      </c>
      <c r="B4915" s="1" t="s">
        <v>7981</v>
      </c>
      <c r="C4915" s="1" t="s">
        <v>25</v>
      </c>
      <c r="K4915" s="1">
        <v>10.0</v>
      </c>
      <c r="N4915" s="5">
        <v>45099.0</v>
      </c>
      <c r="Q4915" s="1" t="s">
        <v>55</v>
      </c>
    </row>
    <row r="4916">
      <c r="A4916" s="1">
        <v>4915.0</v>
      </c>
      <c r="B4916" s="1" t="s">
        <v>7982</v>
      </c>
      <c r="C4916" s="1" t="s">
        <v>25</v>
      </c>
      <c r="K4916" s="1">
        <v>50.0</v>
      </c>
      <c r="N4916" s="5">
        <v>44471.0</v>
      </c>
      <c r="Q4916" s="1" t="s">
        <v>2649</v>
      </c>
    </row>
    <row r="4917">
      <c r="A4917" s="1">
        <v>4916.0</v>
      </c>
      <c r="B4917" s="1" t="s">
        <v>7983</v>
      </c>
      <c r="C4917" s="1" t="s">
        <v>25</v>
      </c>
      <c r="N4917" s="5">
        <v>44288.0</v>
      </c>
      <c r="Q4917" s="1" t="s">
        <v>55</v>
      </c>
    </row>
    <row r="4918">
      <c r="A4918" s="1">
        <v>4917.0</v>
      </c>
      <c r="B4918" s="1" t="s">
        <v>7984</v>
      </c>
      <c r="C4918" s="1" t="s">
        <v>25</v>
      </c>
      <c r="K4918" s="1">
        <v>200.0</v>
      </c>
      <c r="N4918" s="5">
        <v>44205.0</v>
      </c>
      <c r="Q4918" s="1" t="s">
        <v>7985</v>
      </c>
    </row>
    <row r="4919">
      <c r="A4919" s="1">
        <v>4918.0</v>
      </c>
      <c r="B4919" s="1" t="s">
        <v>7986</v>
      </c>
      <c r="C4919" s="1" t="s">
        <v>25</v>
      </c>
      <c r="K4919" s="1">
        <v>80.0</v>
      </c>
      <c r="N4919" s="5">
        <v>44114.0</v>
      </c>
      <c r="Q4919" s="1" t="s">
        <v>7987</v>
      </c>
    </row>
    <row r="4920">
      <c r="A4920" s="1">
        <v>4919.0</v>
      </c>
      <c r="B4920" s="1" t="s">
        <v>7988</v>
      </c>
      <c r="C4920" s="1" t="s">
        <v>25</v>
      </c>
      <c r="F4920" s="1">
        <v>1.7</v>
      </c>
      <c r="K4920" s="1">
        <v>600.0</v>
      </c>
      <c r="N4920" s="5">
        <v>43877.0</v>
      </c>
      <c r="Q4920" s="1" t="s">
        <v>7989</v>
      </c>
    </row>
    <row r="4921">
      <c r="A4921" s="1">
        <v>4920.0</v>
      </c>
      <c r="B4921" s="1" t="s">
        <v>7990</v>
      </c>
      <c r="C4921" s="1" t="s">
        <v>25</v>
      </c>
      <c r="K4921" s="1">
        <v>10.0</v>
      </c>
      <c r="N4921" s="5">
        <v>45025.0</v>
      </c>
      <c r="Q4921" s="1" t="s">
        <v>606</v>
      </c>
    </row>
    <row r="4922">
      <c r="A4922" s="1">
        <v>4921.0</v>
      </c>
      <c r="B4922" s="1" t="s">
        <v>7991</v>
      </c>
      <c r="C4922" s="1" t="s">
        <v>25</v>
      </c>
      <c r="K4922" s="1">
        <v>90.0</v>
      </c>
      <c r="N4922" s="5">
        <v>43858.0</v>
      </c>
      <c r="Q4922" s="1" t="s">
        <v>7992</v>
      </c>
    </row>
    <row r="4923">
      <c r="A4923" s="1">
        <v>4922.0</v>
      </c>
      <c r="B4923" s="1" t="s">
        <v>7993</v>
      </c>
      <c r="C4923" s="1" t="s">
        <v>25</v>
      </c>
      <c r="N4923" s="5">
        <v>44263.0</v>
      </c>
      <c r="Q4923" s="1" t="s">
        <v>1668</v>
      </c>
    </row>
    <row r="4924">
      <c r="A4924" s="1">
        <v>4923.0</v>
      </c>
      <c r="B4924" s="1" t="s">
        <v>7994</v>
      </c>
      <c r="C4924" s="1" t="s">
        <v>25</v>
      </c>
      <c r="K4924" s="1">
        <v>60.0</v>
      </c>
      <c r="N4924" s="5">
        <v>45720.0</v>
      </c>
      <c r="Q4924" s="1" t="s">
        <v>7995</v>
      </c>
    </row>
    <row r="4925">
      <c r="A4925" s="1">
        <v>4924.0</v>
      </c>
      <c r="B4925" s="1" t="s">
        <v>7996</v>
      </c>
      <c r="C4925" s="1" t="s">
        <v>25</v>
      </c>
      <c r="K4925" s="1">
        <v>60.0</v>
      </c>
      <c r="N4925" s="5">
        <v>42276.0</v>
      </c>
      <c r="Q4925" s="1" t="s">
        <v>7997</v>
      </c>
    </row>
    <row r="4926">
      <c r="A4926" s="1">
        <v>4925.0</v>
      </c>
      <c r="B4926" s="1" t="s">
        <v>7998</v>
      </c>
      <c r="C4926" s="1" t="s">
        <v>25</v>
      </c>
      <c r="N4926" s="5">
        <v>44298.0</v>
      </c>
      <c r="Q4926" s="1" t="s">
        <v>55</v>
      </c>
    </row>
    <row r="4927">
      <c r="A4927" s="1">
        <v>4926.0</v>
      </c>
      <c r="B4927" s="1" t="s">
        <v>7999</v>
      </c>
      <c r="C4927" s="1" t="s">
        <v>25</v>
      </c>
      <c r="K4927" s="1">
        <v>70.0</v>
      </c>
      <c r="N4927" s="5">
        <v>45726.0</v>
      </c>
      <c r="Q4927" s="1" t="s">
        <v>8000</v>
      </c>
    </row>
    <row r="4928">
      <c r="A4928" s="1">
        <v>4927.0</v>
      </c>
      <c r="B4928" s="1" t="s">
        <v>8001</v>
      </c>
      <c r="C4928" s="1" t="s">
        <v>25</v>
      </c>
      <c r="K4928" s="1">
        <v>100.0</v>
      </c>
      <c r="N4928" s="5">
        <v>44487.0</v>
      </c>
      <c r="Q4928" s="1" t="s">
        <v>1678</v>
      </c>
    </row>
    <row r="4929">
      <c r="A4929" s="1">
        <v>4928.0</v>
      </c>
      <c r="B4929" s="1" t="s">
        <v>8002</v>
      </c>
      <c r="C4929" s="1" t="s">
        <v>25</v>
      </c>
      <c r="K4929" s="1">
        <v>10.0</v>
      </c>
      <c r="N4929" s="5">
        <v>44618.0</v>
      </c>
      <c r="Q4929" s="1" t="s">
        <v>2845</v>
      </c>
    </row>
    <row r="4930">
      <c r="A4930" s="1">
        <v>4929.0</v>
      </c>
      <c r="B4930" s="1" t="s">
        <v>8003</v>
      </c>
      <c r="C4930" s="1" t="s">
        <v>25</v>
      </c>
      <c r="K4930" s="1">
        <v>10.0</v>
      </c>
      <c r="N4930" s="5">
        <v>44396.0</v>
      </c>
      <c r="Q4930" s="1" t="s">
        <v>55</v>
      </c>
    </row>
    <row r="4931">
      <c r="A4931" s="1">
        <v>4930.0</v>
      </c>
      <c r="B4931" s="1" t="s">
        <v>8004</v>
      </c>
      <c r="C4931" s="1" t="s">
        <v>25</v>
      </c>
      <c r="K4931" s="1">
        <v>10.0</v>
      </c>
      <c r="N4931" s="5">
        <v>45214.0</v>
      </c>
      <c r="Q4931" s="1" t="s">
        <v>55</v>
      </c>
    </row>
    <row r="4932">
      <c r="A4932" s="1">
        <v>4931.0</v>
      </c>
      <c r="B4932" s="1" t="s">
        <v>8005</v>
      </c>
      <c r="C4932" s="1" t="s">
        <v>25</v>
      </c>
      <c r="K4932" s="1">
        <v>40.0</v>
      </c>
      <c r="N4932" s="5">
        <v>44946.0</v>
      </c>
      <c r="Q4932" s="1" t="s">
        <v>93</v>
      </c>
    </row>
    <row r="4933">
      <c r="A4933" s="1">
        <v>4932.0</v>
      </c>
      <c r="B4933" s="1" t="s">
        <v>8006</v>
      </c>
      <c r="C4933" s="1" t="s">
        <v>25</v>
      </c>
      <c r="N4933" s="5">
        <v>44154.0</v>
      </c>
      <c r="Q4933" s="1" t="s">
        <v>55</v>
      </c>
    </row>
    <row r="4934">
      <c r="A4934" s="1">
        <v>4933.0</v>
      </c>
      <c r="B4934" s="1" t="s">
        <v>8007</v>
      </c>
      <c r="C4934" s="1" t="s">
        <v>25</v>
      </c>
      <c r="K4934" s="1">
        <v>20.0</v>
      </c>
      <c r="N4934" s="5">
        <v>45078.0</v>
      </c>
      <c r="Q4934" s="1" t="s">
        <v>2022</v>
      </c>
    </row>
    <row r="4935">
      <c r="A4935" s="1">
        <v>4934.0</v>
      </c>
      <c r="B4935" s="1" t="s">
        <v>371</v>
      </c>
      <c r="C4935" s="1" t="s">
        <v>25</v>
      </c>
      <c r="K4935" s="1">
        <v>10.0</v>
      </c>
      <c r="N4935" s="5">
        <v>43949.0</v>
      </c>
      <c r="Q4935" s="1" t="s">
        <v>375</v>
      </c>
    </row>
    <row r="4936">
      <c r="A4936" s="1">
        <v>4935.0</v>
      </c>
      <c r="B4936" s="1" t="s">
        <v>8008</v>
      </c>
      <c r="C4936" s="1" t="s">
        <v>25</v>
      </c>
      <c r="N4936" s="5">
        <v>44644.0</v>
      </c>
      <c r="Q4936" s="1" t="s">
        <v>55</v>
      </c>
    </row>
    <row r="4937">
      <c r="A4937" s="1">
        <v>4936.0</v>
      </c>
      <c r="B4937" s="1" t="s">
        <v>8009</v>
      </c>
      <c r="C4937" s="1" t="s">
        <v>25</v>
      </c>
      <c r="K4937" s="1">
        <v>10.0</v>
      </c>
      <c r="N4937" s="5">
        <v>44028.0</v>
      </c>
      <c r="Q4937" s="1" t="s">
        <v>93</v>
      </c>
    </row>
    <row r="4938">
      <c r="A4938" s="1">
        <v>4937.0</v>
      </c>
      <c r="B4938" s="1" t="s">
        <v>8010</v>
      </c>
      <c r="C4938" s="1" t="s">
        <v>25</v>
      </c>
      <c r="K4938" s="1">
        <v>150.0</v>
      </c>
      <c r="N4938" s="5">
        <v>43912.0</v>
      </c>
      <c r="Q4938" s="1" t="s">
        <v>8011</v>
      </c>
    </row>
    <row r="4939">
      <c r="A4939" s="1">
        <v>4938.0</v>
      </c>
      <c r="B4939" s="1" t="s">
        <v>8012</v>
      </c>
      <c r="C4939" s="1" t="s">
        <v>25</v>
      </c>
      <c r="K4939" s="1">
        <v>100.0</v>
      </c>
      <c r="N4939" s="5">
        <v>45595.0</v>
      </c>
      <c r="Q4939" s="1" t="s">
        <v>8013</v>
      </c>
    </row>
    <row r="4940">
      <c r="A4940" s="1">
        <v>4939.0</v>
      </c>
      <c r="B4940" s="1" t="s">
        <v>8014</v>
      </c>
      <c r="C4940" s="1" t="s">
        <v>25</v>
      </c>
      <c r="K4940" s="1">
        <v>90.0</v>
      </c>
      <c r="N4940" s="5">
        <v>44462.0</v>
      </c>
      <c r="Q4940" s="1" t="s">
        <v>8015</v>
      </c>
    </row>
    <row r="4941">
      <c r="A4941" s="1">
        <v>4940.0</v>
      </c>
      <c r="B4941" s="1" t="s">
        <v>8016</v>
      </c>
      <c r="C4941" s="1" t="s">
        <v>25</v>
      </c>
      <c r="N4941" s="5">
        <v>44689.0</v>
      </c>
      <c r="Q4941" s="1" t="s">
        <v>55</v>
      </c>
    </row>
    <row r="4942">
      <c r="A4942" s="1">
        <v>4941.0</v>
      </c>
      <c r="B4942" s="1" t="s">
        <v>8017</v>
      </c>
      <c r="C4942" s="1" t="s">
        <v>25</v>
      </c>
      <c r="K4942" s="1">
        <v>150.0</v>
      </c>
      <c r="N4942" s="5">
        <v>45404.0</v>
      </c>
      <c r="Q4942" s="1" t="s">
        <v>8018</v>
      </c>
    </row>
    <row r="4943">
      <c r="A4943" s="1">
        <v>4942.0</v>
      </c>
      <c r="B4943" s="1" t="s">
        <v>8019</v>
      </c>
      <c r="C4943" s="1" t="s">
        <v>25</v>
      </c>
      <c r="N4943" s="5">
        <v>44072.0</v>
      </c>
      <c r="Q4943" s="1" t="s">
        <v>55</v>
      </c>
    </row>
    <row r="4944">
      <c r="A4944" s="1">
        <v>4943.0</v>
      </c>
      <c r="B4944" s="1" t="s">
        <v>8020</v>
      </c>
      <c r="C4944" s="1" t="s">
        <v>25</v>
      </c>
      <c r="K4944" s="1">
        <v>10.0</v>
      </c>
      <c r="N4944" s="5">
        <v>45279.0</v>
      </c>
      <c r="Q4944" s="1" t="s">
        <v>1387</v>
      </c>
    </row>
    <row r="4945">
      <c r="A4945" s="1">
        <v>4944.0</v>
      </c>
      <c r="B4945" s="1" t="s">
        <v>376</v>
      </c>
      <c r="C4945" s="1" t="s">
        <v>25</v>
      </c>
      <c r="N4945" s="5">
        <v>44884.0</v>
      </c>
      <c r="Q4945" s="1" t="s">
        <v>379</v>
      </c>
    </row>
    <row r="4946">
      <c r="A4946" s="1">
        <v>4945.0</v>
      </c>
      <c r="B4946" s="1" t="s">
        <v>8021</v>
      </c>
      <c r="C4946" s="1" t="s">
        <v>25</v>
      </c>
      <c r="K4946" s="1">
        <v>300.0</v>
      </c>
      <c r="N4946" s="5">
        <v>44179.0</v>
      </c>
      <c r="Q4946" s="1" t="s">
        <v>8022</v>
      </c>
    </row>
    <row r="4947">
      <c r="A4947" s="1">
        <v>4946.0</v>
      </c>
      <c r="B4947" s="1" t="s">
        <v>8023</v>
      </c>
      <c r="C4947" s="1" t="s">
        <v>25</v>
      </c>
      <c r="K4947" s="1">
        <v>70.0</v>
      </c>
      <c r="N4947" s="5">
        <v>45411.0</v>
      </c>
      <c r="Q4947" s="1" t="s">
        <v>8024</v>
      </c>
    </row>
    <row r="4948">
      <c r="A4948" s="1">
        <v>4947.0</v>
      </c>
      <c r="B4948" s="1" t="s">
        <v>8025</v>
      </c>
      <c r="C4948" s="1" t="s">
        <v>25</v>
      </c>
      <c r="N4948" s="5">
        <v>44247.0</v>
      </c>
      <c r="Q4948" s="1" t="s">
        <v>55</v>
      </c>
    </row>
    <row r="4949">
      <c r="A4949" s="1">
        <v>4948.0</v>
      </c>
      <c r="B4949" s="1" t="s">
        <v>8026</v>
      </c>
      <c r="C4949" s="1" t="s">
        <v>25</v>
      </c>
      <c r="N4949" s="5">
        <v>43844.0</v>
      </c>
      <c r="Q4949" s="1" t="s">
        <v>55</v>
      </c>
    </row>
    <row r="4950">
      <c r="A4950" s="1">
        <v>4949.0</v>
      </c>
      <c r="B4950" s="1" t="s">
        <v>8027</v>
      </c>
      <c r="C4950" s="1" t="s">
        <v>25</v>
      </c>
      <c r="N4950" s="5">
        <v>44699.0</v>
      </c>
      <c r="Q4950" s="1" t="s">
        <v>55</v>
      </c>
    </row>
    <row r="4951">
      <c r="A4951" s="1">
        <v>4950.0</v>
      </c>
      <c r="B4951" s="1" t="s">
        <v>8028</v>
      </c>
      <c r="C4951" s="1" t="s">
        <v>25</v>
      </c>
      <c r="K4951" s="1">
        <v>100.0</v>
      </c>
      <c r="N4951" s="5">
        <v>44016.0</v>
      </c>
      <c r="Q4951" s="1" t="s">
        <v>4906</v>
      </c>
    </row>
    <row r="4952">
      <c r="A4952" s="1">
        <v>4951.0</v>
      </c>
      <c r="B4952" s="1" t="s">
        <v>380</v>
      </c>
      <c r="C4952" s="1" t="s">
        <v>25</v>
      </c>
      <c r="K4952" s="1">
        <v>60.0</v>
      </c>
      <c r="N4952" s="5">
        <v>45196.0</v>
      </c>
      <c r="Q4952" s="1" t="s">
        <v>382</v>
      </c>
    </row>
    <row r="4953">
      <c r="A4953" s="1">
        <v>4952.0</v>
      </c>
      <c r="B4953" s="1" t="s">
        <v>8029</v>
      </c>
      <c r="C4953" s="1" t="s">
        <v>25</v>
      </c>
      <c r="K4953" s="1">
        <v>40.0</v>
      </c>
      <c r="N4953" s="5">
        <v>45660.0</v>
      </c>
      <c r="Q4953" s="1" t="s">
        <v>8030</v>
      </c>
    </row>
    <row r="4954">
      <c r="A4954" s="1">
        <v>4953.0</v>
      </c>
      <c r="B4954" s="1" t="s">
        <v>8031</v>
      </c>
      <c r="C4954" s="1" t="s">
        <v>25</v>
      </c>
      <c r="N4954" s="5">
        <v>44646.0</v>
      </c>
      <c r="Q4954" s="1" t="s">
        <v>55</v>
      </c>
    </row>
    <row r="4955">
      <c r="A4955" s="1">
        <v>4954.0</v>
      </c>
      <c r="B4955" s="1" t="s">
        <v>8032</v>
      </c>
      <c r="C4955" s="1" t="s">
        <v>25</v>
      </c>
      <c r="N4955" s="5">
        <v>44299.0</v>
      </c>
      <c r="Q4955" s="1" t="s">
        <v>55</v>
      </c>
    </row>
    <row r="4956">
      <c r="A4956" s="1">
        <v>4955.0</v>
      </c>
      <c r="B4956" s="1" t="s">
        <v>8033</v>
      </c>
      <c r="C4956" s="1" t="s">
        <v>25</v>
      </c>
      <c r="N4956" s="5">
        <v>44633.0</v>
      </c>
      <c r="Q4956" s="1" t="s">
        <v>55</v>
      </c>
    </row>
    <row r="4957">
      <c r="A4957" s="1">
        <v>4956.0</v>
      </c>
      <c r="B4957" s="1" t="s">
        <v>8034</v>
      </c>
      <c r="C4957" s="1" t="s">
        <v>25</v>
      </c>
      <c r="K4957" s="1">
        <v>150.0</v>
      </c>
      <c r="N4957" s="5">
        <v>45434.0</v>
      </c>
      <c r="Q4957" s="1" t="s">
        <v>8035</v>
      </c>
    </row>
    <row r="4958">
      <c r="A4958" s="1">
        <v>4957.0</v>
      </c>
      <c r="B4958" s="1" t="s">
        <v>8036</v>
      </c>
      <c r="C4958" s="1" t="s">
        <v>25</v>
      </c>
      <c r="N4958" s="5">
        <v>43918.0</v>
      </c>
      <c r="Q4958" s="1" t="s">
        <v>55</v>
      </c>
    </row>
    <row r="4959">
      <c r="A4959" s="1">
        <v>4958.0</v>
      </c>
      <c r="B4959" s="1" t="s">
        <v>8037</v>
      </c>
      <c r="C4959" s="1" t="s">
        <v>25</v>
      </c>
      <c r="K4959" s="1">
        <v>30.0</v>
      </c>
      <c r="N4959" s="5">
        <v>45506.0</v>
      </c>
      <c r="Q4959" s="1" t="s">
        <v>8038</v>
      </c>
    </row>
    <row r="4960">
      <c r="A4960" s="1">
        <v>4959.0</v>
      </c>
      <c r="B4960" s="1" t="s">
        <v>8039</v>
      </c>
      <c r="C4960" s="1" t="s">
        <v>25</v>
      </c>
      <c r="K4960" s="1">
        <v>150.0</v>
      </c>
      <c r="N4960" s="5">
        <v>43948.0</v>
      </c>
      <c r="Q4960" s="1" t="s">
        <v>2893</v>
      </c>
    </row>
    <row r="4961">
      <c r="A4961" s="1">
        <v>4960.0</v>
      </c>
      <c r="B4961" s="1" t="s">
        <v>8040</v>
      </c>
      <c r="C4961" s="1" t="s">
        <v>25</v>
      </c>
      <c r="K4961" s="1">
        <v>100.0</v>
      </c>
      <c r="N4961" s="5">
        <v>44278.0</v>
      </c>
      <c r="Q4961" s="1" t="s">
        <v>1791</v>
      </c>
    </row>
    <row r="4962">
      <c r="A4962" s="1">
        <v>4961.0</v>
      </c>
      <c r="B4962" s="1" t="s">
        <v>8041</v>
      </c>
      <c r="C4962" s="1" t="s">
        <v>25</v>
      </c>
      <c r="K4962" s="1">
        <v>150.0</v>
      </c>
      <c r="N4962" s="5">
        <v>43867.0</v>
      </c>
      <c r="Q4962" s="1" t="s">
        <v>4813</v>
      </c>
    </row>
    <row r="4963">
      <c r="A4963" s="1">
        <v>4962.0</v>
      </c>
      <c r="B4963" s="1" t="s">
        <v>8042</v>
      </c>
      <c r="C4963" s="1" t="s">
        <v>25</v>
      </c>
      <c r="K4963" s="1">
        <v>60.0</v>
      </c>
      <c r="N4963" s="5">
        <v>45730.0</v>
      </c>
      <c r="Q4963" s="1" t="s">
        <v>701</v>
      </c>
    </row>
    <row r="4964">
      <c r="A4964" s="1">
        <v>4963.0</v>
      </c>
      <c r="B4964" s="1" t="s">
        <v>8043</v>
      </c>
      <c r="C4964" s="1" t="s">
        <v>25</v>
      </c>
      <c r="K4964" s="1">
        <v>150.0</v>
      </c>
      <c r="N4964" s="5">
        <v>43913.0</v>
      </c>
      <c r="Q4964" s="1" t="s">
        <v>8044</v>
      </c>
    </row>
    <row r="4965">
      <c r="A4965" s="1">
        <v>4964.0</v>
      </c>
      <c r="B4965" s="1" t="s">
        <v>8045</v>
      </c>
      <c r="C4965" s="1" t="s">
        <v>25</v>
      </c>
      <c r="K4965" s="1">
        <v>20.0</v>
      </c>
      <c r="N4965" s="5">
        <v>44541.0</v>
      </c>
      <c r="Q4965" s="1" t="s">
        <v>8046</v>
      </c>
    </row>
    <row r="4966">
      <c r="A4966" s="1">
        <v>4965.0</v>
      </c>
      <c r="B4966" s="1" t="s">
        <v>8047</v>
      </c>
      <c r="C4966" s="1" t="s">
        <v>25</v>
      </c>
      <c r="K4966" s="1">
        <v>50.0</v>
      </c>
      <c r="N4966" s="5">
        <v>44225.0</v>
      </c>
      <c r="Q4966" s="1" t="s">
        <v>316</v>
      </c>
    </row>
    <row r="4967">
      <c r="A4967" s="1">
        <v>4966.0</v>
      </c>
      <c r="B4967" s="1" t="s">
        <v>385</v>
      </c>
      <c r="C4967" s="1" t="s">
        <v>25</v>
      </c>
      <c r="N4967" s="5">
        <v>45146.0</v>
      </c>
      <c r="Q4967" s="1" t="s">
        <v>386</v>
      </c>
    </row>
    <row r="4968">
      <c r="A4968" s="1">
        <v>4967.0</v>
      </c>
      <c r="B4968" s="1" t="s">
        <v>8048</v>
      </c>
      <c r="C4968" s="1" t="s">
        <v>25</v>
      </c>
      <c r="N4968" s="5">
        <v>44536.0</v>
      </c>
      <c r="Q4968" s="1" t="s">
        <v>55</v>
      </c>
    </row>
    <row r="4969">
      <c r="A4969" s="1">
        <v>4968.0</v>
      </c>
      <c r="B4969" s="1" t="s">
        <v>8049</v>
      </c>
      <c r="C4969" s="1" t="s">
        <v>25</v>
      </c>
      <c r="K4969" s="1">
        <v>60.0</v>
      </c>
      <c r="N4969" s="5">
        <v>43973.0</v>
      </c>
      <c r="Q4969" s="1" t="s">
        <v>55</v>
      </c>
    </row>
    <row r="4970">
      <c r="A4970" s="1">
        <v>4969.0</v>
      </c>
      <c r="B4970" s="1" t="s">
        <v>8050</v>
      </c>
      <c r="C4970" s="1" t="s">
        <v>25</v>
      </c>
      <c r="K4970" s="1">
        <v>150.0</v>
      </c>
      <c r="N4970" s="5">
        <v>44672.0</v>
      </c>
      <c r="Q4970" s="1" t="s">
        <v>8051</v>
      </c>
    </row>
    <row r="4971">
      <c r="A4971" s="1">
        <v>4970.0</v>
      </c>
      <c r="B4971" s="1" t="s">
        <v>2226</v>
      </c>
      <c r="C4971" s="1" t="s">
        <v>25</v>
      </c>
      <c r="N4971" s="5">
        <v>43845.0</v>
      </c>
      <c r="Q4971" s="1" t="s">
        <v>55</v>
      </c>
    </row>
    <row r="4972">
      <c r="A4972" s="1">
        <v>4971.0</v>
      </c>
      <c r="B4972" s="1" t="s">
        <v>8052</v>
      </c>
      <c r="C4972" s="1" t="s">
        <v>25</v>
      </c>
      <c r="K4972" s="1">
        <v>40.0</v>
      </c>
      <c r="N4972" s="5">
        <v>45630.0</v>
      </c>
      <c r="Q4972" s="1" t="s">
        <v>8053</v>
      </c>
    </row>
    <row r="4973">
      <c r="A4973" s="1">
        <v>4972.0</v>
      </c>
      <c r="B4973" s="1" t="s">
        <v>8054</v>
      </c>
      <c r="C4973" s="1" t="s">
        <v>25</v>
      </c>
      <c r="K4973" s="1">
        <v>350.0</v>
      </c>
      <c r="N4973" s="5">
        <v>44114.0</v>
      </c>
      <c r="Q4973" s="1" t="s">
        <v>8055</v>
      </c>
    </row>
    <row r="4974">
      <c r="A4974" s="1">
        <v>4973.0</v>
      </c>
      <c r="B4974" s="1" t="s">
        <v>8056</v>
      </c>
      <c r="C4974" s="1" t="s">
        <v>25</v>
      </c>
      <c r="K4974" s="1">
        <v>20.0</v>
      </c>
      <c r="N4974" s="5">
        <v>43968.0</v>
      </c>
      <c r="Q4974" s="1" t="s">
        <v>55</v>
      </c>
    </row>
    <row r="4975">
      <c r="A4975" s="1">
        <v>4974.0</v>
      </c>
      <c r="B4975" s="1" t="s">
        <v>8057</v>
      </c>
      <c r="C4975" s="1" t="s">
        <v>25</v>
      </c>
      <c r="K4975" s="1">
        <v>70.0</v>
      </c>
      <c r="N4975" s="5">
        <v>45259.0</v>
      </c>
      <c r="Q4975" s="1" t="s">
        <v>1948</v>
      </c>
    </row>
    <row r="4976">
      <c r="A4976" s="1">
        <v>4975.0</v>
      </c>
      <c r="B4976" s="1" t="s">
        <v>8058</v>
      </c>
      <c r="C4976" s="1" t="s">
        <v>25</v>
      </c>
      <c r="K4976" s="1">
        <v>30.0</v>
      </c>
      <c r="N4976" s="5">
        <v>45370.0</v>
      </c>
      <c r="Q4976" s="1" t="s">
        <v>2913</v>
      </c>
    </row>
    <row r="4977">
      <c r="A4977" s="1">
        <v>4976.0</v>
      </c>
      <c r="B4977" s="1" t="s">
        <v>8059</v>
      </c>
      <c r="C4977" s="1" t="s">
        <v>25</v>
      </c>
      <c r="K4977" s="1">
        <v>80.0</v>
      </c>
      <c r="N4977" s="5">
        <v>44625.0</v>
      </c>
      <c r="Q4977" s="1" t="s">
        <v>606</v>
      </c>
    </row>
    <row r="4978">
      <c r="A4978" s="1">
        <v>4977.0</v>
      </c>
      <c r="B4978" s="1" t="s">
        <v>8060</v>
      </c>
      <c r="C4978" s="1" t="s">
        <v>25</v>
      </c>
      <c r="K4978" s="1">
        <v>100.0</v>
      </c>
      <c r="N4978" s="5">
        <v>43852.0</v>
      </c>
      <c r="Q4978" s="1" t="s">
        <v>8061</v>
      </c>
    </row>
    <row r="4979">
      <c r="A4979" s="1">
        <v>4978.0</v>
      </c>
      <c r="B4979" s="1" t="s">
        <v>8062</v>
      </c>
      <c r="C4979" s="1" t="s">
        <v>25</v>
      </c>
      <c r="K4979" s="1">
        <v>30.0</v>
      </c>
      <c r="N4979" s="5">
        <v>45892.0</v>
      </c>
      <c r="Q4979" s="1" t="s">
        <v>8063</v>
      </c>
    </row>
    <row r="4980">
      <c r="A4980" s="1">
        <v>4979.0</v>
      </c>
      <c r="B4980" s="1" t="s">
        <v>8064</v>
      </c>
      <c r="C4980" s="1" t="s">
        <v>25</v>
      </c>
      <c r="K4980" s="1">
        <v>20.0</v>
      </c>
      <c r="N4980" s="5">
        <v>44882.0</v>
      </c>
      <c r="Q4980" s="1" t="s">
        <v>3820</v>
      </c>
    </row>
    <row r="4981">
      <c r="A4981" s="1">
        <v>4980.0</v>
      </c>
      <c r="B4981" s="1" t="s">
        <v>8065</v>
      </c>
      <c r="C4981" s="1" t="s">
        <v>25</v>
      </c>
      <c r="K4981" s="1">
        <v>150.0</v>
      </c>
      <c r="N4981" s="5">
        <v>45076.0</v>
      </c>
      <c r="Q4981" s="1" t="s">
        <v>8066</v>
      </c>
    </row>
    <row r="4982">
      <c r="A4982" s="1">
        <v>4981.0</v>
      </c>
      <c r="B4982" s="1" t="s">
        <v>8067</v>
      </c>
      <c r="C4982" s="1" t="s">
        <v>25</v>
      </c>
      <c r="K4982" s="1">
        <v>100.0</v>
      </c>
      <c r="N4982" s="5">
        <v>44824.0</v>
      </c>
      <c r="Q4982" s="1" t="s">
        <v>8068</v>
      </c>
    </row>
    <row r="4983">
      <c r="A4983" s="1">
        <v>4982.0</v>
      </c>
      <c r="B4983" s="1" t="s">
        <v>8069</v>
      </c>
      <c r="C4983" s="1" t="s">
        <v>25</v>
      </c>
      <c r="K4983" s="1">
        <v>250.0</v>
      </c>
      <c r="N4983" s="5">
        <v>44452.0</v>
      </c>
      <c r="Q4983" s="1" t="s">
        <v>8070</v>
      </c>
    </row>
    <row r="4984">
      <c r="A4984" s="1">
        <v>4983.0</v>
      </c>
      <c r="B4984" s="1" t="s">
        <v>8071</v>
      </c>
      <c r="C4984" s="1" t="s">
        <v>25</v>
      </c>
      <c r="K4984" s="1">
        <v>1600.0</v>
      </c>
      <c r="N4984" s="5">
        <v>43840.0</v>
      </c>
      <c r="Q4984" s="1" t="s">
        <v>8072</v>
      </c>
    </row>
    <row r="4985">
      <c r="A4985" s="1">
        <v>4984.0</v>
      </c>
      <c r="B4985" s="1" t="s">
        <v>8073</v>
      </c>
      <c r="C4985" s="1" t="s">
        <v>25</v>
      </c>
      <c r="K4985" s="1">
        <v>150.0</v>
      </c>
      <c r="N4985" s="5">
        <v>43853.0</v>
      </c>
      <c r="Q4985" s="1" t="s">
        <v>569</v>
      </c>
    </row>
    <row r="4986">
      <c r="A4986" s="1">
        <v>4985.0</v>
      </c>
      <c r="B4986" s="1" t="s">
        <v>8074</v>
      </c>
      <c r="C4986" s="1" t="s">
        <v>25</v>
      </c>
      <c r="K4986" s="1">
        <v>300.0</v>
      </c>
      <c r="N4986" s="5">
        <v>43888.0</v>
      </c>
      <c r="Q4986" s="1" t="s">
        <v>8075</v>
      </c>
    </row>
    <row r="4987">
      <c r="A4987" s="1">
        <v>4986.0</v>
      </c>
      <c r="B4987" s="1" t="s">
        <v>8076</v>
      </c>
      <c r="C4987" s="1" t="s">
        <v>25</v>
      </c>
      <c r="K4987" s="1">
        <v>80.0</v>
      </c>
      <c r="N4987" s="5">
        <v>45756.0</v>
      </c>
      <c r="Q4987" s="1" t="s">
        <v>2845</v>
      </c>
    </row>
    <row r="4988">
      <c r="A4988" s="1">
        <v>4987.0</v>
      </c>
      <c r="B4988" s="1" t="s">
        <v>8077</v>
      </c>
      <c r="C4988" s="1" t="s">
        <v>25</v>
      </c>
      <c r="N4988" s="5">
        <v>44012.0</v>
      </c>
      <c r="Q4988" s="1" t="s">
        <v>55</v>
      </c>
    </row>
    <row r="4989">
      <c r="A4989" s="1">
        <v>4988.0</v>
      </c>
      <c r="B4989" s="1" t="s">
        <v>8078</v>
      </c>
      <c r="C4989" s="1" t="s">
        <v>25</v>
      </c>
      <c r="K4989" s="1">
        <v>10.0</v>
      </c>
      <c r="N4989" s="5">
        <v>44307.0</v>
      </c>
      <c r="Q4989" s="1" t="s">
        <v>55</v>
      </c>
    </row>
    <row r="4990">
      <c r="A4990" s="1">
        <v>4989.0</v>
      </c>
      <c r="B4990" s="1" t="s">
        <v>8079</v>
      </c>
      <c r="C4990" s="1" t="s">
        <v>25</v>
      </c>
      <c r="K4990" s="1">
        <v>50.0</v>
      </c>
      <c r="N4990" s="5">
        <v>44308.0</v>
      </c>
      <c r="Q4990" s="1" t="s">
        <v>2678</v>
      </c>
    </row>
    <row r="4991">
      <c r="A4991" s="1">
        <v>4990.0</v>
      </c>
      <c r="B4991" s="1" t="s">
        <v>8080</v>
      </c>
      <c r="C4991" s="1" t="s">
        <v>25</v>
      </c>
      <c r="K4991" s="1">
        <v>10.0</v>
      </c>
      <c r="N4991" s="5">
        <v>44860.0</v>
      </c>
      <c r="Q4991" s="1" t="s">
        <v>55</v>
      </c>
    </row>
    <row r="4992">
      <c r="A4992" s="1">
        <v>4991.0</v>
      </c>
      <c r="B4992" s="1" t="s">
        <v>8081</v>
      </c>
      <c r="C4992" s="1" t="s">
        <v>25</v>
      </c>
      <c r="K4992" s="1">
        <v>150.0</v>
      </c>
      <c r="N4992" s="5">
        <v>43911.0</v>
      </c>
      <c r="Q4992" s="1" t="s">
        <v>8082</v>
      </c>
    </row>
    <row r="4993">
      <c r="A4993" s="1">
        <v>4992.0</v>
      </c>
      <c r="B4993" s="1" t="s">
        <v>8083</v>
      </c>
      <c r="C4993" s="1" t="s">
        <v>25</v>
      </c>
      <c r="K4993" s="1">
        <v>100.0</v>
      </c>
      <c r="N4993" s="5">
        <v>44203.0</v>
      </c>
      <c r="Q4993" s="1" t="s">
        <v>8084</v>
      </c>
    </row>
    <row r="4994">
      <c r="A4994" s="1">
        <v>4993.0</v>
      </c>
      <c r="B4994" s="1" t="s">
        <v>8085</v>
      </c>
      <c r="C4994" s="1" t="s">
        <v>25</v>
      </c>
      <c r="N4994" s="5">
        <v>44810.0</v>
      </c>
      <c r="Q4994" s="1" t="s">
        <v>93</v>
      </c>
    </row>
    <row r="4995">
      <c r="A4995" s="1">
        <v>4994.0</v>
      </c>
      <c r="B4995" s="1" t="s">
        <v>8086</v>
      </c>
      <c r="C4995" s="1" t="s">
        <v>25</v>
      </c>
      <c r="N4995" s="5">
        <v>45381.0</v>
      </c>
      <c r="Q4995" s="1" t="s">
        <v>548</v>
      </c>
    </row>
    <row r="4996">
      <c r="A4996" s="1">
        <v>4995.0</v>
      </c>
      <c r="B4996" s="1" t="s">
        <v>8087</v>
      </c>
      <c r="C4996" s="1" t="s">
        <v>25</v>
      </c>
      <c r="N4996" s="5">
        <v>44645.0</v>
      </c>
      <c r="Q4996" s="1" t="s">
        <v>55</v>
      </c>
    </row>
    <row r="4997">
      <c r="A4997" s="1">
        <v>4996.0</v>
      </c>
      <c r="B4997" s="1" t="s">
        <v>8088</v>
      </c>
      <c r="C4997" s="1" t="s">
        <v>25</v>
      </c>
      <c r="K4997" s="1">
        <v>150.0</v>
      </c>
      <c r="N4997" s="5">
        <v>43934.0</v>
      </c>
      <c r="Q4997" s="1" t="s">
        <v>8089</v>
      </c>
    </row>
    <row r="4998">
      <c r="A4998" s="1">
        <v>4997.0</v>
      </c>
      <c r="B4998" s="1" t="s">
        <v>8090</v>
      </c>
      <c r="C4998" s="1" t="s">
        <v>25</v>
      </c>
      <c r="K4998" s="1">
        <v>100.0</v>
      </c>
      <c r="N4998" s="5">
        <v>44198.0</v>
      </c>
      <c r="Q4998" s="1" t="s">
        <v>8091</v>
      </c>
    </row>
    <row r="4999">
      <c r="A4999" s="1">
        <v>4998.0</v>
      </c>
      <c r="B4999" s="1" t="s">
        <v>8092</v>
      </c>
      <c r="C4999" s="1" t="s">
        <v>25</v>
      </c>
      <c r="K4999" s="1">
        <v>150.0</v>
      </c>
      <c r="N4999" s="5">
        <v>45173.0</v>
      </c>
      <c r="Q4999" s="1" t="s">
        <v>1226</v>
      </c>
    </row>
    <row r="5000">
      <c r="A5000" s="1">
        <v>4999.0</v>
      </c>
      <c r="B5000" s="1" t="s">
        <v>8093</v>
      </c>
      <c r="C5000" s="1" t="s">
        <v>25</v>
      </c>
      <c r="K5000" s="1">
        <v>150.0</v>
      </c>
      <c r="N5000" s="5">
        <v>44141.0</v>
      </c>
      <c r="Q5000" s="1" t="s">
        <v>8094</v>
      </c>
    </row>
    <row r="5001">
      <c r="A5001" s="1">
        <v>5000.0</v>
      </c>
      <c r="B5001" s="1" t="s">
        <v>8095</v>
      </c>
      <c r="C5001" s="1" t="s">
        <v>25</v>
      </c>
      <c r="N5001" s="5">
        <v>44397.0</v>
      </c>
      <c r="Q5001" s="1" t="s">
        <v>55</v>
      </c>
    </row>
    <row r="5002">
      <c r="A5002" s="1">
        <v>5001.0</v>
      </c>
      <c r="B5002" s="1" t="s">
        <v>8096</v>
      </c>
      <c r="C5002" s="1" t="s">
        <v>25</v>
      </c>
      <c r="K5002" s="1">
        <v>200.0</v>
      </c>
      <c r="N5002" s="5">
        <v>44272.0</v>
      </c>
      <c r="Q5002" s="1" t="s">
        <v>4501</v>
      </c>
    </row>
    <row r="5003">
      <c r="A5003" s="1">
        <v>5002.0</v>
      </c>
      <c r="B5003" s="1" t="s">
        <v>8097</v>
      </c>
      <c r="C5003" s="1" t="s">
        <v>25</v>
      </c>
      <c r="K5003" s="1">
        <v>30.0</v>
      </c>
      <c r="N5003" s="5">
        <v>43961.0</v>
      </c>
      <c r="Q5003" s="1" t="s">
        <v>2144</v>
      </c>
    </row>
    <row r="5004">
      <c r="A5004" s="1">
        <v>5003.0</v>
      </c>
      <c r="B5004" s="1" t="s">
        <v>8098</v>
      </c>
      <c r="C5004" s="1" t="s">
        <v>25</v>
      </c>
      <c r="K5004" s="1">
        <v>20.0</v>
      </c>
      <c r="N5004" s="5">
        <v>44660.0</v>
      </c>
      <c r="Q5004" s="1" t="s">
        <v>1246</v>
      </c>
    </row>
    <row r="5005">
      <c r="A5005" s="1">
        <v>5004.0</v>
      </c>
      <c r="B5005" s="1" t="s">
        <v>8099</v>
      </c>
      <c r="C5005" s="1" t="s">
        <v>25</v>
      </c>
      <c r="K5005" s="1">
        <v>200.0</v>
      </c>
      <c r="N5005" s="5">
        <v>45000.0</v>
      </c>
      <c r="Q5005" s="1" t="s">
        <v>1125</v>
      </c>
    </row>
    <row r="5006">
      <c r="A5006" s="1">
        <v>5005.0</v>
      </c>
      <c r="B5006" s="1" t="s">
        <v>388</v>
      </c>
      <c r="C5006" s="1" t="s">
        <v>25</v>
      </c>
      <c r="K5006" s="1">
        <v>60.0</v>
      </c>
      <c r="N5006" s="5">
        <v>43845.0</v>
      </c>
      <c r="Q5006" s="1" t="s">
        <v>390</v>
      </c>
    </row>
    <row r="5007">
      <c r="A5007" s="1">
        <v>5006.0</v>
      </c>
      <c r="B5007" s="1" t="s">
        <v>8100</v>
      </c>
      <c r="C5007" s="1" t="s">
        <v>25</v>
      </c>
      <c r="K5007" s="1">
        <v>40.0</v>
      </c>
      <c r="N5007" s="5">
        <v>44107.0</v>
      </c>
      <c r="Q5007" s="1" t="s">
        <v>8101</v>
      </c>
    </row>
    <row r="5008">
      <c r="A5008" s="1">
        <v>5007.0</v>
      </c>
      <c r="B5008" s="1" t="s">
        <v>8102</v>
      </c>
      <c r="C5008" s="1" t="s">
        <v>25</v>
      </c>
      <c r="K5008" s="1">
        <v>10.0</v>
      </c>
      <c r="N5008" s="5">
        <v>45149.0</v>
      </c>
      <c r="Q5008" s="1" t="s">
        <v>8103</v>
      </c>
    </row>
    <row r="5009">
      <c r="A5009" s="1">
        <v>5008.0</v>
      </c>
      <c r="B5009" s="1" t="s">
        <v>8104</v>
      </c>
      <c r="C5009" s="1" t="s">
        <v>25</v>
      </c>
      <c r="K5009" s="1">
        <v>20.0</v>
      </c>
      <c r="N5009" s="5">
        <v>44599.0</v>
      </c>
      <c r="Q5009" s="1" t="s">
        <v>851</v>
      </c>
    </row>
    <row r="5010">
      <c r="A5010" s="1">
        <v>5009.0</v>
      </c>
      <c r="B5010" s="1" t="s">
        <v>8105</v>
      </c>
      <c r="C5010" s="1" t="s">
        <v>25</v>
      </c>
      <c r="K5010" s="1">
        <v>50.0</v>
      </c>
      <c r="N5010" s="5">
        <v>43843.0</v>
      </c>
      <c r="Q5010" s="1" t="s">
        <v>8106</v>
      </c>
    </row>
    <row r="5011">
      <c r="A5011" s="1">
        <v>5010.0</v>
      </c>
      <c r="B5011" s="1" t="s">
        <v>8107</v>
      </c>
      <c r="C5011" s="1" t="s">
        <v>25</v>
      </c>
      <c r="K5011" s="1">
        <v>100.0</v>
      </c>
      <c r="N5011" s="5">
        <v>43843.0</v>
      </c>
      <c r="Q5011" s="1" t="s">
        <v>8108</v>
      </c>
    </row>
    <row r="5012">
      <c r="A5012" s="1">
        <v>5011.0</v>
      </c>
      <c r="B5012" s="1" t="s">
        <v>8109</v>
      </c>
      <c r="C5012" s="1" t="s">
        <v>25</v>
      </c>
      <c r="K5012" s="1">
        <v>150.0</v>
      </c>
      <c r="N5012" s="5">
        <v>43964.0</v>
      </c>
      <c r="Q5012" s="1" t="s">
        <v>8110</v>
      </c>
    </row>
    <row r="5013">
      <c r="A5013" s="1">
        <v>5012.0</v>
      </c>
      <c r="B5013" s="1" t="s">
        <v>8111</v>
      </c>
      <c r="C5013" s="1" t="s">
        <v>25</v>
      </c>
      <c r="K5013" s="1">
        <v>100.0</v>
      </c>
      <c r="N5013" s="5">
        <v>44455.0</v>
      </c>
      <c r="Q5013" s="1" t="s">
        <v>8112</v>
      </c>
    </row>
    <row r="5014">
      <c r="A5014" s="1">
        <v>5013.0</v>
      </c>
      <c r="B5014" s="1" t="s">
        <v>8113</v>
      </c>
      <c r="C5014" s="1" t="s">
        <v>25</v>
      </c>
      <c r="K5014" s="1">
        <v>60.0</v>
      </c>
      <c r="N5014" s="5">
        <v>45649.0</v>
      </c>
      <c r="Q5014" s="1" t="s">
        <v>8114</v>
      </c>
    </row>
    <row r="5015">
      <c r="A5015" s="1">
        <v>5014.0</v>
      </c>
      <c r="B5015" s="1" t="s">
        <v>8115</v>
      </c>
      <c r="C5015" s="1" t="s">
        <v>25</v>
      </c>
      <c r="K5015" s="1">
        <v>250.0</v>
      </c>
      <c r="N5015" s="5">
        <v>44235.0</v>
      </c>
      <c r="Q5015" s="1" t="s">
        <v>8116</v>
      </c>
    </row>
    <row r="5016">
      <c r="A5016" s="1">
        <v>5015.0</v>
      </c>
      <c r="B5016" s="1" t="s">
        <v>8117</v>
      </c>
      <c r="C5016" s="1" t="s">
        <v>25</v>
      </c>
      <c r="K5016" s="1">
        <v>10.0</v>
      </c>
      <c r="N5016" s="5">
        <v>45624.0</v>
      </c>
      <c r="Q5016" s="1" t="s">
        <v>8118</v>
      </c>
    </row>
    <row r="5017">
      <c r="A5017" s="1">
        <v>5016.0</v>
      </c>
      <c r="B5017" s="1" t="s">
        <v>8119</v>
      </c>
      <c r="C5017" s="1" t="s">
        <v>25</v>
      </c>
      <c r="K5017" s="1">
        <v>100.0</v>
      </c>
      <c r="N5017" s="5">
        <v>44241.0</v>
      </c>
      <c r="Q5017" s="1" t="s">
        <v>8120</v>
      </c>
    </row>
    <row r="5018">
      <c r="A5018" s="1">
        <v>5017.0</v>
      </c>
      <c r="B5018" s="1" t="s">
        <v>8121</v>
      </c>
      <c r="C5018" s="1" t="s">
        <v>25</v>
      </c>
      <c r="K5018" s="1">
        <v>150.0</v>
      </c>
      <c r="N5018" s="5">
        <v>45507.0</v>
      </c>
      <c r="Q5018" s="1" t="s">
        <v>8122</v>
      </c>
    </row>
    <row r="5019">
      <c r="A5019" s="1">
        <v>5018.0</v>
      </c>
      <c r="B5019" s="1" t="s">
        <v>8123</v>
      </c>
      <c r="C5019" s="1" t="s">
        <v>25</v>
      </c>
      <c r="K5019" s="1">
        <v>150.0</v>
      </c>
      <c r="N5019" s="5">
        <v>43886.0</v>
      </c>
      <c r="Q5019" s="1" t="s">
        <v>8124</v>
      </c>
    </row>
    <row r="5020">
      <c r="A5020" s="1">
        <v>5019.0</v>
      </c>
      <c r="B5020" s="1" t="s">
        <v>8125</v>
      </c>
      <c r="C5020" s="1" t="s">
        <v>25</v>
      </c>
      <c r="N5020" s="5">
        <v>45235.0</v>
      </c>
      <c r="Q5020" s="1" t="s">
        <v>58</v>
      </c>
    </row>
    <row r="5021">
      <c r="A5021" s="1">
        <v>5020.0</v>
      </c>
      <c r="B5021" s="1" t="s">
        <v>8126</v>
      </c>
      <c r="C5021" s="1" t="s">
        <v>25</v>
      </c>
      <c r="K5021" s="1">
        <v>20.0</v>
      </c>
      <c r="N5021" s="5">
        <v>44674.0</v>
      </c>
      <c r="Q5021" s="1" t="s">
        <v>1167</v>
      </c>
    </row>
    <row r="5022">
      <c r="A5022" s="1">
        <v>5021.0</v>
      </c>
      <c r="B5022" s="1" t="s">
        <v>8127</v>
      </c>
      <c r="C5022" s="1" t="s">
        <v>25</v>
      </c>
      <c r="N5022" s="5">
        <v>44216.0</v>
      </c>
      <c r="Q5022" s="1" t="s">
        <v>55</v>
      </c>
    </row>
    <row r="5023">
      <c r="A5023" s="1">
        <v>5022.0</v>
      </c>
      <c r="B5023" s="1" t="s">
        <v>8128</v>
      </c>
      <c r="C5023" s="1" t="s">
        <v>25</v>
      </c>
      <c r="K5023" s="1">
        <v>250.0</v>
      </c>
      <c r="N5023" s="5">
        <v>44249.0</v>
      </c>
      <c r="Q5023" s="1" t="s">
        <v>2548</v>
      </c>
    </row>
    <row r="5024">
      <c r="A5024" s="1">
        <v>5023.0</v>
      </c>
      <c r="B5024" s="1" t="s">
        <v>8129</v>
      </c>
      <c r="C5024" s="1" t="s">
        <v>25</v>
      </c>
      <c r="K5024" s="1">
        <v>80.0</v>
      </c>
      <c r="N5024" s="5">
        <v>45755.0</v>
      </c>
      <c r="Q5024" s="1" t="s">
        <v>8130</v>
      </c>
    </row>
    <row r="5025">
      <c r="A5025" s="1">
        <v>5024.0</v>
      </c>
      <c r="B5025" s="1" t="s">
        <v>8131</v>
      </c>
      <c r="C5025" s="1" t="s">
        <v>25</v>
      </c>
      <c r="K5025" s="1">
        <v>400.0</v>
      </c>
      <c r="N5025" s="5">
        <v>44321.0</v>
      </c>
      <c r="Q5025" s="1" t="s">
        <v>8132</v>
      </c>
    </row>
    <row r="5026">
      <c r="A5026" s="1">
        <v>5025.0</v>
      </c>
      <c r="B5026" s="1" t="s">
        <v>8133</v>
      </c>
      <c r="C5026" s="1" t="s">
        <v>25</v>
      </c>
      <c r="K5026" s="1">
        <v>20.0</v>
      </c>
      <c r="N5026" s="5">
        <v>44931.0</v>
      </c>
      <c r="Q5026" s="1" t="s">
        <v>203</v>
      </c>
    </row>
    <row r="5027">
      <c r="A5027" s="1">
        <v>5026.0</v>
      </c>
      <c r="B5027" s="1" t="s">
        <v>8134</v>
      </c>
      <c r="C5027" s="1" t="s">
        <v>25</v>
      </c>
      <c r="K5027" s="1">
        <v>40.0</v>
      </c>
      <c r="N5027" s="5">
        <v>44238.0</v>
      </c>
      <c r="Q5027" s="1" t="s">
        <v>55</v>
      </c>
    </row>
    <row r="5028">
      <c r="A5028" s="1">
        <v>5027.0</v>
      </c>
      <c r="B5028" s="1" t="s">
        <v>8135</v>
      </c>
      <c r="C5028" s="1" t="s">
        <v>25</v>
      </c>
      <c r="K5028" s="1">
        <v>40.0</v>
      </c>
      <c r="N5028" s="5">
        <v>44798.0</v>
      </c>
      <c r="Q5028" s="1" t="s">
        <v>1326</v>
      </c>
    </row>
    <row r="5029">
      <c r="A5029" s="1">
        <v>5028.0</v>
      </c>
      <c r="B5029" s="1" t="s">
        <v>8136</v>
      </c>
      <c r="C5029" s="1" t="s">
        <v>25</v>
      </c>
      <c r="K5029" s="1">
        <v>350.0</v>
      </c>
      <c r="N5029" s="5">
        <v>44016.0</v>
      </c>
      <c r="Q5029" s="1" t="s">
        <v>8137</v>
      </c>
    </row>
    <row r="5030">
      <c r="A5030" s="1">
        <v>5029.0</v>
      </c>
      <c r="B5030" s="1" t="s">
        <v>8138</v>
      </c>
      <c r="C5030" s="1" t="s">
        <v>25</v>
      </c>
      <c r="K5030" s="1">
        <v>20.0</v>
      </c>
      <c r="N5030" s="5">
        <v>45422.0</v>
      </c>
      <c r="Q5030" s="1" t="s">
        <v>4143</v>
      </c>
    </row>
    <row r="5031">
      <c r="A5031" s="1">
        <v>5030.0</v>
      </c>
      <c r="B5031" s="1" t="s">
        <v>8139</v>
      </c>
      <c r="C5031" s="1" t="s">
        <v>25</v>
      </c>
      <c r="N5031" s="5">
        <v>44551.0</v>
      </c>
      <c r="Q5031" s="1" t="s">
        <v>55</v>
      </c>
    </row>
    <row r="5032">
      <c r="A5032" s="1">
        <v>5031.0</v>
      </c>
      <c r="B5032" s="1" t="s">
        <v>8140</v>
      </c>
      <c r="C5032" s="1" t="s">
        <v>25</v>
      </c>
      <c r="K5032" s="1">
        <v>10.0</v>
      </c>
      <c r="N5032" s="5">
        <v>44492.0</v>
      </c>
      <c r="Q5032" s="1" t="s">
        <v>55</v>
      </c>
    </row>
    <row r="5033">
      <c r="A5033" s="1">
        <v>5032.0</v>
      </c>
      <c r="B5033" s="1" t="s">
        <v>8141</v>
      </c>
      <c r="C5033" s="1" t="s">
        <v>25</v>
      </c>
      <c r="K5033" s="1">
        <v>100.0</v>
      </c>
      <c r="N5033" s="5">
        <v>45029.0</v>
      </c>
      <c r="Q5033" s="1" t="s">
        <v>4002</v>
      </c>
    </row>
    <row r="5034">
      <c r="A5034" s="1">
        <v>5033.0</v>
      </c>
      <c r="B5034" s="1" t="s">
        <v>8142</v>
      </c>
      <c r="C5034" s="1" t="s">
        <v>25</v>
      </c>
      <c r="K5034" s="1">
        <v>200.0</v>
      </c>
      <c r="N5034" s="5">
        <v>43874.0</v>
      </c>
      <c r="Q5034" s="1" t="s">
        <v>1396</v>
      </c>
    </row>
    <row r="5035">
      <c r="A5035" s="1">
        <v>5034.0</v>
      </c>
      <c r="B5035" s="1" t="s">
        <v>8143</v>
      </c>
      <c r="C5035" s="1" t="s">
        <v>25</v>
      </c>
      <c r="K5035" s="1">
        <v>50.0</v>
      </c>
      <c r="N5035" s="5">
        <v>43952.0</v>
      </c>
      <c r="Q5035" s="1" t="s">
        <v>93</v>
      </c>
    </row>
    <row r="5036">
      <c r="A5036" s="1">
        <v>5035.0</v>
      </c>
      <c r="B5036" s="1" t="s">
        <v>8144</v>
      </c>
      <c r="C5036" s="1" t="s">
        <v>25</v>
      </c>
      <c r="K5036" s="1">
        <v>70.0</v>
      </c>
      <c r="N5036" s="5">
        <v>44795.0</v>
      </c>
      <c r="Q5036" s="1" t="s">
        <v>1729</v>
      </c>
    </row>
    <row r="5037">
      <c r="A5037" s="1">
        <v>5036.0</v>
      </c>
      <c r="B5037" s="1" t="s">
        <v>8145</v>
      </c>
      <c r="C5037" s="1" t="s">
        <v>25</v>
      </c>
      <c r="K5037" s="1">
        <v>200.0</v>
      </c>
      <c r="N5037" s="5">
        <v>44004.0</v>
      </c>
      <c r="Q5037" s="1" t="s">
        <v>8146</v>
      </c>
    </row>
    <row r="5038">
      <c r="A5038" s="1">
        <v>5037.0</v>
      </c>
      <c r="B5038" s="1" t="s">
        <v>8147</v>
      </c>
      <c r="C5038" s="1" t="s">
        <v>25</v>
      </c>
      <c r="N5038" s="5">
        <v>45171.0</v>
      </c>
      <c r="Q5038" s="1" t="s">
        <v>55</v>
      </c>
    </row>
    <row r="5039">
      <c r="A5039" s="1">
        <v>5038.0</v>
      </c>
      <c r="B5039" s="1" t="s">
        <v>8148</v>
      </c>
      <c r="C5039" s="1" t="s">
        <v>25</v>
      </c>
      <c r="K5039" s="1">
        <v>30.0</v>
      </c>
      <c r="N5039" s="5">
        <v>44454.0</v>
      </c>
      <c r="Q5039" s="1" t="s">
        <v>569</v>
      </c>
    </row>
    <row r="5040">
      <c r="A5040" s="1">
        <v>5039.0</v>
      </c>
      <c r="B5040" s="1" t="s">
        <v>8149</v>
      </c>
      <c r="C5040" s="1" t="s">
        <v>25</v>
      </c>
      <c r="K5040" s="1">
        <v>60.0</v>
      </c>
      <c r="N5040" s="5">
        <v>43916.0</v>
      </c>
      <c r="Q5040" s="1" t="s">
        <v>8150</v>
      </c>
    </row>
    <row r="5041">
      <c r="A5041" s="1">
        <v>5040.0</v>
      </c>
      <c r="B5041" s="1" t="s">
        <v>8151</v>
      </c>
      <c r="C5041" s="1" t="s">
        <v>25</v>
      </c>
      <c r="K5041" s="1">
        <v>700.0</v>
      </c>
      <c r="N5041" s="5">
        <v>43774.0</v>
      </c>
      <c r="Q5041" s="1" t="s">
        <v>8152</v>
      </c>
    </row>
    <row r="5042">
      <c r="A5042" s="1">
        <v>5041.0</v>
      </c>
      <c r="B5042" s="1" t="s">
        <v>8153</v>
      </c>
      <c r="C5042" s="1" t="s">
        <v>25</v>
      </c>
      <c r="K5042" s="1">
        <v>20.0</v>
      </c>
      <c r="N5042" s="5">
        <v>45678.0</v>
      </c>
      <c r="Q5042" s="1" t="s">
        <v>8154</v>
      </c>
    </row>
    <row r="5043">
      <c r="A5043" s="1">
        <v>5042.0</v>
      </c>
      <c r="B5043" s="1" t="s">
        <v>8155</v>
      </c>
      <c r="C5043" s="1" t="s">
        <v>25</v>
      </c>
      <c r="K5043" s="1">
        <v>40.0</v>
      </c>
      <c r="N5043" s="5">
        <v>44299.0</v>
      </c>
      <c r="Q5043" s="1" t="s">
        <v>1387</v>
      </c>
    </row>
    <row r="5044">
      <c r="A5044" s="1">
        <v>5043.0</v>
      </c>
      <c r="B5044" s="1" t="s">
        <v>8156</v>
      </c>
      <c r="C5044" s="1" t="s">
        <v>25</v>
      </c>
      <c r="K5044" s="1">
        <v>20.0</v>
      </c>
      <c r="N5044" s="5">
        <v>43853.0</v>
      </c>
      <c r="Q5044" s="1" t="s">
        <v>80</v>
      </c>
    </row>
    <row r="5045">
      <c r="A5045" s="1">
        <v>5044.0</v>
      </c>
      <c r="B5045" s="1" t="s">
        <v>8157</v>
      </c>
      <c r="C5045" s="1" t="s">
        <v>25</v>
      </c>
      <c r="K5045" s="1">
        <v>150.0</v>
      </c>
      <c r="N5045" s="5">
        <v>45085.0</v>
      </c>
      <c r="Q5045" s="1" t="s">
        <v>8158</v>
      </c>
    </row>
    <row r="5046">
      <c r="A5046" s="1">
        <v>5045.0</v>
      </c>
      <c r="B5046" s="1" t="s">
        <v>8159</v>
      </c>
      <c r="C5046" s="1" t="s">
        <v>25</v>
      </c>
      <c r="N5046" s="5">
        <v>45583.0</v>
      </c>
      <c r="Q5046" s="1" t="s">
        <v>8160</v>
      </c>
    </row>
    <row r="5047">
      <c r="A5047" s="1">
        <v>5046.0</v>
      </c>
      <c r="B5047" s="1" t="s">
        <v>8161</v>
      </c>
      <c r="C5047" s="1" t="s">
        <v>25</v>
      </c>
      <c r="K5047" s="1">
        <v>100.0</v>
      </c>
      <c r="N5047" s="5">
        <v>45507.0</v>
      </c>
      <c r="Q5047" s="1" t="s">
        <v>8162</v>
      </c>
    </row>
    <row r="5048">
      <c r="A5048" s="1">
        <v>5047.0</v>
      </c>
      <c r="B5048" s="1" t="s">
        <v>8163</v>
      </c>
      <c r="C5048" s="1" t="s">
        <v>25</v>
      </c>
      <c r="N5048" s="5">
        <v>45101.0</v>
      </c>
      <c r="Q5048" s="1" t="s">
        <v>55</v>
      </c>
    </row>
    <row r="5049">
      <c r="A5049" s="1">
        <v>5048.0</v>
      </c>
      <c r="B5049" s="1" t="s">
        <v>8164</v>
      </c>
      <c r="C5049" s="1" t="s">
        <v>25</v>
      </c>
      <c r="K5049" s="1">
        <v>50.0</v>
      </c>
      <c r="N5049" s="5">
        <v>44848.0</v>
      </c>
      <c r="Q5049" s="1" t="s">
        <v>8165</v>
      </c>
    </row>
    <row r="5050">
      <c r="A5050" s="1">
        <v>5049.0</v>
      </c>
      <c r="B5050" s="1" t="s">
        <v>8166</v>
      </c>
      <c r="C5050" s="1" t="s">
        <v>25</v>
      </c>
      <c r="N5050" s="5">
        <v>44610.0</v>
      </c>
      <c r="Q5050" s="1" t="s">
        <v>55</v>
      </c>
    </row>
    <row r="5051">
      <c r="A5051" s="1">
        <v>5050.0</v>
      </c>
      <c r="B5051" s="1" t="s">
        <v>8167</v>
      </c>
      <c r="C5051" s="1" t="s">
        <v>25</v>
      </c>
      <c r="K5051" s="1">
        <v>80.0</v>
      </c>
      <c r="N5051" s="5">
        <v>45728.0</v>
      </c>
      <c r="Q5051" s="1" t="s">
        <v>8168</v>
      </c>
    </row>
    <row r="5052">
      <c r="A5052" s="1">
        <v>5051.0</v>
      </c>
      <c r="B5052" s="1" t="s">
        <v>8169</v>
      </c>
      <c r="C5052" s="1" t="s">
        <v>25</v>
      </c>
      <c r="K5052" s="1">
        <v>20.0</v>
      </c>
      <c r="N5052" s="5">
        <v>45144.0</v>
      </c>
      <c r="Q5052" s="1" t="s">
        <v>172</v>
      </c>
    </row>
    <row r="5053">
      <c r="A5053" s="1">
        <v>5052.0</v>
      </c>
      <c r="B5053" s="1" t="s">
        <v>8170</v>
      </c>
      <c r="C5053" s="1" t="s">
        <v>25</v>
      </c>
      <c r="K5053" s="1">
        <v>100.0</v>
      </c>
      <c r="N5053" s="5">
        <v>43969.0</v>
      </c>
      <c r="Q5053" s="1" t="s">
        <v>1066</v>
      </c>
    </row>
    <row r="5054">
      <c r="A5054" s="1">
        <v>5053.0</v>
      </c>
      <c r="B5054" s="1" t="s">
        <v>8171</v>
      </c>
      <c r="C5054" s="1" t="s">
        <v>25</v>
      </c>
      <c r="K5054" s="1">
        <v>10.0</v>
      </c>
      <c r="N5054" s="5">
        <v>45214.0</v>
      </c>
      <c r="Q5054" s="1" t="s">
        <v>55</v>
      </c>
    </row>
    <row r="5055">
      <c r="A5055" s="1">
        <v>5054.0</v>
      </c>
      <c r="B5055" s="1" t="s">
        <v>8172</v>
      </c>
      <c r="C5055" s="1" t="s">
        <v>25</v>
      </c>
      <c r="K5055" s="1">
        <v>200.0</v>
      </c>
      <c r="N5055" s="5">
        <v>45307.0</v>
      </c>
      <c r="Q5055" s="1" t="s">
        <v>8173</v>
      </c>
    </row>
    <row r="5056">
      <c r="A5056" s="1">
        <v>5055.0</v>
      </c>
      <c r="B5056" s="1" t="s">
        <v>8174</v>
      </c>
      <c r="C5056" s="1" t="s">
        <v>25</v>
      </c>
      <c r="N5056" s="5">
        <v>45493.0</v>
      </c>
      <c r="Q5056" s="1" t="s">
        <v>8175</v>
      </c>
    </row>
    <row r="5057">
      <c r="A5057" s="1">
        <v>5056.0</v>
      </c>
      <c r="B5057" s="1" t="s">
        <v>8176</v>
      </c>
      <c r="C5057" s="1" t="s">
        <v>25</v>
      </c>
      <c r="K5057" s="1">
        <v>40.0</v>
      </c>
      <c r="N5057" s="5">
        <v>43867.0</v>
      </c>
      <c r="Q5057" s="1" t="s">
        <v>8177</v>
      </c>
    </row>
    <row r="5058">
      <c r="A5058" s="1">
        <v>5057.0</v>
      </c>
      <c r="B5058" s="1" t="s">
        <v>564</v>
      </c>
      <c r="C5058" s="1" t="s">
        <v>25</v>
      </c>
      <c r="K5058" s="1">
        <v>150.0</v>
      </c>
      <c r="N5058" s="5">
        <v>44339.0</v>
      </c>
      <c r="Q5058" s="1" t="s">
        <v>1187</v>
      </c>
    </row>
    <row r="5059">
      <c r="A5059" s="1">
        <v>5058.0</v>
      </c>
      <c r="B5059" s="1" t="s">
        <v>24</v>
      </c>
      <c r="C5059" s="1" t="s">
        <v>25</v>
      </c>
      <c r="D5059" s="1">
        <v>1.0</v>
      </c>
      <c r="E5059" s="1">
        <v>50.0</v>
      </c>
      <c r="H5059" s="1" t="s">
        <v>115</v>
      </c>
      <c r="I5059" s="4">
        <v>46237.50163194445</v>
      </c>
      <c r="K5059" s="1">
        <v>1300.0</v>
      </c>
      <c r="N5059" s="5">
        <v>42603.0</v>
      </c>
      <c r="Q5059" s="1" t="s">
        <v>103</v>
      </c>
    </row>
    <row r="5060">
      <c r="A5060" s="1">
        <v>5059.0</v>
      </c>
      <c r="B5060" s="1" t="s">
        <v>8178</v>
      </c>
      <c r="C5060" s="1" t="s">
        <v>25</v>
      </c>
      <c r="K5060" s="1">
        <v>450.0</v>
      </c>
      <c r="N5060" s="5">
        <v>44001.0</v>
      </c>
      <c r="Q5060" s="1" t="s">
        <v>8179</v>
      </c>
    </row>
    <row r="5061">
      <c r="A5061" s="1">
        <v>5060.0</v>
      </c>
      <c r="B5061" s="1" t="s">
        <v>8180</v>
      </c>
      <c r="C5061" s="1" t="s">
        <v>25</v>
      </c>
      <c r="K5061" s="1">
        <v>10.0</v>
      </c>
      <c r="N5061" s="5">
        <v>45479.0</v>
      </c>
      <c r="Q5061" s="1" t="s">
        <v>3434</v>
      </c>
    </row>
    <row r="5062">
      <c r="A5062" s="1">
        <v>5061.0</v>
      </c>
      <c r="B5062" s="1" t="s">
        <v>8181</v>
      </c>
      <c r="C5062" s="1" t="s">
        <v>25</v>
      </c>
      <c r="N5062" s="5">
        <v>44306.0</v>
      </c>
      <c r="Q5062" s="1" t="s">
        <v>55</v>
      </c>
    </row>
    <row r="5063">
      <c r="A5063" s="1">
        <v>5062.0</v>
      </c>
      <c r="B5063" s="1" t="s">
        <v>8182</v>
      </c>
      <c r="C5063" s="1" t="s">
        <v>25</v>
      </c>
      <c r="N5063" s="5">
        <v>44568.0</v>
      </c>
      <c r="Q5063" s="1" t="s">
        <v>55</v>
      </c>
    </row>
    <row r="5064">
      <c r="A5064" s="1">
        <v>5063.0</v>
      </c>
      <c r="B5064" s="1" t="s">
        <v>8183</v>
      </c>
      <c r="C5064" s="1" t="s">
        <v>25</v>
      </c>
      <c r="K5064" s="1">
        <v>30.0</v>
      </c>
      <c r="N5064" s="5">
        <v>44980.0</v>
      </c>
      <c r="Q5064" s="1" t="s">
        <v>93</v>
      </c>
    </row>
    <row r="5065">
      <c r="A5065" s="1">
        <v>5064.0</v>
      </c>
      <c r="B5065" s="1" t="s">
        <v>8184</v>
      </c>
      <c r="C5065" s="1" t="s">
        <v>25</v>
      </c>
      <c r="K5065" s="1">
        <v>20.0</v>
      </c>
      <c r="N5065" s="5">
        <v>45093.0</v>
      </c>
      <c r="Q5065" s="1" t="s">
        <v>55</v>
      </c>
    </row>
    <row r="5066">
      <c r="A5066" s="1">
        <v>5065.0</v>
      </c>
      <c r="B5066" s="1" t="s">
        <v>8185</v>
      </c>
      <c r="C5066" s="1" t="s">
        <v>25</v>
      </c>
      <c r="K5066" s="1">
        <v>60.0</v>
      </c>
      <c r="N5066" s="5">
        <v>45661.0</v>
      </c>
      <c r="Q5066" s="1" t="s">
        <v>8186</v>
      </c>
    </row>
    <row r="5067">
      <c r="A5067" s="1">
        <v>5066.0</v>
      </c>
      <c r="B5067" s="1" t="s">
        <v>8187</v>
      </c>
      <c r="C5067" s="1" t="s">
        <v>25</v>
      </c>
      <c r="N5067" s="5">
        <v>44047.0</v>
      </c>
      <c r="Q5067" s="1" t="s">
        <v>55</v>
      </c>
    </row>
    <row r="5068">
      <c r="A5068" s="1">
        <v>5067.0</v>
      </c>
      <c r="B5068" s="1" t="s">
        <v>8188</v>
      </c>
      <c r="C5068" s="1" t="s">
        <v>25</v>
      </c>
      <c r="N5068" s="5">
        <v>43939.0</v>
      </c>
      <c r="Q5068" s="1" t="s">
        <v>55</v>
      </c>
    </row>
    <row r="5069">
      <c r="A5069" s="1">
        <v>5068.0</v>
      </c>
      <c r="B5069" s="1" t="s">
        <v>8189</v>
      </c>
      <c r="C5069" s="1" t="s">
        <v>25</v>
      </c>
      <c r="K5069" s="1">
        <v>40.0</v>
      </c>
      <c r="N5069" s="5">
        <v>44092.0</v>
      </c>
      <c r="Q5069" s="1" t="s">
        <v>1381</v>
      </c>
    </row>
    <row r="5070">
      <c r="A5070" s="1">
        <v>5069.0</v>
      </c>
      <c r="B5070" s="1" t="s">
        <v>8190</v>
      </c>
      <c r="C5070" s="1" t="s">
        <v>25</v>
      </c>
      <c r="K5070" s="1">
        <v>40.0</v>
      </c>
      <c r="N5070" s="5">
        <v>44138.0</v>
      </c>
      <c r="Q5070" s="1" t="s">
        <v>8191</v>
      </c>
    </row>
    <row r="5071">
      <c r="A5071" s="1">
        <v>5070.0</v>
      </c>
      <c r="B5071" s="1" t="s">
        <v>8192</v>
      </c>
      <c r="C5071" s="1" t="s">
        <v>25</v>
      </c>
      <c r="K5071" s="1">
        <v>300.0</v>
      </c>
      <c r="N5071" s="5">
        <v>44217.0</v>
      </c>
      <c r="Q5071" s="1" t="s">
        <v>8193</v>
      </c>
    </row>
    <row r="5072">
      <c r="A5072" s="1">
        <v>5071.0</v>
      </c>
      <c r="B5072" s="1" t="s">
        <v>8194</v>
      </c>
      <c r="C5072" s="1" t="s">
        <v>25</v>
      </c>
      <c r="K5072" s="1">
        <v>70.0</v>
      </c>
      <c r="N5072" s="5">
        <v>45732.0</v>
      </c>
      <c r="Q5072" s="1" t="s">
        <v>8195</v>
      </c>
    </row>
    <row r="5073">
      <c r="N5073" s="5"/>
    </row>
    <row r="5074">
      <c r="N5074" s="5"/>
    </row>
    <row r="5075">
      <c r="N5075" s="5"/>
    </row>
    <row r="5076">
      <c r="N5076" s="5"/>
    </row>
    <row r="5077">
      <c r="N5077" s="5"/>
    </row>
    <row r="5078">
      <c r="N5078" s="5"/>
    </row>
    <row r="5079">
      <c r="N5079" s="5"/>
    </row>
    <row r="5080">
      <c r="N5080" s="5"/>
    </row>
    <row r="5081">
      <c r="N5081" s="5"/>
    </row>
    <row r="5082">
      <c r="N5082" s="5"/>
    </row>
    <row r="5083">
      <c r="N5083" s="5"/>
    </row>
    <row r="5084">
      <c r="N5084" s="5"/>
    </row>
    <row r="5085">
      <c r="N5085" s="5"/>
    </row>
    <row r="5086">
      <c r="N5086" s="5"/>
    </row>
    <row r="5087">
      <c r="N5087" s="5"/>
    </row>
    <row r="5088">
      <c r="N5088" s="5"/>
    </row>
    <row r="5089">
      <c r="N5089" s="5"/>
    </row>
    <row r="5090">
      <c r="N5090" s="5"/>
    </row>
    <row r="5091">
      <c r="N5091" s="5"/>
    </row>
    <row r="5092">
      <c r="N5092" s="5"/>
    </row>
    <row r="5093">
      <c r="N5093" s="5"/>
    </row>
    <row r="5094">
      <c r="N5094" s="5"/>
    </row>
    <row r="5095">
      <c r="N5095" s="5"/>
    </row>
    <row r="5096">
      <c r="N5096" s="5"/>
    </row>
    <row r="5097">
      <c r="N5097" s="5"/>
    </row>
    <row r="5098">
      <c r="N5098" s="5"/>
    </row>
    <row r="5099">
      <c r="N5099" s="5"/>
    </row>
    <row r="5100">
      <c r="N5100" s="5"/>
    </row>
    <row r="5101">
      <c r="N5101" s="5"/>
    </row>
    <row r="5102">
      <c r="N5102" s="5"/>
    </row>
    <row r="5103">
      <c r="N5103" s="5"/>
    </row>
    <row r="5104">
      <c r="N5104" s="5"/>
    </row>
    <row r="5105">
      <c r="N5105" s="5"/>
    </row>
    <row r="5106">
      <c r="N5106" s="5"/>
    </row>
    <row r="5107">
      <c r="N5107" s="5"/>
    </row>
    <row r="5108">
      <c r="N5108" s="5"/>
    </row>
    <row r="5109">
      <c r="N5109" s="5"/>
    </row>
    <row r="5110">
      <c r="N5110" s="5"/>
    </row>
    <row r="5111">
      <c r="N5111" s="5"/>
    </row>
    <row r="5112">
      <c r="N5112" s="5"/>
    </row>
    <row r="5113">
      <c r="N5113" s="5"/>
    </row>
    <row r="5114">
      <c r="N5114" s="5"/>
    </row>
    <row r="5115">
      <c r="N5115" s="5"/>
    </row>
    <row r="5116">
      <c r="N5116" s="5"/>
    </row>
    <row r="5117">
      <c r="N5117" s="5"/>
    </row>
    <row r="5118">
      <c r="N5118" s="5"/>
    </row>
    <row r="5119">
      <c r="N5119" s="5"/>
    </row>
    <row r="5120">
      <c r="N5120" s="5"/>
    </row>
    <row r="5121">
      <c r="N5121" s="5"/>
    </row>
    <row r="5122">
      <c r="N5122" s="5"/>
    </row>
    <row r="5123">
      <c r="N5123" s="5"/>
    </row>
    <row r="5124">
      <c r="N5124" s="5"/>
    </row>
    <row r="5125">
      <c r="N5125" s="5"/>
    </row>
    <row r="5126">
      <c r="N5126" s="5"/>
    </row>
    <row r="5127">
      <c r="N5127" s="5"/>
    </row>
    <row r="5128">
      <c r="N5128" s="5"/>
    </row>
    <row r="5129">
      <c r="N5129" s="5"/>
    </row>
    <row r="5130">
      <c r="N5130" s="5"/>
    </row>
    <row r="5131">
      <c r="N5131" s="5"/>
    </row>
    <row r="5132">
      <c r="N5132" s="5"/>
    </row>
    <row r="5133">
      <c r="N5133" s="5"/>
    </row>
    <row r="5134">
      <c r="N5134" s="5"/>
    </row>
    <row r="5135">
      <c r="N5135" s="5"/>
    </row>
    <row r="5136">
      <c r="N5136" s="5"/>
    </row>
    <row r="5137">
      <c r="N5137" s="5"/>
    </row>
    <row r="5138">
      <c r="N5138" s="5"/>
    </row>
    <row r="5139">
      <c r="N5139" s="5"/>
    </row>
    <row r="5140">
      <c r="N5140" s="5"/>
    </row>
    <row r="5141">
      <c r="N5141" s="5"/>
    </row>
    <row r="5142">
      <c r="N5142" s="5"/>
    </row>
    <row r="5143">
      <c r="N5143" s="5"/>
    </row>
    <row r="5144">
      <c r="N5144" s="5"/>
    </row>
    <row r="5145">
      <c r="N5145" s="5"/>
    </row>
    <row r="5146">
      <c r="N5146" s="5"/>
    </row>
    <row r="5147">
      <c r="N5147" s="5"/>
    </row>
    <row r="5148">
      <c r="N5148" s="5"/>
    </row>
    <row r="5149">
      <c r="N5149" s="5"/>
    </row>
    <row r="5150">
      <c r="N5150" s="5"/>
    </row>
    <row r="5151">
      <c r="N5151" s="5"/>
    </row>
    <row r="5152">
      <c r="N5152" s="5"/>
    </row>
    <row r="5153">
      <c r="N5153" s="5"/>
    </row>
    <row r="5154">
      <c r="N5154" s="5"/>
    </row>
    <row r="5155">
      <c r="N5155" s="5"/>
    </row>
    <row r="5156">
      <c r="N5156" s="5"/>
    </row>
    <row r="5157">
      <c r="N5157" s="5"/>
    </row>
    <row r="5158">
      <c r="N5158" s="5"/>
    </row>
    <row r="5159">
      <c r="N5159" s="5"/>
    </row>
    <row r="5160">
      <c r="N5160" s="5"/>
    </row>
    <row r="5161">
      <c r="N5161" s="5"/>
    </row>
    <row r="5162">
      <c r="N5162" s="5"/>
    </row>
    <row r="5163">
      <c r="N5163" s="5"/>
    </row>
    <row r="5164">
      <c r="N5164" s="5"/>
    </row>
    <row r="5165">
      <c r="N5165" s="5"/>
    </row>
    <row r="5166">
      <c r="N5166" s="5"/>
    </row>
    <row r="5167">
      <c r="N5167" s="5"/>
    </row>
    <row r="5168">
      <c r="N5168" s="5"/>
    </row>
    <row r="5169">
      <c r="N5169" s="5"/>
    </row>
    <row r="5170">
      <c r="N5170" s="5"/>
    </row>
    <row r="5171">
      <c r="N5171" s="5"/>
    </row>
    <row r="5172">
      <c r="N5172" s="5"/>
    </row>
    <row r="5173">
      <c r="N5173" s="5"/>
    </row>
    <row r="5174">
      <c r="N5174" s="5"/>
    </row>
    <row r="5175">
      <c r="N5175" s="5"/>
    </row>
    <row r="5176">
      <c r="N5176" s="5"/>
    </row>
    <row r="5177">
      <c r="N5177" s="5"/>
    </row>
    <row r="5178">
      <c r="N5178" s="5"/>
    </row>
    <row r="5179">
      <c r="N5179" s="5"/>
    </row>
    <row r="5180">
      <c r="N5180" s="5"/>
    </row>
    <row r="5181">
      <c r="N5181" s="5"/>
    </row>
    <row r="5182">
      <c r="N5182" s="5"/>
    </row>
    <row r="5183">
      <c r="N5183" s="5"/>
    </row>
    <row r="5184">
      <c r="N5184" s="5"/>
    </row>
    <row r="5185">
      <c r="N5185" s="5"/>
    </row>
    <row r="5186">
      <c r="N5186" s="5"/>
    </row>
    <row r="5187">
      <c r="N5187" s="5"/>
    </row>
    <row r="5188">
      <c r="N5188" s="5"/>
    </row>
    <row r="5189">
      <c r="N5189" s="5"/>
    </row>
    <row r="5190">
      <c r="N5190" s="5"/>
    </row>
    <row r="5191">
      <c r="N5191" s="5"/>
    </row>
    <row r="5192">
      <c r="N5192" s="5"/>
    </row>
    <row r="5193">
      <c r="N5193" s="5"/>
    </row>
    <row r="5194">
      <c r="N5194" s="5"/>
    </row>
    <row r="5195">
      <c r="N5195" s="5"/>
    </row>
    <row r="5196">
      <c r="N5196" s="5"/>
    </row>
    <row r="5197">
      <c r="N5197" s="5"/>
    </row>
    <row r="5198">
      <c r="N5198" s="5"/>
    </row>
    <row r="5199">
      <c r="N5199" s="5"/>
    </row>
    <row r="5200">
      <c r="N5200" s="5"/>
    </row>
    <row r="5201">
      <c r="N5201" s="5"/>
    </row>
    <row r="5202">
      <c r="N5202" s="5"/>
    </row>
    <row r="5203">
      <c r="N5203" s="5"/>
    </row>
    <row r="5204">
      <c r="N5204" s="5"/>
    </row>
    <row r="5205">
      <c r="N5205" s="5"/>
    </row>
    <row r="5206">
      <c r="N5206" s="5"/>
    </row>
    <row r="5207">
      <c r="N5207" s="5"/>
    </row>
    <row r="5208">
      <c r="N5208" s="5"/>
    </row>
    <row r="5209">
      <c r="N5209" s="5"/>
    </row>
    <row r="5210">
      <c r="N5210" s="5"/>
    </row>
    <row r="5211">
      <c r="N5211" s="5"/>
    </row>
    <row r="5212">
      <c r="N5212" s="5"/>
    </row>
    <row r="5213">
      <c r="N5213" s="5"/>
    </row>
    <row r="5214">
      <c r="N5214" s="5"/>
    </row>
    <row r="5215">
      <c r="N5215" s="5"/>
    </row>
    <row r="5216">
      <c r="N5216" s="5"/>
    </row>
    <row r="5217">
      <c r="N5217" s="5"/>
    </row>
    <row r="5218">
      <c r="N5218" s="5"/>
    </row>
    <row r="5219">
      <c r="N5219" s="5"/>
    </row>
    <row r="5220">
      <c r="N5220" s="5"/>
    </row>
    <row r="5221">
      <c r="N5221" s="5"/>
    </row>
    <row r="5222">
      <c r="N5222" s="5"/>
    </row>
    <row r="5223">
      <c r="N5223" s="5"/>
    </row>
    <row r="5224">
      <c r="N5224" s="5"/>
    </row>
    <row r="5225">
      <c r="N5225" s="5"/>
    </row>
    <row r="5226">
      <c r="N5226" s="5"/>
    </row>
    <row r="5227">
      <c r="N5227" s="5"/>
    </row>
    <row r="5228">
      <c r="N5228" s="5"/>
    </row>
    <row r="5229">
      <c r="N5229" s="5"/>
    </row>
    <row r="5230">
      <c r="N5230" s="5"/>
    </row>
    <row r="5231">
      <c r="N5231" s="5"/>
    </row>
    <row r="5232">
      <c r="N5232" s="5"/>
    </row>
    <row r="5233">
      <c r="N5233" s="5"/>
    </row>
    <row r="5234">
      <c r="N5234" s="5"/>
    </row>
    <row r="5235">
      <c r="N5235" s="5"/>
    </row>
    <row r="5236">
      <c r="N5236" s="5"/>
    </row>
    <row r="5237">
      <c r="N5237" s="5"/>
    </row>
    <row r="5238">
      <c r="N5238" s="5"/>
    </row>
    <row r="5239">
      <c r="N5239" s="5"/>
    </row>
    <row r="5240">
      <c r="N5240" s="5"/>
    </row>
    <row r="5241">
      <c r="N5241" s="5"/>
    </row>
    <row r="5242">
      <c r="N5242" s="5"/>
    </row>
    <row r="5243">
      <c r="N5243" s="5"/>
    </row>
    <row r="5244">
      <c r="N5244" s="5"/>
    </row>
    <row r="5245">
      <c r="N5245" s="5"/>
    </row>
    <row r="5246">
      <c r="N5246" s="5"/>
    </row>
    <row r="5247">
      <c r="N5247" s="5"/>
    </row>
    <row r="5248">
      <c r="N5248" s="5"/>
    </row>
    <row r="5249">
      <c r="N5249" s="5"/>
    </row>
    <row r="5250">
      <c r="N5250" s="5"/>
    </row>
    <row r="5251">
      <c r="N5251" s="5"/>
    </row>
    <row r="5252">
      <c r="N5252" s="5"/>
    </row>
    <row r="5253">
      <c r="N5253" s="5"/>
    </row>
    <row r="5254">
      <c r="N5254" s="5"/>
    </row>
    <row r="5255">
      <c r="N5255" s="5"/>
    </row>
    <row r="5256">
      <c r="N5256" s="5"/>
    </row>
    <row r="5257">
      <c r="N5257" s="5"/>
    </row>
    <row r="5258">
      <c r="N5258" s="5"/>
    </row>
    <row r="5259">
      <c r="N5259" s="5"/>
    </row>
    <row r="5260">
      <c r="N5260" s="5"/>
    </row>
    <row r="5261">
      <c r="N5261" s="5"/>
    </row>
    <row r="5262">
      <c r="N5262" s="5"/>
    </row>
    <row r="5263">
      <c r="N5263" s="5"/>
    </row>
    <row r="5264">
      <c r="N5264" s="5"/>
    </row>
    <row r="5265">
      <c r="N5265" s="5"/>
    </row>
    <row r="5266">
      <c r="N5266" s="5"/>
    </row>
    <row r="5267">
      <c r="N5267" s="5"/>
    </row>
    <row r="5268">
      <c r="N5268" s="5"/>
    </row>
    <row r="5269">
      <c r="N5269" s="5"/>
    </row>
    <row r="5270">
      <c r="N5270" s="5"/>
    </row>
    <row r="5271">
      <c r="N5271" s="5"/>
    </row>
    <row r="5272">
      <c r="N5272" s="5"/>
    </row>
    <row r="5273">
      <c r="N5273" s="5"/>
    </row>
    <row r="5274">
      <c r="N5274" s="5"/>
    </row>
    <row r="5275">
      <c r="N5275" s="5"/>
    </row>
    <row r="5276">
      <c r="N5276" s="5"/>
    </row>
    <row r="5277">
      <c r="N5277" s="5"/>
    </row>
    <row r="5278">
      <c r="N5278" s="5"/>
    </row>
    <row r="5279">
      <c r="N5279" s="5"/>
    </row>
    <row r="5280">
      <c r="N5280" s="5"/>
    </row>
    <row r="5281">
      <c r="N5281" s="5"/>
    </row>
    <row r="5282">
      <c r="N5282" s="5"/>
    </row>
    <row r="5283">
      <c r="N5283" s="5"/>
    </row>
    <row r="5284">
      <c r="N5284" s="5"/>
    </row>
    <row r="5285">
      <c r="N5285" s="5"/>
    </row>
    <row r="5286">
      <c r="N5286" s="5"/>
    </row>
    <row r="5287">
      <c r="N5287" s="5"/>
    </row>
    <row r="5288">
      <c r="N5288" s="5"/>
    </row>
    <row r="5289">
      <c r="N5289" s="5"/>
    </row>
    <row r="5290">
      <c r="N5290" s="5"/>
    </row>
    <row r="5291">
      <c r="N5291" s="5"/>
    </row>
    <row r="5292">
      <c r="N5292" s="5"/>
    </row>
    <row r="5293">
      <c r="N5293" s="5"/>
    </row>
    <row r="5294">
      <c r="N5294" s="5"/>
    </row>
    <row r="5295">
      <c r="N5295" s="5"/>
    </row>
    <row r="5296">
      <c r="N5296" s="5"/>
    </row>
    <row r="5297">
      <c r="N5297" s="5"/>
    </row>
    <row r="5298">
      <c r="N5298" s="5"/>
    </row>
    <row r="5299">
      <c r="N5299" s="5"/>
    </row>
    <row r="5300">
      <c r="N5300" s="5"/>
    </row>
    <row r="5301">
      <c r="N5301" s="5"/>
    </row>
    <row r="5302">
      <c r="N5302" s="5"/>
    </row>
    <row r="5303">
      <c r="N5303" s="5"/>
    </row>
    <row r="5304">
      <c r="N5304" s="5"/>
    </row>
    <row r="5305">
      <c r="N5305" s="5"/>
    </row>
    <row r="5306">
      <c r="N5306" s="5"/>
    </row>
    <row r="5307">
      <c r="N5307" s="5"/>
    </row>
    <row r="5308">
      <c r="N5308" s="5"/>
    </row>
    <row r="5309">
      <c r="N5309" s="5"/>
    </row>
    <row r="5310">
      <c r="N5310" s="5"/>
    </row>
    <row r="5311">
      <c r="N5311" s="5"/>
    </row>
    <row r="5312">
      <c r="N5312" s="5"/>
    </row>
    <row r="5313">
      <c r="N5313" s="5"/>
    </row>
    <row r="5314">
      <c r="N5314" s="5"/>
    </row>
    <row r="5315">
      <c r="N5315" s="5"/>
    </row>
    <row r="5316">
      <c r="N5316" s="5"/>
    </row>
    <row r="5317">
      <c r="N5317" s="5"/>
    </row>
    <row r="5318">
      <c r="N5318" s="5"/>
    </row>
    <row r="5319">
      <c r="N5319" s="5"/>
    </row>
    <row r="5320">
      <c r="N5320" s="5"/>
    </row>
    <row r="5321">
      <c r="N5321" s="5"/>
    </row>
    <row r="5322">
      <c r="N5322" s="5"/>
    </row>
    <row r="5323">
      <c r="N5323" s="5"/>
    </row>
    <row r="5324">
      <c r="N5324" s="5"/>
    </row>
    <row r="5325">
      <c r="N5325" s="5"/>
    </row>
    <row r="5326">
      <c r="N5326" s="5"/>
    </row>
    <row r="5327">
      <c r="N5327" s="5"/>
    </row>
    <row r="5328">
      <c r="N5328" s="5"/>
    </row>
    <row r="5329">
      <c r="N5329" s="5"/>
    </row>
    <row r="5330">
      <c r="N5330" s="5"/>
    </row>
    <row r="5331">
      <c r="N5331" s="5"/>
    </row>
    <row r="5332">
      <c r="N5332" s="5"/>
    </row>
    <row r="5333">
      <c r="N5333" s="5"/>
    </row>
    <row r="5334">
      <c r="N5334" s="5"/>
    </row>
    <row r="5335">
      <c r="N5335" s="5"/>
    </row>
    <row r="5336">
      <c r="N5336" s="5"/>
    </row>
    <row r="5337">
      <c r="N5337" s="5"/>
    </row>
    <row r="5338">
      <c r="N5338" s="5"/>
    </row>
    <row r="5339">
      <c r="N5339" s="5"/>
    </row>
    <row r="5340">
      <c r="N5340" s="5"/>
    </row>
    <row r="5341">
      <c r="N5341" s="5"/>
    </row>
    <row r="5342">
      <c r="N5342" s="5"/>
    </row>
    <row r="5343">
      <c r="N5343" s="5"/>
    </row>
    <row r="5344">
      <c r="N5344" s="5"/>
    </row>
    <row r="5345">
      <c r="N5345" s="5"/>
    </row>
    <row r="5346">
      <c r="N5346" s="5"/>
    </row>
    <row r="5347">
      <c r="N5347" s="5"/>
    </row>
    <row r="5348">
      <c r="N5348" s="5"/>
    </row>
    <row r="5349">
      <c r="N5349" s="5"/>
    </row>
    <row r="5350">
      <c r="N5350" s="5"/>
    </row>
    <row r="5351">
      <c r="N5351" s="5"/>
    </row>
    <row r="5352">
      <c r="N5352" s="5"/>
    </row>
    <row r="5353">
      <c r="N5353" s="5"/>
    </row>
    <row r="5354">
      <c r="N5354" s="5"/>
    </row>
    <row r="5355">
      <c r="N5355" s="5"/>
    </row>
    <row r="5356">
      <c r="N5356" s="5"/>
    </row>
    <row r="5357">
      <c r="N5357" s="5"/>
    </row>
    <row r="5358">
      <c r="N5358" s="5"/>
    </row>
    <row r="5359">
      <c r="N5359" s="5"/>
    </row>
    <row r="5360">
      <c r="N5360" s="5"/>
    </row>
    <row r="5361">
      <c r="N5361" s="5"/>
    </row>
    <row r="5362">
      <c r="N5362" s="5"/>
    </row>
    <row r="5363">
      <c r="N5363" s="5"/>
    </row>
    <row r="5364">
      <c r="N5364" s="5"/>
    </row>
    <row r="5365">
      <c r="N5365" s="5"/>
    </row>
    <row r="5366">
      <c r="N5366" s="5"/>
    </row>
    <row r="5367">
      <c r="N5367" s="5"/>
    </row>
    <row r="5368">
      <c r="N5368" s="5"/>
    </row>
    <row r="5369">
      <c r="N5369" s="5"/>
    </row>
    <row r="5370">
      <c r="N5370" s="5"/>
    </row>
    <row r="5371">
      <c r="N5371" s="5"/>
    </row>
    <row r="5372">
      <c r="N5372" s="5"/>
    </row>
    <row r="5373">
      <c r="N5373" s="5"/>
    </row>
    <row r="5374">
      <c r="N5374" s="5"/>
    </row>
    <row r="5375">
      <c r="N5375" s="5"/>
    </row>
    <row r="5376">
      <c r="N5376" s="5"/>
    </row>
    <row r="5377">
      <c r="N5377" s="5"/>
    </row>
    <row r="5378">
      <c r="N5378" s="5"/>
    </row>
    <row r="5379">
      <c r="N5379" s="5"/>
    </row>
    <row r="5380">
      <c r="N5380" s="5"/>
    </row>
    <row r="5381">
      <c r="N5381" s="5"/>
    </row>
    <row r="5382">
      <c r="N5382" s="5"/>
    </row>
    <row r="5383">
      <c r="N5383" s="5"/>
    </row>
    <row r="5384">
      <c r="N5384" s="5"/>
    </row>
    <row r="5385">
      <c r="N5385" s="5"/>
    </row>
    <row r="5386">
      <c r="N5386" s="5"/>
    </row>
    <row r="5387">
      <c r="N5387" s="5"/>
    </row>
    <row r="5388">
      <c r="N5388" s="5"/>
    </row>
    <row r="5389">
      <c r="N5389" s="5"/>
    </row>
    <row r="5390">
      <c r="N5390" s="5"/>
    </row>
    <row r="5391">
      <c r="N5391" s="5"/>
    </row>
    <row r="5392">
      <c r="N5392" s="5"/>
    </row>
    <row r="5393">
      <c r="N5393" s="5"/>
    </row>
    <row r="5394">
      <c r="N5394" s="5"/>
    </row>
    <row r="5395">
      <c r="N5395" s="5"/>
    </row>
    <row r="5396">
      <c r="N5396" s="5"/>
    </row>
    <row r="5397">
      <c r="N5397" s="5"/>
    </row>
    <row r="5398">
      <c r="N5398" s="5"/>
    </row>
    <row r="5399">
      <c r="N5399" s="5"/>
    </row>
    <row r="5400">
      <c r="N5400" s="5"/>
    </row>
    <row r="5401">
      <c r="N5401" s="5"/>
    </row>
    <row r="5402">
      <c r="N5402" s="5"/>
    </row>
    <row r="5403">
      <c r="N5403" s="5"/>
    </row>
    <row r="5404">
      <c r="N5404" s="5"/>
    </row>
    <row r="5405">
      <c r="N5405" s="5"/>
    </row>
    <row r="5406">
      <c r="N5406" s="5"/>
    </row>
    <row r="5407">
      <c r="N5407" s="5"/>
    </row>
    <row r="5408">
      <c r="N5408" s="5"/>
    </row>
    <row r="5409">
      <c r="N5409" s="5"/>
    </row>
    <row r="5410">
      <c r="N5410" s="5"/>
    </row>
    <row r="5411">
      <c r="N5411" s="5"/>
    </row>
    <row r="5412">
      <c r="N5412" s="5"/>
    </row>
    <row r="5413">
      <c r="N5413" s="5"/>
    </row>
    <row r="5414">
      <c r="N5414" s="5"/>
    </row>
    <row r="5415">
      <c r="N5415" s="5"/>
    </row>
    <row r="5416">
      <c r="N5416" s="5"/>
    </row>
    <row r="5417">
      <c r="N5417" s="5"/>
    </row>
    <row r="5418">
      <c r="N5418" s="5"/>
    </row>
    <row r="5419">
      <c r="N5419" s="5"/>
    </row>
    <row r="5420">
      <c r="N5420" s="5"/>
    </row>
    <row r="5421">
      <c r="N5421" s="5"/>
    </row>
    <row r="5422">
      <c r="N5422" s="5"/>
    </row>
    <row r="5423">
      <c r="N5423" s="5"/>
    </row>
    <row r="5424">
      <c r="N5424" s="5"/>
    </row>
    <row r="5425">
      <c r="N5425" s="5"/>
    </row>
    <row r="5426">
      <c r="N5426" s="5"/>
    </row>
    <row r="5427">
      <c r="N5427" s="5"/>
    </row>
    <row r="5428">
      <c r="N5428" s="5"/>
    </row>
    <row r="5429">
      <c r="N5429" s="5"/>
    </row>
    <row r="5430">
      <c r="N5430" s="5"/>
    </row>
    <row r="5431">
      <c r="N5431" s="5"/>
    </row>
    <row r="5432">
      <c r="N5432" s="5"/>
    </row>
    <row r="5433">
      <c r="N5433" s="5"/>
    </row>
    <row r="5434">
      <c r="N5434" s="5"/>
    </row>
    <row r="5435">
      <c r="N5435" s="5"/>
    </row>
    <row r="5436">
      <c r="N5436" s="5"/>
    </row>
    <row r="5437">
      <c r="N5437" s="5"/>
    </row>
    <row r="5438">
      <c r="N5438" s="5"/>
    </row>
    <row r="5439">
      <c r="N5439" s="5"/>
    </row>
    <row r="5440">
      <c r="N5440" s="5"/>
    </row>
    <row r="5441">
      <c r="N5441" s="5"/>
    </row>
    <row r="5442">
      <c r="N5442" s="5"/>
    </row>
    <row r="5443">
      <c r="N5443" s="5"/>
    </row>
    <row r="5444">
      <c r="N5444" s="5"/>
    </row>
    <row r="5445">
      <c r="N5445" s="5"/>
    </row>
    <row r="5446">
      <c r="N5446" s="5"/>
    </row>
    <row r="5447">
      <c r="N5447" s="5"/>
    </row>
    <row r="5448">
      <c r="N5448" s="5"/>
    </row>
    <row r="5449">
      <c r="N5449" s="5"/>
    </row>
    <row r="5450">
      <c r="N5450" s="5"/>
    </row>
    <row r="5451">
      <c r="N5451" s="5"/>
    </row>
    <row r="5452">
      <c r="N5452" s="5"/>
    </row>
    <row r="5453">
      <c r="N5453" s="5"/>
    </row>
    <row r="5454">
      <c r="N5454" s="5"/>
    </row>
    <row r="5455">
      <c r="N5455" s="5"/>
    </row>
    <row r="5456">
      <c r="N5456" s="5"/>
    </row>
    <row r="5457">
      <c r="N5457" s="5"/>
    </row>
    <row r="5458">
      <c r="N5458" s="5"/>
    </row>
    <row r="5459">
      <c r="N5459" s="5"/>
    </row>
    <row r="5460">
      <c r="N5460" s="5"/>
    </row>
    <row r="5461">
      <c r="N5461" s="5"/>
    </row>
    <row r="5462">
      <c r="N5462" s="5"/>
    </row>
    <row r="5463">
      <c r="N5463" s="5"/>
    </row>
    <row r="5464">
      <c r="N5464" s="5"/>
    </row>
    <row r="5465">
      <c r="N5465" s="5"/>
    </row>
    <row r="5466">
      <c r="N5466" s="5"/>
    </row>
    <row r="5467">
      <c r="N5467" s="5"/>
    </row>
    <row r="5468">
      <c r="N5468" s="5"/>
    </row>
    <row r="5469">
      <c r="N5469" s="5"/>
    </row>
    <row r="5470">
      <c r="N5470" s="5"/>
    </row>
    <row r="5471">
      <c r="N5471" s="5"/>
    </row>
    <row r="5472">
      <c r="N5472" s="5"/>
    </row>
    <row r="5473">
      <c r="N5473" s="5"/>
    </row>
    <row r="5474">
      <c r="N5474" s="5"/>
    </row>
    <row r="5475">
      <c r="N5475" s="5"/>
    </row>
    <row r="5476">
      <c r="N5476" s="5"/>
    </row>
    <row r="5477">
      <c r="N5477" s="5"/>
    </row>
    <row r="5478">
      <c r="N5478" s="5"/>
    </row>
    <row r="5479">
      <c r="N5479" s="5"/>
    </row>
    <row r="5480">
      <c r="N5480" s="5"/>
    </row>
    <row r="5481">
      <c r="N5481" s="5"/>
    </row>
    <row r="5482">
      <c r="N5482" s="5"/>
    </row>
    <row r="5483">
      <c r="N5483" s="5"/>
    </row>
    <row r="5484">
      <c r="N5484" s="5"/>
    </row>
    <row r="5485">
      <c r="N5485" s="5"/>
    </row>
    <row r="5486">
      <c r="N5486" s="5"/>
    </row>
    <row r="5487">
      <c r="N5487" s="5"/>
    </row>
    <row r="5488">
      <c r="N5488" s="5"/>
    </row>
    <row r="5489">
      <c r="N5489" s="5"/>
    </row>
    <row r="5490">
      <c r="N5490" s="5"/>
    </row>
    <row r="5491">
      <c r="N5491" s="5"/>
    </row>
    <row r="5492">
      <c r="N5492" s="5"/>
    </row>
    <row r="5493">
      <c r="N5493" s="5"/>
    </row>
    <row r="5494">
      <c r="N5494" s="5"/>
    </row>
    <row r="5495">
      <c r="N5495" s="5"/>
    </row>
    <row r="5496">
      <c r="N5496" s="5"/>
    </row>
    <row r="5497">
      <c r="N5497" s="5"/>
    </row>
    <row r="5498">
      <c r="N5498" s="5"/>
    </row>
    <row r="5499">
      <c r="N5499" s="5"/>
    </row>
    <row r="5500">
      <c r="N5500" s="5"/>
    </row>
    <row r="5501">
      <c r="N5501" s="5"/>
    </row>
    <row r="5502">
      <c r="N5502" s="5"/>
    </row>
    <row r="5503">
      <c r="N5503" s="5"/>
    </row>
    <row r="5504">
      <c r="N5504" s="5"/>
    </row>
    <row r="5505">
      <c r="N5505" s="5"/>
    </row>
    <row r="5506">
      <c r="N5506" s="5"/>
    </row>
    <row r="5507">
      <c r="N5507" s="5"/>
    </row>
    <row r="5508">
      <c r="N5508" s="5"/>
    </row>
    <row r="5509">
      <c r="N5509" s="5"/>
    </row>
    <row r="5510">
      <c r="N5510" s="5"/>
    </row>
    <row r="5511">
      <c r="N5511" s="5"/>
    </row>
    <row r="5512">
      <c r="N5512" s="5"/>
    </row>
    <row r="5513">
      <c r="N5513" s="5"/>
    </row>
    <row r="5514">
      <c r="N5514" s="5"/>
    </row>
    <row r="5515">
      <c r="N5515" s="5"/>
    </row>
    <row r="5516">
      <c r="N5516" s="5"/>
    </row>
    <row r="5517">
      <c r="N5517" s="5"/>
    </row>
    <row r="5518">
      <c r="N5518" s="5"/>
    </row>
    <row r="5519">
      <c r="N5519" s="5"/>
    </row>
    <row r="5520">
      <c r="N5520" s="5"/>
    </row>
    <row r="5521">
      <c r="N5521" s="5"/>
    </row>
    <row r="5522">
      <c r="N5522" s="5"/>
    </row>
    <row r="5523">
      <c r="N5523" s="5"/>
    </row>
    <row r="5524">
      <c r="N5524" s="5"/>
    </row>
    <row r="5525">
      <c r="N5525" s="5"/>
    </row>
    <row r="5526">
      <c r="N5526" s="5"/>
    </row>
    <row r="5527">
      <c r="N5527" s="5"/>
    </row>
    <row r="5528">
      <c r="N5528" s="5"/>
    </row>
    <row r="5529">
      <c r="N5529" s="5"/>
    </row>
    <row r="5530">
      <c r="N5530" s="5"/>
    </row>
    <row r="5531">
      <c r="N5531" s="5"/>
    </row>
    <row r="5532">
      <c r="N5532" s="5"/>
    </row>
    <row r="5533">
      <c r="N5533" s="5"/>
    </row>
    <row r="5534">
      <c r="N5534" s="5"/>
    </row>
    <row r="5535">
      <c r="N5535" s="5"/>
    </row>
    <row r="5536">
      <c r="N5536" s="5"/>
    </row>
    <row r="5537">
      <c r="N5537" s="5"/>
    </row>
    <row r="5538">
      <c r="N5538" s="5"/>
    </row>
    <row r="5539">
      <c r="N5539" s="5"/>
    </row>
    <row r="5540">
      <c r="N5540" s="5"/>
    </row>
    <row r="5541">
      <c r="N5541" s="5"/>
    </row>
    <row r="5542">
      <c r="N5542" s="5"/>
    </row>
    <row r="5543">
      <c r="N5543" s="5"/>
    </row>
    <row r="5544">
      <c r="N5544" s="5"/>
    </row>
    <row r="5545">
      <c r="N5545" s="5"/>
    </row>
    <row r="5546">
      <c r="N5546" s="5"/>
    </row>
    <row r="5547">
      <c r="N5547" s="5"/>
    </row>
    <row r="5548">
      <c r="N5548" s="5"/>
    </row>
    <row r="5549">
      <c r="N5549" s="5"/>
    </row>
    <row r="5550">
      <c r="N5550" s="5"/>
    </row>
    <row r="5551">
      <c r="N5551" s="5"/>
    </row>
    <row r="5552">
      <c r="N5552" s="5"/>
    </row>
    <row r="5553">
      <c r="N5553" s="5"/>
    </row>
    <row r="5554">
      <c r="N5554" s="5"/>
    </row>
    <row r="5555">
      <c r="N5555" s="5"/>
    </row>
    <row r="5556">
      <c r="N5556" s="5"/>
    </row>
    <row r="5557">
      <c r="N5557" s="5"/>
    </row>
    <row r="5558">
      <c r="N5558" s="5"/>
    </row>
    <row r="5559">
      <c r="N5559" s="5"/>
    </row>
    <row r="5560">
      <c r="N5560" s="5"/>
    </row>
    <row r="5561">
      <c r="N5561" s="5"/>
    </row>
    <row r="5562">
      <c r="N5562" s="5"/>
    </row>
    <row r="5563">
      <c r="N5563" s="5"/>
    </row>
    <row r="5564">
      <c r="N5564" s="5"/>
    </row>
    <row r="5565">
      <c r="N5565" s="5"/>
    </row>
    <row r="5566">
      <c r="N5566" s="5"/>
    </row>
    <row r="5567">
      <c r="N5567" s="5"/>
    </row>
    <row r="5568">
      <c r="N5568" s="5"/>
    </row>
    <row r="5569">
      <c r="N5569" s="5"/>
    </row>
    <row r="5570">
      <c r="N5570" s="5"/>
    </row>
    <row r="5571">
      <c r="N5571" s="5"/>
    </row>
    <row r="5572">
      <c r="N5572" s="5"/>
    </row>
    <row r="5573">
      <c r="N5573" s="5"/>
    </row>
    <row r="5574">
      <c r="N5574" s="5"/>
    </row>
    <row r="5575">
      <c r="N5575" s="5"/>
    </row>
    <row r="5576">
      <c r="N5576" s="5"/>
    </row>
    <row r="5577">
      <c r="N5577" s="5"/>
    </row>
    <row r="5578">
      <c r="N5578" s="5"/>
    </row>
    <row r="5579">
      <c r="N5579" s="5"/>
    </row>
    <row r="5580">
      <c r="N5580" s="5"/>
    </row>
    <row r="5581">
      <c r="N5581" s="5"/>
    </row>
    <row r="5582">
      <c r="N5582" s="5"/>
    </row>
    <row r="5583">
      <c r="N5583" s="5"/>
    </row>
    <row r="5584">
      <c r="N5584" s="5"/>
    </row>
    <row r="5585">
      <c r="N5585" s="5"/>
    </row>
    <row r="5586">
      <c r="N5586" s="5"/>
    </row>
    <row r="5587">
      <c r="N5587" s="5"/>
    </row>
    <row r="5588">
      <c r="N5588" s="5"/>
    </row>
    <row r="5589">
      <c r="N5589" s="5"/>
    </row>
    <row r="5590">
      <c r="N5590" s="5"/>
    </row>
    <row r="5591">
      <c r="N5591" s="5"/>
    </row>
    <row r="5592">
      <c r="N5592" s="5"/>
    </row>
    <row r="5593">
      <c r="N5593" s="5"/>
    </row>
    <row r="5594">
      <c r="N5594" s="5"/>
    </row>
    <row r="5595">
      <c r="N5595" s="5"/>
    </row>
    <row r="5596">
      <c r="N5596" s="5"/>
    </row>
    <row r="5597">
      <c r="N5597" s="5"/>
    </row>
    <row r="5598">
      <c r="N5598" s="5"/>
    </row>
    <row r="5599">
      <c r="N5599" s="5"/>
    </row>
    <row r="5600">
      <c r="N5600" s="5"/>
    </row>
    <row r="5601">
      <c r="N5601" s="5"/>
    </row>
    <row r="5602">
      <c r="N5602" s="5"/>
    </row>
    <row r="5603">
      <c r="N5603" s="5"/>
    </row>
    <row r="5604">
      <c r="N5604" s="5"/>
    </row>
    <row r="5605">
      <c r="N5605" s="5"/>
    </row>
    <row r="5606">
      <c r="N5606" s="5"/>
    </row>
    <row r="5607">
      <c r="N5607" s="5"/>
    </row>
    <row r="5608">
      <c r="N5608" s="5"/>
    </row>
    <row r="5609">
      <c r="N5609" s="5"/>
    </row>
    <row r="5610">
      <c r="N5610" s="5"/>
    </row>
    <row r="5611">
      <c r="N5611" s="5"/>
    </row>
    <row r="5612">
      <c r="N5612" s="5"/>
    </row>
    <row r="5613">
      <c r="N5613" s="5"/>
    </row>
    <row r="5614">
      <c r="N5614" s="5"/>
    </row>
    <row r="5615">
      <c r="N5615" s="5"/>
    </row>
    <row r="5616">
      <c r="N5616" s="5"/>
    </row>
    <row r="5617">
      <c r="N5617" s="5"/>
    </row>
    <row r="5618">
      <c r="N5618" s="5"/>
    </row>
    <row r="5619">
      <c r="N5619" s="5"/>
    </row>
    <row r="5620">
      <c r="N5620" s="5"/>
    </row>
    <row r="5621">
      <c r="N5621" s="5"/>
    </row>
    <row r="5622">
      <c r="N5622" s="5"/>
    </row>
    <row r="5623">
      <c r="N5623" s="5"/>
    </row>
    <row r="5624">
      <c r="N5624" s="5"/>
    </row>
    <row r="5625">
      <c r="N5625" s="5"/>
    </row>
    <row r="5626">
      <c r="N5626" s="5"/>
    </row>
    <row r="5627">
      <c r="N5627" s="5"/>
    </row>
    <row r="5628">
      <c r="N5628" s="5"/>
    </row>
    <row r="5629">
      <c r="N5629" s="5"/>
    </row>
    <row r="5630">
      <c r="N5630" s="5"/>
    </row>
    <row r="5631">
      <c r="N5631" s="5"/>
    </row>
    <row r="5632">
      <c r="N5632" s="5"/>
    </row>
    <row r="5633">
      <c r="N5633" s="5"/>
    </row>
    <row r="5634">
      <c r="N5634" s="5"/>
    </row>
    <row r="5635">
      <c r="N5635" s="5"/>
    </row>
    <row r="5636">
      <c r="N5636" s="5"/>
    </row>
    <row r="5637">
      <c r="N5637" s="5"/>
    </row>
    <row r="5638">
      <c r="N5638" s="5"/>
    </row>
    <row r="5639">
      <c r="N5639" s="5"/>
    </row>
    <row r="5640">
      <c r="N5640" s="5"/>
    </row>
    <row r="5641">
      <c r="N5641" s="5"/>
    </row>
    <row r="5642">
      <c r="N5642" s="5"/>
    </row>
    <row r="5643">
      <c r="N5643" s="5"/>
    </row>
    <row r="5644">
      <c r="N5644" s="5"/>
    </row>
    <row r="5645">
      <c r="N5645" s="5"/>
    </row>
    <row r="5646">
      <c r="N5646" s="5"/>
    </row>
    <row r="5647">
      <c r="N5647" s="5"/>
    </row>
    <row r="5648">
      <c r="N5648" s="5"/>
    </row>
    <row r="5649">
      <c r="N5649" s="5"/>
    </row>
    <row r="5650">
      <c r="N5650" s="5"/>
    </row>
    <row r="5651">
      <c r="N5651" s="5"/>
    </row>
    <row r="5652">
      <c r="N5652" s="5"/>
    </row>
    <row r="5653">
      <c r="N5653" s="5"/>
    </row>
    <row r="5654">
      <c r="N5654" s="5"/>
    </row>
    <row r="5655">
      <c r="N5655" s="5"/>
    </row>
    <row r="5656">
      <c r="N5656" s="5"/>
    </row>
    <row r="5657">
      <c r="N5657" s="5"/>
    </row>
    <row r="5658">
      <c r="N5658" s="5"/>
    </row>
    <row r="5659">
      <c r="N5659" s="5"/>
    </row>
    <row r="5660">
      <c r="N5660" s="5"/>
    </row>
    <row r="5661">
      <c r="N5661" s="5"/>
    </row>
    <row r="5662">
      <c r="N5662" s="5"/>
    </row>
    <row r="5663">
      <c r="N5663" s="5"/>
    </row>
    <row r="5664">
      <c r="N5664" s="5"/>
    </row>
    <row r="5665">
      <c r="N5665" s="5"/>
    </row>
    <row r="5666">
      <c r="N5666" s="5"/>
    </row>
    <row r="5667">
      <c r="N5667" s="5"/>
    </row>
    <row r="5668">
      <c r="N5668" s="5"/>
    </row>
    <row r="5669">
      <c r="N5669" s="5"/>
    </row>
    <row r="5670">
      <c r="N5670" s="5"/>
    </row>
    <row r="5671">
      <c r="N5671" s="5"/>
    </row>
    <row r="5672">
      <c r="N5672" s="5"/>
    </row>
    <row r="5673">
      <c r="N5673" s="5"/>
    </row>
    <row r="5674">
      <c r="N5674" s="5"/>
    </row>
    <row r="5675">
      <c r="N5675" s="5"/>
    </row>
    <row r="5676">
      <c r="N5676" s="5"/>
    </row>
    <row r="5677">
      <c r="N5677" s="5"/>
    </row>
    <row r="5678">
      <c r="N5678" s="5"/>
    </row>
    <row r="5679">
      <c r="N5679" s="5"/>
    </row>
    <row r="5680">
      <c r="N5680" s="5"/>
    </row>
    <row r="5681">
      <c r="N5681" s="5"/>
    </row>
    <row r="5682">
      <c r="N5682" s="5"/>
    </row>
    <row r="5683">
      <c r="N5683" s="5"/>
    </row>
    <row r="5684">
      <c r="N5684" s="5"/>
    </row>
    <row r="5685">
      <c r="N5685" s="5"/>
    </row>
    <row r="5686">
      <c r="N5686" s="5"/>
    </row>
    <row r="5687">
      <c r="N5687" s="5"/>
    </row>
    <row r="5688">
      <c r="N5688" s="5"/>
    </row>
    <row r="5689">
      <c r="N5689" s="5"/>
    </row>
    <row r="5690">
      <c r="N5690" s="5"/>
    </row>
    <row r="5691">
      <c r="N5691" s="5"/>
    </row>
    <row r="5692">
      <c r="N5692" s="5"/>
    </row>
    <row r="5693">
      <c r="N5693" s="5"/>
    </row>
    <row r="5694">
      <c r="N5694" s="5"/>
    </row>
    <row r="5695">
      <c r="N5695" s="5"/>
    </row>
    <row r="5696">
      <c r="N5696" s="5"/>
    </row>
    <row r="5697">
      <c r="N5697" s="5"/>
    </row>
    <row r="5698">
      <c r="N5698" s="5"/>
    </row>
    <row r="5699">
      <c r="N5699" s="5"/>
    </row>
    <row r="5700">
      <c r="N5700" s="5"/>
    </row>
    <row r="5701">
      <c r="N5701" s="5"/>
    </row>
    <row r="5702">
      <c r="N5702" s="5"/>
    </row>
    <row r="5703">
      <c r="N5703" s="5"/>
    </row>
    <row r="5704">
      <c r="N5704" s="5"/>
    </row>
    <row r="5705">
      <c r="N5705" s="5"/>
    </row>
    <row r="5706">
      <c r="N5706" s="5"/>
    </row>
    <row r="5707">
      <c r="N5707" s="5"/>
    </row>
    <row r="5708">
      <c r="N5708" s="5"/>
    </row>
    <row r="5709">
      <c r="N5709" s="5"/>
    </row>
    <row r="5710">
      <c r="N5710" s="5"/>
    </row>
    <row r="5711">
      <c r="N5711" s="5"/>
    </row>
    <row r="5712">
      <c r="N5712" s="5"/>
    </row>
    <row r="5713">
      <c r="N5713" s="5"/>
    </row>
    <row r="5714">
      <c r="N5714" s="5"/>
    </row>
    <row r="5715">
      <c r="N5715" s="5"/>
    </row>
    <row r="5716">
      <c r="N5716" s="5"/>
    </row>
    <row r="5717">
      <c r="N5717" s="5"/>
    </row>
    <row r="5718">
      <c r="N5718" s="5"/>
    </row>
    <row r="5719">
      <c r="N5719" s="5"/>
    </row>
    <row r="5720">
      <c r="N5720" s="5"/>
    </row>
    <row r="5721">
      <c r="N5721" s="5"/>
    </row>
    <row r="5722">
      <c r="N5722" s="5"/>
    </row>
    <row r="5723">
      <c r="N5723" s="5"/>
    </row>
    <row r="5724">
      <c r="N5724" s="5"/>
    </row>
    <row r="5725">
      <c r="N5725" s="5"/>
    </row>
    <row r="5726">
      <c r="N5726" s="5"/>
    </row>
    <row r="5727">
      <c r="N5727" s="5"/>
    </row>
    <row r="5728">
      <c r="N5728" s="5"/>
    </row>
    <row r="5729">
      <c r="N5729" s="5"/>
    </row>
    <row r="5730">
      <c r="N5730" s="5"/>
    </row>
    <row r="5731">
      <c r="N5731" s="5"/>
    </row>
    <row r="5732">
      <c r="N5732" s="5"/>
    </row>
    <row r="5733">
      <c r="N5733" s="5"/>
    </row>
    <row r="5734">
      <c r="N5734" s="5"/>
    </row>
    <row r="5735">
      <c r="N5735" s="5"/>
    </row>
    <row r="5736">
      <c r="N5736" s="5"/>
    </row>
    <row r="5737">
      <c r="N5737" s="5"/>
    </row>
    <row r="5738">
      <c r="N5738" s="5"/>
    </row>
    <row r="5739">
      <c r="N5739" s="5"/>
    </row>
    <row r="5740">
      <c r="N5740" s="5"/>
    </row>
    <row r="5741">
      <c r="N5741" s="5"/>
    </row>
    <row r="5742">
      <c r="N5742" s="5"/>
    </row>
    <row r="5743">
      <c r="N5743" s="5"/>
    </row>
    <row r="5744">
      <c r="N5744" s="5"/>
    </row>
    <row r="5745">
      <c r="N5745" s="5"/>
    </row>
    <row r="5746">
      <c r="N5746" s="5"/>
    </row>
    <row r="5747">
      <c r="N5747" s="5"/>
    </row>
    <row r="5748">
      <c r="N5748" s="5"/>
    </row>
    <row r="5749">
      <c r="N5749" s="5"/>
    </row>
    <row r="5750">
      <c r="N5750" s="5"/>
    </row>
    <row r="5751">
      <c r="N5751" s="5"/>
    </row>
    <row r="5752">
      <c r="N5752" s="5"/>
    </row>
    <row r="5753">
      <c r="N5753" s="5"/>
    </row>
    <row r="5754">
      <c r="N5754" s="5"/>
    </row>
    <row r="5755">
      <c r="N5755" s="5"/>
    </row>
    <row r="5756">
      <c r="N5756" s="5"/>
    </row>
    <row r="5757">
      <c r="N5757" s="5"/>
    </row>
    <row r="5758">
      <c r="N5758" s="5"/>
    </row>
    <row r="5759">
      <c r="N5759" s="5"/>
    </row>
    <row r="5760">
      <c r="N5760" s="5"/>
    </row>
    <row r="5761">
      <c r="N5761" s="5"/>
    </row>
    <row r="5762">
      <c r="N5762" s="5"/>
    </row>
    <row r="5763">
      <c r="N5763" s="5"/>
    </row>
    <row r="5764">
      <c r="N5764" s="5"/>
    </row>
    <row r="5765">
      <c r="N5765" s="5"/>
    </row>
    <row r="5766">
      <c r="N5766" s="5"/>
    </row>
    <row r="5767">
      <c r="N5767" s="5"/>
    </row>
    <row r="5768">
      <c r="N5768" s="5"/>
    </row>
    <row r="5769">
      <c r="N5769" s="5"/>
    </row>
    <row r="5770">
      <c r="N5770" s="5"/>
    </row>
    <row r="5771">
      <c r="N5771" s="5"/>
    </row>
    <row r="5772">
      <c r="N5772" s="5"/>
    </row>
    <row r="5773">
      <c r="N5773" s="5"/>
    </row>
    <row r="5774">
      <c r="N5774" s="5"/>
    </row>
    <row r="5775">
      <c r="N5775" s="5"/>
    </row>
    <row r="5776">
      <c r="N5776" s="5"/>
    </row>
    <row r="5777">
      <c r="N5777" s="5"/>
    </row>
    <row r="5778">
      <c r="N5778" s="5"/>
    </row>
    <row r="5779">
      <c r="N5779" s="5"/>
    </row>
    <row r="5780">
      <c r="N5780" s="5"/>
    </row>
    <row r="5781">
      <c r="N5781" s="5"/>
    </row>
    <row r="5782">
      <c r="N5782" s="5"/>
    </row>
    <row r="5783">
      <c r="N5783" s="5"/>
    </row>
    <row r="5784">
      <c r="N5784" s="5"/>
    </row>
    <row r="5785">
      <c r="N5785" s="5"/>
    </row>
    <row r="5786">
      <c r="N5786" s="5"/>
    </row>
    <row r="5787">
      <c r="N5787" s="5"/>
    </row>
    <row r="5788">
      <c r="N5788" s="5"/>
    </row>
    <row r="5789">
      <c r="N5789" s="5"/>
    </row>
    <row r="5790">
      <c r="N5790" s="5"/>
    </row>
    <row r="5791">
      <c r="N5791" s="5"/>
    </row>
    <row r="5792">
      <c r="N5792" s="5"/>
    </row>
    <row r="5793">
      <c r="N5793" s="5"/>
    </row>
    <row r="5794">
      <c r="N5794" s="5"/>
    </row>
    <row r="5795">
      <c r="N5795" s="5"/>
    </row>
    <row r="5796">
      <c r="N5796" s="5"/>
    </row>
    <row r="5797">
      <c r="N5797" s="5"/>
    </row>
    <row r="5798">
      <c r="N5798" s="5"/>
    </row>
    <row r="5799">
      <c r="N5799" s="5"/>
    </row>
    <row r="5800">
      <c r="N5800" s="5"/>
    </row>
    <row r="5801">
      <c r="N5801" s="5"/>
    </row>
    <row r="5802">
      <c r="N5802" s="5"/>
    </row>
    <row r="5803">
      <c r="N5803" s="5"/>
    </row>
    <row r="5804">
      <c r="N5804" s="5"/>
    </row>
    <row r="5805">
      <c r="N5805" s="5"/>
    </row>
    <row r="5806">
      <c r="N5806" s="5"/>
    </row>
    <row r="5807">
      <c r="N5807" s="5"/>
    </row>
    <row r="5808">
      <c r="N5808" s="5"/>
    </row>
    <row r="5809">
      <c r="N5809" s="5"/>
    </row>
    <row r="5810">
      <c r="N5810" s="5"/>
    </row>
    <row r="5811">
      <c r="N5811" s="5"/>
    </row>
    <row r="5812">
      <c r="N5812" s="5"/>
    </row>
    <row r="5813">
      <c r="N5813" s="5"/>
    </row>
    <row r="5814">
      <c r="N5814" s="5"/>
    </row>
    <row r="5815">
      <c r="N5815" s="5"/>
    </row>
    <row r="5816">
      <c r="N5816" s="5"/>
    </row>
    <row r="5817">
      <c r="N5817" s="5"/>
    </row>
    <row r="5818">
      <c r="N5818" s="5"/>
    </row>
    <row r="5819">
      <c r="N5819" s="5"/>
    </row>
    <row r="5820">
      <c r="N5820" s="5"/>
    </row>
    <row r="5821">
      <c r="N5821" s="5"/>
    </row>
    <row r="5822">
      <c r="N5822" s="5"/>
    </row>
    <row r="5823">
      <c r="N5823" s="5"/>
    </row>
    <row r="5824">
      <c r="N5824" s="5"/>
    </row>
    <row r="5825">
      <c r="N5825" s="5"/>
    </row>
    <row r="5826">
      <c r="N5826" s="5"/>
    </row>
    <row r="5827">
      <c r="N5827" s="5"/>
    </row>
    <row r="5828">
      <c r="N5828" s="5"/>
    </row>
    <row r="5829">
      <c r="N5829" s="5"/>
    </row>
    <row r="5830">
      <c r="N5830" s="5"/>
    </row>
    <row r="5831">
      <c r="N5831" s="5"/>
    </row>
    <row r="5832">
      <c r="N5832" s="5"/>
    </row>
    <row r="5833">
      <c r="N5833" s="5"/>
    </row>
    <row r="5834">
      <c r="N5834" s="5"/>
    </row>
    <row r="5835">
      <c r="N5835" s="5"/>
    </row>
    <row r="5836">
      <c r="N5836" s="5"/>
    </row>
    <row r="5837">
      <c r="N5837" s="5"/>
    </row>
    <row r="5838">
      <c r="N5838" s="5"/>
    </row>
    <row r="5839">
      <c r="N5839" s="5"/>
    </row>
    <row r="5840">
      <c r="N5840" s="5"/>
    </row>
    <row r="5841">
      <c r="N5841" s="5"/>
    </row>
    <row r="5842">
      <c r="N5842" s="5"/>
    </row>
    <row r="5843">
      <c r="N5843" s="5"/>
    </row>
    <row r="5844">
      <c r="N5844" s="5"/>
    </row>
    <row r="5845">
      <c r="N5845" s="5"/>
    </row>
    <row r="5846">
      <c r="N5846" s="5"/>
    </row>
    <row r="5847">
      <c r="N5847" s="5"/>
    </row>
    <row r="5848">
      <c r="N5848" s="5"/>
    </row>
    <row r="5849">
      <c r="N5849" s="5"/>
    </row>
    <row r="5850">
      <c r="N5850" s="5"/>
    </row>
    <row r="5851">
      <c r="N5851" s="5"/>
    </row>
    <row r="5852">
      <c r="N5852" s="5"/>
    </row>
    <row r="5853">
      <c r="N5853" s="5"/>
    </row>
    <row r="5854">
      <c r="N5854" s="5"/>
    </row>
    <row r="5855">
      <c r="N5855" s="5"/>
    </row>
    <row r="5856">
      <c r="N5856" s="5"/>
    </row>
    <row r="5857">
      <c r="N5857" s="5"/>
    </row>
    <row r="5858">
      <c r="N5858" s="5"/>
    </row>
    <row r="5859">
      <c r="N5859" s="5"/>
    </row>
    <row r="5860">
      <c r="N5860" s="5"/>
    </row>
    <row r="5861">
      <c r="N5861" s="5"/>
    </row>
    <row r="5862">
      <c r="N5862" s="5"/>
    </row>
    <row r="5863">
      <c r="N5863" s="5"/>
    </row>
    <row r="5864">
      <c r="N5864" s="5"/>
    </row>
    <row r="5865">
      <c r="N5865" s="5"/>
    </row>
    <row r="5866">
      <c r="N5866" s="5"/>
    </row>
    <row r="5867">
      <c r="N5867" s="5"/>
    </row>
    <row r="5868">
      <c r="N5868" s="5"/>
    </row>
    <row r="5869">
      <c r="N5869" s="5"/>
    </row>
    <row r="5870">
      <c r="N5870" s="5"/>
    </row>
    <row r="5871">
      <c r="N5871" s="5"/>
    </row>
    <row r="5872">
      <c r="N5872" s="5"/>
    </row>
    <row r="5873">
      <c r="N5873" s="5"/>
    </row>
    <row r="5874">
      <c r="N5874" s="5"/>
    </row>
    <row r="5875">
      <c r="N5875" s="5"/>
    </row>
    <row r="5876">
      <c r="N5876" s="5"/>
    </row>
    <row r="5877">
      <c r="N5877" s="5"/>
    </row>
    <row r="5878">
      <c r="N5878" s="5"/>
    </row>
    <row r="5879">
      <c r="N5879" s="5"/>
    </row>
    <row r="5880">
      <c r="N5880" s="5"/>
    </row>
    <row r="5881">
      <c r="N5881" s="5"/>
    </row>
    <row r="5882">
      <c r="N5882" s="5"/>
    </row>
    <row r="5883">
      <c r="N5883" s="5"/>
    </row>
    <row r="5884">
      <c r="N5884" s="5"/>
    </row>
    <row r="5885">
      <c r="N5885" s="5"/>
    </row>
    <row r="5886">
      <c r="N5886" s="5"/>
    </row>
    <row r="5887">
      <c r="N5887" s="5"/>
    </row>
    <row r="5888">
      <c r="N5888" s="5"/>
    </row>
    <row r="5889">
      <c r="N5889" s="5"/>
    </row>
    <row r="5890">
      <c r="N5890" s="5"/>
    </row>
    <row r="5891">
      <c r="N5891" s="5"/>
    </row>
    <row r="5892">
      <c r="N5892" s="5"/>
    </row>
    <row r="5893">
      <c r="N5893" s="5"/>
    </row>
    <row r="5894">
      <c r="N5894" s="5"/>
    </row>
    <row r="5895">
      <c r="N5895" s="5"/>
    </row>
    <row r="5896">
      <c r="N5896" s="5"/>
    </row>
    <row r="5897">
      <c r="N5897" s="5"/>
    </row>
    <row r="5898">
      <c r="N5898" s="5"/>
    </row>
    <row r="5899">
      <c r="N5899" s="5"/>
    </row>
    <row r="5900">
      <c r="N5900" s="5"/>
    </row>
    <row r="5901">
      <c r="N5901" s="5"/>
    </row>
    <row r="5902">
      <c r="N5902" s="5"/>
    </row>
    <row r="5903">
      <c r="N5903" s="5"/>
    </row>
    <row r="5904">
      <c r="N5904" s="5"/>
    </row>
    <row r="5905">
      <c r="N5905" s="5"/>
    </row>
    <row r="5906">
      <c r="N5906" s="5"/>
    </row>
    <row r="5907">
      <c r="N5907" s="5"/>
    </row>
    <row r="5908">
      <c r="N5908" s="5"/>
    </row>
    <row r="5909">
      <c r="N5909" s="5"/>
    </row>
    <row r="5910">
      <c r="N5910" s="5"/>
    </row>
    <row r="5911">
      <c r="N5911" s="5"/>
    </row>
    <row r="5912">
      <c r="N5912" s="5"/>
    </row>
    <row r="5913">
      <c r="N5913" s="5"/>
    </row>
    <row r="5914">
      <c r="N5914" s="5"/>
    </row>
    <row r="5915">
      <c r="N5915" s="5"/>
    </row>
    <row r="5916">
      <c r="N5916" s="5"/>
    </row>
    <row r="5917">
      <c r="N5917" s="5"/>
    </row>
    <row r="5918">
      <c r="N5918" s="5"/>
    </row>
    <row r="5919">
      <c r="N5919" s="5"/>
    </row>
    <row r="5920">
      <c r="N5920" s="5"/>
    </row>
    <row r="5921">
      <c r="N5921" s="5"/>
    </row>
    <row r="5922">
      <c r="N5922" s="5"/>
    </row>
    <row r="5923">
      <c r="N5923" s="5"/>
    </row>
    <row r="5924">
      <c r="N5924" s="5"/>
    </row>
    <row r="5925">
      <c r="N5925" s="5"/>
    </row>
    <row r="5926">
      <c r="N5926" s="5"/>
    </row>
    <row r="5927">
      <c r="N5927" s="5"/>
    </row>
    <row r="5928">
      <c r="N5928" s="5"/>
    </row>
    <row r="5929">
      <c r="N5929" s="5"/>
    </row>
    <row r="5930">
      <c r="N5930" s="5"/>
    </row>
    <row r="5931">
      <c r="N5931" s="5"/>
    </row>
    <row r="5932">
      <c r="N5932" s="5"/>
    </row>
    <row r="5933">
      <c r="N5933" s="5"/>
    </row>
    <row r="5934">
      <c r="N5934" s="5"/>
    </row>
    <row r="5935">
      <c r="N5935" s="5"/>
    </row>
    <row r="5936">
      <c r="N5936" s="5"/>
    </row>
    <row r="5937">
      <c r="N5937" s="5"/>
    </row>
    <row r="5938">
      <c r="N5938" s="5"/>
    </row>
    <row r="5939">
      <c r="N5939" s="5"/>
    </row>
    <row r="5940">
      <c r="N5940" s="5"/>
    </row>
    <row r="5941">
      <c r="N5941" s="5"/>
    </row>
    <row r="5942">
      <c r="N5942" s="5"/>
    </row>
    <row r="5943">
      <c r="N5943" s="5"/>
    </row>
    <row r="5944">
      <c r="N5944" s="5"/>
    </row>
    <row r="5945">
      <c r="N5945" s="5"/>
    </row>
    <row r="5946">
      <c r="N5946" s="5"/>
    </row>
    <row r="5947">
      <c r="N5947" s="5"/>
    </row>
    <row r="5948">
      <c r="N5948" s="5"/>
    </row>
    <row r="5949">
      <c r="N5949" s="5"/>
    </row>
    <row r="5950">
      <c r="N5950" s="5"/>
    </row>
    <row r="5951">
      <c r="N5951" s="5"/>
    </row>
    <row r="5952">
      <c r="N5952" s="5"/>
    </row>
    <row r="5953">
      <c r="N5953" s="5"/>
    </row>
    <row r="5954">
      <c r="N5954" s="5"/>
    </row>
    <row r="5955">
      <c r="N5955" s="5"/>
    </row>
    <row r="5956">
      <c r="N5956" s="5"/>
    </row>
    <row r="5957">
      <c r="N5957" s="5"/>
    </row>
    <row r="5958">
      <c r="N5958" s="5"/>
    </row>
    <row r="5959">
      <c r="N5959" s="5"/>
    </row>
    <row r="5960">
      <c r="N5960" s="5"/>
    </row>
    <row r="5961">
      <c r="N5961" s="5"/>
    </row>
    <row r="5962">
      <c r="N5962" s="5"/>
    </row>
    <row r="5963">
      <c r="N5963" s="5"/>
    </row>
    <row r="5964">
      <c r="N5964" s="5"/>
    </row>
    <row r="5965">
      <c r="N5965" s="5"/>
    </row>
    <row r="5966">
      <c r="N5966" s="5"/>
    </row>
    <row r="5967">
      <c r="N5967" s="5"/>
    </row>
    <row r="5968">
      <c r="N5968" s="5"/>
    </row>
    <row r="5969">
      <c r="N5969" s="5"/>
    </row>
    <row r="5970">
      <c r="N5970" s="5"/>
    </row>
    <row r="5971">
      <c r="N5971" s="5"/>
    </row>
    <row r="5972">
      <c r="N5972" s="5"/>
    </row>
    <row r="5973">
      <c r="N5973" s="5"/>
    </row>
    <row r="5974">
      <c r="N5974" s="5"/>
    </row>
    <row r="5975">
      <c r="N5975" s="5"/>
    </row>
    <row r="5976">
      <c r="N5976" s="5"/>
    </row>
    <row r="5977">
      <c r="N5977" s="5"/>
    </row>
    <row r="5978">
      <c r="N5978" s="5"/>
    </row>
    <row r="5979">
      <c r="N5979" s="5"/>
    </row>
    <row r="5980">
      <c r="N5980" s="5"/>
    </row>
    <row r="5981">
      <c r="N5981" s="5"/>
    </row>
    <row r="5982">
      <c r="N5982" s="5"/>
    </row>
    <row r="5983">
      <c r="N5983" s="5"/>
    </row>
    <row r="5984">
      <c r="N5984" s="5"/>
    </row>
    <row r="5985">
      <c r="N5985" s="5"/>
    </row>
    <row r="5986">
      <c r="N5986" s="5"/>
    </row>
    <row r="5987">
      <c r="N5987" s="5"/>
    </row>
    <row r="5988">
      <c r="N5988" s="5"/>
    </row>
    <row r="5989">
      <c r="N5989" s="5"/>
    </row>
    <row r="5990">
      <c r="N5990" s="5"/>
    </row>
    <row r="5991">
      <c r="N5991" s="5"/>
    </row>
    <row r="5992">
      <c r="N5992" s="5"/>
    </row>
    <row r="5993">
      <c r="N5993" s="5"/>
    </row>
    <row r="5994">
      <c r="N5994" s="5"/>
    </row>
    <row r="5995">
      <c r="N5995" s="5"/>
    </row>
    <row r="5996">
      <c r="N5996" s="5"/>
    </row>
    <row r="5997">
      <c r="N5997" s="5"/>
    </row>
    <row r="5998">
      <c r="N5998" s="5"/>
    </row>
    <row r="5999">
      <c r="N5999" s="5"/>
    </row>
    <row r="6000">
      <c r="N6000" s="5"/>
    </row>
    <row r="6001">
      <c r="N6001" s="5"/>
    </row>
    <row r="6002">
      <c r="N6002" s="5"/>
    </row>
    <row r="6003">
      <c r="N6003" s="5"/>
    </row>
    <row r="6004">
      <c r="N6004" s="5"/>
    </row>
    <row r="6005">
      <c r="N6005" s="5"/>
    </row>
    <row r="6006">
      <c r="N6006" s="5"/>
    </row>
    <row r="6007">
      <c r="N6007" s="5"/>
    </row>
    <row r="6008">
      <c r="N6008" s="5"/>
    </row>
    <row r="6009">
      <c r="N6009" s="5"/>
    </row>
    <row r="6010">
      <c r="N6010" s="5"/>
    </row>
    <row r="6011">
      <c r="N6011" s="5"/>
    </row>
    <row r="6012">
      <c r="N6012" s="5"/>
    </row>
    <row r="6013">
      <c r="N6013" s="5"/>
    </row>
    <row r="6014">
      <c r="N6014" s="5"/>
    </row>
    <row r="6015">
      <c r="N6015" s="5"/>
    </row>
    <row r="6016">
      <c r="N6016" s="5"/>
    </row>
    <row r="6017">
      <c r="N6017" s="5"/>
    </row>
    <row r="6018">
      <c r="N6018" s="5"/>
    </row>
    <row r="6019">
      <c r="N6019" s="5"/>
    </row>
    <row r="6020">
      <c r="N6020" s="5"/>
    </row>
    <row r="6021">
      <c r="N6021" s="5"/>
    </row>
    <row r="6022">
      <c r="N6022" s="5"/>
    </row>
    <row r="6023">
      <c r="N6023" s="5"/>
    </row>
    <row r="6024">
      <c r="N6024" s="5"/>
    </row>
    <row r="6025">
      <c r="N6025" s="5"/>
    </row>
    <row r="6026">
      <c r="N6026" s="5"/>
    </row>
    <row r="6027">
      <c r="N6027" s="5"/>
    </row>
    <row r="6028">
      <c r="N6028" s="5"/>
    </row>
    <row r="6029">
      <c r="N6029" s="5"/>
    </row>
    <row r="6030">
      <c r="N6030" s="5"/>
    </row>
    <row r="6031">
      <c r="N6031" s="5"/>
    </row>
    <row r="6032">
      <c r="N6032" s="5"/>
    </row>
    <row r="6033">
      <c r="N6033" s="5"/>
    </row>
    <row r="6034">
      <c r="N6034" s="5"/>
    </row>
    <row r="6035">
      <c r="N6035" s="5"/>
    </row>
    <row r="6036">
      <c r="N6036" s="5"/>
    </row>
    <row r="6037">
      <c r="N6037" s="5"/>
    </row>
    <row r="6038">
      <c r="N6038" s="5"/>
    </row>
    <row r="6039">
      <c r="N6039" s="5"/>
    </row>
    <row r="6040">
      <c r="N6040" s="5"/>
    </row>
    <row r="6041">
      <c r="N6041" s="5"/>
    </row>
    <row r="6042">
      <c r="N6042" s="5"/>
    </row>
    <row r="6043">
      <c r="N6043" s="5"/>
    </row>
    <row r="6044">
      <c r="N6044" s="5"/>
    </row>
    <row r="6045">
      <c r="N6045" s="5"/>
    </row>
    <row r="6046">
      <c r="N6046" s="5"/>
    </row>
    <row r="6047">
      <c r="N6047" s="5"/>
    </row>
    <row r="6048">
      <c r="N6048" s="5"/>
    </row>
    <row r="6049">
      <c r="N6049" s="5"/>
    </row>
    <row r="6050">
      <c r="N6050" s="5"/>
    </row>
    <row r="6051">
      <c r="N6051" s="5"/>
    </row>
    <row r="6052">
      <c r="N6052" s="5"/>
    </row>
    <row r="6053">
      <c r="N6053" s="5"/>
    </row>
    <row r="6054">
      <c r="N6054" s="5"/>
    </row>
    <row r="6055">
      <c r="N6055" s="5"/>
    </row>
    <row r="6056">
      <c r="N6056" s="5"/>
    </row>
    <row r="6057">
      <c r="N6057" s="5"/>
    </row>
    <row r="6058">
      <c r="N6058" s="5"/>
    </row>
    <row r="6059">
      <c r="N6059" s="5"/>
    </row>
    <row r="6060">
      <c r="N6060" s="5"/>
    </row>
    <row r="6061">
      <c r="N6061" s="5"/>
    </row>
    <row r="6062">
      <c r="N6062" s="5"/>
    </row>
    <row r="6063">
      <c r="N6063" s="5"/>
    </row>
    <row r="6064">
      <c r="N6064" s="5"/>
    </row>
    <row r="6065">
      <c r="N6065" s="5"/>
    </row>
    <row r="6066">
      <c r="N6066" s="5"/>
    </row>
    <row r="6067">
      <c r="N6067" s="5"/>
    </row>
    <row r="6068">
      <c r="N6068" s="5"/>
    </row>
    <row r="6069">
      <c r="N6069" s="5"/>
    </row>
    <row r="6070">
      <c r="N6070" s="5"/>
    </row>
    <row r="6071">
      <c r="N6071" s="5"/>
    </row>
    <row r="6072">
      <c r="N6072" s="5"/>
    </row>
    <row r="6073">
      <c r="N6073" s="5"/>
    </row>
    <row r="6074">
      <c r="N6074" s="5"/>
    </row>
    <row r="6075">
      <c r="N6075" s="5"/>
    </row>
    <row r="6076">
      <c r="N6076" s="5"/>
    </row>
    <row r="6077">
      <c r="N6077" s="5"/>
    </row>
    <row r="6078">
      <c r="N6078" s="5"/>
    </row>
    <row r="6079">
      <c r="N6079" s="5"/>
    </row>
    <row r="6080">
      <c r="N6080" s="5"/>
    </row>
    <row r="6081">
      <c r="N6081" s="5"/>
    </row>
    <row r="6082">
      <c r="N6082" s="5"/>
    </row>
    <row r="6083">
      <c r="N6083" s="5"/>
    </row>
    <row r="6084">
      <c r="N6084" s="5"/>
    </row>
    <row r="6085">
      <c r="N6085" s="5"/>
    </row>
    <row r="6086">
      <c r="N6086" s="5"/>
    </row>
    <row r="6087">
      <c r="N6087" s="5"/>
    </row>
    <row r="6088">
      <c r="N6088" s="5"/>
    </row>
    <row r="6089">
      <c r="N6089" s="5"/>
    </row>
    <row r="6090">
      <c r="N6090" s="5"/>
    </row>
    <row r="6091">
      <c r="N6091" s="5"/>
    </row>
    <row r="6092">
      <c r="N6092" s="5"/>
    </row>
    <row r="6093">
      <c r="N6093" s="5"/>
    </row>
    <row r="6094">
      <c r="N6094" s="5"/>
    </row>
    <row r="6095">
      <c r="N6095" s="5"/>
    </row>
    <row r="6096">
      <c r="N6096" s="5"/>
    </row>
    <row r="6097">
      <c r="N6097" s="5"/>
    </row>
    <row r="6098">
      <c r="N6098" s="5"/>
    </row>
    <row r="6099">
      <c r="N6099" s="5"/>
    </row>
    <row r="6100">
      <c r="N6100" s="5"/>
    </row>
    <row r="6101">
      <c r="N6101" s="5"/>
    </row>
    <row r="6102">
      <c r="N6102" s="5"/>
    </row>
    <row r="6103">
      <c r="N6103" s="5"/>
    </row>
    <row r="6104">
      <c r="N6104" s="5"/>
    </row>
    <row r="6105">
      <c r="N6105" s="5"/>
    </row>
    <row r="6106">
      <c r="N6106" s="5"/>
    </row>
    <row r="6107">
      <c r="N6107" s="5"/>
    </row>
    <row r="6108">
      <c r="N6108" s="5"/>
    </row>
    <row r="6109">
      <c r="N6109" s="5"/>
    </row>
    <row r="6110">
      <c r="N6110" s="5"/>
    </row>
    <row r="6111">
      <c r="N6111" s="5"/>
    </row>
    <row r="6112">
      <c r="N6112" s="5"/>
    </row>
    <row r="6113">
      <c r="N6113" s="5"/>
    </row>
    <row r="6114">
      <c r="N6114" s="5"/>
    </row>
    <row r="6115">
      <c r="N6115" s="5"/>
    </row>
    <row r="6116">
      <c r="N6116" s="5"/>
    </row>
    <row r="6117">
      <c r="N6117" s="5"/>
    </row>
    <row r="6118">
      <c r="N6118" s="5"/>
    </row>
    <row r="6119">
      <c r="N6119" s="5"/>
    </row>
    <row r="6120">
      <c r="N6120" s="5"/>
    </row>
    <row r="6121">
      <c r="N6121" s="5"/>
    </row>
    <row r="6122">
      <c r="N6122" s="5"/>
    </row>
    <row r="6123">
      <c r="N6123" s="5"/>
    </row>
    <row r="6124">
      <c r="N6124" s="5"/>
    </row>
    <row r="6125">
      <c r="N6125" s="5"/>
    </row>
    <row r="6126">
      <c r="N6126" s="5"/>
    </row>
    <row r="6127">
      <c r="N6127" s="5"/>
    </row>
    <row r="6128">
      <c r="N6128" s="5"/>
    </row>
    <row r="6129">
      <c r="N6129" s="5"/>
    </row>
    <row r="6130">
      <c r="N6130" s="5"/>
    </row>
    <row r="6131">
      <c r="N6131" s="5"/>
    </row>
    <row r="6132">
      <c r="N6132" s="5"/>
    </row>
    <row r="6133">
      <c r="N6133" s="5"/>
    </row>
    <row r="6134">
      <c r="N6134" s="5"/>
    </row>
    <row r="6135">
      <c r="N6135" s="5"/>
    </row>
    <row r="6136">
      <c r="N6136" s="5"/>
    </row>
    <row r="6137">
      <c r="N6137" s="5"/>
    </row>
    <row r="6138">
      <c r="N6138" s="5"/>
    </row>
    <row r="6139">
      <c r="N6139" s="5"/>
    </row>
    <row r="6140">
      <c r="N6140" s="5"/>
    </row>
    <row r="6141">
      <c r="N6141" s="5"/>
    </row>
    <row r="6142">
      <c r="N6142" s="5"/>
    </row>
    <row r="6143">
      <c r="N6143" s="5"/>
    </row>
    <row r="6144">
      <c r="N6144" s="5"/>
    </row>
    <row r="6145">
      <c r="N6145" s="5"/>
    </row>
    <row r="6146">
      <c r="N6146" s="5"/>
    </row>
    <row r="6147">
      <c r="N6147" s="5"/>
    </row>
    <row r="6148">
      <c r="N6148" s="5"/>
    </row>
    <row r="6149">
      <c r="N6149" s="5"/>
    </row>
    <row r="6150">
      <c r="N6150" s="5"/>
    </row>
    <row r="6151">
      <c r="N6151" s="5"/>
    </row>
    <row r="6152">
      <c r="N6152" s="5"/>
    </row>
    <row r="6153">
      <c r="N6153" s="5"/>
    </row>
    <row r="6154">
      <c r="N6154" s="5"/>
    </row>
    <row r="6155">
      <c r="N6155" s="5"/>
    </row>
    <row r="6156">
      <c r="N6156" s="5"/>
    </row>
    <row r="6157">
      <c r="N6157" s="5"/>
    </row>
    <row r="6158">
      <c r="N6158" s="5"/>
    </row>
    <row r="6159">
      <c r="N6159" s="5"/>
    </row>
    <row r="6160">
      <c r="N6160" s="5"/>
    </row>
    <row r="6161">
      <c r="N6161" s="5"/>
    </row>
    <row r="6162">
      <c r="N6162" s="5"/>
    </row>
    <row r="6163">
      <c r="N6163" s="5"/>
    </row>
    <row r="6164">
      <c r="N6164" s="5"/>
    </row>
    <row r="6165">
      <c r="N6165" s="5"/>
    </row>
    <row r="6166">
      <c r="N6166" s="5"/>
    </row>
    <row r="6167">
      <c r="N6167" s="5"/>
    </row>
    <row r="6168">
      <c r="N6168" s="5"/>
    </row>
    <row r="6169">
      <c r="N6169" s="5"/>
    </row>
    <row r="6170">
      <c r="N6170" s="5"/>
    </row>
    <row r="6171">
      <c r="N6171" s="5"/>
    </row>
    <row r="6172">
      <c r="N6172" s="5"/>
    </row>
    <row r="6173">
      <c r="N6173" s="5"/>
    </row>
    <row r="6174">
      <c r="N6174" s="5"/>
    </row>
    <row r="6175">
      <c r="N6175" s="5"/>
    </row>
    <row r="6176">
      <c r="N6176" s="5"/>
    </row>
    <row r="6177">
      <c r="N6177" s="5"/>
    </row>
    <row r="6178">
      <c r="N6178" s="5"/>
    </row>
    <row r="6179">
      <c r="N6179" s="5"/>
    </row>
    <row r="6180">
      <c r="N6180" s="5"/>
    </row>
    <row r="6181">
      <c r="N6181" s="5"/>
    </row>
    <row r="6182">
      <c r="N6182" s="5"/>
    </row>
    <row r="6183">
      <c r="N6183" s="5"/>
    </row>
    <row r="6184">
      <c r="N6184" s="5"/>
    </row>
    <row r="6185">
      <c r="N6185" s="5"/>
    </row>
    <row r="6186">
      <c r="N6186" s="5"/>
    </row>
    <row r="6187">
      <c r="N6187" s="5"/>
    </row>
    <row r="6188">
      <c r="N6188" s="5"/>
    </row>
    <row r="6189">
      <c r="N6189" s="5"/>
    </row>
    <row r="6190">
      <c r="N6190" s="5"/>
    </row>
    <row r="6191">
      <c r="N6191" s="5"/>
    </row>
    <row r="6192">
      <c r="N6192" s="5"/>
    </row>
    <row r="6193">
      <c r="N6193" s="5"/>
    </row>
    <row r="6194">
      <c r="N6194" s="5"/>
    </row>
    <row r="6195">
      <c r="N6195" s="5"/>
    </row>
    <row r="6196">
      <c r="N6196" s="5"/>
    </row>
    <row r="6197">
      <c r="N6197" s="5"/>
    </row>
    <row r="6198">
      <c r="N6198" s="5"/>
    </row>
    <row r="6199">
      <c r="N6199" s="5"/>
    </row>
    <row r="6200">
      <c r="N6200" s="5"/>
    </row>
    <row r="6201">
      <c r="N6201" s="5"/>
    </row>
    <row r="6202">
      <c r="N6202" s="5"/>
    </row>
    <row r="6203">
      <c r="N6203" s="5"/>
    </row>
    <row r="6204">
      <c r="N6204" s="5"/>
    </row>
    <row r="6205">
      <c r="N6205" s="5"/>
    </row>
    <row r="6206">
      <c r="N6206" s="5"/>
    </row>
    <row r="6207">
      <c r="N6207" s="5"/>
    </row>
    <row r="6208">
      <c r="N6208" s="5"/>
    </row>
    <row r="6209">
      <c r="N6209" s="5"/>
    </row>
    <row r="6210">
      <c r="N6210" s="5"/>
    </row>
    <row r="6211">
      <c r="N6211" s="5"/>
    </row>
    <row r="6212">
      <c r="N6212" s="5"/>
    </row>
    <row r="6213">
      <c r="N6213" s="5"/>
    </row>
    <row r="6214">
      <c r="N6214" s="5"/>
    </row>
    <row r="6215">
      <c r="N6215" s="5"/>
    </row>
    <row r="6216">
      <c r="N6216" s="5"/>
    </row>
    <row r="6217">
      <c r="N6217" s="5"/>
    </row>
    <row r="6218">
      <c r="N6218" s="5"/>
    </row>
    <row r="6219">
      <c r="N6219" s="5"/>
    </row>
    <row r="6220">
      <c r="N6220" s="5"/>
    </row>
    <row r="6221">
      <c r="N6221" s="5"/>
    </row>
    <row r="6222">
      <c r="N6222" s="5"/>
    </row>
    <row r="6223">
      <c r="N6223" s="5"/>
    </row>
    <row r="6224">
      <c r="N6224" s="5"/>
    </row>
    <row r="6225">
      <c r="N6225" s="5"/>
    </row>
    <row r="6226">
      <c r="N6226" s="5"/>
    </row>
    <row r="6227">
      <c r="N6227" s="5"/>
    </row>
    <row r="6228">
      <c r="N6228" s="5"/>
    </row>
    <row r="6229">
      <c r="N6229" s="5"/>
    </row>
    <row r="6230">
      <c r="N6230" s="5"/>
    </row>
    <row r="6231">
      <c r="N6231" s="5"/>
    </row>
    <row r="6232">
      <c r="N6232" s="5"/>
    </row>
    <row r="6233">
      <c r="N6233" s="5"/>
    </row>
    <row r="6234">
      <c r="N6234" s="5"/>
    </row>
    <row r="6235">
      <c r="N6235" s="5"/>
    </row>
    <row r="6236">
      <c r="N6236" s="5"/>
    </row>
    <row r="6237">
      <c r="N6237" s="5"/>
    </row>
    <row r="6238">
      <c r="N6238" s="5"/>
    </row>
    <row r="6239">
      <c r="N6239" s="5"/>
    </row>
    <row r="6240">
      <c r="N6240" s="5"/>
    </row>
    <row r="6241">
      <c r="N6241" s="5"/>
    </row>
    <row r="6242">
      <c r="N6242" s="5"/>
    </row>
    <row r="6243">
      <c r="N6243" s="5"/>
    </row>
    <row r="6244">
      <c r="N6244" s="5"/>
    </row>
    <row r="6245">
      <c r="N6245" s="5"/>
    </row>
    <row r="6246">
      <c r="N6246" s="5"/>
    </row>
    <row r="6247">
      <c r="N6247" s="5"/>
    </row>
    <row r="6248">
      <c r="N6248" s="5"/>
    </row>
    <row r="6249">
      <c r="N6249" s="5"/>
    </row>
    <row r="6250">
      <c r="N6250" s="5"/>
    </row>
    <row r="6251">
      <c r="N6251" s="5"/>
    </row>
    <row r="6252">
      <c r="N6252" s="5"/>
    </row>
    <row r="6253">
      <c r="N6253" s="5"/>
    </row>
    <row r="6254">
      <c r="N6254" s="5"/>
    </row>
    <row r="6255">
      <c r="N6255" s="5"/>
    </row>
    <row r="6256">
      <c r="N6256" s="5"/>
    </row>
    <row r="6257">
      <c r="N6257" s="5"/>
    </row>
    <row r="6258">
      <c r="N6258" s="5"/>
    </row>
    <row r="6259">
      <c r="N6259" s="5"/>
    </row>
    <row r="6260">
      <c r="N6260" s="5"/>
    </row>
    <row r="6261">
      <c r="N6261" s="5"/>
    </row>
    <row r="6262">
      <c r="N6262" s="5"/>
    </row>
    <row r="6263">
      <c r="N6263" s="5"/>
    </row>
    <row r="6264">
      <c r="N6264" s="5"/>
    </row>
    <row r="6265">
      <c r="N6265" s="5"/>
    </row>
    <row r="6266">
      <c r="N6266" s="5"/>
    </row>
    <row r="6267">
      <c r="N6267" s="5"/>
    </row>
    <row r="6268">
      <c r="N6268" s="5"/>
    </row>
    <row r="6269">
      <c r="N6269" s="5"/>
    </row>
    <row r="6270">
      <c r="N6270" s="5"/>
    </row>
    <row r="6271">
      <c r="N6271" s="5"/>
    </row>
    <row r="6272">
      <c r="N6272" s="5"/>
    </row>
    <row r="6273">
      <c r="N6273" s="5"/>
    </row>
    <row r="6274">
      <c r="N6274" s="5"/>
    </row>
    <row r="6275">
      <c r="N6275" s="5"/>
    </row>
    <row r="6276">
      <c r="N6276" s="5"/>
    </row>
    <row r="6277">
      <c r="N6277" s="5"/>
    </row>
    <row r="6278">
      <c r="N6278" s="5"/>
    </row>
    <row r="6279">
      <c r="N6279" s="5"/>
    </row>
    <row r="6280">
      <c r="N6280" s="5"/>
    </row>
    <row r="6281">
      <c r="N6281" s="5"/>
    </row>
    <row r="6282">
      <c r="N6282" s="5"/>
    </row>
    <row r="6283">
      <c r="N6283" s="5"/>
    </row>
    <row r="6284">
      <c r="N6284" s="5"/>
    </row>
    <row r="6285">
      <c r="N6285" s="5"/>
    </row>
    <row r="6286">
      <c r="N6286" s="5"/>
    </row>
    <row r="6287">
      <c r="N6287" s="5"/>
    </row>
    <row r="6288">
      <c r="N6288" s="5"/>
    </row>
    <row r="6289">
      <c r="N6289" s="5"/>
    </row>
    <row r="6290">
      <c r="N6290" s="5"/>
    </row>
    <row r="6291">
      <c r="N6291" s="5"/>
    </row>
    <row r="6292">
      <c r="N6292" s="5"/>
    </row>
    <row r="6293">
      <c r="N6293" s="5"/>
    </row>
    <row r="6294">
      <c r="N6294" s="5"/>
    </row>
    <row r="6295">
      <c r="N6295" s="5"/>
    </row>
    <row r="6296">
      <c r="N6296" s="5"/>
    </row>
    <row r="6297">
      <c r="N6297" s="5"/>
    </row>
    <row r="6298">
      <c r="N6298" s="5"/>
    </row>
    <row r="6299">
      <c r="N6299" s="5"/>
    </row>
    <row r="6300">
      <c r="N6300" s="5"/>
    </row>
    <row r="6301">
      <c r="N6301" s="5"/>
    </row>
    <row r="6302">
      <c r="N6302" s="5"/>
    </row>
    <row r="6303">
      <c r="N6303" s="5"/>
    </row>
    <row r="6304">
      <c r="N6304" s="5"/>
    </row>
    <row r="6305">
      <c r="N6305" s="5"/>
    </row>
    <row r="6306">
      <c r="N6306" s="5"/>
    </row>
    <row r="6307">
      <c r="N6307" s="5"/>
    </row>
    <row r="6308">
      <c r="N6308" s="5"/>
    </row>
    <row r="6309">
      <c r="N6309" s="5"/>
    </row>
    <row r="6310">
      <c r="N6310" s="5"/>
    </row>
    <row r="6311">
      <c r="N6311" s="5"/>
    </row>
    <row r="6312">
      <c r="N6312" s="5"/>
    </row>
    <row r="6313">
      <c r="N6313" s="5"/>
    </row>
    <row r="6314">
      <c r="N6314" s="5"/>
    </row>
    <row r="6315">
      <c r="N6315" s="5"/>
    </row>
    <row r="6316">
      <c r="N6316" s="5"/>
    </row>
    <row r="6317">
      <c r="N6317" s="5"/>
    </row>
    <row r="6318">
      <c r="N6318" s="5"/>
    </row>
    <row r="6319">
      <c r="N6319" s="5"/>
    </row>
    <row r="6320">
      <c r="N6320" s="5"/>
    </row>
    <row r="6321">
      <c r="N6321" s="5"/>
    </row>
    <row r="6322">
      <c r="N6322" s="5"/>
    </row>
    <row r="6323">
      <c r="N6323" s="5"/>
    </row>
    <row r="6324">
      <c r="N6324" s="5"/>
    </row>
    <row r="6325">
      <c r="N6325" s="5"/>
    </row>
    <row r="6326">
      <c r="N6326" s="5"/>
    </row>
    <row r="6327">
      <c r="N6327" s="5"/>
    </row>
    <row r="6328">
      <c r="N6328" s="5"/>
    </row>
    <row r="6329">
      <c r="N6329" s="5"/>
    </row>
    <row r="6330">
      <c r="N6330" s="5"/>
    </row>
    <row r="6331">
      <c r="N6331" s="5"/>
    </row>
    <row r="6332">
      <c r="N6332" s="5"/>
    </row>
    <row r="6333">
      <c r="N6333" s="5"/>
    </row>
    <row r="6334">
      <c r="N6334" s="5"/>
    </row>
    <row r="6335">
      <c r="N6335" s="5"/>
    </row>
    <row r="6336">
      <c r="N6336" s="5"/>
    </row>
    <row r="6337">
      <c r="N6337" s="5"/>
    </row>
    <row r="6338">
      <c r="N6338" s="5"/>
    </row>
    <row r="6339">
      <c r="N6339" s="5"/>
    </row>
    <row r="6340">
      <c r="N6340" s="5"/>
    </row>
    <row r="6341">
      <c r="N6341" s="5"/>
    </row>
    <row r="6342">
      <c r="N6342" s="5"/>
    </row>
    <row r="6343">
      <c r="N6343" s="5"/>
    </row>
    <row r="6344">
      <c r="N6344" s="5"/>
    </row>
    <row r="6345">
      <c r="N6345" s="5"/>
    </row>
    <row r="6346">
      <c r="N6346" s="5"/>
    </row>
    <row r="6347">
      <c r="N6347" s="5"/>
    </row>
    <row r="6348">
      <c r="N6348" s="5"/>
    </row>
    <row r="6349">
      <c r="N6349" s="5"/>
    </row>
    <row r="6350">
      <c r="N6350" s="5"/>
    </row>
    <row r="6351">
      <c r="N6351" s="5"/>
    </row>
    <row r="6352">
      <c r="N6352" s="5"/>
    </row>
    <row r="6353">
      <c r="N6353" s="5"/>
    </row>
    <row r="6354">
      <c r="N6354" s="5"/>
    </row>
    <row r="6355">
      <c r="N6355" s="5"/>
    </row>
    <row r="6356">
      <c r="N6356" s="5"/>
    </row>
    <row r="6357">
      <c r="N6357" s="5"/>
    </row>
    <row r="6358">
      <c r="N6358" s="5"/>
    </row>
    <row r="6359">
      <c r="N6359" s="5"/>
    </row>
    <row r="6360">
      <c r="N6360" s="5"/>
    </row>
    <row r="6361">
      <c r="N6361" s="5"/>
    </row>
    <row r="6362">
      <c r="N6362" s="5"/>
    </row>
    <row r="6363">
      <c r="N6363" s="5"/>
    </row>
    <row r="6364">
      <c r="N6364" s="5"/>
    </row>
    <row r="6365">
      <c r="N6365" s="5"/>
    </row>
    <row r="6366">
      <c r="N6366" s="5"/>
    </row>
    <row r="6367">
      <c r="N6367" s="5"/>
    </row>
    <row r="6368">
      <c r="N6368" s="5"/>
    </row>
    <row r="6369">
      <c r="N6369" s="5"/>
    </row>
    <row r="6370">
      <c r="N6370" s="5"/>
    </row>
    <row r="6371">
      <c r="N6371" s="5"/>
    </row>
    <row r="6372">
      <c r="N6372" s="5"/>
    </row>
    <row r="6373">
      <c r="N6373" s="5"/>
    </row>
    <row r="6374">
      <c r="N6374" s="5"/>
    </row>
    <row r="6375">
      <c r="N6375" s="5"/>
    </row>
    <row r="6376">
      <c r="N6376" s="5"/>
    </row>
    <row r="6377">
      <c r="N6377" s="5"/>
    </row>
    <row r="6378">
      <c r="N6378" s="5"/>
    </row>
    <row r="6379">
      <c r="N6379" s="5"/>
    </row>
    <row r="6380">
      <c r="N6380" s="5"/>
    </row>
    <row r="6381">
      <c r="N6381" s="5"/>
    </row>
    <row r="6382">
      <c r="N6382" s="5"/>
    </row>
    <row r="6383">
      <c r="N6383" s="5"/>
    </row>
    <row r="6384">
      <c r="N6384" s="5"/>
    </row>
    <row r="6385">
      <c r="N6385" s="5"/>
    </row>
    <row r="6386">
      <c r="N6386" s="5"/>
    </row>
    <row r="6387">
      <c r="N6387" s="5"/>
    </row>
    <row r="6388">
      <c r="N6388" s="5"/>
    </row>
    <row r="6389">
      <c r="N6389" s="5"/>
    </row>
    <row r="6390">
      <c r="N6390" s="5"/>
    </row>
    <row r="6391">
      <c r="N6391" s="5"/>
    </row>
    <row r="6392">
      <c r="N6392" s="5"/>
    </row>
    <row r="6393">
      <c r="N6393" s="5"/>
    </row>
    <row r="6394">
      <c r="N6394" s="5"/>
    </row>
    <row r="6395">
      <c r="N6395" s="5"/>
    </row>
    <row r="6396">
      <c r="N6396" s="5"/>
    </row>
    <row r="6397">
      <c r="N6397" s="5"/>
    </row>
    <row r="6398">
      <c r="N6398" s="5"/>
    </row>
    <row r="6399">
      <c r="N6399" s="5"/>
    </row>
    <row r="6400">
      <c r="N6400" s="5"/>
    </row>
    <row r="6401">
      <c r="N6401" s="5"/>
    </row>
    <row r="6402">
      <c r="N6402" s="5"/>
    </row>
    <row r="6403">
      <c r="N6403" s="5"/>
    </row>
    <row r="6404">
      <c r="N6404" s="5"/>
    </row>
    <row r="6405">
      <c r="N6405" s="5"/>
    </row>
    <row r="6406">
      <c r="N6406" s="5"/>
    </row>
    <row r="6407">
      <c r="N6407" s="5"/>
    </row>
    <row r="6408">
      <c r="N6408" s="5"/>
    </row>
    <row r="6409">
      <c r="N6409" s="5"/>
    </row>
    <row r="6410">
      <c r="N6410" s="5"/>
    </row>
    <row r="6411">
      <c r="N6411" s="5"/>
    </row>
    <row r="6412">
      <c r="N6412" s="5"/>
    </row>
    <row r="6413">
      <c r="N6413" s="5"/>
    </row>
    <row r="6414">
      <c r="N6414" s="5"/>
    </row>
    <row r="6415">
      <c r="N6415" s="5"/>
    </row>
    <row r="6416">
      <c r="N6416" s="5"/>
    </row>
    <row r="6417">
      <c r="N6417" s="5"/>
    </row>
    <row r="6418">
      <c r="N6418" s="5"/>
    </row>
    <row r="6419">
      <c r="N6419" s="5"/>
    </row>
    <row r="6420">
      <c r="N6420" s="5"/>
    </row>
    <row r="6421">
      <c r="N6421" s="5"/>
    </row>
    <row r="6422">
      <c r="N6422" s="5"/>
    </row>
    <row r="6423">
      <c r="N6423" s="5"/>
    </row>
    <row r="6424">
      <c r="N6424" s="5"/>
    </row>
    <row r="6425">
      <c r="N6425" s="5"/>
    </row>
    <row r="6426">
      <c r="N6426" s="5"/>
    </row>
    <row r="6427">
      <c r="N6427" s="5"/>
    </row>
    <row r="6428">
      <c r="N6428" s="5"/>
    </row>
    <row r="6429">
      <c r="N6429" s="5"/>
    </row>
    <row r="6430">
      <c r="N6430" s="5"/>
    </row>
    <row r="6431">
      <c r="N6431" s="5"/>
    </row>
    <row r="6432">
      <c r="N6432" s="5"/>
    </row>
    <row r="6433">
      <c r="N6433" s="5"/>
    </row>
    <row r="6434">
      <c r="N6434" s="5"/>
    </row>
    <row r="6435">
      <c r="N6435" s="5"/>
    </row>
    <row r="6436">
      <c r="N6436" s="5"/>
    </row>
    <row r="6437">
      <c r="N6437" s="5"/>
    </row>
    <row r="6438">
      <c r="N6438" s="5"/>
    </row>
    <row r="6439">
      <c r="N6439" s="5"/>
    </row>
    <row r="6440">
      <c r="N6440" s="5"/>
    </row>
    <row r="6441">
      <c r="N6441" s="5"/>
    </row>
    <row r="6442">
      <c r="N6442" s="5"/>
    </row>
    <row r="6443">
      <c r="N6443" s="5"/>
    </row>
    <row r="6444">
      <c r="N6444" s="5"/>
    </row>
    <row r="6445">
      <c r="N6445" s="5"/>
    </row>
    <row r="6446">
      <c r="N6446" s="5"/>
    </row>
    <row r="6447">
      <c r="N6447" s="5"/>
    </row>
    <row r="6448">
      <c r="N6448" s="5"/>
    </row>
    <row r="6449">
      <c r="N6449" s="5"/>
    </row>
    <row r="6450">
      <c r="N6450" s="5"/>
    </row>
    <row r="6451">
      <c r="N6451" s="5"/>
    </row>
    <row r="6452">
      <c r="N6452" s="5"/>
    </row>
    <row r="6453">
      <c r="N6453" s="5"/>
    </row>
    <row r="6454">
      <c r="N6454" s="5"/>
    </row>
    <row r="6455">
      <c r="N6455" s="5"/>
    </row>
    <row r="6456">
      <c r="N6456" s="5"/>
    </row>
    <row r="6457">
      <c r="N6457" s="5"/>
    </row>
    <row r="6458">
      <c r="N6458" s="5"/>
    </row>
    <row r="6459">
      <c r="N6459" s="5"/>
    </row>
    <row r="6460">
      <c r="N6460" s="5"/>
    </row>
    <row r="6461">
      <c r="N6461" s="5"/>
    </row>
    <row r="6462">
      <c r="N6462" s="5"/>
    </row>
    <row r="6463">
      <c r="N6463" s="5"/>
    </row>
    <row r="6464">
      <c r="N6464" s="5"/>
    </row>
    <row r="6465">
      <c r="N6465" s="5"/>
    </row>
    <row r="6466">
      <c r="N6466" s="5"/>
    </row>
    <row r="6467">
      <c r="N6467" s="5"/>
    </row>
    <row r="6468">
      <c r="N6468" s="5"/>
    </row>
    <row r="6469">
      <c r="N6469" s="5"/>
    </row>
    <row r="6470">
      <c r="N6470" s="5"/>
    </row>
    <row r="6471">
      <c r="N6471" s="5"/>
    </row>
    <row r="6472">
      <c r="N6472" s="5"/>
    </row>
    <row r="6473">
      <c r="N6473" s="5"/>
    </row>
    <row r="6474">
      <c r="N6474" s="5"/>
    </row>
    <row r="6475">
      <c r="N6475" s="5"/>
    </row>
    <row r="6476">
      <c r="N6476" s="5"/>
    </row>
    <row r="6477">
      <c r="N6477" s="5"/>
    </row>
    <row r="6478">
      <c r="N6478" s="5"/>
    </row>
    <row r="6479">
      <c r="N6479" s="5"/>
    </row>
    <row r="6480">
      <c r="N6480" s="5"/>
    </row>
    <row r="6481">
      <c r="N6481" s="5"/>
    </row>
    <row r="6482">
      <c r="N6482" s="5"/>
    </row>
    <row r="6483">
      <c r="N6483" s="5"/>
    </row>
    <row r="6484">
      <c r="N6484" s="5"/>
    </row>
    <row r="6485">
      <c r="N6485" s="5"/>
    </row>
    <row r="6486">
      <c r="N6486" s="5"/>
    </row>
    <row r="6487">
      <c r="N6487" s="5"/>
    </row>
    <row r="6488">
      <c r="N6488" s="5"/>
    </row>
    <row r="6489">
      <c r="N6489" s="5"/>
    </row>
    <row r="6490">
      <c r="N6490" s="5"/>
    </row>
    <row r="6491">
      <c r="N6491" s="5"/>
    </row>
    <row r="6492">
      <c r="N6492" s="5"/>
    </row>
    <row r="6493">
      <c r="N6493" s="5"/>
    </row>
    <row r="6494">
      <c r="N6494" s="5"/>
    </row>
    <row r="6495">
      <c r="N6495" s="5"/>
    </row>
    <row r="6496">
      <c r="N6496" s="5"/>
    </row>
    <row r="6497">
      <c r="N6497" s="5"/>
    </row>
    <row r="6498">
      <c r="N6498" s="5"/>
    </row>
    <row r="6499">
      <c r="N6499" s="5"/>
    </row>
    <row r="6500">
      <c r="N6500" s="5"/>
    </row>
    <row r="6501">
      <c r="N6501" s="5"/>
    </row>
    <row r="6502">
      <c r="N6502" s="5"/>
    </row>
    <row r="6503">
      <c r="N6503" s="5"/>
    </row>
    <row r="6504">
      <c r="N6504" s="5"/>
    </row>
    <row r="6505">
      <c r="N6505" s="5"/>
    </row>
    <row r="6506">
      <c r="N6506" s="5"/>
    </row>
    <row r="6507">
      <c r="N6507" s="5"/>
    </row>
    <row r="6508">
      <c r="N6508" s="5"/>
    </row>
    <row r="6509">
      <c r="N6509" s="5"/>
    </row>
    <row r="6510">
      <c r="N6510" s="5"/>
    </row>
    <row r="6511">
      <c r="N6511" s="5"/>
    </row>
    <row r="6512">
      <c r="N6512" s="5"/>
    </row>
    <row r="6513">
      <c r="N6513" s="5"/>
    </row>
    <row r="6514">
      <c r="N6514" s="5"/>
    </row>
    <row r="6515">
      <c r="N6515" s="5"/>
    </row>
    <row r="6516">
      <c r="N6516" s="5"/>
    </row>
    <row r="6517">
      <c r="N6517" s="5"/>
    </row>
    <row r="6518">
      <c r="N6518" s="5"/>
    </row>
    <row r="6519">
      <c r="N6519" s="5"/>
    </row>
    <row r="6520">
      <c r="N6520" s="5"/>
    </row>
    <row r="6521">
      <c r="N6521" s="5"/>
    </row>
    <row r="6522">
      <c r="N6522" s="5"/>
    </row>
    <row r="6523">
      <c r="N6523" s="5"/>
    </row>
    <row r="6524">
      <c r="N6524" s="5"/>
    </row>
    <row r="6525">
      <c r="N6525" s="5"/>
    </row>
    <row r="6526">
      <c r="N6526" s="5"/>
    </row>
    <row r="6527">
      <c r="N6527" s="5"/>
    </row>
    <row r="6528">
      <c r="N6528" s="5"/>
    </row>
    <row r="6529">
      <c r="N6529" s="5"/>
    </row>
    <row r="6530">
      <c r="N6530" s="5"/>
    </row>
    <row r="6531">
      <c r="N6531" s="5"/>
    </row>
    <row r="6532">
      <c r="N6532" s="5"/>
    </row>
    <row r="6533">
      <c r="N6533" s="5"/>
    </row>
    <row r="6534">
      <c r="N6534" s="5"/>
    </row>
    <row r="6535">
      <c r="N6535" s="5"/>
    </row>
    <row r="6536">
      <c r="N6536" s="5"/>
    </row>
    <row r="6537">
      <c r="N6537" s="5"/>
    </row>
    <row r="6538">
      <c r="N6538" s="5"/>
    </row>
    <row r="6539">
      <c r="N6539" s="5"/>
    </row>
    <row r="6540">
      <c r="N6540" s="5"/>
    </row>
    <row r="6541">
      <c r="N6541" s="5"/>
    </row>
    <row r="6542">
      <c r="N6542" s="5"/>
    </row>
    <row r="6543">
      <c r="N6543" s="5"/>
    </row>
    <row r="6544">
      <c r="N6544" s="5"/>
    </row>
    <row r="6545">
      <c r="N6545" s="5"/>
    </row>
    <row r="6546">
      <c r="N6546" s="5"/>
    </row>
    <row r="6547">
      <c r="N6547" s="5"/>
    </row>
    <row r="6548">
      <c r="N6548" s="5"/>
    </row>
    <row r="6549">
      <c r="N6549" s="5"/>
    </row>
    <row r="6550">
      <c r="N6550" s="5"/>
    </row>
    <row r="6551">
      <c r="N6551" s="5"/>
    </row>
    <row r="6552">
      <c r="N6552" s="5"/>
    </row>
    <row r="6553">
      <c r="N6553" s="5"/>
    </row>
    <row r="6554">
      <c r="N6554" s="5"/>
    </row>
    <row r="6555">
      <c r="N6555" s="5"/>
    </row>
    <row r="6556">
      <c r="N6556" s="5"/>
    </row>
    <row r="6557">
      <c r="N6557" s="5"/>
    </row>
    <row r="6558">
      <c r="N6558" s="5"/>
    </row>
    <row r="6559">
      <c r="N6559" s="5"/>
    </row>
    <row r="6560">
      <c r="N6560" s="5"/>
    </row>
    <row r="6561">
      <c r="N6561" s="5"/>
    </row>
    <row r="6562">
      <c r="N6562" s="5"/>
    </row>
    <row r="6563">
      <c r="N6563" s="5"/>
    </row>
    <row r="6564">
      <c r="N6564" s="5"/>
    </row>
    <row r="6565">
      <c r="N6565" s="5"/>
    </row>
    <row r="6566">
      <c r="N6566" s="5"/>
    </row>
    <row r="6567">
      <c r="N6567" s="5"/>
    </row>
    <row r="6568">
      <c r="N6568" s="5"/>
    </row>
    <row r="6569">
      <c r="N6569" s="5"/>
    </row>
    <row r="6570">
      <c r="N6570" s="5"/>
    </row>
    <row r="6571">
      <c r="N6571" s="5"/>
    </row>
    <row r="6572">
      <c r="N6572" s="5"/>
    </row>
    <row r="6573">
      <c r="N6573" s="5"/>
    </row>
    <row r="6574">
      <c r="N6574" s="5"/>
    </row>
    <row r="6575">
      <c r="N6575" s="5"/>
    </row>
    <row r="6576">
      <c r="N6576" s="5"/>
    </row>
    <row r="6577">
      <c r="N6577" s="5"/>
    </row>
    <row r="6578">
      <c r="N6578" s="5"/>
    </row>
    <row r="6579">
      <c r="N6579" s="5"/>
    </row>
    <row r="6580">
      <c r="N6580" s="5"/>
    </row>
    <row r="6581">
      <c r="N6581" s="5"/>
    </row>
    <row r="6582">
      <c r="N6582" s="5"/>
    </row>
    <row r="6583">
      <c r="N6583" s="5"/>
    </row>
    <row r="6584">
      <c r="N6584" s="5"/>
    </row>
    <row r="6585">
      <c r="N6585" s="5"/>
    </row>
    <row r="6586">
      <c r="N6586" s="5"/>
    </row>
    <row r="6587">
      <c r="N6587" s="5"/>
    </row>
    <row r="6588">
      <c r="N6588" s="5"/>
    </row>
    <row r="6589">
      <c r="N6589" s="5"/>
    </row>
    <row r="6590">
      <c r="N6590" s="5"/>
    </row>
    <row r="6591">
      <c r="N6591" s="5"/>
    </row>
    <row r="6592">
      <c r="N6592" s="5"/>
    </row>
    <row r="6593">
      <c r="N6593" s="5"/>
    </row>
    <row r="6594">
      <c r="N6594" s="5"/>
    </row>
    <row r="6595">
      <c r="N6595" s="5"/>
    </row>
    <row r="6596">
      <c r="N6596" s="5"/>
    </row>
    <row r="6597">
      <c r="N6597" s="5"/>
    </row>
    <row r="6598">
      <c r="N6598" s="5"/>
    </row>
    <row r="6599">
      <c r="N6599" s="5"/>
    </row>
    <row r="6600">
      <c r="N6600" s="5"/>
    </row>
    <row r="6601">
      <c r="N6601" s="5"/>
    </row>
    <row r="6602">
      <c r="N6602" s="5"/>
    </row>
    <row r="6603">
      <c r="N6603" s="5"/>
    </row>
    <row r="6604">
      <c r="N6604" s="5"/>
    </row>
    <row r="6605">
      <c r="N6605" s="5"/>
    </row>
    <row r="6606">
      <c r="N6606" s="5"/>
    </row>
    <row r="6607">
      <c r="N6607" s="5"/>
    </row>
    <row r="6608">
      <c r="N6608" s="5"/>
    </row>
    <row r="6609">
      <c r="N6609" s="5"/>
    </row>
    <row r="6610">
      <c r="N6610" s="5"/>
    </row>
    <row r="6611">
      <c r="N6611" s="5"/>
    </row>
    <row r="6612">
      <c r="N6612" s="5"/>
    </row>
    <row r="6613">
      <c r="N6613" s="5"/>
    </row>
    <row r="6614">
      <c r="N6614" s="5"/>
    </row>
    <row r="6615">
      <c r="N6615" s="5"/>
    </row>
    <row r="6616">
      <c r="N6616" s="5"/>
    </row>
    <row r="6617">
      <c r="N6617" s="5"/>
    </row>
    <row r="6618">
      <c r="N6618" s="5"/>
    </row>
    <row r="6619">
      <c r="N6619" s="5"/>
    </row>
    <row r="6620">
      <c r="N6620" s="5"/>
    </row>
    <row r="6621">
      <c r="N6621" s="5"/>
    </row>
    <row r="6622">
      <c r="N6622" s="5"/>
    </row>
    <row r="6623">
      <c r="N6623" s="5"/>
    </row>
    <row r="6624">
      <c r="N6624" s="5"/>
    </row>
    <row r="6625">
      <c r="N6625" s="5"/>
    </row>
    <row r="6626">
      <c r="N6626" s="5"/>
    </row>
    <row r="6627">
      <c r="N6627" s="5"/>
    </row>
    <row r="6628">
      <c r="N6628" s="5"/>
    </row>
    <row r="6629">
      <c r="N6629" s="5"/>
    </row>
    <row r="6630">
      <c r="N6630" s="5"/>
    </row>
    <row r="6631">
      <c r="N6631" s="5"/>
    </row>
    <row r="6632">
      <c r="N6632" s="5"/>
    </row>
    <row r="6633">
      <c r="N6633" s="5"/>
    </row>
    <row r="6634">
      <c r="N6634" s="5"/>
    </row>
    <row r="6635">
      <c r="N6635" s="5"/>
    </row>
    <row r="6636">
      <c r="N6636" s="5"/>
    </row>
    <row r="6637">
      <c r="N6637" s="5"/>
    </row>
    <row r="6638">
      <c r="N6638" s="5"/>
    </row>
    <row r="6639">
      <c r="N6639" s="5"/>
    </row>
    <row r="6640">
      <c r="N6640" s="5"/>
    </row>
    <row r="6641">
      <c r="N6641" s="5"/>
    </row>
    <row r="6642">
      <c r="N6642" s="5"/>
    </row>
    <row r="6643">
      <c r="N6643" s="5"/>
    </row>
    <row r="6644">
      <c r="N6644" s="5"/>
    </row>
    <row r="6645">
      <c r="N6645" s="5"/>
    </row>
    <row r="6646">
      <c r="N6646" s="5"/>
    </row>
    <row r="6647">
      <c r="N6647" s="5"/>
    </row>
    <row r="6648">
      <c r="N6648" s="5"/>
    </row>
    <row r="6649">
      <c r="N6649" s="5"/>
    </row>
    <row r="6650">
      <c r="N6650" s="5"/>
    </row>
    <row r="6651">
      <c r="N6651" s="5"/>
    </row>
    <row r="6652">
      <c r="N6652" s="5"/>
    </row>
    <row r="6653">
      <c r="N6653" s="5"/>
    </row>
    <row r="6654">
      <c r="N6654" s="5"/>
    </row>
    <row r="6655">
      <c r="N6655" s="5"/>
    </row>
    <row r="6656">
      <c r="N6656" s="5"/>
    </row>
    <row r="6657">
      <c r="N6657" s="5"/>
    </row>
    <row r="6658">
      <c r="N6658" s="5"/>
    </row>
    <row r="6659">
      <c r="N6659" s="5"/>
    </row>
    <row r="6660">
      <c r="N6660" s="5"/>
    </row>
    <row r="6661">
      <c r="N6661" s="5"/>
    </row>
    <row r="6662">
      <c r="N6662" s="5"/>
    </row>
    <row r="6663">
      <c r="N6663" s="5"/>
    </row>
    <row r="6664">
      <c r="N6664" s="5"/>
    </row>
    <row r="6665">
      <c r="N6665" s="5"/>
    </row>
    <row r="6666">
      <c r="N6666" s="5"/>
    </row>
    <row r="6667">
      <c r="N6667" s="5"/>
    </row>
    <row r="6668">
      <c r="N6668" s="5"/>
    </row>
    <row r="6669">
      <c r="N6669" s="5"/>
    </row>
    <row r="6670">
      <c r="N6670" s="5"/>
    </row>
    <row r="6671">
      <c r="N6671" s="5"/>
    </row>
    <row r="6672">
      <c r="N6672" s="5"/>
    </row>
    <row r="6673">
      <c r="N6673" s="5"/>
    </row>
    <row r="6674">
      <c r="N6674" s="5"/>
    </row>
    <row r="6675">
      <c r="N6675" s="5"/>
    </row>
    <row r="6676">
      <c r="N6676" s="5"/>
    </row>
    <row r="6677">
      <c r="N6677" s="5"/>
    </row>
    <row r="6678">
      <c r="N6678" s="5"/>
    </row>
    <row r="6679">
      <c r="N6679" s="5"/>
    </row>
    <row r="6680">
      <c r="N6680" s="5"/>
    </row>
    <row r="6681">
      <c r="N6681" s="5"/>
    </row>
    <row r="6682">
      <c r="N6682" s="5"/>
    </row>
    <row r="6683">
      <c r="N6683" s="5"/>
    </row>
    <row r="6684">
      <c r="N6684" s="5"/>
    </row>
    <row r="6685">
      <c r="N6685" s="5"/>
    </row>
    <row r="6686">
      <c r="N6686" s="5"/>
    </row>
    <row r="6687">
      <c r="N6687" s="5"/>
    </row>
    <row r="6688">
      <c r="N6688" s="5"/>
    </row>
    <row r="6689">
      <c r="N6689" s="5"/>
    </row>
    <row r="6690">
      <c r="N6690" s="5"/>
    </row>
    <row r="6691">
      <c r="N6691" s="5"/>
    </row>
    <row r="6692">
      <c r="N6692" s="5"/>
    </row>
    <row r="6693">
      <c r="N6693" s="5"/>
    </row>
    <row r="6694">
      <c r="N6694" s="5"/>
    </row>
    <row r="6695">
      <c r="N6695" s="5"/>
    </row>
    <row r="6696">
      <c r="N6696" s="5"/>
    </row>
    <row r="6697">
      <c r="N6697" s="5"/>
    </row>
    <row r="6698">
      <c r="N6698" s="5"/>
    </row>
    <row r="6699">
      <c r="N6699" s="5"/>
    </row>
    <row r="6700">
      <c r="N6700" s="5"/>
    </row>
    <row r="6701">
      <c r="N6701" s="5"/>
    </row>
    <row r="6702">
      <c r="N6702" s="5"/>
    </row>
    <row r="6703">
      <c r="N6703" s="5"/>
    </row>
    <row r="6704">
      <c r="N6704" s="5"/>
    </row>
    <row r="6705">
      <c r="N6705" s="5"/>
    </row>
    <row r="6706">
      <c r="N6706" s="5"/>
    </row>
    <row r="6707">
      <c r="N6707" s="5"/>
    </row>
    <row r="6708">
      <c r="N6708" s="5"/>
    </row>
    <row r="6709">
      <c r="N6709" s="5"/>
    </row>
    <row r="6710">
      <c r="N6710" s="5"/>
    </row>
    <row r="6711">
      <c r="N6711" s="5"/>
    </row>
    <row r="6712">
      <c r="N6712" s="5"/>
    </row>
    <row r="6713">
      <c r="N6713" s="5"/>
    </row>
    <row r="6714">
      <c r="N6714" s="5"/>
    </row>
    <row r="6715">
      <c r="N6715" s="5"/>
    </row>
    <row r="6716">
      <c r="N6716" s="5"/>
    </row>
    <row r="6717">
      <c r="N6717" s="5"/>
    </row>
    <row r="6718">
      <c r="N6718" s="5"/>
    </row>
    <row r="6719">
      <c r="N6719" s="5"/>
    </row>
    <row r="6720">
      <c r="N6720" s="5"/>
    </row>
    <row r="6721">
      <c r="N6721" s="5"/>
    </row>
    <row r="6722">
      <c r="N6722" s="5"/>
    </row>
    <row r="6723">
      <c r="N6723" s="5"/>
    </row>
    <row r="6724">
      <c r="N6724" s="5"/>
    </row>
    <row r="6725">
      <c r="N6725" s="5"/>
    </row>
    <row r="6726">
      <c r="N6726" s="5"/>
    </row>
    <row r="6727">
      <c r="N6727" s="5"/>
    </row>
    <row r="6728">
      <c r="N6728" s="5"/>
    </row>
    <row r="6729">
      <c r="N6729" s="5"/>
    </row>
    <row r="6730">
      <c r="N6730" s="5"/>
    </row>
    <row r="6731">
      <c r="N6731" s="5"/>
    </row>
    <row r="6732">
      <c r="N6732" s="5"/>
    </row>
    <row r="6733">
      <c r="N6733" s="5"/>
    </row>
    <row r="6734">
      <c r="N6734" s="5"/>
    </row>
    <row r="6735">
      <c r="N6735" s="5"/>
    </row>
    <row r="6736">
      <c r="N6736" s="5"/>
    </row>
    <row r="6737">
      <c r="N6737" s="5"/>
    </row>
    <row r="6738">
      <c r="N6738" s="5"/>
    </row>
    <row r="6739">
      <c r="N6739" s="5"/>
    </row>
    <row r="6740">
      <c r="N6740" s="5"/>
    </row>
    <row r="6741">
      <c r="N6741" s="5"/>
    </row>
    <row r="6742">
      <c r="N6742" s="5"/>
    </row>
    <row r="6743">
      <c r="N6743" s="5"/>
    </row>
    <row r="6744">
      <c r="N6744" s="5"/>
    </row>
    <row r="6745">
      <c r="N6745" s="5"/>
    </row>
    <row r="6746">
      <c r="N6746" s="5"/>
    </row>
    <row r="6747">
      <c r="N6747" s="5"/>
    </row>
    <row r="6748">
      <c r="N6748" s="5"/>
    </row>
    <row r="6749">
      <c r="N6749" s="5"/>
    </row>
    <row r="6750">
      <c r="N6750" s="5"/>
    </row>
    <row r="6751">
      <c r="N6751" s="5"/>
    </row>
    <row r="6752">
      <c r="N6752" s="5"/>
    </row>
    <row r="6753">
      <c r="N6753" s="5"/>
    </row>
    <row r="6754">
      <c r="N6754" s="5"/>
    </row>
    <row r="6755">
      <c r="N6755" s="5"/>
    </row>
    <row r="6756">
      <c r="N6756" s="5"/>
    </row>
    <row r="6757">
      <c r="N6757" s="5"/>
    </row>
    <row r="6758">
      <c r="N6758" s="5"/>
    </row>
    <row r="6759">
      <c r="N6759" s="5"/>
    </row>
    <row r="6760">
      <c r="N6760" s="5"/>
    </row>
    <row r="6761">
      <c r="N6761" s="5"/>
    </row>
    <row r="6762">
      <c r="N6762" s="5"/>
    </row>
    <row r="6763">
      <c r="N6763" s="5"/>
    </row>
    <row r="6764">
      <c r="N6764" s="5"/>
    </row>
    <row r="6765">
      <c r="N6765" s="5"/>
    </row>
    <row r="6766">
      <c r="N6766" s="5"/>
    </row>
    <row r="6767">
      <c r="N6767" s="5"/>
    </row>
    <row r="6768">
      <c r="N6768" s="5"/>
    </row>
    <row r="6769">
      <c r="N6769" s="5"/>
    </row>
    <row r="6770">
      <c r="N6770" s="5"/>
    </row>
    <row r="6771">
      <c r="N6771" s="5"/>
    </row>
    <row r="6772">
      <c r="N6772" s="5"/>
    </row>
    <row r="6773">
      <c r="N6773" s="5"/>
    </row>
    <row r="6774">
      <c r="N6774" s="5"/>
    </row>
    <row r="6775">
      <c r="N6775" s="5"/>
    </row>
    <row r="6776">
      <c r="N6776" s="5"/>
    </row>
    <row r="6777">
      <c r="N6777" s="5"/>
    </row>
    <row r="6778">
      <c r="N6778" s="5"/>
    </row>
    <row r="6779">
      <c r="N6779" s="5"/>
    </row>
    <row r="6780">
      <c r="N6780" s="5"/>
    </row>
    <row r="6781">
      <c r="N6781" s="5"/>
    </row>
    <row r="6782">
      <c r="N6782" s="5"/>
    </row>
    <row r="6783">
      <c r="N6783" s="5"/>
    </row>
    <row r="6784">
      <c r="N6784" s="5"/>
    </row>
    <row r="6785">
      <c r="N6785" s="5"/>
    </row>
    <row r="6786">
      <c r="N6786" s="5"/>
    </row>
    <row r="6787">
      <c r="N6787" s="5"/>
    </row>
    <row r="6788">
      <c r="N6788" s="5"/>
    </row>
    <row r="6789">
      <c r="N6789" s="5"/>
    </row>
    <row r="6790">
      <c r="N6790" s="5"/>
    </row>
    <row r="6791">
      <c r="N6791" s="5"/>
    </row>
    <row r="6792">
      <c r="N6792" s="5"/>
    </row>
    <row r="6793">
      <c r="N6793" s="5"/>
    </row>
    <row r="6794">
      <c r="N6794" s="5"/>
    </row>
    <row r="6795">
      <c r="N6795" s="5"/>
    </row>
    <row r="6796">
      <c r="N6796" s="5"/>
    </row>
    <row r="6797">
      <c r="N6797" s="5"/>
    </row>
    <row r="6798">
      <c r="N6798" s="5"/>
    </row>
    <row r="6799">
      <c r="N6799" s="5"/>
    </row>
    <row r="6800">
      <c r="N6800" s="5"/>
    </row>
    <row r="6801">
      <c r="N6801" s="5"/>
    </row>
    <row r="6802">
      <c r="N6802" s="5"/>
    </row>
    <row r="6803">
      <c r="N6803" s="5"/>
    </row>
    <row r="6804">
      <c r="N6804" s="5"/>
    </row>
    <row r="6805">
      <c r="N6805" s="5"/>
    </row>
    <row r="6806">
      <c r="N6806" s="5"/>
    </row>
    <row r="6807">
      <c r="N6807" s="5"/>
    </row>
    <row r="6808">
      <c r="N6808" s="5"/>
    </row>
    <row r="6809">
      <c r="N6809" s="5"/>
    </row>
    <row r="6810">
      <c r="N6810" s="5"/>
    </row>
    <row r="6811">
      <c r="N6811" s="5"/>
    </row>
    <row r="6812">
      <c r="N6812" s="5"/>
    </row>
    <row r="6813">
      <c r="N6813" s="5"/>
    </row>
    <row r="6814">
      <c r="N6814" s="5"/>
    </row>
    <row r="6815">
      <c r="N6815" s="5"/>
    </row>
    <row r="6816">
      <c r="N6816" s="5"/>
    </row>
    <row r="6817">
      <c r="N6817" s="5"/>
    </row>
    <row r="6818">
      <c r="N6818" s="5"/>
    </row>
    <row r="6819">
      <c r="N6819" s="5"/>
    </row>
    <row r="6820">
      <c r="N6820" s="5"/>
    </row>
    <row r="6821">
      <c r="N6821" s="5"/>
    </row>
    <row r="6822">
      <c r="N6822" s="5"/>
    </row>
    <row r="6823">
      <c r="N6823" s="5"/>
    </row>
    <row r="6824">
      <c r="N6824" s="5"/>
    </row>
    <row r="6825">
      <c r="N6825" s="5"/>
    </row>
    <row r="6826">
      <c r="N6826" s="5"/>
    </row>
    <row r="6827">
      <c r="N6827" s="5"/>
    </row>
    <row r="6828">
      <c r="N6828" s="5"/>
    </row>
    <row r="6829">
      <c r="N6829" s="5"/>
    </row>
    <row r="6830">
      <c r="N6830" s="5"/>
    </row>
    <row r="6831">
      <c r="N6831" s="5"/>
    </row>
    <row r="6832">
      <c r="N6832" s="5"/>
    </row>
    <row r="6833">
      <c r="N6833" s="5"/>
    </row>
    <row r="6834">
      <c r="N6834" s="5"/>
    </row>
    <row r="6835">
      <c r="N6835" s="5"/>
    </row>
    <row r="6836">
      <c r="N6836" s="5"/>
    </row>
    <row r="6837">
      <c r="N6837" s="5"/>
    </row>
    <row r="6838">
      <c r="N6838" s="5"/>
    </row>
    <row r="6839">
      <c r="N6839" s="5"/>
    </row>
    <row r="6840">
      <c r="N6840" s="5"/>
    </row>
    <row r="6841">
      <c r="N6841" s="5"/>
    </row>
    <row r="6842">
      <c r="N6842" s="5"/>
    </row>
    <row r="6843">
      <c r="N6843" s="5"/>
    </row>
    <row r="6844">
      <c r="N6844" s="5"/>
    </row>
    <row r="6845">
      <c r="N6845" s="5"/>
    </row>
    <row r="6846">
      <c r="N6846" s="5"/>
    </row>
    <row r="6847">
      <c r="N6847" s="5"/>
    </row>
    <row r="6848">
      <c r="N6848" s="5"/>
    </row>
    <row r="6849">
      <c r="N6849" s="5"/>
    </row>
    <row r="6850">
      <c r="N6850" s="5"/>
    </row>
    <row r="6851">
      <c r="N6851" s="5"/>
    </row>
    <row r="6852">
      <c r="N6852" s="5"/>
    </row>
    <row r="6853">
      <c r="N6853" s="5"/>
    </row>
    <row r="6854">
      <c r="N6854" s="5"/>
    </row>
    <row r="6855">
      <c r="N6855" s="5"/>
    </row>
    <row r="6856">
      <c r="N6856" s="5"/>
    </row>
    <row r="6857">
      <c r="N6857" s="5"/>
    </row>
    <row r="6858">
      <c r="N6858" s="5"/>
    </row>
    <row r="6859">
      <c r="N6859" s="5"/>
    </row>
    <row r="6860">
      <c r="N6860" s="5"/>
    </row>
    <row r="6861">
      <c r="N6861" s="5"/>
    </row>
    <row r="6862">
      <c r="N6862" s="5"/>
    </row>
    <row r="6863">
      <c r="N6863" s="5"/>
    </row>
    <row r="6864">
      <c r="N6864" s="5"/>
    </row>
    <row r="6865">
      <c r="N6865" s="5"/>
    </row>
    <row r="6866">
      <c r="N6866" s="5"/>
    </row>
    <row r="6867">
      <c r="N6867" s="5"/>
    </row>
    <row r="6868">
      <c r="N6868" s="5"/>
    </row>
    <row r="6869">
      <c r="N6869" s="5"/>
    </row>
    <row r="6870">
      <c r="N6870" s="5"/>
    </row>
    <row r="6871">
      <c r="N6871" s="5"/>
    </row>
    <row r="6872">
      <c r="N6872" s="5"/>
    </row>
    <row r="6873">
      <c r="N6873" s="5"/>
    </row>
    <row r="6874">
      <c r="N6874" s="5"/>
    </row>
    <row r="6875">
      <c r="N6875" s="5"/>
    </row>
    <row r="6876">
      <c r="N6876" s="5"/>
    </row>
    <row r="6877">
      <c r="N6877" s="5"/>
    </row>
    <row r="6878">
      <c r="N6878" s="5"/>
    </row>
    <row r="6879">
      <c r="N6879" s="5"/>
    </row>
    <row r="6880">
      <c r="N6880" s="5"/>
    </row>
    <row r="6881">
      <c r="N6881" s="5"/>
    </row>
    <row r="6882">
      <c r="N6882" s="5"/>
    </row>
    <row r="6883">
      <c r="N6883" s="5"/>
    </row>
    <row r="6884">
      <c r="N6884" s="5"/>
    </row>
    <row r="6885">
      <c r="N6885" s="5"/>
    </row>
    <row r="6886">
      <c r="N6886" s="5"/>
    </row>
    <row r="6887">
      <c r="N6887" s="5"/>
    </row>
    <row r="6888">
      <c r="N6888" s="5"/>
    </row>
    <row r="6889">
      <c r="N6889" s="5"/>
    </row>
    <row r="6890">
      <c r="N6890" s="5"/>
    </row>
    <row r="6891">
      <c r="N6891" s="5"/>
    </row>
    <row r="6892">
      <c r="N6892" s="5"/>
    </row>
    <row r="6893">
      <c r="N6893" s="5"/>
    </row>
    <row r="6894">
      <c r="N6894" s="5"/>
    </row>
    <row r="6895">
      <c r="N6895" s="5"/>
    </row>
    <row r="6896">
      <c r="N6896" s="5"/>
    </row>
    <row r="6897">
      <c r="N6897" s="5"/>
    </row>
    <row r="6898">
      <c r="N6898" s="5"/>
    </row>
    <row r="6899">
      <c r="N6899" s="5"/>
    </row>
    <row r="6900">
      <c r="N6900" s="5"/>
    </row>
    <row r="6901">
      <c r="N6901" s="5"/>
    </row>
    <row r="6902">
      <c r="N6902" s="5"/>
    </row>
    <row r="6903">
      <c r="N6903" s="5"/>
    </row>
    <row r="6904">
      <c r="N6904" s="5"/>
    </row>
    <row r="6905">
      <c r="N6905" s="5"/>
    </row>
    <row r="6906">
      <c r="N6906" s="5"/>
    </row>
    <row r="6907">
      <c r="N6907" s="5"/>
    </row>
    <row r="6908">
      <c r="N6908" s="5"/>
    </row>
    <row r="6909">
      <c r="N6909" s="5"/>
    </row>
    <row r="6910">
      <c r="N6910" s="5"/>
    </row>
    <row r="6911">
      <c r="N6911" s="5"/>
    </row>
    <row r="6912">
      <c r="N6912" s="5"/>
    </row>
    <row r="6913">
      <c r="N6913" s="5"/>
    </row>
    <row r="6914">
      <c r="N6914" s="5"/>
    </row>
    <row r="6915">
      <c r="N6915" s="5"/>
    </row>
    <row r="6916">
      <c r="N6916" s="5"/>
    </row>
    <row r="6917">
      <c r="N6917" s="5"/>
    </row>
    <row r="6918">
      <c r="N6918" s="5"/>
    </row>
    <row r="6919">
      <c r="N6919" s="5"/>
    </row>
    <row r="6920">
      <c r="N6920" s="5"/>
    </row>
    <row r="6921">
      <c r="N6921" s="5"/>
    </row>
    <row r="6922">
      <c r="N6922" s="5"/>
    </row>
    <row r="6923">
      <c r="N6923" s="5"/>
    </row>
    <row r="6924">
      <c r="N6924" s="5"/>
    </row>
    <row r="6925">
      <c r="N6925" s="5"/>
    </row>
    <row r="6926">
      <c r="N6926" s="5"/>
    </row>
    <row r="6927">
      <c r="N6927" s="5"/>
    </row>
    <row r="6928">
      <c r="N6928" s="5"/>
    </row>
    <row r="6929">
      <c r="N6929" s="5"/>
    </row>
    <row r="6930">
      <c r="N6930" s="5"/>
    </row>
    <row r="6931">
      <c r="N6931" s="5"/>
    </row>
    <row r="6932">
      <c r="N6932" s="5"/>
    </row>
    <row r="6933">
      <c r="N6933" s="5"/>
    </row>
    <row r="6934">
      <c r="N6934" s="5"/>
    </row>
    <row r="6935">
      <c r="N6935" s="5"/>
    </row>
    <row r="6936">
      <c r="N6936" s="5"/>
    </row>
    <row r="6937">
      <c r="N6937" s="5"/>
    </row>
    <row r="6938">
      <c r="N6938" s="5"/>
    </row>
    <row r="6939">
      <c r="N6939" s="5"/>
    </row>
    <row r="6940">
      <c r="N6940" s="5"/>
    </row>
    <row r="6941">
      <c r="N6941" s="5"/>
    </row>
    <row r="6942">
      <c r="N6942" s="5"/>
    </row>
    <row r="6943">
      <c r="N6943" s="5"/>
    </row>
    <row r="6944">
      <c r="N6944" s="5"/>
    </row>
    <row r="6945">
      <c r="N6945" s="5"/>
    </row>
    <row r="6946">
      <c r="N6946" s="5"/>
    </row>
    <row r="6947">
      <c r="N6947" s="5"/>
    </row>
    <row r="6948">
      <c r="N6948" s="5"/>
    </row>
    <row r="6949">
      <c r="N6949" s="5"/>
    </row>
    <row r="6950">
      <c r="N6950" s="5"/>
    </row>
    <row r="6951">
      <c r="N6951" s="5"/>
    </row>
    <row r="6952">
      <c r="N6952" s="5"/>
    </row>
    <row r="6953">
      <c r="N6953" s="5"/>
    </row>
    <row r="6954">
      <c r="N6954" s="5"/>
    </row>
    <row r="6955">
      <c r="N6955" s="5"/>
    </row>
    <row r="6956">
      <c r="N6956" s="5"/>
    </row>
    <row r="6957">
      <c r="N6957" s="5"/>
    </row>
    <row r="6958">
      <c r="N6958" s="5"/>
    </row>
    <row r="6959">
      <c r="N6959" s="5"/>
    </row>
    <row r="6960">
      <c r="N6960" s="5"/>
    </row>
    <row r="6961">
      <c r="N6961" s="5"/>
    </row>
    <row r="6962">
      <c r="N6962" s="5"/>
    </row>
    <row r="6963">
      <c r="N6963" s="5"/>
    </row>
    <row r="6964">
      <c r="N6964" s="5"/>
    </row>
    <row r="6965">
      <c r="N6965" s="5"/>
    </row>
    <row r="6966">
      <c r="N6966" s="5"/>
    </row>
    <row r="6967">
      <c r="N6967" s="5"/>
    </row>
    <row r="6968">
      <c r="N6968" s="5"/>
    </row>
    <row r="6969">
      <c r="N6969" s="5"/>
    </row>
    <row r="6970">
      <c r="N6970" s="5"/>
    </row>
    <row r="6971">
      <c r="N6971" s="5"/>
    </row>
    <row r="6972">
      <c r="N6972" s="5"/>
    </row>
    <row r="6973">
      <c r="N6973" s="5"/>
    </row>
    <row r="6974">
      <c r="N6974" s="5"/>
    </row>
    <row r="6975">
      <c r="N6975" s="5"/>
    </row>
    <row r="6976">
      <c r="N6976" s="5"/>
    </row>
    <row r="6977">
      <c r="N6977" s="5"/>
    </row>
    <row r="6978">
      <c r="N6978" s="5"/>
    </row>
    <row r="6979">
      <c r="N6979" s="5"/>
    </row>
    <row r="6980">
      <c r="N6980" s="5"/>
    </row>
    <row r="6981">
      <c r="N6981" s="5"/>
    </row>
    <row r="6982">
      <c r="N6982" s="5"/>
    </row>
    <row r="6983">
      <c r="N6983" s="5"/>
    </row>
    <row r="6984">
      <c r="N6984" s="5"/>
    </row>
    <row r="6985">
      <c r="N6985" s="5"/>
    </row>
    <row r="6986">
      <c r="N6986" s="5"/>
    </row>
    <row r="6987">
      <c r="N6987" s="5"/>
    </row>
    <row r="6988">
      <c r="N6988" s="5"/>
    </row>
    <row r="6989">
      <c r="N6989" s="5"/>
    </row>
    <row r="6990">
      <c r="N6990" s="5"/>
    </row>
    <row r="6991">
      <c r="N6991" s="5"/>
    </row>
    <row r="6992">
      <c r="N6992" s="5"/>
    </row>
    <row r="6993">
      <c r="N6993" s="5"/>
    </row>
    <row r="6994">
      <c r="N6994" s="5"/>
    </row>
    <row r="6995">
      <c r="N6995" s="5"/>
    </row>
    <row r="6996">
      <c r="N6996" s="5"/>
    </row>
    <row r="6997">
      <c r="N6997" s="5"/>
    </row>
    <row r="6998">
      <c r="N6998" s="5"/>
    </row>
    <row r="6999">
      <c r="N6999" s="5"/>
    </row>
    <row r="7000">
      <c r="N7000" s="5"/>
    </row>
    <row r="7001">
      <c r="N7001" s="5"/>
    </row>
    <row r="7002">
      <c r="N7002" s="5"/>
    </row>
    <row r="7003">
      <c r="N7003" s="5"/>
    </row>
    <row r="7004">
      <c r="N7004" s="5"/>
    </row>
    <row r="7005">
      <c r="N7005" s="5"/>
    </row>
    <row r="7006">
      <c r="N7006" s="5"/>
    </row>
    <row r="7007">
      <c r="N7007" s="5"/>
    </row>
    <row r="7008">
      <c r="N7008" s="5"/>
    </row>
    <row r="7009">
      <c r="N7009" s="5"/>
    </row>
    <row r="7010">
      <c r="N7010" s="5"/>
    </row>
    <row r="7011">
      <c r="N7011" s="5"/>
    </row>
    <row r="7012">
      <c r="N7012" s="5"/>
    </row>
    <row r="7013">
      <c r="N7013" s="5"/>
    </row>
    <row r="7014">
      <c r="N7014" s="5"/>
    </row>
    <row r="7015">
      <c r="N7015" s="5"/>
    </row>
    <row r="7016">
      <c r="N7016" s="5"/>
    </row>
    <row r="7017">
      <c r="N7017" s="5"/>
    </row>
    <row r="7018">
      <c r="N7018" s="5"/>
    </row>
    <row r="7019">
      <c r="N7019" s="5"/>
    </row>
    <row r="7020">
      <c r="N7020" s="5"/>
    </row>
    <row r="7021">
      <c r="N7021" s="5"/>
    </row>
    <row r="7022">
      <c r="N7022" s="5"/>
    </row>
    <row r="7023">
      <c r="N7023" s="5"/>
    </row>
    <row r="7024">
      <c r="N7024" s="5"/>
    </row>
    <row r="7025">
      <c r="N7025" s="5"/>
    </row>
    <row r="7026">
      <c r="N7026" s="5"/>
    </row>
    <row r="7027">
      <c r="N7027" s="5"/>
    </row>
    <row r="7028">
      <c r="N7028" s="5"/>
    </row>
    <row r="7029">
      <c r="N7029" s="5"/>
    </row>
    <row r="7030">
      <c r="N7030" s="5"/>
    </row>
    <row r="7031">
      <c r="N7031" s="5"/>
    </row>
    <row r="7032">
      <c r="N7032" s="5"/>
    </row>
    <row r="7033">
      <c r="N7033" s="5"/>
    </row>
    <row r="7034">
      <c r="N7034" s="5"/>
    </row>
    <row r="7035">
      <c r="N7035" s="5"/>
    </row>
    <row r="7036">
      <c r="N7036" s="5"/>
    </row>
    <row r="7037">
      <c r="N7037" s="5"/>
    </row>
    <row r="7038">
      <c r="N7038" s="5"/>
    </row>
    <row r="7039">
      <c r="N7039" s="5"/>
    </row>
    <row r="7040">
      <c r="N7040" s="5"/>
    </row>
    <row r="7041">
      <c r="N7041" s="5"/>
    </row>
    <row r="7042">
      <c r="N7042" s="5"/>
    </row>
    <row r="7043">
      <c r="N7043" s="5"/>
    </row>
    <row r="7044">
      <c r="N7044" s="5"/>
    </row>
    <row r="7045">
      <c r="N7045" s="5"/>
    </row>
    <row r="7046">
      <c r="N7046" s="5"/>
    </row>
    <row r="7047">
      <c r="N7047" s="5"/>
    </row>
    <row r="7048">
      <c r="N7048" s="5"/>
    </row>
    <row r="7049">
      <c r="N7049" s="5"/>
    </row>
    <row r="7050">
      <c r="N7050" s="5"/>
    </row>
    <row r="7051">
      <c r="N7051" s="5"/>
    </row>
    <row r="7052">
      <c r="N7052" s="5"/>
    </row>
    <row r="7053">
      <c r="N7053" s="5"/>
    </row>
    <row r="7054">
      <c r="N7054" s="5"/>
    </row>
    <row r="7055">
      <c r="N7055" s="5"/>
    </row>
    <row r="7056">
      <c r="N7056" s="5"/>
    </row>
    <row r="7057">
      <c r="N7057" s="5"/>
    </row>
    <row r="7058">
      <c r="N7058" s="5"/>
    </row>
    <row r="7059">
      <c r="N7059" s="5"/>
    </row>
    <row r="7060">
      <c r="N7060" s="5"/>
    </row>
    <row r="7061">
      <c r="N7061" s="5"/>
    </row>
    <row r="7062">
      <c r="N7062" s="5"/>
    </row>
    <row r="7063">
      <c r="N7063" s="5"/>
    </row>
    <row r="7064">
      <c r="N7064" s="5"/>
    </row>
    <row r="7065">
      <c r="N7065" s="5"/>
    </row>
    <row r="7066">
      <c r="N7066" s="5"/>
    </row>
    <row r="7067">
      <c r="N7067" s="5"/>
    </row>
    <row r="7068">
      <c r="N7068" s="5"/>
    </row>
    <row r="7069">
      <c r="N7069" s="5"/>
    </row>
    <row r="7070">
      <c r="N7070" s="5"/>
    </row>
    <row r="7071">
      <c r="N7071" s="5"/>
    </row>
    <row r="7072">
      <c r="N7072" s="5"/>
    </row>
    <row r="7073">
      <c r="N7073" s="5"/>
    </row>
    <row r="7074">
      <c r="N7074" s="5"/>
    </row>
    <row r="7075">
      <c r="N7075" s="5"/>
    </row>
    <row r="7076">
      <c r="N7076" s="5"/>
    </row>
    <row r="7077">
      <c r="N7077" s="5"/>
    </row>
    <row r="7078">
      <c r="N7078" s="5"/>
    </row>
    <row r="7079">
      <c r="N7079" s="5"/>
    </row>
    <row r="7080">
      <c r="N7080" s="5"/>
    </row>
    <row r="7081">
      <c r="N7081" s="5"/>
    </row>
    <row r="7082">
      <c r="N7082" s="5"/>
    </row>
    <row r="7083">
      <c r="N7083" s="5"/>
    </row>
    <row r="7084">
      <c r="N7084" s="5"/>
    </row>
    <row r="7085">
      <c r="N7085" s="5"/>
    </row>
    <row r="7086">
      <c r="N7086" s="5"/>
    </row>
    <row r="7087">
      <c r="N7087" s="5"/>
    </row>
    <row r="7088">
      <c r="N7088" s="5"/>
    </row>
    <row r="7089">
      <c r="N7089" s="5"/>
    </row>
    <row r="7090">
      <c r="N7090" s="5"/>
    </row>
    <row r="7091">
      <c r="N7091" s="5"/>
    </row>
    <row r="7092">
      <c r="N7092" s="5"/>
    </row>
    <row r="7093">
      <c r="N7093" s="5"/>
    </row>
    <row r="7094">
      <c r="N7094" s="5"/>
    </row>
    <row r="7095">
      <c r="N7095" s="5"/>
    </row>
    <row r="7096">
      <c r="N7096" s="5"/>
    </row>
    <row r="7097">
      <c r="N7097" s="5"/>
    </row>
    <row r="7098">
      <c r="N7098" s="5"/>
    </row>
    <row r="7099">
      <c r="N7099" s="5"/>
    </row>
    <row r="7100">
      <c r="N7100" s="5"/>
    </row>
    <row r="7101">
      <c r="N7101" s="5"/>
    </row>
    <row r="7102">
      <c r="N7102" s="5"/>
    </row>
    <row r="7103">
      <c r="N7103" s="5"/>
    </row>
    <row r="7104">
      <c r="N7104" s="5"/>
    </row>
    <row r="7105">
      <c r="N7105" s="5"/>
    </row>
    <row r="7106">
      <c r="N7106" s="5"/>
    </row>
    <row r="7107">
      <c r="N7107" s="5"/>
    </row>
    <row r="7108">
      <c r="N7108" s="5"/>
    </row>
    <row r="7109">
      <c r="N7109" s="5"/>
    </row>
    <row r="7110">
      <c r="N7110" s="5"/>
    </row>
    <row r="7111">
      <c r="N7111" s="5"/>
    </row>
    <row r="7112">
      <c r="N7112" s="5"/>
    </row>
    <row r="7113">
      <c r="N7113" s="5"/>
    </row>
    <row r="7114">
      <c r="N7114" s="5"/>
    </row>
    <row r="7115">
      <c r="N7115" s="5"/>
    </row>
    <row r="7116">
      <c r="N7116" s="5"/>
    </row>
    <row r="7117">
      <c r="N7117" s="5"/>
    </row>
    <row r="7118">
      <c r="N7118" s="5"/>
    </row>
    <row r="7119">
      <c r="N7119" s="5"/>
    </row>
    <row r="7120">
      <c r="N7120" s="5"/>
    </row>
    <row r="7121">
      <c r="N7121" s="5"/>
    </row>
    <row r="7122">
      <c r="N7122" s="5"/>
    </row>
    <row r="7123">
      <c r="N7123" s="5"/>
    </row>
    <row r="7124">
      <c r="N7124" s="5"/>
    </row>
    <row r="7125">
      <c r="N7125" s="5"/>
    </row>
    <row r="7126">
      <c r="N7126" s="5"/>
    </row>
    <row r="7127">
      <c r="N7127" s="5"/>
    </row>
    <row r="7128">
      <c r="N7128" s="5"/>
    </row>
    <row r="7129">
      <c r="N7129" s="5"/>
    </row>
    <row r="7130">
      <c r="N7130" s="5"/>
    </row>
    <row r="7131">
      <c r="N7131" s="5"/>
    </row>
    <row r="7132">
      <c r="N7132" s="5"/>
    </row>
    <row r="7133">
      <c r="N7133" s="5"/>
    </row>
    <row r="7134">
      <c r="N7134" s="5"/>
    </row>
    <row r="7135">
      <c r="N7135" s="5"/>
    </row>
    <row r="7136">
      <c r="N7136" s="5"/>
    </row>
    <row r="7137">
      <c r="N7137" s="5"/>
    </row>
    <row r="7138">
      <c r="N7138" s="5"/>
    </row>
    <row r="7139">
      <c r="N7139" s="5"/>
    </row>
    <row r="7140">
      <c r="N7140" s="5"/>
    </row>
    <row r="7141">
      <c r="N7141" s="5"/>
    </row>
    <row r="7142">
      <c r="N7142" s="5"/>
    </row>
    <row r="7143">
      <c r="N7143" s="5"/>
    </row>
    <row r="7144">
      <c r="N7144" s="5"/>
    </row>
    <row r="7145">
      <c r="N7145" s="5"/>
    </row>
    <row r="7146">
      <c r="N7146" s="5"/>
    </row>
    <row r="7147">
      <c r="N7147" s="5"/>
    </row>
    <row r="7148">
      <c r="N7148" s="5"/>
    </row>
    <row r="7149">
      <c r="N7149" s="5"/>
    </row>
    <row r="7150">
      <c r="N7150" s="5"/>
    </row>
    <row r="7151">
      <c r="N7151" s="5"/>
    </row>
    <row r="7152">
      <c r="N7152" s="5"/>
    </row>
    <row r="7153">
      <c r="N7153" s="5"/>
    </row>
    <row r="7154">
      <c r="N7154" s="5"/>
    </row>
    <row r="7155">
      <c r="N7155" s="5"/>
    </row>
    <row r="7156">
      <c r="N7156" s="5"/>
    </row>
    <row r="7157">
      <c r="N7157" s="5"/>
    </row>
    <row r="7158">
      <c r="N7158" s="5"/>
    </row>
    <row r="7159">
      <c r="N7159" s="5"/>
    </row>
    <row r="7160">
      <c r="N7160" s="5"/>
    </row>
    <row r="7161">
      <c r="N7161" s="5"/>
    </row>
    <row r="7162">
      <c r="N7162" s="5"/>
    </row>
    <row r="7163">
      <c r="N7163" s="5"/>
    </row>
    <row r="7164">
      <c r="N7164" s="5"/>
    </row>
    <row r="7165">
      <c r="N7165" s="5"/>
    </row>
    <row r="7166">
      <c r="N7166" s="5"/>
    </row>
    <row r="7167">
      <c r="N7167" s="5"/>
    </row>
    <row r="7168">
      <c r="N7168" s="5"/>
    </row>
    <row r="7169">
      <c r="N7169" s="5"/>
    </row>
    <row r="7170">
      <c r="N7170" s="5"/>
    </row>
    <row r="7171">
      <c r="N7171" s="5"/>
    </row>
    <row r="7172">
      <c r="N7172" s="5"/>
    </row>
    <row r="7173">
      <c r="N7173" s="5"/>
    </row>
    <row r="7174">
      <c r="N7174" s="5"/>
    </row>
    <row r="7175">
      <c r="N7175" s="5"/>
    </row>
    <row r="7176">
      <c r="N7176" s="5"/>
    </row>
    <row r="7177">
      <c r="N7177" s="5"/>
    </row>
    <row r="7178">
      <c r="N7178" s="5"/>
    </row>
    <row r="7179">
      <c r="N7179" s="5"/>
    </row>
    <row r="7180">
      <c r="N7180" s="5"/>
    </row>
    <row r="7181">
      <c r="N7181" s="5"/>
    </row>
    <row r="7182">
      <c r="N7182" s="5"/>
    </row>
    <row r="7183">
      <c r="N7183" s="5"/>
    </row>
    <row r="7184">
      <c r="N7184" s="5"/>
    </row>
    <row r="7185">
      <c r="N7185" s="5"/>
    </row>
    <row r="7186">
      <c r="N7186" s="5"/>
    </row>
    <row r="7187">
      <c r="N7187" s="5"/>
    </row>
    <row r="7188">
      <c r="N7188" s="5"/>
    </row>
    <row r="7189">
      <c r="N7189" s="5"/>
    </row>
    <row r="7190">
      <c r="N7190" s="5"/>
    </row>
    <row r="7191">
      <c r="N7191" s="5"/>
    </row>
    <row r="7192">
      <c r="N7192" s="5"/>
    </row>
    <row r="7193">
      <c r="N7193" s="5"/>
    </row>
    <row r="7194">
      <c r="N7194" s="5"/>
    </row>
    <row r="7195">
      <c r="N7195" s="5"/>
    </row>
    <row r="7196">
      <c r="N7196" s="5"/>
    </row>
    <row r="7197">
      <c r="N7197" s="5"/>
    </row>
    <row r="7198">
      <c r="N7198" s="5"/>
    </row>
    <row r="7199">
      <c r="N7199" s="5"/>
    </row>
    <row r="7200">
      <c r="N7200" s="5"/>
    </row>
    <row r="7201">
      <c r="N7201" s="5"/>
    </row>
    <row r="7202">
      <c r="N7202" s="5"/>
    </row>
    <row r="7203">
      <c r="N7203" s="5"/>
    </row>
    <row r="7204">
      <c r="N7204" s="5"/>
    </row>
    <row r="7205">
      <c r="N7205" s="5"/>
    </row>
    <row r="7206">
      <c r="N7206" s="5"/>
    </row>
    <row r="7207">
      <c r="N7207" s="5"/>
    </row>
    <row r="7208">
      <c r="N7208" s="5"/>
    </row>
    <row r="7209">
      <c r="N7209" s="5"/>
    </row>
    <row r="7210">
      <c r="N7210" s="5"/>
    </row>
    <row r="7211">
      <c r="N7211" s="5"/>
    </row>
    <row r="7212">
      <c r="N7212" s="5"/>
    </row>
    <row r="7213">
      <c r="N7213" s="5"/>
    </row>
    <row r="7214">
      <c r="N7214" s="5"/>
    </row>
    <row r="7215">
      <c r="N7215" s="5"/>
    </row>
    <row r="7216">
      <c r="N7216" s="5"/>
    </row>
    <row r="7217">
      <c r="N7217" s="5"/>
    </row>
    <row r="7218">
      <c r="N7218" s="5"/>
    </row>
    <row r="7219">
      <c r="N7219" s="5"/>
    </row>
    <row r="7220">
      <c r="N7220" s="5"/>
    </row>
    <row r="7221">
      <c r="N7221" s="5"/>
    </row>
    <row r="7222">
      <c r="N7222" s="5"/>
    </row>
    <row r="7223">
      <c r="N7223" s="5"/>
    </row>
    <row r="7224">
      <c r="N7224" s="5"/>
    </row>
    <row r="7225">
      <c r="N7225" s="5"/>
    </row>
    <row r="7226">
      <c r="N7226" s="5"/>
    </row>
    <row r="7227">
      <c r="N7227" s="5"/>
    </row>
    <row r="7228">
      <c r="N7228" s="5"/>
    </row>
    <row r="7229">
      <c r="N7229" s="5"/>
    </row>
    <row r="7230">
      <c r="N7230" s="5"/>
    </row>
    <row r="7231">
      <c r="N7231" s="5"/>
    </row>
    <row r="7232">
      <c r="N7232" s="5"/>
    </row>
    <row r="7233">
      <c r="N7233" s="5"/>
    </row>
    <row r="7234">
      <c r="N7234" s="5"/>
    </row>
    <row r="7235">
      <c r="N7235" s="5"/>
    </row>
    <row r="7236">
      <c r="N7236" s="5"/>
    </row>
    <row r="7237">
      <c r="N7237" s="5"/>
    </row>
    <row r="7238">
      <c r="N7238" s="5"/>
    </row>
    <row r="7239">
      <c r="N7239" s="5"/>
    </row>
    <row r="7240">
      <c r="N7240" s="5"/>
    </row>
    <row r="7241">
      <c r="N7241" s="5"/>
    </row>
    <row r="7242">
      <c r="N7242" s="5"/>
    </row>
    <row r="7243">
      <c r="N7243" s="5"/>
    </row>
    <row r="7244">
      <c r="N7244" s="5"/>
    </row>
    <row r="7245">
      <c r="N7245" s="5"/>
    </row>
    <row r="7246">
      <c r="N7246" s="5"/>
    </row>
    <row r="7247">
      <c r="N7247" s="5"/>
    </row>
    <row r="7248">
      <c r="N7248" s="5"/>
    </row>
    <row r="7249">
      <c r="N7249" s="5"/>
    </row>
    <row r="7250">
      <c r="N7250" s="5"/>
    </row>
    <row r="7251">
      <c r="N7251" s="5"/>
    </row>
    <row r="7252">
      <c r="N7252" s="5"/>
    </row>
    <row r="7253">
      <c r="N7253" s="5"/>
    </row>
    <row r="7254">
      <c r="N7254" s="5"/>
    </row>
    <row r="7255">
      <c r="N7255" s="5"/>
    </row>
    <row r="7256">
      <c r="N7256" s="5"/>
    </row>
    <row r="7257">
      <c r="N7257" s="5"/>
    </row>
    <row r="7258">
      <c r="N7258" s="5"/>
    </row>
    <row r="7259">
      <c r="N7259" s="5"/>
    </row>
    <row r="7260">
      <c r="N7260" s="5"/>
    </row>
    <row r="7261">
      <c r="N7261" s="5"/>
    </row>
    <row r="7262">
      <c r="N7262" s="5"/>
    </row>
    <row r="7263">
      <c r="N7263" s="5"/>
    </row>
    <row r="7264">
      <c r="N7264" s="5"/>
    </row>
    <row r="7265">
      <c r="N7265" s="5"/>
    </row>
    <row r="7266">
      <c r="N7266" s="5"/>
    </row>
    <row r="7267">
      <c r="N7267" s="5"/>
    </row>
    <row r="7268">
      <c r="N7268" s="5"/>
    </row>
    <row r="7269">
      <c r="N7269" s="5"/>
    </row>
    <row r="7270">
      <c r="N7270" s="5"/>
    </row>
    <row r="7271">
      <c r="N7271" s="5"/>
    </row>
    <row r="7272">
      <c r="N7272" s="5"/>
    </row>
    <row r="7273">
      <c r="N7273" s="5"/>
    </row>
    <row r="7274">
      <c r="N7274" s="5"/>
    </row>
    <row r="7275">
      <c r="N7275" s="5"/>
    </row>
    <row r="7276">
      <c r="N7276" s="5"/>
    </row>
    <row r="7277">
      <c r="N7277" s="5"/>
    </row>
    <row r="7278">
      <c r="N7278" s="5"/>
    </row>
    <row r="7279">
      <c r="N7279" s="5"/>
    </row>
    <row r="7280">
      <c r="N7280" s="5"/>
    </row>
    <row r="7281">
      <c r="N7281" s="5"/>
    </row>
    <row r="7282">
      <c r="N7282" s="5"/>
    </row>
    <row r="7283">
      <c r="N7283" s="5"/>
    </row>
    <row r="7284">
      <c r="N7284" s="5"/>
    </row>
    <row r="7285">
      <c r="N7285" s="5"/>
    </row>
    <row r="7286">
      <c r="N7286" s="5"/>
    </row>
    <row r="7287">
      <c r="N7287" s="5"/>
    </row>
    <row r="7288">
      <c r="N7288" s="5"/>
    </row>
    <row r="7289">
      <c r="N7289" s="5"/>
    </row>
    <row r="7290">
      <c r="N7290" s="5"/>
    </row>
    <row r="7291">
      <c r="N7291" s="5"/>
    </row>
    <row r="7292">
      <c r="N7292" s="5"/>
    </row>
    <row r="7293">
      <c r="N7293" s="5"/>
    </row>
    <row r="7294">
      <c r="N7294" s="5"/>
    </row>
    <row r="7295">
      <c r="N7295" s="5"/>
    </row>
    <row r="7296">
      <c r="N7296" s="5"/>
    </row>
    <row r="7297">
      <c r="N7297" s="5"/>
    </row>
    <row r="7298">
      <c r="N7298" s="5"/>
    </row>
    <row r="7299">
      <c r="N7299" s="5"/>
    </row>
    <row r="7300">
      <c r="N7300" s="5"/>
    </row>
    <row r="7301">
      <c r="N7301" s="5"/>
    </row>
    <row r="7302">
      <c r="N7302" s="5"/>
    </row>
    <row r="7303">
      <c r="N7303" s="5"/>
    </row>
    <row r="7304">
      <c r="N7304" s="5"/>
    </row>
    <row r="7305">
      <c r="N7305" s="5"/>
    </row>
    <row r="7306">
      <c r="N7306" s="5"/>
    </row>
    <row r="7307">
      <c r="N7307" s="5"/>
    </row>
    <row r="7308">
      <c r="N7308" s="5"/>
    </row>
    <row r="7309">
      <c r="N7309" s="5"/>
    </row>
    <row r="7310">
      <c r="N7310" s="5"/>
    </row>
    <row r="7311">
      <c r="N7311" s="5"/>
    </row>
    <row r="7312">
      <c r="N7312" s="5"/>
    </row>
    <row r="7313">
      <c r="N7313" s="5"/>
    </row>
    <row r="7314">
      <c r="N7314" s="5"/>
    </row>
    <row r="7315">
      <c r="N7315" s="5"/>
    </row>
    <row r="7316">
      <c r="N7316" s="5"/>
    </row>
    <row r="7317">
      <c r="N7317" s="5"/>
    </row>
    <row r="7318">
      <c r="N7318" s="5"/>
    </row>
    <row r="7319">
      <c r="N7319" s="5"/>
    </row>
    <row r="7320">
      <c r="N7320" s="5"/>
    </row>
    <row r="7321">
      <c r="N7321" s="5"/>
    </row>
    <row r="7322">
      <c r="N7322" s="5"/>
    </row>
    <row r="7323">
      <c r="N7323" s="5"/>
    </row>
    <row r="7324">
      <c r="N7324" s="5"/>
    </row>
    <row r="7325">
      <c r="N7325" s="5"/>
    </row>
    <row r="7326">
      <c r="N7326" s="5"/>
    </row>
    <row r="7327">
      <c r="N7327" s="5"/>
    </row>
    <row r="7328">
      <c r="N7328" s="5"/>
    </row>
    <row r="7329">
      <c r="N7329" s="5"/>
    </row>
    <row r="7330">
      <c r="N7330" s="5"/>
    </row>
    <row r="7331">
      <c r="N7331" s="5"/>
    </row>
    <row r="7332">
      <c r="N7332" s="5"/>
    </row>
    <row r="7333">
      <c r="N7333" s="5"/>
    </row>
    <row r="7334">
      <c r="N7334" s="5"/>
    </row>
    <row r="7335">
      <c r="N7335" s="5"/>
    </row>
    <row r="7336">
      <c r="N7336" s="5"/>
    </row>
    <row r="7337">
      <c r="N7337" s="5"/>
    </row>
    <row r="7338">
      <c r="N7338" s="5"/>
    </row>
    <row r="7339">
      <c r="N7339" s="5"/>
    </row>
    <row r="7340">
      <c r="N7340" s="5"/>
    </row>
    <row r="7341">
      <c r="N7341" s="5"/>
    </row>
    <row r="7342">
      <c r="N7342" s="5"/>
    </row>
    <row r="7343">
      <c r="N7343" s="5"/>
    </row>
    <row r="7344">
      <c r="N7344" s="5"/>
    </row>
    <row r="7345">
      <c r="N7345" s="5"/>
    </row>
    <row r="7346">
      <c r="N7346" s="5"/>
    </row>
    <row r="7347">
      <c r="N7347" s="5"/>
    </row>
    <row r="7348">
      <c r="N7348" s="5"/>
    </row>
    <row r="7349">
      <c r="N7349" s="5"/>
    </row>
    <row r="7350">
      <c r="N7350" s="5"/>
    </row>
    <row r="7351">
      <c r="N7351" s="5"/>
    </row>
    <row r="7352">
      <c r="N7352" s="5"/>
    </row>
    <row r="7353">
      <c r="N7353" s="5"/>
    </row>
    <row r="7354">
      <c r="N7354" s="5"/>
    </row>
    <row r="7355">
      <c r="N7355" s="5"/>
    </row>
    <row r="7356">
      <c r="N7356" s="5"/>
    </row>
    <row r="7357">
      <c r="N7357" s="5"/>
    </row>
    <row r="7358">
      <c r="N7358" s="5"/>
    </row>
    <row r="7359">
      <c r="N7359" s="5"/>
    </row>
    <row r="7360">
      <c r="N7360" s="5"/>
    </row>
    <row r="7361">
      <c r="N7361" s="5"/>
    </row>
    <row r="7362">
      <c r="N7362" s="5"/>
    </row>
    <row r="7363">
      <c r="N7363" s="5"/>
    </row>
    <row r="7364">
      <c r="N7364" s="5"/>
    </row>
    <row r="7365">
      <c r="N7365" s="5"/>
    </row>
    <row r="7366">
      <c r="N7366" s="5"/>
    </row>
    <row r="7367">
      <c r="N7367" s="5"/>
    </row>
    <row r="7368">
      <c r="N7368" s="5"/>
    </row>
    <row r="7369">
      <c r="N7369" s="5"/>
    </row>
    <row r="7370">
      <c r="N7370" s="5"/>
    </row>
    <row r="7371">
      <c r="N7371" s="5"/>
    </row>
    <row r="7372">
      <c r="N7372" s="5"/>
    </row>
    <row r="7373">
      <c r="N7373" s="5"/>
    </row>
    <row r="7374">
      <c r="N7374" s="5"/>
    </row>
    <row r="7375">
      <c r="N7375" s="5"/>
    </row>
    <row r="7376">
      <c r="N7376" s="5"/>
    </row>
    <row r="7377">
      <c r="N7377" s="5"/>
    </row>
    <row r="7378">
      <c r="N7378" s="5"/>
    </row>
    <row r="7379">
      <c r="N7379" s="5"/>
    </row>
    <row r="7380">
      <c r="N7380" s="5"/>
    </row>
    <row r="7381">
      <c r="N7381" s="5"/>
    </row>
    <row r="7382">
      <c r="N7382" s="5"/>
    </row>
    <row r="7383">
      <c r="N7383" s="5"/>
    </row>
    <row r="7384">
      <c r="N7384" s="5"/>
    </row>
    <row r="7385">
      <c r="N7385" s="5"/>
    </row>
    <row r="7386">
      <c r="N7386" s="5"/>
    </row>
    <row r="7387">
      <c r="N7387" s="5"/>
    </row>
    <row r="7388">
      <c r="N7388" s="5"/>
    </row>
    <row r="7389">
      <c r="N7389" s="5"/>
    </row>
    <row r="7390">
      <c r="N7390" s="5"/>
    </row>
    <row r="7391">
      <c r="N7391" s="5"/>
    </row>
    <row r="7392">
      <c r="N7392" s="5"/>
    </row>
    <row r="7393">
      <c r="N7393" s="5"/>
    </row>
    <row r="7394">
      <c r="N7394" s="5"/>
    </row>
    <row r="7395">
      <c r="N7395" s="5"/>
    </row>
    <row r="7396">
      <c r="N7396" s="5"/>
    </row>
    <row r="7397">
      <c r="N7397" s="5"/>
    </row>
    <row r="7398">
      <c r="N7398" s="5"/>
    </row>
    <row r="7399">
      <c r="N7399" s="5"/>
    </row>
    <row r="7400">
      <c r="N7400" s="5"/>
    </row>
    <row r="7401">
      <c r="N7401" s="5"/>
    </row>
    <row r="7402">
      <c r="N7402" s="5"/>
    </row>
    <row r="7403">
      <c r="N7403" s="5"/>
    </row>
    <row r="7404">
      <c r="N7404" s="5"/>
    </row>
    <row r="7405">
      <c r="N7405" s="5"/>
    </row>
    <row r="7406">
      <c r="N7406" s="5"/>
    </row>
    <row r="7407">
      <c r="N7407" s="5"/>
    </row>
    <row r="7408">
      <c r="N7408" s="5"/>
    </row>
    <row r="7409">
      <c r="N7409" s="5"/>
    </row>
    <row r="7410">
      <c r="N7410" s="5"/>
    </row>
    <row r="7411">
      <c r="N7411" s="5"/>
    </row>
    <row r="7412">
      <c r="N7412" s="5"/>
    </row>
    <row r="7413">
      <c r="N7413" s="5"/>
    </row>
    <row r="7414">
      <c r="N7414" s="5"/>
    </row>
    <row r="7415">
      <c r="N7415" s="5"/>
    </row>
    <row r="7416">
      <c r="N7416" s="5"/>
    </row>
    <row r="7417">
      <c r="N7417" s="5"/>
    </row>
    <row r="7418">
      <c r="N7418" s="5"/>
    </row>
    <row r="7419">
      <c r="N7419" s="5"/>
    </row>
    <row r="7420">
      <c r="N7420" s="5"/>
    </row>
    <row r="7421">
      <c r="N7421" s="5"/>
    </row>
    <row r="7422">
      <c r="N7422" s="5"/>
    </row>
    <row r="7423">
      <c r="N7423" s="5"/>
    </row>
    <row r="7424">
      <c r="N7424" s="5"/>
    </row>
    <row r="7425">
      <c r="N7425" s="5"/>
    </row>
    <row r="7426">
      <c r="N7426" s="5"/>
    </row>
    <row r="7427">
      <c r="N7427" s="5"/>
    </row>
    <row r="7428">
      <c r="N7428" s="5"/>
    </row>
    <row r="7429">
      <c r="N7429" s="5"/>
    </row>
    <row r="7430">
      <c r="N7430" s="5"/>
    </row>
    <row r="7431">
      <c r="N7431" s="5"/>
    </row>
    <row r="7432">
      <c r="N7432" s="5"/>
    </row>
    <row r="7433">
      <c r="N7433" s="5"/>
    </row>
    <row r="7434">
      <c r="N7434" s="5"/>
    </row>
    <row r="7435">
      <c r="N7435" s="5"/>
    </row>
    <row r="7436">
      <c r="N7436" s="5"/>
    </row>
    <row r="7437">
      <c r="N7437" s="5"/>
    </row>
    <row r="7438">
      <c r="N7438" s="5"/>
    </row>
    <row r="7439">
      <c r="N7439" s="5"/>
    </row>
    <row r="7440">
      <c r="N7440" s="5"/>
    </row>
    <row r="7441">
      <c r="N7441" s="5"/>
    </row>
    <row r="7442">
      <c r="N7442" s="5"/>
    </row>
    <row r="7443">
      <c r="N7443" s="5"/>
    </row>
    <row r="7444">
      <c r="N7444" s="5"/>
    </row>
    <row r="7445">
      <c r="N7445" s="5"/>
    </row>
    <row r="7446">
      <c r="N7446" s="5"/>
    </row>
    <row r="7447">
      <c r="N7447" s="5"/>
    </row>
    <row r="7448">
      <c r="N7448" s="5"/>
    </row>
    <row r="7449">
      <c r="N7449" s="5"/>
    </row>
    <row r="7450">
      <c r="N7450" s="5"/>
    </row>
    <row r="7451">
      <c r="N7451" s="5"/>
    </row>
    <row r="7452">
      <c r="N7452" s="5"/>
    </row>
    <row r="7453">
      <c r="N7453" s="5"/>
    </row>
    <row r="7454">
      <c r="N7454" s="5"/>
    </row>
    <row r="7455">
      <c r="N7455" s="5"/>
    </row>
    <row r="7456">
      <c r="N7456" s="5"/>
    </row>
    <row r="7457">
      <c r="N7457" s="5"/>
    </row>
    <row r="7458">
      <c r="N7458" s="5"/>
    </row>
    <row r="7459">
      <c r="N7459" s="5"/>
    </row>
    <row r="7460">
      <c r="N7460" s="5"/>
    </row>
    <row r="7461">
      <c r="N7461" s="5"/>
    </row>
    <row r="7462">
      <c r="N7462" s="5"/>
    </row>
    <row r="7463">
      <c r="N7463" s="5"/>
    </row>
    <row r="7464">
      <c r="N7464" s="5"/>
    </row>
    <row r="7465">
      <c r="N7465" s="5"/>
    </row>
    <row r="7466">
      <c r="N7466" s="5"/>
    </row>
    <row r="7467">
      <c r="N7467" s="5"/>
    </row>
    <row r="7468">
      <c r="N7468" s="5"/>
    </row>
    <row r="7469">
      <c r="N7469" s="5"/>
    </row>
    <row r="7470">
      <c r="N7470" s="5"/>
    </row>
    <row r="7471">
      <c r="N7471" s="5"/>
    </row>
    <row r="7472">
      <c r="N7472" s="5"/>
    </row>
    <row r="7473">
      <c r="N7473" s="5"/>
    </row>
    <row r="7474">
      <c r="N7474" s="5"/>
    </row>
    <row r="7475">
      <c r="N7475" s="5"/>
    </row>
    <row r="7476">
      <c r="N7476" s="5"/>
    </row>
    <row r="7477">
      <c r="N7477" s="5"/>
    </row>
    <row r="7478">
      <c r="N7478" s="5"/>
    </row>
    <row r="7479">
      <c r="N7479" s="5"/>
    </row>
    <row r="7480">
      <c r="N7480" s="5"/>
    </row>
    <row r="7481">
      <c r="N7481" s="5"/>
    </row>
    <row r="7482">
      <c r="N7482" s="5"/>
    </row>
    <row r="7483">
      <c r="N7483" s="5"/>
    </row>
    <row r="7484">
      <c r="N7484" s="5"/>
    </row>
    <row r="7485">
      <c r="N7485" s="5"/>
    </row>
    <row r="7486">
      <c r="N7486" s="5"/>
    </row>
    <row r="7487">
      <c r="N7487" s="5"/>
    </row>
    <row r="7488">
      <c r="N7488" s="5"/>
    </row>
    <row r="7489">
      <c r="N7489" s="5"/>
    </row>
    <row r="7490">
      <c r="N7490" s="5"/>
    </row>
    <row r="7491">
      <c r="N7491" s="5"/>
    </row>
    <row r="7492">
      <c r="N7492" s="5"/>
    </row>
    <row r="7493">
      <c r="N7493" s="5"/>
    </row>
    <row r="7494">
      <c r="N7494" s="5"/>
    </row>
    <row r="7495">
      <c r="N7495" s="5"/>
    </row>
    <row r="7496">
      <c r="N7496" s="5"/>
    </row>
    <row r="7497">
      <c r="N7497" s="5"/>
    </row>
    <row r="7498">
      <c r="N7498" s="5"/>
    </row>
    <row r="7499">
      <c r="N7499" s="5"/>
    </row>
    <row r="7500">
      <c r="N7500" s="5"/>
    </row>
    <row r="7501">
      <c r="N7501" s="5"/>
    </row>
    <row r="7502">
      <c r="N7502" s="5"/>
    </row>
    <row r="7503">
      <c r="N7503" s="5"/>
    </row>
    <row r="7504">
      <c r="N7504" s="5"/>
    </row>
    <row r="7505">
      <c r="N7505" s="5"/>
    </row>
    <row r="7506">
      <c r="N7506" s="5"/>
    </row>
    <row r="7507">
      <c r="N7507" s="5"/>
    </row>
    <row r="7508">
      <c r="N7508" s="5"/>
    </row>
    <row r="7509">
      <c r="N7509" s="5"/>
    </row>
    <row r="7510">
      <c r="N7510" s="5"/>
    </row>
    <row r="7511">
      <c r="N7511" s="5"/>
    </row>
    <row r="7512">
      <c r="N7512" s="5"/>
    </row>
    <row r="7513">
      <c r="N7513" s="5"/>
    </row>
    <row r="7514">
      <c r="N7514" s="5"/>
    </row>
    <row r="7515">
      <c r="N7515" s="5"/>
    </row>
    <row r="7516">
      <c r="N7516" s="5"/>
    </row>
    <row r="7517">
      <c r="N7517" s="5"/>
    </row>
    <row r="7518">
      <c r="N7518" s="5"/>
    </row>
    <row r="7519">
      <c r="N7519" s="5"/>
    </row>
    <row r="7520">
      <c r="N7520" s="5"/>
    </row>
    <row r="7521">
      <c r="N7521" s="5"/>
    </row>
    <row r="7522">
      <c r="N7522" s="5"/>
    </row>
    <row r="7523">
      <c r="N7523" s="5"/>
    </row>
    <row r="7524">
      <c r="N7524" s="5"/>
    </row>
    <row r="7525">
      <c r="N7525" s="5"/>
    </row>
    <row r="7526">
      <c r="N7526" s="5"/>
    </row>
    <row r="7527">
      <c r="N7527" s="5"/>
    </row>
    <row r="7528">
      <c r="N7528" s="5"/>
    </row>
    <row r="7529">
      <c r="N7529" s="5"/>
    </row>
    <row r="7530">
      <c r="N7530" s="5"/>
    </row>
    <row r="7531">
      <c r="N7531" s="5"/>
    </row>
    <row r="7532">
      <c r="N7532" s="5"/>
    </row>
    <row r="7533">
      <c r="N7533" s="5"/>
    </row>
    <row r="7534">
      <c r="N7534" s="5"/>
    </row>
    <row r="7535">
      <c r="N7535" s="5"/>
    </row>
    <row r="7536">
      <c r="N7536" s="5"/>
    </row>
    <row r="7537">
      <c r="N7537" s="5"/>
    </row>
    <row r="7538">
      <c r="N7538" s="5"/>
    </row>
    <row r="7539">
      <c r="N7539" s="5"/>
    </row>
    <row r="7540">
      <c r="N7540" s="5"/>
    </row>
    <row r="7541">
      <c r="N7541" s="5"/>
    </row>
    <row r="7542">
      <c r="N7542" s="5"/>
    </row>
    <row r="7543">
      <c r="N7543" s="5"/>
    </row>
    <row r="7544">
      <c r="N7544" s="5"/>
    </row>
    <row r="7545">
      <c r="N7545" s="5"/>
    </row>
    <row r="7546">
      <c r="N7546" s="5"/>
    </row>
    <row r="7547">
      <c r="N7547" s="5"/>
    </row>
    <row r="7548">
      <c r="N7548" s="5"/>
    </row>
    <row r="7549">
      <c r="N7549" s="5"/>
    </row>
    <row r="7550">
      <c r="N7550" s="5"/>
    </row>
    <row r="7551">
      <c r="N7551" s="5"/>
    </row>
    <row r="7552">
      <c r="N7552" s="5"/>
    </row>
    <row r="7553">
      <c r="N7553" s="5"/>
    </row>
    <row r="7554">
      <c r="N7554" s="5"/>
    </row>
    <row r="7555">
      <c r="N7555" s="5"/>
    </row>
    <row r="7556">
      <c r="N7556" s="5"/>
    </row>
    <row r="7557">
      <c r="N7557" s="5"/>
    </row>
    <row r="7558">
      <c r="N7558" s="5"/>
    </row>
    <row r="7559">
      <c r="N7559" s="5"/>
    </row>
    <row r="7560">
      <c r="N7560" s="5"/>
    </row>
    <row r="7561">
      <c r="N7561" s="5"/>
    </row>
    <row r="7562">
      <c r="N7562" s="5"/>
    </row>
    <row r="7563">
      <c r="N7563" s="5"/>
    </row>
    <row r="7564">
      <c r="N7564" s="5"/>
    </row>
    <row r="7565">
      <c r="N7565" s="5"/>
    </row>
    <row r="7566">
      <c r="N7566" s="5"/>
    </row>
    <row r="7567">
      <c r="N7567" s="5"/>
    </row>
    <row r="7568">
      <c r="N7568" s="5"/>
    </row>
    <row r="7569">
      <c r="N7569" s="5"/>
    </row>
    <row r="7570">
      <c r="N7570" s="5"/>
    </row>
    <row r="7571">
      <c r="N7571" s="5"/>
    </row>
    <row r="7572">
      <c r="N7572" s="5"/>
    </row>
    <row r="7573">
      <c r="N7573" s="5"/>
    </row>
    <row r="7574">
      <c r="N7574" s="5"/>
    </row>
    <row r="7575">
      <c r="N7575" s="5"/>
    </row>
    <row r="7576">
      <c r="N7576" s="5"/>
    </row>
    <row r="7577">
      <c r="N7577" s="5"/>
    </row>
    <row r="7578">
      <c r="N7578" s="5"/>
    </row>
    <row r="7579">
      <c r="N7579" s="5"/>
    </row>
    <row r="7580">
      <c r="N7580" s="5"/>
    </row>
    <row r="7581">
      <c r="N7581" s="5"/>
    </row>
    <row r="7582">
      <c r="N7582" s="5"/>
    </row>
    <row r="7583">
      <c r="N7583" s="5"/>
    </row>
    <row r="7584">
      <c r="N7584" s="5"/>
    </row>
    <row r="7585">
      <c r="N7585" s="5"/>
    </row>
    <row r="7586">
      <c r="N7586" s="5"/>
    </row>
    <row r="7587">
      <c r="N7587" s="5"/>
    </row>
    <row r="7588">
      <c r="N7588" s="5"/>
    </row>
    <row r="7589">
      <c r="N7589" s="5"/>
    </row>
    <row r="7590">
      <c r="N7590" s="5"/>
    </row>
    <row r="7591">
      <c r="N7591" s="5"/>
    </row>
    <row r="7592">
      <c r="N7592" s="5"/>
    </row>
    <row r="7593">
      <c r="N7593" s="5"/>
    </row>
    <row r="7594">
      <c r="N7594" s="5"/>
    </row>
    <row r="7595">
      <c r="N7595" s="5"/>
    </row>
    <row r="7596">
      <c r="N7596" s="5"/>
    </row>
    <row r="7597">
      <c r="N7597" s="5"/>
    </row>
    <row r="7598">
      <c r="N7598" s="5"/>
    </row>
    <row r="7599">
      <c r="N7599" s="5"/>
    </row>
    <row r="7600">
      <c r="N7600" s="5"/>
    </row>
    <row r="7601">
      <c r="N7601" s="5"/>
    </row>
    <row r="7602">
      <c r="N7602" s="5"/>
    </row>
    <row r="7603">
      <c r="N7603" s="5"/>
    </row>
    <row r="7604">
      <c r="N7604" s="5"/>
    </row>
    <row r="7605">
      <c r="N7605" s="5"/>
    </row>
    <row r="7606">
      <c r="N7606" s="5"/>
    </row>
    <row r="7607">
      <c r="N7607" s="5"/>
    </row>
    <row r="7608">
      <c r="N7608" s="5"/>
    </row>
    <row r="7609">
      <c r="N7609" s="5"/>
    </row>
    <row r="7610">
      <c r="N7610" s="5"/>
    </row>
    <row r="7611">
      <c r="N7611" s="5"/>
    </row>
    <row r="7612">
      <c r="N7612" s="5"/>
    </row>
    <row r="7613">
      <c r="N7613" s="5"/>
    </row>
    <row r="7614">
      <c r="N7614" s="5"/>
    </row>
    <row r="7615">
      <c r="N7615" s="5"/>
    </row>
    <row r="7616">
      <c r="N7616" s="5"/>
    </row>
    <row r="7617">
      <c r="N7617" s="5"/>
    </row>
    <row r="7618">
      <c r="N7618" s="5"/>
    </row>
    <row r="7619">
      <c r="N7619" s="5"/>
    </row>
    <row r="7620">
      <c r="N7620" s="5"/>
    </row>
    <row r="7621">
      <c r="N7621" s="5"/>
    </row>
    <row r="7622">
      <c r="N7622" s="5"/>
    </row>
    <row r="7623">
      <c r="N7623" s="5"/>
    </row>
    <row r="7624">
      <c r="N7624" s="5"/>
    </row>
    <row r="7625">
      <c r="N7625" s="5"/>
    </row>
    <row r="7626">
      <c r="N7626" s="5"/>
    </row>
    <row r="7627">
      <c r="N7627" s="5"/>
    </row>
    <row r="7628">
      <c r="N7628" s="5"/>
    </row>
    <row r="7629">
      <c r="N7629" s="5"/>
    </row>
    <row r="7630">
      <c r="N7630" s="5"/>
    </row>
    <row r="7631">
      <c r="N7631" s="5"/>
    </row>
    <row r="7632">
      <c r="N7632" s="5"/>
    </row>
    <row r="7633">
      <c r="N7633" s="5"/>
    </row>
    <row r="7634">
      <c r="N7634" s="5"/>
    </row>
    <row r="7635">
      <c r="N7635" s="5"/>
    </row>
    <row r="7636">
      <c r="N7636" s="5"/>
    </row>
    <row r="7637">
      <c r="N7637" s="5"/>
    </row>
    <row r="7638">
      <c r="N7638" s="5"/>
    </row>
    <row r="7639">
      <c r="N7639" s="5"/>
    </row>
    <row r="7640">
      <c r="N7640" s="5"/>
    </row>
    <row r="7641">
      <c r="N7641" s="5"/>
    </row>
    <row r="7642">
      <c r="N7642" s="5"/>
    </row>
    <row r="7643">
      <c r="N7643" s="5"/>
    </row>
    <row r="7644">
      <c r="N7644" s="5"/>
    </row>
    <row r="7645">
      <c r="N7645" s="5"/>
    </row>
    <row r="7646">
      <c r="N7646" s="5"/>
    </row>
    <row r="7647">
      <c r="N7647" s="5"/>
    </row>
    <row r="7648">
      <c r="N7648" s="5"/>
    </row>
    <row r="7649">
      <c r="N7649" s="5"/>
    </row>
    <row r="7650">
      <c r="N7650" s="5"/>
    </row>
    <row r="7651">
      <c r="N7651" s="5"/>
    </row>
    <row r="7652">
      <c r="N7652" s="5"/>
    </row>
    <row r="7653">
      <c r="N7653" s="5"/>
    </row>
    <row r="7654">
      <c r="N7654" s="5"/>
    </row>
    <row r="7655">
      <c r="N7655" s="5"/>
    </row>
    <row r="7656">
      <c r="N7656" s="5"/>
    </row>
    <row r="7657">
      <c r="N7657" s="5"/>
    </row>
    <row r="7658">
      <c r="N7658" s="5"/>
    </row>
    <row r="7659">
      <c r="N7659" s="5"/>
    </row>
    <row r="7660">
      <c r="N7660" s="5"/>
    </row>
    <row r="7661">
      <c r="N7661" s="5"/>
    </row>
    <row r="7662">
      <c r="N7662" s="5"/>
    </row>
    <row r="7663">
      <c r="N7663" s="5"/>
    </row>
    <row r="7664">
      <c r="N7664" s="5"/>
    </row>
    <row r="7665">
      <c r="N7665" s="5"/>
    </row>
    <row r="7666">
      <c r="N7666" s="5"/>
    </row>
    <row r="7667">
      <c r="N7667" s="5"/>
    </row>
    <row r="7668">
      <c r="N7668" s="5"/>
    </row>
    <row r="7669">
      <c r="N7669" s="5"/>
    </row>
    <row r="7670">
      <c r="N7670" s="5"/>
    </row>
    <row r="7671">
      <c r="N7671" s="5"/>
    </row>
    <row r="7672">
      <c r="N7672" s="5"/>
    </row>
    <row r="7673">
      <c r="N7673" s="5"/>
    </row>
    <row r="7674">
      <c r="N7674" s="5"/>
    </row>
    <row r="7675">
      <c r="N7675" s="5"/>
    </row>
    <row r="7676">
      <c r="N7676" s="5"/>
    </row>
    <row r="7677">
      <c r="N7677" s="5"/>
    </row>
    <row r="7678">
      <c r="N7678" s="5"/>
    </row>
    <row r="7679">
      <c r="N7679" s="5"/>
    </row>
    <row r="7680">
      <c r="N7680" s="5"/>
    </row>
    <row r="7681">
      <c r="N7681" s="5"/>
    </row>
    <row r="7682">
      <c r="N7682" s="5"/>
    </row>
    <row r="7683">
      <c r="N7683" s="5"/>
    </row>
    <row r="7684">
      <c r="N7684" s="5"/>
    </row>
    <row r="7685">
      <c r="N7685" s="5"/>
    </row>
    <row r="7686">
      <c r="N7686" s="5"/>
    </row>
    <row r="7687">
      <c r="N7687" s="5"/>
    </row>
    <row r="7688">
      <c r="N7688" s="5"/>
    </row>
    <row r="7689">
      <c r="N7689" s="5"/>
    </row>
    <row r="7690">
      <c r="N7690" s="5"/>
    </row>
    <row r="7691">
      <c r="N7691" s="5"/>
    </row>
    <row r="7692">
      <c r="N7692" s="5"/>
    </row>
    <row r="7693">
      <c r="N7693" s="5"/>
    </row>
    <row r="7694">
      <c r="N7694" s="5"/>
    </row>
    <row r="7695">
      <c r="N7695" s="5"/>
    </row>
    <row r="7696">
      <c r="N7696" s="5"/>
    </row>
    <row r="7697">
      <c r="N7697" s="5"/>
    </row>
    <row r="7698">
      <c r="N7698" s="5"/>
    </row>
    <row r="7699">
      <c r="N7699" s="5"/>
    </row>
    <row r="7700">
      <c r="N7700" s="5"/>
    </row>
    <row r="7701">
      <c r="N7701" s="5"/>
    </row>
    <row r="7702">
      <c r="N7702" s="5"/>
    </row>
    <row r="7703">
      <c r="N7703" s="5"/>
    </row>
    <row r="7704">
      <c r="N7704" s="5"/>
    </row>
    <row r="7705">
      <c r="N7705" s="5"/>
    </row>
    <row r="7706">
      <c r="N7706" s="5"/>
    </row>
    <row r="7707">
      <c r="N7707" s="5"/>
    </row>
    <row r="7708">
      <c r="N7708" s="5"/>
    </row>
    <row r="7709">
      <c r="N7709" s="5"/>
    </row>
    <row r="7710">
      <c r="N7710" s="5"/>
    </row>
    <row r="7711">
      <c r="N7711" s="5"/>
    </row>
    <row r="7712">
      <c r="N7712" s="5"/>
    </row>
    <row r="7713">
      <c r="N7713" s="5"/>
    </row>
    <row r="7714">
      <c r="N7714" s="5"/>
    </row>
    <row r="7715">
      <c r="N7715" s="5"/>
    </row>
    <row r="7716">
      <c r="N7716" s="5"/>
    </row>
    <row r="7717">
      <c r="N7717" s="5"/>
    </row>
    <row r="7718">
      <c r="N7718" s="5"/>
    </row>
    <row r="7719">
      <c r="N7719" s="5"/>
    </row>
    <row r="7720">
      <c r="N7720" s="5"/>
    </row>
    <row r="7721">
      <c r="N7721" s="5"/>
    </row>
    <row r="7722">
      <c r="N7722" s="5"/>
    </row>
    <row r="7723">
      <c r="N7723" s="5"/>
    </row>
    <row r="7724">
      <c r="N7724" s="5"/>
    </row>
    <row r="7725">
      <c r="N7725" s="5"/>
    </row>
    <row r="7726">
      <c r="N7726" s="5"/>
    </row>
    <row r="7727">
      <c r="N7727" s="5"/>
    </row>
    <row r="7728">
      <c r="N7728" s="5"/>
    </row>
    <row r="7729">
      <c r="N7729" s="5"/>
    </row>
    <row r="7730">
      <c r="N7730" s="5"/>
    </row>
    <row r="7731">
      <c r="N7731" s="5"/>
    </row>
    <row r="7732">
      <c r="N7732" s="5"/>
    </row>
    <row r="7733">
      <c r="N7733" s="5"/>
    </row>
    <row r="7734">
      <c r="N7734" s="5"/>
    </row>
    <row r="7735">
      <c r="N7735" s="5"/>
    </row>
    <row r="7736">
      <c r="N7736" s="5"/>
    </row>
    <row r="7737">
      <c r="N7737" s="5"/>
    </row>
    <row r="7738">
      <c r="N7738" s="5"/>
    </row>
    <row r="7739">
      <c r="N7739" s="5"/>
    </row>
    <row r="7740">
      <c r="N7740" s="5"/>
    </row>
    <row r="7741">
      <c r="N7741" s="5"/>
    </row>
    <row r="7742">
      <c r="N7742" s="5"/>
    </row>
    <row r="7743">
      <c r="N7743" s="5"/>
    </row>
    <row r="7744">
      <c r="N7744" s="5"/>
    </row>
    <row r="7745">
      <c r="N7745" s="5"/>
    </row>
    <row r="7746">
      <c r="N7746" s="5"/>
    </row>
    <row r="7747">
      <c r="N7747" s="5"/>
    </row>
    <row r="7748">
      <c r="N7748" s="5"/>
    </row>
    <row r="7749">
      <c r="N7749" s="5"/>
    </row>
    <row r="7750">
      <c r="N7750" s="5"/>
    </row>
    <row r="7751">
      <c r="N7751" s="5"/>
    </row>
    <row r="7752">
      <c r="N7752" s="5"/>
    </row>
    <row r="7753">
      <c r="N7753" s="5"/>
    </row>
    <row r="7754">
      <c r="N7754" s="5"/>
    </row>
    <row r="7755">
      <c r="N7755" s="5"/>
    </row>
    <row r="7756">
      <c r="N7756" s="5"/>
    </row>
    <row r="7757">
      <c r="N7757" s="5"/>
    </row>
    <row r="7758">
      <c r="N7758" s="5"/>
    </row>
    <row r="7759">
      <c r="N7759" s="5"/>
    </row>
    <row r="7760">
      <c r="N7760" s="5"/>
    </row>
    <row r="7761">
      <c r="N7761" s="5"/>
    </row>
    <row r="7762">
      <c r="N7762" s="5"/>
    </row>
    <row r="7763">
      <c r="N7763" s="5"/>
    </row>
    <row r="7764">
      <c r="N7764" s="5"/>
    </row>
    <row r="7765">
      <c r="N7765" s="5"/>
    </row>
    <row r="7766">
      <c r="N7766" s="5"/>
    </row>
    <row r="7767">
      <c r="N7767" s="5"/>
    </row>
    <row r="7768">
      <c r="N7768" s="5"/>
    </row>
    <row r="7769">
      <c r="N7769" s="5"/>
    </row>
    <row r="7770">
      <c r="N7770" s="5"/>
    </row>
    <row r="7771">
      <c r="N7771" s="5"/>
    </row>
    <row r="7772">
      <c r="N7772" s="5"/>
    </row>
    <row r="7773">
      <c r="N7773" s="5"/>
    </row>
    <row r="7774">
      <c r="N7774" s="5"/>
    </row>
    <row r="7775">
      <c r="N7775" s="5"/>
    </row>
    <row r="7776">
      <c r="N7776" s="5"/>
    </row>
    <row r="7777">
      <c r="N7777" s="5"/>
    </row>
    <row r="7778">
      <c r="N7778" s="5"/>
    </row>
    <row r="7779">
      <c r="N7779" s="5"/>
    </row>
    <row r="7780">
      <c r="N7780" s="5"/>
    </row>
    <row r="7781">
      <c r="N7781" s="5"/>
    </row>
    <row r="7782">
      <c r="N7782" s="5"/>
    </row>
    <row r="7783">
      <c r="N7783" s="5"/>
    </row>
    <row r="7784">
      <c r="N7784" s="5"/>
    </row>
    <row r="7785">
      <c r="N7785" s="5"/>
    </row>
    <row r="7786">
      <c r="N7786" s="5"/>
    </row>
    <row r="7787">
      <c r="N7787" s="5"/>
    </row>
    <row r="7788">
      <c r="N7788" s="5"/>
    </row>
    <row r="7789">
      <c r="N7789" s="5"/>
    </row>
    <row r="7790">
      <c r="N7790" s="5"/>
    </row>
    <row r="7791">
      <c r="N7791" s="5"/>
    </row>
    <row r="7792">
      <c r="N7792" s="5"/>
    </row>
    <row r="7793">
      <c r="N7793" s="5"/>
    </row>
    <row r="7794">
      <c r="N7794" s="5"/>
    </row>
    <row r="7795">
      <c r="N7795" s="5"/>
    </row>
    <row r="7796">
      <c r="N7796" s="5"/>
    </row>
    <row r="7797">
      <c r="N7797" s="5"/>
    </row>
    <row r="7798">
      <c r="N7798" s="5"/>
    </row>
    <row r="7799">
      <c r="N7799" s="5"/>
    </row>
    <row r="7800">
      <c r="N7800" s="5"/>
    </row>
    <row r="7801">
      <c r="N7801" s="5"/>
    </row>
    <row r="7802">
      <c r="N7802" s="5"/>
    </row>
    <row r="7803">
      <c r="N7803" s="5"/>
    </row>
    <row r="7804">
      <c r="N7804" s="5"/>
    </row>
    <row r="7805">
      <c r="N7805" s="5"/>
    </row>
    <row r="7806">
      <c r="N7806" s="5"/>
    </row>
    <row r="7807">
      <c r="N7807" s="5"/>
    </row>
    <row r="7808">
      <c r="N7808" s="5"/>
    </row>
    <row r="7809">
      <c r="N7809" s="5"/>
    </row>
    <row r="7810">
      <c r="N7810" s="5"/>
    </row>
    <row r="7811">
      <c r="N7811" s="5"/>
    </row>
    <row r="7812">
      <c r="N7812" s="5"/>
    </row>
    <row r="7813">
      <c r="N7813" s="5"/>
    </row>
    <row r="7814">
      <c r="N7814" s="5"/>
    </row>
    <row r="7815">
      <c r="N7815" s="5"/>
    </row>
    <row r="7816">
      <c r="N7816" s="5"/>
    </row>
    <row r="7817">
      <c r="N7817" s="5"/>
    </row>
    <row r="7818">
      <c r="N7818" s="5"/>
    </row>
    <row r="7819">
      <c r="N7819" s="5"/>
    </row>
    <row r="7820">
      <c r="N7820" s="5"/>
    </row>
    <row r="7821">
      <c r="N7821" s="5"/>
    </row>
    <row r="7822">
      <c r="N7822" s="5"/>
    </row>
    <row r="7823">
      <c r="N7823" s="5"/>
    </row>
    <row r="7824">
      <c r="N7824" s="5"/>
    </row>
    <row r="7825">
      <c r="N7825" s="5"/>
    </row>
    <row r="7826">
      <c r="N7826" s="5"/>
    </row>
    <row r="7827">
      <c r="N7827" s="5"/>
    </row>
    <row r="7828">
      <c r="N7828" s="5"/>
    </row>
    <row r="7829">
      <c r="N7829" s="5"/>
    </row>
    <row r="7830">
      <c r="N7830" s="5"/>
    </row>
    <row r="7831">
      <c r="N7831" s="5"/>
    </row>
    <row r="7832">
      <c r="N7832" s="5"/>
    </row>
    <row r="7833">
      <c r="N7833" s="5"/>
    </row>
    <row r="7834">
      <c r="N7834" s="5"/>
    </row>
    <row r="7835">
      <c r="N7835" s="5"/>
    </row>
    <row r="7836">
      <c r="N7836" s="5"/>
    </row>
    <row r="7837">
      <c r="N7837" s="5"/>
    </row>
    <row r="7838">
      <c r="N7838" s="5"/>
    </row>
    <row r="7839">
      <c r="N7839" s="5"/>
    </row>
    <row r="7840">
      <c r="N7840" s="5"/>
    </row>
    <row r="7841">
      <c r="N7841" s="5"/>
    </row>
    <row r="7842">
      <c r="N7842" s="5"/>
    </row>
    <row r="7843">
      <c r="N7843" s="5"/>
    </row>
    <row r="7844">
      <c r="N7844" s="5"/>
    </row>
    <row r="7845">
      <c r="N7845" s="5"/>
    </row>
    <row r="7846">
      <c r="N7846" s="5"/>
    </row>
    <row r="7847">
      <c r="N7847" s="5"/>
    </row>
    <row r="7848">
      <c r="N7848" s="5"/>
    </row>
    <row r="7849">
      <c r="N7849" s="5"/>
    </row>
    <row r="7850">
      <c r="N7850" s="5"/>
    </row>
    <row r="7851">
      <c r="N7851" s="5"/>
    </row>
    <row r="7852">
      <c r="N7852" s="5"/>
    </row>
    <row r="7853">
      <c r="N7853" s="5"/>
    </row>
    <row r="7854">
      <c r="N7854" s="5"/>
    </row>
    <row r="7855">
      <c r="N7855" s="5"/>
    </row>
    <row r="7856">
      <c r="N7856" s="5"/>
    </row>
    <row r="7857">
      <c r="N7857" s="5"/>
    </row>
    <row r="7858">
      <c r="N7858" s="5"/>
    </row>
    <row r="7859">
      <c r="N7859" s="5"/>
    </row>
    <row r="7860">
      <c r="N7860" s="5"/>
    </row>
    <row r="7861">
      <c r="N7861" s="5"/>
    </row>
    <row r="7862">
      <c r="N7862" s="5"/>
    </row>
    <row r="7863">
      <c r="N7863" s="5"/>
    </row>
    <row r="7864">
      <c r="N7864" s="5"/>
    </row>
    <row r="7865">
      <c r="N7865" s="5"/>
    </row>
    <row r="7866">
      <c r="N7866" s="5"/>
    </row>
    <row r="7867">
      <c r="N7867" s="5"/>
    </row>
    <row r="7868">
      <c r="N7868" s="5"/>
    </row>
    <row r="7869">
      <c r="N7869" s="5"/>
    </row>
    <row r="7870">
      <c r="N7870" s="5"/>
    </row>
    <row r="7871">
      <c r="N7871" s="5"/>
    </row>
    <row r="7872">
      <c r="N7872" s="5"/>
    </row>
    <row r="7873">
      <c r="N7873" s="5"/>
    </row>
    <row r="7874">
      <c r="N7874" s="5"/>
    </row>
    <row r="7875">
      <c r="N7875" s="5"/>
    </row>
    <row r="7876">
      <c r="N7876" s="5"/>
    </row>
    <row r="7877">
      <c r="N7877" s="5"/>
    </row>
    <row r="7878">
      <c r="N7878" s="5"/>
    </row>
    <row r="7879">
      <c r="N7879" s="5"/>
    </row>
    <row r="7880">
      <c r="N7880" s="5"/>
    </row>
    <row r="7881">
      <c r="N7881" s="5"/>
    </row>
    <row r="7882">
      <c r="N7882" s="5"/>
    </row>
    <row r="7883">
      <c r="N7883" s="5"/>
    </row>
    <row r="7884">
      <c r="N7884" s="5"/>
    </row>
    <row r="7885">
      <c r="N7885" s="5"/>
    </row>
    <row r="7886">
      <c r="N7886" s="5"/>
    </row>
    <row r="7887">
      <c r="N7887" s="5"/>
    </row>
    <row r="7888">
      <c r="N7888" s="5"/>
    </row>
    <row r="7889">
      <c r="N7889" s="5"/>
    </row>
    <row r="7890">
      <c r="N7890" s="5"/>
    </row>
    <row r="7891">
      <c r="N7891" s="5"/>
    </row>
    <row r="7892">
      <c r="N7892" s="5"/>
    </row>
    <row r="7893">
      <c r="N7893" s="5"/>
    </row>
    <row r="7894">
      <c r="N7894" s="5"/>
    </row>
    <row r="7895">
      <c r="N7895" s="5"/>
    </row>
    <row r="7896">
      <c r="N7896" s="5"/>
    </row>
    <row r="7897">
      <c r="N7897" s="5"/>
    </row>
    <row r="7898">
      <c r="N7898" s="5"/>
    </row>
    <row r="7899">
      <c r="N7899" s="5"/>
    </row>
    <row r="7900">
      <c r="N7900" s="5"/>
    </row>
    <row r="7901">
      <c r="N7901" s="5"/>
    </row>
    <row r="7902">
      <c r="N7902" s="5"/>
    </row>
    <row r="7903">
      <c r="N7903" s="5"/>
    </row>
    <row r="7904">
      <c r="N7904" s="5"/>
    </row>
    <row r="7905">
      <c r="N7905" s="5"/>
    </row>
    <row r="7906">
      <c r="N7906" s="5"/>
    </row>
    <row r="7907">
      <c r="N7907" s="5"/>
    </row>
    <row r="7908">
      <c r="N7908" s="5"/>
    </row>
    <row r="7909">
      <c r="N7909" s="5"/>
    </row>
    <row r="7910">
      <c r="N7910" s="5"/>
    </row>
    <row r="7911">
      <c r="N7911" s="5"/>
    </row>
    <row r="7912">
      <c r="N7912" s="5"/>
    </row>
    <row r="7913">
      <c r="N7913" s="5"/>
    </row>
    <row r="7914">
      <c r="N7914" s="5"/>
    </row>
    <row r="7915">
      <c r="N7915" s="5"/>
    </row>
    <row r="7916">
      <c r="N7916" s="5"/>
    </row>
    <row r="7917">
      <c r="N7917" s="5"/>
    </row>
    <row r="7918">
      <c r="N7918" s="5"/>
    </row>
    <row r="7919">
      <c r="N7919" s="5"/>
    </row>
    <row r="7920">
      <c r="N7920" s="5"/>
    </row>
    <row r="7921">
      <c r="N7921" s="5"/>
    </row>
    <row r="7922">
      <c r="N7922" s="5"/>
    </row>
    <row r="7923">
      <c r="N7923" s="5"/>
    </row>
    <row r="7924">
      <c r="N7924" s="5"/>
    </row>
    <row r="7925">
      <c r="N7925" s="5"/>
    </row>
    <row r="7926">
      <c r="N7926" s="5"/>
    </row>
    <row r="7927">
      <c r="N7927" s="5"/>
    </row>
    <row r="7928">
      <c r="N7928" s="5"/>
    </row>
    <row r="7929">
      <c r="N7929" s="5"/>
    </row>
    <row r="7930">
      <c r="N7930" s="5"/>
    </row>
    <row r="7931">
      <c r="N7931" s="5"/>
    </row>
    <row r="7932">
      <c r="N7932" s="5"/>
    </row>
    <row r="7933">
      <c r="N7933" s="5"/>
    </row>
    <row r="7934">
      <c r="N7934" s="5"/>
    </row>
    <row r="7935">
      <c r="N7935" s="5"/>
    </row>
    <row r="7936">
      <c r="N7936" s="5"/>
    </row>
    <row r="7937">
      <c r="N7937" s="5"/>
    </row>
    <row r="7938">
      <c r="N7938" s="5"/>
    </row>
    <row r="7939">
      <c r="N7939" s="5"/>
    </row>
    <row r="7940">
      <c r="N7940" s="5"/>
    </row>
    <row r="7941">
      <c r="N7941" s="5"/>
    </row>
    <row r="7942">
      <c r="N7942" s="5"/>
    </row>
    <row r="7943">
      <c r="N7943" s="5"/>
    </row>
    <row r="7944">
      <c r="N7944" s="5"/>
    </row>
    <row r="7945">
      <c r="N7945" s="5"/>
    </row>
    <row r="7946">
      <c r="N7946" s="5"/>
    </row>
    <row r="7947">
      <c r="N7947" s="5"/>
    </row>
    <row r="7948">
      <c r="N7948" s="5"/>
    </row>
    <row r="7949">
      <c r="N7949" s="5"/>
    </row>
    <row r="7950">
      <c r="N7950" s="5"/>
    </row>
    <row r="7951">
      <c r="N7951" s="5"/>
    </row>
    <row r="7952">
      <c r="N7952" s="5"/>
    </row>
    <row r="7953">
      <c r="N7953" s="5"/>
    </row>
    <row r="7954">
      <c r="N7954" s="5"/>
    </row>
    <row r="7955">
      <c r="N7955" s="5"/>
    </row>
    <row r="7956">
      <c r="N7956" s="5"/>
    </row>
    <row r="7957">
      <c r="N7957" s="5"/>
    </row>
    <row r="7958">
      <c r="N7958" s="5"/>
    </row>
    <row r="7959">
      <c r="N7959" s="5"/>
    </row>
    <row r="7960">
      <c r="N7960" s="5"/>
    </row>
    <row r="7961">
      <c r="N7961" s="5"/>
    </row>
    <row r="7962">
      <c r="N7962" s="5"/>
    </row>
    <row r="7963">
      <c r="N7963" s="5"/>
    </row>
    <row r="7964">
      <c r="N7964" s="5"/>
    </row>
    <row r="7965">
      <c r="N7965" s="5"/>
    </row>
    <row r="7966">
      <c r="N7966" s="5"/>
    </row>
    <row r="7967">
      <c r="N7967" s="5"/>
    </row>
    <row r="7968">
      <c r="N7968" s="5"/>
    </row>
    <row r="7969">
      <c r="N7969" s="5"/>
    </row>
    <row r="7970">
      <c r="N7970" s="5"/>
    </row>
    <row r="7971">
      <c r="N7971" s="5"/>
    </row>
    <row r="7972">
      <c r="N7972" s="5"/>
    </row>
    <row r="7973">
      <c r="N7973" s="5"/>
    </row>
    <row r="7974">
      <c r="N7974" s="5"/>
    </row>
    <row r="7975">
      <c r="N7975" s="5"/>
    </row>
    <row r="7976">
      <c r="N7976" s="5"/>
    </row>
    <row r="7977">
      <c r="N7977" s="5"/>
    </row>
    <row r="7978">
      <c r="N7978" s="5"/>
    </row>
    <row r="7979">
      <c r="N7979" s="5"/>
    </row>
    <row r="7980">
      <c r="N7980" s="5"/>
    </row>
    <row r="7981">
      <c r="N7981" s="5"/>
    </row>
    <row r="7982">
      <c r="N7982" s="5"/>
    </row>
    <row r="7983">
      <c r="N7983" s="5"/>
    </row>
    <row r="7984">
      <c r="N7984" s="5"/>
    </row>
    <row r="7985">
      <c r="N7985" s="5"/>
    </row>
    <row r="7986">
      <c r="N7986" s="5"/>
    </row>
    <row r="7987">
      <c r="N7987" s="5"/>
    </row>
    <row r="7988">
      <c r="N7988" s="5"/>
    </row>
    <row r="7989">
      <c r="N7989" s="5"/>
    </row>
    <row r="7990">
      <c r="N7990" s="5"/>
    </row>
    <row r="7991">
      <c r="N7991" s="5"/>
    </row>
    <row r="7992">
      <c r="N7992" s="5"/>
    </row>
    <row r="7993">
      <c r="N7993" s="5"/>
    </row>
    <row r="7994">
      <c r="N7994" s="5"/>
    </row>
    <row r="7995">
      <c r="N7995" s="5"/>
    </row>
    <row r="7996">
      <c r="N7996" s="5"/>
    </row>
    <row r="7997">
      <c r="N7997" s="5"/>
    </row>
    <row r="7998">
      <c r="N7998" s="5"/>
    </row>
    <row r="7999">
      <c r="N7999" s="5"/>
    </row>
    <row r="8000">
      <c r="N8000" s="5"/>
    </row>
    <row r="8001">
      <c r="N8001" s="5"/>
    </row>
    <row r="8002">
      <c r="N8002" s="5"/>
    </row>
    <row r="8003">
      <c r="N8003" s="5"/>
    </row>
    <row r="8004">
      <c r="N8004" s="5"/>
    </row>
    <row r="8005">
      <c r="N8005" s="5"/>
    </row>
    <row r="8006">
      <c r="N8006" s="5"/>
    </row>
    <row r="8007">
      <c r="N8007" s="5"/>
    </row>
    <row r="8008">
      <c r="N8008" s="5"/>
    </row>
    <row r="8009">
      <c r="N8009" s="5"/>
    </row>
    <row r="8010">
      <c r="N8010" s="5"/>
    </row>
    <row r="8011">
      <c r="N8011" s="5"/>
    </row>
    <row r="8012">
      <c r="N8012" s="5"/>
    </row>
    <row r="8013">
      <c r="N8013" s="5"/>
    </row>
    <row r="8014">
      <c r="N8014" s="5"/>
    </row>
    <row r="8015">
      <c r="N8015" s="5"/>
    </row>
    <row r="8016">
      <c r="N8016" s="5"/>
    </row>
    <row r="8017">
      <c r="N8017" s="5"/>
    </row>
    <row r="8018">
      <c r="N8018" s="5"/>
    </row>
    <row r="8019">
      <c r="N8019" s="5"/>
    </row>
    <row r="8020">
      <c r="N8020" s="5"/>
    </row>
    <row r="8021">
      <c r="N8021" s="5"/>
    </row>
    <row r="8022">
      <c r="N8022" s="5"/>
    </row>
    <row r="8023">
      <c r="N8023" s="5"/>
    </row>
    <row r="8024">
      <c r="N8024" s="5"/>
    </row>
    <row r="8025">
      <c r="N8025" s="5"/>
    </row>
    <row r="8026">
      <c r="N8026" s="5"/>
    </row>
    <row r="8027">
      <c r="N8027" s="5"/>
    </row>
    <row r="8028">
      <c r="N8028" s="5"/>
    </row>
    <row r="8029">
      <c r="N8029" s="5"/>
    </row>
    <row r="8030">
      <c r="N8030" s="5"/>
    </row>
    <row r="8031">
      <c r="N8031" s="5"/>
    </row>
    <row r="8032">
      <c r="N8032" s="5"/>
    </row>
    <row r="8033">
      <c r="N8033" s="5"/>
    </row>
    <row r="8034">
      <c r="N8034" s="5"/>
    </row>
    <row r="8035">
      <c r="N8035" s="5"/>
    </row>
    <row r="8036">
      <c r="N8036" s="5"/>
    </row>
    <row r="8037">
      <c r="N8037" s="5"/>
    </row>
    <row r="8038">
      <c r="N8038" s="5"/>
    </row>
    <row r="8039">
      <c r="N8039" s="5"/>
    </row>
    <row r="8040">
      <c r="N8040" s="5"/>
    </row>
    <row r="8041">
      <c r="N8041" s="5"/>
    </row>
    <row r="8042">
      <c r="N8042" s="5"/>
    </row>
    <row r="8043">
      <c r="N8043" s="5"/>
    </row>
    <row r="8044">
      <c r="N8044" s="5"/>
    </row>
    <row r="8045">
      <c r="N8045" s="5"/>
    </row>
    <row r="8046">
      <c r="N8046" s="5"/>
    </row>
    <row r="8047">
      <c r="N8047" s="5"/>
    </row>
    <row r="8048">
      <c r="N8048" s="5"/>
    </row>
    <row r="8049">
      <c r="N8049" s="5"/>
    </row>
    <row r="8050">
      <c r="N8050" s="5"/>
    </row>
    <row r="8051">
      <c r="N8051" s="5"/>
    </row>
    <row r="8052">
      <c r="N8052" s="5"/>
    </row>
    <row r="8053">
      <c r="N8053" s="5"/>
    </row>
    <row r="8054">
      <c r="N8054" s="5"/>
    </row>
    <row r="8055">
      <c r="N8055" s="5"/>
    </row>
    <row r="8056">
      <c r="N8056" s="5"/>
    </row>
    <row r="8057">
      <c r="N8057" s="5"/>
    </row>
    <row r="8058">
      <c r="N8058" s="5"/>
    </row>
    <row r="8059">
      <c r="N8059" s="5"/>
    </row>
    <row r="8060">
      <c r="N8060" s="5"/>
    </row>
    <row r="8061">
      <c r="N8061" s="5"/>
    </row>
    <row r="8062">
      <c r="N8062" s="5"/>
    </row>
    <row r="8063">
      <c r="N8063" s="5"/>
    </row>
    <row r="8064">
      <c r="N8064" s="5"/>
    </row>
    <row r="8065">
      <c r="N8065" s="5"/>
    </row>
    <row r="8066">
      <c r="N8066" s="5"/>
    </row>
    <row r="8067">
      <c r="N8067" s="5"/>
    </row>
    <row r="8068">
      <c r="N8068" s="5"/>
    </row>
    <row r="8069">
      <c r="N8069" s="5"/>
    </row>
    <row r="8070">
      <c r="N8070" s="5"/>
    </row>
    <row r="8071">
      <c r="N8071" s="5"/>
    </row>
    <row r="8072">
      <c r="N8072" s="5"/>
    </row>
    <row r="8073">
      <c r="N8073" s="5"/>
    </row>
    <row r="8074">
      <c r="N8074" s="5"/>
    </row>
    <row r="8075">
      <c r="N8075" s="5"/>
    </row>
    <row r="8076">
      <c r="N8076" s="5"/>
    </row>
    <row r="8077">
      <c r="N8077" s="5"/>
    </row>
    <row r="8078">
      <c r="N8078" s="5"/>
    </row>
    <row r="8079">
      <c r="N8079" s="5"/>
    </row>
    <row r="8080">
      <c r="N8080" s="5"/>
    </row>
    <row r="8081">
      <c r="N8081" s="5"/>
    </row>
    <row r="8082">
      <c r="N8082" s="5"/>
    </row>
    <row r="8083">
      <c r="N8083" s="5"/>
    </row>
    <row r="8084">
      <c r="N8084" s="5"/>
    </row>
    <row r="8085">
      <c r="N8085" s="5"/>
    </row>
    <row r="8086">
      <c r="N8086" s="5"/>
    </row>
    <row r="8087">
      <c r="N8087" s="5"/>
    </row>
    <row r="8088">
      <c r="N8088" s="5"/>
    </row>
    <row r="8089">
      <c r="N8089" s="5"/>
    </row>
    <row r="8090">
      <c r="N8090" s="5"/>
    </row>
    <row r="8091">
      <c r="N8091" s="5"/>
    </row>
    <row r="8092">
      <c r="N8092" s="5"/>
    </row>
    <row r="8093">
      <c r="N8093" s="5"/>
    </row>
    <row r="8094">
      <c r="N8094" s="5"/>
    </row>
    <row r="8095">
      <c r="N8095" s="5"/>
    </row>
    <row r="8096">
      <c r="N8096" s="5"/>
    </row>
    <row r="8097">
      <c r="N8097" s="5"/>
    </row>
    <row r="8098">
      <c r="N8098" s="5"/>
    </row>
    <row r="8099">
      <c r="N8099" s="5"/>
    </row>
    <row r="8100">
      <c r="N8100" s="5"/>
    </row>
    <row r="8101">
      <c r="N8101" s="5"/>
    </row>
    <row r="8102">
      <c r="N8102" s="5"/>
    </row>
    <row r="8103">
      <c r="N8103" s="5"/>
    </row>
    <row r="8104">
      <c r="N8104" s="5"/>
    </row>
    <row r="8105">
      <c r="N8105" s="5"/>
    </row>
    <row r="8106">
      <c r="N8106" s="5"/>
    </row>
    <row r="8107">
      <c r="N8107" s="5"/>
    </row>
    <row r="8108">
      <c r="N8108" s="5"/>
    </row>
    <row r="8109">
      <c r="N8109" s="5"/>
    </row>
    <row r="8110">
      <c r="N8110" s="5"/>
    </row>
    <row r="8111">
      <c r="N8111" s="5"/>
    </row>
    <row r="8112">
      <c r="N8112" s="5"/>
    </row>
    <row r="8113">
      <c r="N8113" s="5"/>
    </row>
    <row r="8114">
      <c r="N8114" s="5"/>
    </row>
    <row r="8115">
      <c r="N8115" s="5"/>
    </row>
    <row r="8116">
      <c r="N8116" s="5"/>
    </row>
    <row r="8117">
      <c r="N8117" s="5"/>
    </row>
    <row r="8118">
      <c r="N8118" s="5"/>
    </row>
    <row r="8119">
      <c r="N8119" s="5"/>
    </row>
    <row r="8120">
      <c r="N8120" s="5"/>
    </row>
    <row r="8121">
      <c r="N8121" s="5"/>
    </row>
    <row r="8122">
      <c r="N8122" s="5"/>
    </row>
    <row r="8123">
      <c r="N8123" s="5"/>
    </row>
    <row r="8124">
      <c r="N8124" s="5"/>
    </row>
    <row r="8125">
      <c r="N8125" s="5"/>
    </row>
    <row r="8126">
      <c r="N8126" s="5"/>
    </row>
    <row r="8127">
      <c r="N8127" s="5"/>
    </row>
    <row r="8128">
      <c r="N8128" s="5"/>
    </row>
    <row r="8129">
      <c r="N8129" s="5"/>
    </row>
    <row r="8130">
      <c r="N8130" s="5"/>
    </row>
    <row r="8131">
      <c r="N8131" s="5"/>
    </row>
    <row r="8132">
      <c r="N8132" s="5"/>
    </row>
    <row r="8133">
      <c r="N8133" s="5"/>
    </row>
    <row r="8134">
      <c r="N8134" s="5"/>
    </row>
    <row r="8135">
      <c r="N8135" s="5"/>
    </row>
    <row r="8136">
      <c r="N8136" s="5"/>
    </row>
    <row r="8137">
      <c r="N8137" s="5"/>
    </row>
    <row r="8138">
      <c r="N8138" s="5"/>
    </row>
    <row r="8139">
      <c r="N8139" s="5"/>
    </row>
    <row r="8140">
      <c r="N8140" s="5"/>
    </row>
    <row r="8141">
      <c r="N8141" s="5"/>
    </row>
    <row r="8142">
      <c r="N8142" s="5"/>
    </row>
    <row r="8143">
      <c r="N8143" s="5"/>
    </row>
    <row r="8144">
      <c r="N8144" s="5"/>
    </row>
    <row r="8145">
      <c r="N8145" s="5"/>
    </row>
    <row r="8146">
      <c r="N8146" s="5"/>
    </row>
    <row r="8147">
      <c r="N8147" s="5"/>
    </row>
    <row r="8148">
      <c r="N8148" s="5"/>
    </row>
    <row r="8149">
      <c r="N8149" s="5"/>
    </row>
    <row r="8150">
      <c r="N8150" s="5"/>
    </row>
    <row r="8151">
      <c r="N8151" s="5"/>
    </row>
    <row r="8152">
      <c r="N8152" s="5"/>
    </row>
    <row r="8153">
      <c r="N8153" s="5"/>
    </row>
    <row r="8154">
      <c r="N8154" s="5"/>
    </row>
    <row r="8155">
      <c r="N8155" s="5"/>
    </row>
    <row r="8156">
      <c r="N8156" s="5"/>
    </row>
    <row r="8157">
      <c r="N8157" s="5"/>
    </row>
    <row r="8158">
      <c r="N8158" s="5"/>
    </row>
    <row r="8159">
      <c r="N8159" s="5"/>
    </row>
    <row r="8160">
      <c r="N8160" s="5"/>
    </row>
    <row r="8161">
      <c r="N8161" s="5"/>
    </row>
    <row r="8162">
      <c r="N8162" s="5"/>
    </row>
    <row r="8163">
      <c r="N8163" s="5"/>
    </row>
    <row r="8164">
      <c r="N8164" s="5"/>
    </row>
    <row r="8165">
      <c r="N8165" s="5"/>
    </row>
    <row r="8166">
      <c r="N8166" s="5"/>
    </row>
    <row r="8167">
      <c r="N8167" s="5"/>
    </row>
    <row r="8168">
      <c r="N8168" s="5"/>
    </row>
    <row r="8169">
      <c r="N8169" s="5"/>
    </row>
    <row r="8170">
      <c r="N8170" s="5"/>
    </row>
    <row r="8171">
      <c r="N8171" s="5"/>
    </row>
    <row r="8172">
      <c r="N8172" s="5"/>
    </row>
    <row r="8173">
      <c r="N8173" s="5"/>
    </row>
    <row r="8174">
      <c r="N8174" s="5"/>
    </row>
    <row r="8175">
      <c r="N8175" s="5"/>
    </row>
    <row r="8176">
      <c r="N8176" s="5"/>
    </row>
    <row r="8177">
      <c r="N8177" s="5"/>
    </row>
    <row r="8178">
      <c r="N8178" s="5"/>
    </row>
    <row r="8179">
      <c r="N8179" s="5"/>
    </row>
    <row r="8180">
      <c r="N8180" s="5"/>
    </row>
    <row r="8181">
      <c r="N8181" s="5"/>
    </row>
    <row r="8182">
      <c r="N8182" s="5"/>
    </row>
    <row r="8183">
      <c r="N8183" s="5"/>
    </row>
    <row r="8184">
      <c r="N8184" s="5"/>
    </row>
    <row r="8185">
      <c r="N8185" s="5"/>
    </row>
    <row r="8186">
      <c r="N8186" s="5"/>
    </row>
    <row r="8187">
      <c r="N8187" s="5"/>
    </row>
    <row r="8188">
      <c r="N8188" s="5"/>
    </row>
    <row r="8189">
      <c r="N8189" s="5"/>
    </row>
    <row r="8190">
      <c r="N8190" s="5"/>
    </row>
    <row r="8191">
      <c r="N8191" s="5"/>
    </row>
    <row r="8192">
      <c r="N8192" s="5"/>
    </row>
    <row r="8193">
      <c r="N8193" s="5"/>
    </row>
    <row r="8194">
      <c r="N8194" s="5"/>
    </row>
    <row r="8195">
      <c r="N8195" s="5"/>
    </row>
    <row r="8196">
      <c r="N8196" s="5"/>
    </row>
    <row r="8197">
      <c r="N8197" s="5"/>
    </row>
    <row r="8198">
      <c r="N8198" s="5"/>
    </row>
    <row r="8199">
      <c r="N8199" s="5"/>
    </row>
    <row r="8200">
      <c r="N8200" s="5"/>
    </row>
    <row r="8201">
      <c r="N8201" s="5"/>
    </row>
    <row r="8202">
      <c r="N8202" s="5"/>
    </row>
    <row r="8203">
      <c r="N8203" s="5"/>
    </row>
    <row r="8204">
      <c r="N8204" s="5"/>
    </row>
    <row r="8205">
      <c r="N8205" s="5"/>
    </row>
    <row r="8206">
      <c r="N8206" s="5"/>
    </row>
    <row r="8207">
      <c r="N8207" s="5"/>
    </row>
    <row r="8208">
      <c r="N8208" s="5"/>
    </row>
    <row r="8209">
      <c r="N8209" s="5"/>
    </row>
    <row r="8210">
      <c r="N8210" s="5"/>
    </row>
    <row r="8211">
      <c r="N8211" s="5"/>
    </row>
    <row r="8212">
      <c r="N8212" s="5"/>
    </row>
    <row r="8213">
      <c r="N8213" s="5"/>
    </row>
    <row r="8214">
      <c r="N8214" s="5"/>
    </row>
    <row r="8215">
      <c r="N8215" s="5"/>
    </row>
    <row r="8216">
      <c r="N8216" s="5"/>
    </row>
    <row r="8217">
      <c r="N8217" s="5"/>
    </row>
    <row r="8218">
      <c r="N8218" s="5"/>
    </row>
    <row r="8219">
      <c r="N8219" s="5"/>
    </row>
    <row r="8220">
      <c r="N8220" s="5"/>
    </row>
    <row r="8221">
      <c r="N8221" s="5"/>
    </row>
    <row r="8222">
      <c r="N8222" s="5"/>
    </row>
    <row r="8223">
      <c r="N8223" s="5"/>
    </row>
    <row r="8224">
      <c r="N8224" s="5"/>
    </row>
    <row r="8225">
      <c r="N8225" s="5"/>
    </row>
    <row r="8226">
      <c r="N8226" s="5"/>
    </row>
    <row r="8227">
      <c r="N8227" s="5"/>
    </row>
    <row r="8228">
      <c r="N8228" s="5"/>
    </row>
    <row r="8229">
      <c r="N8229" s="5"/>
    </row>
    <row r="8230">
      <c r="N8230" s="5"/>
    </row>
    <row r="8231">
      <c r="N8231" s="5"/>
    </row>
    <row r="8232">
      <c r="N8232" s="5"/>
    </row>
    <row r="8233">
      <c r="N8233" s="5"/>
    </row>
    <row r="8234">
      <c r="N8234" s="5"/>
    </row>
    <row r="8235">
      <c r="N8235" s="5"/>
    </row>
    <row r="8236">
      <c r="N8236" s="5"/>
    </row>
    <row r="8237">
      <c r="N8237" s="5"/>
    </row>
    <row r="8238">
      <c r="N8238" s="5"/>
    </row>
    <row r="8239">
      <c r="N8239" s="5"/>
    </row>
    <row r="8240">
      <c r="N8240" s="5"/>
    </row>
    <row r="8241">
      <c r="N8241" s="5"/>
    </row>
    <row r="8242">
      <c r="N8242" s="5"/>
    </row>
    <row r="8243">
      <c r="N8243" s="5"/>
    </row>
    <row r="8244">
      <c r="N8244" s="5"/>
    </row>
    <row r="8245">
      <c r="N8245" s="5"/>
    </row>
    <row r="8246">
      <c r="N8246" s="5"/>
    </row>
    <row r="8247">
      <c r="N8247" s="5"/>
    </row>
    <row r="8248">
      <c r="N8248" s="5"/>
    </row>
    <row r="8249">
      <c r="N8249" s="5"/>
    </row>
    <row r="8250">
      <c r="N8250" s="5"/>
    </row>
    <row r="8251">
      <c r="N8251" s="5"/>
    </row>
    <row r="8252">
      <c r="N8252" s="5"/>
    </row>
    <row r="8253">
      <c r="N8253" s="5"/>
    </row>
    <row r="8254">
      <c r="N8254" s="5"/>
    </row>
    <row r="8255">
      <c r="N8255" s="5"/>
    </row>
    <row r="8256">
      <c r="N8256" s="5"/>
    </row>
    <row r="8257">
      <c r="N8257" s="5"/>
    </row>
    <row r="8258">
      <c r="N8258" s="5"/>
    </row>
    <row r="8259">
      <c r="N8259" s="5"/>
    </row>
    <row r="8260">
      <c r="N8260" s="5"/>
    </row>
    <row r="8261">
      <c r="N8261" s="5"/>
    </row>
    <row r="8262">
      <c r="N8262" s="5"/>
    </row>
    <row r="8263">
      <c r="N8263" s="5"/>
    </row>
    <row r="8264">
      <c r="N8264" s="5"/>
    </row>
    <row r="8265">
      <c r="N8265" s="5"/>
    </row>
    <row r="8266">
      <c r="N8266" s="5"/>
    </row>
    <row r="8267">
      <c r="N8267" s="5"/>
    </row>
    <row r="8268">
      <c r="N8268" s="5"/>
    </row>
    <row r="8269">
      <c r="N8269" s="5"/>
    </row>
    <row r="8270">
      <c r="N8270" s="5"/>
    </row>
    <row r="8271">
      <c r="N8271" s="5"/>
    </row>
    <row r="8272">
      <c r="N8272" s="5"/>
    </row>
    <row r="8273">
      <c r="N8273" s="5"/>
    </row>
    <row r="8274">
      <c r="N8274" s="5"/>
    </row>
    <row r="8275">
      <c r="N8275" s="5"/>
    </row>
    <row r="8276">
      <c r="N8276" s="5"/>
    </row>
    <row r="8277">
      <c r="N8277" s="5"/>
    </row>
    <row r="8278">
      <c r="N8278" s="5"/>
    </row>
    <row r="8279">
      <c r="N8279" s="5"/>
    </row>
    <row r="8280">
      <c r="N8280" s="5"/>
    </row>
    <row r="8281">
      <c r="N8281" s="5"/>
    </row>
    <row r="8282">
      <c r="N8282" s="5"/>
    </row>
    <row r="8283">
      <c r="N8283" s="5"/>
    </row>
    <row r="8284">
      <c r="N8284" s="5"/>
    </row>
    <row r="8285">
      <c r="N8285" s="5"/>
    </row>
    <row r="8286">
      <c r="N8286" s="5"/>
    </row>
    <row r="8287">
      <c r="N8287" s="5"/>
    </row>
    <row r="8288">
      <c r="N8288" s="5"/>
    </row>
    <row r="8289">
      <c r="N8289" s="5"/>
    </row>
    <row r="8290">
      <c r="N8290" s="5"/>
    </row>
    <row r="8291">
      <c r="N8291" s="5"/>
    </row>
    <row r="8292">
      <c r="N8292" s="5"/>
    </row>
    <row r="8293">
      <c r="N8293" s="5"/>
    </row>
    <row r="8294">
      <c r="N8294" s="5"/>
    </row>
    <row r="8295">
      <c r="N8295" s="5"/>
    </row>
    <row r="8296">
      <c r="N8296" s="5"/>
    </row>
    <row r="8297">
      <c r="N8297" s="5"/>
    </row>
    <row r="8298">
      <c r="N8298" s="5"/>
    </row>
    <row r="8299">
      <c r="N8299" s="5"/>
    </row>
    <row r="8300">
      <c r="N8300" s="5"/>
    </row>
    <row r="8301">
      <c r="N8301" s="5"/>
    </row>
    <row r="8302">
      <c r="N8302" s="5"/>
    </row>
    <row r="8303">
      <c r="N8303" s="5"/>
    </row>
    <row r="8304">
      <c r="N8304" s="5"/>
    </row>
    <row r="8305">
      <c r="N8305" s="5"/>
    </row>
    <row r="8306">
      <c r="N8306" s="5"/>
    </row>
    <row r="8307">
      <c r="N8307" s="5"/>
    </row>
    <row r="8308">
      <c r="N8308" s="5"/>
    </row>
    <row r="8309">
      <c r="N8309" s="5"/>
    </row>
    <row r="8310">
      <c r="N8310" s="5"/>
    </row>
    <row r="8311">
      <c r="N8311" s="5"/>
    </row>
    <row r="8312">
      <c r="N8312" s="5"/>
    </row>
    <row r="8313">
      <c r="N8313" s="5"/>
    </row>
    <row r="8314">
      <c r="N8314" s="5"/>
    </row>
    <row r="8315">
      <c r="N8315" s="5"/>
    </row>
    <row r="8316">
      <c r="N8316" s="5"/>
    </row>
    <row r="8317">
      <c r="N8317" s="5"/>
    </row>
    <row r="8318">
      <c r="N8318" s="5"/>
    </row>
    <row r="8319">
      <c r="N8319" s="5"/>
    </row>
    <row r="8320">
      <c r="N8320" s="5"/>
    </row>
    <row r="8321">
      <c r="N8321" s="5"/>
    </row>
    <row r="8322">
      <c r="N8322" s="5"/>
    </row>
    <row r="8323">
      <c r="N8323" s="5"/>
    </row>
    <row r="8324">
      <c r="N8324" s="5"/>
    </row>
    <row r="8325">
      <c r="N8325" s="5"/>
    </row>
    <row r="8326">
      <c r="N8326" s="5"/>
    </row>
    <row r="8327">
      <c r="N8327" s="5"/>
    </row>
    <row r="8328">
      <c r="N8328" s="5"/>
    </row>
    <row r="8329">
      <c r="N8329" s="5"/>
    </row>
    <row r="8330">
      <c r="N8330" s="5"/>
    </row>
    <row r="8331">
      <c r="N8331" s="5"/>
    </row>
    <row r="8332">
      <c r="N8332" s="5"/>
    </row>
    <row r="8333">
      <c r="N8333" s="5"/>
    </row>
    <row r="8334">
      <c r="N8334" s="5"/>
    </row>
    <row r="8335">
      <c r="N8335" s="5"/>
    </row>
    <row r="8336">
      <c r="N8336" s="5"/>
    </row>
    <row r="8337">
      <c r="N8337" s="5"/>
    </row>
    <row r="8338">
      <c r="N8338" s="5"/>
    </row>
    <row r="8339">
      <c r="N8339" s="5"/>
    </row>
    <row r="8340">
      <c r="N8340" s="5"/>
    </row>
    <row r="8341">
      <c r="N8341" s="5"/>
    </row>
    <row r="8342">
      <c r="N8342" s="5"/>
    </row>
    <row r="8343">
      <c r="N8343" s="5"/>
    </row>
    <row r="8344">
      <c r="N8344" s="5"/>
    </row>
    <row r="8345">
      <c r="N8345" s="5"/>
    </row>
    <row r="8346">
      <c r="N8346" s="5"/>
    </row>
    <row r="8347">
      <c r="N8347" s="5"/>
    </row>
    <row r="8348">
      <c r="N8348" s="5"/>
    </row>
    <row r="8349">
      <c r="N8349" s="5"/>
    </row>
    <row r="8350">
      <c r="N8350" s="5"/>
    </row>
    <row r="8351">
      <c r="N8351" s="5"/>
    </row>
    <row r="8352">
      <c r="N8352" s="5"/>
    </row>
    <row r="8353">
      <c r="N8353" s="5"/>
    </row>
    <row r="8354">
      <c r="N8354" s="5"/>
    </row>
    <row r="8355">
      <c r="N8355" s="5"/>
    </row>
    <row r="8356">
      <c r="N8356" s="5"/>
    </row>
    <row r="8357">
      <c r="N8357" s="5"/>
    </row>
    <row r="8358">
      <c r="N8358" s="5"/>
    </row>
    <row r="8359">
      <c r="N8359" s="5"/>
    </row>
    <row r="8360">
      <c r="N8360" s="5"/>
    </row>
    <row r="8361">
      <c r="N8361" s="5"/>
    </row>
    <row r="8362">
      <c r="N8362" s="5"/>
    </row>
    <row r="8363">
      <c r="N8363" s="5"/>
    </row>
    <row r="8364">
      <c r="N8364" s="5"/>
    </row>
    <row r="8365">
      <c r="N8365" s="5"/>
    </row>
    <row r="8366">
      <c r="N8366" s="5"/>
    </row>
    <row r="8367">
      <c r="N8367" s="5"/>
    </row>
    <row r="8368">
      <c r="N8368" s="5"/>
    </row>
    <row r="8369">
      <c r="N8369" s="5"/>
    </row>
    <row r="8370">
      <c r="N8370" s="5"/>
    </row>
    <row r="8371">
      <c r="N8371" s="5"/>
    </row>
    <row r="8372">
      <c r="N8372" s="5"/>
    </row>
    <row r="8373">
      <c r="N8373" s="5"/>
    </row>
    <row r="8374">
      <c r="N8374" s="5"/>
    </row>
    <row r="8375">
      <c r="N8375" s="5"/>
    </row>
    <row r="8376">
      <c r="N8376" s="5"/>
    </row>
    <row r="8377">
      <c r="N8377" s="5"/>
    </row>
    <row r="8378">
      <c r="N8378" s="5"/>
    </row>
    <row r="8379">
      <c r="N8379" s="5"/>
    </row>
    <row r="8380">
      <c r="N8380" s="5"/>
    </row>
    <row r="8381">
      <c r="N8381" s="5"/>
    </row>
    <row r="8382">
      <c r="N8382" s="5"/>
    </row>
    <row r="8383">
      <c r="N8383" s="5"/>
    </row>
    <row r="8384">
      <c r="N8384" s="5"/>
    </row>
    <row r="8385">
      <c r="N8385" s="5"/>
    </row>
    <row r="8386">
      <c r="N8386" s="5"/>
    </row>
    <row r="8387">
      <c r="N8387" s="5"/>
    </row>
    <row r="8388">
      <c r="N8388" s="5"/>
    </row>
    <row r="8389">
      <c r="N8389" s="5"/>
    </row>
    <row r="8390">
      <c r="N8390" s="5"/>
    </row>
    <row r="8391">
      <c r="N8391" s="5"/>
    </row>
    <row r="8392">
      <c r="N8392" s="5"/>
    </row>
    <row r="8393">
      <c r="N8393" s="5"/>
    </row>
    <row r="8394">
      <c r="N8394" s="5"/>
    </row>
    <row r="8395">
      <c r="N8395" s="5"/>
    </row>
    <row r="8396">
      <c r="N8396" s="5"/>
    </row>
    <row r="8397">
      <c r="N8397" s="5"/>
    </row>
    <row r="8398">
      <c r="N8398" s="5"/>
    </row>
    <row r="8399">
      <c r="N8399" s="5"/>
    </row>
    <row r="8400">
      <c r="N8400" s="5"/>
    </row>
    <row r="8401">
      <c r="N8401" s="5"/>
    </row>
    <row r="8402">
      <c r="N8402" s="5"/>
    </row>
    <row r="8403">
      <c r="N8403" s="5"/>
    </row>
    <row r="8404">
      <c r="N8404" s="5"/>
    </row>
    <row r="8405">
      <c r="N8405" s="5"/>
    </row>
    <row r="8406">
      <c r="N8406" s="5"/>
    </row>
    <row r="8407">
      <c r="N8407" s="5"/>
    </row>
    <row r="8408">
      <c r="N8408" s="5"/>
    </row>
    <row r="8409">
      <c r="N8409" s="5"/>
    </row>
    <row r="8410">
      <c r="N8410" s="5"/>
    </row>
    <row r="8411">
      <c r="N8411" s="5"/>
    </row>
    <row r="8412">
      <c r="N8412" s="5"/>
    </row>
    <row r="8413">
      <c r="N8413" s="5"/>
    </row>
    <row r="8414">
      <c r="N8414" s="5"/>
    </row>
    <row r="8415">
      <c r="N8415" s="5"/>
    </row>
    <row r="8416">
      <c r="N8416" s="5"/>
    </row>
    <row r="8417">
      <c r="N8417" s="5"/>
    </row>
    <row r="8418">
      <c r="N8418" s="5"/>
    </row>
    <row r="8419">
      <c r="N8419" s="5"/>
    </row>
    <row r="8420">
      <c r="N8420" s="5"/>
    </row>
    <row r="8421">
      <c r="N8421" s="5"/>
    </row>
    <row r="8422">
      <c r="N8422" s="5"/>
    </row>
    <row r="8423">
      <c r="N8423" s="5"/>
    </row>
    <row r="8424">
      <c r="N8424" s="5"/>
    </row>
    <row r="8425">
      <c r="N8425" s="5"/>
    </row>
    <row r="8426">
      <c r="N8426" s="5"/>
    </row>
    <row r="8427">
      <c r="N8427" s="5"/>
    </row>
    <row r="8428">
      <c r="N8428" s="5"/>
    </row>
    <row r="8429">
      <c r="N8429" s="5"/>
    </row>
    <row r="8430">
      <c r="N8430" s="5"/>
    </row>
    <row r="8431">
      <c r="N8431" s="5"/>
    </row>
    <row r="8432">
      <c r="N8432" s="5"/>
    </row>
    <row r="8433">
      <c r="N8433" s="5"/>
    </row>
    <row r="8434">
      <c r="N8434" s="5"/>
    </row>
    <row r="8435">
      <c r="N8435" s="5"/>
    </row>
    <row r="8436">
      <c r="N8436" s="5"/>
    </row>
    <row r="8437">
      <c r="N8437" s="5"/>
    </row>
    <row r="8438">
      <c r="N8438" s="5"/>
    </row>
    <row r="8439">
      <c r="N8439" s="5"/>
    </row>
    <row r="8440">
      <c r="N8440" s="5"/>
    </row>
    <row r="8441">
      <c r="N8441" s="5"/>
    </row>
    <row r="8442">
      <c r="N8442" s="5"/>
    </row>
    <row r="8443">
      <c r="N8443" s="5"/>
    </row>
    <row r="8444">
      <c r="N8444" s="5"/>
    </row>
    <row r="8445">
      <c r="N8445" s="5"/>
    </row>
    <row r="8446">
      <c r="N8446" s="5"/>
    </row>
    <row r="8447">
      <c r="N8447" s="5"/>
    </row>
    <row r="8448">
      <c r="N8448" s="5"/>
    </row>
    <row r="8449">
      <c r="N8449" s="5"/>
    </row>
    <row r="8450">
      <c r="N8450" s="5"/>
    </row>
    <row r="8451">
      <c r="N8451" s="5"/>
    </row>
    <row r="8452">
      <c r="N8452" s="5"/>
    </row>
    <row r="8453">
      <c r="N8453" s="5"/>
    </row>
    <row r="8454">
      <c r="N8454" s="5"/>
    </row>
    <row r="8455">
      <c r="N8455" s="5"/>
    </row>
    <row r="8456">
      <c r="N8456" s="5"/>
    </row>
    <row r="8457">
      <c r="N8457" s="5"/>
    </row>
    <row r="8458">
      <c r="N8458" s="5"/>
    </row>
    <row r="8459">
      <c r="N8459" s="5"/>
    </row>
    <row r="8460">
      <c r="N8460" s="5"/>
    </row>
    <row r="8461">
      <c r="N8461" s="5"/>
    </row>
    <row r="8462">
      <c r="N8462" s="5"/>
    </row>
    <row r="8463">
      <c r="N8463" s="5"/>
    </row>
    <row r="8464">
      <c r="N8464" s="5"/>
    </row>
    <row r="8465">
      <c r="N8465" s="5"/>
    </row>
    <row r="8466">
      <c r="N8466" s="5"/>
    </row>
    <row r="8467">
      <c r="N8467" s="5"/>
    </row>
    <row r="8468">
      <c r="N8468" s="5"/>
    </row>
    <row r="8469">
      <c r="N8469" s="5"/>
    </row>
    <row r="8470">
      <c r="N8470" s="5"/>
    </row>
    <row r="8471">
      <c r="N8471" s="5"/>
    </row>
    <row r="8472">
      <c r="N8472" s="5"/>
    </row>
    <row r="8473">
      <c r="N8473" s="5"/>
    </row>
    <row r="8474">
      <c r="N8474" s="5"/>
    </row>
    <row r="8475">
      <c r="N8475" s="5"/>
    </row>
    <row r="8476">
      <c r="N8476" s="5"/>
    </row>
    <row r="8477">
      <c r="N8477" s="5"/>
    </row>
    <row r="8478">
      <c r="N8478" s="5"/>
    </row>
    <row r="8479">
      <c r="N8479" s="5"/>
    </row>
    <row r="8480">
      <c r="N8480" s="5"/>
    </row>
    <row r="8481">
      <c r="N8481" s="5"/>
    </row>
    <row r="8482">
      <c r="N8482" s="5"/>
    </row>
    <row r="8483">
      <c r="N8483" s="5"/>
    </row>
    <row r="8484">
      <c r="N8484" s="5"/>
    </row>
    <row r="8485">
      <c r="N8485" s="5"/>
    </row>
    <row r="8486">
      <c r="N8486" s="5"/>
    </row>
    <row r="8487">
      <c r="N8487" s="5"/>
    </row>
    <row r="8488">
      <c r="N8488" s="5"/>
    </row>
    <row r="8489">
      <c r="N8489" s="5"/>
    </row>
    <row r="8490">
      <c r="N8490" s="5"/>
    </row>
    <row r="8491">
      <c r="N8491" s="5"/>
    </row>
    <row r="8492">
      <c r="N8492" s="5"/>
    </row>
    <row r="8493">
      <c r="N8493" s="5"/>
    </row>
    <row r="8494">
      <c r="N8494" s="5"/>
    </row>
    <row r="8495">
      <c r="N8495" s="5"/>
    </row>
    <row r="8496">
      <c r="N8496" s="5"/>
    </row>
    <row r="8497">
      <c r="N8497" s="5"/>
    </row>
    <row r="8498">
      <c r="N8498" s="5"/>
    </row>
    <row r="8499">
      <c r="N8499" s="5"/>
    </row>
    <row r="8500">
      <c r="N8500" s="5"/>
    </row>
    <row r="8501">
      <c r="N8501" s="5"/>
    </row>
    <row r="8502">
      <c r="N8502" s="5"/>
    </row>
    <row r="8503">
      <c r="N8503" s="5"/>
    </row>
    <row r="8504">
      <c r="N8504" s="5"/>
    </row>
    <row r="8505">
      <c r="N8505" s="5"/>
    </row>
    <row r="8506">
      <c r="N8506" s="5"/>
    </row>
    <row r="8507">
      <c r="N8507" s="5"/>
    </row>
    <row r="8508">
      <c r="N8508" s="5"/>
    </row>
    <row r="8509">
      <c r="N8509" s="5"/>
    </row>
    <row r="8510">
      <c r="N8510" s="5"/>
    </row>
    <row r="8511">
      <c r="N8511" s="5"/>
    </row>
    <row r="8512">
      <c r="N8512" s="5"/>
    </row>
    <row r="8513">
      <c r="N8513" s="5"/>
    </row>
    <row r="8514">
      <c r="N8514" s="5"/>
    </row>
    <row r="8515">
      <c r="N8515" s="5"/>
    </row>
    <row r="8516">
      <c r="N8516" s="5"/>
    </row>
    <row r="8517">
      <c r="N8517" s="5"/>
    </row>
    <row r="8518">
      <c r="N8518" s="5"/>
    </row>
    <row r="8519">
      <c r="N8519" s="5"/>
    </row>
    <row r="8520">
      <c r="N8520" s="5"/>
    </row>
    <row r="8521">
      <c r="I8521" s="4"/>
      <c r="N8521" s="5"/>
    </row>
    <row r="8522">
      <c r="N8522" s="5"/>
    </row>
    <row r="8523">
      <c r="N8523" s="5"/>
    </row>
    <row r="8524">
      <c r="N8524" s="5"/>
    </row>
    <row r="8525">
      <c r="N8525" s="5"/>
    </row>
    <row r="8526">
      <c r="N8526" s="5"/>
    </row>
    <row r="8527">
      <c r="N8527" s="5"/>
    </row>
    <row r="8528">
      <c r="N8528" s="5"/>
    </row>
    <row r="8529">
      <c r="N8529" s="5"/>
    </row>
    <row r="8530">
      <c r="N8530" s="5"/>
    </row>
    <row r="8531">
      <c r="N8531" s="5"/>
    </row>
    <row r="8532">
      <c r="N8532" s="5"/>
    </row>
    <row r="8533">
      <c r="N8533" s="5"/>
    </row>
    <row r="8534">
      <c r="N8534" s="5"/>
    </row>
    <row r="8535">
      <c r="N8535" s="5"/>
    </row>
    <row r="8536">
      <c r="N8536" s="5"/>
    </row>
    <row r="8537">
      <c r="N8537" s="5"/>
    </row>
    <row r="8538">
      <c r="N8538" s="5"/>
    </row>
    <row r="8539">
      <c r="N8539" s="5"/>
    </row>
    <row r="8540">
      <c r="N8540" s="5"/>
    </row>
    <row r="8541">
      <c r="N8541" s="5"/>
    </row>
    <row r="8542">
      <c r="N8542" s="5"/>
    </row>
    <row r="8543">
      <c r="N8543" s="5"/>
    </row>
    <row r="8544">
      <c r="N8544" s="5"/>
    </row>
    <row r="8545">
      <c r="N8545" s="5"/>
    </row>
    <row r="8546">
      <c r="N8546" s="5"/>
    </row>
    <row r="8547">
      <c r="N8547" s="5"/>
    </row>
    <row r="8548">
      <c r="N8548" s="5"/>
    </row>
    <row r="8549">
      <c r="N8549" s="5"/>
    </row>
    <row r="8550">
      <c r="N8550" s="5"/>
    </row>
    <row r="8551">
      <c r="N8551" s="5"/>
    </row>
    <row r="8552">
      <c r="N8552" s="5"/>
    </row>
    <row r="8553">
      <c r="N8553" s="5"/>
    </row>
    <row r="8554">
      <c r="N8554" s="5"/>
    </row>
    <row r="8555">
      <c r="N8555" s="5"/>
    </row>
    <row r="8556">
      <c r="N8556" s="5"/>
    </row>
    <row r="8557">
      <c r="N8557" s="5"/>
    </row>
    <row r="8558">
      <c r="N8558" s="5"/>
    </row>
    <row r="8559">
      <c r="N8559" s="5"/>
    </row>
    <row r="8560">
      <c r="N8560" s="5"/>
    </row>
    <row r="8561">
      <c r="N8561" s="5"/>
    </row>
    <row r="8562">
      <c r="N8562" s="5"/>
    </row>
    <row r="8563">
      <c r="N8563" s="5"/>
    </row>
    <row r="8564">
      <c r="N8564" s="5"/>
    </row>
    <row r="8565">
      <c r="N8565" s="5"/>
    </row>
    <row r="8566">
      <c r="N8566" s="5"/>
    </row>
    <row r="8567">
      <c r="N8567" s="5"/>
    </row>
    <row r="8568">
      <c r="N8568" s="5"/>
    </row>
    <row r="8569">
      <c r="N8569" s="5"/>
    </row>
    <row r="8570">
      <c r="N8570" s="5"/>
    </row>
    <row r="8571">
      <c r="N8571" s="5"/>
    </row>
    <row r="8572">
      <c r="N8572" s="5"/>
    </row>
    <row r="8573">
      <c r="N8573" s="5"/>
    </row>
    <row r="8574">
      <c r="N8574" s="5"/>
    </row>
    <row r="8575">
      <c r="N8575" s="5"/>
    </row>
    <row r="8576">
      <c r="N8576" s="5"/>
    </row>
    <row r="8577">
      <c r="N8577" s="5"/>
    </row>
    <row r="8578">
      <c r="N8578" s="5"/>
    </row>
    <row r="8579">
      <c r="N8579" s="5"/>
    </row>
    <row r="8580">
      <c r="N8580" s="5"/>
    </row>
    <row r="8581">
      <c r="N8581" s="5"/>
    </row>
    <row r="8582">
      <c r="N8582" s="5"/>
    </row>
    <row r="8583">
      <c r="N8583" s="5"/>
    </row>
    <row r="8584">
      <c r="N8584" s="5"/>
    </row>
    <row r="8585">
      <c r="N8585" s="5"/>
    </row>
    <row r="8586">
      <c r="N8586" s="5"/>
    </row>
    <row r="8587">
      <c r="N8587" s="5"/>
    </row>
    <row r="8588">
      <c r="N8588" s="5"/>
    </row>
    <row r="8589">
      <c r="N8589" s="5"/>
    </row>
    <row r="8590">
      <c r="N8590" s="5"/>
    </row>
    <row r="8591">
      <c r="N8591" s="5"/>
    </row>
    <row r="8592">
      <c r="N8592" s="5"/>
    </row>
    <row r="8593">
      <c r="N8593" s="5"/>
    </row>
    <row r="8594">
      <c r="N8594" s="5"/>
    </row>
    <row r="8595">
      <c r="N8595" s="5"/>
    </row>
    <row r="8596">
      <c r="N8596" s="5"/>
    </row>
    <row r="8597">
      <c r="N8597" s="5"/>
    </row>
    <row r="8598">
      <c r="N8598" s="5"/>
    </row>
    <row r="8599">
      <c r="N8599" s="5"/>
    </row>
    <row r="8600">
      <c r="N8600" s="5"/>
    </row>
    <row r="8601">
      <c r="N8601" s="5"/>
    </row>
    <row r="8602">
      <c r="N8602" s="5"/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21</v>
      </c>
    </row>
    <row r="2">
      <c r="A2" s="1">
        <v>1.0</v>
      </c>
      <c r="B2" s="1" t="s">
        <v>23</v>
      </c>
      <c r="C2" s="1" t="s">
        <v>25</v>
      </c>
      <c r="E2" s="1">
        <v>10.0</v>
      </c>
      <c r="F2" s="1">
        <v>0.2</v>
      </c>
      <c r="I2" s="4"/>
      <c r="K2" s="1">
        <v>200.0</v>
      </c>
      <c r="N2" s="5">
        <v>42558.0</v>
      </c>
      <c r="Q2" s="1" t="s">
        <v>32</v>
      </c>
    </row>
    <row r="3">
      <c r="A3" s="1">
        <v>2.0</v>
      </c>
      <c r="B3" s="1" t="s">
        <v>34</v>
      </c>
      <c r="C3" s="1" t="s">
        <v>25</v>
      </c>
      <c r="I3" s="4"/>
      <c r="N3" s="5">
        <v>45736.0</v>
      </c>
      <c r="Q3" s="1" t="s">
        <v>42</v>
      </c>
    </row>
    <row r="4">
      <c r="A4" s="1">
        <v>3.0</v>
      </c>
      <c r="B4" s="1" t="s">
        <v>44</v>
      </c>
      <c r="C4" s="1" t="s">
        <v>25</v>
      </c>
      <c r="I4" s="4"/>
      <c r="K4" s="1">
        <v>100.0</v>
      </c>
      <c r="N4" s="5">
        <v>44257.0</v>
      </c>
      <c r="Q4" s="1" t="s">
        <v>46</v>
      </c>
    </row>
    <row r="5">
      <c r="A5" s="1">
        <v>4.0</v>
      </c>
      <c r="B5" s="1" t="s">
        <v>48</v>
      </c>
      <c r="C5" s="1" t="s">
        <v>25</v>
      </c>
      <c r="I5" s="4"/>
      <c r="K5" s="1">
        <v>10.0</v>
      </c>
      <c r="N5" s="5">
        <v>44012.0</v>
      </c>
      <c r="Q5" s="1" t="s">
        <v>51</v>
      </c>
    </row>
    <row r="6">
      <c r="A6" s="1">
        <v>5.0</v>
      </c>
      <c r="B6" s="1" t="s">
        <v>52</v>
      </c>
      <c r="C6" s="1" t="s">
        <v>25</v>
      </c>
      <c r="I6" s="4"/>
      <c r="N6" s="5">
        <v>44256.0</v>
      </c>
      <c r="Q6" s="1" t="s">
        <v>55</v>
      </c>
    </row>
    <row r="7">
      <c r="A7" s="1">
        <v>6.0</v>
      </c>
      <c r="B7" s="1" t="s">
        <v>56</v>
      </c>
      <c r="C7" s="1" t="s">
        <v>25</v>
      </c>
      <c r="I7" s="4"/>
      <c r="N7" s="5">
        <v>45070.0</v>
      </c>
      <c r="Q7" s="1" t="s">
        <v>58</v>
      </c>
    </row>
    <row r="8">
      <c r="A8" s="1">
        <v>7.0</v>
      </c>
      <c r="B8" s="1" t="s">
        <v>60</v>
      </c>
      <c r="C8" s="1" t="s">
        <v>25</v>
      </c>
      <c r="I8" s="4"/>
      <c r="K8" s="1">
        <v>50.0</v>
      </c>
      <c r="N8" s="5">
        <v>45080.0</v>
      </c>
      <c r="Q8" s="1" t="s">
        <v>62</v>
      </c>
    </row>
    <row r="9">
      <c r="A9" s="1">
        <v>8.0</v>
      </c>
      <c r="B9" s="1" t="s">
        <v>64</v>
      </c>
      <c r="C9" s="1" t="s">
        <v>25</v>
      </c>
      <c r="I9" s="4"/>
      <c r="K9" s="1">
        <v>150.0</v>
      </c>
      <c r="N9" s="5">
        <v>43980.0</v>
      </c>
      <c r="Q9" s="1" t="s">
        <v>66</v>
      </c>
    </row>
    <row r="10">
      <c r="A10" s="1">
        <v>9.0</v>
      </c>
      <c r="B10" s="1" t="s">
        <v>67</v>
      </c>
      <c r="C10" s="1" t="s">
        <v>25</v>
      </c>
      <c r="K10" s="1">
        <v>20.0</v>
      </c>
      <c r="N10" s="5">
        <v>45962.0</v>
      </c>
      <c r="Q10" s="1" t="s">
        <v>69</v>
      </c>
    </row>
    <row r="11">
      <c r="A11" s="1">
        <v>10.0</v>
      </c>
      <c r="B11" s="1" t="s">
        <v>71</v>
      </c>
      <c r="C11" s="1" t="s">
        <v>25</v>
      </c>
      <c r="I11" s="4"/>
      <c r="N11" s="5">
        <v>44000.0</v>
      </c>
      <c r="Q11" s="1" t="s">
        <v>55</v>
      </c>
    </row>
    <row r="12">
      <c r="A12" s="1">
        <v>11.0</v>
      </c>
      <c r="B12" s="1" t="s">
        <v>75</v>
      </c>
      <c r="C12" s="1" t="s">
        <v>25</v>
      </c>
      <c r="I12" s="4"/>
      <c r="K12" s="1">
        <v>40.0</v>
      </c>
      <c r="N12" s="5">
        <v>44272.0</v>
      </c>
      <c r="Q12" s="1" t="s">
        <v>77</v>
      </c>
    </row>
    <row r="13">
      <c r="A13" s="1">
        <v>12.0</v>
      </c>
      <c r="B13" s="1" t="s">
        <v>79</v>
      </c>
      <c r="C13" s="1" t="s">
        <v>25</v>
      </c>
      <c r="N13" s="5">
        <v>45365.0</v>
      </c>
      <c r="Q13" s="1" t="s">
        <v>80</v>
      </c>
    </row>
    <row r="14">
      <c r="A14" s="1">
        <v>13.0</v>
      </c>
      <c r="B14" s="1" t="s">
        <v>81</v>
      </c>
      <c r="C14" s="1" t="s">
        <v>25</v>
      </c>
      <c r="I14" s="4"/>
      <c r="K14" s="1">
        <v>20.0</v>
      </c>
      <c r="N14" s="5">
        <v>44871.0</v>
      </c>
      <c r="Q14" s="1" t="s">
        <v>83</v>
      </c>
    </row>
    <row r="15">
      <c r="A15" s="1">
        <v>14.0</v>
      </c>
      <c r="B15" s="1" t="s">
        <v>84</v>
      </c>
      <c r="C15" s="1" t="s">
        <v>25</v>
      </c>
      <c r="I15" s="4"/>
      <c r="K15" s="1">
        <v>200.0</v>
      </c>
      <c r="N15" s="5">
        <v>44315.0</v>
      </c>
      <c r="Q15" s="1" t="s">
        <v>87</v>
      </c>
    </row>
    <row r="16">
      <c r="A16" s="1">
        <v>15.0</v>
      </c>
      <c r="B16" s="1" t="s">
        <v>89</v>
      </c>
      <c r="C16" s="1" t="s">
        <v>25</v>
      </c>
      <c r="I16" s="4"/>
      <c r="K16" s="1">
        <v>10.0</v>
      </c>
      <c r="N16" s="5">
        <v>44261.0</v>
      </c>
      <c r="Q16" s="1" t="s">
        <v>55</v>
      </c>
    </row>
    <row r="17">
      <c r="A17" s="1">
        <v>16.0</v>
      </c>
      <c r="B17" s="1" t="s">
        <v>92</v>
      </c>
      <c r="C17" s="1" t="s">
        <v>25</v>
      </c>
      <c r="I17" s="4"/>
      <c r="K17" s="1">
        <v>40.0</v>
      </c>
      <c r="N17" s="5">
        <v>44491.0</v>
      </c>
      <c r="Q17" s="1" t="s">
        <v>93</v>
      </c>
    </row>
    <row r="18">
      <c r="A18" s="1">
        <v>17.0</v>
      </c>
      <c r="B18" s="1" t="s">
        <v>96</v>
      </c>
      <c r="C18" s="1" t="s">
        <v>25</v>
      </c>
      <c r="I18" s="4"/>
      <c r="K18" s="1">
        <v>40.0</v>
      </c>
      <c r="N18" s="5">
        <v>45095.0</v>
      </c>
      <c r="Q18" s="1" t="s">
        <v>97</v>
      </c>
    </row>
    <row r="19">
      <c r="A19" s="1">
        <v>18.0</v>
      </c>
      <c r="B19" s="1" t="s">
        <v>98</v>
      </c>
      <c r="C19" s="1" t="s">
        <v>25</v>
      </c>
      <c r="I19" s="4"/>
      <c r="K19" s="1">
        <v>50.0</v>
      </c>
      <c r="N19" s="5">
        <v>45328.0</v>
      </c>
      <c r="Q19" s="1" t="s">
        <v>100</v>
      </c>
    </row>
    <row r="20">
      <c r="A20" s="1">
        <v>19.0</v>
      </c>
      <c r="B20" s="1" t="s">
        <v>102</v>
      </c>
      <c r="C20" s="1" t="s">
        <v>25</v>
      </c>
      <c r="K20" s="1">
        <v>30.0</v>
      </c>
      <c r="N20" s="5">
        <v>44545.0</v>
      </c>
      <c r="Q20" s="1" t="s">
        <v>105</v>
      </c>
    </row>
    <row r="21">
      <c r="A21" s="1">
        <v>20.0</v>
      </c>
      <c r="B21" s="1" t="s">
        <v>106</v>
      </c>
      <c r="C21" s="1" t="s">
        <v>25</v>
      </c>
      <c r="K21" s="1">
        <v>30.0</v>
      </c>
      <c r="N21" s="5">
        <v>45317.0</v>
      </c>
      <c r="Q21" s="1" t="s">
        <v>107</v>
      </c>
    </row>
    <row r="22">
      <c r="A22" s="1">
        <v>21.0</v>
      </c>
      <c r="B22" s="1" t="s">
        <v>108</v>
      </c>
      <c r="C22" s="1" t="s">
        <v>25</v>
      </c>
      <c r="K22" s="1">
        <v>40.0</v>
      </c>
      <c r="N22" s="5">
        <v>45307.0</v>
      </c>
      <c r="Q22" s="1" t="s">
        <v>55</v>
      </c>
    </row>
    <row r="23">
      <c r="A23" s="1">
        <v>22.0</v>
      </c>
      <c r="B23" s="1" t="s">
        <v>111</v>
      </c>
      <c r="C23" s="1" t="s">
        <v>25</v>
      </c>
      <c r="K23" s="1">
        <v>40.0</v>
      </c>
      <c r="N23" s="5">
        <v>42305.0</v>
      </c>
      <c r="Q23" s="1" t="s">
        <v>113</v>
      </c>
    </row>
    <row r="24">
      <c r="A24" s="1">
        <v>23.0</v>
      </c>
      <c r="B24" s="1" t="s">
        <v>114</v>
      </c>
      <c r="C24" s="1" t="s">
        <v>25</v>
      </c>
      <c r="I24" s="4"/>
      <c r="K24" s="1">
        <v>30.0</v>
      </c>
      <c r="N24" s="5">
        <v>42573.0</v>
      </c>
      <c r="Q24" s="1" t="s">
        <v>117</v>
      </c>
    </row>
    <row r="25">
      <c r="A25" s="1">
        <v>24.0</v>
      </c>
      <c r="B25" s="1" t="s">
        <v>118</v>
      </c>
      <c r="C25" s="1" t="s">
        <v>25</v>
      </c>
      <c r="N25" s="5">
        <v>44923.0</v>
      </c>
      <c r="Q25" s="1" t="s">
        <v>55</v>
      </c>
    </row>
    <row r="26">
      <c r="A26" s="1">
        <v>25.0</v>
      </c>
      <c r="B26" s="1" t="s">
        <v>121</v>
      </c>
      <c r="C26" s="1" t="s">
        <v>25</v>
      </c>
      <c r="K26" s="1">
        <v>40.0</v>
      </c>
      <c r="N26" s="5">
        <v>45098.0</v>
      </c>
      <c r="Q26" s="1" t="s">
        <v>125</v>
      </c>
    </row>
    <row r="27">
      <c r="A27" s="1">
        <v>26.0</v>
      </c>
      <c r="B27" s="1" t="s">
        <v>127</v>
      </c>
      <c r="C27" s="1" t="s">
        <v>25</v>
      </c>
      <c r="K27" s="1">
        <v>40.0</v>
      </c>
      <c r="N27" s="5">
        <v>45217.0</v>
      </c>
      <c r="Q27" s="1" t="s">
        <v>131</v>
      </c>
    </row>
    <row r="28">
      <c r="A28" s="1">
        <v>27.0</v>
      </c>
      <c r="B28" s="1" t="s">
        <v>133</v>
      </c>
      <c r="C28" s="1" t="s">
        <v>25</v>
      </c>
      <c r="K28" s="1">
        <v>10.0</v>
      </c>
      <c r="N28" s="5">
        <v>44790.0</v>
      </c>
      <c r="Q28" s="1" t="s">
        <v>134</v>
      </c>
    </row>
    <row r="29">
      <c r="A29" s="1">
        <v>28.0</v>
      </c>
      <c r="B29" s="1" t="s">
        <v>136</v>
      </c>
      <c r="C29" s="1" t="s">
        <v>25</v>
      </c>
      <c r="I29" s="4"/>
      <c r="K29" s="1">
        <v>70.0</v>
      </c>
      <c r="N29" s="5">
        <v>43976.0</v>
      </c>
      <c r="Q29" s="1" t="s">
        <v>140</v>
      </c>
    </row>
    <row r="30">
      <c r="A30" s="1">
        <v>29.0</v>
      </c>
      <c r="B30" s="1" t="s">
        <v>142</v>
      </c>
      <c r="C30" s="1" t="s">
        <v>25</v>
      </c>
      <c r="I30" s="4"/>
      <c r="K30" s="1">
        <v>30.0</v>
      </c>
      <c r="N30" s="5">
        <v>45700.0</v>
      </c>
      <c r="Q30" s="1" t="s">
        <v>146</v>
      </c>
    </row>
    <row r="31">
      <c r="A31" s="1">
        <v>30.0</v>
      </c>
      <c r="B31" s="1" t="s">
        <v>148</v>
      </c>
      <c r="C31" s="1" t="s">
        <v>25</v>
      </c>
      <c r="K31" s="1">
        <v>30.0</v>
      </c>
      <c r="N31" s="5">
        <v>44158.0</v>
      </c>
      <c r="Q31" s="1" t="s">
        <v>151</v>
      </c>
    </row>
    <row r="32">
      <c r="A32" s="1">
        <v>31.0</v>
      </c>
      <c r="B32" s="1" t="s">
        <v>153</v>
      </c>
      <c r="C32" s="1" t="s">
        <v>25</v>
      </c>
      <c r="I32" s="4"/>
      <c r="K32" s="1">
        <v>30.0</v>
      </c>
      <c r="N32" s="5">
        <v>45054.0</v>
      </c>
      <c r="Q32" s="1" t="s">
        <v>156</v>
      </c>
    </row>
    <row r="33">
      <c r="A33" s="1">
        <v>32.0</v>
      </c>
      <c r="B33" s="1" t="s">
        <v>158</v>
      </c>
      <c r="C33" s="1" t="s">
        <v>25</v>
      </c>
      <c r="K33" s="1">
        <v>10.0</v>
      </c>
      <c r="N33" s="5">
        <v>44925.0</v>
      </c>
      <c r="Q33" s="1" t="s">
        <v>93</v>
      </c>
    </row>
    <row r="34">
      <c r="A34" s="1">
        <v>33.0</v>
      </c>
      <c r="B34" s="1" t="s">
        <v>162</v>
      </c>
      <c r="C34" s="1" t="s">
        <v>25</v>
      </c>
      <c r="I34" s="4"/>
      <c r="K34" s="1">
        <v>60.0</v>
      </c>
      <c r="N34" s="5">
        <v>45192.0</v>
      </c>
      <c r="Q34" s="1" t="s">
        <v>167</v>
      </c>
    </row>
    <row r="35">
      <c r="A35" s="1">
        <v>34.0</v>
      </c>
      <c r="B35" s="1" t="s">
        <v>168</v>
      </c>
      <c r="C35" s="1" t="s">
        <v>25</v>
      </c>
      <c r="K35" s="1">
        <v>10.0</v>
      </c>
      <c r="N35" s="5">
        <v>44108.0</v>
      </c>
      <c r="Q35" s="1" t="s">
        <v>172</v>
      </c>
    </row>
    <row r="36">
      <c r="A36" s="1">
        <v>35.0</v>
      </c>
      <c r="B36" s="1" t="s">
        <v>174</v>
      </c>
      <c r="C36" s="1" t="s">
        <v>25</v>
      </c>
      <c r="N36" s="5">
        <v>44602.0</v>
      </c>
      <c r="Q36" s="1" t="s">
        <v>55</v>
      </c>
    </row>
    <row r="37">
      <c r="A37" s="1">
        <v>36.0</v>
      </c>
      <c r="B37" s="1" t="s">
        <v>179</v>
      </c>
      <c r="C37" s="1" t="s">
        <v>25</v>
      </c>
      <c r="I37" s="4"/>
      <c r="N37" s="5">
        <v>44723.0</v>
      </c>
      <c r="Q37" s="1" t="s">
        <v>55</v>
      </c>
    </row>
    <row r="38">
      <c r="A38" s="1">
        <v>37.0</v>
      </c>
      <c r="B38" s="1" t="s">
        <v>183</v>
      </c>
      <c r="C38" s="1" t="s">
        <v>25</v>
      </c>
      <c r="K38" s="1">
        <v>30.0</v>
      </c>
      <c r="N38" s="5">
        <v>44177.0</v>
      </c>
      <c r="Q38" s="1" t="s">
        <v>186</v>
      </c>
    </row>
    <row r="39">
      <c r="A39" s="1">
        <v>38.0</v>
      </c>
      <c r="B39" s="1" t="s">
        <v>188</v>
      </c>
      <c r="C39" s="1" t="s">
        <v>25</v>
      </c>
      <c r="I39" s="4"/>
      <c r="N39" s="5">
        <v>43929.0</v>
      </c>
      <c r="Q39" s="1" t="s">
        <v>46</v>
      </c>
    </row>
    <row r="40">
      <c r="A40" s="1">
        <v>39.0</v>
      </c>
      <c r="B40" s="1" t="s">
        <v>194</v>
      </c>
      <c r="C40" s="1" t="s">
        <v>25</v>
      </c>
      <c r="I40" s="4"/>
      <c r="K40" s="1">
        <v>20.0</v>
      </c>
      <c r="N40" s="5">
        <v>45140.0</v>
      </c>
      <c r="Q40" s="1" t="s">
        <v>197</v>
      </c>
    </row>
    <row r="41">
      <c r="A41" s="1">
        <v>40.0</v>
      </c>
      <c r="B41" s="1" t="s">
        <v>199</v>
      </c>
      <c r="C41" s="1" t="s">
        <v>25</v>
      </c>
      <c r="K41" s="1">
        <v>50.0</v>
      </c>
      <c r="N41" s="5">
        <v>45172.0</v>
      </c>
      <c r="Q41" s="1" t="s">
        <v>203</v>
      </c>
    </row>
    <row r="42">
      <c r="A42" s="1">
        <v>41.0</v>
      </c>
      <c r="B42" s="1" t="s">
        <v>205</v>
      </c>
      <c r="C42" s="1" t="s">
        <v>25</v>
      </c>
      <c r="K42" s="1">
        <v>10.0</v>
      </c>
      <c r="N42" s="5">
        <v>46114.0</v>
      </c>
      <c r="Q42" s="1" t="s">
        <v>207</v>
      </c>
    </row>
    <row r="43">
      <c r="A43" s="1">
        <v>42.0</v>
      </c>
      <c r="B43" s="1" t="s">
        <v>209</v>
      </c>
      <c r="C43" s="1" t="s">
        <v>25</v>
      </c>
      <c r="I43" s="4"/>
      <c r="K43" s="1">
        <v>20.0</v>
      </c>
      <c r="N43" s="5">
        <v>43954.0</v>
      </c>
      <c r="Q43" s="1" t="s">
        <v>212</v>
      </c>
    </row>
    <row r="44">
      <c r="A44" s="1">
        <v>43.0</v>
      </c>
      <c r="B44" s="1" t="s">
        <v>214</v>
      </c>
      <c r="C44" s="1" t="s">
        <v>25</v>
      </c>
      <c r="N44" s="5">
        <v>44350.0</v>
      </c>
      <c r="Q44" s="1" t="s">
        <v>217</v>
      </c>
    </row>
    <row r="45">
      <c r="A45" s="1">
        <v>44.0</v>
      </c>
      <c r="B45" s="1" t="s">
        <v>218</v>
      </c>
      <c r="C45" s="1" t="s">
        <v>25</v>
      </c>
      <c r="N45" s="5">
        <v>45155.0</v>
      </c>
      <c r="Q45" s="1" t="s">
        <v>222</v>
      </c>
    </row>
    <row r="46">
      <c r="A46" s="1">
        <v>45.0</v>
      </c>
      <c r="B46" s="1" t="s">
        <v>223</v>
      </c>
      <c r="C46" s="1" t="s">
        <v>25</v>
      </c>
      <c r="I46" s="4"/>
      <c r="K46" s="1">
        <v>50.0</v>
      </c>
      <c r="N46" s="5">
        <v>45080.0</v>
      </c>
      <c r="Q46" s="1" t="s">
        <v>227</v>
      </c>
    </row>
    <row r="47">
      <c r="A47" s="1">
        <v>46.0</v>
      </c>
      <c r="B47" s="1" t="s">
        <v>229</v>
      </c>
      <c r="C47" s="1" t="s">
        <v>25</v>
      </c>
      <c r="K47" s="1">
        <v>40.0</v>
      </c>
      <c r="N47" s="5">
        <v>43279.0</v>
      </c>
      <c r="Q47" s="1" t="s">
        <v>232</v>
      </c>
    </row>
    <row r="48">
      <c r="A48" s="1">
        <v>47.0</v>
      </c>
      <c r="B48" s="1" t="s">
        <v>234</v>
      </c>
      <c r="C48" s="1" t="s">
        <v>25</v>
      </c>
      <c r="K48" s="1">
        <v>10.0</v>
      </c>
      <c r="N48" s="5">
        <v>45672.0</v>
      </c>
      <c r="Q48" s="1" t="s">
        <v>238</v>
      </c>
    </row>
    <row r="49">
      <c r="A49" s="1">
        <v>48.0</v>
      </c>
      <c r="B49" s="1" t="s">
        <v>239</v>
      </c>
      <c r="C49" s="1" t="s">
        <v>25</v>
      </c>
      <c r="I49" s="4"/>
      <c r="N49" s="5">
        <v>46123.0</v>
      </c>
      <c r="Q49" s="1" t="s">
        <v>243</v>
      </c>
    </row>
    <row r="50">
      <c r="A50" s="1">
        <v>49.0</v>
      </c>
      <c r="B50" s="1" t="s">
        <v>244</v>
      </c>
      <c r="C50" s="1" t="s">
        <v>25</v>
      </c>
      <c r="K50" s="1">
        <v>200.0</v>
      </c>
      <c r="N50" s="5">
        <v>43896.0</v>
      </c>
      <c r="Q50" s="1" t="s">
        <v>248</v>
      </c>
    </row>
    <row r="51">
      <c r="A51" s="1">
        <v>50.0</v>
      </c>
      <c r="B51" s="1" t="s">
        <v>249</v>
      </c>
      <c r="C51" s="1" t="s">
        <v>25</v>
      </c>
      <c r="N51" s="5">
        <v>45312.0</v>
      </c>
      <c r="Q51" s="1" t="s">
        <v>55</v>
      </c>
    </row>
    <row r="52">
      <c r="A52" s="1">
        <v>51.0</v>
      </c>
      <c r="B52" s="1" t="s">
        <v>254</v>
      </c>
      <c r="C52" s="1" t="s">
        <v>25</v>
      </c>
      <c r="N52" s="5">
        <v>44253.0</v>
      </c>
      <c r="Q52" s="1" t="s">
        <v>255</v>
      </c>
    </row>
    <row r="53">
      <c r="A53" s="1">
        <v>52.0</v>
      </c>
      <c r="B53" s="1" t="s">
        <v>258</v>
      </c>
      <c r="C53" s="1" t="s">
        <v>25</v>
      </c>
      <c r="K53" s="1">
        <v>10.0</v>
      </c>
      <c r="N53" s="5">
        <v>45040.0</v>
      </c>
      <c r="Q53" s="1" t="s">
        <v>262</v>
      </c>
    </row>
    <row r="54">
      <c r="A54" s="1">
        <v>53.0</v>
      </c>
      <c r="B54" s="1" t="s">
        <v>265</v>
      </c>
      <c r="C54" s="1" t="s">
        <v>25</v>
      </c>
      <c r="K54" s="1">
        <v>10.0</v>
      </c>
      <c r="N54" s="5">
        <v>43941.0</v>
      </c>
      <c r="Q54" s="1" t="s">
        <v>268</v>
      </c>
    </row>
    <row r="55">
      <c r="A55" s="1">
        <v>54.0</v>
      </c>
      <c r="B55" s="1" t="s">
        <v>270</v>
      </c>
      <c r="C55" s="1" t="s">
        <v>25</v>
      </c>
      <c r="K55" s="1">
        <v>10.0</v>
      </c>
      <c r="N55" s="5">
        <v>44236.0</v>
      </c>
      <c r="Q55" s="1" t="s">
        <v>273</v>
      </c>
    </row>
    <row r="56">
      <c r="A56" s="1">
        <v>55.0</v>
      </c>
      <c r="B56" s="1" t="s">
        <v>275</v>
      </c>
      <c r="C56" s="1" t="s">
        <v>25</v>
      </c>
      <c r="K56" s="1">
        <v>20.0</v>
      </c>
      <c r="N56" s="5">
        <v>44053.0</v>
      </c>
      <c r="Q56" s="1" t="s">
        <v>278</v>
      </c>
    </row>
    <row r="57">
      <c r="A57" s="1">
        <v>56.0</v>
      </c>
      <c r="B57" s="1" t="s">
        <v>280</v>
      </c>
      <c r="C57" s="1" t="s">
        <v>25</v>
      </c>
      <c r="K57" s="1">
        <v>60.0</v>
      </c>
      <c r="N57" s="5">
        <v>45083.0</v>
      </c>
      <c r="Q57" s="1" t="s">
        <v>283</v>
      </c>
    </row>
    <row r="58">
      <c r="A58" s="1">
        <v>57.0</v>
      </c>
      <c r="B58" s="1" t="s">
        <v>285</v>
      </c>
      <c r="C58" s="1" t="s">
        <v>25</v>
      </c>
      <c r="K58" s="1">
        <v>20.0</v>
      </c>
      <c r="N58" s="5">
        <v>44241.0</v>
      </c>
      <c r="Q58" s="1" t="s">
        <v>288</v>
      </c>
    </row>
    <row r="59">
      <c r="A59" s="1">
        <v>58.0</v>
      </c>
      <c r="B59" s="1" t="s">
        <v>291</v>
      </c>
      <c r="C59" s="1" t="s">
        <v>25</v>
      </c>
      <c r="I59" s="4"/>
      <c r="K59" s="1">
        <v>70.0</v>
      </c>
      <c r="N59" s="5">
        <v>43975.0</v>
      </c>
      <c r="Q59" s="1" t="s">
        <v>294</v>
      </c>
    </row>
    <row r="60">
      <c r="A60" s="1">
        <v>59.0</v>
      </c>
      <c r="B60" s="1" t="s">
        <v>296</v>
      </c>
      <c r="C60" s="1" t="s">
        <v>25</v>
      </c>
      <c r="I60" s="4"/>
      <c r="K60" s="1">
        <v>30.0</v>
      </c>
      <c r="N60" s="5">
        <v>45105.0</v>
      </c>
      <c r="Q60" s="1" t="s">
        <v>55</v>
      </c>
    </row>
    <row r="61">
      <c r="A61" s="1">
        <v>60.0</v>
      </c>
      <c r="B61" s="1" t="s">
        <v>301</v>
      </c>
      <c r="C61" s="1" t="s">
        <v>25</v>
      </c>
      <c r="K61" s="1">
        <v>10.0</v>
      </c>
      <c r="N61" s="5">
        <v>44249.0</v>
      </c>
      <c r="Q61" s="1" t="s">
        <v>305</v>
      </c>
    </row>
    <row r="62">
      <c r="A62" s="1">
        <v>61.0</v>
      </c>
      <c r="B62" s="1" t="s">
        <v>307</v>
      </c>
      <c r="C62" s="1" t="s">
        <v>25</v>
      </c>
      <c r="I62" s="4"/>
      <c r="N62" s="5">
        <v>44032.0</v>
      </c>
      <c r="Q62" s="1" t="s">
        <v>310</v>
      </c>
    </row>
    <row r="63">
      <c r="A63" s="1">
        <v>62.0</v>
      </c>
      <c r="B63" s="1" t="s">
        <v>313</v>
      </c>
      <c r="C63" s="1" t="s">
        <v>25</v>
      </c>
      <c r="K63" s="1">
        <v>30.0</v>
      </c>
      <c r="N63" s="5">
        <v>45040.0</v>
      </c>
      <c r="Q63" s="1" t="s">
        <v>315</v>
      </c>
    </row>
    <row r="64">
      <c r="A64" s="1">
        <v>63.0</v>
      </c>
      <c r="B64" s="1" t="s">
        <v>318</v>
      </c>
      <c r="C64" s="1" t="s">
        <v>25</v>
      </c>
      <c r="I64" s="4"/>
      <c r="K64" s="1">
        <v>10.0</v>
      </c>
      <c r="N64" s="5">
        <v>44151.0</v>
      </c>
      <c r="Q64" s="1" t="s">
        <v>321</v>
      </c>
    </row>
    <row r="65">
      <c r="A65" s="1">
        <v>64.0</v>
      </c>
      <c r="B65" s="1" t="s">
        <v>323</v>
      </c>
      <c r="C65" s="1" t="s">
        <v>25</v>
      </c>
      <c r="K65" s="1">
        <v>10.0</v>
      </c>
      <c r="N65" s="5">
        <v>45625.0</v>
      </c>
      <c r="Q65" s="1" t="s">
        <v>325</v>
      </c>
    </row>
    <row r="66">
      <c r="A66" s="1">
        <v>65.0</v>
      </c>
      <c r="B66" s="1" t="s">
        <v>328</v>
      </c>
      <c r="C66" s="1" t="s">
        <v>25</v>
      </c>
      <c r="K66" s="1">
        <v>10.0</v>
      </c>
      <c r="N66" s="5">
        <v>44003.0</v>
      </c>
      <c r="Q66" s="1" t="s">
        <v>321</v>
      </c>
    </row>
    <row r="67">
      <c r="A67" s="1">
        <v>66.0</v>
      </c>
      <c r="B67" s="1" t="s">
        <v>332</v>
      </c>
      <c r="C67" s="1" t="s">
        <v>25</v>
      </c>
      <c r="N67" s="5">
        <v>44963.0</v>
      </c>
      <c r="Q67" s="1" t="s">
        <v>334</v>
      </c>
    </row>
    <row r="68">
      <c r="A68" s="1">
        <v>67.0</v>
      </c>
      <c r="B68" s="1" t="s">
        <v>335</v>
      </c>
      <c r="C68" s="1" t="s">
        <v>25</v>
      </c>
      <c r="K68" s="1">
        <v>350.0</v>
      </c>
      <c r="N68" s="5">
        <v>44624.0</v>
      </c>
      <c r="Q68" s="1" t="s">
        <v>339</v>
      </c>
    </row>
    <row r="69">
      <c r="A69" s="1">
        <v>68.0</v>
      </c>
      <c r="B69" s="1" t="s">
        <v>341</v>
      </c>
      <c r="C69" s="1" t="s">
        <v>25</v>
      </c>
      <c r="K69" s="1">
        <v>10.0</v>
      </c>
      <c r="N69" s="5">
        <v>45031.0</v>
      </c>
      <c r="Q69" s="1" t="s">
        <v>55</v>
      </c>
    </row>
    <row r="70">
      <c r="A70" s="1">
        <v>69.0</v>
      </c>
      <c r="B70" s="1" t="s">
        <v>343</v>
      </c>
      <c r="C70" s="1" t="s">
        <v>25</v>
      </c>
      <c r="I70" s="4"/>
      <c r="K70" s="1">
        <v>20.0</v>
      </c>
      <c r="N70" s="5">
        <v>44054.0</v>
      </c>
      <c r="Q70" s="1" t="s">
        <v>93</v>
      </c>
    </row>
    <row r="71">
      <c r="A71" s="1">
        <v>70.0</v>
      </c>
      <c r="B71" s="1" t="s">
        <v>348</v>
      </c>
      <c r="C71" s="1" t="s">
        <v>25</v>
      </c>
      <c r="K71" s="1">
        <v>30.0</v>
      </c>
      <c r="N71" s="5">
        <v>45244.0</v>
      </c>
      <c r="Q71" s="1" t="s">
        <v>351</v>
      </c>
    </row>
    <row r="72">
      <c r="A72" s="1">
        <v>71.0</v>
      </c>
      <c r="B72" s="1" t="s">
        <v>353</v>
      </c>
      <c r="C72" s="1" t="s">
        <v>25</v>
      </c>
      <c r="K72" s="1">
        <v>40.0</v>
      </c>
      <c r="N72" s="5">
        <v>45306.0</v>
      </c>
      <c r="Q72" s="1" t="s">
        <v>356</v>
      </c>
    </row>
    <row r="73">
      <c r="A73" s="1">
        <v>72.0</v>
      </c>
      <c r="B73" s="1" t="s">
        <v>358</v>
      </c>
      <c r="C73" s="1" t="s">
        <v>25</v>
      </c>
      <c r="N73" s="5">
        <v>44938.0</v>
      </c>
      <c r="Q73" s="1" t="s">
        <v>360</v>
      </c>
    </row>
    <row r="74">
      <c r="A74" s="1">
        <v>73.0</v>
      </c>
      <c r="B74" s="1" t="s">
        <v>362</v>
      </c>
      <c r="C74" s="1" t="s">
        <v>25</v>
      </c>
      <c r="K74" s="1">
        <v>60.0</v>
      </c>
      <c r="N74" s="5">
        <v>44385.0</v>
      </c>
      <c r="Q74" s="1" t="s">
        <v>365</v>
      </c>
    </row>
    <row r="75">
      <c r="A75" s="1">
        <v>74.0</v>
      </c>
      <c r="B75" s="1" t="s">
        <v>368</v>
      </c>
      <c r="C75" s="1" t="s">
        <v>25</v>
      </c>
      <c r="K75" s="1">
        <v>150.0</v>
      </c>
      <c r="N75" s="5">
        <v>43975.0</v>
      </c>
      <c r="Q75" s="1" t="s">
        <v>370</v>
      </c>
    </row>
    <row r="76">
      <c r="A76" s="1">
        <v>75.0</v>
      </c>
      <c r="B76" s="1" t="s">
        <v>371</v>
      </c>
      <c r="C76" s="1" t="s">
        <v>25</v>
      </c>
      <c r="K76" s="1">
        <v>10.0</v>
      </c>
      <c r="N76" s="5">
        <v>43949.0</v>
      </c>
      <c r="Q76" s="1" t="s">
        <v>375</v>
      </c>
    </row>
    <row r="77">
      <c r="A77" s="1">
        <v>76.0</v>
      </c>
      <c r="B77" s="1" t="s">
        <v>376</v>
      </c>
      <c r="C77" s="1" t="s">
        <v>25</v>
      </c>
      <c r="N77" s="5">
        <v>44884.0</v>
      </c>
      <c r="Q77" s="1" t="s">
        <v>379</v>
      </c>
    </row>
    <row r="78">
      <c r="A78" s="1">
        <v>77.0</v>
      </c>
      <c r="B78" s="1" t="s">
        <v>380</v>
      </c>
      <c r="C78" s="1" t="s">
        <v>25</v>
      </c>
      <c r="I78" s="4"/>
      <c r="K78" s="1">
        <v>60.0</v>
      </c>
      <c r="N78" s="5">
        <v>45196.0</v>
      </c>
      <c r="Q78" s="1" t="s">
        <v>382</v>
      </c>
    </row>
    <row r="79">
      <c r="A79" s="1">
        <v>78.0</v>
      </c>
      <c r="B79" s="1" t="s">
        <v>385</v>
      </c>
      <c r="C79" s="1" t="s">
        <v>25</v>
      </c>
      <c r="N79" s="5">
        <v>45146.0</v>
      </c>
      <c r="Q79" s="1" t="s">
        <v>386</v>
      </c>
    </row>
    <row r="80">
      <c r="A80" s="1">
        <v>79.0</v>
      </c>
      <c r="B80" s="1" t="s">
        <v>388</v>
      </c>
      <c r="C80" s="1" t="s">
        <v>25</v>
      </c>
      <c r="K80" s="1">
        <v>60.0</v>
      </c>
      <c r="N80" s="5">
        <v>43845.0</v>
      </c>
      <c r="Q80" s="1" t="s">
        <v>390</v>
      </c>
    </row>
    <row r="81">
      <c r="N81" s="5"/>
    </row>
    <row r="82">
      <c r="N82" s="5"/>
    </row>
    <row r="83">
      <c r="N83" s="5"/>
    </row>
    <row r="84">
      <c r="N84" s="5"/>
    </row>
    <row r="85">
      <c r="N85" s="5"/>
    </row>
    <row r="86">
      <c r="N86" s="5"/>
    </row>
    <row r="87">
      <c r="N87" s="5"/>
    </row>
    <row r="88">
      <c r="N88" s="5"/>
    </row>
    <row r="89">
      <c r="N89" s="5"/>
    </row>
    <row r="90">
      <c r="N90" s="5"/>
    </row>
    <row r="91">
      <c r="N91" s="5"/>
    </row>
    <row r="92">
      <c r="N92" s="5"/>
    </row>
    <row r="93">
      <c r="N93" s="5"/>
    </row>
    <row r="94"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I100" s="4"/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  <row r="109">
      <c r="N109" s="5"/>
    </row>
    <row r="110">
      <c r="N110" s="5"/>
    </row>
    <row r="111">
      <c r="N111" s="5"/>
    </row>
    <row r="112">
      <c r="N112" s="5"/>
    </row>
    <row r="113">
      <c r="N113" s="5"/>
    </row>
    <row r="114">
      <c r="N114" s="5"/>
    </row>
    <row r="115">
      <c r="N115" s="5"/>
    </row>
    <row r="116">
      <c r="N116" s="5"/>
    </row>
    <row r="117">
      <c r="N117" s="5"/>
    </row>
    <row r="118">
      <c r="N118" s="5"/>
    </row>
    <row r="119">
      <c r="N119" s="5"/>
    </row>
    <row r="120">
      <c r="N120" s="5"/>
    </row>
    <row r="121">
      <c r="N121" s="5"/>
    </row>
    <row r="122">
      <c r="N122" s="5"/>
    </row>
    <row r="123">
      <c r="N123" s="5"/>
    </row>
    <row r="124">
      <c r="N124" s="5"/>
    </row>
    <row r="125">
      <c r="N125" s="5"/>
    </row>
    <row r="126">
      <c r="N126" s="5"/>
    </row>
    <row r="127">
      <c r="N127" s="5"/>
    </row>
    <row r="128">
      <c r="N128" s="5"/>
    </row>
    <row r="129">
      <c r="N129" s="5"/>
    </row>
    <row r="130">
      <c r="N130" s="5"/>
    </row>
    <row r="131">
      <c r="N131" s="5"/>
    </row>
    <row r="132">
      <c r="N132" s="5"/>
    </row>
    <row r="133"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21</v>
      </c>
    </row>
    <row r="2">
      <c r="A2" s="1">
        <v>1.0</v>
      </c>
      <c r="B2" s="1" t="s">
        <v>749</v>
      </c>
      <c r="C2" s="1" t="s">
        <v>25</v>
      </c>
      <c r="D2" s="1">
        <v>23.0</v>
      </c>
      <c r="E2" s="1">
        <v>3500.0</v>
      </c>
      <c r="F2" s="1">
        <v>1.2</v>
      </c>
      <c r="G2" s="1">
        <v>0.59</v>
      </c>
      <c r="H2" s="1" t="s">
        <v>749</v>
      </c>
      <c r="I2" s="4">
        <v>46235.28936342592</v>
      </c>
      <c r="J2" s="1" t="s">
        <v>754</v>
      </c>
      <c r="K2" s="1">
        <v>392000.0</v>
      </c>
      <c r="L2" s="1">
        <v>1300.0</v>
      </c>
      <c r="M2" s="1">
        <v>1400.0</v>
      </c>
      <c r="N2" s="5">
        <v>42496.0</v>
      </c>
      <c r="O2" s="1" t="s">
        <v>47</v>
      </c>
      <c r="P2" s="1" t="s">
        <v>36</v>
      </c>
      <c r="Q2" s="1" t="s">
        <v>756</v>
      </c>
      <c r="R2" s="1" t="s">
        <v>757</v>
      </c>
      <c r="S2" s="1" t="s">
        <v>759</v>
      </c>
    </row>
    <row r="3">
      <c r="A3" s="1">
        <v>2.0</v>
      </c>
      <c r="B3" s="1" t="s">
        <v>761</v>
      </c>
      <c r="C3" s="1" t="s">
        <v>25</v>
      </c>
      <c r="D3" s="1">
        <v>9.0</v>
      </c>
      <c r="E3" s="1">
        <v>2400.0</v>
      </c>
      <c r="F3" s="1">
        <v>0.07</v>
      </c>
      <c r="H3" s="1" t="s">
        <v>761</v>
      </c>
      <c r="I3" s="4">
        <v>46230.94204861111</v>
      </c>
      <c r="J3" s="1" t="s">
        <v>764</v>
      </c>
      <c r="K3" s="1">
        <v>97000.0</v>
      </c>
      <c r="L3" s="1">
        <v>800.0</v>
      </c>
      <c r="M3" s="1">
        <v>5700.0</v>
      </c>
      <c r="N3" s="5">
        <v>43864.0</v>
      </c>
      <c r="Q3" s="1" t="s">
        <v>765</v>
      </c>
      <c r="R3" s="1" t="s">
        <v>767</v>
      </c>
    </row>
    <row r="4">
      <c r="A4" s="1">
        <v>3.0</v>
      </c>
      <c r="B4" s="1" t="s">
        <v>53</v>
      </c>
      <c r="C4" s="1" t="s">
        <v>25</v>
      </c>
      <c r="D4" s="1">
        <v>9.0</v>
      </c>
      <c r="E4" s="1">
        <v>2100.0</v>
      </c>
      <c r="F4" s="1">
        <v>1.2</v>
      </c>
      <c r="G4" s="1">
        <v>0.49</v>
      </c>
      <c r="H4" s="1" t="s">
        <v>53</v>
      </c>
      <c r="I4" s="4">
        <v>46230.68956018519</v>
      </c>
      <c r="J4" s="1" t="s">
        <v>31</v>
      </c>
      <c r="K4" s="1">
        <v>578000.0</v>
      </c>
      <c r="L4" s="1">
        <v>600.0</v>
      </c>
      <c r="M4" s="1">
        <v>700.0</v>
      </c>
      <c r="N4" s="5">
        <v>42445.0</v>
      </c>
      <c r="O4" s="1" t="s">
        <v>47</v>
      </c>
      <c r="P4" s="1" t="s">
        <v>36</v>
      </c>
      <c r="Q4" s="1" t="s">
        <v>770</v>
      </c>
      <c r="R4" s="1" t="s">
        <v>771</v>
      </c>
      <c r="S4" s="1" t="s">
        <v>759</v>
      </c>
    </row>
    <row r="5">
      <c r="A5" s="1">
        <v>4.0</v>
      </c>
      <c r="B5" s="1" t="s">
        <v>772</v>
      </c>
      <c r="C5" s="1" t="s">
        <v>25</v>
      </c>
      <c r="D5" s="1">
        <v>40.0</v>
      </c>
      <c r="E5" s="1">
        <v>1200.0</v>
      </c>
      <c r="F5" s="1">
        <v>0.35</v>
      </c>
      <c r="G5" s="1">
        <v>0.41</v>
      </c>
      <c r="H5" s="1" t="s">
        <v>775</v>
      </c>
      <c r="I5" s="4">
        <v>46226.683703703704</v>
      </c>
      <c r="J5" s="1" t="s">
        <v>31</v>
      </c>
      <c r="K5" s="1">
        <v>539000.0</v>
      </c>
      <c r="L5" s="1">
        <v>10.0</v>
      </c>
      <c r="M5" s="1">
        <v>10.0</v>
      </c>
      <c r="N5" s="5">
        <v>42249.0</v>
      </c>
      <c r="O5" s="1" t="s">
        <v>778</v>
      </c>
      <c r="P5" s="1" t="s">
        <v>36</v>
      </c>
      <c r="Q5" s="1" t="s">
        <v>779</v>
      </c>
      <c r="R5" s="1" t="s">
        <v>780</v>
      </c>
      <c r="S5" s="1" t="s">
        <v>781</v>
      </c>
    </row>
    <row r="6">
      <c r="A6" s="1">
        <v>5.0</v>
      </c>
      <c r="B6" s="1" t="s">
        <v>28</v>
      </c>
      <c r="C6" s="1" t="s">
        <v>25</v>
      </c>
      <c r="D6" s="1">
        <v>0.0</v>
      </c>
      <c r="E6" s="1">
        <v>400.0</v>
      </c>
      <c r="F6" s="1">
        <v>0.7</v>
      </c>
      <c r="G6" s="1">
        <v>0.81</v>
      </c>
      <c r="H6" s="1" t="s">
        <v>28</v>
      </c>
      <c r="I6" s="4">
        <v>46217.51079861111</v>
      </c>
      <c r="J6" s="1" t="s">
        <v>784</v>
      </c>
      <c r="K6" s="1">
        <v>97000.0</v>
      </c>
      <c r="L6" s="1">
        <v>30.0</v>
      </c>
      <c r="M6" s="1">
        <v>30.0</v>
      </c>
      <c r="N6" s="5">
        <v>42258.0</v>
      </c>
      <c r="O6" s="1" t="s">
        <v>35</v>
      </c>
      <c r="P6" s="1" t="s">
        <v>36</v>
      </c>
      <c r="Q6" s="1" t="s">
        <v>787</v>
      </c>
      <c r="R6" s="1" t="s">
        <v>788</v>
      </c>
      <c r="S6" s="1" t="s">
        <v>40</v>
      </c>
    </row>
    <row r="7">
      <c r="A7" s="1">
        <v>6.0</v>
      </c>
      <c r="B7" s="1" t="s">
        <v>791</v>
      </c>
      <c r="C7" s="1" t="s">
        <v>25</v>
      </c>
      <c r="D7" s="1">
        <v>0.0</v>
      </c>
      <c r="E7" s="1">
        <v>350.0</v>
      </c>
      <c r="F7" s="1">
        <v>1.3</v>
      </c>
      <c r="G7" s="1">
        <v>0.85</v>
      </c>
      <c r="H7" s="1" t="s">
        <v>791</v>
      </c>
      <c r="I7" s="4">
        <v>46211.93755787037</v>
      </c>
      <c r="J7" s="1" t="s">
        <v>45</v>
      </c>
      <c r="K7" s="1">
        <v>350.0</v>
      </c>
      <c r="L7" s="1">
        <v>150.0</v>
      </c>
      <c r="M7" s="1">
        <v>300.0</v>
      </c>
      <c r="N7" s="5">
        <v>42252.0</v>
      </c>
      <c r="O7" s="1" t="s">
        <v>35</v>
      </c>
      <c r="P7" s="1" t="s">
        <v>36</v>
      </c>
      <c r="Q7" s="1" t="s">
        <v>795</v>
      </c>
      <c r="R7" s="1" t="s">
        <v>797</v>
      </c>
      <c r="S7" s="1" t="s">
        <v>759</v>
      </c>
    </row>
    <row r="8">
      <c r="A8" s="1">
        <v>7.0</v>
      </c>
      <c r="B8" s="1" t="s">
        <v>799</v>
      </c>
      <c r="C8" s="1" t="s">
        <v>25</v>
      </c>
      <c r="D8" s="1">
        <v>0.0</v>
      </c>
      <c r="E8" s="1">
        <v>250.0</v>
      </c>
      <c r="F8" s="1">
        <v>2.5</v>
      </c>
      <c r="G8" s="1">
        <v>0.48</v>
      </c>
      <c r="H8" s="1" t="s">
        <v>799</v>
      </c>
      <c r="I8" s="4">
        <v>46217.57952546296</v>
      </c>
      <c r="J8" s="1" t="s">
        <v>45</v>
      </c>
      <c r="K8" s="1">
        <v>250.0</v>
      </c>
      <c r="L8" s="1">
        <v>100.0</v>
      </c>
      <c r="M8" s="1">
        <v>100.0</v>
      </c>
      <c r="N8" s="5">
        <v>42306.0</v>
      </c>
      <c r="O8" s="1" t="s">
        <v>35</v>
      </c>
      <c r="P8" s="1" t="s">
        <v>36</v>
      </c>
      <c r="Q8" s="1" t="s">
        <v>804</v>
      </c>
      <c r="R8" s="1" t="s">
        <v>805</v>
      </c>
      <c r="S8" s="1" t="s">
        <v>759</v>
      </c>
    </row>
    <row r="9">
      <c r="A9" s="1">
        <v>8.0</v>
      </c>
      <c r="B9" s="1" t="s">
        <v>807</v>
      </c>
      <c r="C9" s="1" t="s">
        <v>25</v>
      </c>
      <c r="D9" s="1">
        <v>0.0</v>
      </c>
      <c r="E9" s="1">
        <v>250.0</v>
      </c>
      <c r="F9" s="1">
        <v>1.4</v>
      </c>
      <c r="G9" s="1">
        <v>1.33</v>
      </c>
      <c r="H9" s="1" t="s">
        <v>807</v>
      </c>
      <c r="I9" s="4">
        <v>46221.73365740741</v>
      </c>
      <c r="J9" s="1" t="s">
        <v>45</v>
      </c>
      <c r="K9" s="1">
        <v>250.0</v>
      </c>
      <c r="L9" s="1">
        <v>90.0</v>
      </c>
      <c r="M9" s="1">
        <v>90.0</v>
      </c>
      <c r="N9" s="5">
        <v>42250.0</v>
      </c>
      <c r="O9" s="1" t="s">
        <v>35</v>
      </c>
      <c r="P9" s="1" t="s">
        <v>36</v>
      </c>
      <c r="Q9" s="1" t="s">
        <v>812</v>
      </c>
      <c r="R9" s="1" t="s">
        <v>814</v>
      </c>
      <c r="S9" s="1" t="s">
        <v>759</v>
      </c>
    </row>
    <row r="10">
      <c r="A10" s="1">
        <v>9.0</v>
      </c>
      <c r="B10" s="1" t="s">
        <v>816</v>
      </c>
      <c r="C10" s="1" t="s">
        <v>25</v>
      </c>
      <c r="D10" s="1">
        <v>5.0</v>
      </c>
      <c r="E10" s="1">
        <v>250.0</v>
      </c>
      <c r="F10" s="1">
        <v>1.0</v>
      </c>
      <c r="H10" s="1" t="s">
        <v>749</v>
      </c>
      <c r="I10" s="4">
        <v>46204.878020833334</v>
      </c>
      <c r="J10" s="1" t="s">
        <v>819</v>
      </c>
      <c r="K10" s="1">
        <v>104000.0</v>
      </c>
      <c r="L10" s="1">
        <v>1400.0</v>
      </c>
      <c r="M10" s="1">
        <v>1500.0</v>
      </c>
      <c r="N10" s="5">
        <v>42555.0</v>
      </c>
      <c r="O10" s="1" t="s">
        <v>35</v>
      </c>
      <c r="P10" s="1" t="s">
        <v>36</v>
      </c>
      <c r="Q10" s="1" t="s">
        <v>821</v>
      </c>
      <c r="R10" s="1" t="s">
        <v>822</v>
      </c>
      <c r="S10" s="1" t="s">
        <v>759</v>
      </c>
    </row>
    <row r="11">
      <c r="A11" s="1">
        <v>10.0</v>
      </c>
      <c r="B11" s="1" t="s">
        <v>104</v>
      </c>
      <c r="C11" s="1" t="s">
        <v>25</v>
      </c>
      <c r="D11" s="1">
        <v>0.0</v>
      </c>
      <c r="E11" s="1">
        <v>250.0</v>
      </c>
      <c r="F11" s="1">
        <v>1.0</v>
      </c>
      <c r="G11" s="1">
        <v>0.88</v>
      </c>
      <c r="H11" s="1" t="s">
        <v>104</v>
      </c>
      <c r="I11" s="4">
        <v>46226.45428240741</v>
      </c>
      <c r="J11" s="1" t="s">
        <v>828</v>
      </c>
      <c r="K11" s="1">
        <v>23000.0</v>
      </c>
      <c r="L11" s="1">
        <v>90.0</v>
      </c>
      <c r="M11" s="1">
        <v>90.0</v>
      </c>
      <c r="N11" s="5">
        <v>42249.0</v>
      </c>
      <c r="O11" s="1" t="s">
        <v>778</v>
      </c>
      <c r="P11" s="1" t="s">
        <v>36</v>
      </c>
      <c r="Q11" s="1" t="s">
        <v>830</v>
      </c>
      <c r="R11" s="1" t="s">
        <v>831</v>
      </c>
      <c r="S11" s="1" t="s">
        <v>40</v>
      </c>
    </row>
    <row r="12">
      <c r="A12" s="1">
        <v>11.0</v>
      </c>
      <c r="B12" s="1" t="s">
        <v>833</v>
      </c>
      <c r="C12" s="1" t="s">
        <v>25</v>
      </c>
      <c r="D12" s="1">
        <v>0.0</v>
      </c>
      <c r="E12" s="1">
        <v>250.0</v>
      </c>
      <c r="F12" s="1">
        <v>1.0</v>
      </c>
      <c r="G12" s="1">
        <v>0.64</v>
      </c>
      <c r="H12" s="1" t="s">
        <v>833</v>
      </c>
      <c r="I12" s="4">
        <v>46206.31392361111</v>
      </c>
      <c r="J12" s="1" t="s">
        <v>837</v>
      </c>
      <c r="K12" s="1">
        <v>500.0</v>
      </c>
      <c r="L12" s="1">
        <v>50.0</v>
      </c>
      <c r="M12" s="1">
        <v>50.0</v>
      </c>
      <c r="N12" s="5">
        <v>42250.0</v>
      </c>
      <c r="O12" s="1" t="s">
        <v>839</v>
      </c>
      <c r="P12" s="1" t="s">
        <v>36</v>
      </c>
      <c r="Q12" s="1" t="s">
        <v>840</v>
      </c>
      <c r="R12" s="1" t="s">
        <v>841</v>
      </c>
      <c r="S12" s="1" t="s">
        <v>40</v>
      </c>
    </row>
    <row r="13">
      <c r="A13" s="1">
        <v>12.0</v>
      </c>
      <c r="B13" s="1" t="s">
        <v>10</v>
      </c>
      <c r="C13" s="1" t="s">
        <v>25</v>
      </c>
      <c r="D13" s="1">
        <v>0.0</v>
      </c>
      <c r="E13" s="1">
        <v>250.0</v>
      </c>
      <c r="F13" s="1">
        <v>1.5</v>
      </c>
      <c r="G13" s="1">
        <v>0.55</v>
      </c>
      <c r="H13" s="1" t="s">
        <v>28</v>
      </c>
      <c r="I13" s="4">
        <v>46217.466770833336</v>
      </c>
      <c r="J13" s="1" t="s">
        <v>31</v>
      </c>
      <c r="K13" s="1">
        <v>140000.0</v>
      </c>
      <c r="L13" s="1">
        <v>200.0</v>
      </c>
      <c r="M13" s="1">
        <v>200.0</v>
      </c>
      <c r="N13" s="5">
        <v>42258.0</v>
      </c>
      <c r="O13" s="1" t="s">
        <v>35</v>
      </c>
      <c r="P13" s="1" t="s">
        <v>36</v>
      </c>
      <c r="Q13" s="1" t="s">
        <v>38</v>
      </c>
      <c r="R13" s="1" t="s">
        <v>39</v>
      </c>
      <c r="S13" s="1" t="s">
        <v>40</v>
      </c>
    </row>
    <row r="14">
      <c r="A14" s="1">
        <v>13.0</v>
      </c>
      <c r="B14" s="1" t="s">
        <v>847</v>
      </c>
      <c r="C14" s="1" t="s">
        <v>25</v>
      </c>
      <c r="D14" s="1">
        <v>23.0</v>
      </c>
      <c r="E14" s="1">
        <v>250.0</v>
      </c>
      <c r="F14" s="1">
        <v>1.1</v>
      </c>
      <c r="H14" s="1" t="s">
        <v>772</v>
      </c>
      <c r="I14" s="4">
        <v>46209.38826388889</v>
      </c>
      <c r="J14" s="1" t="s">
        <v>45</v>
      </c>
      <c r="K14" s="1">
        <v>34000.0</v>
      </c>
      <c r="L14" s="1">
        <v>900.0</v>
      </c>
      <c r="M14" s="1">
        <v>1000.0</v>
      </c>
      <c r="N14" s="5">
        <v>42289.0</v>
      </c>
      <c r="O14" s="1" t="s">
        <v>47</v>
      </c>
      <c r="P14" s="1" t="s">
        <v>36</v>
      </c>
      <c r="Q14" s="1" t="s">
        <v>852</v>
      </c>
      <c r="R14" s="1" t="s">
        <v>854</v>
      </c>
      <c r="S14" s="1" t="s">
        <v>40</v>
      </c>
    </row>
    <row r="15">
      <c r="A15" s="1">
        <v>14.0</v>
      </c>
      <c r="B15" s="1" t="s">
        <v>855</v>
      </c>
      <c r="C15" s="1" t="s">
        <v>25</v>
      </c>
      <c r="D15" s="1">
        <v>0.0</v>
      </c>
      <c r="E15" s="1">
        <v>200.0</v>
      </c>
      <c r="F15" s="1">
        <v>1.3</v>
      </c>
      <c r="G15" s="1">
        <v>1.28</v>
      </c>
      <c r="H15" s="1" t="s">
        <v>791</v>
      </c>
      <c r="I15" s="4">
        <v>46236.369571759256</v>
      </c>
      <c r="J15" s="1" t="s">
        <v>45</v>
      </c>
      <c r="K15" s="1">
        <v>250.0</v>
      </c>
      <c r="L15" s="1">
        <v>150.0</v>
      </c>
      <c r="M15" s="1">
        <v>200.0</v>
      </c>
      <c r="N15" s="5">
        <v>42255.0</v>
      </c>
      <c r="O15" s="1" t="s">
        <v>35</v>
      </c>
      <c r="P15" s="1" t="s">
        <v>36</v>
      </c>
      <c r="Q15" s="1" t="s">
        <v>861</v>
      </c>
      <c r="R15" s="1" t="s">
        <v>862</v>
      </c>
      <c r="S15" s="1" t="s">
        <v>759</v>
      </c>
    </row>
    <row r="16">
      <c r="A16" s="1">
        <v>15.0</v>
      </c>
      <c r="B16" s="1" t="s">
        <v>863</v>
      </c>
      <c r="C16" s="1" t="s">
        <v>25</v>
      </c>
      <c r="D16" s="1">
        <v>0.0</v>
      </c>
      <c r="E16" s="1">
        <v>200.0</v>
      </c>
      <c r="F16" s="1">
        <v>0.07</v>
      </c>
      <c r="H16" s="1" t="s">
        <v>761</v>
      </c>
      <c r="I16" s="4">
        <v>46232.49275462963</v>
      </c>
      <c r="J16" s="1" t="s">
        <v>868</v>
      </c>
      <c r="K16" s="1">
        <v>3000.0</v>
      </c>
      <c r="L16" s="1">
        <v>700.0</v>
      </c>
      <c r="M16" s="1">
        <v>6400.0</v>
      </c>
      <c r="N16" s="5">
        <v>42266.0</v>
      </c>
      <c r="O16" s="1" t="s">
        <v>126</v>
      </c>
      <c r="P16" s="1" t="s">
        <v>36</v>
      </c>
      <c r="Q16" s="1" t="s">
        <v>871</v>
      </c>
      <c r="S16" s="1" t="s">
        <v>872</v>
      </c>
    </row>
    <row r="17">
      <c r="A17" s="1">
        <v>16.0</v>
      </c>
      <c r="B17" s="1" t="s">
        <v>874</v>
      </c>
      <c r="C17" s="1" t="s">
        <v>25</v>
      </c>
      <c r="D17" s="1">
        <v>0.0</v>
      </c>
      <c r="E17" s="1">
        <v>200.0</v>
      </c>
      <c r="F17" s="1">
        <v>0.7</v>
      </c>
      <c r="G17" s="1">
        <v>0.49</v>
      </c>
      <c r="H17" s="1" t="s">
        <v>874</v>
      </c>
      <c r="I17" s="4">
        <v>46216.13857638889</v>
      </c>
      <c r="J17" s="1" t="s">
        <v>877</v>
      </c>
      <c r="K17" s="1">
        <v>12000.0</v>
      </c>
      <c r="L17" s="1">
        <v>10.0</v>
      </c>
      <c r="M17" s="1">
        <v>10.0</v>
      </c>
      <c r="N17" s="5">
        <v>42292.0</v>
      </c>
      <c r="O17" s="1" t="s">
        <v>35</v>
      </c>
      <c r="P17" s="1" t="s">
        <v>36</v>
      </c>
      <c r="Q17" s="1" t="s">
        <v>880</v>
      </c>
      <c r="R17" s="1" t="s">
        <v>881</v>
      </c>
      <c r="S17" s="1" t="s">
        <v>40</v>
      </c>
    </row>
    <row r="18">
      <c r="A18" s="1">
        <v>17.0</v>
      </c>
      <c r="B18" s="1" t="s">
        <v>882</v>
      </c>
      <c r="C18" s="1" t="s">
        <v>25</v>
      </c>
      <c r="D18" s="1">
        <v>0.0</v>
      </c>
      <c r="E18" s="1">
        <v>200.0</v>
      </c>
      <c r="F18" s="1">
        <v>1.1</v>
      </c>
      <c r="G18" s="1">
        <v>0.57</v>
      </c>
      <c r="H18" s="1" t="s">
        <v>86</v>
      </c>
      <c r="I18" s="4">
        <v>46227.03471064815</v>
      </c>
      <c r="J18" s="1" t="s">
        <v>886</v>
      </c>
      <c r="K18" s="1">
        <v>1100.0</v>
      </c>
      <c r="L18" s="1">
        <v>500.0</v>
      </c>
      <c r="M18" s="1">
        <v>500.0</v>
      </c>
      <c r="N18" s="5">
        <v>42304.0</v>
      </c>
      <c r="O18" s="1" t="s">
        <v>839</v>
      </c>
      <c r="P18" s="1" t="s">
        <v>36</v>
      </c>
      <c r="Q18" s="1" t="s">
        <v>888</v>
      </c>
      <c r="R18" s="1" t="s">
        <v>889</v>
      </c>
      <c r="S18" s="1" t="s">
        <v>40</v>
      </c>
    </row>
    <row r="19">
      <c r="A19" s="1">
        <v>18.0</v>
      </c>
      <c r="B19" s="1" t="s">
        <v>891</v>
      </c>
      <c r="C19" s="1" t="s">
        <v>25</v>
      </c>
      <c r="D19" s="1">
        <v>6.0</v>
      </c>
      <c r="E19" s="1">
        <v>200.0</v>
      </c>
      <c r="F19" s="1">
        <v>1.6</v>
      </c>
      <c r="H19" s="1" t="s">
        <v>43</v>
      </c>
      <c r="I19" s="4">
        <v>46225.73626157407</v>
      </c>
      <c r="J19" s="1" t="s">
        <v>31</v>
      </c>
      <c r="K19" s="1">
        <v>3500.0</v>
      </c>
      <c r="L19" s="1">
        <v>100.0</v>
      </c>
      <c r="M19" s="1">
        <v>100.0</v>
      </c>
      <c r="N19" s="5">
        <v>42668.0</v>
      </c>
      <c r="O19" s="1" t="s">
        <v>47</v>
      </c>
      <c r="P19" s="1" t="s">
        <v>36</v>
      </c>
      <c r="Q19" s="1" t="s">
        <v>897</v>
      </c>
      <c r="R19" s="1" t="s">
        <v>898</v>
      </c>
      <c r="S19" s="1" t="s">
        <v>40</v>
      </c>
    </row>
    <row r="20">
      <c r="A20" s="1">
        <v>19.0</v>
      </c>
      <c r="B20" s="1" t="s">
        <v>901</v>
      </c>
      <c r="C20" s="1" t="s">
        <v>25</v>
      </c>
      <c r="D20" s="1">
        <v>26.0</v>
      </c>
      <c r="E20" s="1">
        <v>200.0</v>
      </c>
      <c r="F20" s="1">
        <v>1.8</v>
      </c>
      <c r="H20" s="1" t="s">
        <v>902</v>
      </c>
      <c r="I20" s="4">
        <v>46225.34960648148</v>
      </c>
      <c r="J20" s="1" t="s">
        <v>45</v>
      </c>
      <c r="K20" s="1">
        <v>200.0</v>
      </c>
      <c r="L20" s="1">
        <v>150.0</v>
      </c>
      <c r="M20" s="1">
        <v>150.0</v>
      </c>
      <c r="N20" s="5">
        <v>42261.0</v>
      </c>
      <c r="O20" s="1" t="s">
        <v>35</v>
      </c>
      <c r="P20" s="1" t="s">
        <v>36</v>
      </c>
      <c r="Q20" s="1" t="s">
        <v>906</v>
      </c>
      <c r="R20" s="1" t="s">
        <v>907</v>
      </c>
      <c r="S20" s="1" t="s">
        <v>759</v>
      </c>
    </row>
    <row r="21">
      <c r="A21" s="1">
        <v>20.0</v>
      </c>
      <c r="B21" s="1" t="s">
        <v>908</v>
      </c>
      <c r="C21" s="1" t="s">
        <v>25</v>
      </c>
      <c r="D21" s="1">
        <v>24.0</v>
      </c>
      <c r="E21" s="1">
        <v>200.0</v>
      </c>
      <c r="F21" s="1">
        <v>1.8</v>
      </c>
      <c r="G21" s="1">
        <v>0.39</v>
      </c>
      <c r="H21" s="1" t="s">
        <v>910</v>
      </c>
      <c r="I21" s="4">
        <v>46215.15645833333</v>
      </c>
      <c r="J21" s="1" t="s">
        <v>912</v>
      </c>
      <c r="K21" s="1">
        <v>250.0</v>
      </c>
      <c r="L21" s="1">
        <v>70.0</v>
      </c>
      <c r="M21" s="1">
        <v>70.0</v>
      </c>
      <c r="N21" s="5">
        <v>42293.0</v>
      </c>
      <c r="O21" s="1" t="s">
        <v>35</v>
      </c>
      <c r="P21" s="1" t="s">
        <v>36</v>
      </c>
      <c r="Q21" s="1" t="s">
        <v>914</v>
      </c>
      <c r="R21" s="1" t="s">
        <v>915</v>
      </c>
      <c r="S21" s="1" t="s">
        <v>759</v>
      </c>
    </row>
    <row r="22">
      <c r="A22" s="1">
        <v>21.0</v>
      </c>
      <c r="B22" s="1" t="s">
        <v>910</v>
      </c>
      <c r="C22" s="1" t="s">
        <v>25</v>
      </c>
      <c r="D22" s="1">
        <v>34.0</v>
      </c>
      <c r="E22" s="1">
        <v>200.0</v>
      </c>
      <c r="F22" s="1">
        <v>1.0</v>
      </c>
      <c r="H22" s="1" t="s">
        <v>901</v>
      </c>
      <c r="I22" s="4">
        <v>46202.49172453704</v>
      </c>
      <c r="J22" s="1" t="s">
        <v>45</v>
      </c>
      <c r="K22" s="1">
        <v>200.0</v>
      </c>
      <c r="L22" s="1">
        <v>90.0</v>
      </c>
      <c r="M22" s="1">
        <v>100.0</v>
      </c>
      <c r="N22" s="5">
        <v>43400.0</v>
      </c>
      <c r="O22" s="1" t="s">
        <v>35</v>
      </c>
      <c r="P22" s="1" t="s">
        <v>36</v>
      </c>
      <c r="Q22" s="1" t="s">
        <v>922</v>
      </c>
      <c r="S22" s="1" t="s">
        <v>759</v>
      </c>
    </row>
    <row r="23">
      <c r="A23" s="1">
        <v>22.0</v>
      </c>
      <c r="B23" s="1" t="s">
        <v>923</v>
      </c>
      <c r="C23" s="1" t="s">
        <v>25</v>
      </c>
      <c r="D23" s="1">
        <v>0.0</v>
      </c>
      <c r="E23" s="1">
        <v>200.0</v>
      </c>
      <c r="F23" s="1">
        <v>1.9</v>
      </c>
      <c r="G23" s="1">
        <v>0.59</v>
      </c>
      <c r="H23" s="1" t="s">
        <v>799</v>
      </c>
      <c r="I23" s="4">
        <v>46236.26435185185</v>
      </c>
      <c r="J23" s="1" t="s">
        <v>45</v>
      </c>
      <c r="K23" s="1">
        <v>200.0</v>
      </c>
      <c r="L23" s="1">
        <v>100.0</v>
      </c>
      <c r="M23" s="1">
        <v>100.0</v>
      </c>
      <c r="N23" s="5">
        <v>42367.0</v>
      </c>
      <c r="O23" s="1" t="s">
        <v>35</v>
      </c>
      <c r="P23" s="1" t="s">
        <v>36</v>
      </c>
      <c r="Q23" s="1" t="s">
        <v>928</v>
      </c>
      <c r="S23" s="1" t="s">
        <v>759</v>
      </c>
    </row>
    <row r="24">
      <c r="A24" s="1">
        <v>23.0</v>
      </c>
      <c r="B24" s="1" t="s">
        <v>930</v>
      </c>
      <c r="C24" s="1" t="s">
        <v>25</v>
      </c>
      <c r="D24" s="1">
        <v>12.0</v>
      </c>
      <c r="E24" s="1">
        <v>150.0</v>
      </c>
      <c r="F24" s="1">
        <v>0.8</v>
      </c>
      <c r="H24" s="1" t="s">
        <v>933</v>
      </c>
      <c r="I24" s="4">
        <v>46222.00864583333</v>
      </c>
      <c r="J24" s="1" t="s">
        <v>45</v>
      </c>
      <c r="K24" s="1">
        <v>10000.0</v>
      </c>
      <c r="L24" s="1">
        <v>70.0</v>
      </c>
      <c r="M24" s="1">
        <v>70.0</v>
      </c>
      <c r="N24" s="5">
        <v>43554.0</v>
      </c>
      <c r="O24" s="1" t="s">
        <v>47</v>
      </c>
      <c r="P24" s="1" t="s">
        <v>36</v>
      </c>
      <c r="Q24" s="1" t="s">
        <v>936</v>
      </c>
      <c r="R24" s="1" t="s">
        <v>937</v>
      </c>
      <c r="S24" s="1" t="s">
        <v>40</v>
      </c>
    </row>
    <row r="25">
      <c r="A25" s="1">
        <v>24.0</v>
      </c>
      <c r="B25" s="1" t="s">
        <v>938</v>
      </c>
      <c r="C25" s="1" t="s">
        <v>25</v>
      </c>
      <c r="D25" s="1">
        <v>0.0</v>
      </c>
      <c r="E25" s="1">
        <v>150.0</v>
      </c>
      <c r="F25" s="1">
        <v>1.0</v>
      </c>
      <c r="H25" s="1" t="s">
        <v>938</v>
      </c>
      <c r="I25" s="4">
        <v>46234.38474537037</v>
      </c>
      <c r="J25" s="1" t="s">
        <v>45</v>
      </c>
      <c r="K25" s="1">
        <v>150.0</v>
      </c>
      <c r="L25" s="1">
        <v>100.0</v>
      </c>
      <c r="M25" s="1">
        <v>100.0</v>
      </c>
      <c r="N25" s="5">
        <v>42268.0</v>
      </c>
      <c r="O25" s="1" t="s">
        <v>778</v>
      </c>
      <c r="P25" s="1" t="s">
        <v>36</v>
      </c>
      <c r="Q25" s="1" t="s">
        <v>941</v>
      </c>
      <c r="S25" s="1" t="s">
        <v>759</v>
      </c>
    </row>
    <row r="26">
      <c r="A26" s="1">
        <v>25.0</v>
      </c>
      <c r="B26" s="1" t="s">
        <v>41</v>
      </c>
      <c r="C26" s="1" t="s">
        <v>25</v>
      </c>
      <c r="D26" s="1">
        <v>0.0</v>
      </c>
      <c r="E26" s="1">
        <v>150.0</v>
      </c>
      <c r="F26" s="1">
        <v>1.2</v>
      </c>
      <c r="H26" s="1" t="s">
        <v>43</v>
      </c>
      <c r="I26" s="4">
        <v>46214.59721064815</v>
      </c>
      <c r="J26" s="1" t="s">
        <v>45</v>
      </c>
      <c r="K26" s="1">
        <v>14000.0</v>
      </c>
      <c r="L26" s="1">
        <v>10.0</v>
      </c>
      <c r="M26" s="1">
        <v>10.0</v>
      </c>
      <c r="N26" s="5">
        <v>42421.0</v>
      </c>
      <c r="O26" s="1" t="s">
        <v>47</v>
      </c>
      <c r="P26" s="1" t="s">
        <v>36</v>
      </c>
      <c r="Q26" s="1" t="s">
        <v>49</v>
      </c>
      <c r="S26" s="1" t="s">
        <v>40</v>
      </c>
    </row>
    <row r="27">
      <c r="A27" s="1">
        <v>26.0</v>
      </c>
      <c r="B27" s="1" t="s">
        <v>945</v>
      </c>
      <c r="C27" s="1" t="s">
        <v>25</v>
      </c>
      <c r="D27" s="1">
        <v>0.0</v>
      </c>
      <c r="E27" s="1">
        <v>150.0</v>
      </c>
      <c r="F27" s="1">
        <v>0.9</v>
      </c>
      <c r="G27" s="1">
        <v>0.53</v>
      </c>
      <c r="H27" s="1" t="s">
        <v>791</v>
      </c>
      <c r="I27" s="4">
        <v>46202.878541666665</v>
      </c>
      <c r="J27" s="1" t="s">
        <v>45</v>
      </c>
      <c r="K27" s="1">
        <v>150.0</v>
      </c>
      <c r="L27" s="1">
        <v>150.0</v>
      </c>
      <c r="M27" s="1">
        <v>200.0</v>
      </c>
      <c r="N27" s="5">
        <v>42249.0</v>
      </c>
      <c r="O27" s="1" t="s">
        <v>35</v>
      </c>
      <c r="P27" s="1" t="s">
        <v>36</v>
      </c>
      <c r="Q27" s="1" t="s">
        <v>950</v>
      </c>
      <c r="S27" s="1" t="s">
        <v>759</v>
      </c>
    </row>
    <row r="28">
      <c r="A28" s="1">
        <v>27.0</v>
      </c>
      <c r="B28" s="1" t="s">
        <v>951</v>
      </c>
      <c r="C28" s="1" t="s">
        <v>25</v>
      </c>
      <c r="D28" s="1">
        <v>0.0</v>
      </c>
      <c r="E28" s="1">
        <v>150.0</v>
      </c>
      <c r="F28" s="1">
        <v>0.15</v>
      </c>
      <c r="H28" s="1" t="s">
        <v>951</v>
      </c>
      <c r="I28" s="4">
        <v>46207.13791666667</v>
      </c>
      <c r="J28" s="1" t="s">
        <v>953</v>
      </c>
      <c r="K28" s="1">
        <v>500.0</v>
      </c>
      <c r="L28" s="1">
        <v>10.0</v>
      </c>
      <c r="M28" s="1">
        <v>100.0</v>
      </c>
      <c r="N28" s="5">
        <v>42427.0</v>
      </c>
      <c r="O28" s="1" t="s">
        <v>955</v>
      </c>
      <c r="P28" s="1" t="s">
        <v>36</v>
      </c>
      <c r="Q28" s="1" t="s">
        <v>957</v>
      </c>
      <c r="S28" s="1" t="s">
        <v>40</v>
      </c>
    </row>
    <row r="29">
      <c r="A29" s="1">
        <v>28.0</v>
      </c>
      <c r="B29" s="1" t="s">
        <v>50</v>
      </c>
      <c r="C29" s="1" t="s">
        <v>25</v>
      </c>
      <c r="D29" s="1">
        <v>13.0</v>
      </c>
      <c r="E29" s="1">
        <v>150.0</v>
      </c>
      <c r="F29" s="1">
        <v>1.6</v>
      </c>
      <c r="H29" s="1" t="s">
        <v>53</v>
      </c>
      <c r="I29" s="4">
        <v>46223.86341435185</v>
      </c>
      <c r="J29" s="1" t="s">
        <v>54</v>
      </c>
      <c r="K29" s="1">
        <v>101000.0</v>
      </c>
      <c r="L29" s="1">
        <v>80.0</v>
      </c>
      <c r="M29" s="1">
        <v>80.0</v>
      </c>
      <c r="N29" s="5">
        <v>43576.0</v>
      </c>
      <c r="O29" s="1" t="s">
        <v>47</v>
      </c>
      <c r="P29" s="1" t="s">
        <v>36</v>
      </c>
      <c r="Q29" s="1" t="s">
        <v>57</v>
      </c>
      <c r="S29" s="1" t="s">
        <v>40</v>
      </c>
    </row>
    <row r="30">
      <c r="A30" s="1">
        <v>29.0</v>
      </c>
      <c r="B30" s="1" t="s">
        <v>963</v>
      </c>
      <c r="C30" s="1" t="s">
        <v>25</v>
      </c>
      <c r="D30" s="1">
        <v>0.0</v>
      </c>
      <c r="E30" s="1">
        <v>150.0</v>
      </c>
      <c r="F30" s="1">
        <v>0.7</v>
      </c>
      <c r="H30" s="1" t="s">
        <v>749</v>
      </c>
      <c r="I30" s="4">
        <v>46217.392905092594</v>
      </c>
      <c r="J30" s="1" t="s">
        <v>31</v>
      </c>
      <c r="K30" s="1">
        <v>1000.0</v>
      </c>
      <c r="L30" s="1">
        <v>1400.0</v>
      </c>
      <c r="M30" s="1">
        <v>1400.0</v>
      </c>
      <c r="N30" s="5">
        <v>44082.0</v>
      </c>
      <c r="O30" s="1" t="s">
        <v>778</v>
      </c>
      <c r="P30" s="1" t="s">
        <v>36</v>
      </c>
      <c r="Q30" s="1" t="s">
        <v>968</v>
      </c>
      <c r="S30" s="1" t="s">
        <v>40</v>
      </c>
    </row>
    <row r="31">
      <c r="A31" s="1">
        <v>30.0</v>
      </c>
      <c r="B31" s="1" t="s">
        <v>969</v>
      </c>
      <c r="C31" s="1" t="s">
        <v>25</v>
      </c>
      <c r="D31" s="1">
        <v>0.0</v>
      </c>
      <c r="E31" s="1">
        <v>150.0</v>
      </c>
      <c r="F31" s="1">
        <v>0.5</v>
      </c>
      <c r="G31" s="1">
        <v>0.42</v>
      </c>
      <c r="H31" s="1" t="s">
        <v>874</v>
      </c>
      <c r="I31" s="4">
        <v>46227.879641203705</v>
      </c>
      <c r="J31" s="1" t="s">
        <v>973</v>
      </c>
      <c r="K31" s="1">
        <v>1900.0</v>
      </c>
      <c r="L31" s="1">
        <v>20.0</v>
      </c>
      <c r="M31" s="1">
        <v>900.0</v>
      </c>
      <c r="N31" s="5">
        <v>42262.0</v>
      </c>
      <c r="O31" s="1" t="s">
        <v>976</v>
      </c>
      <c r="P31" s="1" t="s">
        <v>36</v>
      </c>
      <c r="Q31" s="1" t="s">
        <v>977</v>
      </c>
      <c r="S31" s="1" t="s">
        <v>40</v>
      </c>
    </row>
    <row r="32">
      <c r="A32" s="1">
        <v>31.0</v>
      </c>
      <c r="B32" s="1" t="s">
        <v>979</v>
      </c>
      <c r="C32" s="1" t="s">
        <v>25</v>
      </c>
      <c r="D32" s="1">
        <v>19.0</v>
      </c>
      <c r="E32" s="1">
        <v>150.0</v>
      </c>
      <c r="F32" s="1">
        <v>0.8</v>
      </c>
      <c r="G32" s="1">
        <v>0.52</v>
      </c>
      <c r="H32" s="1" t="s">
        <v>847</v>
      </c>
      <c r="I32" s="4">
        <v>46234.227326388886</v>
      </c>
      <c r="J32" s="1" t="s">
        <v>54</v>
      </c>
      <c r="K32" s="1">
        <v>15000.0</v>
      </c>
      <c r="L32" s="1">
        <v>450.0</v>
      </c>
      <c r="M32" s="1">
        <v>500.0</v>
      </c>
      <c r="N32" s="5">
        <v>42256.0</v>
      </c>
      <c r="O32" s="1" t="s">
        <v>778</v>
      </c>
      <c r="P32" s="1" t="s">
        <v>36</v>
      </c>
      <c r="Q32" s="1" t="s">
        <v>984</v>
      </c>
      <c r="R32" s="1" t="s">
        <v>985</v>
      </c>
      <c r="S32" s="1" t="s">
        <v>759</v>
      </c>
    </row>
    <row r="33">
      <c r="A33" s="1">
        <v>32.0</v>
      </c>
      <c r="B33" s="1" t="s">
        <v>986</v>
      </c>
      <c r="C33" s="1" t="s">
        <v>25</v>
      </c>
      <c r="D33" s="1">
        <v>1.0</v>
      </c>
      <c r="E33" s="1">
        <v>150.0</v>
      </c>
      <c r="F33" s="1">
        <v>2.0</v>
      </c>
      <c r="G33" s="1">
        <v>0.49</v>
      </c>
      <c r="H33" s="1" t="s">
        <v>86</v>
      </c>
      <c r="I33" s="4">
        <v>46235.82288194444</v>
      </c>
      <c r="J33" s="1" t="s">
        <v>45</v>
      </c>
      <c r="K33" s="1">
        <v>150.0</v>
      </c>
      <c r="L33" s="1">
        <v>90.0</v>
      </c>
      <c r="M33" s="1">
        <v>90.0</v>
      </c>
      <c r="N33" s="5">
        <v>42262.0</v>
      </c>
      <c r="O33" s="1" t="s">
        <v>35</v>
      </c>
      <c r="P33" s="1" t="s">
        <v>36</v>
      </c>
      <c r="Q33" s="1" t="s">
        <v>991</v>
      </c>
      <c r="S33" s="1" t="s">
        <v>759</v>
      </c>
    </row>
    <row r="34">
      <c r="A34" s="1">
        <v>33.0</v>
      </c>
      <c r="B34" s="1" t="s">
        <v>993</v>
      </c>
      <c r="C34" s="1" t="s">
        <v>25</v>
      </c>
      <c r="D34" s="1">
        <v>11.0</v>
      </c>
      <c r="E34" s="1">
        <v>150.0</v>
      </c>
      <c r="F34" s="1">
        <v>1.4</v>
      </c>
      <c r="G34" s="1">
        <v>0.43</v>
      </c>
      <c r="H34" s="1" t="s">
        <v>807</v>
      </c>
      <c r="I34" s="4">
        <v>46218.28634259259</v>
      </c>
      <c r="J34" s="1" t="s">
        <v>45</v>
      </c>
      <c r="K34" s="1">
        <v>150.0</v>
      </c>
      <c r="L34" s="1">
        <v>70.0</v>
      </c>
      <c r="M34" s="1">
        <v>70.0</v>
      </c>
      <c r="N34" s="5">
        <v>42254.0</v>
      </c>
      <c r="O34" s="1" t="s">
        <v>778</v>
      </c>
      <c r="P34" s="1" t="s">
        <v>36</v>
      </c>
      <c r="Q34" s="1" t="s">
        <v>997</v>
      </c>
      <c r="R34" s="1" t="s">
        <v>998</v>
      </c>
      <c r="S34" s="1" t="s">
        <v>40</v>
      </c>
    </row>
    <row r="35">
      <c r="A35" s="1">
        <v>34.0</v>
      </c>
      <c r="B35" s="1" t="s">
        <v>43</v>
      </c>
      <c r="C35" s="1" t="s">
        <v>25</v>
      </c>
      <c r="D35" s="1">
        <v>1.0</v>
      </c>
      <c r="E35" s="1">
        <v>150.0</v>
      </c>
      <c r="F35" s="1">
        <v>1.3</v>
      </c>
      <c r="H35" s="1" t="s">
        <v>41</v>
      </c>
      <c r="I35" s="4">
        <v>46221.13612268519</v>
      </c>
      <c r="J35" s="1" t="s">
        <v>45</v>
      </c>
      <c r="K35" s="1">
        <v>29000.0</v>
      </c>
      <c r="L35" s="1">
        <v>20.0</v>
      </c>
      <c r="M35" s="1">
        <v>20.0</v>
      </c>
      <c r="N35" s="5">
        <v>42932.0</v>
      </c>
      <c r="O35" s="1" t="s">
        <v>47</v>
      </c>
      <c r="P35" s="1" t="s">
        <v>36</v>
      </c>
      <c r="Q35" s="1" t="s">
        <v>1003</v>
      </c>
      <c r="S35" s="1" t="s">
        <v>40</v>
      </c>
    </row>
    <row r="36">
      <c r="A36" s="1">
        <v>35.0</v>
      </c>
      <c r="B36" s="1" t="s">
        <v>115</v>
      </c>
      <c r="C36" s="1" t="s">
        <v>25</v>
      </c>
      <c r="D36" s="1">
        <v>0.0</v>
      </c>
      <c r="E36" s="1">
        <v>100.0</v>
      </c>
      <c r="F36" s="1">
        <v>0.4</v>
      </c>
      <c r="H36" s="1" t="s">
        <v>1004</v>
      </c>
      <c r="I36" s="4">
        <v>46232.80190972222</v>
      </c>
      <c r="J36" s="1" t="s">
        <v>1006</v>
      </c>
      <c r="K36" s="1">
        <v>800.0</v>
      </c>
      <c r="L36" s="1">
        <v>50.0</v>
      </c>
      <c r="M36" s="1">
        <v>900.0</v>
      </c>
      <c r="N36" s="5">
        <v>42455.0</v>
      </c>
      <c r="O36" s="1" t="s">
        <v>976</v>
      </c>
      <c r="P36" s="1" t="s">
        <v>36</v>
      </c>
      <c r="Q36" s="1" t="s">
        <v>1009</v>
      </c>
      <c r="S36" s="1" t="s">
        <v>872</v>
      </c>
    </row>
    <row r="37">
      <c r="A37" s="1">
        <v>36.0</v>
      </c>
      <c r="B37" s="1" t="s">
        <v>61</v>
      </c>
      <c r="C37" s="1" t="s">
        <v>25</v>
      </c>
      <c r="D37" s="1">
        <v>0.0</v>
      </c>
      <c r="E37" s="1">
        <v>100.0</v>
      </c>
      <c r="F37" s="1">
        <v>2.0</v>
      </c>
      <c r="H37" s="1" t="s">
        <v>61</v>
      </c>
      <c r="I37" s="4">
        <v>46202.36267361111</v>
      </c>
      <c r="J37" s="1" t="s">
        <v>68</v>
      </c>
      <c r="K37" s="1">
        <v>150.0</v>
      </c>
      <c r="L37" s="1">
        <v>20.0</v>
      </c>
      <c r="M37" s="1">
        <v>20.0</v>
      </c>
      <c r="N37" s="5">
        <v>42329.0</v>
      </c>
      <c r="O37" s="1" t="s">
        <v>35</v>
      </c>
      <c r="P37" s="1" t="s">
        <v>36</v>
      </c>
      <c r="Q37" s="1" t="s">
        <v>72</v>
      </c>
      <c r="S37" s="1" t="s">
        <v>40</v>
      </c>
    </row>
    <row r="38">
      <c r="A38" s="1">
        <v>37.0</v>
      </c>
      <c r="B38" s="1" t="s">
        <v>1015</v>
      </c>
      <c r="C38" s="1" t="s">
        <v>25</v>
      </c>
      <c r="D38" s="1">
        <v>0.0</v>
      </c>
      <c r="E38" s="1">
        <v>100.0</v>
      </c>
      <c r="F38" s="1">
        <v>0.9</v>
      </c>
      <c r="H38" s="1" t="s">
        <v>938</v>
      </c>
      <c r="I38" s="4">
        <v>46236.786782407406</v>
      </c>
      <c r="J38" s="1" t="s">
        <v>45</v>
      </c>
      <c r="K38" s="1">
        <v>100.0</v>
      </c>
      <c r="L38" s="1">
        <v>100.0</v>
      </c>
      <c r="M38" s="1">
        <v>100.0</v>
      </c>
      <c r="N38" s="5">
        <v>42328.0</v>
      </c>
      <c r="O38" s="1" t="s">
        <v>35</v>
      </c>
      <c r="P38" s="1" t="s">
        <v>36</v>
      </c>
      <c r="Q38" s="1" t="s">
        <v>1018</v>
      </c>
      <c r="S38" s="1" t="s">
        <v>759</v>
      </c>
    </row>
    <row r="39">
      <c r="A39" s="1">
        <v>38.0</v>
      </c>
      <c r="B39" s="1" t="s">
        <v>1020</v>
      </c>
      <c r="C39" s="1" t="s">
        <v>25</v>
      </c>
      <c r="D39" s="1">
        <v>0.0</v>
      </c>
      <c r="E39" s="1">
        <v>100.0</v>
      </c>
      <c r="F39" s="1">
        <v>0.15</v>
      </c>
      <c r="G39" s="1">
        <v>0.4</v>
      </c>
      <c r="H39" s="1" t="s">
        <v>1023</v>
      </c>
      <c r="I39" s="4">
        <v>46210.916666666664</v>
      </c>
      <c r="J39" s="1" t="s">
        <v>1025</v>
      </c>
      <c r="K39" s="1">
        <v>8900.0</v>
      </c>
      <c r="L39" s="1">
        <v>250.0</v>
      </c>
      <c r="M39" s="1">
        <v>250.0</v>
      </c>
      <c r="N39" s="5">
        <v>42287.0</v>
      </c>
      <c r="O39" s="1" t="s">
        <v>976</v>
      </c>
      <c r="P39" s="1" t="s">
        <v>36</v>
      </c>
      <c r="Q39" s="1" t="s">
        <v>1028</v>
      </c>
      <c r="R39" s="1" t="s">
        <v>1029</v>
      </c>
      <c r="S39" s="1" t="s">
        <v>1030</v>
      </c>
    </row>
    <row r="40">
      <c r="A40" s="1">
        <v>39.0</v>
      </c>
      <c r="B40" s="1" t="s">
        <v>1032</v>
      </c>
      <c r="C40" s="1" t="s">
        <v>25</v>
      </c>
      <c r="D40" s="1">
        <v>0.0</v>
      </c>
      <c r="E40" s="1">
        <v>100.0</v>
      </c>
      <c r="F40" s="1">
        <v>0.15</v>
      </c>
      <c r="G40" s="1">
        <v>0.39</v>
      </c>
      <c r="H40" s="1" t="s">
        <v>1035</v>
      </c>
      <c r="I40" s="4">
        <v>46228.41903935185</v>
      </c>
      <c r="J40" s="1" t="s">
        <v>1037</v>
      </c>
      <c r="K40" s="1">
        <v>2800.0</v>
      </c>
      <c r="L40" s="1">
        <v>10.0</v>
      </c>
      <c r="M40" s="1">
        <v>800.0</v>
      </c>
      <c r="N40" s="5">
        <v>42261.0</v>
      </c>
      <c r="O40" s="1" t="s">
        <v>976</v>
      </c>
      <c r="P40" s="1" t="s">
        <v>36</v>
      </c>
      <c r="Q40" s="1" t="s">
        <v>1039</v>
      </c>
      <c r="R40" s="1" t="s">
        <v>1040</v>
      </c>
      <c r="S40" s="1" t="s">
        <v>1041</v>
      </c>
    </row>
    <row r="41">
      <c r="A41" s="1">
        <v>40.0</v>
      </c>
      <c r="B41" s="1" t="s">
        <v>1043</v>
      </c>
      <c r="C41" s="1" t="s">
        <v>25</v>
      </c>
      <c r="D41" s="1">
        <v>0.0</v>
      </c>
      <c r="E41" s="1">
        <v>100.0</v>
      </c>
      <c r="F41" s="1">
        <v>1.7</v>
      </c>
      <c r="G41" s="1">
        <v>0.67</v>
      </c>
      <c r="H41" s="1" t="s">
        <v>833</v>
      </c>
      <c r="I41" s="4">
        <v>46230.58190972222</v>
      </c>
      <c r="J41" s="1" t="s">
        <v>1046</v>
      </c>
      <c r="K41" s="1">
        <v>100.0</v>
      </c>
      <c r="L41" s="1">
        <v>150.0</v>
      </c>
      <c r="M41" s="1">
        <v>150.0</v>
      </c>
      <c r="N41" s="5">
        <v>42257.0</v>
      </c>
      <c r="O41" s="1" t="s">
        <v>778</v>
      </c>
      <c r="P41" s="1" t="s">
        <v>36</v>
      </c>
      <c r="Q41" s="1" t="s">
        <v>1049</v>
      </c>
      <c r="R41" s="1" t="s">
        <v>1050</v>
      </c>
      <c r="S41" s="1" t="s">
        <v>1051</v>
      </c>
    </row>
    <row r="42">
      <c r="A42" s="1">
        <v>41.0</v>
      </c>
      <c r="B42" s="1" t="s">
        <v>1053</v>
      </c>
      <c r="C42" s="1" t="s">
        <v>25</v>
      </c>
      <c r="D42" s="1">
        <v>40.0</v>
      </c>
      <c r="E42" s="1">
        <v>100.0</v>
      </c>
      <c r="F42" s="1">
        <v>0.4</v>
      </c>
      <c r="H42" s="1" t="s">
        <v>50</v>
      </c>
      <c r="I42" s="4">
        <v>46229.95581018519</v>
      </c>
      <c r="J42" s="1" t="s">
        <v>45</v>
      </c>
      <c r="K42" s="1">
        <v>5800.0</v>
      </c>
      <c r="L42" s="1">
        <v>150.0</v>
      </c>
      <c r="M42" s="1">
        <v>150.0</v>
      </c>
      <c r="N42" s="5">
        <v>42254.0</v>
      </c>
      <c r="O42" s="1" t="s">
        <v>35</v>
      </c>
      <c r="P42" s="1" t="s">
        <v>36</v>
      </c>
      <c r="Q42" s="1" t="s">
        <v>1057</v>
      </c>
      <c r="S42" s="1" t="s">
        <v>759</v>
      </c>
    </row>
    <row r="43">
      <c r="A43" s="1">
        <v>42.0</v>
      </c>
      <c r="B43" s="1" t="s">
        <v>1004</v>
      </c>
      <c r="C43" s="1" t="s">
        <v>25</v>
      </c>
      <c r="D43" s="1">
        <v>0.0</v>
      </c>
      <c r="E43" s="1">
        <v>100.0</v>
      </c>
      <c r="F43" s="1">
        <v>0.07</v>
      </c>
      <c r="G43" s="1">
        <v>0.72</v>
      </c>
      <c r="H43" s="1" t="s">
        <v>1032</v>
      </c>
      <c r="I43" s="4">
        <v>46230.471770833334</v>
      </c>
      <c r="J43" s="1" t="s">
        <v>1006</v>
      </c>
      <c r="K43" s="1">
        <v>5200.0</v>
      </c>
      <c r="L43" s="1">
        <v>20.0</v>
      </c>
      <c r="M43" s="1">
        <v>900.0</v>
      </c>
      <c r="N43" s="5">
        <v>42261.0</v>
      </c>
      <c r="O43" s="1" t="s">
        <v>976</v>
      </c>
      <c r="P43" s="1" t="s">
        <v>36</v>
      </c>
      <c r="Q43" s="1" t="s">
        <v>1061</v>
      </c>
      <c r="R43" s="1" t="s">
        <v>1063</v>
      </c>
      <c r="S43" s="1" t="s">
        <v>1041</v>
      </c>
    </row>
    <row r="44">
      <c r="A44" s="1">
        <v>43.0</v>
      </c>
      <c r="B44" s="1" t="s">
        <v>1065</v>
      </c>
      <c r="C44" s="1" t="s">
        <v>25</v>
      </c>
      <c r="D44" s="1">
        <v>3.0</v>
      </c>
      <c r="E44" s="1">
        <v>100.0</v>
      </c>
      <c r="F44" s="1">
        <v>0.4</v>
      </c>
      <c r="H44" s="1" t="s">
        <v>749</v>
      </c>
      <c r="I44" s="4">
        <v>46237.21773148148</v>
      </c>
      <c r="J44" s="1" t="s">
        <v>1068</v>
      </c>
      <c r="K44" s="1">
        <v>4900.0</v>
      </c>
      <c r="L44" s="1">
        <v>150.0</v>
      </c>
      <c r="M44" s="1">
        <v>150.0</v>
      </c>
      <c r="N44" s="5">
        <v>44499.0</v>
      </c>
      <c r="O44" s="1" t="s">
        <v>35</v>
      </c>
      <c r="P44" s="1" t="s">
        <v>36</v>
      </c>
      <c r="Q44" s="1" t="s">
        <v>1071</v>
      </c>
      <c r="S44" s="1" t="s">
        <v>40</v>
      </c>
    </row>
    <row r="45">
      <c r="A45" s="1">
        <v>44.0</v>
      </c>
      <c r="B45" s="1" t="s">
        <v>1073</v>
      </c>
      <c r="C45" s="1" t="s">
        <v>25</v>
      </c>
      <c r="D45" s="1">
        <v>0.0</v>
      </c>
      <c r="E45" s="1">
        <v>100.0</v>
      </c>
      <c r="F45" s="1">
        <v>0.9</v>
      </c>
      <c r="H45" s="1" t="s">
        <v>104</v>
      </c>
      <c r="I45" s="4">
        <v>46235.99883101852</v>
      </c>
      <c r="J45" s="1" t="s">
        <v>1076</v>
      </c>
      <c r="K45" s="1">
        <v>6400.0</v>
      </c>
      <c r="L45" s="1">
        <v>150.0</v>
      </c>
      <c r="M45" s="1">
        <v>150.0</v>
      </c>
      <c r="N45" s="5">
        <v>42297.0</v>
      </c>
      <c r="O45" s="1" t="s">
        <v>35</v>
      </c>
      <c r="P45" s="1" t="s">
        <v>36</v>
      </c>
      <c r="Q45" s="1" t="s">
        <v>1080</v>
      </c>
      <c r="S45" s="1" t="s">
        <v>40</v>
      </c>
    </row>
    <row r="46">
      <c r="A46" s="1">
        <v>45.0</v>
      </c>
      <c r="B46" s="1" t="s">
        <v>1081</v>
      </c>
      <c r="C46" s="1" t="s">
        <v>25</v>
      </c>
      <c r="D46" s="1">
        <v>2.0</v>
      </c>
      <c r="E46" s="1">
        <v>100.0</v>
      </c>
      <c r="F46" s="1">
        <v>0.6</v>
      </c>
      <c r="H46" s="1" t="s">
        <v>749</v>
      </c>
      <c r="I46" s="4">
        <v>46214.83237268519</v>
      </c>
      <c r="J46" s="1" t="s">
        <v>45</v>
      </c>
      <c r="K46" s="1">
        <v>80000.0</v>
      </c>
      <c r="L46" s="1">
        <v>450.0</v>
      </c>
      <c r="M46" s="1">
        <v>500.0</v>
      </c>
      <c r="N46" s="5">
        <v>42258.0</v>
      </c>
      <c r="O46" s="1" t="s">
        <v>955</v>
      </c>
      <c r="P46" s="1" t="s">
        <v>36</v>
      </c>
      <c r="Q46" s="1" t="s">
        <v>1084</v>
      </c>
      <c r="S46" s="1" t="s">
        <v>40</v>
      </c>
    </row>
    <row r="47">
      <c r="A47" s="1">
        <v>46.0</v>
      </c>
      <c r="B47" s="1" t="s">
        <v>1086</v>
      </c>
      <c r="C47" s="1" t="s">
        <v>25</v>
      </c>
      <c r="D47" s="1">
        <v>6.0</v>
      </c>
      <c r="E47" s="1">
        <v>100.0</v>
      </c>
      <c r="F47" s="1">
        <v>0.6</v>
      </c>
      <c r="G47" s="1">
        <v>0.94</v>
      </c>
      <c r="H47" s="1" t="s">
        <v>855</v>
      </c>
      <c r="I47" s="4">
        <v>46200.60208333333</v>
      </c>
      <c r="J47" s="1" t="s">
        <v>45</v>
      </c>
      <c r="K47" s="1">
        <v>100.0</v>
      </c>
      <c r="L47" s="1">
        <v>90.0</v>
      </c>
      <c r="M47" s="1">
        <v>100.0</v>
      </c>
      <c r="N47" s="5">
        <v>42300.0</v>
      </c>
      <c r="O47" s="1" t="s">
        <v>35</v>
      </c>
      <c r="P47" s="1" t="s">
        <v>36</v>
      </c>
      <c r="Q47" s="1" t="s">
        <v>1091</v>
      </c>
      <c r="S47" s="1" t="s">
        <v>759</v>
      </c>
    </row>
    <row r="48">
      <c r="A48" s="1">
        <v>47.0</v>
      </c>
      <c r="B48" s="1" t="s">
        <v>1093</v>
      </c>
      <c r="C48" s="1" t="s">
        <v>25</v>
      </c>
      <c r="D48" s="1">
        <v>17.0</v>
      </c>
      <c r="E48" s="1">
        <v>100.0</v>
      </c>
      <c r="F48" s="1">
        <v>0.3</v>
      </c>
      <c r="H48" s="1" t="s">
        <v>1096</v>
      </c>
      <c r="I48" s="4">
        <v>46228.00738425926</v>
      </c>
      <c r="J48" s="1" t="s">
        <v>45</v>
      </c>
      <c r="K48" s="1">
        <v>81000.0</v>
      </c>
      <c r="L48" s="1">
        <v>500.0</v>
      </c>
      <c r="M48" s="1">
        <v>500.0</v>
      </c>
      <c r="N48" s="5">
        <v>43612.0</v>
      </c>
      <c r="O48" s="1" t="s">
        <v>47</v>
      </c>
      <c r="P48" s="1" t="s">
        <v>36</v>
      </c>
      <c r="Q48" s="1" t="s">
        <v>1100</v>
      </c>
      <c r="S48" s="1" t="s">
        <v>759</v>
      </c>
    </row>
    <row r="49">
      <c r="A49" s="1">
        <v>48.0</v>
      </c>
      <c r="B49" s="1" t="s">
        <v>1101</v>
      </c>
      <c r="C49" s="1" t="s">
        <v>25</v>
      </c>
      <c r="D49" s="1">
        <v>0.0</v>
      </c>
      <c r="E49" s="1">
        <v>100.0</v>
      </c>
      <c r="F49" s="1">
        <v>1.4</v>
      </c>
      <c r="H49" s="1" t="s">
        <v>1104</v>
      </c>
      <c r="I49" s="4">
        <v>46227.83935185185</v>
      </c>
      <c r="J49" s="1" t="s">
        <v>45</v>
      </c>
      <c r="K49" s="1">
        <v>2800.0</v>
      </c>
      <c r="L49" s="1">
        <v>50.0</v>
      </c>
      <c r="M49" s="1">
        <v>50.0</v>
      </c>
      <c r="N49" s="5">
        <v>43577.0</v>
      </c>
      <c r="O49" s="1" t="s">
        <v>47</v>
      </c>
      <c r="P49" s="1" t="s">
        <v>36</v>
      </c>
      <c r="Q49" s="1" t="s">
        <v>1105</v>
      </c>
      <c r="S49" s="1" t="s">
        <v>40</v>
      </c>
    </row>
    <row r="50">
      <c r="A50" s="1">
        <v>49.0</v>
      </c>
      <c r="B50" s="1" t="s">
        <v>1107</v>
      </c>
      <c r="C50" s="1" t="s">
        <v>25</v>
      </c>
      <c r="D50" s="1">
        <v>0.0</v>
      </c>
      <c r="E50" s="1">
        <v>90.0</v>
      </c>
      <c r="F50" s="1">
        <v>1.0</v>
      </c>
      <c r="H50" s="1" t="s">
        <v>53</v>
      </c>
      <c r="I50" s="4">
        <v>46232.859618055554</v>
      </c>
      <c r="J50" s="1" t="s">
        <v>912</v>
      </c>
      <c r="K50" s="1">
        <v>90.0</v>
      </c>
      <c r="L50" s="1">
        <v>100.0</v>
      </c>
      <c r="M50" s="1">
        <v>100.0</v>
      </c>
      <c r="N50" s="5">
        <v>43845.0</v>
      </c>
      <c r="O50" s="1" t="s">
        <v>35</v>
      </c>
      <c r="P50" s="1" t="s">
        <v>36</v>
      </c>
      <c r="Q50" s="1" t="s">
        <v>1111</v>
      </c>
      <c r="S50" s="1" t="s">
        <v>40</v>
      </c>
    </row>
    <row r="51">
      <c r="A51" s="1">
        <v>50.0</v>
      </c>
      <c r="B51" s="1" t="s">
        <v>1113</v>
      </c>
      <c r="C51" s="1" t="s">
        <v>25</v>
      </c>
      <c r="D51" s="1">
        <v>0.0</v>
      </c>
      <c r="E51" s="1">
        <v>90.0</v>
      </c>
      <c r="F51" s="1">
        <v>1.0</v>
      </c>
      <c r="H51" s="1" t="s">
        <v>1115</v>
      </c>
      <c r="I51" s="4">
        <v>46213.70104166667</v>
      </c>
      <c r="J51" s="1" t="s">
        <v>54</v>
      </c>
      <c r="K51" s="1">
        <v>100.0</v>
      </c>
      <c r="L51" s="1">
        <v>50.0</v>
      </c>
      <c r="M51" s="1">
        <v>50.0</v>
      </c>
      <c r="N51" s="5">
        <v>43797.0</v>
      </c>
      <c r="O51" s="1" t="s">
        <v>839</v>
      </c>
      <c r="P51" s="1" t="s">
        <v>36</v>
      </c>
      <c r="Q51" s="1" t="s">
        <v>1119</v>
      </c>
      <c r="S51" s="1" t="s">
        <v>40</v>
      </c>
    </row>
    <row r="52">
      <c r="A52" s="1">
        <v>51.0</v>
      </c>
      <c r="B52" s="1" t="s">
        <v>1121</v>
      </c>
      <c r="C52" s="1" t="s">
        <v>25</v>
      </c>
      <c r="D52" s="1">
        <v>24.0</v>
      </c>
      <c r="E52" s="1">
        <v>90.0</v>
      </c>
      <c r="H52" s="1" t="s">
        <v>901</v>
      </c>
      <c r="I52" s="4">
        <v>46208.18415509259</v>
      </c>
      <c r="J52" s="1" t="s">
        <v>45</v>
      </c>
      <c r="K52" s="1">
        <v>90.0</v>
      </c>
      <c r="L52" s="1">
        <v>150.0</v>
      </c>
      <c r="M52" s="1">
        <v>200.0</v>
      </c>
      <c r="N52" s="5">
        <v>42352.0</v>
      </c>
      <c r="O52" s="1" t="s">
        <v>35</v>
      </c>
      <c r="P52" s="1" t="s">
        <v>36</v>
      </c>
      <c r="Q52" s="1" t="s">
        <v>1124</v>
      </c>
      <c r="S52" s="1" t="s">
        <v>759</v>
      </c>
    </row>
    <row r="53">
      <c r="A53" s="1">
        <v>52.0</v>
      </c>
      <c r="B53" s="1" t="s">
        <v>78</v>
      </c>
      <c r="C53" s="1" t="s">
        <v>25</v>
      </c>
      <c r="D53" s="1">
        <v>1.0</v>
      </c>
      <c r="E53" s="1">
        <v>90.0</v>
      </c>
      <c r="H53" s="1" t="s">
        <v>78</v>
      </c>
      <c r="I53" s="4">
        <v>46229.66584490741</v>
      </c>
      <c r="J53" s="1" t="s">
        <v>45</v>
      </c>
      <c r="K53" s="1">
        <v>90.0</v>
      </c>
      <c r="L53" s="1">
        <v>30.0</v>
      </c>
      <c r="M53" s="1">
        <v>30.0</v>
      </c>
      <c r="N53" s="5">
        <v>42617.0</v>
      </c>
      <c r="O53" s="1" t="s">
        <v>47</v>
      </c>
      <c r="P53" s="1" t="s">
        <v>36</v>
      </c>
      <c r="Q53" s="1" t="s">
        <v>82</v>
      </c>
      <c r="S53" s="1" t="s">
        <v>40</v>
      </c>
    </row>
    <row r="54">
      <c r="A54" s="1">
        <v>53.0</v>
      </c>
      <c r="B54" s="1" t="s">
        <v>1130</v>
      </c>
      <c r="C54" s="1" t="s">
        <v>25</v>
      </c>
      <c r="D54" s="1">
        <v>0.0</v>
      </c>
      <c r="E54" s="1">
        <v>80.0</v>
      </c>
      <c r="F54" s="1">
        <v>1.0</v>
      </c>
      <c r="G54" s="1">
        <v>0.56</v>
      </c>
      <c r="H54" s="1" t="s">
        <v>1132</v>
      </c>
      <c r="I54" s="4">
        <v>46236.937997685185</v>
      </c>
      <c r="J54" s="1" t="s">
        <v>45</v>
      </c>
      <c r="K54" s="1">
        <v>80.0</v>
      </c>
      <c r="L54" s="1">
        <v>50.0</v>
      </c>
      <c r="M54" s="1">
        <v>50.0</v>
      </c>
      <c r="N54" s="5">
        <v>42275.0</v>
      </c>
      <c r="O54" s="1" t="s">
        <v>35</v>
      </c>
      <c r="P54" s="1" t="s">
        <v>36</v>
      </c>
      <c r="Q54" s="1" t="s">
        <v>1135</v>
      </c>
      <c r="S54" s="1" t="s">
        <v>759</v>
      </c>
    </row>
    <row r="55">
      <c r="A55" s="1">
        <v>54.0</v>
      </c>
      <c r="B55" s="1" t="s">
        <v>1137</v>
      </c>
      <c r="C55" s="1" t="s">
        <v>25</v>
      </c>
      <c r="D55" s="1">
        <v>0.0</v>
      </c>
      <c r="E55" s="1">
        <v>80.0</v>
      </c>
      <c r="F55" s="1">
        <v>0.8</v>
      </c>
      <c r="H55" s="1" t="s">
        <v>10</v>
      </c>
      <c r="I55" s="4">
        <v>46227.68050925926</v>
      </c>
      <c r="J55" s="1" t="s">
        <v>54</v>
      </c>
      <c r="K55" s="1">
        <v>9100.0</v>
      </c>
      <c r="L55" s="1">
        <v>100.0</v>
      </c>
      <c r="M55" s="1">
        <v>100.0</v>
      </c>
      <c r="N55" s="5">
        <v>42255.0</v>
      </c>
      <c r="O55" s="1" t="s">
        <v>35</v>
      </c>
      <c r="P55" s="1" t="s">
        <v>36</v>
      </c>
      <c r="Q55" s="1" t="s">
        <v>1143</v>
      </c>
      <c r="S55" s="1" t="s">
        <v>40</v>
      </c>
    </row>
    <row r="56">
      <c r="A56" s="1">
        <v>55.0</v>
      </c>
      <c r="B56" s="1" t="s">
        <v>1144</v>
      </c>
      <c r="C56" s="1" t="s">
        <v>25</v>
      </c>
      <c r="D56" s="1">
        <v>0.0</v>
      </c>
      <c r="E56" s="1">
        <v>80.0</v>
      </c>
      <c r="F56" s="1">
        <v>0.6</v>
      </c>
      <c r="H56" s="1" t="s">
        <v>1144</v>
      </c>
      <c r="I56" s="4">
        <v>46230.61384259259</v>
      </c>
      <c r="J56" s="1" t="s">
        <v>45</v>
      </c>
      <c r="K56" s="1">
        <v>4700.0</v>
      </c>
      <c r="L56" s="1">
        <v>20.0</v>
      </c>
      <c r="M56" s="1">
        <v>20.0</v>
      </c>
      <c r="N56" s="5">
        <v>43889.0</v>
      </c>
      <c r="O56" s="1" t="s">
        <v>35</v>
      </c>
      <c r="P56" s="1" t="s">
        <v>36</v>
      </c>
      <c r="Q56" s="1" t="s">
        <v>1147</v>
      </c>
      <c r="S56" s="1" t="s">
        <v>759</v>
      </c>
    </row>
    <row r="57">
      <c r="A57" s="1">
        <v>56.0</v>
      </c>
      <c r="B57" s="1" t="s">
        <v>1132</v>
      </c>
      <c r="C57" s="1" t="s">
        <v>25</v>
      </c>
      <c r="D57" s="1">
        <v>0.0</v>
      </c>
      <c r="E57" s="1">
        <v>80.0</v>
      </c>
      <c r="F57" s="1">
        <v>0.6</v>
      </c>
      <c r="H57" s="1" t="s">
        <v>1132</v>
      </c>
      <c r="I57" s="4">
        <v>46233.43517361111</v>
      </c>
      <c r="J57" s="1" t="s">
        <v>1149</v>
      </c>
      <c r="K57" s="1">
        <v>80.0</v>
      </c>
      <c r="L57" s="1">
        <v>50.0</v>
      </c>
      <c r="M57" s="1">
        <v>50.0</v>
      </c>
      <c r="N57" s="5">
        <v>42310.0</v>
      </c>
      <c r="O57" s="1" t="s">
        <v>35</v>
      </c>
      <c r="P57" s="1" t="s">
        <v>36</v>
      </c>
      <c r="Q57" s="1" t="s">
        <v>1151</v>
      </c>
      <c r="S57" s="1" t="s">
        <v>759</v>
      </c>
    </row>
    <row r="58">
      <c r="A58" s="1">
        <v>57.0</v>
      </c>
      <c r="B58" s="1" t="s">
        <v>1153</v>
      </c>
      <c r="C58" s="1" t="s">
        <v>25</v>
      </c>
      <c r="D58" s="1">
        <v>0.0</v>
      </c>
      <c r="E58" s="1">
        <v>80.0</v>
      </c>
      <c r="H58" s="1" t="s">
        <v>863</v>
      </c>
      <c r="I58" s="4">
        <v>46205.778275462966</v>
      </c>
      <c r="J58" s="1" t="s">
        <v>1154</v>
      </c>
      <c r="K58" s="1">
        <v>2200.0</v>
      </c>
      <c r="L58" s="1">
        <v>90.0</v>
      </c>
      <c r="M58" s="1">
        <v>90.0</v>
      </c>
      <c r="N58" s="5">
        <v>42487.0</v>
      </c>
      <c r="O58" s="1" t="s">
        <v>976</v>
      </c>
      <c r="P58" s="1" t="s">
        <v>36</v>
      </c>
      <c r="Q58" s="1" t="s">
        <v>1158</v>
      </c>
      <c r="S58" s="1" t="s">
        <v>1041</v>
      </c>
    </row>
    <row r="59">
      <c r="A59" s="1">
        <v>58.0</v>
      </c>
      <c r="B59" s="1" t="s">
        <v>1159</v>
      </c>
      <c r="C59" s="1" t="s">
        <v>25</v>
      </c>
      <c r="D59" s="1">
        <v>0.0</v>
      </c>
      <c r="E59" s="1">
        <v>80.0</v>
      </c>
      <c r="F59" s="1">
        <v>0.8</v>
      </c>
      <c r="H59" s="1" t="s">
        <v>28</v>
      </c>
      <c r="I59" s="4">
        <v>46206.087233796294</v>
      </c>
      <c r="J59" s="1" t="s">
        <v>54</v>
      </c>
      <c r="K59" s="1">
        <v>65000.0</v>
      </c>
      <c r="L59" s="1">
        <v>250.0</v>
      </c>
      <c r="M59" s="1">
        <v>250.0</v>
      </c>
      <c r="N59" s="5">
        <v>43868.0</v>
      </c>
      <c r="O59" s="1" t="s">
        <v>47</v>
      </c>
      <c r="P59" s="1" t="s">
        <v>36</v>
      </c>
      <c r="Q59" s="1" t="s">
        <v>1164</v>
      </c>
      <c r="S59" s="1" t="s">
        <v>40</v>
      </c>
    </row>
    <row r="60">
      <c r="A60" s="1">
        <v>59.0</v>
      </c>
      <c r="B60" s="1" t="s">
        <v>1166</v>
      </c>
      <c r="C60" s="1" t="s">
        <v>25</v>
      </c>
      <c r="D60" s="1">
        <v>0.0</v>
      </c>
      <c r="E60" s="1">
        <v>80.0</v>
      </c>
      <c r="F60" s="1">
        <v>0.9</v>
      </c>
      <c r="H60" s="1" t="s">
        <v>1166</v>
      </c>
      <c r="I60" s="4">
        <v>46211.08121527778</v>
      </c>
      <c r="J60" s="1" t="s">
        <v>912</v>
      </c>
      <c r="K60" s="1">
        <v>150.0</v>
      </c>
      <c r="L60" s="1">
        <v>60.0</v>
      </c>
      <c r="M60" s="1">
        <v>60.0</v>
      </c>
      <c r="N60" s="5">
        <v>42275.0</v>
      </c>
      <c r="O60" s="1" t="s">
        <v>35</v>
      </c>
      <c r="P60" s="1" t="s">
        <v>36</v>
      </c>
      <c r="Q60" s="1" t="s">
        <v>1171</v>
      </c>
      <c r="S60" s="1" t="s">
        <v>40</v>
      </c>
    </row>
    <row r="61">
      <c r="A61" s="1">
        <v>60.0</v>
      </c>
      <c r="B61" s="1" t="s">
        <v>1172</v>
      </c>
      <c r="C61" s="1" t="s">
        <v>25</v>
      </c>
      <c r="D61" s="1">
        <v>3.0</v>
      </c>
      <c r="E61" s="1">
        <v>70.0</v>
      </c>
      <c r="F61" s="1">
        <v>0.7</v>
      </c>
      <c r="H61" s="1" t="s">
        <v>1174</v>
      </c>
      <c r="I61" s="4">
        <v>46218.64135416667</v>
      </c>
      <c r="J61" s="1" t="s">
        <v>45</v>
      </c>
      <c r="K61" s="1">
        <v>110000.0</v>
      </c>
      <c r="L61" s="1">
        <v>60.0</v>
      </c>
      <c r="M61" s="1">
        <v>70.0</v>
      </c>
      <c r="N61" s="5">
        <v>43843.0</v>
      </c>
      <c r="O61" s="1" t="s">
        <v>35</v>
      </c>
      <c r="P61" s="1" t="s">
        <v>36</v>
      </c>
      <c r="Q61" s="1" t="s">
        <v>1176</v>
      </c>
      <c r="S61" s="1" t="s">
        <v>40</v>
      </c>
    </row>
    <row r="62">
      <c r="A62" s="1">
        <v>61.0</v>
      </c>
      <c r="B62" s="1" t="s">
        <v>1178</v>
      </c>
      <c r="C62" s="1" t="s">
        <v>25</v>
      </c>
      <c r="D62" s="1">
        <v>15.0</v>
      </c>
      <c r="E62" s="1">
        <v>70.0</v>
      </c>
      <c r="F62" s="1">
        <v>1.4</v>
      </c>
      <c r="G62" s="1">
        <v>1.24</v>
      </c>
      <c r="H62" s="1" t="s">
        <v>807</v>
      </c>
      <c r="I62" s="4">
        <v>46237.18340277778</v>
      </c>
      <c r="J62" s="1" t="s">
        <v>45</v>
      </c>
      <c r="K62" s="1">
        <v>70.0</v>
      </c>
      <c r="L62" s="1">
        <v>150.0</v>
      </c>
      <c r="M62" s="1">
        <v>150.0</v>
      </c>
      <c r="N62" s="5">
        <v>42254.0</v>
      </c>
      <c r="O62" s="1" t="s">
        <v>35</v>
      </c>
      <c r="P62" s="1" t="s">
        <v>36</v>
      </c>
      <c r="Q62" s="1" t="s">
        <v>1183</v>
      </c>
      <c r="R62" s="1" t="s">
        <v>1184</v>
      </c>
      <c r="S62" s="1" t="s">
        <v>759</v>
      </c>
    </row>
    <row r="63">
      <c r="A63" s="1">
        <v>62.0</v>
      </c>
      <c r="B63" s="1" t="s">
        <v>1115</v>
      </c>
      <c r="C63" s="1" t="s">
        <v>25</v>
      </c>
      <c r="D63" s="1">
        <v>0.0</v>
      </c>
      <c r="E63" s="1">
        <v>70.0</v>
      </c>
      <c r="F63" s="1">
        <v>0.9</v>
      </c>
      <c r="G63" s="1">
        <v>0.83</v>
      </c>
      <c r="H63" s="1" t="s">
        <v>833</v>
      </c>
      <c r="I63" s="4">
        <v>46221.624386574076</v>
      </c>
      <c r="J63" s="1" t="s">
        <v>1189</v>
      </c>
      <c r="K63" s="1">
        <v>100.0</v>
      </c>
      <c r="L63" s="1">
        <v>100.0</v>
      </c>
      <c r="M63" s="1">
        <v>100.0</v>
      </c>
      <c r="N63" s="5">
        <v>42255.0</v>
      </c>
      <c r="O63" s="1" t="s">
        <v>1191</v>
      </c>
      <c r="P63" s="1" t="s">
        <v>36</v>
      </c>
      <c r="Q63" s="1" t="s">
        <v>1193</v>
      </c>
      <c r="R63" s="1" t="s">
        <v>1194</v>
      </c>
      <c r="S63" s="1" t="s">
        <v>40</v>
      </c>
    </row>
    <row r="64">
      <c r="A64" s="1">
        <v>63.0</v>
      </c>
      <c r="B64" s="1" t="s">
        <v>1196</v>
      </c>
      <c r="C64" s="1" t="s">
        <v>25</v>
      </c>
      <c r="D64" s="1">
        <v>0.0</v>
      </c>
      <c r="E64" s="1">
        <v>70.0</v>
      </c>
      <c r="F64" s="1">
        <v>0.25</v>
      </c>
      <c r="H64" s="1" t="s">
        <v>761</v>
      </c>
      <c r="I64" s="4">
        <v>46217.40225694444</v>
      </c>
      <c r="J64" s="1" t="s">
        <v>877</v>
      </c>
      <c r="K64" s="1">
        <v>100.0</v>
      </c>
      <c r="L64" s="1">
        <v>2000.0</v>
      </c>
      <c r="M64" s="1">
        <v>5800.0</v>
      </c>
      <c r="N64" s="5">
        <v>43870.0</v>
      </c>
      <c r="O64" s="1" t="s">
        <v>976</v>
      </c>
      <c r="P64" s="1" t="s">
        <v>36</v>
      </c>
      <c r="Q64" s="1" t="s">
        <v>1202</v>
      </c>
      <c r="S64" s="1" t="s">
        <v>40</v>
      </c>
    </row>
    <row r="65">
      <c r="A65" s="1">
        <v>64.0</v>
      </c>
      <c r="B65" s="1" t="s">
        <v>1203</v>
      </c>
      <c r="C65" s="1" t="s">
        <v>25</v>
      </c>
      <c r="D65" s="1">
        <v>2.0</v>
      </c>
      <c r="E65" s="1">
        <v>70.0</v>
      </c>
      <c r="F65" s="1">
        <v>0.6</v>
      </c>
      <c r="H65" s="1" t="s">
        <v>749</v>
      </c>
      <c r="I65" s="4">
        <v>46226.92049768518</v>
      </c>
      <c r="J65" s="1" t="s">
        <v>45</v>
      </c>
      <c r="K65" s="1">
        <v>80.0</v>
      </c>
      <c r="L65" s="1">
        <v>30.0</v>
      </c>
      <c r="M65" s="1">
        <v>30.0</v>
      </c>
      <c r="N65" s="5">
        <v>44196.0</v>
      </c>
      <c r="O65" s="1" t="s">
        <v>35</v>
      </c>
      <c r="P65" s="1" t="s">
        <v>36</v>
      </c>
      <c r="Q65" s="1" t="s">
        <v>1206</v>
      </c>
      <c r="S65" s="1" t="s">
        <v>40</v>
      </c>
    </row>
    <row r="66">
      <c r="A66" s="1">
        <v>65.0</v>
      </c>
      <c r="B66" s="1" t="s">
        <v>1208</v>
      </c>
      <c r="C66" s="1" t="s">
        <v>25</v>
      </c>
      <c r="D66" s="1">
        <v>0.0</v>
      </c>
      <c r="E66" s="1">
        <v>70.0</v>
      </c>
      <c r="F66" s="1">
        <v>1.0</v>
      </c>
      <c r="G66" s="1">
        <v>0.63</v>
      </c>
      <c r="H66" s="1" t="s">
        <v>1210</v>
      </c>
      <c r="I66" s="4">
        <v>46205.948217592595</v>
      </c>
      <c r="J66" s="1" t="s">
        <v>1068</v>
      </c>
      <c r="K66" s="1">
        <v>80.0</v>
      </c>
      <c r="L66" s="1">
        <v>50.0</v>
      </c>
      <c r="M66" s="1">
        <v>50.0</v>
      </c>
      <c r="N66" s="5">
        <v>42250.0</v>
      </c>
      <c r="O66" s="1" t="s">
        <v>35</v>
      </c>
      <c r="P66" s="1" t="s">
        <v>36</v>
      </c>
      <c r="Q66" s="1" t="s">
        <v>1213</v>
      </c>
      <c r="S66" s="1" t="s">
        <v>759</v>
      </c>
    </row>
    <row r="67">
      <c r="A67" s="1">
        <v>66.0</v>
      </c>
      <c r="B67" s="1" t="s">
        <v>16</v>
      </c>
      <c r="C67" s="1" t="s">
        <v>25</v>
      </c>
      <c r="D67" s="1">
        <v>0.0</v>
      </c>
      <c r="E67" s="1">
        <v>70.0</v>
      </c>
      <c r="F67" s="1">
        <v>1.4</v>
      </c>
      <c r="G67" s="1">
        <v>0.63</v>
      </c>
      <c r="H67" s="1" t="s">
        <v>28</v>
      </c>
      <c r="I67" s="4">
        <v>46206.756574074076</v>
      </c>
      <c r="J67" s="1" t="s">
        <v>45</v>
      </c>
      <c r="K67" s="1">
        <v>14000.0</v>
      </c>
      <c r="L67" s="1">
        <v>250.0</v>
      </c>
      <c r="M67" s="1">
        <v>250.0</v>
      </c>
      <c r="N67" s="5">
        <v>42289.0</v>
      </c>
      <c r="O67" s="1" t="s">
        <v>35</v>
      </c>
      <c r="P67" s="1" t="s">
        <v>36</v>
      </c>
      <c r="Q67" s="1" t="s">
        <v>94</v>
      </c>
      <c r="R67" s="1" t="s">
        <v>95</v>
      </c>
      <c r="S67" s="1" t="s">
        <v>40</v>
      </c>
    </row>
    <row r="68">
      <c r="A68" s="1">
        <v>67.0</v>
      </c>
      <c r="B68" s="1" t="s">
        <v>1217</v>
      </c>
      <c r="C68" s="1" t="s">
        <v>25</v>
      </c>
      <c r="D68" s="1">
        <v>1.0</v>
      </c>
      <c r="E68" s="1">
        <v>70.0</v>
      </c>
      <c r="F68" s="1">
        <v>0.6</v>
      </c>
      <c r="H68" s="1" t="s">
        <v>1220</v>
      </c>
      <c r="I68" s="4">
        <v>46225.42101851852</v>
      </c>
      <c r="J68" s="1" t="s">
        <v>1221</v>
      </c>
      <c r="K68" s="1">
        <v>1200.0</v>
      </c>
      <c r="L68" s="1">
        <v>20.0</v>
      </c>
      <c r="M68" s="1">
        <v>20.0</v>
      </c>
      <c r="N68" s="5">
        <v>42604.0</v>
      </c>
      <c r="O68" s="1" t="s">
        <v>35</v>
      </c>
      <c r="P68" s="1" t="s">
        <v>36</v>
      </c>
      <c r="Q68" s="1" t="s">
        <v>1223</v>
      </c>
      <c r="S68" s="1" t="s">
        <v>40</v>
      </c>
    </row>
    <row r="69">
      <c r="A69" s="1">
        <v>68.0</v>
      </c>
      <c r="B69" s="1" t="s">
        <v>1224</v>
      </c>
      <c r="C69" s="1" t="s">
        <v>25</v>
      </c>
      <c r="D69" s="1">
        <v>3.0</v>
      </c>
      <c r="E69" s="1">
        <v>70.0</v>
      </c>
      <c r="F69" s="1">
        <v>1.1</v>
      </c>
      <c r="H69" s="1" t="s">
        <v>1224</v>
      </c>
      <c r="I69" s="4">
        <v>46220.69978009259</v>
      </c>
      <c r="J69" s="1" t="s">
        <v>1228</v>
      </c>
      <c r="K69" s="1">
        <v>100.0</v>
      </c>
      <c r="L69" s="1">
        <v>30.0</v>
      </c>
      <c r="M69" s="1">
        <v>30.0</v>
      </c>
      <c r="N69" s="5">
        <v>43780.0</v>
      </c>
      <c r="O69" s="1" t="s">
        <v>976</v>
      </c>
      <c r="P69" s="1" t="s">
        <v>36</v>
      </c>
      <c r="Q69" s="1" t="s">
        <v>1231</v>
      </c>
      <c r="S69" s="1" t="s">
        <v>40</v>
      </c>
    </row>
    <row r="70">
      <c r="A70" s="1">
        <v>69.0</v>
      </c>
      <c r="B70" s="1" t="s">
        <v>1232</v>
      </c>
      <c r="C70" s="1" t="s">
        <v>25</v>
      </c>
      <c r="D70" s="1">
        <v>0.0</v>
      </c>
      <c r="E70" s="1">
        <v>60.0</v>
      </c>
      <c r="F70" s="1">
        <v>0.7</v>
      </c>
      <c r="H70" s="1" t="s">
        <v>749</v>
      </c>
      <c r="I70" s="4">
        <v>46201.67166666667</v>
      </c>
      <c r="J70" s="1" t="s">
        <v>45</v>
      </c>
      <c r="K70" s="1">
        <v>2000.0</v>
      </c>
      <c r="L70" s="1">
        <v>1400.0</v>
      </c>
      <c r="M70" s="1">
        <v>1500.0</v>
      </c>
      <c r="N70" s="5">
        <v>43851.0</v>
      </c>
      <c r="O70" s="1" t="s">
        <v>47</v>
      </c>
      <c r="P70" s="1" t="s">
        <v>36</v>
      </c>
      <c r="Q70" s="1" t="s">
        <v>1236</v>
      </c>
      <c r="S70" s="1" t="s">
        <v>759</v>
      </c>
    </row>
    <row r="71">
      <c r="A71" s="1">
        <v>70.0</v>
      </c>
      <c r="B71" s="1" t="s">
        <v>1238</v>
      </c>
      <c r="C71" s="1" t="s">
        <v>25</v>
      </c>
      <c r="D71" s="1">
        <v>1.0</v>
      </c>
      <c r="E71" s="1">
        <v>60.0</v>
      </c>
      <c r="F71" s="1">
        <v>0.9</v>
      </c>
      <c r="H71" s="1" t="s">
        <v>1240</v>
      </c>
      <c r="I71" s="4">
        <v>46207.2362037037</v>
      </c>
      <c r="J71" s="1" t="s">
        <v>45</v>
      </c>
      <c r="K71" s="1">
        <v>70.0</v>
      </c>
      <c r="L71" s="1">
        <v>200.0</v>
      </c>
      <c r="M71" s="1">
        <v>200.0</v>
      </c>
      <c r="N71" s="5">
        <v>42270.0</v>
      </c>
      <c r="O71" s="1" t="s">
        <v>35</v>
      </c>
      <c r="P71" s="1" t="s">
        <v>36</v>
      </c>
      <c r="Q71" s="1" t="s">
        <v>1243</v>
      </c>
      <c r="S71" s="1" t="s">
        <v>759</v>
      </c>
    </row>
    <row r="72">
      <c r="A72" s="1">
        <v>71.0</v>
      </c>
      <c r="B72" s="1" t="s">
        <v>1244</v>
      </c>
      <c r="C72" s="1" t="s">
        <v>25</v>
      </c>
      <c r="D72" s="1">
        <v>0.0</v>
      </c>
      <c r="E72" s="1">
        <v>60.0</v>
      </c>
      <c r="F72" s="1">
        <v>0.8</v>
      </c>
      <c r="H72" s="1" t="s">
        <v>1247</v>
      </c>
      <c r="I72" s="4">
        <v>46207.187256944446</v>
      </c>
      <c r="J72" s="1" t="s">
        <v>1249</v>
      </c>
      <c r="K72" s="1">
        <v>50000.0</v>
      </c>
      <c r="L72" s="1">
        <v>10.0</v>
      </c>
      <c r="M72" s="1">
        <v>10.0</v>
      </c>
      <c r="N72" s="5">
        <v>42248.0</v>
      </c>
      <c r="O72" s="1" t="s">
        <v>35</v>
      </c>
      <c r="P72" s="1" t="s">
        <v>36</v>
      </c>
      <c r="Q72" s="1" t="s">
        <v>1252</v>
      </c>
      <c r="S72" s="1" t="s">
        <v>40</v>
      </c>
    </row>
    <row r="73">
      <c r="A73" s="1">
        <v>72.0</v>
      </c>
      <c r="B73" s="1" t="s">
        <v>1253</v>
      </c>
      <c r="C73" s="1" t="s">
        <v>25</v>
      </c>
      <c r="D73" s="1">
        <v>0.0</v>
      </c>
      <c r="E73" s="1">
        <v>60.0</v>
      </c>
      <c r="F73" s="1">
        <v>0.8</v>
      </c>
      <c r="H73" s="1" t="s">
        <v>1255</v>
      </c>
      <c r="I73" s="4">
        <v>46237.215625</v>
      </c>
      <c r="J73" s="1" t="s">
        <v>1249</v>
      </c>
      <c r="K73" s="1">
        <v>17000.0</v>
      </c>
      <c r="L73" s="1">
        <v>20.0</v>
      </c>
      <c r="M73" s="1">
        <v>30.0</v>
      </c>
      <c r="N73" s="5">
        <v>43841.0</v>
      </c>
      <c r="O73" s="1" t="s">
        <v>35</v>
      </c>
      <c r="P73" s="1" t="s">
        <v>36</v>
      </c>
      <c r="Q73" s="1" t="s">
        <v>1259</v>
      </c>
      <c r="S73" s="1" t="s">
        <v>759</v>
      </c>
    </row>
    <row r="74">
      <c r="A74" s="1">
        <v>73.0</v>
      </c>
      <c r="B74" s="1" t="s">
        <v>1262</v>
      </c>
      <c r="C74" s="1" t="s">
        <v>25</v>
      </c>
      <c r="D74" s="1">
        <v>37.0</v>
      </c>
      <c r="E74" s="1">
        <v>60.0</v>
      </c>
      <c r="F74" s="1">
        <v>1.0</v>
      </c>
      <c r="H74" s="1" t="s">
        <v>749</v>
      </c>
      <c r="I74" s="4">
        <v>46221.41753472222</v>
      </c>
      <c r="J74" s="1" t="s">
        <v>45</v>
      </c>
      <c r="K74" s="1">
        <v>60.0</v>
      </c>
      <c r="L74" s="1">
        <v>150.0</v>
      </c>
      <c r="M74" s="1">
        <v>150.0</v>
      </c>
      <c r="N74" s="5">
        <v>42360.0</v>
      </c>
      <c r="O74" s="1" t="s">
        <v>778</v>
      </c>
      <c r="P74" s="1" t="s">
        <v>36</v>
      </c>
      <c r="Q74" s="1" t="s">
        <v>1266</v>
      </c>
      <c r="S74" s="1" t="s">
        <v>40</v>
      </c>
    </row>
    <row r="75">
      <c r="A75" s="1">
        <v>74.0</v>
      </c>
      <c r="B75" s="1" t="s">
        <v>1267</v>
      </c>
      <c r="C75" s="1" t="s">
        <v>25</v>
      </c>
      <c r="D75" s="1">
        <v>13.0</v>
      </c>
      <c r="E75" s="1">
        <v>60.0</v>
      </c>
      <c r="F75" s="1">
        <v>0.6</v>
      </c>
      <c r="H75" s="1" t="s">
        <v>1269</v>
      </c>
      <c r="I75" s="4">
        <v>46219.688784722224</v>
      </c>
      <c r="J75" s="1" t="s">
        <v>54</v>
      </c>
      <c r="K75" s="1">
        <v>6400.0</v>
      </c>
      <c r="L75" s="1">
        <v>50.0</v>
      </c>
      <c r="M75" s="1">
        <v>50.0</v>
      </c>
      <c r="N75" s="5">
        <v>42291.0</v>
      </c>
      <c r="O75" s="1" t="s">
        <v>955</v>
      </c>
      <c r="P75" s="1" t="s">
        <v>36</v>
      </c>
      <c r="Q75" s="1" t="s">
        <v>1273</v>
      </c>
      <c r="S75" s="1" t="s">
        <v>40</v>
      </c>
    </row>
    <row r="76">
      <c r="A76" s="1">
        <v>75.0</v>
      </c>
      <c r="B76" s="1" t="s">
        <v>1274</v>
      </c>
      <c r="C76" s="1" t="s">
        <v>25</v>
      </c>
      <c r="D76" s="1">
        <v>2.0</v>
      </c>
      <c r="E76" s="1">
        <v>60.0</v>
      </c>
      <c r="F76" s="1">
        <v>0.25</v>
      </c>
      <c r="H76" s="1" t="s">
        <v>761</v>
      </c>
      <c r="I76" s="4">
        <v>46222.76814814815</v>
      </c>
      <c r="J76" s="1" t="s">
        <v>1277</v>
      </c>
      <c r="K76" s="1">
        <v>1000.0</v>
      </c>
      <c r="L76" s="1">
        <v>2000.0</v>
      </c>
      <c r="M76" s="1">
        <v>6900.0</v>
      </c>
      <c r="N76" s="5">
        <v>42526.0</v>
      </c>
      <c r="O76" s="1" t="s">
        <v>976</v>
      </c>
      <c r="P76" s="1" t="s">
        <v>36</v>
      </c>
      <c r="Q76" s="1" t="s">
        <v>1280</v>
      </c>
      <c r="S76" s="1" t="s">
        <v>1041</v>
      </c>
    </row>
    <row r="77">
      <c r="A77" s="1">
        <v>76.0</v>
      </c>
      <c r="B77" s="1" t="s">
        <v>1283</v>
      </c>
      <c r="C77" s="1" t="s">
        <v>25</v>
      </c>
      <c r="D77" s="1">
        <v>1.0</v>
      </c>
      <c r="E77" s="1">
        <v>60.0</v>
      </c>
      <c r="F77" s="1">
        <v>0.15</v>
      </c>
      <c r="G77" s="1">
        <v>0.42</v>
      </c>
      <c r="H77" s="1" t="s">
        <v>1285</v>
      </c>
      <c r="I77" s="4">
        <v>46229.33107638889</v>
      </c>
      <c r="J77" s="1" t="s">
        <v>1228</v>
      </c>
      <c r="K77" s="1">
        <v>3700.0</v>
      </c>
      <c r="L77" s="1">
        <v>10.0</v>
      </c>
      <c r="M77" s="1">
        <v>10.0</v>
      </c>
      <c r="N77" s="5">
        <v>42251.0</v>
      </c>
      <c r="O77" s="1" t="s">
        <v>976</v>
      </c>
      <c r="P77" s="1" t="s">
        <v>36</v>
      </c>
      <c r="Q77" s="1" t="s">
        <v>1289</v>
      </c>
      <c r="S77" s="1" t="s">
        <v>1041</v>
      </c>
    </row>
    <row r="78">
      <c r="A78" s="1">
        <v>77.0</v>
      </c>
      <c r="B78" s="1" t="s">
        <v>1290</v>
      </c>
      <c r="C78" s="1" t="s">
        <v>25</v>
      </c>
      <c r="D78" s="1">
        <v>2.0</v>
      </c>
      <c r="E78" s="1">
        <v>60.0</v>
      </c>
      <c r="F78" s="1">
        <v>0.5</v>
      </c>
      <c r="H78" s="1" t="s">
        <v>761</v>
      </c>
      <c r="I78" s="4">
        <v>46219.61137731482</v>
      </c>
      <c r="J78" s="1" t="s">
        <v>1293</v>
      </c>
      <c r="K78" s="1">
        <v>900.0</v>
      </c>
      <c r="L78" s="1">
        <v>2000.0</v>
      </c>
      <c r="M78" s="1">
        <v>6900.0</v>
      </c>
      <c r="N78" s="5">
        <v>42287.0</v>
      </c>
      <c r="O78" s="1" t="s">
        <v>35</v>
      </c>
      <c r="P78" s="1" t="s">
        <v>36</v>
      </c>
      <c r="Q78" s="1" t="s">
        <v>1296</v>
      </c>
      <c r="S78" s="1" t="s">
        <v>872</v>
      </c>
    </row>
    <row r="79">
      <c r="A79" s="1">
        <v>78.0</v>
      </c>
      <c r="B79" s="1" t="s">
        <v>1298</v>
      </c>
      <c r="C79" s="1" t="s">
        <v>25</v>
      </c>
      <c r="D79" s="1">
        <v>14.0</v>
      </c>
      <c r="E79" s="1">
        <v>60.0</v>
      </c>
      <c r="F79" s="1">
        <v>0.5</v>
      </c>
      <c r="H79" s="1" t="s">
        <v>1298</v>
      </c>
      <c r="I79" s="4">
        <v>46229.06972222222</v>
      </c>
      <c r="J79" s="1" t="s">
        <v>1300</v>
      </c>
      <c r="K79" s="1">
        <v>600.0</v>
      </c>
      <c r="L79" s="1">
        <v>0.0</v>
      </c>
      <c r="M79" s="1">
        <v>100.0</v>
      </c>
      <c r="N79" s="5">
        <v>42432.0</v>
      </c>
      <c r="O79" s="1" t="s">
        <v>976</v>
      </c>
      <c r="P79" s="1" t="s">
        <v>36</v>
      </c>
      <c r="Q79" s="1" t="s">
        <v>1303</v>
      </c>
      <c r="S79" s="1" t="s">
        <v>40</v>
      </c>
    </row>
    <row r="80">
      <c r="A80" s="1">
        <v>79.0</v>
      </c>
      <c r="B80" s="1" t="s">
        <v>1305</v>
      </c>
      <c r="C80" s="1" t="s">
        <v>25</v>
      </c>
      <c r="D80" s="1">
        <v>0.0</v>
      </c>
      <c r="E80" s="1">
        <v>60.0</v>
      </c>
      <c r="F80" s="1">
        <v>0.6</v>
      </c>
      <c r="H80" s="1" t="s">
        <v>791</v>
      </c>
      <c r="I80" s="4">
        <v>46204.76923611111</v>
      </c>
      <c r="J80" s="1" t="s">
        <v>45</v>
      </c>
      <c r="K80" s="1">
        <v>500.0</v>
      </c>
      <c r="L80" s="1">
        <v>150.0</v>
      </c>
      <c r="M80" s="1">
        <v>200.0</v>
      </c>
      <c r="N80" s="5">
        <v>43844.0</v>
      </c>
      <c r="O80" s="1" t="s">
        <v>35</v>
      </c>
      <c r="P80" s="1" t="s">
        <v>36</v>
      </c>
      <c r="Q80" s="1" t="s">
        <v>1310</v>
      </c>
      <c r="S80" s="1" t="s">
        <v>759</v>
      </c>
    </row>
    <row r="81">
      <c r="A81" s="1">
        <v>80.0</v>
      </c>
      <c r="B81" s="1" t="s">
        <v>1311</v>
      </c>
      <c r="C81" s="1" t="s">
        <v>25</v>
      </c>
      <c r="D81" s="1">
        <v>17.0</v>
      </c>
      <c r="E81" s="1">
        <v>50.0</v>
      </c>
      <c r="F81" s="1">
        <v>0.7</v>
      </c>
      <c r="H81" s="1" t="s">
        <v>791</v>
      </c>
      <c r="I81" s="4">
        <v>46236.09081018518</v>
      </c>
      <c r="J81" s="1" t="s">
        <v>45</v>
      </c>
      <c r="K81" s="1">
        <v>16000.0</v>
      </c>
      <c r="L81" s="1">
        <v>150.0</v>
      </c>
      <c r="M81" s="1">
        <v>200.0</v>
      </c>
      <c r="N81" s="5">
        <v>42763.0</v>
      </c>
      <c r="O81" s="1" t="s">
        <v>35</v>
      </c>
      <c r="P81" s="1" t="s">
        <v>36</v>
      </c>
      <c r="Q81" s="1" t="s">
        <v>1315</v>
      </c>
      <c r="S81" s="1" t="s">
        <v>759</v>
      </c>
    </row>
    <row r="82">
      <c r="A82" s="1">
        <v>81.0</v>
      </c>
      <c r="B82" s="1" t="s">
        <v>1318</v>
      </c>
      <c r="C82" s="1" t="s">
        <v>25</v>
      </c>
      <c r="D82" s="1">
        <v>0.0</v>
      </c>
      <c r="E82" s="1">
        <v>50.0</v>
      </c>
      <c r="F82" s="1">
        <v>0.5</v>
      </c>
      <c r="G82" s="1">
        <v>0.66</v>
      </c>
      <c r="H82" s="1" t="s">
        <v>1318</v>
      </c>
      <c r="I82" s="4">
        <v>46212.192083333335</v>
      </c>
      <c r="J82" s="1" t="s">
        <v>1046</v>
      </c>
      <c r="K82" s="1">
        <v>50.0</v>
      </c>
      <c r="L82" s="1">
        <v>20.0</v>
      </c>
      <c r="M82" s="1">
        <v>20.0</v>
      </c>
      <c r="N82" s="5">
        <v>42249.0</v>
      </c>
      <c r="O82" s="1" t="s">
        <v>1321</v>
      </c>
      <c r="P82" s="1" t="s">
        <v>36</v>
      </c>
      <c r="Q82" s="1" t="s">
        <v>1323</v>
      </c>
      <c r="S82" s="1" t="s">
        <v>40</v>
      </c>
    </row>
    <row r="83">
      <c r="A83" s="1">
        <v>82.0</v>
      </c>
      <c r="B83" s="1" t="s">
        <v>1324</v>
      </c>
      <c r="C83" s="1" t="s">
        <v>25</v>
      </c>
      <c r="D83" s="1">
        <v>0.0</v>
      </c>
      <c r="E83" s="1">
        <v>50.0</v>
      </c>
      <c r="H83" s="1" t="s">
        <v>933</v>
      </c>
      <c r="I83" s="4">
        <v>46206.34715277778</v>
      </c>
      <c r="J83" s="1" t="s">
        <v>45</v>
      </c>
      <c r="K83" s="1">
        <v>350.0</v>
      </c>
      <c r="L83" s="1">
        <v>100.0</v>
      </c>
      <c r="M83" s="1">
        <v>100.0</v>
      </c>
      <c r="N83" s="5">
        <v>42251.0</v>
      </c>
      <c r="O83" s="1" t="s">
        <v>35</v>
      </c>
      <c r="P83" s="1" t="s">
        <v>36</v>
      </c>
      <c r="Q83" s="1" t="s">
        <v>1328</v>
      </c>
      <c r="S83" s="1" t="s">
        <v>40</v>
      </c>
    </row>
    <row r="84">
      <c r="A84" s="1">
        <v>83.0</v>
      </c>
      <c r="B84" s="1" t="s">
        <v>1331</v>
      </c>
      <c r="C84" s="1" t="s">
        <v>25</v>
      </c>
      <c r="D84" s="1">
        <v>0.0</v>
      </c>
      <c r="E84" s="1">
        <v>50.0</v>
      </c>
      <c r="F84" s="1">
        <v>0.7</v>
      </c>
      <c r="H84" s="1" t="s">
        <v>749</v>
      </c>
      <c r="I84" s="4">
        <v>46209.73136574074</v>
      </c>
      <c r="J84" s="1" t="s">
        <v>1333</v>
      </c>
      <c r="K84" s="1">
        <v>5200.0</v>
      </c>
      <c r="L84" s="1">
        <v>1400.0</v>
      </c>
      <c r="M84" s="1">
        <v>1500.0</v>
      </c>
      <c r="N84" s="5">
        <v>43125.0</v>
      </c>
      <c r="O84" s="1" t="s">
        <v>35</v>
      </c>
      <c r="P84" s="1" t="s">
        <v>36</v>
      </c>
      <c r="Q84" s="1" t="s">
        <v>1335</v>
      </c>
      <c r="R84" s="1" t="s">
        <v>1336</v>
      </c>
      <c r="S84" s="1" t="s">
        <v>759</v>
      </c>
    </row>
    <row r="85">
      <c r="A85" s="1">
        <v>84.0</v>
      </c>
      <c r="B85" s="1" t="s">
        <v>1338</v>
      </c>
      <c r="C85" s="1" t="s">
        <v>25</v>
      </c>
      <c r="D85" s="1">
        <v>0.0</v>
      </c>
      <c r="E85" s="1">
        <v>50.0</v>
      </c>
      <c r="H85" s="1" t="s">
        <v>1339</v>
      </c>
      <c r="I85" s="4">
        <v>46233.52716435185</v>
      </c>
      <c r="J85" s="1" t="s">
        <v>1341</v>
      </c>
      <c r="K85" s="1">
        <v>1100.0</v>
      </c>
      <c r="L85" s="1">
        <v>450.0</v>
      </c>
      <c r="M85" s="1">
        <v>450.0</v>
      </c>
      <c r="N85" s="5">
        <v>42476.0</v>
      </c>
      <c r="O85" s="1" t="s">
        <v>126</v>
      </c>
      <c r="P85" s="1" t="s">
        <v>36</v>
      </c>
      <c r="Q85" s="1" t="s">
        <v>1344</v>
      </c>
      <c r="S85" s="1" t="s">
        <v>1345</v>
      </c>
    </row>
    <row r="86">
      <c r="A86" s="1">
        <v>85.0</v>
      </c>
      <c r="B86" s="1" t="s">
        <v>1346</v>
      </c>
      <c r="C86" s="1" t="s">
        <v>25</v>
      </c>
      <c r="D86" s="1">
        <v>0.0</v>
      </c>
      <c r="E86" s="1">
        <v>50.0</v>
      </c>
      <c r="F86" s="1">
        <v>0.5</v>
      </c>
      <c r="H86" s="1" t="s">
        <v>53</v>
      </c>
      <c r="I86" s="4">
        <v>46228.16259259259</v>
      </c>
      <c r="J86" s="1" t="s">
        <v>45</v>
      </c>
      <c r="K86" s="1">
        <v>3200.0</v>
      </c>
      <c r="L86" s="1">
        <v>600.0</v>
      </c>
      <c r="M86" s="1">
        <v>700.0</v>
      </c>
      <c r="N86" s="5">
        <v>42675.0</v>
      </c>
      <c r="O86" s="1" t="s">
        <v>35</v>
      </c>
      <c r="P86" s="1" t="s">
        <v>36</v>
      </c>
      <c r="Q86" s="1" t="s">
        <v>1350</v>
      </c>
      <c r="S86" s="1" t="s">
        <v>40</v>
      </c>
    </row>
    <row r="87">
      <c r="A87" s="1">
        <v>86.0</v>
      </c>
      <c r="B87" s="1" t="s">
        <v>1351</v>
      </c>
      <c r="C87" s="1" t="s">
        <v>25</v>
      </c>
      <c r="D87" s="1">
        <v>0.0</v>
      </c>
      <c r="E87" s="1">
        <v>40.0</v>
      </c>
      <c r="F87" s="1">
        <v>0.5</v>
      </c>
      <c r="H87" s="1" t="s">
        <v>874</v>
      </c>
      <c r="I87" s="4">
        <v>46206.52777777778</v>
      </c>
      <c r="J87" s="1" t="s">
        <v>1068</v>
      </c>
      <c r="K87" s="1">
        <v>350.0</v>
      </c>
      <c r="L87" s="1">
        <v>40.0</v>
      </c>
      <c r="M87" s="1">
        <v>40.0</v>
      </c>
      <c r="N87" s="5">
        <v>42591.0</v>
      </c>
      <c r="O87" s="1" t="s">
        <v>976</v>
      </c>
      <c r="P87" s="1" t="s">
        <v>36</v>
      </c>
      <c r="Q87" s="1" t="s">
        <v>1354</v>
      </c>
      <c r="S87" s="1" t="s">
        <v>40</v>
      </c>
    </row>
    <row r="88">
      <c r="A88" s="1">
        <v>87.0</v>
      </c>
      <c r="B88" s="1" t="s">
        <v>1356</v>
      </c>
      <c r="C88" s="1" t="s">
        <v>25</v>
      </c>
      <c r="D88" s="1">
        <v>16.0</v>
      </c>
      <c r="E88" s="1">
        <v>40.0</v>
      </c>
      <c r="F88" s="1">
        <v>0.6</v>
      </c>
      <c r="G88" s="1">
        <v>1.0</v>
      </c>
      <c r="H88" s="1" t="s">
        <v>1358</v>
      </c>
      <c r="I88" s="4">
        <v>46229.9765625</v>
      </c>
      <c r="J88" s="1" t="s">
        <v>45</v>
      </c>
      <c r="K88" s="1">
        <v>40.0</v>
      </c>
      <c r="L88" s="1">
        <v>40.0</v>
      </c>
      <c r="M88" s="1">
        <v>40.0</v>
      </c>
      <c r="N88" s="5">
        <v>42257.0</v>
      </c>
      <c r="O88" s="1" t="s">
        <v>35</v>
      </c>
      <c r="P88" s="1" t="s">
        <v>36</v>
      </c>
      <c r="Q88" s="1" t="s">
        <v>1361</v>
      </c>
      <c r="R88" s="1" t="s">
        <v>1363</v>
      </c>
      <c r="S88" s="1" t="s">
        <v>759</v>
      </c>
    </row>
    <row r="89">
      <c r="A89" s="1">
        <v>88.0</v>
      </c>
      <c r="B89" s="1" t="s">
        <v>1247</v>
      </c>
      <c r="C89" s="1" t="s">
        <v>25</v>
      </c>
      <c r="D89" s="1">
        <v>0.0</v>
      </c>
      <c r="E89" s="1">
        <v>40.0</v>
      </c>
      <c r="F89" s="1">
        <v>0.8</v>
      </c>
      <c r="H89" s="1" t="s">
        <v>10</v>
      </c>
      <c r="I89" s="4">
        <v>46225.394282407404</v>
      </c>
      <c r="J89" s="1" t="s">
        <v>31</v>
      </c>
      <c r="K89" s="1">
        <v>4900.0</v>
      </c>
      <c r="L89" s="1">
        <v>30.0</v>
      </c>
      <c r="M89" s="1">
        <v>30.0</v>
      </c>
      <c r="N89" s="5">
        <v>42305.0</v>
      </c>
      <c r="O89" s="1" t="s">
        <v>35</v>
      </c>
      <c r="P89" s="1" t="s">
        <v>36</v>
      </c>
      <c r="Q89" s="1" t="s">
        <v>1369</v>
      </c>
      <c r="S89" s="1" t="s">
        <v>40</v>
      </c>
    </row>
    <row r="90">
      <c r="A90" s="1">
        <v>89.0</v>
      </c>
      <c r="B90" s="1" t="s">
        <v>1370</v>
      </c>
      <c r="C90" s="1" t="s">
        <v>25</v>
      </c>
      <c r="D90" s="1">
        <v>0.0</v>
      </c>
      <c r="E90" s="1">
        <v>40.0</v>
      </c>
      <c r="F90" s="1">
        <v>0.7</v>
      </c>
      <c r="G90" s="1">
        <v>0.58</v>
      </c>
      <c r="H90" s="1" t="s">
        <v>938</v>
      </c>
      <c r="I90" s="4">
        <v>46219.29355324074</v>
      </c>
      <c r="J90" s="1" t="s">
        <v>45</v>
      </c>
      <c r="K90" s="1">
        <v>50.0</v>
      </c>
      <c r="L90" s="1">
        <v>90.0</v>
      </c>
      <c r="M90" s="1">
        <v>90.0</v>
      </c>
      <c r="N90" s="5">
        <v>42272.0</v>
      </c>
      <c r="O90" s="1" t="s">
        <v>47</v>
      </c>
      <c r="P90" s="1" t="s">
        <v>36</v>
      </c>
      <c r="Q90" s="1" t="s">
        <v>1375</v>
      </c>
      <c r="R90" s="1" t="s">
        <v>1377</v>
      </c>
      <c r="S90" s="1" t="s">
        <v>759</v>
      </c>
    </row>
    <row r="91">
      <c r="A91" s="1">
        <v>90.0</v>
      </c>
      <c r="B91" s="1" t="s">
        <v>1378</v>
      </c>
      <c r="C91" s="1" t="s">
        <v>25</v>
      </c>
      <c r="D91" s="1">
        <v>0.0</v>
      </c>
      <c r="E91" s="1">
        <v>40.0</v>
      </c>
      <c r="F91" s="1">
        <v>0.6</v>
      </c>
      <c r="H91" s="1" t="s">
        <v>1378</v>
      </c>
      <c r="I91" s="4">
        <v>46236.714375</v>
      </c>
      <c r="J91" s="1" t="s">
        <v>1189</v>
      </c>
      <c r="K91" s="1">
        <v>400.0</v>
      </c>
      <c r="L91" s="1">
        <v>10.0</v>
      </c>
      <c r="M91" s="1">
        <v>10.0</v>
      </c>
      <c r="N91" s="5">
        <v>43402.0</v>
      </c>
      <c r="O91" s="1" t="s">
        <v>35</v>
      </c>
      <c r="P91" s="1" t="s">
        <v>36</v>
      </c>
      <c r="Q91" s="1" t="s">
        <v>1384</v>
      </c>
      <c r="S91" s="1" t="s">
        <v>759</v>
      </c>
    </row>
    <row r="92">
      <c r="A92" s="1">
        <v>91.0</v>
      </c>
      <c r="B92" s="1" t="s">
        <v>1385</v>
      </c>
      <c r="C92" s="1" t="s">
        <v>25</v>
      </c>
      <c r="D92" s="1">
        <v>0.0</v>
      </c>
      <c r="E92" s="1">
        <v>40.0</v>
      </c>
      <c r="F92" s="1">
        <v>0.45</v>
      </c>
      <c r="H92" s="1" t="s">
        <v>1385</v>
      </c>
      <c r="I92" s="4">
        <v>46218.3025</v>
      </c>
      <c r="J92" s="1" t="s">
        <v>1228</v>
      </c>
      <c r="K92" s="1">
        <v>2300.0</v>
      </c>
      <c r="L92" s="1">
        <v>20.0</v>
      </c>
      <c r="M92" s="1">
        <v>20.0</v>
      </c>
      <c r="N92" s="5">
        <v>42316.0</v>
      </c>
      <c r="O92" s="1" t="s">
        <v>976</v>
      </c>
      <c r="P92" s="1" t="s">
        <v>36</v>
      </c>
      <c r="Q92" s="1" t="s">
        <v>1391</v>
      </c>
      <c r="R92" s="1" t="s">
        <v>1392</v>
      </c>
      <c r="S92" s="1" t="s">
        <v>40</v>
      </c>
    </row>
    <row r="93">
      <c r="A93" s="1">
        <v>92.0</v>
      </c>
      <c r="B93" s="1" t="s">
        <v>1394</v>
      </c>
      <c r="C93" s="1" t="s">
        <v>25</v>
      </c>
      <c r="D93" s="1">
        <v>0.0</v>
      </c>
      <c r="E93" s="1">
        <v>40.0</v>
      </c>
      <c r="F93" s="1">
        <v>1.7</v>
      </c>
      <c r="H93" s="1" t="s">
        <v>28</v>
      </c>
      <c r="I93" s="4">
        <v>46213.609305555554</v>
      </c>
      <c r="J93" s="1" t="s">
        <v>1249</v>
      </c>
      <c r="K93" s="1">
        <v>14000.0</v>
      </c>
      <c r="L93" s="1">
        <v>200.0</v>
      </c>
      <c r="M93" s="1">
        <v>200.0</v>
      </c>
      <c r="N93" s="5">
        <v>42319.0</v>
      </c>
      <c r="O93" s="1" t="s">
        <v>35</v>
      </c>
      <c r="P93" s="1" t="s">
        <v>36</v>
      </c>
      <c r="Q93" s="1" t="s">
        <v>1398</v>
      </c>
      <c r="S93" s="1" t="s">
        <v>40</v>
      </c>
    </row>
    <row r="94">
      <c r="A94" s="1">
        <v>93.0</v>
      </c>
      <c r="B94" s="1" t="s">
        <v>1401</v>
      </c>
      <c r="C94" s="1" t="s">
        <v>25</v>
      </c>
      <c r="D94" s="1">
        <v>0.0</v>
      </c>
      <c r="E94" s="1">
        <v>40.0</v>
      </c>
      <c r="H94" s="1" t="s">
        <v>1402</v>
      </c>
      <c r="I94" s="4">
        <v>46227.33390046296</v>
      </c>
      <c r="J94" s="1" t="s">
        <v>1404</v>
      </c>
      <c r="K94" s="1">
        <v>300.0</v>
      </c>
      <c r="L94" s="1">
        <v>20.0</v>
      </c>
      <c r="M94" s="1">
        <v>20.0</v>
      </c>
      <c r="N94" s="5">
        <v>42936.0</v>
      </c>
      <c r="O94" s="1" t="s">
        <v>1406</v>
      </c>
      <c r="P94" s="1" t="s">
        <v>36</v>
      </c>
      <c r="Q94" s="1" t="s">
        <v>1408</v>
      </c>
      <c r="S94" s="1" t="s">
        <v>40</v>
      </c>
    </row>
    <row r="95">
      <c r="A95" s="1">
        <v>94.0</v>
      </c>
      <c r="B95" s="1" t="s">
        <v>1409</v>
      </c>
      <c r="C95" s="1" t="s">
        <v>25</v>
      </c>
      <c r="D95" s="1">
        <v>0.0</v>
      </c>
      <c r="E95" s="1">
        <v>40.0</v>
      </c>
      <c r="F95" s="1">
        <v>1.2</v>
      </c>
      <c r="G95" s="1">
        <v>0.77</v>
      </c>
      <c r="H95" s="1" t="s">
        <v>1409</v>
      </c>
      <c r="I95" s="4">
        <v>46204.85203703704</v>
      </c>
      <c r="J95" s="1" t="s">
        <v>1412</v>
      </c>
      <c r="K95" s="1">
        <v>300.0</v>
      </c>
      <c r="L95" s="1">
        <v>10.0</v>
      </c>
      <c r="M95" s="1">
        <v>10.0</v>
      </c>
      <c r="N95" s="5">
        <v>42261.0</v>
      </c>
      <c r="O95" s="1" t="s">
        <v>839</v>
      </c>
      <c r="P95" s="1" t="s">
        <v>36</v>
      </c>
      <c r="Q95" s="1" t="s">
        <v>1415</v>
      </c>
      <c r="S95" s="1" t="s">
        <v>40</v>
      </c>
    </row>
    <row r="96">
      <c r="A96" s="1">
        <v>95.0</v>
      </c>
      <c r="B96" s="1" t="s">
        <v>1417</v>
      </c>
      <c r="C96" s="1" t="s">
        <v>25</v>
      </c>
      <c r="D96" s="1">
        <v>24.0</v>
      </c>
      <c r="E96" s="1">
        <v>40.0</v>
      </c>
      <c r="F96" s="1">
        <v>0.6</v>
      </c>
      <c r="H96" s="1" t="s">
        <v>1269</v>
      </c>
      <c r="I96" s="4">
        <v>46227.61729166667</v>
      </c>
      <c r="J96" s="1" t="s">
        <v>45</v>
      </c>
      <c r="K96" s="1">
        <v>15000.0</v>
      </c>
      <c r="L96" s="1">
        <v>40.0</v>
      </c>
      <c r="M96" s="1">
        <v>50.0</v>
      </c>
      <c r="N96" s="5">
        <v>42380.0</v>
      </c>
      <c r="O96" s="1" t="s">
        <v>35</v>
      </c>
      <c r="P96" s="1" t="s">
        <v>36</v>
      </c>
      <c r="Q96" s="1" t="s">
        <v>1421</v>
      </c>
      <c r="S96" s="1" t="s">
        <v>40</v>
      </c>
    </row>
    <row r="97">
      <c r="A97" s="1">
        <v>96.0</v>
      </c>
      <c r="B97" s="1" t="s">
        <v>1423</v>
      </c>
      <c r="C97" s="1" t="s">
        <v>25</v>
      </c>
      <c r="D97" s="1">
        <v>29.0</v>
      </c>
      <c r="E97" s="1">
        <v>30.0</v>
      </c>
      <c r="F97" s="1">
        <v>0.6</v>
      </c>
      <c r="H97" s="1" t="s">
        <v>28</v>
      </c>
      <c r="I97" s="4">
        <v>46212.080729166664</v>
      </c>
      <c r="J97" s="1" t="s">
        <v>45</v>
      </c>
      <c r="K97" s="1">
        <v>30.0</v>
      </c>
      <c r="L97" s="1">
        <v>40.0</v>
      </c>
      <c r="M97" s="1">
        <v>40.0</v>
      </c>
      <c r="N97" s="5">
        <v>42293.0</v>
      </c>
      <c r="O97" s="1" t="s">
        <v>35</v>
      </c>
      <c r="P97" s="1" t="s">
        <v>36</v>
      </c>
      <c r="Q97" s="1" t="s">
        <v>1428</v>
      </c>
      <c r="S97" s="1" t="s">
        <v>759</v>
      </c>
    </row>
    <row r="98">
      <c r="A98" s="1">
        <v>97.0</v>
      </c>
      <c r="B98" s="1" t="s">
        <v>1429</v>
      </c>
      <c r="C98" s="1" t="s">
        <v>25</v>
      </c>
      <c r="D98" s="1">
        <v>21.0</v>
      </c>
      <c r="E98" s="1">
        <v>30.0</v>
      </c>
      <c r="F98" s="1">
        <v>0.7</v>
      </c>
      <c r="H98" s="1" t="s">
        <v>1432</v>
      </c>
      <c r="I98" s="4">
        <v>46209.995104166665</v>
      </c>
      <c r="J98" s="1" t="s">
        <v>45</v>
      </c>
      <c r="K98" s="1">
        <v>800.0</v>
      </c>
      <c r="L98" s="1">
        <v>20.0</v>
      </c>
      <c r="M98" s="1">
        <v>30.0</v>
      </c>
      <c r="N98" s="5">
        <v>42495.0</v>
      </c>
      <c r="O98" s="1" t="s">
        <v>35</v>
      </c>
      <c r="P98" s="1" t="s">
        <v>36</v>
      </c>
      <c r="Q98" s="1" t="s">
        <v>1435</v>
      </c>
      <c r="S98" s="1" t="s">
        <v>40</v>
      </c>
    </row>
    <row r="99">
      <c r="A99" s="1">
        <v>98.0</v>
      </c>
      <c r="B99" s="1" t="s">
        <v>1285</v>
      </c>
      <c r="C99" s="1" t="s">
        <v>25</v>
      </c>
      <c r="D99" s="1">
        <v>0.0</v>
      </c>
      <c r="E99" s="1">
        <v>30.0</v>
      </c>
      <c r="F99" s="1">
        <v>0.2</v>
      </c>
      <c r="H99" s="1" t="s">
        <v>115</v>
      </c>
      <c r="I99" s="4">
        <v>46220.865590277775</v>
      </c>
      <c r="J99" s="1" t="s">
        <v>1439</v>
      </c>
      <c r="K99" s="1">
        <v>2600.0</v>
      </c>
      <c r="L99" s="1">
        <v>60.0</v>
      </c>
      <c r="M99" s="1">
        <v>60.0</v>
      </c>
      <c r="N99" s="5">
        <v>42515.0</v>
      </c>
      <c r="O99" s="1" t="s">
        <v>976</v>
      </c>
      <c r="P99" s="1" t="s">
        <v>36</v>
      </c>
      <c r="Q99" s="1" t="s">
        <v>1441</v>
      </c>
      <c r="S99" s="1" t="s">
        <v>1041</v>
      </c>
    </row>
    <row r="100">
      <c r="A100" s="1">
        <v>99.0</v>
      </c>
      <c r="B100" s="1" t="s">
        <v>1443</v>
      </c>
      <c r="C100" s="1" t="s">
        <v>25</v>
      </c>
      <c r="D100" s="1">
        <v>0.0</v>
      </c>
      <c r="E100" s="1">
        <v>30.0</v>
      </c>
      <c r="F100" s="1">
        <v>0.2</v>
      </c>
      <c r="H100" s="1" t="s">
        <v>1004</v>
      </c>
      <c r="I100" s="4">
        <v>46204.82625</v>
      </c>
      <c r="J100" s="1" t="s">
        <v>1300</v>
      </c>
      <c r="K100" s="1">
        <v>1300.0</v>
      </c>
      <c r="L100" s="1">
        <v>50.0</v>
      </c>
      <c r="M100" s="1">
        <v>50.0</v>
      </c>
      <c r="N100" s="5">
        <v>42307.0</v>
      </c>
      <c r="O100" s="1" t="s">
        <v>976</v>
      </c>
      <c r="P100" s="1" t="s">
        <v>36</v>
      </c>
      <c r="Q100" s="1" t="s">
        <v>1447</v>
      </c>
      <c r="S100" s="1" t="s">
        <v>1041</v>
      </c>
    </row>
    <row r="101">
      <c r="A101" s="1">
        <v>100.0</v>
      </c>
      <c r="B101" s="1" t="s">
        <v>1450</v>
      </c>
      <c r="C101" s="1" t="s">
        <v>25</v>
      </c>
      <c r="D101" s="1">
        <v>0.0</v>
      </c>
      <c r="E101" s="1">
        <v>30.0</v>
      </c>
      <c r="H101" s="1" t="s">
        <v>1132</v>
      </c>
      <c r="I101" s="4">
        <v>46211.682546296295</v>
      </c>
      <c r="J101" s="1" t="s">
        <v>45</v>
      </c>
      <c r="K101" s="1">
        <v>30.0</v>
      </c>
      <c r="L101" s="1">
        <v>50.0</v>
      </c>
      <c r="M101" s="1">
        <v>50.0</v>
      </c>
      <c r="N101" s="5">
        <v>42383.0</v>
      </c>
      <c r="O101" s="1" t="s">
        <v>35</v>
      </c>
      <c r="P101" s="1" t="s">
        <v>36</v>
      </c>
      <c r="Q101" s="1" t="s">
        <v>1455</v>
      </c>
      <c r="S101" s="1" t="s">
        <v>759</v>
      </c>
    </row>
    <row r="102">
      <c r="A102" s="1">
        <v>101.0</v>
      </c>
      <c r="B102" s="1" t="s">
        <v>1457</v>
      </c>
      <c r="C102" s="1" t="s">
        <v>25</v>
      </c>
      <c r="D102" s="1">
        <v>2.0</v>
      </c>
      <c r="E102" s="1">
        <v>30.0</v>
      </c>
      <c r="F102" s="1">
        <v>0.5</v>
      </c>
      <c r="H102" s="1" t="s">
        <v>761</v>
      </c>
      <c r="I102" s="4">
        <v>46234.78980324074</v>
      </c>
      <c r="J102" s="1" t="s">
        <v>1300</v>
      </c>
      <c r="K102" s="1">
        <v>450.0</v>
      </c>
      <c r="L102" s="1">
        <v>700.0</v>
      </c>
      <c r="M102" s="1">
        <v>6300.0</v>
      </c>
      <c r="N102" s="5">
        <v>42410.0</v>
      </c>
      <c r="O102" s="1" t="s">
        <v>126</v>
      </c>
      <c r="P102" s="1" t="s">
        <v>36</v>
      </c>
      <c r="Q102" s="1" t="s">
        <v>1461</v>
      </c>
      <c r="S102" s="1" t="s">
        <v>1041</v>
      </c>
    </row>
    <row r="103">
      <c r="A103" s="1">
        <v>102.0</v>
      </c>
      <c r="B103" s="1" t="s">
        <v>1464</v>
      </c>
      <c r="C103" s="1" t="s">
        <v>25</v>
      </c>
      <c r="D103" s="1">
        <v>0.0</v>
      </c>
      <c r="E103" s="1">
        <v>30.0</v>
      </c>
      <c r="H103" s="1" t="s">
        <v>1464</v>
      </c>
      <c r="I103" s="4">
        <v>46227.33304398148</v>
      </c>
      <c r="J103" s="1" t="s">
        <v>1466</v>
      </c>
      <c r="K103" s="1">
        <v>3900.0</v>
      </c>
      <c r="L103" s="1">
        <v>0.0</v>
      </c>
      <c r="M103" s="1">
        <v>300.0</v>
      </c>
      <c r="N103" s="5">
        <v>42274.0</v>
      </c>
      <c r="O103" s="1" t="s">
        <v>976</v>
      </c>
      <c r="P103" s="1" t="s">
        <v>36</v>
      </c>
      <c r="Q103" s="1" t="s">
        <v>1467</v>
      </c>
      <c r="S103" s="1" t="s">
        <v>1469</v>
      </c>
    </row>
    <row r="104">
      <c r="A104" s="1">
        <v>103.0</v>
      </c>
      <c r="B104" s="1" t="s">
        <v>1470</v>
      </c>
      <c r="C104" s="1" t="s">
        <v>25</v>
      </c>
      <c r="D104" s="1">
        <v>9.0</v>
      </c>
      <c r="E104" s="1">
        <v>30.0</v>
      </c>
      <c r="F104" s="1">
        <v>0.8</v>
      </c>
      <c r="H104" s="1" t="s">
        <v>1255</v>
      </c>
      <c r="I104" s="4">
        <v>46228.46876157408</v>
      </c>
      <c r="J104" s="1" t="s">
        <v>1473</v>
      </c>
      <c r="K104" s="1">
        <v>1600.0</v>
      </c>
      <c r="L104" s="1">
        <v>20.0</v>
      </c>
      <c r="M104" s="1">
        <v>20.0</v>
      </c>
      <c r="N104" s="5">
        <v>42530.0</v>
      </c>
      <c r="O104" s="1" t="s">
        <v>35</v>
      </c>
      <c r="P104" s="1" t="s">
        <v>36</v>
      </c>
      <c r="Q104" s="1" t="s">
        <v>1476</v>
      </c>
      <c r="S104" s="1" t="s">
        <v>759</v>
      </c>
    </row>
    <row r="105">
      <c r="A105" s="1">
        <v>104.0</v>
      </c>
      <c r="B105" s="1" t="s">
        <v>1479</v>
      </c>
      <c r="C105" s="1" t="s">
        <v>25</v>
      </c>
      <c r="D105" s="1">
        <v>0.0</v>
      </c>
      <c r="E105" s="1">
        <v>30.0</v>
      </c>
      <c r="F105" s="1">
        <v>0.9</v>
      </c>
      <c r="H105" s="1" t="s">
        <v>1479</v>
      </c>
      <c r="I105" s="4">
        <v>46212.83866898148</v>
      </c>
      <c r="J105" s="1" t="s">
        <v>45</v>
      </c>
      <c r="K105" s="1">
        <v>80.0</v>
      </c>
      <c r="L105" s="1">
        <v>0.0</v>
      </c>
      <c r="M105" s="1">
        <v>0.0</v>
      </c>
      <c r="N105" s="5">
        <v>42305.0</v>
      </c>
      <c r="O105" s="1" t="s">
        <v>35</v>
      </c>
      <c r="P105" s="1" t="s">
        <v>36</v>
      </c>
      <c r="Q105" s="1" t="s">
        <v>1482</v>
      </c>
      <c r="S105" s="1" t="s">
        <v>759</v>
      </c>
    </row>
    <row r="106">
      <c r="A106" s="1">
        <v>105.0</v>
      </c>
      <c r="B106" s="1" t="s">
        <v>1484</v>
      </c>
      <c r="C106" s="1" t="s">
        <v>25</v>
      </c>
      <c r="D106" s="1">
        <v>0.0</v>
      </c>
      <c r="E106" s="1">
        <v>30.0</v>
      </c>
      <c r="F106" s="1">
        <v>0.8</v>
      </c>
      <c r="H106" s="1" t="s">
        <v>86</v>
      </c>
      <c r="I106" s="4">
        <v>46207.09195601852</v>
      </c>
      <c r="J106" s="1" t="s">
        <v>1486</v>
      </c>
      <c r="K106" s="1">
        <v>500.0</v>
      </c>
      <c r="L106" s="1">
        <v>450.0</v>
      </c>
      <c r="M106" s="1">
        <v>450.0</v>
      </c>
      <c r="N106" s="5">
        <v>42592.0</v>
      </c>
      <c r="O106" s="1" t="s">
        <v>35</v>
      </c>
      <c r="P106" s="1" t="s">
        <v>36</v>
      </c>
      <c r="Q106" s="1" t="s">
        <v>1489</v>
      </c>
      <c r="S106" s="1" t="s">
        <v>40</v>
      </c>
    </row>
    <row r="107">
      <c r="A107" s="1">
        <v>106.0</v>
      </c>
      <c r="B107" s="1" t="s">
        <v>1491</v>
      </c>
      <c r="C107" s="1" t="s">
        <v>25</v>
      </c>
      <c r="D107" s="1">
        <v>0.0</v>
      </c>
      <c r="E107" s="1">
        <v>30.0</v>
      </c>
      <c r="F107" s="1">
        <v>0.4</v>
      </c>
      <c r="H107" s="1" t="s">
        <v>1004</v>
      </c>
      <c r="I107" s="4">
        <v>46233.39778935185</v>
      </c>
      <c r="J107" s="1" t="s">
        <v>953</v>
      </c>
      <c r="K107" s="1">
        <v>700.0</v>
      </c>
      <c r="L107" s="1">
        <v>50.0</v>
      </c>
      <c r="M107" s="1">
        <v>900.0</v>
      </c>
      <c r="N107" s="5">
        <v>42453.0</v>
      </c>
      <c r="O107" s="1" t="s">
        <v>976</v>
      </c>
      <c r="P107" s="1" t="s">
        <v>36</v>
      </c>
      <c r="Q107" s="1" t="s">
        <v>1495</v>
      </c>
      <c r="S107" s="1" t="s">
        <v>1041</v>
      </c>
    </row>
    <row r="108">
      <c r="A108" s="1">
        <v>107.0</v>
      </c>
      <c r="B108" s="1" t="s">
        <v>1496</v>
      </c>
      <c r="C108" s="1" t="s">
        <v>25</v>
      </c>
      <c r="D108" s="1">
        <v>0.0</v>
      </c>
      <c r="E108" s="1">
        <v>20.0</v>
      </c>
      <c r="H108" s="1" t="s">
        <v>1004</v>
      </c>
      <c r="I108" s="4">
        <v>46222.32365740741</v>
      </c>
      <c r="J108" s="1" t="s">
        <v>1498</v>
      </c>
      <c r="K108" s="1">
        <v>700.0</v>
      </c>
      <c r="L108" s="1">
        <v>20.0</v>
      </c>
      <c r="M108" s="1">
        <v>30.0</v>
      </c>
      <c r="N108" s="5">
        <v>42442.0</v>
      </c>
      <c r="O108" s="1" t="s">
        <v>976</v>
      </c>
      <c r="P108" s="1" t="s">
        <v>36</v>
      </c>
      <c r="Q108" s="1" t="s">
        <v>1501</v>
      </c>
      <c r="S108" s="1" t="s">
        <v>1041</v>
      </c>
    </row>
    <row r="109">
      <c r="A109" s="1">
        <v>108.0</v>
      </c>
      <c r="B109" s="1" t="s">
        <v>1503</v>
      </c>
      <c r="C109" s="1" t="s">
        <v>25</v>
      </c>
      <c r="D109" s="1">
        <v>0.0</v>
      </c>
      <c r="E109" s="1">
        <v>20.0</v>
      </c>
      <c r="H109" s="1" t="s">
        <v>951</v>
      </c>
      <c r="I109" s="4">
        <v>46226.34457175926</v>
      </c>
      <c r="J109" s="1" t="s">
        <v>1506</v>
      </c>
      <c r="K109" s="1">
        <v>80.0</v>
      </c>
      <c r="L109" s="1">
        <v>30.0</v>
      </c>
      <c r="M109" s="1">
        <v>30.0</v>
      </c>
      <c r="N109" s="5">
        <v>43354.0</v>
      </c>
      <c r="O109" s="1" t="s">
        <v>955</v>
      </c>
      <c r="P109" s="1" t="s">
        <v>36</v>
      </c>
      <c r="Q109" s="1" t="s">
        <v>1509</v>
      </c>
      <c r="S109" s="1" t="s">
        <v>1041</v>
      </c>
    </row>
    <row r="110">
      <c r="A110" s="1">
        <v>109.0</v>
      </c>
      <c r="B110" s="1" t="s">
        <v>1510</v>
      </c>
      <c r="C110" s="1" t="s">
        <v>25</v>
      </c>
      <c r="D110" s="1">
        <v>0.0</v>
      </c>
      <c r="E110" s="1">
        <v>20.0</v>
      </c>
      <c r="H110" s="1" t="s">
        <v>1512</v>
      </c>
      <c r="I110" s="4">
        <v>46224.94887731481</v>
      </c>
      <c r="J110" s="1" t="s">
        <v>1404</v>
      </c>
      <c r="K110" s="1">
        <v>800.0</v>
      </c>
      <c r="L110" s="1">
        <v>200.0</v>
      </c>
      <c r="M110" s="1">
        <v>200.0</v>
      </c>
      <c r="N110" s="5">
        <v>42413.0</v>
      </c>
      <c r="O110" s="1" t="s">
        <v>976</v>
      </c>
      <c r="P110" s="1" t="s">
        <v>36</v>
      </c>
      <c r="Q110" s="1" t="s">
        <v>1516</v>
      </c>
      <c r="S110" s="1" t="s">
        <v>1345</v>
      </c>
    </row>
    <row r="111">
      <c r="A111" s="1">
        <v>110.0</v>
      </c>
      <c r="B111" s="1" t="s">
        <v>1035</v>
      </c>
      <c r="C111" s="1" t="s">
        <v>25</v>
      </c>
      <c r="D111" s="1">
        <v>0.0</v>
      </c>
      <c r="E111" s="1">
        <v>20.0</v>
      </c>
      <c r="F111" s="1">
        <v>0.3</v>
      </c>
      <c r="H111" s="1" t="s">
        <v>1285</v>
      </c>
      <c r="I111" s="4">
        <v>46225.693761574075</v>
      </c>
      <c r="J111" s="1" t="s">
        <v>1006</v>
      </c>
      <c r="K111" s="1">
        <v>1300.0</v>
      </c>
      <c r="L111" s="1">
        <v>10.0</v>
      </c>
      <c r="M111" s="1">
        <v>10.0</v>
      </c>
      <c r="N111" s="5">
        <v>42266.0</v>
      </c>
      <c r="O111" s="1" t="s">
        <v>976</v>
      </c>
      <c r="P111" s="1" t="s">
        <v>36</v>
      </c>
      <c r="Q111" s="1" t="s">
        <v>1522</v>
      </c>
      <c r="S111" s="1" t="s">
        <v>1041</v>
      </c>
    </row>
    <row r="112">
      <c r="A112" s="1">
        <v>111.0</v>
      </c>
      <c r="B112" s="1" t="s">
        <v>1523</v>
      </c>
      <c r="C112" s="1" t="s">
        <v>25</v>
      </c>
      <c r="D112" s="1">
        <v>0.0</v>
      </c>
      <c r="E112" s="1">
        <v>20.0</v>
      </c>
      <c r="F112" s="1">
        <v>0.5</v>
      </c>
      <c r="H112" s="1" t="s">
        <v>963</v>
      </c>
      <c r="I112" s="4">
        <v>46224.46396990741</v>
      </c>
      <c r="J112" s="1" t="s">
        <v>1341</v>
      </c>
      <c r="K112" s="1">
        <v>500.0</v>
      </c>
      <c r="L112" s="1">
        <v>20.0</v>
      </c>
      <c r="M112" s="1">
        <v>20.0</v>
      </c>
      <c r="N112" s="5">
        <v>44244.0</v>
      </c>
      <c r="O112" s="1" t="s">
        <v>778</v>
      </c>
      <c r="P112" s="1" t="s">
        <v>36</v>
      </c>
      <c r="Q112" s="1" t="s">
        <v>1529</v>
      </c>
      <c r="S112" s="1" t="s">
        <v>40</v>
      </c>
    </row>
    <row r="113">
      <c r="A113" s="1">
        <v>112.0</v>
      </c>
      <c r="B113" s="1" t="s">
        <v>1531</v>
      </c>
      <c r="C113" s="1" t="s">
        <v>25</v>
      </c>
      <c r="D113" s="1">
        <v>0.0</v>
      </c>
      <c r="E113" s="1">
        <v>20.0</v>
      </c>
      <c r="F113" s="1">
        <v>0.07</v>
      </c>
      <c r="H113" s="1" t="s">
        <v>1533</v>
      </c>
      <c r="I113" s="4">
        <v>46211.613125</v>
      </c>
      <c r="J113" s="1" t="s">
        <v>1534</v>
      </c>
      <c r="K113" s="1">
        <v>150.0</v>
      </c>
      <c r="L113" s="1">
        <v>10.0</v>
      </c>
      <c r="M113" s="1">
        <v>200.0</v>
      </c>
      <c r="N113" s="5">
        <v>43901.0</v>
      </c>
      <c r="O113" s="1" t="s">
        <v>126</v>
      </c>
      <c r="P113" s="1" t="s">
        <v>36</v>
      </c>
      <c r="Q113" s="1" t="s">
        <v>1536</v>
      </c>
      <c r="S113" s="1" t="s">
        <v>1041</v>
      </c>
    </row>
    <row r="114">
      <c r="A114" s="1">
        <v>113.0</v>
      </c>
      <c r="B114" s="1" t="s">
        <v>1538</v>
      </c>
      <c r="C114" s="1" t="s">
        <v>25</v>
      </c>
      <c r="D114" s="1">
        <v>22.0</v>
      </c>
      <c r="E114" s="1">
        <v>20.0</v>
      </c>
      <c r="G114" s="1">
        <v>0.66</v>
      </c>
      <c r="H114" s="1" t="s">
        <v>1432</v>
      </c>
      <c r="I114" s="4">
        <v>46205.783171296294</v>
      </c>
      <c r="J114" s="1" t="s">
        <v>45</v>
      </c>
      <c r="K114" s="1">
        <v>1100.0</v>
      </c>
      <c r="L114" s="1">
        <v>20.0</v>
      </c>
      <c r="M114" s="1">
        <v>30.0</v>
      </c>
      <c r="N114" s="5">
        <v>42334.0</v>
      </c>
      <c r="O114" s="1" t="s">
        <v>35</v>
      </c>
      <c r="P114" s="1" t="s">
        <v>36</v>
      </c>
      <c r="Q114" s="1" t="s">
        <v>1540</v>
      </c>
      <c r="S114" s="1" t="s">
        <v>40</v>
      </c>
    </row>
    <row r="115">
      <c r="A115" s="1">
        <v>114.0</v>
      </c>
      <c r="B115" s="1" t="s">
        <v>1541</v>
      </c>
      <c r="C115" s="1" t="s">
        <v>25</v>
      </c>
      <c r="D115" s="1">
        <v>0.0</v>
      </c>
      <c r="E115" s="1">
        <v>20.0</v>
      </c>
      <c r="F115" s="1">
        <v>0.6</v>
      </c>
      <c r="H115" s="1" t="s">
        <v>1542</v>
      </c>
      <c r="I115" s="4">
        <v>46227.90987268519</v>
      </c>
      <c r="J115" s="1" t="s">
        <v>1543</v>
      </c>
      <c r="K115" s="1">
        <v>30.0</v>
      </c>
      <c r="L115" s="1">
        <v>5300.0</v>
      </c>
      <c r="M115" s="1">
        <v>5300.0</v>
      </c>
      <c r="N115" s="5">
        <v>42298.0</v>
      </c>
      <c r="O115" s="1" t="s">
        <v>35</v>
      </c>
      <c r="P115" s="1" t="s">
        <v>36</v>
      </c>
      <c r="Q115" s="1" t="s">
        <v>1545</v>
      </c>
      <c r="S115" s="1" t="s">
        <v>40</v>
      </c>
    </row>
    <row r="116">
      <c r="A116" s="1">
        <v>115.0</v>
      </c>
      <c r="B116" s="1" t="s">
        <v>1546</v>
      </c>
      <c r="C116" s="1" t="s">
        <v>25</v>
      </c>
      <c r="D116" s="1">
        <v>42.0</v>
      </c>
      <c r="E116" s="1">
        <v>10.0</v>
      </c>
      <c r="F116" s="1">
        <v>0.9</v>
      </c>
      <c r="H116" s="1" t="s">
        <v>1546</v>
      </c>
      <c r="I116" s="4">
        <v>46221.40891203703</v>
      </c>
      <c r="J116" s="1" t="s">
        <v>912</v>
      </c>
      <c r="K116" s="1">
        <v>10.0</v>
      </c>
      <c r="L116" s="1">
        <v>10.0</v>
      </c>
      <c r="M116" s="1">
        <v>10.0</v>
      </c>
      <c r="N116" s="5">
        <v>42432.0</v>
      </c>
      <c r="O116" s="1" t="s">
        <v>778</v>
      </c>
      <c r="P116" s="1" t="s">
        <v>36</v>
      </c>
      <c r="Q116" s="1" t="s">
        <v>1549</v>
      </c>
      <c r="S116" s="1" t="s">
        <v>40</v>
      </c>
    </row>
    <row r="117">
      <c r="A117" s="1">
        <v>116.0</v>
      </c>
      <c r="B117" s="1" t="s">
        <v>1551</v>
      </c>
      <c r="C117" s="1" t="s">
        <v>25</v>
      </c>
      <c r="D117" s="1">
        <v>0.0</v>
      </c>
      <c r="E117" s="1">
        <v>10.0</v>
      </c>
      <c r="F117" s="1">
        <v>0.6</v>
      </c>
      <c r="H117" s="1" t="s">
        <v>1551</v>
      </c>
      <c r="I117" s="4">
        <v>46215.60533564815</v>
      </c>
      <c r="J117" s="1" t="s">
        <v>1553</v>
      </c>
      <c r="K117" s="1">
        <v>20.0</v>
      </c>
      <c r="L117" s="1">
        <v>0.0</v>
      </c>
      <c r="M117" s="1">
        <v>0.0</v>
      </c>
      <c r="N117" s="5">
        <v>43596.0</v>
      </c>
      <c r="O117" s="1" t="s">
        <v>126</v>
      </c>
      <c r="P117" s="1" t="s">
        <v>36</v>
      </c>
      <c r="Q117" s="1" t="s">
        <v>1554</v>
      </c>
      <c r="S117" s="1" t="s">
        <v>40</v>
      </c>
    </row>
    <row r="118">
      <c r="A118" s="1">
        <v>117.0</v>
      </c>
      <c r="B118" s="1" t="s">
        <v>1556</v>
      </c>
      <c r="C118" s="1" t="s">
        <v>25</v>
      </c>
      <c r="D118" s="1">
        <v>0.0</v>
      </c>
      <c r="E118" s="1">
        <v>10.0</v>
      </c>
      <c r="F118" s="1">
        <v>0.7</v>
      </c>
      <c r="G118" s="1">
        <v>0.6</v>
      </c>
      <c r="H118" s="1" t="s">
        <v>1557</v>
      </c>
      <c r="I118" s="4">
        <v>46233.1727662037</v>
      </c>
      <c r="J118" s="1" t="s">
        <v>1558</v>
      </c>
      <c r="K118" s="1">
        <v>10.0</v>
      </c>
      <c r="L118" s="1">
        <v>20.0</v>
      </c>
      <c r="M118" s="1">
        <v>20.0</v>
      </c>
      <c r="N118" s="5">
        <v>42251.0</v>
      </c>
      <c r="O118" s="1" t="s">
        <v>1560</v>
      </c>
      <c r="P118" s="1" t="s">
        <v>36</v>
      </c>
      <c r="Q118" s="1" t="s">
        <v>1561</v>
      </c>
      <c r="S118" s="1" t="s">
        <v>759</v>
      </c>
    </row>
    <row r="119">
      <c r="A119" s="1">
        <v>118.0</v>
      </c>
      <c r="B119" s="1" t="s">
        <v>1562</v>
      </c>
      <c r="C119" s="1" t="s">
        <v>25</v>
      </c>
      <c r="D119" s="1">
        <v>0.0</v>
      </c>
      <c r="E119" s="1">
        <v>10.0</v>
      </c>
      <c r="F119" s="1">
        <v>0.25</v>
      </c>
      <c r="H119" s="1" t="s">
        <v>1285</v>
      </c>
      <c r="I119" s="4">
        <v>46221.987604166665</v>
      </c>
      <c r="J119" s="1" t="s">
        <v>1564</v>
      </c>
      <c r="K119" s="1">
        <v>350.0</v>
      </c>
      <c r="L119" s="1">
        <v>0.0</v>
      </c>
      <c r="M119" s="1">
        <v>0.0</v>
      </c>
      <c r="N119" s="5">
        <v>42348.0</v>
      </c>
      <c r="O119" s="1" t="s">
        <v>976</v>
      </c>
      <c r="P119" s="1" t="s">
        <v>36</v>
      </c>
      <c r="Q119" s="1" t="s">
        <v>1566</v>
      </c>
      <c r="S119" s="1" t="s">
        <v>872</v>
      </c>
    </row>
    <row r="120">
      <c r="A120" s="1">
        <v>119.0</v>
      </c>
      <c r="B120" s="1" t="s">
        <v>1567</v>
      </c>
      <c r="C120" s="1" t="s">
        <v>25</v>
      </c>
      <c r="D120" s="1">
        <v>0.0</v>
      </c>
      <c r="E120" s="1">
        <v>10.0</v>
      </c>
      <c r="H120" s="1" t="s">
        <v>1004</v>
      </c>
      <c r="I120" s="4">
        <v>46214.86570601852</v>
      </c>
      <c r="J120" s="1" t="s">
        <v>68</v>
      </c>
      <c r="K120" s="1">
        <v>700.0</v>
      </c>
      <c r="L120" s="1">
        <v>80.0</v>
      </c>
      <c r="M120" s="1">
        <v>80.0</v>
      </c>
      <c r="N120" s="5">
        <v>42324.0</v>
      </c>
      <c r="O120" s="1" t="s">
        <v>976</v>
      </c>
      <c r="P120" s="1" t="s">
        <v>36</v>
      </c>
      <c r="Q120" s="1" t="s">
        <v>1571</v>
      </c>
      <c r="S120" s="1" t="s">
        <v>872</v>
      </c>
    </row>
    <row r="121">
      <c r="A121" s="1">
        <v>120.0</v>
      </c>
      <c r="B121" s="1" t="s">
        <v>1573</v>
      </c>
      <c r="C121" s="1" t="s">
        <v>25</v>
      </c>
      <c r="D121" s="1">
        <v>10.0</v>
      </c>
      <c r="E121" s="1">
        <v>10.0</v>
      </c>
      <c r="F121" s="1">
        <v>0.6</v>
      </c>
      <c r="H121" s="1" t="s">
        <v>749</v>
      </c>
      <c r="I121" s="4">
        <v>46225.053402777776</v>
      </c>
      <c r="J121" s="1" t="s">
        <v>45</v>
      </c>
      <c r="K121" s="1">
        <v>900.0</v>
      </c>
      <c r="L121" s="1">
        <v>100.0</v>
      </c>
      <c r="M121" s="1">
        <v>100.0</v>
      </c>
      <c r="N121" s="5">
        <v>43574.0</v>
      </c>
      <c r="O121" s="1" t="s">
        <v>35</v>
      </c>
      <c r="P121" s="1" t="s">
        <v>36</v>
      </c>
      <c r="Q121" s="1" t="s">
        <v>1576</v>
      </c>
      <c r="S121" s="1" t="s">
        <v>40</v>
      </c>
    </row>
    <row r="122">
      <c r="A122" s="1">
        <v>121.0</v>
      </c>
      <c r="B122" s="1" t="s">
        <v>1577</v>
      </c>
      <c r="C122" s="1" t="s">
        <v>25</v>
      </c>
      <c r="D122" s="1">
        <v>0.0</v>
      </c>
      <c r="E122" s="1">
        <v>10.0</v>
      </c>
      <c r="F122" s="1">
        <v>0.8</v>
      </c>
      <c r="H122" s="1" t="s">
        <v>1429</v>
      </c>
      <c r="I122" s="4">
        <v>46215.10150462963</v>
      </c>
      <c r="J122" s="1" t="s">
        <v>45</v>
      </c>
      <c r="K122" s="1">
        <v>3600.0</v>
      </c>
      <c r="L122" s="1">
        <v>0.0</v>
      </c>
      <c r="M122" s="1">
        <v>0.0</v>
      </c>
      <c r="N122" s="5">
        <v>42496.0</v>
      </c>
      <c r="O122" s="1" t="s">
        <v>35</v>
      </c>
      <c r="P122" s="1" t="s">
        <v>36</v>
      </c>
      <c r="Q122" s="1" t="s">
        <v>1580</v>
      </c>
      <c r="S122" s="1" t="s">
        <v>40</v>
      </c>
    </row>
    <row r="123">
      <c r="A123" s="1">
        <v>122.0</v>
      </c>
      <c r="B123" s="1" t="s">
        <v>1581</v>
      </c>
      <c r="C123" s="1" t="s">
        <v>25</v>
      </c>
      <c r="D123" s="1">
        <v>0.0</v>
      </c>
      <c r="H123" s="1" t="s">
        <v>1557</v>
      </c>
      <c r="I123" s="4">
        <v>46228.79184027778</v>
      </c>
      <c r="J123" s="1" t="s">
        <v>1582</v>
      </c>
      <c r="L123" s="1">
        <v>20.0</v>
      </c>
      <c r="M123" s="1">
        <v>20.0</v>
      </c>
      <c r="N123" s="5">
        <v>45101.0</v>
      </c>
      <c r="O123" s="1" t="s">
        <v>1560</v>
      </c>
      <c r="P123" s="1" t="s">
        <v>36</v>
      </c>
      <c r="Q123" s="1" t="s">
        <v>55</v>
      </c>
      <c r="S123" s="1" t="s">
        <v>759</v>
      </c>
    </row>
    <row r="124">
      <c r="A124" s="1">
        <v>123.0</v>
      </c>
      <c r="B124" s="1" t="s">
        <v>1584</v>
      </c>
      <c r="C124" s="1" t="s">
        <v>25</v>
      </c>
      <c r="D124" s="1">
        <v>0.0</v>
      </c>
      <c r="F124" s="1">
        <v>0.9</v>
      </c>
      <c r="H124" s="1" t="s">
        <v>1479</v>
      </c>
      <c r="I124" s="4">
        <v>46224.04127314815</v>
      </c>
      <c r="J124" s="1" t="s">
        <v>45</v>
      </c>
      <c r="L124" s="1">
        <v>0.0</v>
      </c>
      <c r="M124" s="1">
        <v>0.0</v>
      </c>
      <c r="N124" s="5">
        <v>42410.0</v>
      </c>
      <c r="O124" s="1" t="s">
        <v>35</v>
      </c>
      <c r="P124" s="1" t="s">
        <v>36</v>
      </c>
      <c r="Q124" s="1" t="s">
        <v>1585</v>
      </c>
      <c r="S124" s="1" t="s">
        <v>759</v>
      </c>
    </row>
    <row r="125">
      <c r="A125" s="1">
        <v>124.0</v>
      </c>
      <c r="B125" s="1" t="s">
        <v>1587</v>
      </c>
      <c r="C125" s="1" t="s">
        <v>25</v>
      </c>
      <c r="D125" s="1">
        <v>2.0</v>
      </c>
      <c r="H125" s="1" t="s">
        <v>855</v>
      </c>
      <c r="I125" s="4">
        <v>45370.89986111111</v>
      </c>
      <c r="J125" s="1" t="s">
        <v>1588</v>
      </c>
      <c r="L125" s="1">
        <v>150.0</v>
      </c>
      <c r="N125" s="5"/>
    </row>
    <row r="126">
      <c r="A126" s="1">
        <v>125.0</v>
      </c>
      <c r="B126" s="1" t="s">
        <v>1590</v>
      </c>
      <c r="C126" s="1" t="s">
        <v>25</v>
      </c>
      <c r="D126" s="1">
        <v>0.0</v>
      </c>
      <c r="F126" s="1">
        <v>0.1</v>
      </c>
      <c r="H126" s="1" t="s">
        <v>1590</v>
      </c>
      <c r="I126" s="4">
        <v>46226.93943287037</v>
      </c>
      <c r="J126" s="1" t="s">
        <v>54</v>
      </c>
      <c r="L126" s="1">
        <v>0.0</v>
      </c>
      <c r="M126" s="1">
        <v>0.0</v>
      </c>
      <c r="N126" s="5">
        <v>42278.0</v>
      </c>
      <c r="O126" s="1" t="s">
        <v>839</v>
      </c>
      <c r="P126" s="1" t="s">
        <v>36</v>
      </c>
      <c r="Q126" s="1" t="s">
        <v>1592</v>
      </c>
      <c r="S126" s="1" t="s">
        <v>40</v>
      </c>
    </row>
    <row r="127">
      <c r="A127" s="1">
        <v>126.0</v>
      </c>
      <c r="B127" s="1" t="s">
        <v>1593</v>
      </c>
      <c r="C127" s="1" t="s">
        <v>25</v>
      </c>
      <c r="D127" s="1">
        <v>0.0</v>
      </c>
      <c r="F127" s="1">
        <v>0.8</v>
      </c>
      <c r="G127" s="1">
        <v>1.0</v>
      </c>
      <c r="H127" s="1" t="s">
        <v>1594</v>
      </c>
      <c r="I127" s="4">
        <v>46212.1846875</v>
      </c>
      <c r="J127" s="1" t="s">
        <v>1341</v>
      </c>
      <c r="L127" s="1">
        <v>10.0</v>
      </c>
      <c r="M127" s="1">
        <v>10.0</v>
      </c>
      <c r="N127" s="5">
        <v>42296.0</v>
      </c>
      <c r="O127" s="1" t="s">
        <v>1596</v>
      </c>
      <c r="P127" s="1" t="s">
        <v>36</v>
      </c>
      <c r="Q127" s="1" t="s">
        <v>1598</v>
      </c>
      <c r="S127" s="1" t="s">
        <v>1599</v>
      </c>
    </row>
    <row r="128">
      <c r="I128" s="4"/>
      <c r="N128" s="5"/>
    </row>
    <row r="129">
      <c r="I129" s="4"/>
      <c r="N129" s="5"/>
    </row>
    <row r="130">
      <c r="I130" s="4"/>
      <c r="N130" s="5"/>
    </row>
    <row r="131">
      <c r="I131" s="4"/>
      <c r="N131" s="5"/>
    </row>
    <row r="132">
      <c r="I132" s="4"/>
      <c r="N132" s="5"/>
    </row>
    <row r="133">
      <c r="I133" s="4"/>
      <c r="N133" s="5"/>
    </row>
    <row r="134">
      <c r="I134" s="4"/>
      <c r="N134" s="5"/>
    </row>
    <row r="135">
      <c r="I135" s="4"/>
      <c r="N135" s="5"/>
    </row>
    <row r="136">
      <c r="I136" s="4"/>
      <c r="N136" s="5"/>
    </row>
    <row r="137">
      <c r="I137" s="4"/>
      <c r="N137" s="5"/>
    </row>
    <row r="138">
      <c r="I138" s="4"/>
      <c r="N138" s="5"/>
    </row>
    <row r="139">
      <c r="I139" s="4"/>
      <c r="N139" s="5"/>
    </row>
    <row r="140">
      <c r="I140" s="4"/>
      <c r="N140" s="5"/>
    </row>
    <row r="141">
      <c r="I141" s="4"/>
      <c r="N141" s="5"/>
    </row>
    <row r="142">
      <c r="I142" s="4"/>
      <c r="N142" s="5"/>
    </row>
    <row r="143">
      <c r="I143" s="4"/>
      <c r="N143" s="5"/>
    </row>
    <row r="144">
      <c r="I144" s="4"/>
      <c r="N144" s="5"/>
    </row>
    <row r="145">
      <c r="I145" s="4"/>
      <c r="N145" s="5"/>
    </row>
    <row r="146">
      <c r="I146" s="4"/>
      <c r="N146" s="5"/>
    </row>
    <row r="147">
      <c r="I147" s="4"/>
      <c r="N147" s="5"/>
    </row>
    <row r="148">
      <c r="I148" s="4"/>
      <c r="N148" s="5"/>
    </row>
    <row r="149">
      <c r="I149" s="4"/>
      <c r="N149" s="5"/>
    </row>
    <row r="150">
      <c r="I150" s="4"/>
      <c r="N150" s="5"/>
    </row>
    <row r="151">
      <c r="I151" s="4"/>
      <c r="N151" s="5"/>
    </row>
    <row r="152">
      <c r="I152" s="4"/>
      <c r="N152" s="5"/>
    </row>
    <row r="153">
      <c r="I153" s="4"/>
      <c r="N153" s="5"/>
    </row>
    <row r="154">
      <c r="I154" s="4"/>
      <c r="N154" s="5"/>
    </row>
    <row r="155">
      <c r="I155" s="4"/>
      <c r="N155" s="5"/>
    </row>
    <row r="156">
      <c r="I156" s="4"/>
      <c r="N156" s="5"/>
    </row>
    <row r="157">
      <c r="I157" s="4"/>
      <c r="N157" s="5"/>
    </row>
    <row r="158">
      <c r="I158" s="4"/>
      <c r="N158" s="5"/>
    </row>
    <row r="159">
      <c r="I159" s="4"/>
      <c r="N159" s="5"/>
    </row>
    <row r="160">
      <c r="I160" s="4"/>
      <c r="N160" s="5"/>
    </row>
    <row r="161">
      <c r="I161" s="4"/>
      <c r="N161" s="5"/>
    </row>
    <row r="162">
      <c r="I162" s="4"/>
      <c r="N162" s="5"/>
    </row>
    <row r="163">
      <c r="I163" s="4"/>
      <c r="N163" s="5"/>
    </row>
    <row r="164">
      <c r="I164" s="4"/>
      <c r="N164" s="5"/>
    </row>
    <row r="165">
      <c r="I165" s="4"/>
      <c r="N165" s="5"/>
    </row>
    <row r="166">
      <c r="I166" s="4"/>
      <c r="N166" s="5"/>
    </row>
    <row r="167">
      <c r="I167" s="4"/>
      <c r="N167" s="5"/>
    </row>
    <row r="168">
      <c r="I168" s="4"/>
      <c r="N168" s="5"/>
    </row>
    <row r="169">
      <c r="I169" s="4"/>
      <c r="N169" s="5"/>
    </row>
    <row r="170">
      <c r="I170" s="4"/>
      <c r="N170" s="5"/>
    </row>
    <row r="171">
      <c r="I171" s="4"/>
      <c r="N171" s="5"/>
    </row>
    <row r="172">
      <c r="I172" s="4"/>
      <c r="N172" s="5"/>
    </row>
    <row r="173">
      <c r="I173" s="4"/>
      <c r="N173" s="5"/>
    </row>
    <row r="174">
      <c r="I174" s="4"/>
      <c r="N174" s="5"/>
    </row>
    <row r="175">
      <c r="I175" s="4"/>
      <c r="N175" s="5"/>
    </row>
    <row r="176">
      <c r="I176" s="4"/>
      <c r="N176" s="5"/>
    </row>
    <row r="177">
      <c r="I177" s="4"/>
      <c r="N177" s="5"/>
    </row>
    <row r="178">
      <c r="I178" s="4"/>
      <c r="N178" s="5"/>
    </row>
    <row r="179">
      <c r="I179" s="4"/>
      <c r="N179" s="5"/>
    </row>
    <row r="180">
      <c r="I180" s="4"/>
      <c r="N180" s="5"/>
    </row>
    <row r="181">
      <c r="I181" s="4"/>
      <c r="N181" s="5"/>
    </row>
    <row r="182">
      <c r="I182" s="4"/>
      <c r="N182" s="5"/>
    </row>
    <row r="183">
      <c r="I183" s="4"/>
      <c r="N183" s="5"/>
    </row>
    <row r="184">
      <c r="I184" s="4"/>
      <c r="N184" s="5"/>
    </row>
    <row r="185">
      <c r="I185" s="4"/>
      <c r="N185" s="5"/>
    </row>
    <row r="186">
      <c r="I186" s="4"/>
      <c r="N186" s="5"/>
    </row>
    <row r="187">
      <c r="I187" s="4"/>
      <c r="N187" s="5"/>
    </row>
    <row r="188">
      <c r="I188" s="4"/>
      <c r="N188" s="5"/>
    </row>
    <row r="189">
      <c r="I189" s="4"/>
      <c r="N189" s="5"/>
    </row>
    <row r="190">
      <c r="I190" s="4"/>
      <c r="N190" s="5"/>
    </row>
    <row r="191">
      <c r="I191" s="4"/>
      <c r="N191" s="5"/>
    </row>
    <row r="192">
      <c r="I192" s="4"/>
      <c r="N192" s="5"/>
    </row>
    <row r="193">
      <c r="I193" s="4"/>
      <c r="N193" s="5"/>
    </row>
    <row r="194">
      <c r="I194" s="4"/>
      <c r="N194" s="5"/>
    </row>
    <row r="195">
      <c r="I195" s="4"/>
      <c r="N195" s="5"/>
    </row>
    <row r="196">
      <c r="I196" s="4"/>
      <c r="N196" s="5"/>
    </row>
    <row r="197">
      <c r="I197" s="4"/>
      <c r="N197" s="5"/>
    </row>
    <row r="198">
      <c r="I198" s="4"/>
      <c r="N198" s="5"/>
    </row>
    <row r="199">
      <c r="I199" s="4"/>
      <c r="N199" s="5"/>
    </row>
    <row r="200">
      <c r="I200" s="4"/>
      <c r="N200" s="5"/>
    </row>
    <row r="201">
      <c r="I201" s="4"/>
      <c r="N201" s="5"/>
    </row>
    <row r="202">
      <c r="I202" s="4"/>
      <c r="N202" s="5"/>
    </row>
    <row r="203">
      <c r="I203" s="4"/>
      <c r="N203" s="5"/>
    </row>
    <row r="204">
      <c r="I204" s="4"/>
      <c r="N204" s="5"/>
    </row>
    <row r="205">
      <c r="I205" s="4"/>
      <c r="N205" s="5"/>
    </row>
    <row r="206">
      <c r="I206" s="4"/>
      <c r="N206" s="5"/>
    </row>
    <row r="207">
      <c r="I207" s="4"/>
      <c r="N207" s="5"/>
    </row>
    <row r="208">
      <c r="I208" s="4"/>
      <c r="N208" s="5"/>
    </row>
    <row r="209">
      <c r="I209" s="4"/>
      <c r="N209" s="5"/>
    </row>
    <row r="210">
      <c r="I210" s="4"/>
      <c r="N210" s="5"/>
    </row>
    <row r="211">
      <c r="I211" s="4"/>
      <c r="N211" s="5"/>
    </row>
    <row r="212">
      <c r="I212" s="4"/>
      <c r="N212" s="5"/>
    </row>
    <row r="213">
      <c r="I213" s="4"/>
      <c r="N213" s="5"/>
    </row>
    <row r="214">
      <c r="I214" s="4"/>
      <c r="N214" s="5"/>
    </row>
    <row r="215">
      <c r="I215" s="4"/>
      <c r="N215" s="5"/>
    </row>
    <row r="216">
      <c r="I216" s="4"/>
      <c r="N216" s="5"/>
    </row>
    <row r="217">
      <c r="I217" s="4"/>
      <c r="N217" s="5"/>
    </row>
    <row r="218">
      <c r="I218" s="4"/>
      <c r="N218" s="5"/>
    </row>
    <row r="219">
      <c r="I219" s="4"/>
      <c r="N219" s="5"/>
    </row>
    <row r="220">
      <c r="I220" s="4"/>
      <c r="N220" s="5"/>
    </row>
    <row r="221">
      <c r="I221" s="4"/>
      <c r="N221" s="5"/>
    </row>
    <row r="222">
      <c r="I222" s="4"/>
      <c r="N222" s="5"/>
    </row>
    <row r="223">
      <c r="I223" s="4"/>
      <c r="N223" s="5"/>
    </row>
    <row r="224">
      <c r="I224" s="4"/>
      <c r="N224" s="5"/>
    </row>
    <row r="225">
      <c r="I225" s="4"/>
      <c r="N225" s="5"/>
    </row>
    <row r="226">
      <c r="I226" s="4"/>
      <c r="N226" s="5"/>
    </row>
    <row r="227">
      <c r="I227" s="4"/>
      <c r="N227" s="5"/>
    </row>
    <row r="228">
      <c r="I228" s="4"/>
      <c r="N228" s="5"/>
    </row>
    <row r="229">
      <c r="I229" s="4"/>
      <c r="N229" s="5"/>
    </row>
    <row r="230">
      <c r="I230" s="4"/>
      <c r="N230" s="5"/>
    </row>
    <row r="231">
      <c r="I231" s="4"/>
      <c r="N231" s="5"/>
    </row>
    <row r="232">
      <c r="I232" s="4"/>
      <c r="N232" s="5"/>
    </row>
    <row r="233">
      <c r="I233" s="4"/>
      <c r="N233" s="5"/>
    </row>
    <row r="234">
      <c r="I234" s="4"/>
      <c r="N234" s="5"/>
    </row>
    <row r="235">
      <c r="I235" s="4"/>
      <c r="N235" s="5"/>
    </row>
    <row r="236">
      <c r="I236" s="4"/>
      <c r="N236" s="5"/>
    </row>
    <row r="237">
      <c r="I237" s="4"/>
      <c r="N237" s="5"/>
    </row>
    <row r="238">
      <c r="I238" s="4"/>
      <c r="N238" s="5"/>
    </row>
    <row r="239">
      <c r="I239" s="4"/>
      <c r="N239" s="5"/>
    </row>
    <row r="240">
      <c r="I240" s="4"/>
      <c r="N240" s="5"/>
    </row>
    <row r="241">
      <c r="I241" s="4"/>
      <c r="N241" s="5"/>
    </row>
    <row r="242">
      <c r="I242" s="4"/>
      <c r="N242" s="5"/>
    </row>
    <row r="243">
      <c r="I243" s="4"/>
      <c r="N243" s="5"/>
    </row>
    <row r="244">
      <c r="I244" s="4"/>
      <c r="N244" s="5"/>
    </row>
    <row r="245">
      <c r="I245" s="4"/>
      <c r="N245" s="5"/>
    </row>
    <row r="246">
      <c r="I246" s="4"/>
      <c r="N246" s="5"/>
    </row>
    <row r="247">
      <c r="I247" s="4"/>
      <c r="N247" s="5"/>
    </row>
    <row r="248">
      <c r="I248" s="4"/>
      <c r="N248" s="5"/>
    </row>
    <row r="249">
      <c r="I249" s="4"/>
      <c r="N249" s="5"/>
    </row>
    <row r="250">
      <c r="I250" s="4"/>
      <c r="N250" s="5"/>
    </row>
    <row r="251">
      <c r="I251" s="4"/>
      <c r="N251" s="5"/>
    </row>
    <row r="252">
      <c r="I252" s="4"/>
      <c r="N252" s="5"/>
    </row>
    <row r="253">
      <c r="I253" s="4"/>
      <c r="N253" s="5"/>
    </row>
    <row r="254">
      <c r="I254" s="4"/>
      <c r="N254" s="5"/>
    </row>
    <row r="255">
      <c r="I255" s="4"/>
      <c r="N255" s="5"/>
    </row>
    <row r="256">
      <c r="I256" s="4"/>
      <c r="N256" s="5"/>
    </row>
    <row r="257">
      <c r="I257" s="4"/>
      <c r="N257" s="5"/>
    </row>
    <row r="258">
      <c r="I258" s="4"/>
      <c r="N258" s="5"/>
    </row>
    <row r="259">
      <c r="I259" s="4"/>
      <c r="N259" s="5"/>
    </row>
    <row r="260">
      <c r="I260" s="4"/>
      <c r="N260" s="5"/>
    </row>
    <row r="261">
      <c r="I261" s="4"/>
      <c r="N261" s="5"/>
    </row>
    <row r="262">
      <c r="I262" s="4"/>
      <c r="N262" s="5"/>
    </row>
    <row r="263">
      <c r="I263" s="4"/>
      <c r="N263" s="5"/>
    </row>
    <row r="264">
      <c r="I264" s="4"/>
      <c r="N264" s="5"/>
    </row>
    <row r="265">
      <c r="I265" s="4"/>
      <c r="N265" s="5"/>
    </row>
    <row r="266">
      <c r="I266" s="4"/>
      <c r="N266" s="5"/>
    </row>
    <row r="267">
      <c r="I267" s="4"/>
      <c r="N267" s="5"/>
    </row>
    <row r="268">
      <c r="I268" s="4"/>
      <c r="N268" s="5"/>
    </row>
    <row r="269">
      <c r="I269" s="4"/>
      <c r="N269" s="5"/>
    </row>
    <row r="270">
      <c r="I270" s="4"/>
      <c r="N270" s="5"/>
    </row>
    <row r="271">
      <c r="I271" s="4"/>
      <c r="N271" s="5"/>
    </row>
    <row r="272">
      <c r="I272" s="4"/>
      <c r="N272" s="5"/>
    </row>
    <row r="273">
      <c r="I273" s="4"/>
      <c r="N273" s="5"/>
    </row>
    <row r="274">
      <c r="I274" s="4"/>
      <c r="N274" s="5"/>
    </row>
    <row r="275">
      <c r="I275" s="4"/>
      <c r="N275" s="5"/>
    </row>
    <row r="276">
      <c r="I276" s="4"/>
      <c r="N276" s="5"/>
    </row>
    <row r="277">
      <c r="I277" s="4"/>
      <c r="N277" s="5"/>
    </row>
    <row r="278">
      <c r="I278" s="4"/>
      <c r="N278" s="5"/>
    </row>
    <row r="279">
      <c r="I279" s="4"/>
      <c r="N279" s="5"/>
    </row>
    <row r="280">
      <c r="I280" s="4"/>
      <c r="N280" s="5"/>
    </row>
    <row r="281">
      <c r="I281" s="4"/>
      <c r="N281" s="5"/>
    </row>
    <row r="282">
      <c r="I282" s="4"/>
      <c r="N282" s="5"/>
    </row>
    <row r="283">
      <c r="I283" s="4"/>
      <c r="N283" s="5"/>
    </row>
    <row r="284">
      <c r="I284" s="4"/>
      <c r="N284" s="5"/>
    </row>
    <row r="285">
      <c r="I285" s="4"/>
      <c r="N285" s="5"/>
    </row>
    <row r="286">
      <c r="I286" s="4"/>
      <c r="N286" s="5"/>
    </row>
    <row r="287">
      <c r="I287" s="4"/>
      <c r="N287" s="5"/>
    </row>
    <row r="288">
      <c r="I288" s="4"/>
      <c r="N288" s="5"/>
    </row>
    <row r="289">
      <c r="I289" s="4"/>
      <c r="N289" s="5"/>
    </row>
    <row r="290">
      <c r="I290" s="4"/>
      <c r="N290" s="5"/>
    </row>
    <row r="291">
      <c r="I291" s="4"/>
      <c r="N291" s="5"/>
    </row>
    <row r="292">
      <c r="I292" s="4"/>
      <c r="N292" s="5"/>
    </row>
    <row r="293">
      <c r="I293" s="4"/>
      <c r="N293" s="5"/>
    </row>
    <row r="294">
      <c r="I294" s="4"/>
      <c r="N294" s="5"/>
    </row>
    <row r="295">
      <c r="I295" s="4"/>
      <c r="N295" s="5"/>
    </row>
    <row r="296">
      <c r="I296" s="4"/>
      <c r="N296" s="5"/>
    </row>
    <row r="297">
      <c r="I297" s="4"/>
      <c r="N297" s="5"/>
    </row>
    <row r="298">
      <c r="I298" s="4"/>
      <c r="N298" s="5"/>
    </row>
    <row r="299">
      <c r="I299" s="4"/>
      <c r="N299" s="5"/>
    </row>
    <row r="300">
      <c r="I300" s="4"/>
      <c r="N300" s="5"/>
    </row>
    <row r="301">
      <c r="I301" s="4"/>
      <c r="N301" s="5"/>
    </row>
    <row r="302">
      <c r="I302" s="4"/>
      <c r="N302" s="5"/>
    </row>
    <row r="303">
      <c r="I303" s="4"/>
      <c r="N303" s="5"/>
    </row>
    <row r="304">
      <c r="I304" s="4"/>
      <c r="N304" s="5"/>
    </row>
    <row r="305">
      <c r="I305" s="4"/>
      <c r="N305" s="5"/>
    </row>
    <row r="306">
      <c r="I306" s="4"/>
      <c r="N306" s="5"/>
    </row>
    <row r="307">
      <c r="I307" s="4"/>
      <c r="N307" s="5"/>
    </row>
    <row r="308">
      <c r="I308" s="4"/>
      <c r="N308" s="5"/>
    </row>
    <row r="309">
      <c r="I309" s="4"/>
      <c r="N309" s="5"/>
    </row>
    <row r="310">
      <c r="I310" s="4"/>
      <c r="N310" s="5"/>
    </row>
    <row r="311">
      <c r="I311" s="4"/>
      <c r="N311" s="5"/>
    </row>
    <row r="312">
      <c r="I312" s="4"/>
      <c r="N312" s="5"/>
    </row>
    <row r="313">
      <c r="I313" s="4"/>
      <c r="N313" s="5"/>
    </row>
    <row r="314">
      <c r="I314" s="4"/>
      <c r="N314" s="5"/>
    </row>
    <row r="315">
      <c r="I315" s="4"/>
      <c r="N315" s="5"/>
    </row>
    <row r="316">
      <c r="I316" s="4"/>
      <c r="N316" s="5"/>
    </row>
    <row r="317">
      <c r="I317" s="4"/>
      <c r="N317" s="5"/>
    </row>
    <row r="318">
      <c r="I318" s="4"/>
      <c r="N318" s="5"/>
    </row>
    <row r="319">
      <c r="I319" s="4"/>
      <c r="N319" s="5"/>
    </row>
    <row r="320">
      <c r="I320" s="4"/>
      <c r="N320" s="5"/>
    </row>
    <row r="321">
      <c r="I321" s="4"/>
      <c r="N321" s="5"/>
    </row>
    <row r="322">
      <c r="I322" s="4"/>
      <c r="N322" s="5"/>
    </row>
    <row r="323">
      <c r="I323" s="4"/>
      <c r="N323" s="5"/>
    </row>
    <row r="324">
      <c r="I324" s="4"/>
      <c r="N324" s="5"/>
    </row>
    <row r="325">
      <c r="I325" s="4"/>
      <c r="N325" s="5"/>
    </row>
    <row r="326">
      <c r="I326" s="4"/>
      <c r="N326" s="5"/>
    </row>
    <row r="327">
      <c r="I327" s="4"/>
      <c r="N327" s="5"/>
    </row>
    <row r="328">
      <c r="I328" s="4"/>
      <c r="N328" s="5"/>
    </row>
    <row r="329">
      <c r="I329" s="4"/>
      <c r="N329" s="5"/>
    </row>
    <row r="330">
      <c r="I330" s="4"/>
      <c r="N330" s="5"/>
    </row>
    <row r="331">
      <c r="I331" s="4"/>
      <c r="N331" s="5"/>
    </row>
    <row r="332">
      <c r="I332" s="4"/>
      <c r="N332" s="5"/>
    </row>
    <row r="333">
      <c r="I333" s="4"/>
      <c r="N333" s="5"/>
    </row>
    <row r="334">
      <c r="I334" s="4"/>
      <c r="N334" s="5"/>
    </row>
    <row r="335">
      <c r="I335" s="4"/>
      <c r="N335" s="5"/>
    </row>
    <row r="336">
      <c r="I336" s="4"/>
      <c r="N336" s="5"/>
    </row>
    <row r="337">
      <c r="I337" s="4"/>
      <c r="N337" s="5"/>
    </row>
    <row r="338">
      <c r="I338" s="4"/>
      <c r="N338" s="5"/>
    </row>
    <row r="339">
      <c r="I339" s="4"/>
      <c r="N339" s="5"/>
    </row>
    <row r="340">
      <c r="I340" s="4"/>
      <c r="N340" s="5"/>
    </row>
    <row r="341">
      <c r="I341" s="4"/>
      <c r="N341" s="5"/>
    </row>
    <row r="342">
      <c r="I342" s="4"/>
      <c r="N342" s="5"/>
    </row>
    <row r="343">
      <c r="I343" s="4"/>
      <c r="N343" s="5"/>
    </row>
    <row r="344">
      <c r="I344" s="4"/>
      <c r="N344" s="5"/>
    </row>
    <row r="345">
      <c r="I345" s="4"/>
      <c r="N345" s="5"/>
    </row>
    <row r="346">
      <c r="I346" s="4"/>
      <c r="N346" s="5"/>
    </row>
    <row r="347">
      <c r="I347" s="4"/>
      <c r="N347" s="5"/>
    </row>
    <row r="348">
      <c r="I348" s="4"/>
      <c r="N348" s="5"/>
    </row>
    <row r="349">
      <c r="I349" s="4"/>
      <c r="N349" s="5"/>
    </row>
    <row r="350">
      <c r="I350" s="4"/>
      <c r="N350" s="5"/>
    </row>
    <row r="351">
      <c r="I351" s="4"/>
      <c r="N351" s="5"/>
    </row>
    <row r="352">
      <c r="I352" s="4"/>
      <c r="N352" s="5"/>
    </row>
    <row r="353">
      <c r="I353" s="4"/>
      <c r="N353" s="5"/>
    </row>
    <row r="354">
      <c r="I354" s="4"/>
      <c r="N354" s="5"/>
    </row>
    <row r="355">
      <c r="I355" s="4"/>
      <c r="N355" s="5"/>
    </row>
    <row r="356">
      <c r="I356" s="4"/>
      <c r="N356" s="5"/>
    </row>
    <row r="357">
      <c r="I357" s="4"/>
      <c r="N357" s="5"/>
    </row>
    <row r="358">
      <c r="I358" s="4"/>
      <c r="N358" s="5"/>
    </row>
    <row r="359">
      <c r="I359" s="4"/>
      <c r="N359" s="5"/>
    </row>
    <row r="360">
      <c r="I360" s="4"/>
      <c r="N360" s="5"/>
    </row>
    <row r="361">
      <c r="I361" s="4"/>
      <c r="N361" s="5"/>
    </row>
    <row r="362">
      <c r="I362" s="4"/>
      <c r="N362" s="5"/>
    </row>
    <row r="363">
      <c r="I363" s="4"/>
      <c r="N363" s="5"/>
    </row>
    <row r="364">
      <c r="I364" s="4"/>
      <c r="N364" s="5"/>
    </row>
    <row r="365">
      <c r="I365" s="4"/>
      <c r="N365" s="5"/>
    </row>
    <row r="366">
      <c r="I366" s="4"/>
      <c r="N366" s="5"/>
    </row>
    <row r="367">
      <c r="I367" s="4"/>
      <c r="N367" s="5"/>
    </row>
    <row r="368">
      <c r="I368" s="4"/>
      <c r="N368" s="5"/>
    </row>
    <row r="369">
      <c r="I369" s="4"/>
      <c r="N369" s="5"/>
    </row>
    <row r="370">
      <c r="I370" s="4"/>
      <c r="N370" s="5"/>
    </row>
    <row r="371">
      <c r="I371" s="4"/>
      <c r="N371" s="5"/>
    </row>
    <row r="372">
      <c r="I372" s="4"/>
      <c r="N372" s="5"/>
    </row>
    <row r="373">
      <c r="I373" s="4"/>
      <c r="N373" s="5"/>
    </row>
    <row r="374">
      <c r="I374" s="4"/>
      <c r="N374" s="5"/>
    </row>
    <row r="375">
      <c r="I375" s="4"/>
      <c r="N375" s="5"/>
    </row>
    <row r="376">
      <c r="I376" s="4"/>
      <c r="N376" s="5"/>
    </row>
    <row r="377">
      <c r="I377" s="4"/>
      <c r="N377" s="5"/>
    </row>
    <row r="378">
      <c r="I378" s="4"/>
      <c r="N378" s="5"/>
    </row>
    <row r="379">
      <c r="I379" s="4"/>
      <c r="N379" s="5"/>
    </row>
    <row r="380">
      <c r="I380" s="4"/>
      <c r="N380" s="5"/>
    </row>
    <row r="381">
      <c r="I381" s="4"/>
      <c r="N381" s="5"/>
    </row>
    <row r="382">
      <c r="I382" s="4"/>
      <c r="N382" s="5"/>
    </row>
    <row r="383">
      <c r="I383" s="4"/>
      <c r="N383" s="5"/>
    </row>
    <row r="384">
      <c r="I384" s="4"/>
      <c r="N384" s="5"/>
    </row>
    <row r="385">
      <c r="I385" s="4"/>
      <c r="N385" s="5"/>
    </row>
    <row r="386">
      <c r="I386" s="4"/>
      <c r="N386" s="5"/>
    </row>
    <row r="387">
      <c r="I387" s="4"/>
      <c r="N387" s="5"/>
    </row>
    <row r="388">
      <c r="I388" s="4"/>
      <c r="N388" s="5"/>
    </row>
    <row r="389">
      <c r="I389" s="4"/>
      <c r="N389" s="5"/>
    </row>
    <row r="390">
      <c r="I390" s="4"/>
      <c r="N390" s="5"/>
    </row>
    <row r="391">
      <c r="I391" s="4"/>
      <c r="N391" s="5"/>
    </row>
  </sheetData>
  <autoFilter ref="$A$1:$Z$1000"/>
  <drawing r:id="rId1"/>
</worksheet>
</file>